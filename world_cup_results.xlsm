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EVIN\Desktop\"/>
    </mc:Choice>
  </mc:AlternateContent>
  <xr:revisionPtr revIDLastSave="0" documentId="13_ncr:1_{898D4C0D-34DB-4338-883E-A6CCEEC90D34}" xr6:coauthVersionLast="47" xr6:coauthVersionMax="47" xr10:uidLastSave="{00000000-0000-0000-0000-000000000000}"/>
  <bookViews>
    <workbookView xWindow="20370" yWindow="-120" windowWidth="20730" windowHeight="11160" tabRatio="733" xr2:uid="{00000000-000D-0000-FFFF-FFFF00000000}"/>
  </bookViews>
  <sheets>
    <sheet name="Summary" sheetId="5" r:id="rId1"/>
    <sheet name="WorldCupMatches" sheetId="1" r:id="rId2"/>
    <sheet name="World Cup - Tableau format" sheetId="3" r:id="rId3"/>
    <sheet name="WorldCups" sheetId="2" r:id="rId4"/>
    <sheet name="unique_countries_by year" sheetId="6" r:id="rId5"/>
    <sheet name="Analysis" sheetId="4" r:id="rId6"/>
  </sheets>
  <definedNames>
    <definedName name="_xlnm._FilterDatabase" localSheetId="2" hidden="1">'World Cup - Tableau format'!$A$1:$N$1704</definedName>
    <definedName name="_xlnm._FilterDatabase" localSheetId="1" hidden="1">WorldCupMatches!$A$1:$L$853</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C4" i="4" l="1"/>
  <c r="C6" i="4"/>
  <c r="Q1" i="2"/>
  <c r="Q7" i="2"/>
  <c r="Q6" i="2"/>
  <c r="Q5" i="2"/>
  <c r="Q4" i="2"/>
  <c r="Q3" i="2"/>
  <c r="Q2" i="2"/>
  <c r="K1" i="2"/>
  <c r="R2" i="2" s="1"/>
  <c r="V3" i="1"/>
  <c r="W3" i="1" s="1"/>
  <c r="V4" i="1"/>
  <c r="W4" i="1" s="1"/>
  <c r="V5" i="1"/>
  <c r="W5" i="1" s="1"/>
  <c r="V6" i="1"/>
  <c r="W6" i="1" s="1"/>
  <c r="V7" i="1"/>
  <c r="W7" i="1" s="1"/>
  <c r="V8" i="1"/>
  <c r="W8" i="1" s="1"/>
  <c r="V9" i="1"/>
  <c r="W9" i="1" s="1"/>
  <c r="V10" i="1"/>
  <c r="W10" i="1" s="1"/>
  <c r="V11" i="1"/>
  <c r="W11" i="1" s="1"/>
  <c r="V12" i="1"/>
  <c r="W12" i="1" s="1"/>
  <c r="V13" i="1"/>
  <c r="W13" i="1" s="1"/>
  <c r="V14" i="1"/>
  <c r="W14" i="1" s="1"/>
  <c r="V15" i="1"/>
  <c r="W15" i="1" s="1"/>
  <c r="V16" i="1"/>
  <c r="W16" i="1" s="1"/>
  <c r="V17" i="1"/>
  <c r="W17" i="1" s="1"/>
  <c r="V18" i="1"/>
  <c r="W18" i="1" s="1"/>
  <c r="V19" i="1"/>
  <c r="W19" i="1" s="1"/>
  <c r="V20" i="1"/>
  <c r="W20" i="1" s="1"/>
  <c r="V21" i="1"/>
  <c r="W21" i="1" s="1"/>
  <c r="V22" i="1"/>
  <c r="W22" i="1" s="1"/>
  <c r="V23" i="1"/>
  <c r="W23" i="1" s="1"/>
  <c r="V24" i="1"/>
  <c r="W24" i="1" s="1"/>
  <c r="V25" i="1"/>
  <c r="W25" i="1" s="1"/>
  <c r="V26" i="1"/>
  <c r="W26" i="1" s="1"/>
  <c r="V27" i="1"/>
  <c r="W27" i="1" s="1"/>
  <c r="V28" i="1"/>
  <c r="W28" i="1" s="1"/>
  <c r="V29" i="1"/>
  <c r="W29" i="1" s="1"/>
  <c r="V30" i="1"/>
  <c r="W30" i="1" s="1"/>
  <c r="V31" i="1"/>
  <c r="W31" i="1" s="1"/>
  <c r="V32" i="1"/>
  <c r="W32" i="1" s="1"/>
  <c r="V33" i="1"/>
  <c r="W33" i="1" s="1"/>
  <c r="V34" i="1"/>
  <c r="W34" i="1" s="1"/>
  <c r="V35" i="1"/>
  <c r="W35" i="1" s="1"/>
  <c r="V36" i="1"/>
  <c r="W36" i="1" s="1"/>
  <c r="V37" i="1"/>
  <c r="W37" i="1" s="1"/>
  <c r="V38" i="1"/>
  <c r="W38" i="1" s="1"/>
  <c r="V39" i="1"/>
  <c r="W39" i="1" s="1"/>
  <c r="V40" i="1"/>
  <c r="W40" i="1" s="1"/>
  <c r="V41" i="1"/>
  <c r="W41" i="1" s="1"/>
  <c r="V42" i="1"/>
  <c r="W42" i="1" s="1"/>
  <c r="V43" i="1"/>
  <c r="W43" i="1" s="1"/>
  <c r="V44" i="1"/>
  <c r="W44" i="1" s="1"/>
  <c r="V45" i="1"/>
  <c r="W45" i="1" s="1"/>
  <c r="V46" i="1"/>
  <c r="W46" i="1" s="1"/>
  <c r="V47" i="1"/>
  <c r="W47" i="1" s="1"/>
  <c r="V48" i="1"/>
  <c r="W48" i="1" s="1"/>
  <c r="V49" i="1"/>
  <c r="W49" i="1" s="1"/>
  <c r="V50" i="1"/>
  <c r="W50" i="1" s="1"/>
  <c r="V51" i="1"/>
  <c r="W51" i="1" s="1"/>
  <c r="V52" i="1"/>
  <c r="W52" i="1" s="1"/>
  <c r="V53" i="1"/>
  <c r="W53" i="1" s="1"/>
  <c r="V54" i="1"/>
  <c r="W54" i="1" s="1"/>
  <c r="V55" i="1"/>
  <c r="W55" i="1" s="1"/>
  <c r="V56" i="1"/>
  <c r="W56" i="1" s="1"/>
  <c r="V57" i="1"/>
  <c r="W57" i="1" s="1"/>
  <c r="V58" i="1"/>
  <c r="W58" i="1" s="1"/>
  <c r="V59" i="1"/>
  <c r="W59" i="1" s="1"/>
  <c r="V60" i="1"/>
  <c r="W60" i="1" s="1"/>
  <c r="V61" i="1"/>
  <c r="W61" i="1" s="1"/>
  <c r="V62" i="1"/>
  <c r="W62" i="1" s="1"/>
  <c r="V63" i="1"/>
  <c r="W63" i="1" s="1"/>
  <c r="V64" i="1"/>
  <c r="W64" i="1" s="1"/>
  <c r="V65" i="1"/>
  <c r="W65" i="1" s="1"/>
  <c r="V66" i="1"/>
  <c r="W66" i="1" s="1"/>
  <c r="V67" i="1"/>
  <c r="W67" i="1" s="1"/>
  <c r="V68" i="1"/>
  <c r="W68" i="1" s="1"/>
  <c r="V69" i="1"/>
  <c r="W69" i="1" s="1"/>
  <c r="V70" i="1"/>
  <c r="W70" i="1" s="1"/>
  <c r="V71" i="1"/>
  <c r="W71" i="1" s="1"/>
  <c r="V72" i="1"/>
  <c r="W72" i="1" s="1"/>
  <c r="V73" i="1"/>
  <c r="W73" i="1" s="1"/>
  <c r="V74" i="1"/>
  <c r="W74" i="1" s="1"/>
  <c r="V75" i="1"/>
  <c r="W75" i="1" s="1"/>
  <c r="V76" i="1"/>
  <c r="W76" i="1" s="1"/>
  <c r="V77" i="1"/>
  <c r="W77" i="1" s="1"/>
  <c r="V78" i="1"/>
  <c r="W78" i="1" s="1"/>
  <c r="V79" i="1"/>
  <c r="W79" i="1" s="1"/>
  <c r="V80" i="1"/>
  <c r="W80" i="1" s="1"/>
  <c r="V81" i="1"/>
  <c r="W81" i="1" s="1"/>
  <c r="V82" i="1"/>
  <c r="W82" i="1" s="1"/>
  <c r="V83" i="1"/>
  <c r="W83" i="1" s="1"/>
  <c r="V84" i="1"/>
  <c r="W84" i="1" s="1"/>
  <c r="V85" i="1"/>
  <c r="W85" i="1" s="1"/>
  <c r="V86" i="1"/>
  <c r="W86" i="1" s="1"/>
  <c r="V87" i="1"/>
  <c r="W87" i="1" s="1"/>
  <c r="V88" i="1"/>
  <c r="W88" i="1" s="1"/>
  <c r="V89" i="1"/>
  <c r="W89" i="1" s="1"/>
  <c r="V90" i="1"/>
  <c r="W90" i="1" s="1"/>
  <c r="V91" i="1"/>
  <c r="W91" i="1" s="1"/>
  <c r="V92" i="1"/>
  <c r="W92" i="1" s="1"/>
  <c r="V93" i="1"/>
  <c r="W93" i="1" s="1"/>
  <c r="V94" i="1"/>
  <c r="W94" i="1" s="1"/>
  <c r="V95" i="1"/>
  <c r="W95" i="1" s="1"/>
  <c r="V96" i="1"/>
  <c r="W96" i="1" s="1"/>
  <c r="V97" i="1"/>
  <c r="W97" i="1" s="1"/>
  <c r="V98" i="1"/>
  <c r="W98" i="1" s="1"/>
  <c r="V99" i="1"/>
  <c r="W99" i="1" s="1"/>
  <c r="V100" i="1"/>
  <c r="W100" i="1" s="1"/>
  <c r="V101" i="1"/>
  <c r="W101" i="1" s="1"/>
  <c r="V102" i="1"/>
  <c r="W102" i="1" s="1"/>
  <c r="V103" i="1"/>
  <c r="W103" i="1" s="1"/>
  <c r="V104" i="1"/>
  <c r="W104" i="1" s="1"/>
  <c r="V105" i="1"/>
  <c r="W105" i="1" s="1"/>
  <c r="V106" i="1"/>
  <c r="W106" i="1" s="1"/>
  <c r="V107" i="1"/>
  <c r="W107" i="1" s="1"/>
  <c r="V108" i="1"/>
  <c r="W108" i="1" s="1"/>
  <c r="V109" i="1"/>
  <c r="W109" i="1" s="1"/>
  <c r="V110" i="1"/>
  <c r="W110" i="1" s="1"/>
  <c r="V111" i="1"/>
  <c r="W111" i="1" s="1"/>
  <c r="V112" i="1"/>
  <c r="W112" i="1" s="1"/>
  <c r="V113" i="1"/>
  <c r="W113" i="1" s="1"/>
  <c r="V114" i="1"/>
  <c r="W114" i="1" s="1"/>
  <c r="V115" i="1"/>
  <c r="W115" i="1" s="1"/>
  <c r="V116" i="1"/>
  <c r="W116" i="1" s="1"/>
  <c r="V117" i="1"/>
  <c r="W117" i="1" s="1"/>
  <c r="V118" i="1"/>
  <c r="W118" i="1" s="1"/>
  <c r="V119" i="1"/>
  <c r="W119" i="1" s="1"/>
  <c r="V120" i="1"/>
  <c r="W120" i="1" s="1"/>
  <c r="V121" i="1"/>
  <c r="W121" i="1" s="1"/>
  <c r="V122" i="1"/>
  <c r="W122" i="1" s="1"/>
  <c r="V123" i="1"/>
  <c r="W123" i="1" s="1"/>
  <c r="V124" i="1"/>
  <c r="W124" i="1" s="1"/>
  <c r="V125" i="1"/>
  <c r="W125" i="1" s="1"/>
  <c r="V126" i="1"/>
  <c r="W126" i="1" s="1"/>
  <c r="V127" i="1"/>
  <c r="W127" i="1" s="1"/>
  <c r="V128" i="1"/>
  <c r="W128" i="1" s="1"/>
  <c r="V129" i="1"/>
  <c r="W129" i="1" s="1"/>
  <c r="V130" i="1"/>
  <c r="W130" i="1" s="1"/>
  <c r="V131" i="1"/>
  <c r="W131" i="1" s="1"/>
  <c r="V132" i="1"/>
  <c r="W132" i="1" s="1"/>
  <c r="V133" i="1"/>
  <c r="W133" i="1" s="1"/>
  <c r="V134" i="1"/>
  <c r="W134" i="1" s="1"/>
  <c r="V135" i="1"/>
  <c r="W135" i="1" s="1"/>
  <c r="V136" i="1"/>
  <c r="W136" i="1" s="1"/>
  <c r="V137" i="1"/>
  <c r="W137" i="1" s="1"/>
  <c r="V138" i="1"/>
  <c r="W138" i="1" s="1"/>
  <c r="V139" i="1"/>
  <c r="W139" i="1" s="1"/>
  <c r="V140" i="1"/>
  <c r="W140" i="1" s="1"/>
  <c r="V141" i="1"/>
  <c r="W141" i="1" s="1"/>
  <c r="V142" i="1"/>
  <c r="W142" i="1" s="1"/>
  <c r="V143" i="1"/>
  <c r="W143" i="1" s="1"/>
  <c r="V144" i="1"/>
  <c r="W144" i="1" s="1"/>
  <c r="V145" i="1"/>
  <c r="W145" i="1" s="1"/>
  <c r="V146" i="1"/>
  <c r="W146" i="1" s="1"/>
  <c r="V147" i="1"/>
  <c r="W147" i="1" s="1"/>
  <c r="V148" i="1"/>
  <c r="W148" i="1" s="1"/>
  <c r="V149" i="1"/>
  <c r="W149" i="1" s="1"/>
  <c r="V150" i="1"/>
  <c r="W150" i="1" s="1"/>
  <c r="V151" i="1"/>
  <c r="W151" i="1" s="1"/>
  <c r="V152" i="1"/>
  <c r="W152" i="1" s="1"/>
  <c r="V153" i="1"/>
  <c r="W153" i="1" s="1"/>
  <c r="V154" i="1"/>
  <c r="W154" i="1" s="1"/>
  <c r="V155" i="1"/>
  <c r="W155" i="1" s="1"/>
  <c r="V156" i="1"/>
  <c r="W156" i="1" s="1"/>
  <c r="V157" i="1"/>
  <c r="W157" i="1" s="1"/>
  <c r="V158" i="1"/>
  <c r="W158" i="1" s="1"/>
  <c r="V159" i="1"/>
  <c r="W159" i="1" s="1"/>
  <c r="V160" i="1"/>
  <c r="W160" i="1" s="1"/>
  <c r="V161" i="1"/>
  <c r="W161" i="1" s="1"/>
  <c r="V162" i="1"/>
  <c r="W162" i="1" s="1"/>
  <c r="V163" i="1"/>
  <c r="W163" i="1" s="1"/>
  <c r="V164" i="1"/>
  <c r="W164" i="1" s="1"/>
  <c r="V165" i="1"/>
  <c r="W165" i="1" s="1"/>
  <c r="V166" i="1"/>
  <c r="W166" i="1" s="1"/>
  <c r="V167" i="1"/>
  <c r="W167" i="1" s="1"/>
  <c r="V168" i="1"/>
  <c r="W168" i="1" s="1"/>
  <c r="V169" i="1"/>
  <c r="W169" i="1" s="1"/>
  <c r="V170" i="1"/>
  <c r="W170" i="1" s="1"/>
  <c r="V171" i="1"/>
  <c r="W171" i="1" s="1"/>
  <c r="V172" i="1"/>
  <c r="W172" i="1" s="1"/>
  <c r="V173" i="1"/>
  <c r="W173" i="1" s="1"/>
  <c r="V174" i="1"/>
  <c r="W174" i="1" s="1"/>
  <c r="V175" i="1"/>
  <c r="W175" i="1" s="1"/>
  <c r="V176" i="1"/>
  <c r="W176" i="1" s="1"/>
  <c r="V177" i="1"/>
  <c r="W177" i="1" s="1"/>
  <c r="V178" i="1"/>
  <c r="W178" i="1" s="1"/>
  <c r="V179" i="1"/>
  <c r="W179" i="1" s="1"/>
  <c r="V180" i="1"/>
  <c r="W180" i="1" s="1"/>
  <c r="V181" i="1"/>
  <c r="W181" i="1" s="1"/>
  <c r="V182" i="1"/>
  <c r="W182" i="1" s="1"/>
  <c r="V183" i="1"/>
  <c r="W183" i="1" s="1"/>
  <c r="V184" i="1"/>
  <c r="W184" i="1" s="1"/>
  <c r="V185" i="1"/>
  <c r="W185" i="1" s="1"/>
  <c r="V186" i="1"/>
  <c r="W186" i="1" s="1"/>
  <c r="V187" i="1"/>
  <c r="W187" i="1" s="1"/>
  <c r="V188" i="1"/>
  <c r="W188" i="1" s="1"/>
  <c r="V189" i="1"/>
  <c r="W189" i="1" s="1"/>
  <c r="V190" i="1"/>
  <c r="W190" i="1" s="1"/>
  <c r="V191" i="1"/>
  <c r="W191" i="1" s="1"/>
  <c r="V192" i="1"/>
  <c r="W192" i="1" s="1"/>
  <c r="V193" i="1"/>
  <c r="W193" i="1" s="1"/>
  <c r="V194" i="1"/>
  <c r="W194" i="1" s="1"/>
  <c r="V195" i="1"/>
  <c r="W195" i="1" s="1"/>
  <c r="V196" i="1"/>
  <c r="W196" i="1" s="1"/>
  <c r="V197" i="1"/>
  <c r="W197" i="1" s="1"/>
  <c r="V198" i="1"/>
  <c r="W198" i="1" s="1"/>
  <c r="V199" i="1"/>
  <c r="W199" i="1" s="1"/>
  <c r="V200" i="1"/>
  <c r="W200" i="1" s="1"/>
  <c r="V201" i="1"/>
  <c r="W201" i="1" s="1"/>
  <c r="V202" i="1"/>
  <c r="W202" i="1" s="1"/>
  <c r="V203" i="1"/>
  <c r="W203" i="1" s="1"/>
  <c r="V204" i="1"/>
  <c r="W204" i="1" s="1"/>
  <c r="V205" i="1"/>
  <c r="W205" i="1" s="1"/>
  <c r="V206" i="1"/>
  <c r="W206" i="1" s="1"/>
  <c r="V207" i="1"/>
  <c r="W207" i="1" s="1"/>
  <c r="V208" i="1"/>
  <c r="W208" i="1" s="1"/>
  <c r="V209" i="1"/>
  <c r="W209" i="1" s="1"/>
  <c r="V210" i="1"/>
  <c r="W210" i="1" s="1"/>
  <c r="V211" i="1"/>
  <c r="W211" i="1" s="1"/>
  <c r="V212" i="1"/>
  <c r="W212" i="1" s="1"/>
  <c r="V213" i="1"/>
  <c r="W213" i="1" s="1"/>
  <c r="V214" i="1"/>
  <c r="W214" i="1" s="1"/>
  <c r="V215" i="1"/>
  <c r="W215" i="1" s="1"/>
  <c r="V216" i="1"/>
  <c r="W216" i="1" s="1"/>
  <c r="V217" i="1"/>
  <c r="W217" i="1" s="1"/>
  <c r="V218" i="1"/>
  <c r="W218" i="1" s="1"/>
  <c r="V219" i="1"/>
  <c r="W219" i="1" s="1"/>
  <c r="V220" i="1"/>
  <c r="W220" i="1" s="1"/>
  <c r="V221" i="1"/>
  <c r="W221" i="1" s="1"/>
  <c r="V222" i="1"/>
  <c r="W222" i="1" s="1"/>
  <c r="V223" i="1"/>
  <c r="W223" i="1" s="1"/>
  <c r="V224" i="1"/>
  <c r="W224" i="1" s="1"/>
  <c r="V225" i="1"/>
  <c r="W225" i="1" s="1"/>
  <c r="V226" i="1"/>
  <c r="W226" i="1" s="1"/>
  <c r="V227" i="1"/>
  <c r="W227" i="1" s="1"/>
  <c r="V228" i="1"/>
  <c r="W228" i="1" s="1"/>
  <c r="V229" i="1"/>
  <c r="W229" i="1" s="1"/>
  <c r="V230" i="1"/>
  <c r="W230" i="1" s="1"/>
  <c r="V231" i="1"/>
  <c r="W231" i="1" s="1"/>
  <c r="V232" i="1"/>
  <c r="W232" i="1" s="1"/>
  <c r="V233" i="1"/>
  <c r="W233" i="1" s="1"/>
  <c r="V234" i="1"/>
  <c r="W234" i="1" s="1"/>
  <c r="V235" i="1"/>
  <c r="W235" i="1" s="1"/>
  <c r="V236" i="1"/>
  <c r="W236" i="1" s="1"/>
  <c r="V237" i="1"/>
  <c r="W237" i="1" s="1"/>
  <c r="V238" i="1"/>
  <c r="W238" i="1" s="1"/>
  <c r="V239" i="1"/>
  <c r="W239" i="1" s="1"/>
  <c r="V240" i="1"/>
  <c r="W240" i="1" s="1"/>
  <c r="V241" i="1"/>
  <c r="W241" i="1" s="1"/>
  <c r="V242" i="1"/>
  <c r="W242" i="1" s="1"/>
  <c r="V243" i="1"/>
  <c r="W243" i="1" s="1"/>
  <c r="V244" i="1"/>
  <c r="W244" i="1" s="1"/>
  <c r="V245" i="1"/>
  <c r="W245" i="1" s="1"/>
  <c r="V246" i="1"/>
  <c r="W246" i="1" s="1"/>
  <c r="V247" i="1"/>
  <c r="W247" i="1" s="1"/>
  <c r="V248" i="1"/>
  <c r="W248" i="1" s="1"/>
  <c r="V249" i="1"/>
  <c r="W249" i="1" s="1"/>
  <c r="V250" i="1"/>
  <c r="W250" i="1" s="1"/>
  <c r="V251" i="1"/>
  <c r="W251" i="1" s="1"/>
  <c r="V252" i="1"/>
  <c r="W252" i="1" s="1"/>
  <c r="V253" i="1"/>
  <c r="W253" i="1" s="1"/>
  <c r="V254" i="1"/>
  <c r="W254" i="1" s="1"/>
  <c r="V255" i="1"/>
  <c r="W255" i="1" s="1"/>
  <c r="V256" i="1"/>
  <c r="W256" i="1" s="1"/>
  <c r="V257" i="1"/>
  <c r="W257" i="1" s="1"/>
  <c r="V258" i="1"/>
  <c r="W258" i="1" s="1"/>
  <c r="V259" i="1"/>
  <c r="W259" i="1" s="1"/>
  <c r="V260" i="1"/>
  <c r="W260" i="1" s="1"/>
  <c r="V261" i="1"/>
  <c r="W261" i="1" s="1"/>
  <c r="V262" i="1"/>
  <c r="W262" i="1" s="1"/>
  <c r="V263" i="1"/>
  <c r="W263" i="1" s="1"/>
  <c r="V264" i="1"/>
  <c r="W264" i="1" s="1"/>
  <c r="V265" i="1"/>
  <c r="W265" i="1" s="1"/>
  <c r="V266" i="1"/>
  <c r="W266" i="1" s="1"/>
  <c r="V267" i="1"/>
  <c r="W267" i="1" s="1"/>
  <c r="V268" i="1"/>
  <c r="W268" i="1" s="1"/>
  <c r="V269" i="1"/>
  <c r="W269" i="1" s="1"/>
  <c r="V270" i="1"/>
  <c r="W270" i="1" s="1"/>
  <c r="V271" i="1"/>
  <c r="W271" i="1" s="1"/>
  <c r="V272" i="1"/>
  <c r="W272" i="1" s="1"/>
  <c r="V273" i="1"/>
  <c r="W273" i="1" s="1"/>
  <c r="V274" i="1"/>
  <c r="W274" i="1" s="1"/>
  <c r="V275" i="1"/>
  <c r="W275" i="1" s="1"/>
  <c r="V276" i="1"/>
  <c r="W276" i="1" s="1"/>
  <c r="V277" i="1"/>
  <c r="W277" i="1" s="1"/>
  <c r="V278" i="1"/>
  <c r="W278" i="1" s="1"/>
  <c r="V279" i="1"/>
  <c r="W279" i="1" s="1"/>
  <c r="V280" i="1"/>
  <c r="W280" i="1" s="1"/>
  <c r="V281" i="1"/>
  <c r="W281" i="1" s="1"/>
  <c r="V282" i="1"/>
  <c r="W282" i="1" s="1"/>
  <c r="V283" i="1"/>
  <c r="W283" i="1" s="1"/>
  <c r="V284" i="1"/>
  <c r="W284" i="1" s="1"/>
  <c r="V285" i="1"/>
  <c r="W285" i="1" s="1"/>
  <c r="V286" i="1"/>
  <c r="W286" i="1" s="1"/>
  <c r="V287" i="1"/>
  <c r="W287" i="1" s="1"/>
  <c r="V288" i="1"/>
  <c r="W288" i="1" s="1"/>
  <c r="V289" i="1"/>
  <c r="W289" i="1" s="1"/>
  <c r="V290" i="1"/>
  <c r="W290" i="1" s="1"/>
  <c r="V291" i="1"/>
  <c r="W291" i="1" s="1"/>
  <c r="V292" i="1"/>
  <c r="W292" i="1" s="1"/>
  <c r="V293" i="1"/>
  <c r="W293" i="1" s="1"/>
  <c r="V294" i="1"/>
  <c r="W294" i="1" s="1"/>
  <c r="V295" i="1"/>
  <c r="W295" i="1" s="1"/>
  <c r="V296" i="1"/>
  <c r="W296" i="1" s="1"/>
  <c r="V297" i="1"/>
  <c r="W297" i="1" s="1"/>
  <c r="V298" i="1"/>
  <c r="W298" i="1" s="1"/>
  <c r="V299" i="1"/>
  <c r="W299" i="1" s="1"/>
  <c r="V300" i="1"/>
  <c r="W300" i="1" s="1"/>
  <c r="V301" i="1"/>
  <c r="W301" i="1" s="1"/>
  <c r="V302" i="1"/>
  <c r="W302" i="1" s="1"/>
  <c r="V303" i="1"/>
  <c r="W303" i="1" s="1"/>
  <c r="V304" i="1"/>
  <c r="W304" i="1" s="1"/>
  <c r="V305" i="1"/>
  <c r="W305" i="1" s="1"/>
  <c r="V306" i="1"/>
  <c r="W306" i="1" s="1"/>
  <c r="V307" i="1"/>
  <c r="W307" i="1" s="1"/>
  <c r="V308" i="1"/>
  <c r="W308" i="1" s="1"/>
  <c r="V309" i="1"/>
  <c r="W309" i="1" s="1"/>
  <c r="V310" i="1"/>
  <c r="W310" i="1" s="1"/>
  <c r="V311" i="1"/>
  <c r="W311" i="1" s="1"/>
  <c r="V312" i="1"/>
  <c r="W312" i="1" s="1"/>
  <c r="V313" i="1"/>
  <c r="W313" i="1" s="1"/>
  <c r="V314" i="1"/>
  <c r="W314" i="1" s="1"/>
  <c r="V315" i="1"/>
  <c r="W315" i="1" s="1"/>
  <c r="V316" i="1"/>
  <c r="W316" i="1" s="1"/>
  <c r="V317" i="1"/>
  <c r="W317" i="1" s="1"/>
  <c r="V318" i="1"/>
  <c r="W318" i="1" s="1"/>
  <c r="V319" i="1"/>
  <c r="W319" i="1" s="1"/>
  <c r="V320" i="1"/>
  <c r="W320" i="1" s="1"/>
  <c r="V321" i="1"/>
  <c r="W321" i="1" s="1"/>
  <c r="V322" i="1"/>
  <c r="W322" i="1" s="1"/>
  <c r="V323" i="1"/>
  <c r="W323" i="1" s="1"/>
  <c r="V324" i="1"/>
  <c r="W324" i="1" s="1"/>
  <c r="V325" i="1"/>
  <c r="W325" i="1" s="1"/>
  <c r="V326" i="1"/>
  <c r="W326" i="1" s="1"/>
  <c r="V327" i="1"/>
  <c r="W327" i="1" s="1"/>
  <c r="V328" i="1"/>
  <c r="W328" i="1" s="1"/>
  <c r="V329" i="1"/>
  <c r="W329" i="1" s="1"/>
  <c r="V330" i="1"/>
  <c r="W330" i="1" s="1"/>
  <c r="V331" i="1"/>
  <c r="W331" i="1" s="1"/>
  <c r="V332" i="1"/>
  <c r="W332" i="1" s="1"/>
  <c r="V333" i="1"/>
  <c r="W333" i="1" s="1"/>
  <c r="V334" i="1"/>
  <c r="W334" i="1" s="1"/>
  <c r="V335" i="1"/>
  <c r="W335" i="1" s="1"/>
  <c r="V336" i="1"/>
  <c r="W336" i="1" s="1"/>
  <c r="V337" i="1"/>
  <c r="W337" i="1" s="1"/>
  <c r="V338" i="1"/>
  <c r="W338" i="1" s="1"/>
  <c r="V339" i="1"/>
  <c r="W339" i="1" s="1"/>
  <c r="V340" i="1"/>
  <c r="W340" i="1" s="1"/>
  <c r="V341" i="1"/>
  <c r="W341" i="1" s="1"/>
  <c r="V342" i="1"/>
  <c r="W342" i="1" s="1"/>
  <c r="V343" i="1"/>
  <c r="W343" i="1" s="1"/>
  <c r="V344" i="1"/>
  <c r="W344" i="1" s="1"/>
  <c r="V345" i="1"/>
  <c r="W345" i="1" s="1"/>
  <c r="V346" i="1"/>
  <c r="W346" i="1" s="1"/>
  <c r="V347" i="1"/>
  <c r="W347" i="1" s="1"/>
  <c r="V348" i="1"/>
  <c r="W348" i="1" s="1"/>
  <c r="V349" i="1"/>
  <c r="W349" i="1" s="1"/>
  <c r="V350" i="1"/>
  <c r="W350" i="1" s="1"/>
  <c r="V351" i="1"/>
  <c r="W351" i="1" s="1"/>
  <c r="V352" i="1"/>
  <c r="W352" i="1" s="1"/>
  <c r="V353" i="1"/>
  <c r="W353" i="1" s="1"/>
  <c r="V354" i="1"/>
  <c r="W354" i="1" s="1"/>
  <c r="V355" i="1"/>
  <c r="W355" i="1" s="1"/>
  <c r="V356" i="1"/>
  <c r="W356" i="1" s="1"/>
  <c r="V357" i="1"/>
  <c r="W357" i="1" s="1"/>
  <c r="V358" i="1"/>
  <c r="W358" i="1" s="1"/>
  <c r="V359" i="1"/>
  <c r="W359" i="1" s="1"/>
  <c r="V360" i="1"/>
  <c r="W360" i="1" s="1"/>
  <c r="V361" i="1"/>
  <c r="W361" i="1" s="1"/>
  <c r="V362" i="1"/>
  <c r="W362" i="1" s="1"/>
  <c r="V363" i="1"/>
  <c r="W363" i="1" s="1"/>
  <c r="V364" i="1"/>
  <c r="W364" i="1" s="1"/>
  <c r="V365" i="1"/>
  <c r="W365" i="1" s="1"/>
  <c r="V366" i="1"/>
  <c r="W366" i="1" s="1"/>
  <c r="V367" i="1"/>
  <c r="W367" i="1" s="1"/>
  <c r="V368" i="1"/>
  <c r="W368" i="1" s="1"/>
  <c r="V369" i="1"/>
  <c r="W369" i="1" s="1"/>
  <c r="V370" i="1"/>
  <c r="W370" i="1" s="1"/>
  <c r="V371" i="1"/>
  <c r="W371" i="1" s="1"/>
  <c r="V372" i="1"/>
  <c r="W372" i="1" s="1"/>
  <c r="V373" i="1"/>
  <c r="W373" i="1" s="1"/>
  <c r="V374" i="1"/>
  <c r="W374" i="1" s="1"/>
  <c r="V375" i="1"/>
  <c r="W375" i="1" s="1"/>
  <c r="V376" i="1"/>
  <c r="W376" i="1" s="1"/>
  <c r="V377" i="1"/>
  <c r="W377" i="1" s="1"/>
  <c r="V378" i="1"/>
  <c r="W378" i="1" s="1"/>
  <c r="V379" i="1"/>
  <c r="W379" i="1" s="1"/>
  <c r="V380" i="1"/>
  <c r="W380" i="1" s="1"/>
  <c r="V381" i="1"/>
  <c r="W381" i="1" s="1"/>
  <c r="V382" i="1"/>
  <c r="W382" i="1" s="1"/>
  <c r="V383" i="1"/>
  <c r="W383" i="1" s="1"/>
  <c r="V384" i="1"/>
  <c r="W384" i="1" s="1"/>
  <c r="V385" i="1"/>
  <c r="W385" i="1" s="1"/>
  <c r="V386" i="1"/>
  <c r="W386" i="1" s="1"/>
  <c r="V387" i="1"/>
  <c r="W387" i="1" s="1"/>
  <c r="V388" i="1"/>
  <c r="W388" i="1" s="1"/>
  <c r="V389" i="1"/>
  <c r="W389" i="1" s="1"/>
  <c r="V390" i="1"/>
  <c r="W390" i="1" s="1"/>
  <c r="V391" i="1"/>
  <c r="W391" i="1" s="1"/>
  <c r="V392" i="1"/>
  <c r="W392" i="1" s="1"/>
  <c r="V393" i="1"/>
  <c r="W393" i="1" s="1"/>
  <c r="V394" i="1"/>
  <c r="W394" i="1" s="1"/>
  <c r="V395" i="1"/>
  <c r="W395" i="1" s="1"/>
  <c r="V396" i="1"/>
  <c r="W396" i="1" s="1"/>
  <c r="V397" i="1"/>
  <c r="W397" i="1" s="1"/>
  <c r="V398" i="1"/>
  <c r="W398" i="1" s="1"/>
  <c r="V399" i="1"/>
  <c r="W399" i="1" s="1"/>
  <c r="V400" i="1"/>
  <c r="W400" i="1" s="1"/>
  <c r="V401" i="1"/>
  <c r="W401" i="1" s="1"/>
  <c r="V402" i="1"/>
  <c r="W402" i="1" s="1"/>
  <c r="V403" i="1"/>
  <c r="W403" i="1" s="1"/>
  <c r="V404" i="1"/>
  <c r="W404" i="1" s="1"/>
  <c r="V405" i="1"/>
  <c r="W405" i="1" s="1"/>
  <c r="V406" i="1"/>
  <c r="W406" i="1" s="1"/>
  <c r="V407" i="1"/>
  <c r="W407" i="1" s="1"/>
  <c r="V408" i="1"/>
  <c r="W408" i="1" s="1"/>
  <c r="V409" i="1"/>
  <c r="W409" i="1" s="1"/>
  <c r="V410" i="1"/>
  <c r="W410" i="1" s="1"/>
  <c r="V411" i="1"/>
  <c r="W411" i="1" s="1"/>
  <c r="V412" i="1"/>
  <c r="W412" i="1" s="1"/>
  <c r="V413" i="1"/>
  <c r="W413" i="1" s="1"/>
  <c r="V414" i="1"/>
  <c r="W414" i="1" s="1"/>
  <c r="V415" i="1"/>
  <c r="W415" i="1" s="1"/>
  <c r="V416" i="1"/>
  <c r="W416" i="1" s="1"/>
  <c r="V417" i="1"/>
  <c r="W417" i="1" s="1"/>
  <c r="V418" i="1"/>
  <c r="W418" i="1" s="1"/>
  <c r="V419" i="1"/>
  <c r="W419" i="1" s="1"/>
  <c r="V420" i="1"/>
  <c r="W420" i="1" s="1"/>
  <c r="V421" i="1"/>
  <c r="W421" i="1" s="1"/>
  <c r="V422" i="1"/>
  <c r="W422" i="1" s="1"/>
  <c r="V423" i="1"/>
  <c r="W423" i="1" s="1"/>
  <c r="V424" i="1"/>
  <c r="W424" i="1" s="1"/>
  <c r="V425" i="1"/>
  <c r="W425" i="1" s="1"/>
  <c r="V426" i="1"/>
  <c r="W426" i="1" s="1"/>
  <c r="V427" i="1"/>
  <c r="W427" i="1" s="1"/>
  <c r="V428" i="1"/>
  <c r="W428" i="1" s="1"/>
  <c r="V429" i="1"/>
  <c r="W429" i="1" s="1"/>
  <c r="V430" i="1"/>
  <c r="W430" i="1" s="1"/>
  <c r="V431" i="1"/>
  <c r="W431" i="1" s="1"/>
  <c r="V432" i="1"/>
  <c r="W432" i="1" s="1"/>
  <c r="V433" i="1"/>
  <c r="W433" i="1" s="1"/>
  <c r="V434" i="1"/>
  <c r="W434" i="1" s="1"/>
  <c r="V435" i="1"/>
  <c r="W435" i="1" s="1"/>
  <c r="V436" i="1"/>
  <c r="W436" i="1" s="1"/>
  <c r="V437" i="1"/>
  <c r="W437" i="1" s="1"/>
  <c r="V438" i="1"/>
  <c r="W438" i="1" s="1"/>
  <c r="V439" i="1"/>
  <c r="W439" i="1" s="1"/>
  <c r="V440" i="1"/>
  <c r="W440" i="1" s="1"/>
  <c r="V441" i="1"/>
  <c r="W441" i="1" s="1"/>
  <c r="V442" i="1"/>
  <c r="W442" i="1" s="1"/>
  <c r="V443" i="1"/>
  <c r="W443" i="1" s="1"/>
  <c r="V444" i="1"/>
  <c r="W444" i="1" s="1"/>
  <c r="V445" i="1"/>
  <c r="W445" i="1" s="1"/>
  <c r="V446" i="1"/>
  <c r="W446" i="1" s="1"/>
  <c r="V447" i="1"/>
  <c r="W447" i="1" s="1"/>
  <c r="V448" i="1"/>
  <c r="W448" i="1" s="1"/>
  <c r="V449" i="1"/>
  <c r="W449" i="1" s="1"/>
  <c r="V450" i="1"/>
  <c r="W450" i="1" s="1"/>
  <c r="V451" i="1"/>
  <c r="W451" i="1" s="1"/>
  <c r="V452" i="1"/>
  <c r="W452" i="1" s="1"/>
  <c r="V453" i="1"/>
  <c r="W453" i="1" s="1"/>
  <c r="V454" i="1"/>
  <c r="W454" i="1" s="1"/>
  <c r="V455" i="1"/>
  <c r="W455" i="1" s="1"/>
  <c r="V456" i="1"/>
  <c r="W456" i="1" s="1"/>
  <c r="V457" i="1"/>
  <c r="W457" i="1" s="1"/>
  <c r="V458" i="1"/>
  <c r="W458" i="1" s="1"/>
  <c r="V459" i="1"/>
  <c r="W459" i="1" s="1"/>
  <c r="V460" i="1"/>
  <c r="W460" i="1" s="1"/>
  <c r="V461" i="1"/>
  <c r="W461" i="1" s="1"/>
  <c r="V462" i="1"/>
  <c r="W462" i="1" s="1"/>
  <c r="V463" i="1"/>
  <c r="W463" i="1" s="1"/>
  <c r="V464" i="1"/>
  <c r="W464" i="1" s="1"/>
  <c r="V465" i="1"/>
  <c r="W465" i="1" s="1"/>
  <c r="V466" i="1"/>
  <c r="W466" i="1" s="1"/>
  <c r="V467" i="1"/>
  <c r="W467" i="1" s="1"/>
  <c r="V468" i="1"/>
  <c r="W468" i="1" s="1"/>
  <c r="V469" i="1"/>
  <c r="W469" i="1" s="1"/>
  <c r="V470" i="1"/>
  <c r="W470" i="1" s="1"/>
  <c r="V471" i="1"/>
  <c r="W471" i="1" s="1"/>
  <c r="V472" i="1"/>
  <c r="W472" i="1" s="1"/>
  <c r="V473" i="1"/>
  <c r="W473" i="1" s="1"/>
  <c r="V474" i="1"/>
  <c r="W474" i="1" s="1"/>
  <c r="V475" i="1"/>
  <c r="W475" i="1" s="1"/>
  <c r="V476" i="1"/>
  <c r="W476" i="1" s="1"/>
  <c r="V477" i="1"/>
  <c r="W477" i="1" s="1"/>
  <c r="V478" i="1"/>
  <c r="W478" i="1" s="1"/>
  <c r="V479" i="1"/>
  <c r="W479" i="1" s="1"/>
  <c r="V480" i="1"/>
  <c r="W480" i="1" s="1"/>
  <c r="V481" i="1"/>
  <c r="W481" i="1" s="1"/>
  <c r="V482" i="1"/>
  <c r="W482" i="1" s="1"/>
  <c r="V483" i="1"/>
  <c r="W483" i="1" s="1"/>
  <c r="V484" i="1"/>
  <c r="W484" i="1" s="1"/>
  <c r="V485" i="1"/>
  <c r="W485" i="1" s="1"/>
  <c r="V486" i="1"/>
  <c r="W486" i="1" s="1"/>
  <c r="V487" i="1"/>
  <c r="W487" i="1" s="1"/>
  <c r="V488" i="1"/>
  <c r="W488" i="1" s="1"/>
  <c r="V489" i="1"/>
  <c r="W489" i="1" s="1"/>
  <c r="V490" i="1"/>
  <c r="W490" i="1" s="1"/>
  <c r="V491" i="1"/>
  <c r="W491" i="1" s="1"/>
  <c r="V492" i="1"/>
  <c r="W492" i="1" s="1"/>
  <c r="V493" i="1"/>
  <c r="W493" i="1" s="1"/>
  <c r="V494" i="1"/>
  <c r="W494" i="1" s="1"/>
  <c r="V495" i="1"/>
  <c r="W495" i="1" s="1"/>
  <c r="V496" i="1"/>
  <c r="W496" i="1" s="1"/>
  <c r="V497" i="1"/>
  <c r="W497" i="1" s="1"/>
  <c r="V498" i="1"/>
  <c r="W498" i="1" s="1"/>
  <c r="V499" i="1"/>
  <c r="W499" i="1" s="1"/>
  <c r="V500" i="1"/>
  <c r="W500" i="1" s="1"/>
  <c r="V501" i="1"/>
  <c r="W501" i="1" s="1"/>
  <c r="V502" i="1"/>
  <c r="W502" i="1" s="1"/>
  <c r="V503" i="1"/>
  <c r="W503" i="1" s="1"/>
  <c r="V504" i="1"/>
  <c r="W504" i="1" s="1"/>
  <c r="V505" i="1"/>
  <c r="W505" i="1" s="1"/>
  <c r="V506" i="1"/>
  <c r="W506" i="1" s="1"/>
  <c r="V507" i="1"/>
  <c r="W507" i="1" s="1"/>
  <c r="V508" i="1"/>
  <c r="W508" i="1" s="1"/>
  <c r="V509" i="1"/>
  <c r="W509" i="1" s="1"/>
  <c r="V510" i="1"/>
  <c r="W510" i="1" s="1"/>
  <c r="V511" i="1"/>
  <c r="W511" i="1" s="1"/>
  <c r="V512" i="1"/>
  <c r="W512" i="1" s="1"/>
  <c r="V513" i="1"/>
  <c r="W513" i="1" s="1"/>
  <c r="V514" i="1"/>
  <c r="W514" i="1" s="1"/>
  <c r="V515" i="1"/>
  <c r="W515" i="1" s="1"/>
  <c r="V516" i="1"/>
  <c r="W516" i="1" s="1"/>
  <c r="V517" i="1"/>
  <c r="W517" i="1" s="1"/>
  <c r="V518" i="1"/>
  <c r="W518" i="1" s="1"/>
  <c r="V519" i="1"/>
  <c r="W519" i="1" s="1"/>
  <c r="V520" i="1"/>
  <c r="W520" i="1" s="1"/>
  <c r="V521" i="1"/>
  <c r="W521" i="1" s="1"/>
  <c r="V522" i="1"/>
  <c r="W522" i="1" s="1"/>
  <c r="V523" i="1"/>
  <c r="W523" i="1" s="1"/>
  <c r="V524" i="1"/>
  <c r="W524" i="1" s="1"/>
  <c r="V525" i="1"/>
  <c r="W525" i="1" s="1"/>
  <c r="V526" i="1"/>
  <c r="W526" i="1" s="1"/>
  <c r="V527" i="1"/>
  <c r="W527" i="1" s="1"/>
  <c r="V528" i="1"/>
  <c r="W528" i="1" s="1"/>
  <c r="V529" i="1"/>
  <c r="W529" i="1" s="1"/>
  <c r="V530" i="1"/>
  <c r="W530" i="1" s="1"/>
  <c r="V531" i="1"/>
  <c r="W531" i="1" s="1"/>
  <c r="V532" i="1"/>
  <c r="W532" i="1" s="1"/>
  <c r="V533" i="1"/>
  <c r="W533" i="1" s="1"/>
  <c r="V534" i="1"/>
  <c r="W534" i="1" s="1"/>
  <c r="V535" i="1"/>
  <c r="W535" i="1" s="1"/>
  <c r="V536" i="1"/>
  <c r="W536" i="1" s="1"/>
  <c r="V537" i="1"/>
  <c r="W537" i="1" s="1"/>
  <c r="V538" i="1"/>
  <c r="W538" i="1" s="1"/>
  <c r="V539" i="1"/>
  <c r="W539" i="1" s="1"/>
  <c r="V540" i="1"/>
  <c r="W540" i="1" s="1"/>
  <c r="V541" i="1"/>
  <c r="W541" i="1" s="1"/>
  <c r="V542" i="1"/>
  <c r="W542" i="1" s="1"/>
  <c r="V543" i="1"/>
  <c r="W543" i="1" s="1"/>
  <c r="V544" i="1"/>
  <c r="W544" i="1" s="1"/>
  <c r="V545" i="1"/>
  <c r="W545" i="1" s="1"/>
  <c r="V546" i="1"/>
  <c r="W546" i="1" s="1"/>
  <c r="V547" i="1"/>
  <c r="W547" i="1" s="1"/>
  <c r="V548" i="1"/>
  <c r="W548" i="1" s="1"/>
  <c r="V549" i="1"/>
  <c r="W549" i="1" s="1"/>
  <c r="V550" i="1"/>
  <c r="W550" i="1" s="1"/>
  <c r="V551" i="1"/>
  <c r="W551" i="1" s="1"/>
  <c r="V552" i="1"/>
  <c r="W552" i="1" s="1"/>
  <c r="V553" i="1"/>
  <c r="W553" i="1" s="1"/>
  <c r="V554" i="1"/>
  <c r="W554" i="1" s="1"/>
  <c r="V555" i="1"/>
  <c r="W555" i="1" s="1"/>
  <c r="V556" i="1"/>
  <c r="W556" i="1" s="1"/>
  <c r="V557" i="1"/>
  <c r="W557" i="1" s="1"/>
  <c r="V558" i="1"/>
  <c r="W558" i="1" s="1"/>
  <c r="V559" i="1"/>
  <c r="W559" i="1" s="1"/>
  <c r="V560" i="1"/>
  <c r="W560" i="1" s="1"/>
  <c r="V561" i="1"/>
  <c r="W561" i="1" s="1"/>
  <c r="V562" i="1"/>
  <c r="W562" i="1" s="1"/>
  <c r="V563" i="1"/>
  <c r="W563" i="1" s="1"/>
  <c r="V564" i="1"/>
  <c r="W564" i="1" s="1"/>
  <c r="V565" i="1"/>
  <c r="W565" i="1" s="1"/>
  <c r="V566" i="1"/>
  <c r="W566" i="1" s="1"/>
  <c r="V567" i="1"/>
  <c r="W567" i="1" s="1"/>
  <c r="V568" i="1"/>
  <c r="W568" i="1" s="1"/>
  <c r="V569" i="1"/>
  <c r="W569" i="1" s="1"/>
  <c r="V570" i="1"/>
  <c r="W570" i="1" s="1"/>
  <c r="V571" i="1"/>
  <c r="W571" i="1" s="1"/>
  <c r="V572" i="1"/>
  <c r="W572" i="1" s="1"/>
  <c r="V573" i="1"/>
  <c r="W573" i="1" s="1"/>
  <c r="V574" i="1"/>
  <c r="W574" i="1" s="1"/>
  <c r="V575" i="1"/>
  <c r="W575" i="1" s="1"/>
  <c r="V576" i="1"/>
  <c r="W576" i="1" s="1"/>
  <c r="V577" i="1"/>
  <c r="W577" i="1" s="1"/>
  <c r="V578" i="1"/>
  <c r="W578" i="1" s="1"/>
  <c r="V579" i="1"/>
  <c r="W579" i="1" s="1"/>
  <c r="V580" i="1"/>
  <c r="W580" i="1" s="1"/>
  <c r="V581" i="1"/>
  <c r="W581" i="1" s="1"/>
  <c r="V582" i="1"/>
  <c r="W582" i="1" s="1"/>
  <c r="V583" i="1"/>
  <c r="W583" i="1" s="1"/>
  <c r="V584" i="1"/>
  <c r="W584" i="1" s="1"/>
  <c r="V585" i="1"/>
  <c r="W585" i="1" s="1"/>
  <c r="V586" i="1"/>
  <c r="W586" i="1" s="1"/>
  <c r="V587" i="1"/>
  <c r="W587" i="1" s="1"/>
  <c r="V588" i="1"/>
  <c r="W588" i="1" s="1"/>
  <c r="V589" i="1"/>
  <c r="W589" i="1" s="1"/>
  <c r="V590" i="1"/>
  <c r="W590" i="1" s="1"/>
  <c r="V591" i="1"/>
  <c r="W591" i="1" s="1"/>
  <c r="V592" i="1"/>
  <c r="W592" i="1" s="1"/>
  <c r="V593" i="1"/>
  <c r="W593" i="1" s="1"/>
  <c r="V594" i="1"/>
  <c r="W594" i="1" s="1"/>
  <c r="V595" i="1"/>
  <c r="W595" i="1" s="1"/>
  <c r="V596" i="1"/>
  <c r="W596" i="1" s="1"/>
  <c r="V597" i="1"/>
  <c r="W597" i="1" s="1"/>
  <c r="V598" i="1"/>
  <c r="W598" i="1" s="1"/>
  <c r="V599" i="1"/>
  <c r="W599" i="1" s="1"/>
  <c r="V600" i="1"/>
  <c r="W600" i="1" s="1"/>
  <c r="V601" i="1"/>
  <c r="W601" i="1" s="1"/>
  <c r="V602" i="1"/>
  <c r="W602" i="1" s="1"/>
  <c r="V603" i="1"/>
  <c r="W603" i="1" s="1"/>
  <c r="V604" i="1"/>
  <c r="W604" i="1" s="1"/>
  <c r="V605" i="1"/>
  <c r="W605" i="1" s="1"/>
  <c r="V606" i="1"/>
  <c r="W606" i="1" s="1"/>
  <c r="V607" i="1"/>
  <c r="W607" i="1" s="1"/>
  <c r="V608" i="1"/>
  <c r="W608" i="1" s="1"/>
  <c r="V609" i="1"/>
  <c r="W609" i="1" s="1"/>
  <c r="V610" i="1"/>
  <c r="W610" i="1" s="1"/>
  <c r="V611" i="1"/>
  <c r="W611" i="1" s="1"/>
  <c r="V612" i="1"/>
  <c r="W612" i="1" s="1"/>
  <c r="V613" i="1"/>
  <c r="W613" i="1" s="1"/>
  <c r="V614" i="1"/>
  <c r="W614" i="1" s="1"/>
  <c r="V615" i="1"/>
  <c r="W615" i="1" s="1"/>
  <c r="V616" i="1"/>
  <c r="W616" i="1" s="1"/>
  <c r="V617" i="1"/>
  <c r="W617" i="1" s="1"/>
  <c r="V618" i="1"/>
  <c r="W618" i="1" s="1"/>
  <c r="V619" i="1"/>
  <c r="W619" i="1" s="1"/>
  <c r="V620" i="1"/>
  <c r="W620" i="1" s="1"/>
  <c r="V621" i="1"/>
  <c r="W621" i="1" s="1"/>
  <c r="V622" i="1"/>
  <c r="W622" i="1" s="1"/>
  <c r="V623" i="1"/>
  <c r="W623" i="1" s="1"/>
  <c r="V624" i="1"/>
  <c r="W624" i="1" s="1"/>
  <c r="V625" i="1"/>
  <c r="W625" i="1" s="1"/>
  <c r="V626" i="1"/>
  <c r="W626" i="1" s="1"/>
  <c r="V627" i="1"/>
  <c r="W627" i="1" s="1"/>
  <c r="V628" i="1"/>
  <c r="W628" i="1" s="1"/>
  <c r="V629" i="1"/>
  <c r="W629" i="1" s="1"/>
  <c r="V630" i="1"/>
  <c r="W630" i="1" s="1"/>
  <c r="V631" i="1"/>
  <c r="W631" i="1" s="1"/>
  <c r="V632" i="1"/>
  <c r="W632" i="1" s="1"/>
  <c r="V633" i="1"/>
  <c r="W633" i="1" s="1"/>
  <c r="V634" i="1"/>
  <c r="W634" i="1" s="1"/>
  <c r="V635" i="1"/>
  <c r="W635" i="1" s="1"/>
  <c r="V636" i="1"/>
  <c r="W636" i="1" s="1"/>
  <c r="V637" i="1"/>
  <c r="W637" i="1" s="1"/>
  <c r="V638" i="1"/>
  <c r="W638" i="1" s="1"/>
  <c r="V639" i="1"/>
  <c r="W639" i="1" s="1"/>
  <c r="V640" i="1"/>
  <c r="W640" i="1" s="1"/>
  <c r="V641" i="1"/>
  <c r="W641" i="1" s="1"/>
  <c r="V642" i="1"/>
  <c r="W642" i="1" s="1"/>
  <c r="V643" i="1"/>
  <c r="W643" i="1" s="1"/>
  <c r="V644" i="1"/>
  <c r="W644" i="1" s="1"/>
  <c r="V645" i="1"/>
  <c r="W645" i="1" s="1"/>
  <c r="V646" i="1"/>
  <c r="W646" i="1" s="1"/>
  <c r="V647" i="1"/>
  <c r="W647" i="1" s="1"/>
  <c r="V648" i="1"/>
  <c r="W648" i="1" s="1"/>
  <c r="V649" i="1"/>
  <c r="W649" i="1" s="1"/>
  <c r="V650" i="1"/>
  <c r="W650" i="1" s="1"/>
  <c r="V651" i="1"/>
  <c r="W651" i="1" s="1"/>
  <c r="V652" i="1"/>
  <c r="W652" i="1" s="1"/>
  <c r="V653" i="1"/>
  <c r="W653" i="1" s="1"/>
  <c r="V654" i="1"/>
  <c r="W654" i="1" s="1"/>
  <c r="V655" i="1"/>
  <c r="W655" i="1" s="1"/>
  <c r="V656" i="1"/>
  <c r="W656" i="1" s="1"/>
  <c r="V657" i="1"/>
  <c r="W657" i="1" s="1"/>
  <c r="V658" i="1"/>
  <c r="W658" i="1" s="1"/>
  <c r="V659" i="1"/>
  <c r="W659" i="1" s="1"/>
  <c r="V660" i="1"/>
  <c r="W660" i="1" s="1"/>
  <c r="V661" i="1"/>
  <c r="W661" i="1" s="1"/>
  <c r="V662" i="1"/>
  <c r="W662" i="1" s="1"/>
  <c r="V663" i="1"/>
  <c r="W663" i="1" s="1"/>
  <c r="V664" i="1"/>
  <c r="W664" i="1" s="1"/>
  <c r="V665" i="1"/>
  <c r="W665" i="1" s="1"/>
  <c r="V666" i="1"/>
  <c r="W666" i="1" s="1"/>
  <c r="V667" i="1"/>
  <c r="W667" i="1" s="1"/>
  <c r="V668" i="1"/>
  <c r="W668" i="1" s="1"/>
  <c r="V669" i="1"/>
  <c r="W669" i="1" s="1"/>
  <c r="V670" i="1"/>
  <c r="W670" i="1" s="1"/>
  <c r="V671" i="1"/>
  <c r="W671" i="1" s="1"/>
  <c r="V672" i="1"/>
  <c r="W672" i="1" s="1"/>
  <c r="V673" i="1"/>
  <c r="W673" i="1" s="1"/>
  <c r="V674" i="1"/>
  <c r="W674" i="1" s="1"/>
  <c r="V675" i="1"/>
  <c r="W675" i="1" s="1"/>
  <c r="V676" i="1"/>
  <c r="W676" i="1" s="1"/>
  <c r="V677" i="1"/>
  <c r="W677" i="1" s="1"/>
  <c r="V678" i="1"/>
  <c r="W678" i="1" s="1"/>
  <c r="V679" i="1"/>
  <c r="W679" i="1" s="1"/>
  <c r="V680" i="1"/>
  <c r="W680" i="1" s="1"/>
  <c r="V681" i="1"/>
  <c r="W681" i="1" s="1"/>
  <c r="V682" i="1"/>
  <c r="W682" i="1" s="1"/>
  <c r="V683" i="1"/>
  <c r="W683" i="1" s="1"/>
  <c r="V684" i="1"/>
  <c r="W684" i="1" s="1"/>
  <c r="V685" i="1"/>
  <c r="W685" i="1" s="1"/>
  <c r="V686" i="1"/>
  <c r="W686" i="1" s="1"/>
  <c r="V687" i="1"/>
  <c r="W687" i="1" s="1"/>
  <c r="V688" i="1"/>
  <c r="W688" i="1" s="1"/>
  <c r="V689" i="1"/>
  <c r="W689" i="1" s="1"/>
  <c r="V690" i="1"/>
  <c r="W690" i="1" s="1"/>
  <c r="V691" i="1"/>
  <c r="W691" i="1" s="1"/>
  <c r="V692" i="1"/>
  <c r="W692" i="1" s="1"/>
  <c r="V693" i="1"/>
  <c r="W693" i="1" s="1"/>
  <c r="V694" i="1"/>
  <c r="W694" i="1" s="1"/>
  <c r="V695" i="1"/>
  <c r="W695" i="1" s="1"/>
  <c r="V696" i="1"/>
  <c r="W696" i="1" s="1"/>
  <c r="V697" i="1"/>
  <c r="W697" i="1" s="1"/>
  <c r="V698" i="1"/>
  <c r="W698" i="1" s="1"/>
  <c r="V699" i="1"/>
  <c r="W699" i="1" s="1"/>
  <c r="V700" i="1"/>
  <c r="W700" i="1" s="1"/>
  <c r="V701" i="1"/>
  <c r="W701" i="1" s="1"/>
  <c r="V702" i="1"/>
  <c r="W702" i="1" s="1"/>
  <c r="V703" i="1"/>
  <c r="W703" i="1" s="1"/>
  <c r="V704" i="1"/>
  <c r="W704" i="1" s="1"/>
  <c r="V705" i="1"/>
  <c r="W705" i="1" s="1"/>
  <c r="V706" i="1"/>
  <c r="W706" i="1" s="1"/>
  <c r="V707" i="1"/>
  <c r="W707" i="1" s="1"/>
  <c r="V708" i="1"/>
  <c r="W708" i="1" s="1"/>
  <c r="V709" i="1"/>
  <c r="W709" i="1" s="1"/>
  <c r="V710" i="1"/>
  <c r="W710" i="1" s="1"/>
  <c r="V711" i="1"/>
  <c r="W711" i="1" s="1"/>
  <c r="V712" i="1"/>
  <c r="W712" i="1" s="1"/>
  <c r="V713" i="1"/>
  <c r="W713" i="1" s="1"/>
  <c r="V714" i="1"/>
  <c r="W714" i="1" s="1"/>
  <c r="V715" i="1"/>
  <c r="W715" i="1" s="1"/>
  <c r="V716" i="1"/>
  <c r="W716" i="1" s="1"/>
  <c r="V717" i="1"/>
  <c r="W717" i="1" s="1"/>
  <c r="V718" i="1"/>
  <c r="W718" i="1" s="1"/>
  <c r="V719" i="1"/>
  <c r="W719" i="1" s="1"/>
  <c r="V720" i="1"/>
  <c r="W720" i="1" s="1"/>
  <c r="V721" i="1"/>
  <c r="W721" i="1" s="1"/>
  <c r="V722" i="1"/>
  <c r="W722" i="1" s="1"/>
  <c r="V723" i="1"/>
  <c r="W723" i="1" s="1"/>
  <c r="V724" i="1"/>
  <c r="W724" i="1" s="1"/>
  <c r="V725" i="1"/>
  <c r="W725" i="1" s="1"/>
  <c r="V726" i="1"/>
  <c r="W726" i="1" s="1"/>
  <c r="V727" i="1"/>
  <c r="W727" i="1" s="1"/>
  <c r="V728" i="1"/>
  <c r="W728" i="1" s="1"/>
  <c r="V729" i="1"/>
  <c r="W729" i="1" s="1"/>
  <c r="V730" i="1"/>
  <c r="W730" i="1" s="1"/>
  <c r="V731" i="1"/>
  <c r="W731" i="1" s="1"/>
  <c r="V732" i="1"/>
  <c r="W732" i="1" s="1"/>
  <c r="V733" i="1"/>
  <c r="W733" i="1" s="1"/>
  <c r="V734" i="1"/>
  <c r="W734" i="1" s="1"/>
  <c r="V735" i="1"/>
  <c r="W735" i="1" s="1"/>
  <c r="V736" i="1"/>
  <c r="W736" i="1" s="1"/>
  <c r="V737" i="1"/>
  <c r="W737" i="1" s="1"/>
  <c r="V738" i="1"/>
  <c r="W738" i="1" s="1"/>
  <c r="V739" i="1"/>
  <c r="W739" i="1" s="1"/>
  <c r="V740" i="1"/>
  <c r="W740" i="1" s="1"/>
  <c r="V741" i="1"/>
  <c r="W741" i="1" s="1"/>
  <c r="V742" i="1"/>
  <c r="W742" i="1" s="1"/>
  <c r="V743" i="1"/>
  <c r="W743" i="1" s="1"/>
  <c r="V744" i="1"/>
  <c r="W744" i="1" s="1"/>
  <c r="V745" i="1"/>
  <c r="W745" i="1" s="1"/>
  <c r="V746" i="1"/>
  <c r="W746" i="1" s="1"/>
  <c r="V747" i="1"/>
  <c r="W747" i="1" s="1"/>
  <c r="V748" i="1"/>
  <c r="W748" i="1" s="1"/>
  <c r="V749" i="1"/>
  <c r="W749" i="1" s="1"/>
  <c r="V750" i="1"/>
  <c r="W750" i="1" s="1"/>
  <c r="V751" i="1"/>
  <c r="W751" i="1" s="1"/>
  <c r="V752" i="1"/>
  <c r="W752" i="1" s="1"/>
  <c r="V753" i="1"/>
  <c r="W753" i="1" s="1"/>
  <c r="V754" i="1"/>
  <c r="W754" i="1" s="1"/>
  <c r="V755" i="1"/>
  <c r="W755" i="1" s="1"/>
  <c r="V756" i="1"/>
  <c r="W756" i="1" s="1"/>
  <c r="V757" i="1"/>
  <c r="W757" i="1" s="1"/>
  <c r="V758" i="1"/>
  <c r="W758" i="1" s="1"/>
  <c r="V759" i="1"/>
  <c r="W759" i="1" s="1"/>
  <c r="V760" i="1"/>
  <c r="W760" i="1" s="1"/>
  <c r="V761" i="1"/>
  <c r="W761" i="1" s="1"/>
  <c r="V762" i="1"/>
  <c r="W762" i="1" s="1"/>
  <c r="V763" i="1"/>
  <c r="W763" i="1" s="1"/>
  <c r="V764" i="1"/>
  <c r="W764" i="1" s="1"/>
  <c r="V765" i="1"/>
  <c r="W765" i="1" s="1"/>
  <c r="V766" i="1"/>
  <c r="W766" i="1" s="1"/>
  <c r="V767" i="1"/>
  <c r="W767" i="1" s="1"/>
  <c r="V768" i="1"/>
  <c r="W768" i="1" s="1"/>
  <c r="V769" i="1"/>
  <c r="W769" i="1" s="1"/>
  <c r="V770" i="1"/>
  <c r="W770" i="1" s="1"/>
  <c r="V771" i="1"/>
  <c r="W771" i="1" s="1"/>
  <c r="V772" i="1"/>
  <c r="W772" i="1" s="1"/>
  <c r="V773" i="1"/>
  <c r="W773" i="1" s="1"/>
  <c r="V774" i="1"/>
  <c r="W774" i="1" s="1"/>
  <c r="V775" i="1"/>
  <c r="W775" i="1" s="1"/>
  <c r="V776" i="1"/>
  <c r="W776" i="1" s="1"/>
  <c r="V777" i="1"/>
  <c r="W777" i="1" s="1"/>
  <c r="V778" i="1"/>
  <c r="W778" i="1" s="1"/>
  <c r="V779" i="1"/>
  <c r="W779" i="1" s="1"/>
  <c r="V780" i="1"/>
  <c r="W780" i="1" s="1"/>
  <c r="V781" i="1"/>
  <c r="W781" i="1" s="1"/>
  <c r="V782" i="1"/>
  <c r="W782" i="1" s="1"/>
  <c r="V783" i="1"/>
  <c r="W783" i="1" s="1"/>
  <c r="V784" i="1"/>
  <c r="W784" i="1" s="1"/>
  <c r="V785" i="1"/>
  <c r="W785" i="1" s="1"/>
  <c r="V786" i="1"/>
  <c r="W786" i="1" s="1"/>
  <c r="V787" i="1"/>
  <c r="W787" i="1" s="1"/>
  <c r="V788" i="1"/>
  <c r="W788" i="1" s="1"/>
  <c r="V789" i="1"/>
  <c r="W789" i="1" s="1"/>
  <c r="V790" i="1"/>
  <c r="W790" i="1" s="1"/>
  <c r="V791" i="1"/>
  <c r="W791" i="1" s="1"/>
  <c r="V792" i="1"/>
  <c r="W792" i="1" s="1"/>
  <c r="V793" i="1"/>
  <c r="W793" i="1" s="1"/>
  <c r="V794" i="1"/>
  <c r="W794" i="1" s="1"/>
  <c r="V795" i="1"/>
  <c r="W795" i="1" s="1"/>
  <c r="V796" i="1"/>
  <c r="W796" i="1" s="1"/>
  <c r="V797" i="1"/>
  <c r="W797" i="1" s="1"/>
  <c r="V798" i="1"/>
  <c r="W798" i="1" s="1"/>
  <c r="V799" i="1"/>
  <c r="W799" i="1" s="1"/>
  <c r="V800" i="1"/>
  <c r="W800" i="1" s="1"/>
  <c r="V801" i="1"/>
  <c r="W801" i="1" s="1"/>
  <c r="V802" i="1"/>
  <c r="W802" i="1" s="1"/>
  <c r="V803" i="1"/>
  <c r="W803" i="1" s="1"/>
  <c r="V804" i="1"/>
  <c r="W804" i="1" s="1"/>
  <c r="V805" i="1"/>
  <c r="W805" i="1" s="1"/>
  <c r="V806" i="1"/>
  <c r="W806" i="1" s="1"/>
  <c r="V807" i="1"/>
  <c r="W807" i="1" s="1"/>
  <c r="V808" i="1"/>
  <c r="W808" i="1" s="1"/>
  <c r="V809" i="1"/>
  <c r="W809" i="1" s="1"/>
  <c r="V810" i="1"/>
  <c r="W810" i="1" s="1"/>
  <c r="V811" i="1"/>
  <c r="W811" i="1" s="1"/>
  <c r="V812" i="1"/>
  <c r="W812" i="1" s="1"/>
  <c r="V813" i="1"/>
  <c r="W813" i="1" s="1"/>
  <c r="V814" i="1"/>
  <c r="W814" i="1" s="1"/>
  <c r="V815" i="1"/>
  <c r="W815" i="1" s="1"/>
  <c r="V816" i="1"/>
  <c r="W816" i="1" s="1"/>
  <c r="V817" i="1"/>
  <c r="W817" i="1" s="1"/>
  <c r="V818" i="1"/>
  <c r="W818" i="1" s="1"/>
  <c r="V819" i="1"/>
  <c r="W819" i="1" s="1"/>
  <c r="V820" i="1"/>
  <c r="W820" i="1" s="1"/>
  <c r="V821" i="1"/>
  <c r="W821" i="1" s="1"/>
  <c r="V822" i="1"/>
  <c r="W822" i="1" s="1"/>
  <c r="V823" i="1"/>
  <c r="W823" i="1" s="1"/>
  <c r="V824" i="1"/>
  <c r="W824" i="1" s="1"/>
  <c r="V825" i="1"/>
  <c r="W825" i="1" s="1"/>
  <c r="V826" i="1"/>
  <c r="W826" i="1" s="1"/>
  <c r="V827" i="1"/>
  <c r="W827" i="1" s="1"/>
  <c r="V828" i="1"/>
  <c r="W828" i="1" s="1"/>
  <c r="V829" i="1"/>
  <c r="W829" i="1" s="1"/>
  <c r="V830" i="1"/>
  <c r="W830" i="1" s="1"/>
  <c r="V831" i="1"/>
  <c r="W831" i="1" s="1"/>
  <c r="V832" i="1"/>
  <c r="W832" i="1" s="1"/>
  <c r="V833" i="1"/>
  <c r="W833" i="1" s="1"/>
  <c r="V834" i="1"/>
  <c r="W834" i="1" s="1"/>
  <c r="V835" i="1"/>
  <c r="W835" i="1" s="1"/>
  <c r="V836" i="1"/>
  <c r="W836" i="1" s="1"/>
  <c r="V837" i="1"/>
  <c r="W837" i="1" s="1"/>
  <c r="V838" i="1"/>
  <c r="W838" i="1" s="1"/>
  <c r="V839" i="1"/>
  <c r="W839" i="1" s="1"/>
  <c r="V840" i="1"/>
  <c r="W840" i="1" s="1"/>
  <c r="V841" i="1"/>
  <c r="W841" i="1" s="1"/>
  <c r="V842" i="1"/>
  <c r="W842" i="1" s="1"/>
  <c r="V843" i="1"/>
  <c r="W843" i="1" s="1"/>
  <c r="V844" i="1"/>
  <c r="W844" i="1" s="1"/>
  <c r="V845" i="1"/>
  <c r="W845" i="1" s="1"/>
  <c r="V846" i="1"/>
  <c r="W846" i="1" s="1"/>
  <c r="V847" i="1"/>
  <c r="W847" i="1" s="1"/>
  <c r="V848" i="1"/>
  <c r="W848" i="1" s="1"/>
  <c r="V849" i="1"/>
  <c r="W849" i="1" s="1"/>
  <c r="V850" i="1"/>
  <c r="W850" i="1" s="1"/>
  <c r="V851" i="1"/>
  <c r="W851" i="1" s="1"/>
  <c r="V852" i="1"/>
  <c r="W852" i="1" s="1"/>
  <c r="V853" i="1"/>
  <c r="W853" i="1" s="1"/>
  <c r="V2" i="1"/>
  <c r="W2" i="1" s="1"/>
  <c r="D26" i="4"/>
  <c r="M4" i="2"/>
  <c r="M5" i="2"/>
  <c r="M6" i="2"/>
  <c r="M7" i="2"/>
  <c r="M8" i="2"/>
  <c r="M9" i="2"/>
  <c r="M10" i="2"/>
  <c r="M11" i="2"/>
  <c r="M12" i="2"/>
  <c r="M13" i="2"/>
  <c r="M14" i="2"/>
  <c r="M15" i="2"/>
  <c r="M16" i="2"/>
  <c r="M17" i="2"/>
  <c r="M18" i="2"/>
  <c r="M19" i="2"/>
  <c r="M20" i="2"/>
  <c r="M21" i="2"/>
  <c r="M22" i="2"/>
  <c r="M3" i="2"/>
  <c r="G853" i="1"/>
  <c r="G830" i="1"/>
  <c r="G850" i="1"/>
  <c r="G851" i="1"/>
  <c r="H1704" i="3"/>
  <c r="H1702" i="3"/>
  <c r="H1700" i="3"/>
  <c r="H1698" i="3"/>
  <c r="H1696" i="3"/>
  <c r="H1694" i="3"/>
  <c r="H1692" i="3"/>
  <c r="H1690" i="3"/>
  <c r="H1688" i="3"/>
  <c r="H1686" i="3"/>
  <c r="H1684" i="3"/>
  <c r="H1682" i="3"/>
  <c r="H1680" i="3"/>
  <c r="H1678" i="3"/>
  <c r="H1676" i="3"/>
  <c r="H1674" i="3"/>
  <c r="H1672" i="3"/>
  <c r="H1670" i="3"/>
  <c r="H1668" i="3"/>
  <c r="H1666" i="3"/>
  <c r="H1664" i="3"/>
  <c r="H1662" i="3"/>
  <c r="H1660" i="3"/>
  <c r="H1658" i="3"/>
  <c r="H1656" i="3"/>
  <c r="H1654" i="3"/>
  <c r="H1652" i="3"/>
  <c r="H1650" i="3"/>
  <c r="H1648" i="3"/>
  <c r="H1646" i="3"/>
  <c r="H1644" i="3"/>
  <c r="H1642" i="3"/>
  <c r="H1640" i="3"/>
  <c r="H1638" i="3"/>
  <c r="H1636" i="3"/>
  <c r="H1634" i="3"/>
  <c r="H1632" i="3"/>
  <c r="H1630" i="3"/>
  <c r="H1628" i="3"/>
  <c r="H1626" i="3"/>
  <c r="H1624" i="3"/>
  <c r="H1622" i="3"/>
  <c r="H1620" i="3"/>
  <c r="H1618" i="3"/>
  <c r="H1616" i="3"/>
  <c r="H1614" i="3"/>
  <c r="H1612" i="3"/>
  <c r="H1610" i="3"/>
  <c r="H1608" i="3"/>
  <c r="H1606" i="3"/>
  <c r="H1604" i="3"/>
  <c r="H1602" i="3"/>
  <c r="H1600" i="3"/>
  <c r="H1598" i="3"/>
  <c r="H1596" i="3"/>
  <c r="H1594" i="3"/>
  <c r="H1592" i="3"/>
  <c r="H1590" i="3"/>
  <c r="H1588" i="3"/>
  <c r="H1586" i="3"/>
  <c r="H1584" i="3"/>
  <c r="H1582" i="3"/>
  <c r="H1580" i="3"/>
  <c r="H1578" i="3"/>
  <c r="H1576" i="3"/>
  <c r="H1574" i="3"/>
  <c r="H1572" i="3"/>
  <c r="H1570" i="3"/>
  <c r="H1568" i="3"/>
  <c r="H1566" i="3"/>
  <c r="H1564" i="3"/>
  <c r="H1562" i="3"/>
  <c r="H1560" i="3"/>
  <c r="H1558" i="3"/>
  <c r="H1556" i="3"/>
  <c r="H1554" i="3"/>
  <c r="H1552" i="3"/>
  <c r="H1550" i="3"/>
  <c r="H1548" i="3"/>
  <c r="H1546" i="3"/>
  <c r="H1544" i="3"/>
  <c r="H1542" i="3"/>
  <c r="H1540" i="3"/>
  <c r="H1538" i="3"/>
  <c r="H1536" i="3"/>
  <c r="H1534" i="3"/>
  <c r="H1532" i="3"/>
  <c r="H1530" i="3"/>
  <c r="H1528" i="3"/>
  <c r="H1526" i="3"/>
  <c r="H1524" i="3"/>
  <c r="H1522" i="3"/>
  <c r="H1520" i="3"/>
  <c r="H1518" i="3"/>
  <c r="H1516" i="3"/>
  <c r="H1514" i="3"/>
  <c r="H1512" i="3"/>
  <c r="H1510" i="3"/>
  <c r="H1508" i="3"/>
  <c r="H1506" i="3"/>
  <c r="H1504" i="3"/>
  <c r="H1502" i="3"/>
  <c r="H1500" i="3"/>
  <c r="H1498" i="3"/>
  <c r="H1496" i="3"/>
  <c r="H1494" i="3"/>
  <c r="H1492" i="3"/>
  <c r="H1490" i="3"/>
  <c r="H1488" i="3"/>
  <c r="H1486" i="3"/>
  <c r="H1484" i="3"/>
  <c r="H1482" i="3"/>
  <c r="H1480" i="3"/>
  <c r="H1478" i="3"/>
  <c r="H1476" i="3"/>
  <c r="H1474" i="3"/>
  <c r="H1472" i="3"/>
  <c r="H1470" i="3"/>
  <c r="H1468" i="3"/>
  <c r="H1466" i="3"/>
  <c r="H1464" i="3"/>
  <c r="H1462" i="3"/>
  <c r="H1460" i="3"/>
  <c r="H1458" i="3"/>
  <c r="H1456" i="3"/>
  <c r="H1454" i="3"/>
  <c r="H1452" i="3"/>
  <c r="H1450" i="3"/>
  <c r="H1448" i="3"/>
  <c r="H1446" i="3"/>
  <c r="H1444" i="3"/>
  <c r="H1442" i="3"/>
  <c r="H1440" i="3"/>
  <c r="H1438" i="3"/>
  <c r="H1436" i="3"/>
  <c r="H1434" i="3"/>
  <c r="H1432" i="3"/>
  <c r="H1430" i="3"/>
  <c r="H1428" i="3"/>
  <c r="H1426" i="3"/>
  <c r="H1424" i="3"/>
  <c r="H1422" i="3"/>
  <c r="H1420" i="3"/>
  <c r="H1418" i="3"/>
  <c r="H1416" i="3"/>
  <c r="H1414" i="3"/>
  <c r="H1412" i="3"/>
  <c r="H1410" i="3"/>
  <c r="H1408" i="3"/>
  <c r="H1406" i="3"/>
  <c r="H1404" i="3"/>
  <c r="H1402" i="3"/>
  <c r="H1400" i="3"/>
  <c r="H1398" i="3"/>
  <c r="H1396" i="3"/>
  <c r="H1394" i="3"/>
  <c r="H1392" i="3"/>
  <c r="H1390" i="3"/>
  <c r="H1388" i="3"/>
  <c r="H1386" i="3"/>
  <c r="H1384" i="3"/>
  <c r="H1382" i="3"/>
  <c r="H1380" i="3"/>
  <c r="H1378" i="3"/>
  <c r="H1376" i="3"/>
  <c r="H1374" i="3"/>
  <c r="H1372" i="3"/>
  <c r="H1370" i="3"/>
  <c r="H1368" i="3"/>
  <c r="H1366" i="3"/>
  <c r="H1364" i="3"/>
  <c r="H1362" i="3"/>
  <c r="H1360" i="3"/>
  <c r="H1358" i="3"/>
  <c r="H1356" i="3"/>
  <c r="H1354" i="3"/>
  <c r="H1352" i="3"/>
  <c r="H1350" i="3"/>
  <c r="H1348" i="3"/>
  <c r="H1346" i="3"/>
  <c r="H1344" i="3"/>
  <c r="H1342" i="3"/>
  <c r="H1340" i="3"/>
  <c r="H1338" i="3"/>
  <c r="H1336" i="3"/>
  <c r="H1334" i="3"/>
  <c r="H1332" i="3"/>
  <c r="H1330" i="3"/>
  <c r="H1328" i="3"/>
  <c r="H1326" i="3"/>
  <c r="H1324" i="3"/>
  <c r="H1322" i="3"/>
  <c r="H1320" i="3"/>
  <c r="H1318" i="3"/>
  <c r="H1316" i="3"/>
  <c r="H1314" i="3"/>
  <c r="H1312" i="3"/>
  <c r="H1310" i="3"/>
  <c r="H1308" i="3"/>
  <c r="H1306" i="3"/>
  <c r="H1304" i="3"/>
  <c r="H1302" i="3"/>
  <c r="H1300" i="3"/>
  <c r="H1298" i="3"/>
  <c r="H1296" i="3"/>
  <c r="H1294" i="3"/>
  <c r="H1292" i="3"/>
  <c r="H1290" i="3"/>
  <c r="H1288" i="3"/>
  <c r="H1286" i="3"/>
  <c r="H1284" i="3"/>
  <c r="H1282" i="3"/>
  <c r="H1280" i="3"/>
  <c r="H1278" i="3"/>
  <c r="H1276" i="3"/>
  <c r="H1274" i="3"/>
  <c r="H1272" i="3"/>
  <c r="H1270" i="3"/>
  <c r="H1268" i="3"/>
  <c r="H1266" i="3"/>
  <c r="H1264" i="3"/>
  <c r="H1262" i="3"/>
  <c r="H1260" i="3"/>
  <c r="H1258" i="3"/>
  <c r="H1256" i="3"/>
  <c r="H1254" i="3"/>
  <c r="H1252" i="3"/>
  <c r="H1250" i="3"/>
  <c r="H1248" i="3"/>
  <c r="H1246" i="3"/>
  <c r="H1244" i="3"/>
  <c r="H1242" i="3"/>
  <c r="H1240" i="3"/>
  <c r="H1238" i="3"/>
  <c r="H1236" i="3"/>
  <c r="H1234" i="3"/>
  <c r="H1232" i="3"/>
  <c r="H1230" i="3"/>
  <c r="H1228" i="3"/>
  <c r="H1226" i="3"/>
  <c r="H1224" i="3"/>
  <c r="H1222" i="3"/>
  <c r="H1220" i="3"/>
  <c r="H1218" i="3"/>
  <c r="H1216" i="3"/>
  <c r="H1214" i="3"/>
  <c r="H1212" i="3"/>
  <c r="H1210" i="3"/>
  <c r="H1208" i="3"/>
  <c r="H1206" i="3"/>
  <c r="H1204" i="3"/>
  <c r="H1202" i="3"/>
  <c r="H1200" i="3"/>
  <c r="H1198" i="3"/>
  <c r="H1196" i="3"/>
  <c r="H1194" i="3"/>
  <c r="H1192" i="3"/>
  <c r="H1190" i="3"/>
  <c r="H1188" i="3"/>
  <c r="H1186" i="3"/>
  <c r="H1184" i="3"/>
  <c r="H1182" i="3"/>
  <c r="H1180" i="3"/>
  <c r="H1178" i="3"/>
  <c r="H1176" i="3"/>
  <c r="H1174" i="3"/>
  <c r="H1172" i="3"/>
  <c r="H1170" i="3"/>
  <c r="H1168" i="3"/>
  <c r="H1166" i="3"/>
  <c r="H1164" i="3"/>
  <c r="H1162" i="3"/>
  <c r="H1160" i="3"/>
  <c r="H1158" i="3"/>
  <c r="H1156" i="3"/>
  <c r="H1154" i="3"/>
  <c r="H1152" i="3"/>
  <c r="H1150" i="3"/>
  <c r="H1148" i="3"/>
  <c r="H1146" i="3"/>
  <c r="H1144" i="3"/>
  <c r="H1142" i="3"/>
  <c r="H1140" i="3"/>
  <c r="H1138" i="3"/>
  <c r="H1136" i="3"/>
  <c r="H1134" i="3"/>
  <c r="H1132" i="3"/>
  <c r="H1130" i="3"/>
  <c r="H1128" i="3"/>
  <c r="H1126" i="3"/>
  <c r="H1124" i="3"/>
  <c r="H1122" i="3"/>
  <c r="H1120" i="3"/>
  <c r="H1118" i="3"/>
  <c r="H1116" i="3"/>
  <c r="H1114" i="3"/>
  <c r="H1112" i="3"/>
  <c r="H1110" i="3"/>
  <c r="H1108" i="3"/>
  <c r="H1106" i="3"/>
  <c r="H1104" i="3"/>
  <c r="H1102" i="3"/>
  <c r="H1100" i="3"/>
  <c r="H1098" i="3"/>
  <c r="H1096" i="3"/>
  <c r="H1094" i="3"/>
  <c r="H1092" i="3"/>
  <c r="H1090" i="3"/>
  <c r="H1088" i="3"/>
  <c r="H1086" i="3"/>
  <c r="H1084" i="3"/>
  <c r="H1082" i="3"/>
  <c r="H1080" i="3"/>
  <c r="H1078" i="3"/>
  <c r="H1076" i="3"/>
  <c r="H1074" i="3"/>
  <c r="H1072" i="3"/>
  <c r="H1070" i="3"/>
  <c r="H1068" i="3"/>
  <c r="H1066" i="3"/>
  <c r="H1064" i="3"/>
  <c r="H1062" i="3"/>
  <c r="H1060" i="3"/>
  <c r="H1058" i="3"/>
  <c r="H1056" i="3"/>
  <c r="H1054" i="3"/>
  <c r="H1052" i="3"/>
  <c r="H1050" i="3"/>
  <c r="H1048" i="3"/>
  <c r="H1046" i="3"/>
  <c r="H1044" i="3"/>
  <c r="H1042" i="3"/>
  <c r="H1040" i="3"/>
  <c r="H1038" i="3"/>
  <c r="H1036" i="3"/>
  <c r="H1034" i="3"/>
  <c r="H1032" i="3"/>
  <c r="H1030" i="3"/>
  <c r="H1028" i="3"/>
  <c r="H1026" i="3"/>
  <c r="H1024" i="3"/>
  <c r="H1022" i="3"/>
  <c r="H1020" i="3"/>
  <c r="H1018" i="3"/>
  <c r="H1016" i="3"/>
  <c r="H1014" i="3"/>
  <c r="H1012" i="3"/>
  <c r="H1010" i="3"/>
  <c r="H1008" i="3"/>
  <c r="H1006" i="3"/>
  <c r="H1004" i="3"/>
  <c r="H1002" i="3"/>
  <c r="H1000" i="3"/>
  <c r="H998" i="3"/>
  <c r="H996" i="3"/>
  <c r="H994" i="3"/>
  <c r="H992" i="3"/>
  <c r="H990" i="3"/>
  <c r="H988" i="3"/>
  <c r="H986" i="3"/>
  <c r="H984" i="3"/>
  <c r="H982" i="3"/>
  <c r="H980" i="3"/>
  <c r="H978" i="3"/>
  <c r="H976" i="3"/>
  <c r="H974" i="3"/>
  <c r="H972" i="3"/>
  <c r="H970" i="3"/>
  <c r="H968" i="3"/>
  <c r="H966" i="3"/>
  <c r="H964" i="3"/>
  <c r="H962" i="3"/>
  <c r="H960" i="3"/>
  <c r="H958" i="3"/>
  <c r="H956" i="3"/>
  <c r="H954" i="3"/>
  <c r="H952" i="3"/>
  <c r="H950" i="3"/>
  <c r="H948" i="3"/>
  <c r="H946" i="3"/>
  <c r="H944" i="3"/>
  <c r="H942" i="3"/>
  <c r="H940" i="3"/>
  <c r="H938" i="3"/>
  <c r="H936" i="3"/>
  <c r="H934" i="3"/>
  <c r="H932" i="3"/>
  <c r="H930" i="3"/>
  <c r="H928" i="3"/>
  <c r="H926" i="3"/>
  <c r="H924" i="3"/>
  <c r="H922" i="3"/>
  <c r="H920" i="3"/>
  <c r="H918" i="3"/>
  <c r="H916" i="3"/>
  <c r="H914" i="3"/>
  <c r="H912" i="3"/>
  <c r="H910" i="3"/>
  <c r="H908" i="3"/>
  <c r="H906" i="3"/>
  <c r="H904" i="3"/>
  <c r="H902" i="3"/>
  <c r="H900" i="3"/>
  <c r="H898" i="3"/>
  <c r="H896" i="3"/>
  <c r="H894" i="3"/>
  <c r="H892" i="3"/>
  <c r="H890" i="3"/>
  <c r="H888" i="3"/>
  <c r="H886" i="3"/>
  <c r="H884" i="3"/>
  <c r="H882" i="3"/>
  <c r="H880" i="3"/>
  <c r="H878" i="3"/>
  <c r="H876" i="3"/>
  <c r="H874" i="3"/>
  <c r="H872" i="3"/>
  <c r="H870" i="3"/>
  <c r="H868" i="3"/>
  <c r="H866" i="3"/>
  <c r="H864" i="3"/>
  <c r="H862" i="3"/>
  <c r="H860" i="3"/>
  <c r="H858" i="3"/>
  <c r="H856" i="3"/>
  <c r="H854" i="3"/>
  <c r="H852" i="3"/>
  <c r="H850" i="3"/>
  <c r="H848" i="3"/>
  <c r="H846" i="3"/>
  <c r="H844" i="3"/>
  <c r="H842" i="3"/>
  <c r="H840" i="3"/>
  <c r="H838" i="3"/>
  <c r="H836" i="3"/>
  <c r="H834" i="3"/>
  <c r="H832" i="3"/>
  <c r="H830" i="3"/>
  <c r="H828" i="3"/>
  <c r="H826" i="3"/>
  <c r="H824" i="3"/>
  <c r="H822" i="3"/>
  <c r="H820" i="3"/>
  <c r="H818" i="3"/>
  <c r="H816" i="3"/>
  <c r="H814" i="3"/>
  <c r="H812" i="3"/>
  <c r="H810" i="3"/>
  <c r="H808" i="3"/>
  <c r="H806" i="3"/>
  <c r="H804" i="3"/>
  <c r="H802" i="3"/>
  <c r="H800" i="3"/>
  <c r="H798" i="3"/>
  <c r="H796" i="3"/>
  <c r="H794" i="3"/>
  <c r="H792" i="3"/>
  <c r="H790" i="3"/>
  <c r="H788" i="3"/>
  <c r="H786" i="3"/>
  <c r="H784" i="3"/>
  <c r="H782" i="3"/>
  <c r="H780" i="3"/>
  <c r="H778" i="3"/>
  <c r="H776" i="3"/>
  <c r="H774" i="3"/>
  <c r="H772" i="3"/>
  <c r="H770" i="3"/>
  <c r="H768" i="3"/>
  <c r="H766" i="3"/>
  <c r="H764" i="3"/>
  <c r="H762" i="3"/>
  <c r="H760" i="3"/>
  <c r="H758" i="3"/>
  <c r="H756" i="3"/>
  <c r="H754" i="3"/>
  <c r="H752" i="3"/>
  <c r="H750" i="3"/>
  <c r="H748" i="3"/>
  <c r="H746" i="3"/>
  <c r="H744" i="3"/>
  <c r="H742" i="3"/>
  <c r="H740" i="3"/>
  <c r="H738" i="3"/>
  <c r="H736" i="3"/>
  <c r="H734" i="3"/>
  <c r="H732" i="3"/>
  <c r="H730" i="3"/>
  <c r="H728" i="3"/>
  <c r="H726" i="3"/>
  <c r="H724" i="3"/>
  <c r="H722" i="3"/>
  <c r="H720" i="3"/>
  <c r="H718" i="3"/>
  <c r="H716" i="3"/>
  <c r="H714" i="3"/>
  <c r="H712" i="3"/>
  <c r="H710" i="3"/>
  <c r="H708" i="3"/>
  <c r="H706" i="3"/>
  <c r="H704" i="3"/>
  <c r="H702" i="3"/>
  <c r="H700" i="3"/>
  <c r="H698" i="3"/>
  <c r="H696" i="3"/>
  <c r="H694" i="3"/>
  <c r="H692" i="3"/>
  <c r="H690" i="3"/>
  <c r="H688" i="3"/>
  <c r="H686" i="3"/>
  <c r="H684" i="3"/>
  <c r="H682" i="3"/>
  <c r="H680" i="3"/>
  <c r="H678" i="3"/>
  <c r="H676" i="3"/>
  <c r="H674" i="3"/>
  <c r="H672" i="3"/>
  <c r="H670" i="3"/>
  <c r="H668" i="3"/>
  <c r="H666" i="3"/>
  <c r="H664" i="3"/>
  <c r="H662" i="3"/>
  <c r="H660" i="3"/>
  <c r="H658" i="3"/>
  <c r="H656" i="3"/>
  <c r="H654" i="3"/>
  <c r="H652" i="3"/>
  <c r="H650" i="3"/>
  <c r="H648" i="3"/>
  <c r="H646" i="3"/>
  <c r="H644" i="3"/>
  <c r="H642" i="3"/>
  <c r="H640" i="3"/>
  <c r="H638" i="3"/>
  <c r="H636" i="3"/>
  <c r="H634" i="3"/>
  <c r="H632" i="3"/>
  <c r="H630" i="3"/>
  <c r="H628" i="3"/>
  <c r="H626" i="3"/>
  <c r="H624" i="3"/>
  <c r="H622" i="3"/>
  <c r="H620" i="3"/>
  <c r="H618" i="3"/>
  <c r="H616" i="3"/>
  <c r="H614" i="3"/>
  <c r="H612" i="3"/>
  <c r="H610" i="3"/>
  <c r="H608" i="3"/>
  <c r="H606" i="3"/>
  <c r="H604" i="3"/>
  <c r="H602" i="3"/>
  <c r="H600" i="3"/>
  <c r="H598" i="3"/>
  <c r="H596" i="3"/>
  <c r="H594" i="3"/>
  <c r="H592" i="3"/>
  <c r="H590" i="3"/>
  <c r="H588" i="3"/>
  <c r="H586" i="3"/>
  <c r="H584" i="3"/>
  <c r="H582" i="3"/>
  <c r="H580" i="3"/>
  <c r="H578" i="3"/>
  <c r="H576" i="3"/>
  <c r="H574" i="3"/>
  <c r="H572" i="3"/>
  <c r="H570" i="3"/>
  <c r="H568" i="3"/>
  <c r="H566" i="3"/>
  <c r="H564" i="3"/>
  <c r="H562" i="3"/>
  <c r="H560" i="3"/>
  <c r="H558" i="3"/>
  <c r="H556" i="3"/>
  <c r="H554" i="3"/>
  <c r="H552" i="3"/>
  <c r="H550" i="3"/>
  <c r="H548" i="3"/>
  <c r="H546" i="3"/>
  <c r="H544" i="3"/>
  <c r="H542" i="3"/>
  <c r="H540" i="3"/>
  <c r="H538" i="3"/>
  <c r="H536" i="3"/>
  <c r="H534" i="3"/>
  <c r="H532" i="3"/>
  <c r="H530" i="3"/>
  <c r="H528" i="3"/>
  <c r="H526" i="3"/>
  <c r="H524" i="3"/>
  <c r="H522" i="3"/>
  <c r="H520" i="3"/>
  <c r="H518" i="3"/>
  <c r="H516" i="3"/>
  <c r="H514" i="3"/>
  <c r="H512" i="3"/>
  <c r="H510" i="3"/>
  <c r="H508" i="3"/>
  <c r="H506" i="3"/>
  <c r="H504" i="3"/>
  <c r="H502" i="3"/>
  <c r="H500" i="3"/>
  <c r="H498" i="3"/>
  <c r="H496" i="3"/>
  <c r="H494" i="3"/>
  <c r="H492" i="3"/>
  <c r="H490" i="3"/>
  <c r="H488" i="3"/>
  <c r="H486" i="3"/>
  <c r="H484" i="3"/>
  <c r="H482" i="3"/>
  <c r="H480" i="3"/>
  <c r="H478" i="3"/>
  <c r="H476" i="3"/>
  <c r="H474" i="3"/>
  <c r="H472" i="3"/>
  <c r="H470" i="3"/>
  <c r="H468" i="3"/>
  <c r="H466" i="3"/>
  <c r="H464" i="3"/>
  <c r="H462" i="3"/>
  <c r="H460" i="3"/>
  <c r="H458" i="3"/>
  <c r="H456" i="3"/>
  <c r="H454" i="3"/>
  <c r="H452" i="3"/>
  <c r="H450" i="3"/>
  <c r="H448" i="3"/>
  <c r="H446" i="3"/>
  <c r="H444" i="3"/>
  <c r="H442" i="3"/>
  <c r="H440" i="3"/>
  <c r="H438" i="3"/>
  <c r="H436" i="3"/>
  <c r="H434" i="3"/>
  <c r="H432" i="3"/>
  <c r="H430" i="3"/>
  <c r="H428" i="3"/>
  <c r="H426" i="3"/>
  <c r="H424" i="3"/>
  <c r="H422" i="3"/>
  <c r="H420" i="3"/>
  <c r="H418" i="3"/>
  <c r="H416" i="3"/>
  <c r="H414" i="3"/>
  <c r="H412" i="3"/>
  <c r="H410" i="3"/>
  <c r="H408" i="3"/>
  <c r="H406" i="3"/>
  <c r="H404" i="3"/>
  <c r="H402" i="3"/>
  <c r="H400" i="3"/>
  <c r="H398" i="3"/>
  <c r="H396" i="3"/>
  <c r="H394" i="3"/>
  <c r="H392" i="3"/>
  <c r="H390" i="3"/>
  <c r="H388" i="3"/>
  <c r="H386" i="3"/>
  <c r="H384" i="3"/>
  <c r="H382" i="3"/>
  <c r="H380" i="3"/>
  <c r="H378" i="3"/>
  <c r="H376" i="3"/>
  <c r="H374" i="3"/>
  <c r="H372" i="3"/>
  <c r="H370" i="3"/>
  <c r="H368" i="3"/>
  <c r="H366" i="3"/>
  <c r="H364" i="3"/>
  <c r="H362" i="3"/>
  <c r="H360" i="3"/>
  <c r="H358" i="3"/>
  <c r="H356" i="3"/>
  <c r="H354" i="3"/>
  <c r="H352" i="3"/>
  <c r="H350" i="3"/>
  <c r="H348" i="3"/>
  <c r="H346" i="3"/>
  <c r="H344" i="3"/>
  <c r="H342" i="3"/>
  <c r="H340" i="3"/>
  <c r="H338" i="3"/>
  <c r="H336" i="3"/>
  <c r="H334" i="3"/>
  <c r="H332" i="3"/>
  <c r="H330" i="3"/>
  <c r="H328" i="3"/>
  <c r="H326" i="3"/>
  <c r="H324" i="3"/>
  <c r="H322" i="3"/>
  <c r="H320" i="3"/>
  <c r="H318" i="3"/>
  <c r="H316" i="3"/>
  <c r="H314" i="3"/>
  <c r="H312" i="3"/>
  <c r="H310" i="3"/>
  <c r="H308" i="3"/>
  <c r="H306" i="3"/>
  <c r="H304" i="3"/>
  <c r="H302" i="3"/>
  <c r="H300" i="3"/>
  <c r="H298" i="3"/>
  <c r="H296" i="3"/>
  <c r="H294" i="3"/>
  <c r="H292" i="3"/>
  <c r="H290" i="3"/>
  <c r="H288" i="3"/>
  <c r="H286" i="3"/>
  <c r="H284" i="3"/>
  <c r="H282" i="3"/>
  <c r="H280" i="3"/>
  <c r="H278" i="3"/>
  <c r="H276" i="3"/>
  <c r="H274" i="3"/>
  <c r="H272" i="3"/>
  <c r="H270" i="3"/>
  <c r="H268" i="3"/>
  <c r="H266" i="3"/>
  <c r="H264" i="3"/>
  <c r="H262" i="3"/>
  <c r="H260" i="3"/>
  <c r="H258" i="3"/>
  <c r="H256" i="3"/>
  <c r="H254" i="3"/>
  <c r="H252" i="3"/>
  <c r="H250" i="3"/>
  <c r="H248" i="3"/>
  <c r="H246" i="3"/>
  <c r="H244" i="3"/>
  <c r="H242" i="3"/>
  <c r="H240" i="3"/>
  <c r="H238" i="3"/>
  <c r="H236" i="3"/>
  <c r="H234" i="3"/>
  <c r="H232" i="3"/>
  <c r="H230" i="3"/>
  <c r="H228" i="3"/>
  <c r="H226" i="3"/>
  <c r="H224" i="3"/>
  <c r="H222" i="3"/>
  <c r="H220" i="3"/>
  <c r="H218" i="3"/>
  <c r="H216" i="3"/>
  <c r="H214" i="3"/>
  <c r="H212" i="3"/>
  <c r="H210" i="3"/>
  <c r="H208" i="3"/>
  <c r="H206" i="3"/>
  <c r="H204" i="3"/>
  <c r="H202" i="3"/>
  <c r="H200" i="3"/>
  <c r="H198" i="3"/>
  <c r="H196" i="3"/>
  <c r="H194" i="3"/>
  <c r="H192" i="3"/>
  <c r="H190" i="3"/>
  <c r="H188" i="3"/>
  <c r="H186" i="3"/>
  <c r="H184" i="3"/>
  <c r="H182" i="3"/>
  <c r="H180" i="3"/>
  <c r="H178" i="3"/>
  <c r="H176" i="3"/>
  <c r="H174" i="3"/>
  <c r="H172" i="3"/>
  <c r="H170" i="3"/>
  <c r="H168" i="3"/>
  <c r="H166" i="3"/>
  <c r="H164" i="3"/>
  <c r="H162" i="3"/>
  <c r="H160" i="3"/>
  <c r="H158" i="3"/>
  <c r="H156" i="3"/>
  <c r="H154" i="3"/>
  <c r="H152" i="3"/>
  <c r="H150" i="3"/>
  <c r="H148" i="3"/>
  <c r="H146" i="3"/>
  <c r="H144" i="3"/>
  <c r="H142" i="3"/>
  <c r="H140" i="3"/>
  <c r="H138" i="3"/>
  <c r="H136" i="3"/>
  <c r="H134" i="3"/>
  <c r="H132" i="3"/>
  <c r="H130" i="3"/>
  <c r="H128" i="3"/>
  <c r="H126" i="3"/>
  <c r="H124" i="3"/>
  <c r="H122" i="3"/>
  <c r="H120" i="3"/>
  <c r="H118" i="3"/>
  <c r="H116" i="3"/>
  <c r="H114" i="3"/>
  <c r="H112" i="3"/>
  <c r="H110" i="3"/>
  <c r="H108" i="3"/>
  <c r="H106" i="3"/>
  <c r="H104" i="3"/>
  <c r="H102" i="3"/>
  <c r="H100" i="3"/>
  <c r="H98" i="3"/>
  <c r="H96" i="3"/>
  <c r="H94" i="3"/>
  <c r="H92" i="3"/>
  <c r="H90" i="3"/>
  <c r="H88" i="3"/>
  <c r="H86" i="3"/>
  <c r="H84" i="3"/>
  <c r="H82" i="3"/>
  <c r="H80" i="3"/>
  <c r="H78" i="3"/>
  <c r="H76" i="3"/>
  <c r="H74" i="3"/>
  <c r="H72" i="3"/>
  <c r="H70" i="3"/>
  <c r="H68" i="3"/>
  <c r="H66" i="3"/>
  <c r="H64" i="3"/>
  <c r="H62" i="3"/>
  <c r="H60" i="3"/>
  <c r="H58" i="3"/>
  <c r="H56" i="3"/>
  <c r="H54" i="3"/>
  <c r="H52" i="3"/>
  <c r="H50" i="3"/>
  <c r="H48" i="3"/>
  <c r="H46" i="3"/>
  <c r="H44" i="3"/>
  <c r="H42" i="3"/>
  <c r="H40" i="3"/>
  <c r="H38" i="3"/>
  <c r="H35" i="3"/>
  <c r="H33" i="3"/>
  <c r="H31" i="3"/>
  <c r="H29" i="3"/>
  <c r="H27" i="3"/>
  <c r="H25" i="3"/>
  <c r="H23" i="3"/>
  <c r="H21" i="3"/>
  <c r="H19" i="3"/>
  <c r="H17" i="3"/>
  <c r="H15" i="3"/>
  <c r="H13" i="3"/>
  <c r="H11" i="3"/>
  <c r="H9" i="3"/>
  <c r="H7" i="3"/>
  <c r="H5" i="3"/>
  <c r="H3" i="3"/>
  <c r="H1703" i="3"/>
  <c r="H1701" i="3"/>
  <c r="H1699" i="3"/>
  <c r="H1697" i="3"/>
  <c r="H1695" i="3"/>
  <c r="H1693" i="3"/>
  <c r="H1691" i="3"/>
  <c r="H1689" i="3"/>
  <c r="H1687" i="3"/>
  <c r="H1685" i="3"/>
  <c r="H1683" i="3"/>
  <c r="H1681" i="3"/>
  <c r="H1679" i="3"/>
  <c r="H1677" i="3"/>
  <c r="H1675" i="3"/>
  <c r="H1673" i="3"/>
  <c r="H1671" i="3"/>
  <c r="H1669" i="3"/>
  <c r="H1667" i="3"/>
  <c r="H1665" i="3"/>
  <c r="H1663" i="3"/>
  <c r="H1661" i="3"/>
  <c r="H1659" i="3"/>
  <c r="H1657" i="3"/>
  <c r="H1655" i="3"/>
  <c r="H1653" i="3"/>
  <c r="H1651" i="3"/>
  <c r="H1649" i="3"/>
  <c r="H1647" i="3"/>
  <c r="H1645" i="3"/>
  <c r="H1643" i="3"/>
  <c r="H1641" i="3"/>
  <c r="H1639" i="3"/>
  <c r="H1637" i="3"/>
  <c r="H1635" i="3"/>
  <c r="H1633" i="3"/>
  <c r="H1631" i="3"/>
  <c r="H1629" i="3"/>
  <c r="H1627" i="3"/>
  <c r="H1625" i="3"/>
  <c r="H1623" i="3"/>
  <c r="H1621" i="3"/>
  <c r="H1619" i="3"/>
  <c r="H1617" i="3"/>
  <c r="H1615" i="3"/>
  <c r="H1613" i="3"/>
  <c r="H1611" i="3"/>
  <c r="H1609" i="3"/>
  <c r="H1607" i="3"/>
  <c r="H1605" i="3"/>
  <c r="H1603" i="3"/>
  <c r="H1601" i="3"/>
  <c r="H1599" i="3"/>
  <c r="H1597" i="3"/>
  <c r="H1595" i="3"/>
  <c r="H1593" i="3"/>
  <c r="H1591" i="3"/>
  <c r="H1589" i="3"/>
  <c r="H1587" i="3"/>
  <c r="H1585" i="3"/>
  <c r="H1583" i="3"/>
  <c r="H1581" i="3"/>
  <c r="H1579" i="3"/>
  <c r="H1577" i="3"/>
  <c r="H1575" i="3"/>
  <c r="H1573" i="3"/>
  <c r="H1571" i="3"/>
  <c r="H1569" i="3"/>
  <c r="H1567" i="3"/>
  <c r="H1565" i="3"/>
  <c r="H1563" i="3"/>
  <c r="H1561" i="3"/>
  <c r="H1559" i="3"/>
  <c r="H1557" i="3"/>
  <c r="H1555" i="3"/>
  <c r="H1553" i="3"/>
  <c r="H1551" i="3"/>
  <c r="H1549" i="3"/>
  <c r="H1547" i="3"/>
  <c r="H1545" i="3"/>
  <c r="H1543" i="3"/>
  <c r="H1541" i="3"/>
  <c r="H1539" i="3"/>
  <c r="H1537" i="3"/>
  <c r="H1535" i="3"/>
  <c r="H1533" i="3"/>
  <c r="H1531" i="3"/>
  <c r="H1529" i="3"/>
  <c r="H1527" i="3"/>
  <c r="H1525" i="3"/>
  <c r="H1523" i="3"/>
  <c r="H1521" i="3"/>
  <c r="H1519" i="3"/>
  <c r="H1517" i="3"/>
  <c r="H1515" i="3"/>
  <c r="H1513" i="3"/>
  <c r="H1511" i="3"/>
  <c r="H1509" i="3"/>
  <c r="H1507" i="3"/>
  <c r="H1505" i="3"/>
  <c r="H1503" i="3"/>
  <c r="H1501" i="3"/>
  <c r="H1499" i="3"/>
  <c r="H1497" i="3"/>
  <c r="H1495" i="3"/>
  <c r="H1493" i="3"/>
  <c r="H1491" i="3"/>
  <c r="H1489" i="3"/>
  <c r="H1487" i="3"/>
  <c r="H1485" i="3"/>
  <c r="H1483" i="3"/>
  <c r="H1481" i="3"/>
  <c r="H1479" i="3"/>
  <c r="H1477" i="3"/>
  <c r="H1475" i="3"/>
  <c r="H1473" i="3"/>
  <c r="H1471" i="3"/>
  <c r="H1469" i="3"/>
  <c r="H1467" i="3"/>
  <c r="H1465" i="3"/>
  <c r="H1463" i="3"/>
  <c r="H1461" i="3"/>
  <c r="H1459" i="3"/>
  <c r="H1457" i="3"/>
  <c r="H1455" i="3"/>
  <c r="H1453" i="3"/>
  <c r="H1451" i="3"/>
  <c r="H1449" i="3"/>
  <c r="H1447" i="3"/>
  <c r="H1445" i="3"/>
  <c r="H1443" i="3"/>
  <c r="H1441" i="3"/>
  <c r="H1439" i="3"/>
  <c r="H1437" i="3"/>
  <c r="H1435" i="3"/>
  <c r="H1433" i="3"/>
  <c r="H1431" i="3"/>
  <c r="H1429" i="3"/>
  <c r="H1427" i="3"/>
  <c r="H1425" i="3"/>
  <c r="H1423" i="3"/>
  <c r="H1421" i="3"/>
  <c r="H1419" i="3"/>
  <c r="H1417" i="3"/>
  <c r="H1415" i="3"/>
  <c r="H1413" i="3"/>
  <c r="H1411" i="3"/>
  <c r="H1409" i="3"/>
  <c r="H1407" i="3"/>
  <c r="H1405" i="3"/>
  <c r="H1403" i="3"/>
  <c r="H1401" i="3"/>
  <c r="H1399" i="3"/>
  <c r="H1397" i="3"/>
  <c r="H1395" i="3"/>
  <c r="H1393" i="3"/>
  <c r="H1391" i="3"/>
  <c r="H1389" i="3"/>
  <c r="H1387" i="3"/>
  <c r="H1385" i="3"/>
  <c r="H1383" i="3"/>
  <c r="H1381" i="3"/>
  <c r="H1379" i="3"/>
  <c r="H1377" i="3"/>
  <c r="H1375" i="3"/>
  <c r="H1373" i="3"/>
  <c r="H1371" i="3"/>
  <c r="H1369" i="3"/>
  <c r="H1367" i="3"/>
  <c r="H1365" i="3"/>
  <c r="H1363" i="3"/>
  <c r="H1361" i="3"/>
  <c r="H1359" i="3"/>
  <c r="H1357" i="3"/>
  <c r="H1355" i="3"/>
  <c r="H1353" i="3"/>
  <c r="H1351" i="3"/>
  <c r="H1349" i="3"/>
  <c r="H1347" i="3"/>
  <c r="H1345" i="3"/>
  <c r="H1343" i="3"/>
  <c r="H1341" i="3"/>
  <c r="H1339" i="3"/>
  <c r="H1337" i="3"/>
  <c r="H1335" i="3"/>
  <c r="H1333" i="3"/>
  <c r="H1331" i="3"/>
  <c r="H1329" i="3"/>
  <c r="H1327" i="3"/>
  <c r="H1325" i="3"/>
  <c r="H1323" i="3"/>
  <c r="H1321" i="3"/>
  <c r="H1319" i="3"/>
  <c r="H1317" i="3"/>
  <c r="H1315" i="3"/>
  <c r="H1313" i="3"/>
  <c r="H1311" i="3"/>
  <c r="H1309" i="3"/>
  <c r="H1307" i="3"/>
  <c r="H1305" i="3"/>
  <c r="H1303" i="3"/>
  <c r="H1301" i="3"/>
  <c r="H1299" i="3"/>
  <c r="H1297" i="3"/>
  <c r="H1295" i="3"/>
  <c r="H1293" i="3"/>
  <c r="H1291" i="3"/>
  <c r="H1289" i="3"/>
  <c r="H1287" i="3"/>
  <c r="H1285" i="3"/>
  <c r="H1283" i="3"/>
  <c r="H1281" i="3"/>
  <c r="H1279" i="3"/>
  <c r="H1277" i="3"/>
  <c r="H1275" i="3"/>
  <c r="H1273" i="3"/>
  <c r="H1271" i="3"/>
  <c r="H1269" i="3"/>
  <c r="H1267" i="3"/>
  <c r="H1265" i="3"/>
  <c r="H1263" i="3"/>
  <c r="H1261" i="3"/>
  <c r="H1259" i="3"/>
  <c r="H1257" i="3"/>
  <c r="H1255" i="3"/>
  <c r="H1253" i="3"/>
  <c r="H1251" i="3"/>
  <c r="H1249" i="3"/>
  <c r="H1247" i="3"/>
  <c r="H1245" i="3"/>
  <c r="H1243" i="3"/>
  <c r="H1241" i="3"/>
  <c r="H1239" i="3"/>
  <c r="H1237" i="3"/>
  <c r="H1235" i="3"/>
  <c r="H1233" i="3"/>
  <c r="H1231" i="3"/>
  <c r="H1229" i="3"/>
  <c r="H1227" i="3"/>
  <c r="H1225" i="3"/>
  <c r="H1223" i="3"/>
  <c r="H1221" i="3"/>
  <c r="H1219" i="3"/>
  <c r="H1217" i="3"/>
  <c r="H1215" i="3"/>
  <c r="H1213" i="3"/>
  <c r="H1211" i="3"/>
  <c r="H1209" i="3"/>
  <c r="H1207" i="3"/>
  <c r="H1205" i="3"/>
  <c r="H1203" i="3"/>
  <c r="H1201" i="3"/>
  <c r="H1199" i="3"/>
  <c r="H1197" i="3"/>
  <c r="H1195" i="3"/>
  <c r="H1193" i="3"/>
  <c r="H1191" i="3"/>
  <c r="H1189" i="3"/>
  <c r="H1187" i="3"/>
  <c r="H1185" i="3"/>
  <c r="H1183" i="3"/>
  <c r="H1181" i="3"/>
  <c r="H1179" i="3"/>
  <c r="H1177" i="3"/>
  <c r="H1175" i="3"/>
  <c r="H1173" i="3"/>
  <c r="H1171" i="3"/>
  <c r="H1169" i="3"/>
  <c r="H1167" i="3"/>
  <c r="H1165" i="3"/>
  <c r="H1163" i="3"/>
  <c r="H1161" i="3"/>
  <c r="H1159" i="3"/>
  <c r="H1157" i="3"/>
  <c r="H1155" i="3"/>
  <c r="H1153" i="3"/>
  <c r="H1151" i="3"/>
  <c r="H1149" i="3"/>
  <c r="H1147" i="3"/>
  <c r="H1145" i="3"/>
  <c r="H1143" i="3"/>
  <c r="H1141" i="3"/>
  <c r="H1139" i="3"/>
  <c r="H1137" i="3"/>
  <c r="H1135" i="3"/>
  <c r="H1133" i="3"/>
  <c r="H1131" i="3"/>
  <c r="H1129" i="3"/>
  <c r="H1127" i="3"/>
  <c r="H1125" i="3"/>
  <c r="H1123" i="3"/>
  <c r="H1121" i="3"/>
  <c r="H1119" i="3"/>
  <c r="H1117" i="3"/>
  <c r="H1115" i="3"/>
  <c r="H1113" i="3"/>
  <c r="H1111" i="3"/>
  <c r="H1109" i="3"/>
  <c r="H1107" i="3"/>
  <c r="H1105" i="3"/>
  <c r="H1103" i="3"/>
  <c r="H1101" i="3"/>
  <c r="H1099" i="3"/>
  <c r="H1097" i="3"/>
  <c r="H1095" i="3"/>
  <c r="H1093" i="3"/>
  <c r="H1091" i="3"/>
  <c r="H1089" i="3"/>
  <c r="H1087" i="3"/>
  <c r="H1085" i="3"/>
  <c r="H1083" i="3"/>
  <c r="H1081" i="3"/>
  <c r="H1079" i="3"/>
  <c r="H1077" i="3"/>
  <c r="H1075" i="3"/>
  <c r="H1073" i="3"/>
  <c r="H1071" i="3"/>
  <c r="H1069" i="3"/>
  <c r="H1067" i="3"/>
  <c r="H1065" i="3"/>
  <c r="H1063" i="3"/>
  <c r="H1061" i="3"/>
  <c r="H1059" i="3"/>
  <c r="H1057" i="3"/>
  <c r="H1055" i="3"/>
  <c r="H1053" i="3"/>
  <c r="H1051" i="3"/>
  <c r="H1049" i="3"/>
  <c r="H1047" i="3"/>
  <c r="H1045" i="3"/>
  <c r="H1043" i="3"/>
  <c r="H1041" i="3"/>
  <c r="H1039" i="3"/>
  <c r="H1037" i="3"/>
  <c r="H1035" i="3"/>
  <c r="H1033" i="3"/>
  <c r="H1031" i="3"/>
  <c r="H1029" i="3"/>
  <c r="H1027" i="3"/>
  <c r="H1025" i="3"/>
  <c r="H1023" i="3"/>
  <c r="H1021" i="3"/>
  <c r="H1019" i="3"/>
  <c r="H1017" i="3"/>
  <c r="H1015" i="3"/>
  <c r="H1013" i="3"/>
  <c r="H1011" i="3"/>
  <c r="H1009" i="3"/>
  <c r="H1007" i="3"/>
  <c r="H1005" i="3"/>
  <c r="H1003" i="3"/>
  <c r="H1001" i="3"/>
  <c r="H999" i="3"/>
  <c r="H997" i="3"/>
  <c r="H995" i="3"/>
  <c r="H993" i="3"/>
  <c r="H991" i="3"/>
  <c r="H989" i="3"/>
  <c r="H987" i="3"/>
  <c r="H985" i="3"/>
  <c r="H983" i="3"/>
  <c r="H981" i="3"/>
  <c r="H979" i="3"/>
  <c r="H977" i="3"/>
  <c r="H975" i="3"/>
  <c r="H973" i="3"/>
  <c r="H971" i="3"/>
  <c r="H969" i="3"/>
  <c r="H967" i="3"/>
  <c r="H965" i="3"/>
  <c r="H963" i="3"/>
  <c r="H961" i="3"/>
  <c r="H959" i="3"/>
  <c r="H957" i="3"/>
  <c r="H955" i="3"/>
  <c r="H953" i="3"/>
  <c r="H951" i="3"/>
  <c r="H949" i="3"/>
  <c r="H947" i="3"/>
  <c r="H945" i="3"/>
  <c r="H943" i="3"/>
  <c r="H941" i="3"/>
  <c r="H939" i="3"/>
  <c r="H937" i="3"/>
  <c r="H935" i="3"/>
  <c r="H933" i="3"/>
  <c r="H931" i="3"/>
  <c r="H929" i="3"/>
  <c r="H927" i="3"/>
  <c r="H925" i="3"/>
  <c r="H923" i="3"/>
  <c r="H921" i="3"/>
  <c r="H919" i="3"/>
  <c r="H917" i="3"/>
  <c r="H915" i="3"/>
  <c r="H913" i="3"/>
  <c r="H911" i="3"/>
  <c r="H909" i="3"/>
  <c r="H907" i="3"/>
  <c r="H905" i="3"/>
  <c r="H903" i="3"/>
  <c r="H901" i="3"/>
  <c r="H899" i="3"/>
  <c r="H897" i="3"/>
  <c r="H895" i="3"/>
  <c r="H893" i="3"/>
  <c r="H891" i="3"/>
  <c r="H889" i="3"/>
  <c r="H887" i="3"/>
  <c r="H885" i="3"/>
  <c r="H883" i="3"/>
  <c r="H881" i="3"/>
  <c r="H879" i="3"/>
  <c r="H877" i="3"/>
  <c r="H875" i="3"/>
  <c r="H873" i="3"/>
  <c r="H871" i="3"/>
  <c r="H869" i="3"/>
  <c r="H867" i="3"/>
  <c r="H865" i="3"/>
  <c r="H863" i="3"/>
  <c r="H861" i="3"/>
  <c r="H859" i="3"/>
  <c r="H857" i="3"/>
  <c r="H855" i="3"/>
  <c r="H853" i="3"/>
  <c r="H851" i="3"/>
  <c r="H849" i="3"/>
  <c r="H847" i="3"/>
  <c r="H845" i="3"/>
  <c r="H843" i="3"/>
  <c r="H841" i="3"/>
  <c r="H839" i="3"/>
  <c r="H837" i="3"/>
  <c r="H835" i="3"/>
  <c r="H833" i="3"/>
  <c r="H831" i="3"/>
  <c r="H829" i="3"/>
  <c r="H827" i="3"/>
  <c r="H825" i="3"/>
  <c r="H823" i="3"/>
  <c r="H821" i="3"/>
  <c r="H819" i="3"/>
  <c r="H817" i="3"/>
  <c r="H815" i="3"/>
  <c r="H813" i="3"/>
  <c r="H811" i="3"/>
  <c r="H809" i="3"/>
  <c r="H807" i="3"/>
  <c r="H805" i="3"/>
  <c r="H803" i="3"/>
  <c r="H801" i="3"/>
  <c r="H799" i="3"/>
  <c r="H797" i="3"/>
  <c r="H795" i="3"/>
  <c r="H793" i="3"/>
  <c r="H791" i="3"/>
  <c r="H789" i="3"/>
  <c r="H787" i="3"/>
  <c r="H785" i="3"/>
  <c r="H783" i="3"/>
  <c r="H781" i="3"/>
  <c r="H779" i="3"/>
  <c r="H777" i="3"/>
  <c r="H775" i="3"/>
  <c r="H773" i="3"/>
  <c r="H771" i="3"/>
  <c r="H769" i="3"/>
  <c r="H767" i="3"/>
  <c r="H765" i="3"/>
  <c r="H763" i="3"/>
  <c r="H761" i="3"/>
  <c r="H759" i="3"/>
  <c r="H757" i="3"/>
  <c r="H755" i="3"/>
  <c r="H753" i="3"/>
  <c r="H751" i="3"/>
  <c r="H749" i="3"/>
  <c r="H747" i="3"/>
  <c r="H745" i="3"/>
  <c r="H743" i="3"/>
  <c r="H741" i="3"/>
  <c r="H739" i="3"/>
  <c r="H737" i="3"/>
  <c r="H735" i="3"/>
  <c r="H733" i="3"/>
  <c r="H731" i="3"/>
  <c r="H729" i="3"/>
  <c r="H727" i="3"/>
  <c r="H725" i="3"/>
  <c r="H723" i="3"/>
  <c r="H721" i="3"/>
  <c r="H719" i="3"/>
  <c r="H717" i="3"/>
  <c r="H715" i="3"/>
  <c r="H713" i="3"/>
  <c r="H711" i="3"/>
  <c r="H709" i="3"/>
  <c r="H707" i="3"/>
  <c r="H705" i="3"/>
  <c r="H703" i="3"/>
  <c r="H701" i="3"/>
  <c r="H699" i="3"/>
  <c r="H697" i="3"/>
  <c r="H695" i="3"/>
  <c r="H693" i="3"/>
  <c r="H691" i="3"/>
  <c r="H689" i="3"/>
  <c r="H687" i="3"/>
  <c r="H685" i="3"/>
  <c r="H683" i="3"/>
  <c r="H681" i="3"/>
  <c r="H679" i="3"/>
  <c r="H677" i="3"/>
  <c r="H675" i="3"/>
  <c r="H673" i="3"/>
  <c r="H671" i="3"/>
  <c r="H669" i="3"/>
  <c r="H667" i="3"/>
  <c r="H665" i="3"/>
  <c r="H663" i="3"/>
  <c r="H661" i="3"/>
  <c r="H659" i="3"/>
  <c r="H657" i="3"/>
  <c r="H655" i="3"/>
  <c r="H653" i="3"/>
  <c r="H651" i="3"/>
  <c r="H649" i="3"/>
  <c r="H647" i="3"/>
  <c r="H645" i="3"/>
  <c r="H643" i="3"/>
  <c r="H641" i="3"/>
  <c r="H639" i="3"/>
  <c r="H637" i="3"/>
  <c r="H635" i="3"/>
  <c r="H633" i="3"/>
  <c r="H631" i="3"/>
  <c r="H629" i="3"/>
  <c r="H627" i="3"/>
  <c r="H625" i="3"/>
  <c r="H623" i="3"/>
  <c r="H621" i="3"/>
  <c r="H619" i="3"/>
  <c r="H617" i="3"/>
  <c r="H615" i="3"/>
  <c r="H613" i="3"/>
  <c r="H611" i="3"/>
  <c r="H609" i="3"/>
  <c r="H607" i="3"/>
  <c r="H605" i="3"/>
  <c r="H603" i="3"/>
  <c r="H601" i="3"/>
  <c r="H599" i="3"/>
  <c r="H597" i="3"/>
  <c r="H595" i="3"/>
  <c r="H593" i="3"/>
  <c r="H591" i="3"/>
  <c r="H589" i="3"/>
  <c r="H587" i="3"/>
  <c r="H585" i="3"/>
  <c r="H583" i="3"/>
  <c r="H581" i="3"/>
  <c r="H579" i="3"/>
  <c r="H577" i="3"/>
  <c r="H575" i="3"/>
  <c r="H573" i="3"/>
  <c r="H571" i="3"/>
  <c r="H569" i="3"/>
  <c r="H567" i="3"/>
  <c r="H565" i="3"/>
  <c r="H563" i="3"/>
  <c r="H561" i="3"/>
  <c r="H559" i="3"/>
  <c r="H557" i="3"/>
  <c r="H555" i="3"/>
  <c r="H553" i="3"/>
  <c r="H551" i="3"/>
  <c r="H549" i="3"/>
  <c r="H547" i="3"/>
  <c r="H545" i="3"/>
  <c r="H543" i="3"/>
  <c r="H541" i="3"/>
  <c r="H539" i="3"/>
  <c r="H537" i="3"/>
  <c r="H535" i="3"/>
  <c r="H533" i="3"/>
  <c r="H531" i="3"/>
  <c r="H529" i="3"/>
  <c r="H527" i="3"/>
  <c r="H525" i="3"/>
  <c r="H523" i="3"/>
  <c r="H521" i="3"/>
  <c r="H519" i="3"/>
  <c r="H517" i="3"/>
  <c r="H515" i="3"/>
  <c r="H513" i="3"/>
  <c r="H511" i="3"/>
  <c r="H509" i="3"/>
  <c r="H507" i="3"/>
  <c r="H505" i="3"/>
  <c r="H503" i="3"/>
  <c r="H501" i="3"/>
  <c r="H499" i="3"/>
  <c r="H497" i="3"/>
  <c r="H495" i="3"/>
  <c r="H493" i="3"/>
  <c r="H491" i="3"/>
  <c r="H489" i="3"/>
  <c r="H487" i="3"/>
  <c r="H485" i="3"/>
  <c r="H483" i="3"/>
  <c r="H481" i="3"/>
  <c r="H479" i="3"/>
  <c r="H477" i="3"/>
  <c r="H475" i="3"/>
  <c r="H473" i="3"/>
  <c r="H471" i="3"/>
  <c r="H469" i="3"/>
  <c r="H467" i="3"/>
  <c r="H465" i="3"/>
  <c r="H463" i="3"/>
  <c r="H461" i="3"/>
  <c r="H459" i="3"/>
  <c r="H457" i="3"/>
  <c r="H455" i="3"/>
  <c r="H453" i="3"/>
  <c r="H451" i="3"/>
  <c r="H449" i="3"/>
  <c r="H447" i="3"/>
  <c r="H445" i="3"/>
  <c r="H443" i="3"/>
  <c r="H441" i="3"/>
  <c r="H439" i="3"/>
  <c r="H437" i="3"/>
  <c r="H435" i="3"/>
  <c r="H433" i="3"/>
  <c r="H431" i="3"/>
  <c r="H429" i="3"/>
  <c r="H427" i="3"/>
  <c r="H425" i="3"/>
  <c r="H423" i="3"/>
  <c r="H421" i="3"/>
  <c r="H419" i="3"/>
  <c r="H417" i="3"/>
  <c r="H415" i="3"/>
  <c r="H413" i="3"/>
  <c r="H411" i="3"/>
  <c r="H409" i="3"/>
  <c r="H407" i="3"/>
  <c r="H405" i="3"/>
  <c r="H403" i="3"/>
  <c r="H401" i="3"/>
  <c r="H399" i="3"/>
  <c r="H397" i="3"/>
  <c r="H395" i="3"/>
  <c r="H393" i="3"/>
  <c r="H391" i="3"/>
  <c r="H389" i="3"/>
  <c r="H387" i="3"/>
  <c r="H385" i="3"/>
  <c r="H383" i="3"/>
  <c r="H381" i="3"/>
  <c r="H379" i="3"/>
  <c r="H377" i="3"/>
  <c r="H375" i="3"/>
  <c r="H373" i="3"/>
  <c r="H371" i="3"/>
  <c r="H369" i="3"/>
  <c r="H367" i="3"/>
  <c r="H365" i="3"/>
  <c r="H363" i="3"/>
  <c r="H361" i="3"/>
  <c r="H359" i="3"/>
  <c r="H357" i="3"/>
  <c r="H355" i="3"/>
  <c r="H353" i="3"/>
  <c r="H351" i="3"/>
  <c r="H349" i="3"/>
  <c r="H347" i="3"/>
  <c r="H345" i="3"/>
  <c r="H343" i="3"/>
  <c r="H341" i="3"/>
  <c r="H339" i="3"/>
  <c r="H337" i="3"/>
  <c r="H335" i="3"/>
  <c r="H333" i="3"/>
  <c r="H331" i="3"/>
  <c r="H329" i="3"/>
  <c r="H327" i="3"/>
  <c r="H325" i="3"/>
  <c r="H323" i="3"/>
  <c r="H321" i="3"/>
  <c r="H319" i="3"/>
  <c r="H317" i="3"/>
  <c r="H315" i="3"/>
  <c r="H313" i="3"/>
  <c r="H311" i="3"/>
  <c r="H309" i="3"/>
  <c r="H307" i="3"/>
  <c r="H305" i="3"/>
  <c r="H303" i="3"/>
  <c r="H301" i="3"/>
  <c r="H299" i="3"/>
  <c r="H297" i="3"/>
  <c r="H295" i="3"/>
  <c r="H293" i="3"/>
  <c r="H291" i="3"/>
  <c r="H289" i="3"/>
  <c r="H287" i="3"/>
  <c r="H285" i="3"/>
  <c r="H283" i="3"/>
  <c r="H281" i="3"/>
  <c r="H279" i="3"/>
  <c r="H277" i="3"/>
  <c r="H275" i="3"/>
  <c r="H273" i="3"/>
  <c r="H271" i="3"/>
  <c r="H269" i="3"/>
  <c r="H267" i="3"/>
  <c r="H265" i="3"/>
  <c r="H263" i="3"/>
  <c r="H261" i="3"/>
  <c r="H259" i="3"/>
  <c r="H257" i="3"/>
  <c r="H255" i="3"/>
  <c r="H253" i="3"/>
  <c r="H251" i="3"/>
  <c r="H249" i="3"/>
  <c r="H247" i="3"/>
  <c r="H245" i="3"/>
  <c r="H243" i="3"/>
  <c r="H241" i="3"/>
  <c r="H239" i="3"/>
  <c r="H237" i="3"/>
  <c r="H235" i="3"/>
  <c r="H233" i="3"/>
  <c r="H231" i="3"/>
  <c r="H229" i="3"/>
  <c r="H227" i="3"/>
  <c r="H225" i="3"/>
  <c r="H223" i="3"/>
  <c r="H221" i="3"/>
  <c r="H219" i="3"/>
  <c r="H217" i="3"/>
  <c r="H215" i="3"/>
  <c r="H213" i="3"/>
  <c r="H211" i="3"/>
  <c r="H209" i="3"/>
  <c r="H207" i="3"/>
  <c r="H205" i="3"/>
  <c r="H203" i="3"/>
  <c r="H201" i="3"/>
  <c r="H199" i="3"/>
  <c r="H197" i="3"/>
  <c r="H195" i="3"/>
  <c r="H193" i="3"/>
  <c r="H191" i="3"/>
  <c r="H189" i="3"/>
  <c r="H187" i="3"/>
  <c r="H185" i="3"/>
  <c r="H183" i="3"/>
  <c r="H181" i="3"/>
  <c r="H179" i="3"/>
  <c r="H177" i="3"/>
  <c r="H175" i="3"/>
  <c r="H173" i="3"/>
  <c r="H171" i="3"/>
  <c r="H169" i="3"/>
  <c r="H167" i="3"/>
  <c r="H165" i="3"/>
  <c r="H163" i="3"/>
  <c r="H161" i="3"/>
  <c r="H159" i="3"/>
  <c r="H157" i="3"/>
  <c r="H155" i="3"/>
  <c r="H153" i="3"/>
  <c r="H151" i="3"/>
  <c r="H149" i="3"/>
  <c r="H147" i="3"/>
  <c r="H145" i="3"/>
  <c r="H143" i="3"/>
  <c r="H141" i="3"/>
  <c r="H139" i="3"/>
  <c r="H137" i="3"/>
  <c r="H135" i="3"/>
  <c r="H133" i="3"/>
  <c r="H131" i="3"/>
  <c r="H129" i="3"/>
  <c r="H127" i="3"/>
  <c r="H125" i="3"/>
  <c r="H123" i="3"/>
  <c r="H121" i="3"/>
  <c r="H119" i="3"/>
  <c r="H117" i="3"/>
  <c r="H115" i="3"/>
  <c r="H113" i="3"/>
  <c r="H111" i="3"/>
  <c r="H109" i="3"/>
  <c r="H107" i="3"/>
  <c r="H105" i="3"/>
  <c r="H103" i="3"/>
  <c r="H101" i="3"/>
  <c r="H99" i="3"/>
  <c r="H97" i="3"/>
  <c r="H95" i="3"/>
  <c r="H93" i="3"/>
  <c r="H91" i="3"/>
  <c r="H89" i="3"/>
  <c r="H87" i="3"/>
  <c r="H85" i="3"/>
  <c r="H83" i="3"/>
  <c r="H81" i="3"/>
  <c r="H79" i="3"/>
  <c r="H77" i="3"/>
  <c r="H75" i="3"/>
  <c r="H73" i="3"/>
  <c r="H71" i="3"/>
  <c r="H69" i="3"/>
  <c r="H67" i="3"/>
  <c r="H65" i="3"/>
  <c r="H63" i="3"/>
  <c r="H61" i="3"/>
  <c r="H59" i="3"/>
  <c r="H57" i="3"/>
  <c r="H55" i="3"/>
  <c r="H53" i="3"/>
  <c r="H51" i="3"/>
  <c r="H49" i="3"/>
  <c r="H47" i="3"/>
  <c r="H45" i="3"/>
  <c r="H43" i="3"/>
  <c r="H41" i="3"/>
  <c r="H39" i="3"/>
  <c r="H37" i="3"/>
  <c r="H36" i="3"/>
  <c r="H34" i="3"/>
  <c r="H32" i="3"/>
  <c r="H30" i="3"/>
  <c r="H28" i="3"/>
  <c r="H26" i="3"/>
  <c r="H24" i="3"/>
  <c r="H22" i="3"/>
  <c r="H20" i="3"/>
  <c r="H18" i="3"/>
  <c r="H16" i="3"/>
  <c r="H14" i="3"/>
  <c r="H12" i="3"/>
  <c r="H10" i="3"/>
  <c r="H8" i="3"/>
  <c r="H6" i="3"/>
  <c r="H4" i="3"/>
  <c r="H2" i="3"/>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1" i="1"/>
  <c r="G832" i="1"/>
  <c r="G833" i="1"/>
  <c r="G834" i="1"/>
  <c r="G835" i="1"/>
  <c r="G836" i="1"/>
  <c r="G837" i="1"/>
  <c r="G838" i="1"/>
  <c r="G839" i="1"/>
  <c r="G840" i="1"/>
  <c r="G841" i="1"/>
  <c r="G842" i="1"/>
  <c r="G843" i="1"/>
  <c r="G844" i="1"/>
  <c r="G845" i="1"/>
  <c r="G846" i="1"/>
  <c r="G847" i="1"/>
  <c r="G848" i="1"/>
  <c r="G849" i="1"/>
  <c r="G852" i="1"/>
  <c r="G2" i="1"/>
  <c r="M853" i="1"/>
  <c r="M830" i="1"/>
  <c r="O830" i="1"/>
  <c r="P830" i="1"/>
  <c r="B830" i="6" s="1"/>
  <c r="Q830" i="1"/>
  <c r="C830" i="6" s="1"/>
  <c r="R830" i="1"/>
  <c r="S830" i="1"/>
  <c r="T830" i="1"/>
  <c r="F830" i="6" s="1"/>
  <c r="U830" i="1"/>
  <c r="G830" i="6" s="1"/>
  <c r="M850" i="1"/>
  <c r="U850" i="1" s="1"/>
  <c r="G850" i="6" s="1"/>
  <c r="O850" i="1"/>
  <c r="P850" i="1"/>
  <c r="B850" i="6" s="1"/>
  <c r="Q850" i="1"/>
  <c r="C850" i="6" s="1"/>
  <c r="R850" i="1"/>
  <c r="S850" i="1"/>
  <c r="T850" i="1"/>
  <c r="M851" i="1"/>
  <c r="U851" i="1" s="1"/>
  <c r="G851" i="6" s="1"/>
  <c r="O851" i="1"/>
  <c r="P851" i="1"/>
  <c r="Q851" i="1"/>
  <c r="C851" i="6" s="1"/>
  <c r="R851" i="1"/>
  <c r="D851" i="6" s="1"/>
  <c r="S851" i="1"/>
  <c r="T851" i="1"/>
  <c r="Q2" i="1"/>
  <c r="C2" i="6" s="1"/>
  <c r="R2" i="1"/>
  <c r="D2" i="6" s="1"/>
  <c r="S2" i="1"/>
  <c r="E2" i="6" s="1"/>
  <c r="L854" i="6" s="1"/>
  <c r="T2" i="1"/>
  <c r="F2" i="6" s="1"/>
  <c r="Q3" i="1"/>
  <c r="C3" i="6" s="1"/>
  <c r="R3" i="1"/>
  <c r="D3" i="6" s="1"/>
  <c r="S3" i="1"/>
  <c r="E3" i="6" s="1"/>
  <c r="L855" i="6" s="1"/>
  <c r="T3" i="1"/>
  <c r="F3" i="6" s="1"/>
  <c r="Q4" i="1"/>
  <c r="C4" i="6" s="1"/>
  <c r="R4" i="1"/>
  <c r="D4" i="6" s="1"/>
  <c r="S4" i="1"/>
  <c r="E4" i="6" s="1"/>
  <c r="L856" i="6" s="1"/>
  <c r="T4" i="1"/>
  <c r="F4" i="6" s="1"/>
  <c r="Q5" i="1"/>
  <c r="C5" i="6" s="1"/>
  <c r="R5" i="1"/>
  <c r="D5" i="6" s="1"/>
  <c r="S5" i="1"/>
  <c r="E5" i="6" s="1"/>
  <c r="L857" i="6" s="1"/>
  <c r="T5" i="1"/>
  <c r="F5" i="6" s="1"/>
  <c r="Q6" i="1"/>
  <c r="C6" i="6" s="1"/>
  <c r="R6" i="1"/>
  <c r="D6" i="6" s="1"/>
  <c r="S6" i="1"/>
  <c r="E6" i="6" s="1"/>
  <c r="L858" i="6" s="1"/>
  <c r="T6" i="1"/>
  <c r="F6" i="6" s="1"/>
  <c r="Q7" i="1"/>
  <c r="C7" i="6" s="1"/>
  <c r="R7" i="1"/>
  <c r="D7" i="6" s="1"/>
  <c r="S7" i="1"/>
  <c r="E7" i="6" s="1"/>
  <c r="L859" i="6" s="1"/>
  <c r="T7" i="1"/>
  <c r="F7" i="6" s="1"/>
  <c r="Q8" i="1"/>
  <c r="C8" i="6" s="1"/>
  <c r="R8" i="1"/>
  <c r="D8" i="6" s="1"/>
  <c r="S8" i="1"/>
  <c r="E8" i="6" s="1"/>
  <c r="L860" i="6" s="1"/>
  <c r="T8" i="1"/>
  <c r="F8" i="6" s="1"/>
  <c r="Q9" i="1"/>
  <c r="C9" i="6" s="1"/>
  <c r="R9" i="1"/>
  <c r="D9" i="6" s="1"/>
  <c r="S9" i="1"/>
  <c r="E9" i="6" s="1"/>
  <c r="L861" i="6" s="1"/>
  <c r="T9" i="1"/>
  <c r="F9" i="6" s="1"/>
  <c r="Q10" i="1"/>
  <c r="C10" i="6" s="1"/>
  <c r="R10" i="1"/>
  <c r="D10" i="6" s="1"/>
  <c r="S10" i="1"/>
  <c r="E10" i="6" s="1"/>
  <c r="L862" i="6" s="1"/>
  <c r="T10" i="1"/>
  <c r="F10" i="6" s="1"/>
  <c r="Q11" i="1"/>
  <c r="C11" i="6" s="1"/>
  <c r="R11" i="1"/>
  <c r="D11" i="6" s="1"/>
  <c r="S11" i="1"/>
  <c r="E11" i="6" s="1"/>
  <c r="L863" i="6" s="1"/>
  <c r="T11" i="1"/>
  <c r="F11" i="6" s="1"/>
  <c r="Q12" i="1"/>
  <c r="C12" i="6" s="1"/>
  <c r="R12" i="1"/>
  <c r="D12" i="6" s="1"/>
  <c r="S12" i="1"/>
  <c r="E12" i="6" s="1"/>
  <c r="L864" i="6" s="1"/>
  <c r="T12" i="1"/>
  <c r="F12" i="6" s="1"/>
  <c r="Q13" i="1"/>
  <c r="C13" i="6" s="1"/>
  <c r="R13" i="1"/>
  <c r="D13" i="6" s="1"/>
  <c r="S13" i="1"/>
  <c r="E13" i="6" s="1"/>
  <c r="L865" i="6" s="1"/>
  <c r="T13" i="1"/>
  <c r="F13" i="6" s="1"/>
  <c r="Q14" i="1"/>
  <c r="C14" i="6" s="1"/>
  <c r="R14" i="1"/>
  <c r="D14" i="6" s="1"/>
  <c r="S14" i="1"/>
  <c r="E14" i="6" s="1"/>
  <c r="L866" i="6" s="1"/>
  <c r="T14" i="1"/>
  <c r="F14" i="6" s="1"/>
  <c r="Q15" i="1"/>
  <c r="C15" i="6" s="1"/>
  <c r="R15" i="1"/>
  <c r="D15" i="6" s="1"/>
  <c r="S15" i="1"/>
  <c r="E15" i="6" s="1"/>
  <c r="L867" i="6" s="1"/>
  <c r="T15" i="1"/>
  <c r="F15" i="6" s="1"/>
  <c r="Q16" i="1"/>
  <c r="C16" i="6" s="1"/>
  <c r="R16" i="1"/>
  <c r="D16" i="6" s="1"/>
  <c r="S16" i="1"/>
  <c r="E16" i="6" s="1"/>
  <c r="L868" i="6" s="1"/>
  <c r="T16" i="1"/>
  <c r="F16" i="6" s="1"/>
  <c r="Q17" i="1"/>
  <c r="C17" i="6" s="1"/>
  <c r="R17" i="1"/>
  <c r="D17" i="6" s="1"/>
  <c r="S17" i="1"/>
  <c r="E17" i="6" s="1"/>
  <c r="L869" i="6" s="1"/>
  <c r="T17" i="1"/>
  <c r="F17" i="6" s="1"/>
  <c r="Q18" i="1"/>
  <c r="C18" i="6" s="1"/>
  <c r="R18" i="1"/>
  <c r="D18" i="6" s="1"/>
  <c r="S18" i="1"/>
  <c r="E18" i="6" s="1"/>
  <c r="L870" i="6" s="1"/>
  <c r="T18" i="1"/>
  <c r="F18" i="6" s="1"/>
  <c r="Q19" i="1"/>
  <c r="C19" i="6" s="1"/>
  <c r="R19" i="1"/>
  <c r="D19" i="6" s="1"/>
  <c r="S19" i="1"/>
  <c r="E19" i="6" s="1"/>
  <c r="L871" i="6" s="1"/>
  <c r="T19" i="1"/>
  <c r="F19" i="6" s="1"/>
  <c r="Q20" i="1"/>
  <c r="C20" i="6" s="1"/>
  <c r="R20" i="1"/>
  <c r="D20" i="6" s="1"/>
  <c r="S20" i="1"/>
  <c r="E20" i="6" s="1"/>
  <c r="L872" i="6" s="1"/>
  <c r="T20" i="1"/>
  <c r="F20" i="6" s="1"/>
  <c r="Q21" i="1"/>
  <c r="C21" i="6" s="1"/>
  <c r="R21" i="1"/>
  <c r="D21" i="6" s="1"/>
  <c r="S21" i="1"/>
  <c r="E21" i="6" s="1"/>
  <c r="L873" i="6" s="1"/>
  <c r="T21" i="1"/>
  <c r="F21" i="6" s="1"/>
  <c r="Q22" i="1"/>
  <c r="C22" i="6" s="1"/>
  <c r="R22" i="1"/>
  <c r="D22" i="6" s="1"/>
  <c r="S22" i="1"/>
  <c r="E22" i="6" s="1"/>
  <c r="L874" i="6" s="1"/>
  <c r="T22" i="1"/>
  <c r="F22" i="6" s="1"/>
  <c r="Q23" i="1"/>
  <c r="C23" i="6" s="1"/>
  <c r="R23" i="1"/>
  <c r="D23" i="6" s="1"/>
  <c r="S23" i="1"/>
  <c r="E23" i="6" s="1"/>
  <c r="L875" i="6" s="1"/>
  <c r="T23" i="1"/>
  <c r="F23" i="6" s="1"/>
  <c r="Q24" i="1"/>
  <c r="C24" i="6" s="1"/>
  <c r="R24" i="1"/>
  <c r="D24" i="6" s="1"/>
  <c r="S24" i="1"/>
  <c r="E24" i="6" s="1"/>
  <c r="L876" i="6" s="1"/>
  <c r="T24" i="1"/>
  <c r="F24" i="6" s="1"/>
  <c r="Q25" i="1"/>
  <c r="C25" i="6" s="1"/>
  <c r="R25" i="1"/>
  <c r="D25" i="6" s="1"/>
  <c r="S25" i="1"/>
  <c r="E25" i="6" s="1"/>
  <c r="L877" i="6" s="1"/>
  <c r="T25" i="1"/>
  <c r="F25" i="6" s="1"/>
  <c r="Q26" i="1"/>
  <c r="C26" i="6" s="1"/>
  <c r="R26" i="1"/>
  <c r="D26" i="6" s="1"/>
  <c r="S26" i="1"/>
  <c r="E26" i="6" s="1"/>
  <c r="L878" i="6" s="1"/>
  <c r="T26" i="1"/>
  <c r="F26" i="6" s="1"/>
  <c r="Q27" i="1"/>
  <c r="C27" i="6" s="1"/>
  <c r="R27" i="1"/>
  <c r="D27" i="6" s="1"/>
  <c r="S27" i="1"/>
  <c r="E27" i="6" s="1"/>
  <c r="L879" i="6" s="1"/>
  <c r="T27" i="1"/>
  <c r="F27" i="6" s="1"/>
  <c r="Q28" i="1"/>
  <c r="C28" i="6" s="1"/>
  <c r="R28" i="1"/>
  <c r="D28" i="6" s="1"/>
  <c r="S28" i="1"/>
  <c r="E28" i="6" s="1"/>
  <c r="L880" i="6" s="1"/>
  <c r="T28" i="1"/>
  <c r="F28" i="6" s="1"/>
  <c r="Q29" i="1"/>
  <c r="C29" i="6" s="1"/>
  <c r="R29" i="1"/>
  <c r="D29" i="6" s="1"/>
  <c r="S29" i="1"/>
  <c r="E29" i="6" s="1"/>
  <c r="L881" i="6" s="1"/>
  <c r="T29" i="1"/>
  <c r="F29" i="6" s="1"/>
  <c r="Q30" i="1"/>
  <c r="C30" i="6" s="1"/>
  <c r="R30" i="1"/>
  <c r="D30" i="6" s="1"/>
  <c r="S30" i="1"/>
  <c r="E30" i="6" s="1"/>
  <c r="L882" i="6" s="1"/>
  <c r="T30" i="1"/>
  <c r="F30" i="6" s="1"/>
  <c r="Q31" i="1"/>
  <c r="C31" i="6" s="1"/>
  <c r="R31" i="1"/>
  <c r="D31" i="6" s="1"/>
  <c r="S31" i="1"/>
  <c r="E31" i="6" s="1"/>
  <c r="L883" i="6" s="1"/>
  <c r="T31" i="1"/>
  <c r="F31" i="6" s="1"/>
  <c r="Q32" i="1"/>
  <c r="C32" i="6" s="1"/>
  <c r="R32" i="1"/>
  <c r="D32" i="6" s="1"/>
  <c r="S32" i="1"/>
  <c r="E32" i="6" s="1"/>
  <c r="L884" i="6" s="1"/>
  <c r="T32" i="1"/>
  <c r="F32" i="6" s="1"/>
  <c r="Q33" i="1"/>
  <c r="C33" i="6" s="1"/>
  <c r="R33" i="1"/>
  <c r="D33" i="6" s="1"/>
  <c r="S33" i="1"/>
  <c r="E33" i="6" s="1"/>
  <c r="L885" i="6" s="1"/>
  <c r="T33" i="1"/>
  <c r="F33" i="6" s="1"/>
  <c r="Q34" i="1"/>
  <c r="C34" i="6" s="1"/>
  <c r="R34" i="1"/>
  <c r="D34" i="6" s="1"/>
  <c r="S34" i="1"/>
  <c r="E34" i="6" s="1"/>
  <c r="L886" i="6" s="1"/>
  <c r="T34" i="1"/>
  <c r="F34" i="6" s="1"/>
  <c r="Q35" i="1"/>
  <c r="C35" i="6" s="1"/>
  <c r="R35" i="1"/>
  <c r="D35" i="6" s="1"/>
  <c r="S35" i="1"/>
  <c r="E35" i="6" s="1"/>
  <c r="L887" i="6" s="1"/>
  <c r="T35" i="1"/>
  <c r="F35" i="6" s="1"/>
  <c r="Q36" i="1"/>
  <c r="C36" i="6" s="1"/>
  <c r="R36" i="1"/>
  <c r="D36" i="6" s="1"/>
  <c r="S36" i="1"/>
  <c r="E36" i="6" s="1"/>
  <c r="L888" i="6" s="1"/>
  <c r="T36" i="1"/>
  <c r="F36" i="6" s="1"/>
  <c r="Q37" i="1"/>
  <c r="C37" i="6" s="1"/>
  <c r="R37" i="1"/>
  <c r="D37" i="6" s="1"/>
  <c r="S37" i="1"/>
  <c r="E37" i="6" s="1"/>
  <c r="L889" i="6" s="1"/>
  <c r="T37" i="1"/>
  <c r="F37" i="6" s="1"/>
  <c r="Q38" i="1"/>
  <c r="C38" i="6" s="1"/>
  <c r="R38" i="1"/>
  <c r="D38" i="6" s="1"/>
  <c r="S38" i="1"/>
  <c r="E38" i="6" s="1"/>
  <c r="L890" i="6" s="1"/>
  <c r="T38" i="1"/>
  <c r="F38" i="6" s="1"/>
  <c r="Q39" i="1"/>
  <c r="C39" i="6" s="1"/>
  <c r="R39" i="1"/>
  <c r="D39" i="6" s="1"/>
  <c r="S39" i="1"/>
  <c r="E39" i="6" s="1"/>
  <c r="L891" i="6" s="1"/>
  <c r="T39" i="1"/>
  <c r="F39" i="6" s="1"/>
  <c r="Q40" i="1"/>
  <c r="C40" i="6" s="1"/>
  <c r="R40" i="1"/>
  <c r="D40" i="6" s="1"/>
  <c r="S40" i="1"/>
  <c r="E40" i="6" s="1"/>
  <c r="L892" i="6" s="1"/>
  <c r="T40" i="1"/>
  <c r="F40" i="6" s="1"/>
  <c r="Q41" i="1"/>
  <c r="C41" i="6" s="1"/>
  <c r="R41" i="1"/>
  <c r="D41" i="6" s="1"/>
  <c r="S41" i="1"/>
  <c r="E41" i="6" s="1"/>
  <c r="L893" i="6" s="1"/>
  <c r="T41" i="1"/>
  <c r="F41" i="6" s="1"/>
  <c r="Q42" i="1"/>
  <c r="C42" i="6" s="1"/>
  <c r="R42" i="1"/>
  <c r="D42" i="6" s="1"/>
  <c r="S42" i="1"/>
  <c r="E42" i="6" s="1"/>
  <c r="L894" i="6" s="1"/>
  <c r="T42" i="1"/>
  <c r="F42" i="6" s="1"/>
  <c r="Q43" i="1"/>
  <c r="C43" i="6" s="1"/>
  <c r="R43" i="1"/>
  <c r="D43" i="6" s="1"/>
  <c r="S43" i="1"/>
  <c r="E43" i="6" s="1"/>
  <c r="L895" i="6" s="1"/>
  <c r="T43" i="1"/>
  <c r="F43" i="6" s="1"/>
  <c r="Q44" i="1"/>
  <c r="C44" i="6" s="1"/>
  <c r="R44" i="1"/>
  <c r="D44" i="6" s="1"/>
  <c r="S44" i="1"/>
  <c r="E44" i="6" s="1"/>
  <c r="L896" i="6" s="1"/>
  <c r="T44" i="1"/>
  <c r="F44" i="6" s="1"/>
  <c r="Q45" i="1"/>
  <c r="C45" i="6" s="1"/>
  <c r="R45" i="1"/>
  <c r="D45" i="6" s="1"/>
  <c r="S45" i="1"/>
  <c r="E45" i="6" s="1"/>
  <c r="L897" i="6" s="1"/>
  <c r="T45" i="1"/>
  <c r="F45" i="6" s="1"/>
  <c r="Q46" i="1"/>
  <c r="C46" i="6" s="1"/>
  <c r="R46" i="1"/>
  <c r="D46" i="6" s="1"/>
  <c r="S46" i="1"/>
  <c r="E46" i="6" s="1"/>
  <c r="L898" i="6" s="1"/>
  <c r="T46" i="1"/>
  <c r="F46" i="6" s="1"/>
  <c r="Q47" i="1"/>
  <c r="C47" i="6" s="1"/>
  <c r="R47" i="1"/>
  <c r="D47" i="6" s="1"/>
  <c r="S47" i="1"/>
  <c r="E47" i="6" s="1"/>
  <c r="L899" i="6" s="1"/>
  <c r="T47" i="1"/>
  <c r="F47" i="6" s="1"/>
  <c r="Q48" i="1"/>
  <c r="C48" i="6" s="1"/>
  <c r="R48" i="1"/>
  <c r="D48" i="6" s="1"/>
  <c r="S48" i="1"/>
  <c r="E48" i="6" s="1"/>
  <c r="L900" i="6" s="1"/>
  <c r="T48" i="1"/>
  <c r="F48" i="6" s="1"/>
  <c r="Q49" i="1"/>
  <c r="C49" i="6" s="1"/>
  <c r="R49" i="1"/>
  <c r="D49" i="6" s="1"/>
  <c r="S49" i="1"/>
  <c r="E49" i="6" s="1"/>
  <c r="L901" i="6" s="1"/>
  <c r="T49" i="1"/>
  <c r="F49" i="6" s="1"/>
  <c r="Q50" i="1"/>
  <c r="C50" i="6" s="1"/>
  <c r="R50" i="1"/>
  <c r="D50" i="6" s="1"/>
  <c r="S50" i="1"/>
  <c r="E50" i="6" s="1"/>
  <c r="L902" i="6" s="1"/>
  <c r="T50" i="1"/>
  <c r="F50" i="6" s="1"/>
  <c r="Q51" i="1"/>
  <c r="C51" i="6" s="1"/>
  <c r="R51" i="1"/>
  <c r="D51" i="6" s="1"/>
  <c r="S51" i="1"/>
  <c r="E51" i="6" s="1"/>
  <c r="L903" i="6" s="1"/>
  <c r="T51" i="1"/>
  <c r="F51" i="6" s="1"/>
  <c r="Q52" i="1"/>
  <c r="C52" i="6" s="1"/>
  <c r="R52" i="1"/>
  <c r="D52" i="6" s="1"/>
  <c r="S52" i="1"/>
  <c r="E52" i="6" s="1"/>
  <c r="L904" i="6" s="1"/>
  <c r="T52" i="1"/>
  <c r="F52" i="6" s="1"/>
  <c r="Q53" i="1"/>
  <c r="C53" i="6" s="1"/>
  <c r="R53" i="1"/>
  <c r="D53" i="6" s="1"/>
  <c r="S53" i="1"/>
  <c r="E53" i="6" s="1"/>
  <c r="L905" i="6" s="1"/>
  <c r="T53" i="1"/>
  <c r="F53" i="6" s="1"/>
  <c r="Q54" i="1"/>
  <c r="C54" i="6" s="1"/>
  <c r="R54" i="1"/>
  <c r="D54" i="6" s="1"/>
  <c r="S54" i="1"/>
  <c r="E54" i="6" s="1"/>
  <c r="L906" i="6" s="1"/>
  <c r="T54" i="1"/>
  <c r="F54" i="6" s="1"/>
  <c r="Q55" i="1"/>
  <c r="C55" i="6" s="1"/>
  <c r="R55" i="1"/>
  <c r="D55" i="6" s="1"/>
  <c r="S55" i="1"/>
  <c r="E55" i="6" s="1"/>
  <c r="L907" i="6" s="1"/>
  <c r="T55" i="1"/>
  <c r="F55" i="6" s="1"/>
  <c r="Q56" i="1"/>
  <c r="C56" i="6" s="1"/>
  <c r="R56" i="1"/>
  <c r="D56" i="6" s="1"/>
  <c r="S56" i="1"/>
  <c r="E56" i="6" s="1"/>
  <c r="L908" i="6" s="1"/>
  <c r="T56" i="1"/>
  <c r="F56" i="6" s="1"/>
  <c r="Q57" i="1"/>
  <c r="C57" i="6" s="1"/>
  <c r="R57" i="1"/>
  <c r="D57" i="6" s="1"/>
  <c r="S57" i="1"/>
  <c r="E57" i="6" s="1"/>
  <c r="L909" i="6" s="1"/>
  <c r="T57" i="1"/>
  <c r="F57" i="6" s="1"/>
  <c r="Q58" i="1"/>
  <c r="C58" i="6" s="1"/>
  <c r="R58" i="1"/>
  <c r="D58" i="6" s="1"/>
  <c r="S58" i="1"/>
  <c r="E58" i="6" s="1"/>
  <c r="L910" i="6" s="1"/>
  <c r="T58" i="1"/>
  <c r="F58" i="6" s="1"/>
  <c r="Q59" i="1"/>
  <c r="C59" i="6" s="1"/>
  <c r="R59" i="1"/>
  <c r="D59" i="6" s="1"/>
  <c r="S59" i="1"/>
  <c r="E59" i="6" s="1"/>
  <c r="L911" i="6" s="1"/>
  <c r="T59" i="1"/>
  <c r="F59" i="6" s="1"/>
  <c r="Q60" i="1"/>
  <c r="C60" i="6" s="1"/>
  <c r="R60" i="1"/>
  <c r="D60" i="6" s="1"/>
  <c r="S60" i="1"/>
  <c r="E60" i="6" s="1"/>
  <c r="L912" i="6" s="1"/>
  <c r="T60" i="1"/>
  <c r="F60" i="6" s="1"/>
  <c r="Q61" i="1"/>
  <c r="C61" i="6" s="1"/>
  <c r="R61" i="1"/>
  <c r="D61" i="6" s="1"/>
  <c r="S61" i="1"/>
  <c r="E61" i="6" s="1"/>
  <c r="L913" i="6" s="1"/>
  <c r="T61" i="1"/>
  <c r="F61" i="6" s="1"/>
  <c r="Q62" i="1"/>
  <c r="C62" i="6" s="1"/>
  <c r="R62" i="1"/>
  <c r="D62" i="6" s="1"/>
  <c r="S62" i="1"/>
  <c r="E62" i="6" s="1"/>
  <c r="L914" i="6" s="1"/>
  <c r="T62" i="1"/>
  <c r="F62" i="6" s="1"/>
  <c r="Q63" i="1"/>
  <c r="C63" i="6" s="1"/>
  <c r="R63" i="1"/>
  <c r="D63" i="6" s="1"/>
  <c r="S63" i="1"/>
  <c r="E63" i="6" s="1"/>
  <c r="L915" i="6" s="1"/>
  <c r="T63" i="1"/>
  <c r="F63" i="6" s="1"/>
  <c r="Q64" i="1"/>
  <c r="C64" i="6" s="1"/>
  <c r="R64" i="1"/>
  <c r="D64" i="6" s="1"/>
  <c r="S64" i="1"/>
  <c r="E64" i="6" s="1"/>
  <c r="L916" i="6" s="1"/>
  <c r="T64" i="1"/>
  <c r="F64" i="6" s="1"/>
  <c r="Q65" i="1"/>
  <c r="C65" i="6" s="1"/>
  <c r="R65" i="1"/>
  <c r="D65" i="6" s="1"/>
  <c r="S65" i="1"/>
  <c r="E65" i="6" s="1"/>
  <c r="L917" i="6" s="1"/>
  <c r="T65" i="1"/>
  <c r="F65" i="6" s="1"/>
  <c r="Q66" i="1"/>
  <c r="C66" i="6" s="1"/>
  <c r="R66" i="1"/>
  <c r="D66" i="6" s="1"/>
  <c r="S66" i="1"/>
  <c r="E66" i="6" s="1"/>
  <c r="L918" i="6" s="1"/>
  <c r="T66" i="1"/>
  <c r="F66" i="6" s="1"/>
  <c r="Q67" i="1"/>
  <c r="C67" i="6" s="1"/>
  <c r="R67" i="1"/>
  <c r="D67" i="6" s="1"/>
  <c r="S67" i="1"/>
  <c r="E67" i="6" s="1"/>
  <c r="L919" i="6" s="1"/>
  <c r="T67" i="1"/>
  <c r="F67" i="6" s="1"/>
  <c r="Q68" i="1"/>
  <c r="C68" i="6" s="1"/>
  <c r="R68" i="1"/>
  <c r="D68" i="6" s="1"/>
  <c r="S68" i="1"/>
  <c r="E68" i="6" s="1"/>
  <c r="L920" i="6" s="1"/>
  <c r="T68" i="1"/>
  <c r="F68" i="6" s="1"/>
  <c r="Q69" i="1"/>
  <c r="C69" i="6" s="1"/>
  <c r="R69" i="1"/>
  <c r="D69" i="6" s="1"/>
  <c r="S69" i="1"/>
  <c r="E69" i="6" s="1"/>
  <c r="L921" i="6" s="1"/>
  <c r="T69" i="1"/>
  <c r="F69" i="6" s="1"/>
  <c r="Q70" i="1"/>
  <c r="C70" i="6" s="1"/>
  <c r="R70" i="1"/>
  <c r="D70" i="6" s="1"/>
  <c r="S70" i="1"/>
  <c r="E70" i="6" s="1"/>
  <c r="L922" i="6" s="1"/>
  <c r="T70" i="1"/>
  <c r="F70" i="6" s="1"/>
  <c r="Q71" i="1"/>
  <c r="C71" i="6" s="1"/>
  <c r="R71" i="1"/>
  <c r="D71" i="6" s="1"/>
  <c r="S71" i="1"/>
  <c r="E71" i="6" s="1"/>
  <c r="L923" i="6" s="1"/>
  <c r="T71" i="1"/>
  <c r="F71" i="6" s="1"/>
  <c r="Q72" i="1"/>
  <c r="C72" i="6" s="1"/>
  <c r="R72" i="1"/>
  <c r="D72" i="6" s="1"/>
  <c r="S72" i="1"/>
  <c r="E72" i="6" s="1"/>
  <c r="L924" i="6" s="1"/>
  <c r="T72" i="1"/>
  <c r="F72" i="6" s="1"/>
  <c r="Q73" i="1"/>
  <c r="C73" i="6" s="1"/>
  <c r="R73" i="1"/>
  <c r="D73" i="6" s="1"/>
  <c r="S73" i="1"/>
  <c r="E73" i="6" s="1"/>
  <c r="L925" i="6" s="1"/>
  <c r="T73" i="1"/>
  <c r="F73" i="6" s="1"/>
  <c r="Q74" i="1"/>
  <c r="C74" i="6" s="1"/>
  <c r="R74" i="1"/>
  <c r="D74" i="6" s="1"/>
  <c r="S74" i="1"/>
  <c r="E74" i="6" s="1"/>
  <c r="L926" i="6" s="1"/>
  <c r="T74" i="1"/>
  <c r="F74" i="6" s="1"/>
  <c r="Q75" i="1"/>
  <c r="C75" i="6" s="1"/>
  <c r="R75" i="1"/>
  <c r="D75" i="6" s="1"/>
  <c r="S75" i="1"/>
  <c r="E75" i="6" s="1"/>
  <c r="L927" i="6" s="1"/>
  <c r="T75" i="1"/>
  <c r="F75" i="6" s="1"/>
  <c r="Q76" i="1"/>
  <c r="C76" i="6" s="1"/>
  <c r="R76" i="1"/>
  <c r="D76" i="6" s="1"/>
  <c r="S76" i="1"/>
  <c r="E76" i="6" s="1"/>
  <c r="L928" i="6" s="1"/>
  <c r="T76" i="1"/>
  <c r="F76" i="6" s="1"/>
  <c r="Q77" i="1"/>
  <c r="C77" i="6" s="1"/>
  <c r="R77" i="1"/>
  <c r="D77" i="6" s="1"/>
  <c r="S77" i="1"/>
  <c r="E77" i="6" s="1"/>
  <c r="L929" i="6" s="1"/>
  <c r="T77" i="1"/>
  <c r="F77" i="6" s="1"/>
  <c r="Q78" i="1"/>
  <c r="C78" i="6" s="1"/>
  <c r="R78" i="1"/>
  <c r="D78" i="6" s="1"/>
  <c r="S78" i="1"/>
  <c r="E78" i="6" s="1"/>
  <c r="L930" i="6" s="1"/>
  <c r="T78" i="1"/>
  <c r="F78" i="6" s="1"/>
  <c r="Q79" i="1"/>
  <c r="C79" i="6" s="1"/>
  <c r="R79" i="1"/>
  <c r="D79" i="6" s="1"/>
  <c r="S79" i="1"/>
  <c r="E79" i="6" s="1"/>
  <c r="L931" i="6" s="1"/>
  <c r="T79" i="1"/>
  <c r="F79" i="6" s="1"/>
  <c r="Q80" i="1"/>
  <c r="C80" i="6" s="1"/>
  <c r="R80" i="1"/>
  <c r="D80" i="6" s="1"/>
  <c r="S80" i="1"/>
  <c r="E80" i="6" s="1"/>
  <c r="L932" i="6" s="1"/>
  <c r="T80" i="1"/>
  <c r="F80" i="6" s="1"/>
  <c r="Q81" i="1"/>
  <c r="C81" i="6" s="1"/>
  <c r="R81" i="1"/>
  <c r="D81" i="6" s="1"/>
  <c r="S81" i="1"/>
  <c r="E81" i="6" s="1"/>
  <c r="L933" i="6" s="1"/>
  <c r="T81" i="1"/>
  <c r="F81" i="6" s="1"/>
  <c r="Q82" i="1"/>
  <c r="C82" i="6" s="1"/>
  <c r="R82" i="1"/>
  <c r="D82" i="6" s="1"/>
  <c r="S82" i="1"/>
  <c r="E82" i="6" s="1"/>
  <c r="L934" i="6" s="1"/>
  <c r="T82" i="1"/>
  <c r="F82" i="6" s="1"/>
  <c r="Q83" i="1"/>
  <c r="C83" i="6" s="1"/>
  <c r="R83" i="1"/>
  <c r="D83" i="6" s="1"/>
  <c r="S83" i="1"/>
  <c r="E83" i="6" s="1"/>
  <c r="L935" i="6" s="1"/>
  <c r="T83" i="1"/>
  <c r="F83" i="6" s="1"/>
  <c r="Q84" i="1"/>
  <c r="C84" i="6" s="1"/>
  <c r="R84" i="1"/>
  <c r="D84" i="6" s="1"/>
  <c r="S84" i="1"/>
  <c r="E84" i="6" s="1"/>
  <c r="L936" i="6" s="1"/>
  <c r="T84" i="1"/>
  <c r="F84" i="6" s="1"/>
  <c r="Q85" i="1"/>
  <c r="C85" i="6" s="1"/>
  <c r="R85" i="1"/>
  <c r="D85" i="6" s="1"/>
  <c r="S85" i="1"/>
  <c r="E85" i="6" s="1"/>
  <c r="L937" i="6" s="1"/>
  <c r="T85" i="1"/>
  <c r="F85" i="6" s="1"/>
  <c r="Q86" i="1"/>
  <c r="C86" i="6" s="1"/>
  <c r="R86" i="1"/>
  <c r="D86" i="6" s="1"/>
  <c r="S86" i="1"/>
  <c r="E86" i="6" s="1"/>
  <c r="L938" i="6" s="1"/>
  <c r="T86" i="1"/>
  <c r="F86" i="6" s="1"/>
  <c r="Q87" i="1"/>
  <c r="C87" i="6" s="1"/>
  <c r="R87" i="1"/>
  <c r="D87" i="6" s="1"/>
  <c r="S87" i="1"/>
  <c r="E87" i="6" s="1"/>
  <c r="L939" i="6" s="1"/>
  <c r="T87" i="1"/>
  <c r="F87" i="6" s="1"/>
  <c r="Q88" i="1"/>
  <c r="C88" i="6" s="1"/>
  <c r="R88" i="1"/>
  <c r="D88" i="6" s="1"/>
  <c r="S88" i="1"/>
  <c r="E88" i="6" s="1"/>
  <c r="L940" i="6" s="1"/>
  <c r="T88" i="1"/>
  <c r="F88" i="6" s="1"/>
  <c r="Q89" i="1"/>
  <c r="C89" i="6" s="1"/>
  <c r="R89" i="1"/>
  <c r="D89" i="6" s="1"/>
  <c r="S89" i="1"/>
  <c r="E89" i="6" s="1"/>
  <c r="L941" i="6" s="1"/>
  <c r="T89" i="1"/>
  <c r="F89" i="6" s="1"/>
  <c r="Q90" i="1"/>
  <c r="C90" i="6" s="1"/>
  <c r="R90" i="1"/>
  <c r="D90" i="6" s="1"/>
  <c r="S90" i="1"/>
  <c r="E90" i="6" s="1"/>
  <c r="L942" i="6" s="1"/>
  <c r="T90" i="1"/>
  <c r="F90" i="6" s="1"/>
  <c r="Q91" i="1"/>
  <c r="C91" i="6" s="1"/>
  <c r="R91" i="1"/>
  <c r="D91" i="6" s="1"/>
  <c r="S91" i="1"/>
  <c r="E91" i="6" s="1"/>
  <c r="L943" i="6" s="1"/>
  <c r="T91" i="1"/>
  <c r="F91" i="6" s="1"/>
  <c r="Q92" i="1"/>
  <c r="C92" i="6" s="1"/>
  <c r="R92" i="1"/>
  <c r="D92" i="6" s="1"/>
  <c r="S92" i="1"/>
  <c r="E92" i="6" s="1"/>
  <c r="L944" i="6" s="1"/>
  <c r="T92" i="1"/>
  <c r="F92" i="6" s="1"/>
  <c r="Q93" i="1"/>
  <c r="C93" i="6" s="1"/>
  <c r="R93" i="1"/>
  <c r="D93" i="6" s="1"/>
  <c r="S93" i="1"/>
  <c r="E93" i="6" s="1"/>
  <c r="L945" i="6" s="1"/>
  <c r="T93" i="1"/>
  <c r="F93" i="6" s="1"/>
  <c r="Q94" i="1"/>
  <c r="C94" i="6" s="1"/>
  <c r="R94" i="1"/>
  <c r="D94" i="6" s="1"/>
  <c r="S94" i="1"/>
  <c r="E94" i="6" s="1"/>
  <c r="L946" i="6" s="1"/>
  <c r="T94" i="1"/>
  <c r="F94" i="6" s="1"/>
  <c r="Q95" i="1"/>
  <c r="C95" i="6" s="1"/>
  <c r="R95" i="1"/>
  <c r="D95" i="6" s="1"/>
  <c r="S95" i="1"/>
  <c r="E95" i="6" s="1"/>
  <c r="L947" i="6" s="1"/>
  <c r="T95" i="1"/>
  <c r="F95" i="6" s="1"/>
  <c r="Q96" i="1"/>
  <c r="C96" i="6" s="1"/>
  <c r="R96" i="1"/>
  <c r="D96" i="6" s="1"/>
  <c r="S96" i="1"/>
  <c r="E96" i="6" s="1"/>
  <c r="L948" i="6" s="1"/>
  <c r="T96" i="1"/>
  <c r="F96" i="6" s="1"/>
  <c r="Q97" i="1"/>
  <c r="C97" i="6" s="1"/>
  <c r="R97" i="1"/>
  <c r="D97" i="6" s="1"/>
  <c r="S97" i="1"/>
  <c r="E97" i="6" s="1"/>
  <c r="L949" i="6" s="1"/>
  <c r="T97" i="1"/>
  <c r="F97" i="6" s="1"/>
  <c r="Q98" i="1"/>
  <c r="C98" i="6" s="1"/>
  <c r="R98" i="1"/>
  <c r="D98" i="6" s="1"/>
  <c r="S98" i="1"/>
  <c r="E98" i="6" s="1"/>
  <c r="L950" i="6" s="1"/>
  <c r="T98" i="1"/>
  <c r="F98" i="6" s="1"/>
  <c r="Q99" i="1"/>
  <c r="C99" i="6" s="1"/>
  <c r="R99" i="1"/>
  <c r="D99" i="6" s="1"/>
  <c r="S99" i="1"/>
  <c r="E99" i="6" s="1"/>
  <c r="L951" i="6" s="1"/>
  <c r="T99" i="1"/>
  <c r="F99" i="6" s="1"/>
  <c r="Q100" i="1"/>
  <c r="C100" i="6" s="1"/>
  <c r="R100" i="1"/>
  <c r="D100" i="6" s="1"/>
  <c r="S100" i="1"/>
  <c r="E100" i="6" s="1"/>
  <c r="L952" i="6" s="1"/>
  <c r="T100" i="1"/>
  <c r="F100" i="6" s="1"/>
  <c r="Q101" i="1"/>
  <c r="C101" i="6" s="1"/>
  <c r="R101" i="1"/>
  <c r="D101" i="6" s="1"/>
  <c r="S101" i="1"/>
  <c r="E101" i="6" s="1"/>
  <c r="L953" i="6" s="1"/>
  <c r="T101" i="1"/>
  <c r="F101" i="6" s="1"/>
  <c r="Q102" i="1"/>
  <c r="C102" i="6" s="1"/>
  <c r="R102" i="1"/>
  <c r="D102" i="6" s="1"/>
  <c r="S102" i="1"/>
  <c r="E102" i="6" s="1"/>
  <c r="L954" i="6" s="1"/>
  <c r="T102" i="1"/>
  <c r="F102" i="6" s="1"/>
  <c r="Q103" i="1"/>
  <c r="C103" i="6" s="1"/>
  <c r="R103" i="1"/>
  <c r="D103" i="6" s="1"/>
  <c r="S103" i="1"/>
  <c r="E103" i="6" s="1"/>
  <c r="L955" i="6" s="1"/>
  <c r="T103" i="1"/>
  <c r="F103" i="6" s="1"/>
  <c r="Q104" i="1"/>
  <c r="C104" i="6" s="1"/>
  <c r="R104" i="1"/>
  <c r="D104" i="6" s="1"/>
  <c r="S104" i="1"/>
  <c r="E104" i="6" s="1"/>
  <c r="L956" i="6" s="1"/>
  <c r="T104" i="1"/>
  <c r="F104" i="6" s="1"/>
  <c r="Q105" i="1"/>
  <c r="C105" i="6" s="1"/>
  <c r="R105" i="1"/>
  <c r="D105" i="6" s="1"/>
  <c r="S105" i="1"/>
  <c r="E105" i="6" s="1"/>
  <c r="L957" i="6" s="1"/>
  <c r="T105" i="1"/>
  <c r="F105" i="6" s="1"/>
  <c r="Q106" i="1"/>
  <c r="C106" i="6" s="1"/>
  <c r="R106" i="1"/>
  <c r="D106" i="6" s="1"/>
  <c r="S106" i="1"/>
  <c r="E106" i="6" s="1"/>
  <c r="L958" i="6" s="1"/>
  <c r="T106" i="1"/>
  <c r="F106" i="6" s="1"/>
  <c r="Q107" i="1"/>
  <c r="C107" i="6" s="1"/>
  <c r="R107" i="1"/>
  <c r="D107" i="6" s="1"/>
  <c r="S107" i="1"/>
  <c r="E107" i="6" s="1"/>
  <c r="L959" i="6" s="1"/>
  <c r="T107" i="1"/>
  <c r="F107" i="6" s="1"/>
  <c r="Q108" i="1"/>
  <c r="C108" i="6" s="1"/>
  <c r="R108" i="1"/>
  <c r="D108" i="6" s="1"/>
  <c r="S108" i="1"/>
  <c r="E108" i="6" s="1"/>
  <c r="L960" i="6" s="1"/>
  <c r="T108" i="1"/>
  <c r="F108" i="6" s="1"/>
  <c r="Q109" i="1"/>
  <c r="C109" i="6" s="1"/>
  <c r="R109" i="1"/>
  <c r="D109" i="6" s="1"/>
  <c r="S109" i="1"/>
  <c r="E109" i="6" s="1"/>
  <c r="L961" i="6" s="1"/>
  <c r="T109" i="1"/>
  <c r="F109" i="6" s="1"/>
  <c r="Q110" i="1"/>
  <c r="C110" i="6" s="1"/>
  <c r="R110" i="1"/>
  <c r="D110" i="6" s="1"/>
  <c r="S110" i="1"/>
  <c r="E110" i="6" s="1"/>
  <c r="L962" i="6" s="1"/>
  <c r="T110" i="1"/>
  <c r="F110" i="6" s="1"/>
  <c r="Q111" i="1"/>
  <c r="C111" i="6" s="1"/>
  <c r="R111" i="1"/>
  <c r="D111" i="6" s="1"/>
  <c r="S111" i="1"/>
  <c r="E111" i="6" s="1"/>
  <c r="L963" i="6" s="1"/>
  <c r="T111" i="1"/>
  <c r="F111" i="6" s="1"/>
  <c r="Q112" i="1"/>
  <c r="C112" i="6" s="1"/>
  <c r="R112" i="1"/>
  <c r="D112" i="6" s="1"/>
  <c r="S112" i="1"/>
  <c r="E112" i="6" s="1"/>
  <c r="L964" i="6" s="1"/>
  <c r="T112" i="1"/>
  <c r="F112" i="6" s="1"/>
  <c r="Q113" i="1"/>
  <c r="C113" i="6" s="1"/>
  <c r="R113" i="1"/>
  <c r="D113" i="6" s="1"/>
  <c r="S113" i="1"/>
  <c r="E113" i="6" s="1"/>
  <c r="L965" i="6" s="1"/>
  <c r="T113" i="1"/>
  <c r="F113" i="6" s="1"/>
  <c r="Q114" i="1"/>
  <c r="C114" i="6" s="1"/>
  <c r="R114" i="1"/>
  <c r="D114" i="6" s="1"/>
  <c r="S114" i="1"/>
  <c r="E114" i="6" s="1"/>
  <c r="L966" i="6" s="1"/>
  <c r="T114" i="1"/>
  <c r="F114" i="6" s="1"/>
  <c r="Q115" i="1"/>
  <c r="C115" i="6" s="1"/>
  <c r="R115" i="1"/>
  <c r="D115" i="6" s="1"/>
  <c r="S115" i="1"/>
  <c r="E115" i="6" s="1"/>
  <c r="L967" i="6" s="1"/>
  <c r="T115" i="1"/>
  <c r="F115" i="6" s="1"/>
  <c r="Q116" i="1"/>
  <c r="C116" i="6" s="1"/>
  <c r="R116" i="1"/>
  <c r="D116" i="6" s="1"/>
  <c r="S116" i="1"/>
  <c r="E116" i="6" s="1"/>
  <c r="L968" i="6" s="1"/>
  <c r="T116" i="1"/>
  <c r="F116" i="6" s="1"/>
  <c r="Q117" i="1"/>
  <c r="C117" i="6" s="1"/>
  <c r="R117" i="1"/>
  <c r="D117" i="6" s="1"/>
  <c r="S117" i="1"/>
  <c r="E117" i="6" s="1"/>
  <c r="L969" i="6" s="1"/>
  <c r="T117" i="1"/>
  <c r="F117" i="6" s="1"/>
  <c r="Q118" i="1"/>
  <c r="C118" i="6" s="1"/>
  <c r="R118" i="1"/>
  <c r="D118" i="6" s="1"/>
  <c r="S118" i="1"/>
  <c r="E118" i="6" s="1"/>
  <c r="L970" i="6" s="1"/>
  <c r="T118" i="1"/>
  <c r="F118" i="6" s="1"/>
  <c r="Q119" i="1"/>
  <c r="C119" i="6" s="1"/>
  <c r="R119" i="1"/>
  <c r="D119" i="6" s="1"/>
  <c r="S119" i="1"/>
  <c r="E119" i="6" s="1"/>
  <c r="L971" i="6" s="1"/>
  <c r="T119" i="1"/>
  <c r="F119" i="6" s="1"/>
  <c r="Q120" i="1"/>
  <c r="C120" i="6" s="1"/>
  <c r="R120" i="1"/>
  <c r="D120" i="6" s="1"/>
  <c r="S120" i="1"/>
  <c r="E120" i="6" s="1"/>
  <c r="L972" i="6" s="1"/>
  <c r="T120" i="1"/>
  <c r="F120" i="6" s="1"/>
  <c r="Q121" i="1"/>
  <c r="C121" i="6" s="1"/>
  <c r="R121" i="1"/>
  <c r="D121" i="6" s="1"/>
  <c r="S121" i="1"/>
  <c r="E121" i="6" s="1"/>
  <c r="L973" i="6" s="1"/>
  <c r="T121" i="1"/>
  <c r="F121" i="6" s="1"/>
  <c r="Q122" i="1"/>
  <c r="C122" i="6" s="1"/>
  <c r="R122" i="1"/>
  <c r="D122" i="6" s="1"/>
  <c r="S122" i="1"/>
  <c r="E122" i="6" s="1"/>
  <c r="L974" i="6" s="1"/>
  <c r="T122" i="1"/>
  <c r="F122" i="6" s="1"/>
  <c r="Q123" i="1"/>
  <c r="C123" i="6" s="1"/>
  <c r="R123" i="1"/>
  <c r="D123" i="6" s="1"/>
  <c r="S123" i="1"/>
  <c r="E123" i="6" s="1"/>
  <c r="L975" i="6" s="1"/>
  <c r="T123" i="1"/>
  <c r="F123" i="6" s="1"/>
  <c r="Q124" i="1"/>
  <c r="C124" i="6" s="1"/>
  <c r="R124" i="1"/>
  <c r="D124" i="6" s="1"/>
  <c r="S124" i="1"/>
  <c r="E124" i="6" s="1"/>
  <c r="L976" i="6" s="1"/>
  <c r="T124" i="1"/>
  <c r="F124" i="6" s="1"/>
  <c r="Q125" i="1"/>
  <c r="C125" i="6" s="1"/>
  <c r="R125" i="1"/>
  <c r="D125" i="6" s="1"/>
  <c r="S125" i="1"/>
  <c r="E125" i="6" s="1"/>
  <c r="L977" i="6" s="1"/>
  <c r="T125" i="1"/>
  <c r="F125" i="6" s="1"/>
  <c r="Q126" i="1"/>
  <c r="C126" i="6" s="1"/>
  <c r="R126" i="1"/>
  <c r="D126" i="6" s="1"/>
  <c r="S126" i="1"/>
  <c r="E126" i="6" s="1"/>
  <c r="L978" i="6" s="1"/>
  <c r="T126" i="1"/>
  <c r="F126" i="6" s="1"/>
  <c r="Q127" i="1"/>
  <c r="C127" i="6" s="1"/>
  <c r="R127" i="1"/>
  <c r="D127" i="6" s="1"/>
  <c r="S127" i="1"/>
  <c r="E127" i="6" s="1"/>
  <c r="L979" i="6" s="1"/>
  <c r="T127" i="1"/>
  <c r="F127" i="6" s="1"/>
  <c r="Q128" i="1"/>
  <c r="C128" i="6" s="1"/>
  <c r="R128" i="1"/>
  <c r="D128" i="6" s="1"/>
  <c r="S128" i="1"/>
  <c r="E128" i="6" s="1"/>
  <c r="L980" i="6" s="1"/>
  <c r="T128" i="1"/>
  <c r="F128" i="6" s="1"/>
  <c r="Q129" i="1"/>
  <c r="C129" i="6" s="1"/>
  <c r="R129" i="1"/>
  <c r="D129" i="6" s="1"/>
  <c r="S129" i="1"/>
  <c r="E129" i="6" s="1"/>
  <c r="L981" i="6" s="1"/>
  <c r="T129" i="1"/>
  <c r="F129" i="6" s="1"/>
  <c r="Q130" i="1"/>
  <c r="C130" i="6" s="1"/>
  <c r="R130" i="1"/>
  <c r="D130" i="6" s="1"/>
  <c r="S130" i="1"/>
  <c r="E130" i="6" s="1"/>
  <c r="L982" i="6" s="1"/>
  <c r="T130" i="1"/>
  <c r="F130" i="6" s="1"/>
  <c r="Q131" i="1"/>
  <c r="C131" i="6" s="1"/>
  <c r="R131" i="1"/>
  <c r="D131" i="6" s="1"/>
  <c r="S131" i="1"/>
  <c r="E131" i="6" s="1"/>
  <c r="L983" i="6" s="1"/>
  <c r="T131" i="1"/>
  <c r="F131" i="6" s="1"/>
  <c r="Q132" i="1"/>
  <c r="C132" i="6" s="1"/>
  <c r="R132" i="1"/>
  <c r="D132" i="6" s="1"/>
  <c r="S132" i="1"/>
  <c r="E132" i="6" s="1"/>
  <c r="L984" i="6" s="1"/>
  <c r="T132" i="1"/>
  <c r="F132" i="6" s="1"/>
  <c r="Q133" i="1"/>
  <c r="C133" i="6" s="1"/>
  <c r="R133" i="1"/>
  <c r="D133" i="6" s="1"/>
  <c r="S133" i="1"/>
  <c r="E133" i="6" s="1"/>
  <c r="L985" i="6" s="1"/>
  <c r="T133" i="1"/>
  <c r="F133" i="6" s="1"/>
  <c r="Q134" i="1"/>
  <c r="C134" i="6" s="1"/>
  <c r="R134" i="1"/>
  <c r="D134" i="6" s="1"/>
  <c r="S134" i="1"/>
  <c r="E134" i="6" s="1"/>
  <c r="L986" i="6" s="1"/>
  <c r="T134" i="1"/>
  <c r="F134" i="6" s="1"/>
  <c r="Q135" i="1"/>
  <c r="C135" i="6" s="1"/>
  <c r="R135" i="1"/>
  <c r="D135" i="6" s="1"/>
  <c r="S135" i="1"/>
  <c r="E135" i="6" s="1"/>
  <c r="L987" i="6" s="1"/>
  <c r="T135" i="1"/>
  <c r="F135" i="6" s="1"/>
  <c r="Q136" i="1"/>
  <c r="C136" i="6" s="1"/>
  <c r="R136" i="1"/>
  <c r="D136" i="6" s="1"/>
  <c r="S136" i="1"/>
  <c r="E136" i="6" s="1"/>
  <c r="L988" i="6" s="1"/>
  <c r="T136" i="1"/>
  <c r="F136" i="6" s="1"/>
  <c r="Q137" i="1"/>
  <c r="C137" i="6" s="1"/>
  <c r="R137" i="1"/>
  <c r="D137" i="6" s="1"/>
  <c r="S137" i="1"/>
  <c r="E137" i="6" s="1"/>
  <c r="L989" i="6" s="1"/>
  <c r="T137" i="1"/>
  <c r="F137" i="6" s="1"/>
  <c r="Q138" i="1"/>
  <c r="C138" i="6" s="1"/>
  <c r="R138" i="1"/>
  <c r="D138" i="6" s="1"/>
  <c r="S138" i="1"/>
  <c r="E138" i="6" s="1"/>
  <c r="L990" i="6" s="1"/>
  <c r="T138" i="1"/>
  <c r="F138" i="6" s="1"/>
  <c r="Q139" i="1"/>
  <c r="C139" i="6" s="1"/>
  <c r="R139" i="1"/>
  <c r="D139" i="6" s="1"/>
  <c r="S139" i="1"/>
  <c r="E139" i="6" s="1"/>
  <c r="L991" i="6" s="1"/>
  <c r="T139" i="1"/>
  <c r="F139" i="6" s="1"/>
  <c r="Q140" i="1"/>
  <c r="C140" i="6" s="1"/>
  <c r="R140" i="1"/>
  <c r="D140" i="6" s="1"/>
  <c r="S140" i="1"/>
  <c r="E140" i="6" s="1"/>
  <c r="L992" i="6" s="1"/>
  <c r="T140" i="1"/>
  <c r="F140" i="6" s="1"/>
  <c r="Q141" i="1"/>
  <c r="C141" i="6" s="1"/>
  <c r="R141" i="1"/>
  <c r="D141" i="6" s="1"/>
  <c r="S141" i="1"/>
  <c r="E141" i="6" s="1"/>
  <c r="L993" i="6" s="1"/>
  <c r="T141" i="1"/>
  <c r="F141" i="6" s="1"/>
  <c r="Q142" i="1"/>
  <c r="C142" i="6" s="1"/>
  <c r="R142" i="1"/>
  <c r="D142" i="6" s="1"/>
  <c r="S142" i="1"/>
  <c r="E142" i="6" s="1"/>
  <c r="L994" i="6" s="1"/>
  <c r="T142" i="1"/>
  <c r="F142" i="6" s="1"/>
  <c r="Q143" i="1"/>
  <c r="C143" i="6" s="1"/>
  <c r="R143" i="1"/>
  <c r="D143" i="6" s="1"/>
  <c r="S143" i="1"/>
  <c r="E143" i="6" s="1"/>
  <c r="L995" i="6" s="1"/>
  <c r="T143" i="1"/>
  <c r="F143" i="6" s="1"/>
  <c r="Q144" i="1"/>
  <c r="C144" i="6" s="1"/>
  <c r="R144" i="1"/>
  <c r="D144" i="6" s="1"/>
  <c r="S144" i="1"/>
  <c r="E144" i="6" s="1"/>
  <c r="L996" i="6" s="1"/>
  <c r="T144" i="1"/>
  <c r="F144" i="6" s="1"/>
  <c r="Q145" i="1"/>
  <c r="C145" i="6" s="1"/>
  <c r="R145" i="1"/>
  <c r="D145" i="6" s="1"/>
  <c r="S145" i="1"/>
  <c r="E145" i="6" s="1"/>
  <c r="L997" i="6" s="1"/>
  <c r="T145" i="1"/>
  <c r="F145" i="6" s="1"/>
  <c r="Q146" i="1"/>
  <c r="C146" i="6" s="1"/>
  <c r="R146" i="1"/>
  <c r="D146" i="6" s="1"/>
  <c r="S146" i="1"/>
  <c r="E146" i="6" s="1"/>
  <c r="L998" i="6" s="1"/>
  <c r="T146" i="1"/>
  <c r="F146" i="6" s="1"/>
  <c r="Q147" i="1"/>
  <c r="C147" i="6" s="1"/>
  <c r="R147" i="1"/>
  <c r="D147" i="6" s="1"/>
  <c r="S147" i="1"/>
  <c r="E147" i="6" s="1"/>
  <c r="L999" i="6" s="1"/>
  <c r="T147" i="1"/>
  <c r="F147" i="6" s="1"/>
  <c r="Q148" i="1"/>
  <c r="C148" i="6" s="1"/>
  <c r="R148" i="1"/>
  <c r="D148" i="6" s="1"/>
  <c r="S148" i="1"/>
  <c r="E148" i="6" s="1"/>
  <c r="L1000" i="6" s="1"/>
  <c r="T148" i="1"/>
  <c r="F148" i="6" s="1"/>
  <c r="Q149" i="1"/>
  <c r="C149" i="6" s="1"/>
  <c r="R149" i="1"/>
  <c r="D149" i="6" s="1"/>
  <c r="S149" i="1"/>
  <c r="E149" i="6" s="1"/>
  <c r="L1001" i="6" s="1"/>
  <c r="T149" i="1"/>
  <c r="F149" i="6" s="1"/>
  <c r="Q150" i="1"/>
  <c r="C150" i="6" s="1"/>
  <c r="R150" i="1"/>
  <c r="D150" i="6" s="1"/>
  <c r="S150" i="1"/>
  <c r="E150" i="6" s="1"/>
  <c r="L1002" i="6" s="1"/>
  <c r="T150" i="1"/>
  <c r="F150" i="6" s="1"/>
  <c r="Q151" i="1"/>
  <c r="C151" i="6" s="1"/>
  <c r="R151" i="1"/>
  <c r="D151" i="6" s="1"/>
  <c r="S151" i="1"/>
  <c r="E151" i="6" s="1"/>
  <c r="L1003" i="6" s="1"/>
  <c r="T151" i="1"/>
  <c r="F151" i="6" s="1"/>
  <c r="Q152" i="1"/>
  <c r="C152" i="6" s="1"/>
  <c r="R152" i="1"/>
  <c r="D152" i="6" s="1"/>
  <c r="S152" i="1"/>
  <c r="E152" i="6" s="1"/>
  <c r="L1004" i="6" s="1"/>
  <c r="T152" i="1"/>
  <c r="F152" i="6" s="1"/>
  <c r="Q153" i="1"/>
  <c r="C153" i="6" s="1"/>
  <c r="R153" i="1"/>
  <c r="D153" i="6" s="1"/>
  <c r="S153" i="1"/>
  <c r="E153" i="6" s="1"/>
  <c r="L1005" i="6" s="1"/>
  <c r="T153" i="1"/>
  <c r="F153" i="6" s="1"/>
  <c r="Q154" i="1"/>
  <c r="C154" i="6" s="1"/>
  <c r="R154" i="1"/>
  <c r="D154" i="6" s="1"/>
  <c r="S154" i="1"/>
  <c r="E154" i="6" s="1"/>
  <c r="L1006" i="6" s="1"/>
  <c r="T154" i="1"/>
  <c r="F154" i="6" s="1"/>
  <c r="Q155" i="1"/>
  <c r="C155" i="6" s="1"/>
  <c r="R155" i="1"/>
  <c r="D155" i="6" s="1"/>
  <c r="S155" i="1"/>
  <c r="E155" i="6" s="1"/>
  <c r="L1007" i="6" s="1"/>
  <c r="T155" i="1"/>
  <c r="F155" i="6" s="1"/>
  <c r="Q156" i="1"/>
  <c r="C156" i="6" s="1"/>
  <c r="R156" i="1"/>
  <c r="D156" i="6" s="1"/>
  <c r="S156" i="1"/>
  <c r="E156" i="6" s="1"/>
  <c r="L1008" i="6" s="1"/>
  <c r="T156" i="1"/>
  <c r="F156" i="6" s="1"/>
  <c r="Q157" i="1"/>
  <c r="C157" i="6" s="1"/>
  <c r="R157" i="1"/>
  <c r="D157" i="6" s="1"/>
  <c r="S157" i="1"/>
  <c r="E157" i="6" s="1"/>
  <c r="L1009" i="6" s="1"/>
  <c r="T157" i="1"/>
  <c r="F157" i="6" s="1"/>
  <c r="Q158" i="1"/>
  <c r="C158" i="6" s="1"/>
  <c r="R158" i="1"/>
  <c r="D158" i="6" s="1"/>
  <c r="S158" i="1"/>
  <c r="E158" i="6" s="1"/>
  <c r="L1010" i="6" s="1"/>
  <c r="T158" i="1"/>
  <c r="F158" i="6" s="1"/>
  <c r="Q159" i="1"/>
  <c r="C159" i="6" s="1"/>
  <c r="R159" i="1"/>
  <c r="D159" i="6" s="1"/>
  <c r="S159" i="1"/>
  <c r="E159" i="6" s="1"/>
  <c r="L1011" i="6" s="1"/>
  <c r="T159" i="1"/>
  <c r="F159" i="6" s="1"/>
  <c r="Q160" i="1"/>
  <c r="C160" i="6" s="1"/>
  <c r="R160" i="1"/>
  <c r="D160" i="6" s="1"/>
  <c r="S160" i="1"/>
  <c r="E160" i="6" s="1"/>
  <c r="L1012" i="6" s="1"/>
  <c r="T160" i="1"/>
  <c r="F160" i="6" s="1"/>
  <c r="Q161" i="1"/>
  <c r="C161" i="6" s="1"/>
  <c r="R161" i="1"/>
  <c r="D161" i="6" s="1"/>
  <c r="S161" i="1"/>
  <c r="E161" i="6" s="1"/>
  <c r="L1013" i="6" s="1"/>
  <c r="T161" i="1"/>
  <c r="F161" i="6" s="1"/>
  <c r="Q162" i="1"/>
  <c r="C162" i="6" s="1"/>
  <c r="R162" i="1"/>
  <c r="D162" i="6" s="1"/>
  <c r="S162" i="1"/>
  <c r="E162" i="6" s="1"/>
  <c r="L1014" i="6" s="1"/>
  <c r="T162" i="1"/>
  <c r="F162" i="6" s="1"/>
  <c r="Q163" i="1"/>
  <c r="C163" i="6" s="1"/>
  <c r="R163" i="1"/>
  <c r="D163" i="6" s="1"/>
  <c r="S163" i="1"/>
  <c r="E163" i="6" s="1"/>
  <c r="L1015" i="6" s="1"/>
  <c r="T163" i="1"/>
  <c r="F163" i="6" s="1"/>
  <c r="Q164" i="1"/>
  <c r="C164" i="6" s="1"/>
  <c r="R164" i="1"/>
  <c r="D164" i="6" s="1"/>
  <c r="S164" i="1"/>
  <c r="E164" i="6" s="1"/>
  <c r="L1016" i="6" s="1"/>
  <c r="T164" i="1"/>
  <c r="F164" i="6" s="1"/>
  <c r="Q165" i="1"/>
  <c r="C165" i="6" s="1"/>
  <c r="R165" i="1"/>
  <c r="D165" i="6" s="1"/>
  <c r="S165" i="1"/>
  <c r="E165" i="6" s="1"/>
  <c r="L1017" i="6" s="1"/>
  <c r="T165" i="1"/>
  <c r="F165" i="6" s="1"/>
  <c r="Q166" i="1"/>
  <c r="C166" i="6" s="1"/>
  <c r="R166" i="1"/>
  <c r="D166" i="6" s="1"/>
  <c r="S166" i="1"/>
  <c r="E166" i="6" s="1"/>
  <c r="L1018" i="6" s="1"/>
  <c r="T166" i="1"/>
  <c r="F166" i="6" s="1"/>
  <c r="Q167" i="1"/>
  <c r="C167" i="6" s="1"/>
  <c r="R167" i="1"/>
  <c r="D167" i="6" s="1"/>
  <c r="S167" i="1"/>
  <c r="E167" i="6" s="1"/>
  <c r="L1019" i="6" s="1"/>
  <c r="T167" i="1"/>
  <c r="F167" i="6" s="1"/>
  <c r="Q168" i="1"/>
  <c r="C168" i="6" s="1"/>
  <c r="R168" i="1"/>
  <c r="D168" i="6" s="1"/>
  <c r="S168" i="1"/>
  <c r="E168" i="6" s="1"/>
  <c r="L1020" i="6" s="1"/>
  <c r="T168" i="1"/>
  <c r="F168" i="6" s="1"/>
  <c r="Q169" i="1"/>
  <c r="C169" i="6" s="1"/>
  <c r="R169" i="1"/>
  <c r="D169" i="6" s="1"/>
  <c r="S169" i="1"/>
  <c r="E169" i="6" s="1"/>
  <c r="L1021" i="6" s="1"/>
  <c r="T169" i="1"/>
  <c r="F169" i="6" s="1"/>
  <c r="Q170" i="1"/>
  <c r="C170" i="6" s="1"/>
  <c r="R170" i="1"/>
  <c r="D170" i="6" s="1"/>
  <c r="S170" i="1"/>
  <c r="E170" i="6" s="1"/>
  <c r="L1022" i="6" s="1"/>
  <c r="T170" i="1"/>
  <c r="F170" i="6" s="1"/>
  <c r="Q171" i="1"/>
  <c r="C171" i="6" s="1"/>
  <c r="R171" i="1"/>
  <c r="D171" i="6" s="1"/>
  <c r="S171" i="1"/>
  <c r="E171" i="6" s="1"/>
  <c r="L1023" i="6" s="1"/>
  <c r="T171" i="1"/>
  <c r="F171" i="6" s="1"/>
  <c r="Q172" i="1"/>
  <c r="C172" i="6" s="1"/>
  <c r="R172" i="1"/>
  <c r="D172" i="6" s="1"/>
  <c r="S172" i="1"/>
  <c r="E172" i="6" s="1"/>
  <c r="L1024" i="6" s="1"/>
  <c r="T172" i="1"/>
  <c r="F172" i="6" s="1"/>
  <c r="Q173" i="1"/>
  <c r="C173" i="6" s="1"/>
  <c r="R173" i="1"/>
  <c r="D173" i="6" s="1"/>
  <c r="S173" i="1"/>
  <c r="E173" i="6" s="1"/>
  <c r="L1025" i="6" s="1"/>
  <c r="T173" i="1"/>
  <c r="F173" i="6" s="1"/>
  <c r="Q174" i="1"/>
  <c r="C174" i="6" s="1"/>
  <c r="R174" i="1"/>
  <c r="D174" i="6" s="1"/>
  <c r="S174" i="1"/>
  <c r="E174" i="6" s="1"/>
  <c r="L1026" i="6" s="1"/>
  <c r="T174" i="1"/>
  <c r="F174" i="6" s="1"/>
  <c r="Q175" i="1"/>
  <c r="C175" i="6" s="1"/>
  <c r="R175" i="1"/>
  <c r="D175" i="6" s="1"/>
  <c r="S175" i="1"/>
  <c r="E175" i="6" s="1"/>
  <c r="L1027" i="6" s="1"/>
  <c r="T175" i="1"/>
  <c r="F175" i="6" s="1"/>
  <c r="Q176" i="1"/>
  <c r="C176" i="6" s="1"/>
  <c r="R176" i="1"/>
  <c r="D176" i="6" s="1"/>
  <c r="S176" i="1"/>
  <c r="E176" i="6" s="1"/>
  <c r="L1028" i="6" s="1"/>
  <c r="T176" i="1"/>
  <c r="F176" i="6" s="1"/>
  <c r="Q177" i="1"/>
  <c r="C177" i="6" s="1"/>
  <c r="R177" i="1"/>
  <c r="D177" i="6" s="1"/>
  <c r="S177" i="1"/>
  <c r="E177" i="6" s="1"/>
  <c r="L1029" i="6" s="1"/>
  <c r="T177" i="1"/>
  <c r="F177" i="6" s="1"/>
  <c r="Q178" i="1"/>
  <c r="C178" i="6" s="1"/>
  <c r="R178" i="1"/>
  <c r="D178" i="6" s="1"/>
  <c r="S178" i="1"/>
  <c r="E178" i="6" s="1"/>
  <c r="L1030" i="6" s="1"/>
  <c r="T178" i="1"/>
  <c r="F178" i="6" s="1"/>
  <c r="Q179" i="1"/>
  <c r="C179" i="6" s="1"/>
  <c r="R179" i="1"/>
  <c r="D179" i="6" s="1"/>
  <c r="S179" i="1"/>
  <c r="E179" i="6" s="1"/>
  <c r="L1031" i="6" s="1"/>
  <c r="T179" i="1"/>
  <c r="F179" i="6" s="1"/>
  <c r="Q180" i="1"/>
  <c r="C180" i="6" s="1"/>
  <c r="R180" i="1"/>
  <c r="D180" i="6" s="1"/>
  <c r="S180" i="1"/>
  <c r="E180" i="6" s="1"/>
  <c r="L1032" i="6" s="1"/>
  <c r="T180" i="1"/>
  <c r="F180" i="6" s="1"/>
  <c r="Q181" i="1"/>
  <c r="C181" i="6" s="1"/>
  <c r="R181" i="1"/>
  <c r="D181" i="6" s="1"/>
  <c r="S181" i="1"/>
  <c r="E181" i="6" s="1"/>
  <c r="L1033" i="6" s="1"/>
  <c r="T181" i="1"/>
  <c r="F181" i="6" s="1"/>
  <c r="Q182" i="1"/>
  <c r="C182" i="6" s="1"/>
  <c r="R182" i="1"/>
  <c r="D182" i="6" s="1"/>
  <c r="S182" i="1"/>
  <c r="E182" i="6" s="1"/>
  <c r="L1034" i="6" s="1"/>
  <c r="T182" i="1"/>
  <c r="F182" i="6" s="1"/>
  <c r="Q183" i="1"/>
  <c r="C183" i="6" s="1"/>
  <c r="R183" i="1"/>
  <c r="D183" i="6" s="1"/>
  <c r="S183" i="1"/>
  <c r="E183" i="6" s="1"/>
  <c r="L1035" i="6" s="1"/>
  <c r="T183" i="1"/>
  <c r="F183" i="6" s="1"/>
  <c r="Q184" i="1"/>
  <c r="C184" i="6" s="1"/>
  <c r="R184" i="1"/>
  <c r="D184" i="6" s="1"/>
  <c r="S184" i="1"/>
  <c r="E184" i="6" s="1"/>
  <c r="L1036" i="6" s="1"/>
  <c r="T184" i="1"/>
  <c r="F184" i="6" s="1"/>
  <c r="Q185" i="1"/>
  <c r="C185" i="6" s="1"/>
  <c r="R185" i="1"/>
  <c r="D185" i="6" s="1"/>
  <c r="S185" i="1"/>
  <c r="E185" i="6" s="1"/>
  <c r="L1037" i="6" s="1"/>
  <c r="T185" i="1"/>
  <c r="F185" i="6" s="1"/>
  <c r="Q186" i="1"/>
  <c r="C186" i="6" s="1"/>
  <c r="R186" i="1"/>
  <c r="D186" i="6" s="1"/>
  <c r="S186" i="1"/>
  <c r="E186" i="6" s="1"/>
  <c r="L1038" i="6" s="1"/>
  <c r="T186" i="1"/>
  <c r="F186" i="6" s="1"/>
  <c r="Q187" i="1"/>
  <c r="C187" i="6" s="1"/>
  <c r="R187" i="1"/>
  <c r="D187" i="6" s="1"/>
  <c r="S187" i="1"/>
  <c r="E187" i="6" s="1"/>
  <c r="L1039" i="6" s="1"/>
  <c r="T187" i="1"/>
  <c r="F187" i="6" s="1"/>
  <c r="Q188" i="1"/>
  <c r="C188" i="6" s="1"/>
  <c r="R188" i="1"/>
  <c r="D188" i="6" s="1"/>
  <c r="S188" i="1"/>
  <c r="E188" i="6" s="1"/>
  <c r="L1040" i="6" s="1"/>
  <c r="T188" i="1"/>
  <c r="F188" i="6" s="1"/>
  <c r="Q189" i="1"/>
  <c r="C189" i="6" s="1"/>
  <c r="R189" i="1"/>
  <c r="D189" i="6" s="1"/>
  <c r="S189" i="1"/>
  <c r="E189" i="6" s="1"/>
  <c r="L1041" i="6" s="1"/>
  <c r="T189" i="1"/>
  <c r="F189" i="6" s="1"/>
  <c r="Q190" i="1"/>
  <c r="C190" i="6" s="1"/>
  <c r="R190" i="1"/>
  <c r="D190" i="6" s="1"/>
  <c r="S190" i="1"/>
  <c r="E190" i="6" s="1"/>
  <c r="L1042" i="6" s="1"/>
  <c r="T190" i="1"/>
  <c r="F190" i="6" s="1"/>
  <c r="Q191" i="1"/>
  <c r="C191" i="6" s="1"/>
  <c r="R191" i="1"/>
  <c r="D191" i="6" s="1"/>
  <c r="S191" i="1"/>
  <c r="E191" i="6" s="1"/>
  <c r="L1043" i="6" s="1"/>
  <c r="T191" i="1"/>
  <c r="F191" i="6" s="1"/>
  <c r="Q192" i="1"/>
  <c r="C192" i="6" s="1"/>
  <c r="R192" i="1"/>
  <c r="D192" i="6" s="1"/>
  <c r="S192" i="1"/>
  <c r="E192" i="6" s="1"/>
  <c r="L1044" i="6" s="1"/>
  <c r="T192" i="1"/>
  <c r="F192" i="6" s="1"/>
  <c r="Q193" i="1"/>
  <c r="C193" i="6" s="1"/>
  <c r="R193" i="1"/>
  <c r="D193" i="6" s="1"/>
  <c r="S193" i="1"/>
  <c r="E193" i="6" s="1"/>
  <c r="L1045" i="6" s="1"/>
  <c r="T193" i="1"/>
  <c r="F193" i="6" s="1"/>
  <c r="Q194" i="1"/>
  <c r="C194" i="6" s="1"/>
  <c r="R194" i="1"/>
  <c r="D194" i="6" s="1"/>
  <c r="S194" i="1"/>
  <c r="E194" i="6" s="1"/>
  <c r="L1046" i="6" s="1"/>
  <c r="T194" i="1"/>
  <c r="F194" i="6" s="1"/>
  <c r="Q195" i="1"/>
  <c r="C195" i="6" s="1"/>
  <c r="R195" i="1"/>
  <c r="D195" i="6" s="1"/>
  <c r="S195" i="1"/>
  <c r="E195" i="6" s="1"/>
  <c r="L1047" i="6" s="1"/>
  <c r="T195" i="1"/>
  <c r="F195" i="6" s="1"/>
  <c r="Q196" i="1"/>
  <c r="C196" i="6" s="1"/>
  <c r="R196" i="1"/>
  <c r="D196" i="6" s="1"/>
  <c r="S196" i="1"/>
  <c r="E196" i="6" s="1"/>
  <c r="L1048" i="6" s="1"/>
  <c r="T196" i="1"/>
  <c r="F196" i="6" s="1"/>
  <c r="Q197" i="1"/>
  <c r="C197" i="6" s="1"/>
  <c r="R197" i="1"/>
  <c r="D197" i="6" s="1"/>
  <c r="S197" i="1"/>
  <c r="E197" i="6" s="1"/>
  <c r="L1049" i="6" s="1"/>
  <c r="T197" i="1"/>
  <c r="F197" i="6" s="1"/>
  <c r="Q198" i="1"/>
  <c r="C198" i="6" s="1"/>
  <c r="R198" i="1"/>
  <c r="D198" i="6" s="1"/>
  <c r="S198" i="1"/>
  <c r="E198" i="6" s="1"/>
  <c r="L1050" i="6" s="1"/>
  <c r="T198" i="1"/>
  <c r="F198" i="6" s="1"/>
  <c r="Q199" i="1"/>
  <c r="C199" i="6" s="1"/>
  <c r="R199" i="1"/>
  <c r="D199" i="6" s="1"/>
  <c r="S199" i="1"/>
  <c r="E199" i="6" s="1"/>
  <c r="L1051" i="6" s="1"/>
  <c r="T199" i="1"/>
  <c r="F199" i="6" s="1"/>
  <c r="Q200" i="1"/>
  <c r="C200" i="6" s="1"/>
  <c r="R200" i="1"/>
  <c r="D200" i="6" s="1"/>
  <c r="S200" i="1"/>
  <c r="E200" i="6" s="1"/>
  <c r="L1052" i="6" s="1"/>
  <c r="T200" i="1"/>
  <c r="F200" i="6" s="1"/>
  <c r="Q201" i="1"/>
  <c r="C201" i="6" s="1"/>
  <c r="R201" i="1"/>
  <c r="D201" i="6" s="1"/>
  <c r="S201" i="1"/>
  <c r="E201" i="6" s="1"/>
  <c r="L1053" i="6" s="1"/>
  <c r="T201" i="1"/>
  <c r="F201" i="6" s="1"/>
  <c r="Q202" i="1"/>
  <c r="C202" i="6" s="1"/>
  <c r="R202" i="1"/>
  <c r="D202" i="6" s="1"/>
  <c r="S202" i="1"/>
  <c r="E202" i="6" s="1"/>
  <c r="L1054" i="6" s="1"/>
  <c r="T202" i="1"/>
  <c r="F202" i="6" s="1"/>
  <c r="Q203" i="1"/>
  <c r="C203" i="6" s="1"/>
  <c r="R203" i="1"/>
  <c r="D203" i="6" s="1"/>
  <c r="S203" i="1"/>
  <c r="E203" i="6" s="1"/>
  <c r="L1055" i="6" s="1"/>
  <c r="T203" i="1"/>
  <c r="F203" i="6" s="1"/>
  <c r="Q204" i="1"/>
  <c r="C204" i="6" s="1"/>
  <c r="R204" i="1"/>
  <c r="D204" i="6" s="1"/>
  <c r="S204" i="1"/>
  <c r="E204" i="6" s="1"/>
  <c r="L1056" i="6" s="1"/>
  <c r="T204" i="1"/>
  <c r="F204" i="6" s="1"/>
  <c r="Q205" i="1"/>
  <c r="C205" i="6" s="1"/>
  <c r="R205" i="1"/>
  <c r="D205" i="6" s="1"/>
  <c r="S205" i="1"/>
  <c r="E205" i="6" s="1"/>
  <c r="L1057" i="6" s="1"/>
  <c r="T205" i="1"/>
  <c r="F205" i="6" s="1"/>
  <c r="Q206" i="1"/>
  <c r="C206" i="6" s="1"/>
  <c r="R206" i="1"/>
  <c r="D206" i="6" s="1"/>
  <c r="S206" i="1"/>
  <c r="E206" i="6" s="1"/>
  <c r="L1058" i="6" s="1"/>
  <c r="T206" i="1"/>
  <c r="F206" i="6" s="1"/>
  <c r="Q207" i="1"/>
  <c r="C207" i="6" s="1"/>
  <c r="R207" i="1"/>
  <c r="D207" i="6" s="1"/>
  <c r="S207" i="1"/>
  <c r="E207" i="6" s="1"/>
  <c r="L1059" i="6" s="1"/>
  <c r="T207" i="1"/>
  <c r="F207" i="6" s="1"/>
  <c r="Q208" i="1"/>
  <c r="C208" i="6" s="1"/>
  <c r="R208" i="1"/>
  <c r="D208" i="6" s="1"/>
  <c r="S208" i="1"/>
  <c r="E208" i="6" s="1"/>
  <c r="L1060" i="6" s="1"/>
  <c r="T208" i="1"/>
  <c r="F208" i="6" s="1"/>
  <c r="Q209" i="1"/>
  <c r="C209" i="6" s="1"/>
  <c r="R209" i="1"/>
  <c r="D209" i="6" s="1"/>
  <c r="S209" i="1"/>
  <c r="E209" i="6" s="1"/>
  <c r="L1061" i="6" s="1"/>
  <c r="T209" i="1"/>
  <c r="F209" i="6" s="1"/>
  <c r="Q210" i="1"/>
  <c r="C210" i="6" s="1"/>
  <c r="R210" i="1"/>
  <c r="D210" i="6" s="1"/>
  <c r="S210" i="1"/>
  <c r="E210" i="6" s="1"/>
  <c r="L1062" i="6" s="1"/>
  <c r="T210" i="1"/>
  <c r="F210" i="6" s="1"/>
  <c r="Q211" i="1"/>
  <c r="C211" i="6" s="1"/>
  <c r="R211" i="1"/>
  <c r="D211" i="6" s="1"/>
  <c r="S211" i="1"/>
  <c r="E211" i="6" s="1"/>
  <c r="L1063" i="6" s="1"/>
  <c r="T211" i="1"/>
  <c r="F211" i="6" s="1"/>
  <c r="Q212" i="1"/>
  <c r="C212" i="6" s="1"/>
  <c r="R212" i="1"/>
  <c r="D212" i="6" s="1"/>
  <c r="S212" i="1"/>
  <c r="E212" i="6" s="1"/>
  <c r="L1064" i="6" s="1"/>
  <c r="T212" i="1"/>
  <c r="F212" i="6" s="1"/>
  <c r="Q213" i="1"/>
  <c r="C213" i="6" s="1"/>
  <c r="R213" i="1"/>
  <c r="D213" i="6" s="1"/>
  <c r="S213" i="1"/>
  <c r="E213" i="6" s="1"/>
  <c r="L1065" i="6" s="1"/>
  <c r="T213" i="1"/>
  <c r="F213" i="6" s="1"/>
  <c r="Q214" i="1"/>
  <c r="C214" i="6" s="1"/>
  <c r="R214" i="1"/>
  <c r="D214" i="6" s="1"/>
  <c r="S214" i="1"/>
  <c r="E214" i="6" s="1"/>
  <c r="L1066" i="6" s="1"/>
  <c r="T214" i="1"/>
  <c r="F214" i="6" s="1"/>
  <c r="Q215" i="1"/>
  <c r="C215" i="6" s="1"/>
  <c r="R215" i="1"/>
  <c r="D215" i="6" s="1"/>
  <c r="S215" i="1"/>
  <c r="E215" i="6" s="1"/>
  <c r="L1067" i="6" s="1"/>
  <c r="T215" i="1"/>
  <c r="F215" i="6" s="1"/>
  <c r="Q216" i="1"/>
  <c r="C216" i="6" s="1"/>
  <c r="R216" i="1"/>
  <c r="D216" i="6" s="1"/>
  <c r="S216" i="1"/>
  <c r="E216" i="6" s="1"/>
  <c r="L1068" i="6" s="1"/>
  <c r="T216" i="1"/>
  <c r="F216" i="6" s="1"/>
  <c r="Q217" i="1"/>
  <c r="C217" i="6" s="1"/>
  <c r="R217" i="1"/>
  <c r="D217" i="6" s="1"/>
  <c r="S217" i="1"/>
  <c r="E217" i="6" s="1"/>
  <c r="L1069" i="6" s="1"/>
  <c r="T217" i="1"/>
  <c r="F217" i="6" s="1"/>
  <c r="Q218" i="1"/>
  <c r="C218" i="6" s="1"/>
  <c r="R218" i="1"/>
  <c r="D218" i="6" s="1"/>
  <c r="S218" i="1"/>
  <c r="E218" i="6" s="1"/>
  <c r="L1070" i="6" s="1"/>
  <c r="T218" i="1"/>
  <c r="F218" i="6" s="1"/>
  <c r="Q219" i="1"/>
  <c r="C219" i="6" s="1"/>
  <c r="R219" i="1"/>
  <c r="D219" i="6" s="1"/>
  <c r="S219" i="1"/>
  <c r="E219" i="6" s="1"/>
  <c r="L1071" i="6" s="1"/>
  <c r="T219" i="1"/>
  <c r="F219" i="6" s="1"/>
  <c r="Q220" i="1"/>
  <c r="C220" i="6" s="1"/>
  <c r="R220" i="1"/>
  <c r="D220" i="6" s="1"/>
  <c r="S220" i="1"/>
  <c r="E220" i="6" s="1"/>
  <c r="L1072" i="6" s="1"/>
  <c r="T220" i="1"/>
  <c r="F220" i="6" s="1"/>
  <c r="Q221" i="1"/>
  <c r="C221" i="6" s="1"/>
  <c r="R221" i="1"/>
  <c r="D221" i="6" s="1"/>
  <c r="S221" i="1"/>
  <c r="E221" i="6" s="1"/>
  <c r="L1073" i="6" s="1"/>
  <c r="T221" i="1"/>
  <c r="F221" i="6" s="1"/>
  <c r="Q222" i="1"/>
  <c r="C222" i="6" s="1"/>
  <c r="R222" i="1"/>
  <c r="D222" i="6" s="1"/>
  <c r="S222" i="1"/>
  <c r="E222" i="6" s="1"/>
  <c r="L1074" i="6" s="1"/>
  <c r="T222" i="1"/>
  <c r="F222" i="6" s="1"/>
  <c r="Q223" i="1"/>
  <c r="C223" i="6" s="1"/>
  <c r="R223" i="1"/>
  <c r="D223" i="6" s="1"/>
  <c r="S223" i="1"/>
  <c r="E223" i="6" s="1"/>
  <c r="L1075" i="6" s="1"/>
  <c r="T223" i="1"/>
  <c r="F223" i="6" s="1"/>
  <c r="Q224" i="1"/>
  <c r="C224" i="6" s="1"/>
  <c r="R224" i="1"/>
  <c r="D224" i="6" s="1"/>
  <c r="S224" i="1"/>
  <c r="E224" i="6" s="1"/>
  <c r="L1076" i="6" s="1"/>
  <c r="T224" i="1"/>
  <c r="F224" i="6" s="1"/>
  <c r="Q225" i="1"/>
  <c r="C225" i="6" s="1"/>
  <c r="R225" i="1"/>
  <c r="D225" i="6" s="1"/>
  <c r="S225" i="1"/>
  <c r="E225" i="6" s="1"/>
  <c r="L1077" i="6" s="1"/>
  <c r="T225" i="1"/>
  <c r="F225" i="6" s="1"/>
  <c r="Q226" i="1"/>
  <c r="C226" i="6" s="1"/>
  <c r="R226" i="1"/>
  <c r="D226" i="6" s="1"/>
  <c r="S226" i="1"/>
  <c r="E226" i="6" s="1"/>
  <c r="L1078" i="6" s="1"/>
  <c r="T226" i="1"/>
  <c r="F226" i="6" s="1"/>
  <c r="Q227" i="1"/>
  <c r="C227" i="6" s="1"/>
  <c r="R227" i="1"/>
  <c r="D227" i="6" s="1"/>
  <c r="S227" i="1"/>
  <c r="E227" i="6" s="1"/>
  <c r="L1079" i="6" s="1"/>
  <c r="T227" i="1"/>
  <c r="F227" i="6" s="1"/>
  <c r="Q228" i="1"/>
  <c r="C228" i="6" s="1"/>
  <c r="R228" i="1"/>
  <c r="D228" i="6" s="1"/>
  <c r="S228" i="1"/>
  <c r="E228" i="6" s="1"/>
  <c r="L1080" i="6" s="1"/>
  <c r="T228" i="1"/>
  <c r="F228" i="6" s="1"/>
  <c r="Q229" i="1"/>
  <c r="C229" i="6" s="1"/>
  <c r="R229" i="1"/>
  <c r="D229" i="6" s="1"/>
  <c r="S229" i="1"/>
  <c r="E229" i="6" s="1"/>
  <c r="L1081" i="6" s="1"/>
  <c r="T229" i="1"/>
  <c r="F229" i="6" s="1"/>
  <c r="Q230" i="1"/>
  <c r="C230" i="6" s="1"/>
  <c r="R230" i="1"/>
  <c r="D230" i="6" s="1"/>
  <c r="S230" i="1"/>
  <c r="E230" i="6" s="1"/>
  <c r="L1082" i="6" s="1"/>
  <c r="T230" i="1"/>
  <c r="F230" i="6" s="1"/>
  <c r="Q231" i="1"/>
  <c r="C231" i="6" s="1"/>
  <c r="R231" i="1"/>
  <c r="D231" i="6" s="1"/>
  <c r="S231" i="1"/>
  <c r="E231" i="6" s="1"/>
  <c r="L1083" i="6" s="1"/>
  <c r="T231" i="1"/>
  <c r="F231" i="6" s="1"/>
  <c r="Q232" i="1"/>
  <c r="C232" i="6" s="1"/>
  <c r="R232" i="1"/>
  <c r="D232" i="6" s="1"/>
  <c r="S232" i="1"/>
  <c r="E232" i="6" s="1"/>
  <c r="L1084" i="6" s="1"/>
  <c r="T232" i="1"/>
  <c r="F232" i="6" s="1"/>
  <c r="Q233" i="1"/>
  <c r="C233" i="6" s="1"/>
  <c r="R233" i="1"/>
  <c r="D233" i="6" s="1"/>
  <c r="S233" i="1"/>
  <c r="E233" i="6" s="1"/>
  <c r="L1085" i="6" s="1"/>
  <c r="T233" i="1"/>
  <c r="F233" i="6" s="1"/>
  <c r="Q234" i="1"/>
  <c r="C234" i="6" s="1"/>
  <c r="R234" i="1"/>
  <c r="D234" i="6" s="1"/>
  <c r="S234" i="1"/>
  <c r="E234" i="6" s="1"/>
  <c r="L1086" i="6" s="1"/>
  <c r="T234" i="1"/>
  <c r="F234" i="6" s="1"/>
  <c r="Q235" i="1"/>
  <c r="C235" i="6" s="1"/>
  <c r="R235" i="1"/>
  <c r="D235" i="6" s="1"/>
  <c r="S235" i="1"/>
  <c r="E235" i="6" s="1"/>
  <c r="L1087" i="6" s="1"/>
  <c r="T235" i="1"/>
  <c r="F235" i="6" s="1"/>
  <c r="Q236" i="1"/>
  <c r="C236" i="6" s="1"/>
  <c r="R236" i="1"/>
  <c r="D236" i="6" s="1"/>
  <c r="S236" i="1"/>
  <c r="E236" i="6" s="1"/>
  <c r="L1088" i="6" s="1"/>
  <c r="T236" i="1"/>
  <c r="F236" i="6" s="1"/>
  <c r="Q237" i="1"/>
  <c r="C237" i="6" s="1"/>
  <c r="R237" i="1"/>
  <c r="D237" i="6" s="1"/>
  <c r="S237" i="1"/>
  <c r="E237" i="6" s="1"/>
  <c r="L1089" i="6" s="1"/>
  <c r="T237" i="1"/>
  <c r="F237" i="6" s="1"/>
  <c r="Q238" i="1"/>
  <c r="C238" i="6" s="1"/>
  <c r="R238" i="1"/>
  <c r="D238" i="6" s="1"/>
  <c r="S238" i="1"/>
  <c r="E238" i="6" s="1"/>
  <c r="L1090" i="6" s="1"/>
  <c r="T238" i="1"/>
  <c r="F238" i="6" s="1"/>
  <c r="Q239" i="1"/>
  <c r="C239" i="6" s="1"/>
  <c r="R239" i="1"/>
  <c r="D239" i="6" s="1"/>
  <c r="S239" i="1"/>
  <c r="E239" i="6" s="1"/>
  <c r="L1091" i="6" s="1"/>
  <c r="T239" i="1"/>
  <c r="F239" i="6" s="1"/>
  <c r="Q240" i="1"/>
  <c r="C240" i="6" s="1"/>
  <c r="R240" i="1"/>
  <c r="D240" i="6" s="1"/>
  <c r="S240" i="1"/>
  <c r="E240" i="6" s="1"/>
  <c r="L1092" i="6" s="1"/>
  <c r="T240" i="1"/>
  <c r="F240" i="6" s="1"/>
  <c r="Q241" i="1"/>
  <c r="C241" i="6" s="1"/>
  <c r="R241" i="1"/>
  <c r="D241" i="6" s="1"/>
  <c r="S241" i="1"/>
  <c r="E241" i="6" s="1"/>
  <c r="L1093" i="6" s="1"/>
  <c r="T241" i="1"/>
  <c r="F241" i="6" s="1"/>
  <c r="Q242" i="1"/>
  <c r="C242" i="6" s="1"/>
  <c r="R242" i="1"/>
  <c r="D242" i="6" s="1"/>
  <c r="S242" i="1"/>
  <c r="E242" i="6" s="1"/>
  <c r="L1094" i="6" s="1"/>
  <c r="T242" i="1"/>
  <c r="F242" i="6" s="1"/>
  <c r="Q243" i="1"/>
  <c r="C243" i="6" s="1"/>
  <c r="R243" i="1"/>
  <c r="D243" i="6" s="1"/>
  <c r="S243" i="1"/>
  <c r="E243" i="6" s="1"/>
  <c r="L1095" i="6" s="1"/>
  <c r="T243" i="1"/>
  <c r="F243" i="6" s="1"/>
  <c r="Q244" i="1"/>
  <c r="C244" i="6" s="1"/>
  <c r="R244" i="1"/>
  <c r="D244" i="6" s="1"/>
  <c r="S244" i="1"/>
  <c r="E244" i="6" s="1"/>
  <c r="L1096" i="6" s="1"/>
  <c r="T244" i="1"/>
  <c r="F244" i="6" s="1"/>
  <c r="Q245" i="1"/>
  <c r="C245" i="6" s="1"/>
  <c r="R245" i="1"/>
  <c r="D245" i="6" s="1"/>
  <c r="S245" i="1"/>
  <c r="E245" i="6" s="1"/>
  <c r="L1097" i="6" s="1"/>
  <c r="T245" i="1"/>
  <c r="F245" i="6" s="1"/>
  <c r="Q246" i="1"/>
  <c r="C246" i="6" s="1"/>
  <c r="R246" i="1"/>
  <c r="D246" i="6" s="1"/>
  <c r="S246" i="1"/>
  <c r="E246" i="6" s="1"/>
  <c r="L1098" i="6" s="1"/>
  <c r="T246" i="1"/>
  <c r="F246" i="6" s="1"/>
  <c r="Q247" i="1"/>
  <c r="C247" i="6" s="1"/>
  <c r="R247" i="1"/>
  <c r="D247" i="6" s="1"/>
  <c r="S247" i="1"/>
  <c r="E247" i="6" s="1"/>
  <c r="L1099" i="6" s="1"/>
  <c r="T247" i="1"/>
  <c r="F247" i="6" s="1"/>
  <c r="Q248" i="1"/>
  <c r="C248" i="6" s="1"/>
  <c r="R248" i="1"/>
  <c r="D248" i="6" s="1"/>
  <c r="S248" i="1"/>
  <c r="E248" i="6" s="1"/>
  <c r="L1100" i="6" s="1"/>
  <c r="T248" i="1"/>
  <c r="F248" i="6" s="1"/>
  <c r="Q249" i="1"/>
  <c r="C249" i="6" s="1"/>
  <c r="R249" i="1"/>
  <c r="D249" i="6" s="1"/>
  <c r="S249" i="1"/>
  <c r="E249" i="6" s="1"/>
  <c r="L1101" i="6" s="1"/>
  <c r="T249" i="1"/>
  <c r="F249" i="6" s="1"/>
  <c r="Q250" i="1"/>
  <c r="C250" i="6" s="1"/>
  <c r="R250" i="1"/>
  <c r="D250" i="6" s="1"/>
  <c r="S250" i="1"/>
  <c r="E250" i="6" s="1"/>
  <c r="L1102" i="6" s="1"/>
  <c r="T250" i="1"/>
  <c r="F250" i="6" s="1"/>
  <c r="Q251" i="1"/>
  <c r="C251" i="6" s="1"/>
  <c r="R251" i="1"/>
  <c r="D251" i="6" s="1"/>
  <c r="S251" i="1"/>
  <c r="E251" i="6" s="1"/>
  <c r="L1103" i="6" s="1"/>
  <c r="T251" i="1"/>
  <c r="F251" i="6" s="1"/>
  <c r="Q252" i="1"/>
  <c r="C252" i="6" s="1"/>
  <c r="R252" i="1"/>
  <c r="D252" i="6" s="1"/>
  <c r="S252" i="1"/>
  <c r="E252" i="6" s="1"/>
  <c r="L1104" i="6" s="1"/>
  <c r="T252" i="1"/>
  <c r="F252" i="6" s="1"/>
  <c r="Q253" i="1"/>
  <c r="C253" i="6" s="1"/>
  <c r="R253" i="1"/>
  <c r="D253" i="6" s="1"/>
  <c r="S253" i="1"/>
  <c r="E253" i="6" s="1"/>
  <c r="L1105" i="6" s="1"/>
  <c r="T253" i="1"/>
  <c r="F253" i="6" s="1"/>
  <c r="Q254" i="1"/>
  <c r="C254" i="6" s="1"/>
  <c r="R254" i="1"/>
  <c r="D254" i="6" s="1"/>
  <c r="S254" i="1"/>
  <c r="E254" i="6" s="1"/>
  <c r="L1106" i="6" s="1"/>
  <c r="T254" i="1"/>
  <c r="F254" i="6" s="1"/>
  <c r="Q255" i="1"/>
  <c r="C255" i="6" s="1"/>
  <c r="R255" i="1"/>
  <c r="D255" i="6" s="1"/>
  <c r="S255" i="1"/>
  <c r="E255" i="6" s="1"/>
  <c r="L1107" i="6" s="1"/>
  <c r="T255" i="1"/>
  <c r="F255" i="6" s="1"/>
  <c r="Q256" i="1"/>
  <c r="C256" i="6" s="1"/>
  <c r="R256" i="1"/>
  <c r="D256" i="6" s="1"/>
  <c r="S256" i="1"/>
  <c r="E256" i="6" s="1"/>
  <c r="L1108" i="6" s="1"/>
  <c r="T256" i="1"/>
  <c r="F256" i="6" s="1"/>
  <c r="Q257" i="1"/>
  <c r="C257" i="6" s="1"/>
  <c r="R257" i="1"/>
  <c r="D257" i="6" s="1"/>
  <c r="S257" i="1"/>
  <c r="E257" i="6" s="1"/>
  <c r="L1109" i="6" s="1"/>
  <c r="T257" i="1"/>
  <c r="F257" i="6" s="1"/>
  <c r="Q258" i="1"/>
  <c r="C258" i="6" s="1"/>
  <c r="R258" i="1"/>
  <c r="D258" i="6" s="1"/>
  <c r="S258" i="1"/>
  <c r="E258" i="6" s="1"/>
  <c r="L1110" i="6" s="1"/>
  <c r="T258" i="1"/>
  <c r="F258" i="6" s="1"/>
  <c r="Q259" i="1"/>
  <c r="C259" i="6" s="1"/>
  <c r="R259" i="1"/>
  <c r="D259" i="6" s="1"/>
  <c r="S259" i="1"/>
  <c r="E259" i="6" s="1"/>
  <c r="L1111" i="6" s="1"/>
  <c r="T259" i="1"/>
  <c r="F259" i="6" s="1"/>
  <c r="Q260" i="1"/>
  <c r="C260" i="6" s="1"/>
  <c r="R260" i="1"/>
  <c r="D260" i="6" s="1"/>
  <c r="S260" i="1"/>
  <c r="E260" i="6" s="1"/>
  <c r="L1112" i="6" s="1"/>
  <c r="T260" i="1"/>
  <c r="F260" i="6" s="1"/>
  <c r="Q261" i="1"/>
  <c r="C261" i="6" s="1"/>
  <c r="R261" i="1"/>
  <c r="D261" i="6" s="1"/>
  <c r="S261" i="1"/>
  <c r="E261" i="6" s="1"/>
  <c r="L1113" i="6" s="1"/>
  <c r="T261" i="1"/>
  <c r="F261" i="6" s="1"/>
  <c r="Q262" i="1"/>
  <c r="C262" i="6" s="1"/>
  <c r="R262" i="1"/>
  <c r="D262" i="6" s="1"/>
  <c r="S262" i="1"/>
  <c r="E262" i="6" s="1"/>
  <c r="L1114" i="6" s="1"/>
  <c r="T262" i="1"/>
  <c r="F262" i="6" s="1"/>
  <c r="Q263" i="1"/>
  <c r="C263" i="6" s="1"/>
  <c r="R263" i="1"/>
  <c r="D263" i="6" s="1"/>
  <c r="S263" i="1"/>
  <c r="E263" i="6" s="1"/>
  <c r="L1115" i="6" s="1"/>
  <c r="T263" i="1"/>
  <c r="F263" i="6" s="1"/>
  <c r="Q264" i="1"/>
  <c r="C264" i="6" s="1"/>
  <c r="R264" i="1"/>
  <c r="D264" i="6" s="1"/>
  <c r="S264" i="1"/>
  <c r="E264" i="6" s="1"/>
  <c r="L1116" i="6" s="1"/>
  <c r="T264" i="1"/>
  <c r="F264" i="6" s="1"/>
  <c r="Q265" i="1"/>
  <c r="C265" i="6" s="1"/>
  <c r="R265" i="1"/>
  <c r="D265" i="6" s="1"/>
  <c r="S265" i="1"/>
  <c r="E265" i="6" s="1"/>
  <c r="L1117" i="6" s="1"/>
  <c r="T265" i="1"/>
  <c r="F265" i="6" s="1"/>
  <c r="Q266" i="1"/>
  <c r="C266" i="6" s="1"/>
  <c r="R266" i="1"/>
  <c r="D266" i="6" s="1"/>
  <c r="S266" i="1"/>
  <c r="E266" i="6" s="1"/>
  <c r="L1118" i="6" s="1"/>
  <c r="T266" i="1"/>
  <c r="F266" i="6" s="1"/>
  <c r="Q267" i="1"/>
  <c r="C267" i="6" s="1"/>
  <c r="R267" i="1"/>
  <c r="D267" i="6" s="1"/>
  <c r="S267" i="1"/>
  <c r="E267" i="6" s="1"/>
  <c r="L1119" i="6" s="1"/>
  <c r="T267" i="1"/>
  <c r="F267" i="6" s="1"/>
  <c r="Q268" i="1"/>
  <c r="C268" i="6" s="1"/>
  <c r="R268" i="1"/>
  <c r="D268" i="6" s="1"/>
  <c r="S268" i="1"/>
  <c r="E268" i="6" s="1"/>
  <c r="L1120" i="6" s="1"/>
  <c r="T268" i="1"/>
  <c r="F268" i="6" s="1"/>
  <c r="Q269" i="1"/>
  <c r="C269" i="6" s="1"/>
  <c r="R269" i="1"/>
  <c r="D269" i="6" s="1"/>
  <c r="S269" i="1"/>
  <c r="E269" i="6" s="1"/>
  <c r="L1121" i="6" s="1"/>
  <c r="T269" i="1"/>
  <c r="F269" i="6" s="1"/>
  <c r="Q270" i="1"/>
  <c r="C270" i="6" s="1"/>
  <c r="R270" i="1"/>
  <c r="D270" i="6" s="1"/>
  <c r="S270" i="1"/>
  <c r="E270" i="6" s="1"/>
  <c r="L1122" i="6" s="1"/>
  <c r="T270" i="1"/>
  <c r="F270" i="6" s="1"/>
  <c r="Q271" i="1"/>
  <c r="C271" i="6" s="1"/>
  <c r="R271" i="1"/>
  <c r="D271" i="6" s="1"/>
  <c r="S271" i="1"/>
  <c r="E271" i="6" s="1"/>
  <c r="L1123" i="6" s="1"/>
  <c r="T271" i="1"/>
  <c r="F271" i="6" s="1"/>
  <c r="Q272" i="1"/>
  <c r="C272" i="6" s="1"/>
  <c r="R272" i="1"/>
  <c r="D272" i="6" s="1"/>
  <c r="S272" i="1"/>
  <c r="E272" i="6" s="1"/>
  <c r="L1124" i="6" s="1"/>
  <c r="T272" i="1"/>
  <c r="F272" i="6" s="1"/>
  <c r="Q273" i="1"/>
  <c r="C273" i="6" s="1"/>
  <c r="R273" i="1"/>
  <c r="D273" i="6" s="1"/>
  <c r="S273" i="1"/>
  <c r="E273" i="6" s="1"/>
  <c r="L1125" i="6" s="1"/>
  <c r="T273" i="1"/>
  <c r="F273" i="6" s="1"/>
  <c r="Q274" i="1"/>
  <c r="C274" i="6" s="1"/>
  <c r="R274" i="1"/>
  <c r="D274" i="6" s="1"/>
  <c r="S274" i="1"/>
  <c r="E274" i="6" s="1"/>
  <c r="L1126" i="6" s="1"/>
  <c r="T274" i="1"/>
  <c r="F274" i="6" s="1"/>
  <c r="Q275" i="1"/>
  <c r="C275" i="6" s="1"/>
  <c r="R275" i="1"/>
  <c r="D275" i="6" s="1"/>
  <c r="S275" i="1"/>
  <c r="E275" i="6" s="1"/>
  <c r="L1127" i="6" s="1"/>
  <c r="T275" i="1"/>
  <c r="F275" i="6" s="1"/>
  <c r="Q276" i="1"/>
  <c r="C276" i="6" s="1"/>
  <c r="R276" i="1"/>
  <c r="D276" i="6" s="1"/>
  <c r="S276" i="1"/>
  <c r="E276" i="6" s="1"/>
  <c r="L1128" i="6" s="1"/>
  <c r="T276" i="1"/>
  <c r="F276" i="6" s="1"/>
  <c r="Q277" i="1"/>
  <c r="C277" i="6" s="1"/>
  <c r="R277" i="1"/>
  <c r="D277" i="6" s="1"/>
  <c r="S277" i="1"/>
  <c r="E277" i="6" s="1"/>
  <c r="L1129" i="6" s="1"/>
  <c r="T277" i="1"/>
  <c r="F277" i="6" s="1"/>
  <c r="Q278" i="1"/>
  <c r="C278" i="6" s="1"/>
  <c r="R278" i="1"/>
  <c r="D278" i="6" s="1"/>
  <c r="S278" i="1"/>
  <c r="E278" i="6" s="1"/>
  <c r="L1130" i="6" s="1"/>
  <c r="T278" i="1"/>
  <c r="F278" i="6" s="1"/>
  <c r="Q279" i="1"/>
  <c r="C279" i="6" s="1"/>
  <c r="R279" i="1"/>
  <c r="D279" i="6" s="1"/>
  <c r="S279" i="1"/>
  <c r="E279" i="6" s="1"/>
  <c r="L1131" i="6" s="1"/>
  <c r="T279" i="1"/>
  <c r="F279" i="6" s="1"/>
  <c r="Q280" i="1"/>
  <c r="C280" i="6" s="1"/>
  <c r="R280" i="1"/>
  <c r="D280" i="6" s="1"/>
  <c r="S280" i="1"/>
  <c r="E280" i="6" s="1"/>
  <c r="L1132" i="6" s="1"/>
  <c r="T280" i="1"/>
  <c r="F280" i="6" s="1"/>
  <c r="Q281" i="1"/>
  <c r="C281" i="6" s="1"/>
  <c r="R281" i="1"/>
  <c r="D281" i="6" s="1"/>
  <c r="S281" i="1"/>
  <c r="E281" i="6" s="1"/>
  <c r="L1133" i="6" s="1"/>
  <c r="T281" i="1"/>
  <c r="F281" i="6" s="1"/>
  <c r="Q282" i="1"/>
  <c r="C282" i="6" s="1"/>
  <c r="R282" i="1"/>
  <c r="D282" i="6" s="1"/>
  <c r="S282" i="1"/>
  <c r="E282" i="6" s="1"/>
  <c r="L1134" i="6" s="1"/>
  <c r="T282" i="1"/>
  <c r="F282" i="6" s="1"/>
  <c r="Q283" i="1"/>
  <c r="C283" i="6" s="1"/>
  <c r="R283" i="1"/>
  <c r="D283" i="6" s="1"/>
  <c r="S283" i="1"/>
  <c r="E283" i="6" s="1"/>
  <c r="L1135" i="6" s="1"/>
  <c r="T283" i="1"/>
  <c r="F283" i="6" s="1"/>
  <c r="Q284" i="1"/>
  <c r="C284" i="6" s="1"/>
  <c r="R284" i="1"/>
  <c r="D284" i="6" s="1"/>
  <c r="S284" i="1"/>
  <c r="E284" i="6" s="1"/>
  <c r="L1136" i="6" s="1"/>
  <c r="T284" i="1"/>
  <c r="F284" i="6" s="1"/>
  <c r="Q285" i="1"/>
  <c r="C285" i="6" s="1"/>
  <c r="R285" i="1"/>
  <c r="D285" i="6" s="1"/>
  <c r="S285" i="1"/>
  <c r="E285" i="6" s="1"/>
  <c r="L1137" i="6" s="1"/>
  <c r="T285" i="1"/>
  <c r="F285" i="6" s="1"/>
  <c r="Q286" i="1"/>
  <c r="C286" i="6" s="1"/>
  <c r="R286" i="1"/>
  <c r="D286" i="6" s="1"/>
  <c r="S286" i="1"/>
  <c r="E286" i="6" s="1"/>
  <c r="L1138" i="6" s="1"/>
  <c r="T286" i="1"/>
  <c r="F286" i="6" s="1"/>
  <c r="Q287" i="1"/>
  <c r="C287" i="6" s="1"/>
  <c r="R287" i="1"/>
  <c r="D287" i="6" s="1"/>
  <c r="S287" i="1"/>
  <c r="E287" i="6" s="1"/>
  <c r="L1139" i="6" s="1"/>
  <c r="T287" i="1"/>
  <c r="F287" i="6" s="1"/>
  <c r="Q288" i="1"/>
  <c r="C288" i="6" s="1"/>
  <c r="R288" i="1"/>
  <c r="D288" i="6" s="1"/>
  <c r="S288" i="1"/>
  <c r="E288" i="6" s="1"/>
  <c r="L1140" i="6" s="1"/>
  <c r="T288" i="1"/>
  <c r="F288" i="6" s="1"/>
  <c r="Q289" i="1"/>
  <c r="C289" i="6" s="1"/>
  <c r="R289" i="1"/>
  <c r="D289" i="6" s="1"/>
  <c r="S289" i="1"/>
  <c r="E289" i="6" s="1"/>
  <c r="L1141" i="6" s="1"/>
  <c r="T289" i="1"/>
  <c r="F289" i="6" s="1"/>
  <c r="Q290" i="1"/>
  <c r="C290" i="6" s="1"/>
  <c r="R290" i="1"/>
  <c r="D290" i="6" s="1"/>
  <c r="S290" i="1"/>
  <c r="E290" i="6" s="1"/>
  <c r="L1142" i="6" s="1"/>
  <c r="T290" i="1"/>
  <c r="F290" i="6" s="1"/>
  <c r="Q291" i="1"/>
  <c r="C291" i="6" s="1"/>
  <c r="R291" i="1"/>
  <c r="D291" i="6" s="1"/>
  <c r="S291" i="1"/>
  <c r="E291" i="6" s="1"/>
  <c r="L1143" i="6" s="1"/>
  <c r="T291" i="1"/>
  <c r="F291" i="6" s="1"/>
  <c r="Q292" i="1"/>
  <c r="C292" i="6" s="1"/>
  <c r="R292" i="1"/>
  <c r="D292" i="6" s="1"/>
  <c r="S292" i="1"/>
  <c r="E292" i="6" s="1"/>
  <c r="L1144" i="6" s="1"/>
  <c r="T292" i="1"/>
  <c r="F292" i="6" s="1"/>
  <c r="Q293" i="1"/>
  <c r="C293" i="6" s="1"/>
  <c r="R293" i="1"/>
  <c r="D293" i="6" s="1"/>
  <c r="S293" i="1"/>
  <c r="E293" i="6" s="1"/>
  <c r="L1145" i="6" s="1"/>
  <c r="T293" i="1"/>
  <c r="F293" i="6" s="1"/>
  <c r="Q294" i="1"/>
  <c r="C294" i="6" s="1"/>
  <c r="R294" i="1"/>
  <c r="D294" i="6" s="1"/>
  <c r="S294" i="1"/>
  <c r="E294" i="6" s="1"/>
  <c r="L1146" i="6" s="1"/>
  <c r="T294" i="1"/>
  <c r="F294" i="6" s="1"/>
  <c r="Q295" i="1"/>
  <c r="C295" i="6" s="1"/>
  <c r="R295" i="1"/>
  <c r="D295" i="6" s="1"/>
  <c r="S295" i="1"/>
  <c r="E295" i="6" s="1"/>
  <c r="L1147" i="6" s="1"/>
  <c r="T295" i="1"/>
  <c r="F295" i="6" s="1"/>
  <c r="Q296" i="1"/>
  <c r="C296" i="6" s="1"/>
  <c r="R296" i="1"/>
  <c r="D296" i="6" s="1"/>
  <c r="S296" i="1"/>
  <c r="E296" i="6" s="1"/>
  <c r="L1148" i="6" s="1"/>
  <c r="T296" i="1"/>
  <c r="F296" i="6" s="1"/>
  <c r="Q297" i="1"/>
  <c r="C297" i="6" s="1"/>
  <c r="R297" i="1"/>
  <c r="D297" i="6" s="1"/>
  <c r="S297" i="1"/>
  <c r="E297" i="6" s="1"/>
  <c r="L1149" i="6" s="1"/>
  <c r="T297" i="1"/>
  <c r="F297" i="6" s="1"/>
  <c r="Q298" i="1"/>
  <c r="C298" i="6" s="1"/>
  <c r="R298" i="1"/>
  <c r="D298" i="6" s="1"/>
  <c r="S298" i="1"/>
  <c r="E298" i="6" s="1"/>
  <c r="L1150" i="6" s="1"/>
  <c r="T298" i="1"/>
  <c r="F298" i="6" s="1"/>
  <c r="Q299" i="1"/>
  <c r="C299" i="6" s="1"/>
  <c r="R299" i="1"/>
  <c r="D299" i="6" s="1"/>
  <c r="S299" i="1"/>
  <c r="E299" i="6" s="1"/>
  <c r="L1151" i="6" s="1"/>
  <c r="T299" i="1"/>
  <c r="F299" i="6" s="1"/>
  <c r="Q300" i="1"/>
  <c r="C300" i="6" s="1"/>
  <c r="R300" i="1"/>
  <c r="D300" i="6" s="1"/>
  <c r="S300" i="1"/>
  <c r="E300" i="6" s="1"/>
  <c r="L1152" i="6" s="1"/>
  <c r="T300" i="1"/>
  <c r="F300" i="6" s="1"/>
  <c r="Q301" i="1"/>
  <c r="C301" i="6" s="1"/>
  <c r="R301" i="1"/>
  <c r="D301" i="6" s="1"/>
  <c r="S301" i="1"/>
  <c r="E301" i="6" s="1"/>
  <c r="L1153" i="6" s="1"/>
  <c r="T301" i="1"/>
  <c r="F301" i="6" s="1"/>
  <c r="Q302" i="1"/>
  <c r="C302" i="6" s="1"/>
  <c r="R302" i="1"/>
  <c r="D302" i="6" s="1"/>
  <c r="S302" i="1"/>
  <c r="E302" i="6" s="1"/>
  <c r="L1154" i="6" s="1"/>
  <c r="T302" i="1"/>
  <c r="F302" i="6" s="1"/>
  <c r="Q303" i="1"/>
  <c r="C303" i="6" s="1"/>
  <c r="R303" i="1"/>
  <c r="D303" i="6" s="1"/>
  <c r="S303" i="1"/>
  <c r="E303" i="6" s="1"/>
  <c r="L1155" i="6" s="1"/>
  <c r="T303" i="1"/>
  <c r="F303" i="6" s="1"/>
  <c r="Q304" i="1"/>
  <c r="C304" i="6" s="1"/>
  <c r="R304" i="1"/>
  <c r="D304" i="6" s="1"/>
  <c r="S304" i="1"/>
  <c r="E304" i="6" s="1"/>
  <c r="L1156" i="6" s="1"/>
  <c r="T304" i="1"/>
  <c r="F304" i="6" s="1"/>
  <c r="Q305" i="1"/>
  <c r="C305" i="6" s="1"/>
  <c r="R305" i="1"/>
  <c r="D305" i="6" s="1"/>
  <c r="S305" i="1"/>
  <c r="E305" i="6" s="1"/>
  <c r="L1157" i="6" s="1"/>
  <c r="T305" i="1"/>
  <c r="F305" i="6" s="1"/>
  <c r="Q306" i="1"/>
  <c r="C306" i="6" s="1"/>
  <c r="R306" i="1"/>
  <c r="D306" i="6" s="1"/>
  <c r="S306" i="1"/>
  <c r="E306" i="6" s="1"/>
  <c r="L1158" i="6" s="1"/>
  <c r="T306" i="1"/>
  <c r="F306" i="6" s="1"/>
  <c r="Q307" i="1"/>
  <c r="C307" i="6" s="1"/>
  <c r="R307" i="1"/>
  <c r="D307" i="6" s="1"/>
  <c r="S307" i="1"/>
  <c r="E307" i="6" s="1"/>
  <c r="L1159" i="6" s="1"/>
  <c r="T307" i="1"/>
  <c r="F307" i="6" s="1"/>
  <c r="Q308" i="1"/>
  <c r="C308" i="6" s="1"/>
  <c r="R308" i="1"/>
  <c r="D308" i="6" s="1"/>
  <c r="S308" i="1"/>
  <c r="E308" i="6" s="1"/>
  <c r="L1160" i="6" s="1"/>
  <c r="T308" i="1"/>
  <c r="F308" i="6" s="1"/>
  <c r="Q309" i="1"/>
  <c r="C309" i="6" s="1"/>
  <c r="R309" i="1"/>
  <c r="D309" i="6" s="1"/>
  <c r="S309" i="1"/>
  <c r="E309" i="6" s="1"/>
  <c r="L1161" i="6" s="1"/>
  <c r="T309" i="1"/>
  <c r="F309" i="6" s="1"/>
  <c r="Q310" i="1"/>
  <c r="C310" i="6" s="1"/>
  <c r="R310" i="1"/>
  <c r="D310" i="6" s="1"/>
  <c r="S310" i="1"/>
  <c r="E310" i="6" s="1"/>
  <c r="L1162" i="6" s="1"/>
  <c r="T310" i="1"/>
  <c r="F310" i="6" s="1"/>
  <c r="Q311" i="1"/>
  <c r="C311" i="6" s="1"/>
  <c r="R311" i="1"/>
  <c r="D311" i="6" s="1"/>
  <c r="S311" i="1"/>
  <c r="E311" i="6" s="1"/>
  <c r="L1163" i="6" s="1"/>
  <c r="T311" i="1"/>
  <c r="F311" i="6" s="1"/>
  <c r="Q312" i="1"/>
  <c r="C312" i="6" s="1"/>
  <c r="R312" i="1"/>
  <c r="D312" i="6" s="1"/>
  <c r="S312" i="1"/>
  <c r="E312" i="6" s="1"/>
  <c r="L1164" i="6" s="1"/>
  <c r="T312" i="1"/>
  <c r="F312" i="6" s="1"/>
  <c r="Q313" i="1"/>
  <c r="C313" i="6" s="1"/>
  <c r="R313" i="1"/>
  <c r="D313" i="6" s="1"/>
  <c r="S313" i="1"/>
  <c r="E313" i="6" s="1"/>
  <c r="L1165" i="6" s="1"/>
  <c r="T313" i="1"/>
  <c r="F313" i="6" s="1"/>
  <c r="Q314" i="1"/>
  <c r="C314" i="6" s="1"/>
  <c r="R314" i="1"/>
  <c r="D314" i="6" s="1"/>
  <c r="S314" i="1"/>
  <c r="E314" i="6" s="1"/>
  <c r="L1166" i="6" s="1"/>
  <c r="T314" i="1"/>
  <c r="F314" i="6" s="1"/>
  <c r="Q315" i="1"/>
  <c r="C315" i="6" s="1"/>
  <c r="R315" i="1"/>
  <c r="D315" i="6" s="1"/>
  <c r="S315" i="1"/>
  <c r="E315" i="6" s="1"/>
  <c r="L1167" i="6" s="1"/>
  <c r="T315" i="1"/>
  <c r="F315" i="6" s="1"/>
  <c r="Q316" i="1"/>
  <c r="C316" i="6" s="1"/>
  <c r="R316" i="1"/>
  <c r="D316" i="6" s="1"/>
  <c r="S316" i="1"/>
  <c r="E316" i="6" s="1"/>
  <c r="L1168" i="6" s="1"/>
  <c r="T316" i="1"/>
  <c r="F316" i="6" s="1"/>
  <c r="Q317" i="1"/>
  <c r="C317" i="6" s="1"/>
  <c r="R317" i="1"/>
  <c r="D317" i="6" s="1"/>
  <c r="S317" i="1"/>
  <c r="E317" i="6" s="1"/>
  <c r="L1169" i="6" s="1"/>
  <c r="T317" i="1"/>
  <c r="F317" i="6" s="1"/>
  <c r="Q318" i="1"/>
  <c r="C318" i="6" s="1"/>
  <c r="R318" i="1"/>
  <c r="D318" i="6" s="1"/>
  <c r="S318" i="1"/>
  <c r="E318" i="6" s="1"/>
  <c r="L1170" i="6" s="1"/>
  <c r="T318" i="1"/>
  <c r="F318" i="6" s="1"/>
  <c r="Q319" i="1"/>
  <c r="C319" i="6" s="1"/>
  <c r="R319" i="1"/>
  <c r="D319" i="6" s="1"/>
  <c r="S319" i="1"/>
  <c r="E319" i="6" s="1"/>
  <c r="L1171" i="6" s="1"/>
  <c r="T319" i="1"/>
  <c r="F319" i="6" s="1"/>
  <c r="Q320" i="1"/>
  <c r="C320" i="6" s="1"/>
  <c r="R320" i="1"/>
  <c r="D320" i="6" s="1"/>
  <c r="S320" i="1"/>
  <c r="E320" i="6" s="1"/>
  <c r="L1172" i="6" s="1"/>
  <c r="T320" i="1"/>
  <c r="F320" i="6" s="1"/>
  <c r="Q321" i="1"/>
  <c r="C321" i="6" s="1"/>
  <c r="R321" i="1"/>
  <c r="D321" i="6" s="1"/>
  <c r="S321" i="1"/>
  <c r="E321" i="6" s="1"/>
  <c r="L1173" i="6" s="1"/>
  <c r="T321" i="1"/>
  <c r="F321" i="6" s="1"/>
  <c r="Q322" i="1"/>
  <c r="C322" i="6" s="1"/>
  <c r="R322" i="1"/>
  <c r="D322" i="6" s="1"/>
  <c r="S322" i="1"/>
  <c r="E322" i="6" s="1"/>
  <c r="L1174" i="6" s="1"/>
  <c r="T322" i="1"/>
  <c r="F322" i="6" s="1"/>
  <c r="Q323" i="1"/>
  <c r="C323" i="6" s="1"/>
  <c r="R323" i="1"/>
  <c r="D323" i="6" s="1"/>
  <c r="S323" i="1"/>
  <c r="E323" i="6" s="1"/>
  <c r="L1175" i="6" s="1"/>
  <c r="T323" i="1"/>
  <c r="F323" i="6" s="1"/>
  <c r="Q324" i="1"/>
  <c r="C324" i="6" s="1"/>
  <c r="R324" i="1"/>
  <c r="D324" i="6" s="1"/>
  <c r="S324" i="1"/>
  <c r="E324" i="6" s="1"/>
  <c r="L1176" i="6" s="1"/>
  <c r="T324" i="1"/>
  <c r="F324" i="6" s="1"/>
  <c r="Q325" i="1"/>
  <c r="C325" i="6" s="1"/>
  <c r="R325" i="1"/>
  <c r="D325" i="6" s="1"/>
  <c r="S325" i="1"/>
  <c r="E325" i="6" s="1"/>
  <c r="L1177" i="6" s="1"/>
  <c r="T325" i="1"/>
  <c r="F325" i="6" s="1"/>
  <c r="Q326" i="1"/>
  <c r="C326" i="6" s="1"/>
  <c r="R326" i="1"/>
  <c r="D326" i="6" s="1"/>
  <c r="S326" i="1"/>
  <c r="E326" i="6" s="1"/>
  <c r="L1178" i="6" s="1"/>
  <c r="T326" i="1"/>
  <c r="F326" i="6" s="1"/>
  <c r="Q327" i="1"/>
  <c r="C327" i="6" s="1"/>
  <c r="R327" i="1"/>
  <c r="D327" i="6" s="1"/>
  <c r="S327" i="1"/>
  <c r="E327" i="6" s="1"/>
  <c r="L1179" i="6" s="1"/>
  <c r="T327" i="1"/>
  <c r="F327" i="6" s="1"/>
  <c r="Q328" i="1"/>
  <c r="C328" i="6" s="1"/>
  <c r="R328" i="1"/>
  <c r="D328" i="6" s="1"/>
  <c r="S328" i="1"/>
  <c r="E328" i="6" s="1"/>
  <c r="L1180" i="6" s="1"/>
  <c r="T328" i="1"/>
  <c r="F328" i="6" s="1"/>
  <c r="Q329" i="1"/>
  <c r="C329" i="6" s="1"/>
  <c r="R329" i="1"/>
  <c r="D329" i="6" s="1"/>
  <c r="S329" i="1"/>
  <c r="E329" i="6" s="1"/>
  <c r="L1181" i="6" s="1"/>
  <c r="T329" i="1"/>
  <c r="F329" i="6" s="1"/>
  <c r="Q330" i="1"/>
  <c r="C330" i="6" s="1"/>
  <c r="R330" i="1"/>
  <c r="D330" i="6" s="1"/>
  <c r="S330" i="1"/>
  <c r="E330" i="6" s="1"/>
  <c r="L1182" i="6" s="1"/>
  <c r="T330" i="1"/>
  <c r="F330" i="6" s="1"/>
  <c r="Q331" i="1"/>
  <c r="C331" i="6" s="1"/>
  <c r="R331" i="1"/>
  <c r="D331" i="6" s="1"/>
  <c r="S331" i="1"/>
  <c r="E331" i="6" s="1"/>
  <c r="L1183" i="6" s="1"/>
  <c r="T331" i="1"/>
  <c r="F331" i="6" s="1"/>
  <c r="Q332" i="1"/>
  <c r="C332" i="6" s="1"/>
  <c r="R332" i="1"/>
  <c r="D332" i="6" s="1"/>
  <c r="S332" i="1"/>
  <c r="E332" i="6" s="1"/>
  <c r="L1184" i="6" s="1"/>
  <c r="T332" i="1"/>
  <c r="F332" i="6" s="1"/>
  <c r="Q333" i="1"/>
  <c r="C333" i="6" s="1"/>
  <c r="R333" i="1"/>
  <c r="D333" i="6" s="1"/>
  <c r="S333" i="1"/>
  <c r="E333" i="6" s="1"/>
  <c r="L1185" i="6" s="1"/>
  <c r="T333" i="1"/>
  <c r="F333" i="6" s="1"/>
  <c r="Q334" i="1"/>
  <c r="C334" i="6" s="1"/>
  <c r="R334" i="1"/>
  <c r="D334" i="6" s="1"/>
  <c r="S334" i="1"/>
  <c r="E334" i="6" s="1"/>
  <c r="L1186" i="6" s="1"/>
  <c r="T334" i="1"/>
  <c r="F334" i="6" s="1"/>
  <c r="Q335" i="1"/>
  <c r="C335" i="6" s="1"/>
  <c r="R335" i="1"/>
  <c r="D335" i="6" s="1"/>
  <c r="S335" i="1"/>
  <c r="E335" i="6" s="1"/>
  <c r="L1187" i="6" s="1"/>
  <c r="T335" i="1"/>
  <c r="F335" i="6" s="1"/>
  <c r="Q336" i="1"/>
  <c r="C336" i="6" s="1"/>
  <c r="R336" i="1"/>
  <c r="D336" i="6" s="1"/>
  <c r="S336" i="1"/>
  <c r="E336" i="6" s="1"/>
  <c r="L1188" i="6" s="1"/>
  <c r="T336" i="1"/>
  <c r="F336" i="6" s="1"/>
  <c r="Q337" i="1"/>
  <c r="C337" i="6" s="1"/>
  <c r="R337" i="1"/>
  <c r="D337" i="6" s="1"/>
  <c r="S337" i="1"/>
  <c r="E337" i="6" s="1"/>
  <c r="L1189" i="6" s="1"/>
  <c r="T337" i="1"/>
  <c r="F337" i="6" s="1"/>
  <c r="Q338" i="1"/>
  <c r="C338" i="6" s="1"/>
  <c r="R338" i="1"/>
  <c r="D338" i="6" s="1"/>
  <c r="S338" i="1"/>
  <c r="E338" i="6" s="1"/>
  <c r="L1190" i="6" s="1"/>
  <c r="T338" i="1"/>
  <c r="F338" i="6" s="1"/>
  <c r="Q339" i="1"/>
  <c r="C339" i="6" s="1"/>
  <c r="R339" i="1"/>
  <c r="D339" i="6" s="1"/>
  <c r="S339" i="1"/>
  <c r="E339" i="6" s="1"/>
  <c r="L1191" i="6" s="1"/>
  <c r="T339" i="1"/>
  <c r="F339" i="6" s="1"/>
  <c r="Q340" i="1"/>
  <c r="C340" i="6" s="1"/>
  <c r="R340" i="1"/>
  <c r="D340" i="6" s="1"/>
  <c r="S340" i="1"/>
  <c r="E340" i="6" s="1"/>
  <c r="L1192" i="6" s="1"/>
  <c r="T340" i="1"/>
  <c r="F340" i="6" s="1"/>
  <c r="Q341" i="1"/>
  <c r="C341" i="6" s="1"/>
  <c r="R341" i="1"/>
  <c r="D341" i="6" s="1"/>
  <c r="S341" i="1"/>
  <c r="E341" i="6" s="1"/>
  <c r="L1193" i="6" s="1"/>
  <c r="T341" i="1"/>
  <c r="F341" i="6" s="1"/>
  <c r="Q342" i="1"/>
  <c r="C342" i="6" s="1"/>
  <c r="R342" i="1"/>
  <c r="D342" i="6" s="1"/>
  <c r="S342" i="1"/>
  <c r="E342" i="6" s="1"/>
  <c r="L1194" i="6" s="1"/>
  <c r="T342" i="1"/>
  <c r="F342" i="6" s="1"/>
  <c r="Q343" i="1"/>
  <c r="C343" i="6" s="1"/>
  <c r="R343" i="1"/>
  <c r="D343" i="6" s="1"/>
  <c r="S343" i="1"/>
  <c r="E343" i="6" s="1"/>
  <c r="L1195" i="6" s="1"/>
  <c r="T343" i="1"/>
  <c r="F343" i="6" s="1"/>
  <c r="Q344" i="1"/>
  <c r="C344" i="6" s="1"/>
  <c r="R344" i="1"/>
  <c r="D344" i="6" s="1"/>
  <c r="S344" i="1"/>
  <c r="E344" i="6" s="1"/>
  <c r="L1196" i="6" s="1"/>
  <c r="T344" i="1"/>
  <c r="F344" i="6" s="1"/>
  <c r="Q345" i="1"/>
  <c r="C345" i="6" s="1"/>
  <c r="R345" i="1"/>
  <c r="D345" i="6" s="1"/>
  <c r="S345" i="1"/>
  <c r="E345" i="6" s="1"/>
  <c r="L1197" i="6" s="1"/>
  <c r="T345" i="1"/>
  <c r="F345" i="6" s="1"/>
  <c r="Q346" i="1"/>
  <c r="C346" i="6" s="1"/>
  <c r="R346" i="1"/>
  <c r="D346" i="6" s="1"/>
  <c r="S346" i="1"/>
  <c r="E346" i="6" s="1"/>
  <c r="L1198" i="6" s="1"/>
  <c r="T346" i="1"/>
  <c r="F346" i="6" s="1"/>
  <c r="Q347" i="1"/>
  <c r="C347" i="6" s="1"/>
  <c r="R347" i="1"/>
  <c r="D347" i="6" s="1"/>
  <c r="S347" i="1"/>
  <c r="E347" i="6" s="1"/>
  <c r="L1199" i="6" s="1"/>
  <c r="T347" i="1"/>
  <c r="F347" i="6" s="1"/>
  <c r="Q348" i="1"/>
  <c r="C348" i="6" s="1"/>
  <c r="R348" i="1"/>
  <c r="D348" i="6" s="1"/>
  <c r="S348" i="1"/>
  <c r="E348" i="6" s="1"/>
  <c r="L1200" i="6" s="1"/>
  <c r="T348" i="1"/>
  <c r="F348" i="6" s="1"/>
  <c r="Q349" i="1"/>
  <c r="C349" i="6" s="1"/>
  <c r="R349" i="1"/>
  <c r="D349" i="6" s="1"/>
  <c r="S349" i="1"/>
  <c r="E349" i="6" s="1"/>
  <c r="L1201" i="6" s="1"/>
  <c r="T349" i="1"/>
  <c r="F349" i="6" s="1"/>
  <c r="Q350" i="1"/>
  <c r="C350" i="6" s="1"/>
  <c r="R350" i="1"/>
  <c r="D350" i="6" s="1"/>
  <c r="S350" i="1"/>
  <c r="E350" i="6" s="1"/>
  <c r="L1202" i="6" s="1"/>
  <c r="T350" i="1"/>
  <c r="F350" i="6" s="1"/>
  <c r="Q351" i="1"/>
  <c r="C351" i="6" s="1"/>
  <c r="R351" i="1"/>
  <c r="D351" i="6" s="1"/>
  <c r="S351" i="1"/>
  <c r="E351" i="6" s="1"/>
  <c r="L1203" i="6" s="1"/>
  <c r="T351" i="1"/>
  <c r="F351" i="6" s="1"/>
  <c r="Q352" i="1"/>
  <c r="C352" i="6" s="1"/>
  <c r="R352" i="1"/>
  <c r="D352" i="6" s="1"/>
  <c r="S352" i="1"/>
  <c r="E352" i="6" s="1"/>
  <c r="L1204" i="6" s="1"/>
  <c r="T352" i="1"/>
  <c r="F352" i="6" s="1"/>
  <c r="Q353" i="1"/>
  <c r="C353" i="6" s="1"/>
  <c r="R353" i="1"/>
  <c r="D353" i="6" s="1"/>
  <c r="S353" i="1"/>
  <c r="E353" i="6" s="1"/>
  <c r="L1205" i="6" s="1"/>
  <c r="T353" i="1"/>
  <c r="F353" i="6" s="1"/>
  <c r="Q354" i="1"/>
  <c r="C354" i="6" s="1"/>
  <c r="R354" i="1"/>
  <c r="D354" i="6" s="1"/>
  <c r="S354" i="1"/>
  <c r="E354" i="6" s="1"/>
  <c r="L1206" i="6" s="1"/>
  <c r="T354" i="1"/>
  <c r="F354" i="6" s="1"/>
  <c r="Q355" i="1"/>
  <c r="C355" i="6" s="1"/>
  <c r="R355" i="1"/>
  <c r="D355" i="6" s="1"/>
  <c r="S355" i="1"/>
  <c r="E355" i="6" s="1"/>
  <c r="L1207" i="6" s="1"/>
  <c r="T355" i="1"/>
  <c r="F355" i="6" s="1"/>
  <c r="Q356" i="1"/>
  <c r="C356" i="6" s="1"/>
  <c r="R356" i="1"/>
  <c r="D356" i="6" s="1"/>
  <c r="S356" i="1"/>
  <c r="E356" i="6" s="1"/>
  <c r="L1208" i="6" s="1"/>
  <c r="T356" i="1"/>
  <c r="F356" i="6" s="1"/>
  <c r="Q357" i="1"/>
  <c r="C357" i="6" s="1"/>
  <c r="R357" i="1"/>
  <c r="D357" i="6" s="1"/>
  <c r="S357" i="1"/>
  <c r="E357" i="6" s="1"/>
  <c r="L1209" i="6" s="1"/>
  <c r="T357" i="1"/>
  <c r="F357" i="6" s="1"/>
  <c r="Q358" i="1"/>
  <c r="C358" i="6" s="1"/>
  <c r="R358" i="1"/>
  <c r="D358" i="6" s="1"/>
  <c r="S358" i="1"/>
  <c r="E358" i="6" s="1"/>
  <c r="L1210" i="6" s="1"/>
  <c r="T358" i="1"/>
  <c r="F358" i="6" s="1"/>
  <c r="Q359" i="1"/>
  <c r="C359" i="6" s="1"/>
  <c r="R359" i="1"/>
  <c r="D359" i="6" s="1"/>
  <c r="S359" i="1"/>
  <c r="E359" i="6" s="1"/>
  <c r="L1211" i="6" s="1"/>
  <c r="T359" i="1"/>
  <c r="F359" i="6" s="1"/>
  <c r="Q360" i="1"/>
  <c r="C360" i="6" s="1"/>
  <c r="R360" i="1"/>
  <c r="D360" i="6" s="1"/>
  <c r="S360" i="1"/>
  <c r="E360" i="6" s="1"/>
  <c r="L1212" i="6" s="1"/>
  <c r="T360" i="1"/>
  <c r="F360" i="6" s="1"/>
  <c r="Q361" i="1"/>
  <c r="C361" i="6" s="1"/>
  <c r="R361" i="1"/>
  <c r="D361" i="6" s="1"/>
  <c r="S361" i="1"/>
  <c r="E361" i="6" s="1"/>
  <c r="L1213" i="6" s="1"/>
  <c r="T361" i="1"/>
  <c r="F361" i="6" s="1"/>
  <c r="Q362" i="1"/>
  <c r="C362" i="6" s="1"/>
  <c r="R362" i="1"/>
  <c r="D362" i="6" s="1"/>
  <c r="S362" i="1"/>
  <c r="E362" i="6" s="1"/>
  <c r="L1214" i="6" s="1"/>
  <c r="T362" i="1"/>
  <c r="F362" i="6" s="1"/>
  <c r="Q363" i="1"/>
  <c r="C363" i="6" s="1"/>
  <c r="R363" i="1"/>
  <c r="D363" i="6" s="1"/>
  <c r="S363" i="1"/>
  <c r="E363" i="6" s="1"/>
  <c r="L1215" i="6" s="1"/>
  <c r="T363" i="1"/>
  <c r="F363" i="6" s="1"/>
  <c r="Q364" i="1"/>
  <c r="C364" i="6" s="1"/>
  <c r="R364" i="1"/>
  <c r="D364" i="6" s="1"/>
  <c r="S364" i="1"/>
  <c r="E364" i="6" s="1"/>
  <c r="L1216" i="6" s="1"/>
  <c r="T364" i="1"/>
  <c r="F364" i="6" s="1"/>
  <c r="Q365" i="1"/>
  <c r="C365" i="6" s="1"/>
  <c r="R365" i="1"/>
  <c r="D365" i="6" s="1"/>
  <c r="S365" i="1"/>
  <c r="E365" i="6" s="1"/>
  <c r="L1217" i="6" s="1"/>
  <c r="T365" i="1"/>
  <c r="F365" i="6" s="1"/>
  <c r="Q366" i="1"/>
  <c r="C366" i="6" s="1"/>
  <c r="R366" i="1"/>
  <c r="D366" i="6" s="1"/>
  <c r="S366" i="1"/>
  <c r="E366" i="6" s="1"/>
  <c r="L1218" i="6" s="1"/>
  <c r="T366" i="1"/>
  <c r="F366" i="6" s="1"/>
  <c r="Q367" i="1"/>
  <c r="C367" i="6" s="1"/>
  <c r="R367" i="1"/>
  <c r="D367" i="6" s="1"/>
  <c r="S367" i="1"/>
  <c r="E367" i="6" s="1"/>
  <c r="L1219" i="6" s="1"/>
  <c r="T367" i="1"/>
  <c r="F367" i="6" s="1"/>
  <c r="Q368" i="1"/>
  <c r="C368" i="6" s="1"/>
  <c r="R368" i="1"/>
  <c r="D368" i="6" s="1"/>
  <c r="S368" i="1"/>
  <c r="E368" i="6" s="1"/>
  <c r="L1220" i="6" s="1"/>
  <c r="T368" i="1"/>
  <c r="F368" i="6" s="1"/>
  <c r="Q369" i="1"/>
  <c r="C369" i="6" s="1"/>
  <c r="R369" i="1"/>
  <c r="D369" i="6" s="1"/>
  <c r="S369" i="1"/>
  <c r="E369" i="6" s="1"/>
  <c r="L1221" i="6" s="1"/>
  <c r="T369" i="1"/>
  <c r="F369" i="6" s="1"/>
  <c r="Q370" i="1"/>
  <c r="C370" i="6" s="1"/>
  <c r="R370" i="1"/>
  <c r="D370" i="6" s="1"/>
  <c r="S370" i="1"/>
  <c r="E370" i="6" s="1"/>
  <c r="L1222" i="6" s="1"/>
  <c r="T370" i="1"/>
  <c r="F370" i="6" s="1"/>
  <c r="Q371" i="1"/>
  <c r="C371" i="6" s="1"/>
  <c r="R371" i="1"/>
  <c r="D371" i="6" s="1"/>
  <c r="S371" i="1"/>
  <c r="E371" i="6" s="1"/>
  <c r="L1223" i="6" s="1"/>
  <c r="T371" i="1"/>
  <c r="F371" i="6" s="1"/>
  <c r="Q372" i="1"/>
  <c r="C372" i="6" s="1"/>
  <c r="R372" i="1"/>
  <c r="D372" i="6" s="1"/>
  <c r="S372" i="1"/>
  <c r="E372" i="6" s="1"/>
  <c r="L1224" i="6" s="1"/>
  <c r="T372" i="1"/>
  <c r="F372" i="6" s="1"/>
  <c r="Q373" i="1"/>
  <c r="C373" i="6" s="1"/>
  <c r="R373" i="1"/>
  <c r="D373" i="6" s="1"/>
  <c r="S373" i="1"/>
  <c r="E373" i="6" s="1"/>
  <c r="L1225" i="6" s="1"/>
  <c r="T373" i="1"/>
  <c r="F373" i="6" s="1"/>
  <c r="Q374" i="1"/>
  <c r="C374" i="6" s="1"/>
  <c r="R374" i="1"/>
  <c r="D374" i="6" s="1"/>
  <c r="S374" i="1"/>
  <c r="E374" i="6" s="1"/>
  <c r="L1226" i="6" s="1"/>
  <c r="T374" i="1"/>
  <c r="F374" i="6" s="1"/>
  <c r="Q375" i="1"/>
  <c r="C375" i="6" s="1"/>
  <c r="R375" i="1"/>
  <c r="D375" i="6" s="1"/>
  <c r="S375" i="1"/>
  <c r="E375" i="6" s="1"/>
  <c r="L1227" i="6" s="1"/>
  <c r="T375" i="1"/>
  <c r="F375" i="6" s="1"/>
  <c r="Q376" i="1"/>
  <c r="C376" i="6" s="1"/>
  <c r="R376" i="1"/>
  <c r="D376" i="6" s="1"/>
  <c r="S376" i="1"/>
  <c r="E376" i="6" s="1"/>
  <c r="L1228" i="6" s="1"/>
  <c r="T376" i="1"/>
  <c r="F376" i="6" s="1"/>
  <c r="Q377" i="1"/>
  <c r="C377" i="6" s="1"/>
  <c r="R377" i="1"/>
  <c r="D377" i="6" s="1"/>
  <c r="S377" i="1"/>
  <c r="E377" i="6" s="1"/>
  <c r="L1229" i="6" s="1"/>
  <c r="T377" i="1"/>
  <c r="F377" i="6" s="1"/>
  <c r="Q378" i="1"/>
  <c r="C378" i="6" s="1"/>
  <c r="R378" i="1"/>
  <c r="D378" i="6" s="1"/>
  <c r="S378" i="1"/>
  <c r="E378" i="6" s="1"/>
  <c r="L1230" i="6" s="1"/>
  <c r="T378" i="1"/>
  <c r="F378" i="6" s="1"/>
  <c r="Q379" i="1"/>
  <c r="C379" i="6" s="1"/>
  <c r="R379" i="1"/>
  <c r="D379" i="6" s="1"/>
  <c r="S379" i="1"/>
  <c r="E379" i="6" s="1"/>
  <c r="L1231" i="6" s="1"/>
  <c r="T379" i="1"/>
  <c r="F379" i="6" s="1"/>
  <c r="Q380" i="1"/>
  <c r="C380" i="6" s="1"/>
  <c r="R380" i="1"/>
  <c r="D380" i="6" s="1"/>
  <c r="S380" i="1"/>
  <c r="E380" i="6" s="1"/>
  <c r="L1232" i="6" s="1"/>
  <c r="T380" i="1"/>
  <c r="F380" i="6" s="1"/>
  <c r="Q381" i="1"/>
  <c r="C381" i="6" s="1"/>
  <c r="R381" i="1"/>
  <c r="D381" i="6" s="1"/>
  <c r="S381" i="1"/>
  <c r="E381" i="6" s="1"/>
  <c r="L1233" i="6" s="1"/>
  <c r="T381" i="1"/>
  <c r="F381" i="6" s="1"/>
  <c r="Q382" i="1"/>
  <c r="C382" i="6" s="1"/>
  <c r="R382" i="1"/>
  <c r="D382" i="6" s="1"/>
  <c r="S382" i="1"/>
  <c r="E382" i="6" s="1"/>
  <c r="L1234" i="6" s="1"/>
  <c r="T382" i="1"/>
  <c r="F382" i="6" s="1"/>
  <c r="Q383" i="1"/>
  <c r="C383" i="6" s="1"/>
  <c r="R383" i="1"/>
  <c r="D383" i="6" s="1"/>
  <c r="S383" i="1"/>
  <c r="E383" i="6" s="1"/>
  <c r="L1235" i="6" s="1"/>
  <c r="T383" i="1"/>
  <c r="F383" i="6" s="1"/>
  <c r="Q384" i="1"/>
  <c r="C384" i="6" s="1"/>
  <c r="R384" i="1"/>
  <c r="D384" i="6" s="1"/>
  <c r="S384" i="1"/>
  <c r="E384" i="6" s="1"/>
  <c r="L1236" i="6" s="1"/>
  <c r="T384" i="1"/>
  <c r="F384" i="6" s="1"/>
  <c r="Q385" i="1"/>
  <c r="C385" i="6" s="1"/>
  <c r="R385" i="1"/>
  <c r="D385" i="6" s="1"/>
  <c r="S385" i="1"/>
  <c r="E385" i="6" s="1"/>
  <c r="L1237" i="6" s="1"/>
  <c r="T385" i="1"/>
  <c r="F385" i="6" s="1"/>
  <c r="Q386" i="1"/>
  <c r="C386" i="6" s="1"/>
  <c r="R386" i="1"/>
  <c r="D386" i="6" s="1"/>
  <c r="S386" i="1"/>
  <c r="E386" i="6" s="1"/>
  <c r="L1238" i="6" s="1"/>
  <c r="T386" i="1"/>
  <c r="F386" i="6" s="1"/>
  <c r="Q387" i="1"/>
  <c r="C387" i="6" s="1"/>
  <c r="R387" i="1"/>
  <c r="D387" i="6" s="1"/>
  <c r="S387" i="1"/>
  <c r="E387" i="6" s="1"/>
  <c r="L1239" i="6" s="1"/>
  <c r="T387" i="1"/>
  <c r="F387" i="6" s="1"/>
  <c r="Q388" i="1"/>
  <c r="C388" i="6" s="1"/>
  <c r="R388" i="1"/>
  <c r="D388" i="6" s="1"/>
  <c r="S388" i="1"/>
  <c r="E388" i="6" s="1"/>
  <c r="L1240" i="6" s="1"/>
  <c r="T388" i="1"/>
  <c r="F388" i="6" s="1"/>
  <c r="Q389" i="1"/>
  <c r="C389" i="6" s="1"/>
  <c r="R389" i="1"/>
  <c r="D389" i="6" s="1"/>
  <c r="S389" i="1"/>
  <c r="E389" i="6" s="1"/>
  <c r="L1241" i="6" s="1"/>
  <c r="T389" i="1"/>
  <c r="F389" i="6" s="1"/>
  <c r="Q390" i="1"/>
  <c r="C390" i="6" s="1"/>
  <c r="R390" i="1"/>
  <c r="D390" i="6" s="1"/>
  <c r="S390" i="1"/>
  <c r="E390" i="6" s="1"/>
  <c r="L1242" i="6" s="1"/>
  <c r="T390" i="1"/>
  <c r="F390" i="6" s="1"/>
  <c r="Q391" i="1"/>
  <c r="C391" i="6" s="1"/>
  <c r="R391" i="1"/>
  <c r="D391" i="6" s="1"/>
  <c r="S391" i="1"/>
  <c r="E391" i="6" s="1"/>
  <c r="L1243" i="6" s="1"/>
  <c r="T391" i="1"/>
  <c r="F391" i="6" s="1"/>
  <c r="Q392" i="1"/>
  <c r="C392" i="6" s="1"/>
  <c r="R392" i="1"/>
  <c r="D392" i="6" s="1"/>
  <c r="S392" i="1"/>
  <c r="E392" i="6" s="1"/>
  <c r="L1244" i="6" s="1"/>
  <c r="T392" i="1"/>
  <c r="F392" i="6" s="1"/>
  <c r="Q393" i="1"/>
  <c r="C393" i="6" s="1"/>
  <c r="R393" i="1"/>
  <c r="D393" i="6" s="1"/>
  <c r="S393" i="1"/>
  <c r="E393" i="6" s="1"/>
  <c r="L1245" i="6" s="1"/>
  <c r="T393" i="1"/>
  <c r="F393" i="6" s="1"/>
  <c r="Q394" i="1"/>
  <c r="C394" i="6" s="1"/>
  <c r="R394" i="1"/>
  <c r="D394" i="6" s="1"/>
  <c r="S394" i="1"/>
  <c r="E394" i="6" s="1"/>
  <c r="L1246" i="6" s="1"/>
  <c r="T394" i="1"/>
  <c r="F394" i="6" s="1"/>
  <c r="Q395" i="1"/>
  <c r="C395" i="6" s="1"/>
  <c r="R395" i="1"/>
  <c r="D395" i="6" s="1"/>
  <c r="S395" i="1"/>
  <c r="E395" i="6" s="1"/>
  <c r="L1247" i="6" s="1"/>
  <c r="T395" i="1"/>
  <c r="F395" i="6" s="1"/>
  <c r="Q396" i="1"/>
  <c r="C396" i="6" s="1"/>
  <c r="R396" i="1"/>
  <c r="D396" i="6" s="1"/>
  <c r="S396" i="1"/>
  <c r="E396" i="6" s="1"/>
  <c r="L1248" i="6" s="1"/>
  <c r="T396" i="1"/>
  <c r="F396" i="6" s="1"/>
  <c r="Q397" i="1"/>
  <c r="C397" i="6" s="1"/>
  <c r="R397" i="1"/>
  <c r="D397" i="6" s="1"/>
  <c r="S397" i="1"/>
  <c r="E397" i="6" s="1"/>
  <c r="L1249" i="6" s="1"/>
  <c r="T397" i="1"/>
  <c r="F397" i="6" s="1"/>
  <c r="Q398" i="1"/>
  <c r="C398" i="6" s="1"/>
  <c r="R398" i="1"/>
  <c r="D398" i="6" s="1"/>
  <c r="S398" i="1"/>
  <c r="E398" i="6" s="1"/>
  <c r="L1250" i="6" s="1"/>
  <c r="T398" i="1"/>
  <c r="F398" i="6" s="1"/>
  <c r="Q399" i="1"/>
  <c r="C399" i="6" s="1"/>
  <c r="R399" i="1"/>
  <c r="D399" i="6" s="1"/>
  <c r="S399" i="1"/>
  <c r="E399" i="6" s="1"/>
  <c r="L1251" i="6" s="1"/>
  <c r="T399" i="1"/>
  <c r="F399" i="6" s="1"/>
  <c r="Q400" i="1"/>
  <c r="C400" i="6" s="1"/>
  <c r="R400" i="1"/>
  <c r="D400" i="6" s="1"/>
  <c r="S400" i="1"/>
  <c r="E400" i="6" s="1"/>
  <c r="L1252" i="6" s="1"/>
  <c r="T400" i="1"/>
  <c r="F400" i="6" s="1"/>
  <c r="Q401" i="1"/>
  <c r="C401" i="6" s="1"/>
  <c r="R401" i="1"/>
  <c r="D401" i="6" s="1"/>
  <c r="S401" i="1"/>
  <c r="E401" i="6" s="1"/>
  <c r="L1253" i="6" s="1"/>
  <c r="T401" i="1"/>
  <c r="F401" i="6" s="1"/>
  <c r="Q402" i="1"/>
  <c r="C402" i="6" s="1"/>
  <c r="R402" i="1"/>
  <c r="D402" i="6" s="1"/>
  <c r="S402" i="1"/>
  <c r="E402" i="6" s="1"/>
  <c r="L1254" i="6" s="1"/>
  <c r="T402" i="1"/>
  <c r="F402" i="6" s="1"/>
  <c r="Q403" i="1"/>
  <c r="C403" i="6" s="1"/>
  <c r="R403" i="1"/>
  <c r="D403" i="6" s="1"/>
  <c r="S403" i="1"/>
  <c r="E403" i="6" s="1"/>
  <c r="L1255" i="6" s="1"/>
  <c r="T403" i="1"/>
  <c r="F403" i="6" s="1"/>
  <c r="Q404" i="1"/>
  <c r="C404" i="6" s="1"/>
  <c r="R404" i="1"/>
  <c r="D404" i="6" s="1"/>
  <c r="S404" i="1"/>
  <c r="E404" i="6" s="1"/>
  <c r="L1256" i="6" s="1"/>
  <c r="T404" i="1"/>
  <c r="F404" i="6" s="1"/>
  <c r="Q405" i="1"/>
  <c r="C405" i="6" s="1"/>
  <c r="R405" i="1"/>
  <c r="D405" i="6" s="1"/>
  <c r="S405" i="1"/>
  <c r="E405" i="6" s="1"/>
  <c r="L1257" i="6" s="1"/>
  <c r="T405" i="1"/>
  <c r="F405" i="6" s="1"/>
  <c r="Q406" i="1"/>
  <c r="C406" i="6" s="1"/>
  <c r="R406" i="1"/>
  <c r="D406" i="6" s="1"/>
  <c r="S406" i="1"/>
  <c r="E406" i="6" s="1"/>
  <c r="L1258" i="6" s="1"/>
  <c r="T406" i="1"/>
  <c r="F406" i="6" s="1"/>
  <c r="Q407" i="1"/>
  <c r="C407" i="6" s="1"/>
  <c r="R407" i="1"/>
  <c r="D407" i="6" s="1"/>
  <c r="S407" i="1"/>
  <c r="E407" i="6" s="1"/>
  <c r="L1259" i="6" s="1"/>
  <c r="T407" i="1"/>
  <c r="F407" i="6" s="1"/>
  <c r="Q408" i="1"/>
  <c r="C408" i="6" s="1"/>
  <c r="R408" i="1"/>
  <c r="D408" i="6" s="1"/>
  <c r="S408" i="1"/>
  <c r="E408" i="6" s="1"/>
  <c r="L1260" i="6" s="1"/>
  <c r="T408" i="1"/>
  <c r="F408" i="6" s="1"/>
  <c r="Q409" i="1"/>
  <c r="C409" i="6" s="1"/>
  <c r="R409" i="1"/>
  <c r="D409" i="6" s="1"/>
  <c r="S409" i="1"/>
  <c r="E409" i="6" s="1"/>
  <c r="L1261" i="6" s="1"/>
  <c r="T409" i="1"/>
  <c r="F409" i="6" s="1"/>
  <c r="Q410" i="1"/>
  <c r="C410" i="6" s="1"/>
  <c r="R410" i="1"/>
  <c r="D410" i="6" s="1"/>
  <c r="S410" i="1"/>
  <c r="E410" i="6" s="1"/>
  <c r="L1262" i="6" s="1"/>
  <c r="T410" i="1"/>
  <c r="F410" i="6" s="1"/>
  <c r="Q411" i="1"/>
  <c r="C411" i="6" s="1"/>
  <c r="R411" i="1"/>
  <c r="D411" i="6" s="1"/>
  <c r="S411" i="1"/>
  <c r="E411" i="6" s="1"/>
  <c r="L1263" i="6" s="1"/>
  <c r="T411" i="1"/>
  <c r="F411" i="6" s="1"/>
  <c r="Q412" i="1"/>
  <c r="C412" i="6" s="1"/>
  <c r="R412" i="1"/>
  <c r="D412" i="6" s="1"/>
  <c r="S412" i="1"/>
  <c r="E412" i="6" s="1"/>
  <c r="L1264" i="6" s="1"/>
  <c r="T412" i="1"/>
  <c r="F412" i="6" s="1"/>
  <c r="Q413" i="1"/>
  <c r="C413" i="6" s="1"/>
  <c r="R413" i="1"/>
  <c r="D413" i="6" s="1"/>
  <c r="S413" i="1"/>
  <c r="E413" i="6" s="1"/>
  <c r="L1265" i="6" s="1"/>
  <c r="T413" i="1"/>
  <c r="F413" i="6" s="1"/>
  <c r="Q414" i="1"/>
  <c r="C414" i="6" s="1"/>
  <c r="R414" i="1"/>
  <c r="D414" i="6" s="1"/>
  <c r="S414" i="1"/>
  <c r="E414" i="6" s="1"/>
  <c r="L1266" i="6" s="1"/>
  <c r="T414" i="1"/>
  <c r="F414" i="6" s="1"/>
  <c r="Q415" i="1"/>
  <c r="C415" i="6" s="1"/>
  <c r="R415" i="1"/>
  <c r="D415" i="6" s="1"/>
  <c r="S415" i="1"/>
  <c r="E415" i="6" s="1"/>
  <c r="L1267" i="6" s="1"/>
  <c r="T415" i="1"/>
  <c r="F415" i="6" s="1"/>
  <c r="Q416" i="1"/>
  <c r="C416" i="6" s="1"/>
  <c r="R416" i="1"/>
  <c r="D416" i="6" s="1"/>
  <c r="S416" i="1"/>
  <c r="E416" i="6" s="1"/>
  <c r="L1268" i="6" s="1"/>
  <c r="T416" i="1"/>
  <c r="F416" i="6" s="1"/>
  <c r="Q417" i="1"/>
  <c r="C417" i="6" s="1"/>
  <c r="R417" i="1"/>
  <c r="D417" i="6" s="1"/>
  <c r="S417" i="1"/>
  <c r="E417" i="6" s="1"/>
  <c r="L1269" i="6" s="1"/>
  <c r="T417" i="1"/>
  <c r="F417" i="6" s="1"/>
  <c r="Q418" i="1"/>
  <c r="C418" i="6" s="1"/>
  <c r="R418" i="1"/>
  <c r="D418" i="6" s="1"/>
  <c r="S418" i="1"/>
  <c r="E418" i="6" s="1"/>
  <c r="L1270" i="6" s="1"/>
  <c r="T418" i="1"/>
  <c r="F418" i="6" s="1"/>
  <c r="Q419" i="1"/>
  <c r="C419" i="6" s="1"/>
  <c r="R419" i="1"/>
  <c r="D419" i="6" s="1"/>
  <c r="S419" i="1"/>
  <c r="E419" i="6" s="1"/>
  <c r="L1271" i="6" s="1"/>
  <c r="T419" i="1"/>
  <c r="F419" i="6" s="1"/>
  <c r="Q420" i="1"/>
  <c r="C420" i="6" s="1"/>
  <c r="R420" i="1"/>
  <c r="D420" i="6" s="1"/>
  <c r="S420" i="1"/>
  <c r="E420" i="6" s="1"/>
  <c r="L1272" i="6" s="1"/>
  <c r="T420" i="1"/>
  <c r="F420" i="6" s="1"/>
  <c r="Q421" i="1"/>
  <c r="C421" i="6" s="1"/>
  <c r="R421" i="1"/>
  <c r="D421" i="6" s="1"/>
  <c r="S421" i="1"/>
  <c r="E421" i="6" s="1"/>
  <c r="L1273" i="6" s="1"/>
  <c r="T421" i="1"/>
  <c r="F421" i="6" s="1"/>
  <c r="Q422" i="1"/>
  <c r="C422" i="6" s="1"/>
  <c r="R422" i="1"/>
  <c r="D422" i="6" s="1"/>
  <c r="S422" i="1"/>
  <c r="E422" i="6" s="1"/>
  <c r="L1274" i="6" s="1"/>
  <c r="T422" i="1"/>
  <c r="F422" i="6" s="1"/>
  <c r="Q423" i="1"/>
  <c r="C423" i="6" s="1"/>
  <c r="R423" i="1"/>
  <c r="D423" i="6" s="1"/>
  <c r="S423" i="1"/>
  <c r="E423" i="6" s="1"/>
  <c r="L1275" i="6" s="1"/>
  <c r="T423" i="1"/>
  <c r="F423" i="6" s="1"/>
  <c r="Q424" i="1"/>
  <c r="C424" i="6" s="1"/>
  <c r="R424" i="1"/>
  <c r="D424" i="6" s="1"/>
  <c r="S424" i="1"/>
  <c r="E424" i="6" s="1"/>
  <c r="L1276" i="6" s="1"/>
  <c r="T424" i="1"/>
  <c r="F424" i="6" s="1"/>
  <c r="Q425" i="1"/>
  <c r="C425" i="6" s="1"/>
  <c r="R425" i="1"/>
  <c r="D425" i="6" s="1"/>
  <c r="S425" i="1"/>
  <c r="E425" i="6" s="1"/>
  <c r="L1277" i="6" s="1"/>
  <c r="T425" i="1"/>
  <c r="F425" i="6" s="1"/>
  <c r="Q426" i="1"/>
  <c r="C426" i="6" s="1"/>
  <c r="R426" i="1"/>
  <c r="D426" i="6" s="1"/>
  <c r="S426" i="1"/>
  <c r="E426" i="6" s="1"/>
  <c r="L1278" i="6" s="1"/>
  <c r="T426" i="1"/>
  <c r="F426" i="6" s="1"/>
  <c r="Q427" i="1"/>
  <c r="C427" i="6" s="1"/>
  <c r="R427" i="1"/>
  <c r="D427" i="6" s="1"/>
  <c r="S427" i="1"/>
  <c r="E427" i="6" s="1"/>
  <c r="L1279" i="6" s="1"/>
  <c r="T427" i="1"/>
  <c r="F427" i="6" s="1"/>
  <c r="Q428" i="1"/>
  <c r="C428" i="6" s="1"/>
  <c r="R428" i="1"/>
  <c r="D428" i="6" s="1"/>
  <c r="S428" i="1"/>
  <c r="E428" i="6" s="1"/>
  <c r="L1280" i="6" s="1"/>
  <c r="T428" i="1"/>
  <c r="F428" i="6" s="1"/>
  <c r="Q429" i="1"/>
  <c r="C429" i="6" s="1"/>
  <c r="R429" i="1"/>
  <c r="D429" i="6" s="1"/>
  <c r="S429" i="1"/>
  <c r="E429" i="6" s="1"/>
  <c r="L1281" i="6" s="1"/>
  <c r="T429" i="1"/>
  <c r="F429" i="6" s="1"/>
  <c r="Q430" i="1"/>
  <c r="C430" i="6" s="1"/>
  <c r="R430" i="1"/>
  <c r="D430" i="6" s="1"/>
  <c r="S430" i="1"/>
  <c r="E430" i="6" s="1"/>
  <c r="L1282" i="6" s="1"/>
  <c r="T430" i="1"/>
  <c r="F430" i="6" s="1"/>
  <c r="Q431" i="1"/>
  <c r="C431" i="6" s="1"/>
  <c r="R431" i="1"/>
  <c r="D431" i="6" s="1"/>
  <c r="S431" i="1"/>
  <c r="E431" i="6" s="1"/>
  <c r="L1283" i="6" s="1"/>
  <c r="T431" i="1"/>
  <c r="F431" i="6" s="1"/>
  <c r="Q432" i="1"/>
  <c r="C432" i="6" s="1"/>
  <c r="R432" i="1"/>
  <c r="D432" i="6" s="1"/>
  <c r="S432" i="1"/>
  <c r="E432" i="6" s="1"/>
  <c r="L1284" i="6" s="1"/>
  <c r="T432" i="1"/>
  <c r="F432" i="6" s="1"/>
  <c r="Q433" i="1"/>
  <c r="C433" i="6" s="1"/>
  <c r="R433" i="1"/>
  <c r="D433" i="6" s="1"/>
  <c r="S433" i="1"/>
  <c r="E433" i="6" s="1"/>
  <c r="L1285" i="6" s="1"/>
  <c r="T433" i="1"/>
  <c r="F433" i="6" s="1"/>
  <c r="Q434" i="1"/>
  <c r="C434" i="6" s="1"/>
  <c r="R434" i="1"/>
  <c r="D434" i="6" s="1"/>
  <c r="S434" i="1"/>
  <c r="E434" i="6" s="1"/>
  <c r="L1286" i="6" s="1"/>
  <c r="T434" i="1"/>
  <c r="F434" i="6" s="1"/>
  <c r="Q435" i="1"/>
  <c r="C435" i="6" s="1"/>
  <c r="R435" i="1"/>
  <c r="D435" i="6" s="1"/>
  <c r="S435" i="1"/>
  <c r="E435" i="6" s="1"/>
  <c r="L1287" i="6" s="1"/>
  <c r="T435" i="1"/>
  <c r="F435" i="6" s="1"/>
  <c r="Q436" i="1"/>
  <c r="C436" i="6" s="1"/>
  <c r="R436" i="1"/>
  <c r="D436" i="6" s="1"/>
  <c r="S436" i="1"/>
  <c r="E436" i="6" s="1"/>
  <c r="L1288" i="6" s="1"/>
  <c r="T436" i="1"/>
  <c r="F436" i="6" s="1"/>
  <c r="Q437" i="1"/>
  <c r="C437" i="6" s="1"/>
  <c r="R437" i="1"/>
  <c r="D437" i="6" s="1"/>
  <c r="S437" i="1"/>
  <c r="E437" i="6" s="1"/>
  <c r="L1289" i="6" s="1"/>
  <c r="T437" i="1"/>
  <c r="F437" i="6" s="1"/>
  <c r="Q438" i="1"/>
  <c r="C438" i="6" s="1"/>
  <c r="R438" i="1"/>
  <c r="D438" i="6" s="1"/>
  <c r="S438" i="1"/>
  <c r="E438" i="6" s="1"/>
  <c r="L1290" i="6" s="1"/>
  <c r="T438" i="1"/>
  <c r="F438" i="6" s="1"/>
  <c r="Q439" i="1"/>
  <c r="C439" i="6" s="1"/>
  <c r="R439" i="1"/>
  <c r="D439" i="6" s="1"/>
  <c r="S439" i="1"/>
  <c r="E439" i="6" s="1"/>
  <c r="L1291" i="6" s="1"/>
  <c r="T439" i="1"/>
  <c r="F439" i="6" s="1"/>
  <c r="Q440" i="1"/>
  <c r="C440" i="6" s="1"/>
  <c r="R440" i="1"/>
  <c r="D440" i="6" s="1"/>
  <c r="S440" i="1"/>
  <c r="E440" i="6" s="1"/>
  <c r="L1292" i="6" s="1"/>
  <c r="T440" i="1"/>
  <c r="F440" i="6" s="1"/>
  <c r="Q441" i="1"/>
  <c r="C441" i="6" s="1"/>
  <c r="R441" i="1"/>
  <c r="D441" i="6" s="1"/>
  <c r="S441" i="1"/>
  <c r="E441" i="6" s="1"/>
  <c r="L1293" i="6" s="1"/>
  <c r="T441" i="1"/>
  <c r="F441" i="6" s="1"/>
  <c r="Q442" i="1"/>
  <c r="C442" i="6" s="1"/>
  <c r="R442" i="1"/>
  <c r="D442" i="6" s="1"/>
  <c r="S442" i="1"/>
  <c r="E442" i="6" s="1"/>
  <c r="L1294" i="6" s="1"/>
  <c r="T442" i="1"/>
  <c r="F442" i="6" s="1"/>
  <c r="Q443" i="1"/>
  <c r="C443" i="6" s="1"/>
  <c r="R443" i="1"/>
  <c r="D443" i="6" s="1"/>
  <c r="S443" i="1"/>
  <c r="E443" i="6" s="1"/>
  <c r="L1295" i="6" s="1"/>
  <c r="T443" i="1"/>
  <c r="F443" i="6" s="1"/>
  <c r="Q444" i="1"/>
  <c r="C444" i="6" s="1"/>
  <c r="R444" i="1"/>
  <c r="D444" i="6" s="1"/>
  <c r="S444" i="1"/>
  <c r="E444" i="6" s="1"/>
  <c r="L1296" i="6" s="1"/>
  <c r="T444" i="1"/>
  <c r="F444" i="6" s="1"/>
  <c r="Q445" i="1"/>
  <c r="C445" i="6" s="1"/>
  <c r="R445" i="1"/>
  <c r="D445" i="6" s="1"/>
  <c r="S445" i="1"/>
  <c r="E445" i="6" s="1"/>
  <c r="L1297" i="6" s="1"/>
  <c r="T445" i="1"/>
  <c r="F445" i="6" s="1"/>
  <c r="Q446" i="1"/>
  <c r="C446" i="6" s="1"/>
  <c r="R446" i="1"/>
  <c r="D446" i="6" s="1"/>
  <c r="S446" i="1"/>
  <c r="E446" i="6" s="1"/>
  <c r="L1298" i="6" s="1"/>
  <c r="T446" i="1"/>
  <c r="F446" i="6" s="1"/>
  <c r="Q447" i="1"/>
  <c r="C447" i="6" s="1"/>
  <c r="R447" i="1"/>
  <c r="D447" i="6" s="1"/>
  <c r="S447" i="1"/>
  <c r="E447" i="6" s="1"/>
  <c r="L1299" i="6" s="1"/>
  <c r="T447" i="1"/>
  <c r="F447" i="6" s="1"/>
  <c r="Q448" i="1"/>
  <c r="C448" i="6" s="1"/>
  <c r="R448" i="1"/>
  <c r="D448" i="6" s="1"/>
  <c r="S448" i="1"/>
  <c r="E448" i="6" s="1"/>
  <c r="L1300" i="6" s="1"/>
  <c r="T448" i="1"/>
  <c r="F448" i="6" s="1"/>
  <c r="Q449" i="1"/>
  <c r="C449" i="6" s="1"/>
  <c r="R449" i="1"/>
  <c r="D449" i="6" s="1"/>
  <c r="S449" i="1"/>
  <c r="E449" i="6" s="1"/>
  <c r="L1301" i="6" s="1"/>
  <c r="T449" i="1"/>
  <c r="F449" i="6" s="1"/>
  <c r="Q450" i="1"/>
  <c r="C450" i="6" s="1"/>
  <c r="R450" i="1"/>
  <c r="D450" i="6" s="1"/>
  <c r="S450" i="1"/>
  <c r="E450" i="6" s="1"/>
  <c r="L1302" i="6" s="1"/>
  <c r="T450" i="1"/>
  <c r="F450" i="6" s="1"/>
  <c r="Q451" i="1"/>
  <c r="C451" i="6" s="1"/>
  <c r="R451" i="1"/>
  <c r="D451" i="6" s="1"/>
  <c r="S451" i="1"/>
  <c r="E451" i="6" s="1"/>
  <c r="L1303" i="6" s="1"/>
  <c r="T451" i="1"/>
  <c r="F451" i="6" s="1"/>
  <c r="Q452" i="1"/>
  <c r="C452" i="6" s="1"/>
  <c r="R452" i="1"/>
  <c r="D452" i="6" s="1"/>
  <c r="S452" i="1"/>
  <c r="E452" i="6" s="1"/>
  <c r="L1304" i="6" s="1"/>
  <c r="T452" i="1"/>
  <c r="F452" i="6" s="1"/>
  <c r="Q453" i="1"/>
  <c r="C453" i="6" s="1"/>
  <c r="R453" i="1"/>
  <c r="D453" i="6" s="1"/>
  <c r="S453" i="1"/>
  <c r="E453" i="6" s="1"/>
  <c r="L1305" i="6" s="1"/>
  <c r="T453" i="1"/>
  <c r="F453" i="6" s="1"/>
  <c r="Q454" i="1"/>
  <c r="C454" i="6" s="1"/>
  <c r="R454" i="1"/>
  <c r="D454" i="6" s="1"/>
  <c r="S454" i="1"/>
  <c r="E454" i="6" s="1"/>
  <c r="L1306" i="6" s="1"/>
  <c r="T454" i="1"/>
  <c r="F454" i="6" s="1"/>
  <c r="Q455" i="1"/>
  <c r="C455" i="6" s="1"/>
  <c r="R455" i="1"/>
  <c r="D455" i="6" s="1"/>
  <c r="S455" i="1"/>
  <c r="E455" i="6" s="1"/>
  <c r="L1307" i="6" s="1"/>
  <c r="T455" i="1"/>
  <c r="F455" i="6" s="1"/>
  <c r="Q456" i="1"/>
  <c r="C456" i="6" s="1"/>
  <c r="R456" i="1"/>
  <c r="D456" i="6" s="1"/>
  <c r="S456" i="1"/>
  <c r="E456" i="6" s="1"/>
  <c r="L1308" i="6" s="1"/>
  <c r="T456" i="1"/>
  <c r="F456" i="6" s="1"/>
  <c r="Q457" i="1"/>
  <c r="C457" i="6" s="1"/>
  <c r="R457" i="1"/>
  <c r="D457" i="6" s="1"/>
  <c r="S457" i="1"/>
  <c r="E457" i="6" s="1"/>
  <c r="L1309" i="6" s="1"/>
  <c r="T457" i="1"/>
  <c r="F457" i="6" s="1"/>
  <c r="Q458" i="1"/>
  <c r="C458" i="6" s="1"/>
  <c r="R458" i="1"/>
  <c r="D458" i="6" s="1"/>
  <c r="S458" i="1"/>
  <c r="E458" i="6" s="1"/>
  <c r="L1310" i="6" s="1"/>
  <c r="T458" i="1"/>
  <c r="F458" i="6" s="1"/>
  <c r="Q459" i="1"/>
  <c r="C459" i="6" s="1"/>
  <c r="R459" i="1"/>
  <c r="D459" i="6" s="1"/>
  <c r="S459" i="1"/>
  <c r="E459" i="6" s="1"/>
  <c r="L1311" i="6" s="1"/>
  <c r="T459" i="1"/>
  <c r="F459" i="6" s="1"/>
  <c r="Q460" i="1"/>
  <c r="C460" i="6" s="1"/>
  <c r="R460" i="1"/>
  <c r="D460" i="6" s="1"/>
  <c r="S460" i="1"/>
  <c r="E460" i="6" s="1"/>
  <c r="L1312" i="6" s="1"/>
  <c r="T460" i="1"/>
  <c r="F460" i="6" s="1"/>
  <c r="Q461" i="1"/>
  <c r="C461" i="6" s="1"/>
  <c r="R461" i="1"/>
  <c r="D461" i="6" s="1"/>
  <c r="S461" i="1"/>
  <c r="E461" i="6" s="1"/>
  <c r="L1313" i="6" s="1"/>
  <c r="T461" i="1"/>
  <c r="F461" i="6" s="1"/>
  <c r="Q462" i="1"/>
  <c r="C462" i="6" s="1"/>
  <c r="R462" i="1"/>
  <c r="D462" i="6" s="1"/>
  <c r="S462" i="1"/>
  <c r="E462" i="6" s="1"/>
  <c r="L1314" i="6" s="1"/>
  <c r="T462" i="1"/>
  <c r="F462" i="6" s="1"/>
  <c r="Q463" i="1"/>
  <c r="C463" i="6" s="1"/>
  <c r="R463" i="1"/>
  <c r="D463" i="6" s="1"/>
  <c r="S463" i="1"/>
  <c r="E463" i="6" s="1"/>
  <c r="L1315" i="6" s="1"/>
  <c r="T463" i="1"/>
  <c r="F463" i="6" s="1"/>
  <c r="Q464" i="1"/>
  <c r="C464" i="6" s="1"/>
  <c r="R464" i="1"/>
  <c r="D464" i="6" s="1"/>
  <c r="S464" i="1"/>
  <c r="E464" i="6" s="1"/>
  <c r="L1316" i="6" s="1"/>
  <c r="T464" i="1"/>
  <c r="F464" i="6" s="1"/>
  <c r="Q465" i="1"/>
  <c r="C465" i="6" s="1"/>
  <c r="R465" i="1"/>
  <c r="D465" i="6" s="1"/>
  <c r="S465" i="1"/>
  <c r="E465" i="6" s="1"/>
  <c r="L1317" i="6" s="1"/>
  <c r="T465" i="1"/>
  <c r="F465" i="6" s="1"/>
  <c r="Q466" i="1"/>
  <c r="C466" i="6" s="1"/>
  <c r="R466" i="1"/>
  <c r="D466" i="6" s="1"/>
  <c r="S466" i="1"/>
  <c r="E466" i="6" s="1"/>
  <c r="L1318" i="6" s="1"/>
  <c r="T466" i="1"/>
  <c r="F466" i="6" s="1"/>
  <c r="Q467" i="1"/>
  <c r="C467" i="6" s="1"/>
  <c r="R467" i="1"/>
  <c r="D467" i="6" s="1"/>
  <c r="S467" i="1"/>
  <c r="E467" i="6" s="1"/>
  <c r="L1319" i="6" s="1"/>
  <c r="T467" i="1"/>
  <c r="F467" i="6" s="1"/>
  <c r="Q468" i="1"/>
  <c r="C468" i="6" s="1"/>
  <c r="R468" i="1"/>
  <c r="D468" i="6" s="1"/>
  <c r="S468" i="1"/>
  <c r="E468" i="6" s="1"/>
  <c r="L1320" i="6" s="1"/>
  <c r="T468" i="1"/>
  <c r="F468" i="6" s="1"/>
  <c r="Q469" i="1"/>
  <c r="C469" i="6" s="1"/>
  <c r="R469" i="1"/>
  <c r="D469" i="6" s="1"/>
  <c r="S469" i="1"/>
  <c r="E469" i="6" s="1"/>
  <c r="L1321" i="6" s="1"/>
  <c r="T469" i="1"/>
  <c r="F469" i="6" s="1"/>
  <c r="Q470" i="1"/>
  <c r="C470" i="6" s="1"/>
  <c r="R470" i="1"/>
  <c r="D470" i="6" s="1"/>
  <c r="S470" i="1"/>
  <c r="E470" i="6" s="1"/>
  <c r="L1322" i="6" s="1"/>
  <c r="T470" i="1"/>
  <c r="F470" i="6" s="1"/>
  <c r="Q471" i="1"/>
  <c r="C471" i="6" s="1"/>
  <c r="R471" i="1"/>
  <c r="D471" i="6" s="1"/>
  <c r="S471" i="1"/>
  <c r="E471" i="6" s="1"/>
  <c r="L1323" i="6" s="1"/>
  <c r="T471" i="1"/>
  <c r="F471" i="6" s="1"/>
  <c r="Q472" i="1"/>
  <c r="C472" i="6" s="1"/>
  <c r="R472" i="1"/>
  <c r="D472" i="6" s="1"/>
  <c r="S472" i="1"/>
  <c r="E472" i="6" s="1"/>
  <c r="L1324" i="6" s="1"/>
  <c r="T472" i="1"/>
  <c r="F472" i="6" s="1"/>
  <c r="Q473" i="1"/>
  <c r="C473" i="6" s="1"/>
  <c r="R473" i="1"/>
  <c r="D473" i="6" s="1"/>
  <c r="S473" i="1"/>
  <c r="E473" i="6" s="1"/>
  <c r="L1325" i="6" s="1"/>
  <c r="T473" i="1"/>
  <c r="F473" i="6" s="1"/>
  <c r="Q474" i="1"/>
  <c r="C474" i="6" s="1"/>
  <c r="R474" i="1"/>
  <c r="D474" i="6" s="1"/>
  <c r="S474" i="1"/>
  <c r="E474" i="6" s="1"/>
  <c r="L1326" i="6" s="1"/>
  <c r="T474" i="1"/>
  <c r="F474" i="6" s="1"/>
  <c r="Q475" i="1"/>
  <c r="C475" i="6" s="1"/>
  <c r="R475" i="1"/>
  <c r="D475" i="6" s="1"/>
  <c r="S475" i="1"/>
  <c r="E475" i="6" s="1"/>
  <c r="L1327" i="6" s="1"/>
  <c r="T475" i="1"/>
  <c r="F475" i="6" s="1"/>
  <c r="Q476" i="1"/>
  <c r="C476" i="6" s="1"/>
  <c r="R476" i="1"/>
  <c r="D476" i="6" s="1"/>
  <c r="S476" i="1"/>
  <c r="E476" i="6" s="1"/>
  <c r="L1328" i="6" s="1"/>
  <c r="T476" i="1"/>
  <c r="F476" i="6" s="1"/>
  <c r="Q477" i="1"/>
  <c r="C477" i="6" s="1"/>
  <c r="R477" i="1"/>
  <c r="D477" i="6" s="1"/>
  <c r="S477" i="1"/>
  <c r="E477" i="6" s="1"/>
  <c r="L1329" i="6" s="1"/>
  <c r="T477" i="1"/>
  <c r="F477" i="6" s="1"/>
  <c r="Q478" i="1"/>
  <c r="C478" i="6" s="1"/>
  <c r="R478" i="1"/>
  <c r="D478" i="6" s="1"/>
  <c r="S478" i="1"/>
  <c r="E478" i="6" s="1"/>
  <c r="L1330" i="6" s="1"/>
  <c r="T478" i="1"/>
  <c r="F478" i="6" s="1"/>
  <c r="Q479" i="1"/>
  <c r="C479" i="6" s="1"/>
  <c r="R479" i="1"/>
  <c r="D479" i="6" s="1"/>
  <c r="S479" i="1"/>
  <c r="E479" i="6" s="1"/>
  <c r="L1331" i="6" s="1"/>
  <c r="T479" i="1"/>
  <c r="F479" i="6" s="1"/>
  <c r="Q480" i="1"/>
  <c r="C480" i="6" s="1"/>
  <c r="R480" i="1"/>
  <c r="D480" i="6" s="1"/>
  <c r="S480" i="1"/>
  <c r="E480" i="6" s="1"/>
  <c r="L1332" i="6" s="1"/>
  <c r="T480" i="1"/>
  <c r="F480" i="6" s="1"/>
  <c r="Q481" i="1"/>
  <c r="C481" i="6" s="1"/>
  <c r="R481" i="1"/>
  <c r="D481" i="6" s="1"/>
  <c r="S481" i="1"/>
  <c r="E481" i="6" s="1"/>
  <c r="L1333" i="6" s="1"/>
  <c r="T481" i="1"/>
  <c r="F481" i="6" s="1"/>
  <c r="Q482" i="1"/>
  <c r="C482" i="6" s="1"/>
  <c r="R482" i="1"/>
  <c r="D482" i="6" s="1"/>
  <c r="S482" i="1"/>
  <c r="E482" i="6" s="1"/>
  <c r="L1334" i="6" s="1"/>
  <c r="T482" i="1"/>
  <c r="F482" i="6" s="1"/>
  <c r="Q483" i="1"/>
  <c r="C483" i="6" s="1"/>
  <c r="R483" i="1"/>
  <c r="D483" i="6" s="1"/>
  <c r="S483" i="1"/>
  <c r="E483" i="6" s="1"/>
  <c r="L1335" i="6" s="1"/>
  <c r="T483" i="1"/>
  <c r="F483" i="6" s="1"/>
  <c r="Q484" i="1"/>
  <c r="C484" i="6" s="1"/>
  <c r="R484" i="1"/>
  <c r="D484" i="6" s="1"/>
  <c r="S484" i="1"/>
  <c r="E484" i="6" s="1"/>
  <c r="L1336" i="6" s="1"/>
  <c r="T484" i="1"/>
  <c r="F484" i="6" s="1"/>
  <c r="Q485" i="1"/>
  <c r="C485" i="6" s="1"/>
  <c r="R485" i="1"/>
  <c r="D485" i="6" s="1"/>
  <c r="S485" i="1"/>
  <c r="E485" i="6" s="1"/>
  <c r="L1337" i="6" s="1"/>
  <c r="T485" i="1"/>
  <c r="F485" i="6" s="1"/>
  <c r="Q486" i="1"/>
  <c r="C486" i="6" s="1"/>
  <c r="R486" i="1"/>
  <c r="D486" i="6" s="1"/>
  <c r="S486" i="1"/>
  <c r="E486" i="6" s="1"/>
  <c r="L1338" i="6" s="1"/>
  <c r="T486" i="1"/>
  <c r="F486" i="6" s="1"/>
  <c r="Q487" i="1"/>
  <c r="C487" i="6" s="1"/>
  <c r="R487" i="1"/>
  <c r="D487" i="6" s="1"/>
  <c r="S487" i="1"/>
  <c r="E487" i="6" s="1"/>
  <c r="L1339" i="6" s="1"/>
  <c r="T487" i="1"/>
  <c r="F487" i="6" s="1"/>
  <c r="Q488" i="1"/>
  <c r="C488" i="6" s="1"/>
  <c r="R488" i="1"/>
  <c r="D488" i="6" s="1"/>
  <c r="S488" i="1"/>
  <c r="E488" i="6" s="1"/>
  <c r="L1340" i="6" s="1"/>
  <c r="T488" i="1"/>
  <c r="F488" i="6" s="1"/>
  <c r="Q489" i="1"/>
  <c r="C489" i="6" s="1"/>
  <c r="R489" i="1"/>
  <c r="D489" i="6" s="1"/>
  <c r="S489" i="1"/>
  <c r="E489" i="6" s="1"/>
  <c r="L1341" i="6" s="1"/>
  <c r="T489" i="1"/>
  <c r="F489" i="6" s="1"/>
  <c r="Q490" i="1"/>
  <c r="C490" i="6" s="1"/>
  <c r="R490" i="1"/>
  <c r="D490" i="6" s="1"/>
  <c r="S490" i="1"/>
  <c r="E490" i="6" s="1"/>
  <c r="L1342" i="6" s="1"/>
  <c r="T490" i="1"/>
  <c r="F490" i="6" s="1"/>
  <c r="Q491" i="1"/>
  <c r="C491" i="6" s="1"/>
  <c r="R491" i="1"/>
  <c r="D491" i="6" s="1"/>
  <c r="S491" i="1"/>
  <c r="E491" i="6" s="1"/>
  <c r="L1343" i="6" s="1"/>
  <c r="T491" i="1"/>
  <c r="F491" i="6" s="1"/>
  <c r="Q492" i="1"/>
  <c r="C492" i="6" s="1"/>
  <c r="R492" i="1"/>
  <c r="D492" i="6" s="1"/>
  <c r="S492" i="1"/>
  <c r="E492" i="6" s="1"/>
  <c r="L1344" i="6" s="1"/>
  <c r="T492" i="1"/>
  <c r="F492" i="6" s="1"/>
  <c r="Q493" i="1"/>
  <c r="C493" i="6" s="1"/>
  <c r="R493" i="1"/>
  <c r="D493" i="6" s="1"/>
  <c r="S493" i="1"/>
  <c r="E493" i="6" s="1"/>
  <c r="L1345" i="6" s="1"/>
  <c r="T493" i="1"/>
  <c r="F493" i="6" s="1"/>
  <c r="Q494" i="1"/>
  <c r="C494" i="6" s="1"/>
  <c r="R494" i="1"/>
  <c r="D494" i="6" s="1"/>
  <c r="S494" i="1"/>
  <c r="E494" i="6" s="1"/>
  <c r="L1346" i="6" s="1"/>
  <c r="T494" i="1"/>
  <c r="F494" i="6" s="1"/>
  <c r="Q495" i="1"/>
  <c r="C495" i="6" s="1"/>
  <c r="R495" i="1"/>
  <c r="D495" i="6" s="1"/>
  <c r="S495" i="1"/>
  <c r="E495" i="6" s="1"/>
  <c r="L1347" i="6" s="1"/>
  <c r="T495" i="1"/>
  <c r="F495" i="6" s="1"/>
  <c r="Q496" i="1"/>
  <c r="C496" i="6" s="1"/>
  <c r="R496" i="1"/>
  <c r="D496" i="6" s="1"/>
  <c r="S496" i="1"/>
  <c r="E496" i="6" s="1"/>
  <c r="L1348" i="6" s="1"/>
  <c r="T496" i="1"/>
  <c r="F496" i="6" s="1"/>
  <c r="Q497" i="1"/>
  <c r="C497" i="6" s="1"/>
  <c r="R497" i="1"/>
  <c r="D497" i="6" s="1"/>
  <c r="S497" i="1"/>
  <c r="E497" i="6" s="1"/>
  <c r="L1349" i="6" s="1"/>
  <c r="T497" i="1"/>
  <c r="F497" i="6" s="1"/>
  <c r="Q498" i="1"/>
  <c r="C498" i="6" s="1"/>
  <c r="R498" i="1"/>
  <c r="D498" i="6" s="1"/>
  <c r="S498" i="1"/>
  <c r="E498" i="6" s="1"/>
  <c r="L1350" i="6" s="1"/>
  <c r="T498" i="1"/>
  <c r="F498" i="6" s="1"/>
  <c r="Q499" i="1"/>
  <c r="C499" i="6" s="1"/>
  <c r="R499" i="1"/>
  <c r="D499" i="6" s="1"/>
  <c r="S499" i="1"/>
  <c r="E499" i="6" s="1"/>
  <c r="L1351" i="6" s="1"/>
  <c r="T499" i="1"/>
  <c r="F499" i="6" s="1"/>
  <c r="Q500" i="1"/>
  <c r="C500" i="6" s="1"/>
  <c r="R500" i="1"/>
  <c r="D500" i="6" s="1"/>
  <c r="S500" i="1"/>
  <c r="E500" i="6" s="1"/>
  <c r="L1352" i="6" s="1"/>
  <c r="T500" i="1"/>
  <c r="F500" i="6" s="1"/>
  <c r="Q501" i="1"/>
  <c r="C501" i="6" s="1"/>
  <c r="R501" i="1"/>
  <c r="D501" i="6" s="1"/>
  <c r="S501" i="1"/>
  <c r="E501" i="6" s="1"/>
  <c r="L1353" i="6" s="1"/>
  <c r="T501" i="1"/>
  <c r="F501" i="6" s="1"/>
  <c r="Q502" i="1"/>
  <c r="C502" i="6" s="1"/>
  <c r="R502" i="1"/>
  <c r="D502" i="6" s="1"/>
  <c r="S502" i="1"/>
  <c r="E502" i="6" s="1"/>
  <c r="L1354" i="6" s="1"/>
  <c r="T502" i="1"/>
  <c r="F502" i="6" s="1"/>
  <c r="Q503" i="1"/>
  <c r="C503" i="6" s="1"/>
  <c r="R503" i="1"/>
  <c r="D503" i="6" s="1"/>
  <c r="S503" i="1"/>
  <c r="E503" i="6" s="1"/>
  <c r="L1355" i="6" s="1"/>
  <c r="T503" i="1"/>
  <c r="F503" i="6" s="1"/>
  <c r="Q504" i="1"/>
  <c r="C504" i="6" s="1"/>
  <c r="R504" i="1"/>
  <c r="D504" i="6" s="1"/>
  <c r="S504" i="1"/>
  <c r="E504" i="6" s="1"/>
  <c r="L1356" i="6" s="1"/>
  <c r="T504" i="1"/>
  <c r="F504" i="6" s="1"/>
  <c r="Q505" i="1"/>
  <c r="C505" i="6" s="1"/>
  <c r="R505" i="1"/>
  <c r="D505" i="6" s="1"/>
  <c r="S505" i="1"/>
  <c r="E505" i="6" s="1"/>
  <c r="L1357" i="6" s="1"/>
  <c r="T505" i="1"/>
  <c r="F505" i="6" s="1"/>
  <c r="Q506" i="1"/>
  <c r="C506" i="6" s="1"/>
  <c r="R506" i="1"/>
  <c r="D506" i="6" s="1"/>
  <c r="S506" i="1"/>
  <c r="E506" i="6" s="1"/>
  <c r="L1358" i="6" s="1"/>
  <c r="T506" i="1"/>
  <c r="F506" i="6" s="1"/>
  <c r="Q507" i="1"/>
  <c r="C507" i="6" s="1"/>
  <c r="R507" i="1"/>
  <c r="D507" i="6" s="1"/>
  <c r="S507" i="1"/>
  <c r="E507" i="6" s="1"/>
  <c r="L1359" i="6" s="1"/>
  <c r="T507" i="1"/>
  <c r="F507" i="6" s="1"/>
  <c r="Q508" i="1"/>
  <c r="C508" i="6" s="1"/>
  <c r="R508" i="1"/>
  <c r="D508" i="6" s="1"/>
  <c r="S508" i="1"/>
  <c r="E508" i="6" s="1"/>
  <c r="L1360" i="6" s="1"/>
  <c r="T508" i="1"/>
  <c r="F508" i="6" s="1"/>
  <c r="Q509" i="1"/>
  <c r="C509" i="6" s="1"/>
  <c r="R509" i="1"/>
  <c r="D509" i="6" s="1"/>
  <c r="S509" i="1"/>
  <c r="E509" i="6" s="1"/>
  <c r="L1361" i="6" s="1"/>
  <c r="T509" i="1"/>
  <c r="F509" i="6" s="1"/>
  <c r="Q510" i="1"/>
  <c r="C510" i="6" s="1"/>
  <c r="R510" i="1"/>
  <c r="D510" i="6" s="1"/>
  <c r="S510" i="1"/>
  <c r="E510" i="6" s="1"/>
  <c r="L1362" i="6" s="1"/>
  <c r="T510" i="1"/>
  <c r="F510" i="6" s="1"/>
  <c r="Q511" i="1"/>
  <c r="C511" i="6" s="1"/>
  <c r="R511" i="1"/>
  <c r="D511" i="6" s="1"/>
  <c r="S511" i="1"/>
  <c r="E511" i="6" s="1"/>
  <c r="L1363" i="6" s="1"/>
  <c r="T511" i="1"/>
  <c r="F511" i="6" s="1"/>
  <c r="Q512" i="1"/>
  <c r="C512" i="6" s="1"/>
  <c r="R512" i="1"/>
  <c r="D512" i="6" s="1"/>
  <c r="S512" i="1"/>
  <c r="E512" i="6" s="1"/>
  <c r="L1364" i="6" s="1"/>
  <c r="T512" i="1"/>
  <c r="F512" i="6" s="1"/>
  <c r="Q513" i="1"/>
  <c r="C513" i="6" s="1"/>
  <c r="R513" i="1"/>
  <c r="D513" i="6" s="1"/>
  <c r="S513" i="1"/>
  <c r="E513" i="6" s="1"/>
  <c r="L1365" i="6" s="1"/>
  <c r="T513" i="1"/>
  <c r="F513" i="6" s="1"/>
  <c r="Q514" i="1"/>
  <c r="C514" i="6" s="1"/>
  <c r="R514" i="1"/>
  <c r="D514" i="6" s="1"/>
  <c r="S514" i="1"/>
  <c r="E514" i="6" s="1"/>
  <c r="L1366" i="6" s="1"/>
  <c r="T514" i="1"/>
  <c r="F514" i="6" s="1"/>
  <c r="Q515" i="1"/>
  <c r="C515" i="6" s="1"/>
  <c r="R515" i="1"/>
  <c r="D515" i="6" s="1"/>
  <c r="S515" i="1"/>
  <c r="E515" i="6" s="1"/>
  <c r="L1367" i="6" s="1"/>
  <c r="T515" i="1"/>
  <c r="F515" i="6" s="1"/>
  <c r="Q516" i="1"/>
  <c r="C516" i="6" s="1"/>
  <c r="R516" i="1"/>
  <c r="D516" i="6" s="1"/>
  <c r="S516" i="1"/>
  <c r="E516" i="6" s="1"/>
  <c r="L1368" i="6" s="1"/>
  <c r="T516" i="1"/>
  <c r="F516" i="6" s="1"/>
  <c r="Q517" i="1"/>
  <c r="C517" i="6" s="1"/>
  <c r="R517" i="1"/>
  <c r="D517" i="6" s="1"/>
  <c r="S517" i="1"/>
  <c r="E517" i="6" s="1"/>
  <c r="L1369" i="6" s="1"/>
  <c r="T517" i="1"/>
  <c r="F517" i="6" s="1"/>
  <c r="Q518" i="1"/>
  <c r="C518" i="6" s="1"/>
  <c r="R518" i="1"/>
  <c r="D518" i="6" s="1"/>
  <c r="S518" i="1"/>
  <c r="E518" i="6" s="1"/>
  <c r="L1370" i="6" s="1"/>
  <c r="T518" i="1"/>
  <c r="F518" i="6" s="1"/>
  <c r="Q519" i="1"/>
  <c r="C519" i="6" s="1"/>
  <c r="R519" i="1"/>
  <c r="D519" i="6" s="1"/>
  <c r="S519" i="1"/>
  <c r="E519" i="6" s="1"/>
  <c r="L1371" i="6" s="1"/>
  <c r="T519" i="1"/>
  <c r="F519" i="6" s="1"/>
  <c r="Q520" i="1"/>
  <c r="C520" i="6" s="1"/>
  <c r="R520" i="1"/>
  <c r="D520" i="6" s="1"/>
  <c r="S520" i="1"/>
  <c r="E520" i="6" s="1"/>
  <c r="L1372" i="6" s="1"/>
  <c r="T520" i="1"/>
  <c r="F520" i="6" s="1"/>
  <c r="Q521" i="1"/>
  <c r="C521" i="6" s="1"/>
  <c r="R521" i="1"/>
  <c r="D521" i="6" s="1"/>
  <c r="S521" i="1"/>
  <c r="E521" i="6" s="1"/>
  <c r="L1373" i="6" s="1"/>
  <c r="T521" i="1"/>
  <c r="F521" i="6" s="1"/>
  <c r="Q522" i="1"/>
  <c r="C522" i="6" s="1"/>
  <c r="R522" i="1"/>
  <c r="D522" i="6" s="1"/>
  <c r="S522" i="1"/>
  <c r="E522" i="6" s="1"/>
  <c r="L1374" i="6" s="1"/>
  <c r="T522" i="1"/>
  <c r="F522" i="6" s="1"/>
  <c r="Q523" i="1"/>
  <c r="C523" i="6" s="1"/>
  <c r="R523" i="1"/>
  <c r="D523" i="6" s="1"/>
  <c r="S523" i="1"/>
  <c r="E523" i="6" s="1"/>
  <c r="L1375" i="6" s="1"/>
  <c r="T523" i="1"/>
  <c r="F523" i="6" s="1"/>
  <c r="Q524" i="1"/>
  <c r="C524" i="6" s="1"/>
  <c r="R524" i="1"/>
  <c r="D524" i="6" s="1"/>
  <c r="S524" i="1"/>
  <c r="E524" i="6" s="1"/>
  <c r="L1376" i="6" s="1"/>
  <c r="T524" i="1"/>
  <c r="F524" i="6" s="1"/>
  <c r="Q525" i="1"/>
  <c r="C525" i="6" s="1"/>
  <c r="R525" i="1"/>
  <c r="D525" i="6" s="1"/>
  <c r="S525" i="1"/>
  <c r="E525" i="6" s="1"/>
  <c r="L1377" i="6" s="1"/>
  <c r="T525" i="1"/>
  <c r="F525" i="6" s="1"/>
  <c r="Q526" i="1"/>
  <c r="C526" i="6" s="1"/>
  <c r="R526" i="1"/>
  <c r="D526" i="6" s="1"/>
  <c r="S526" i="1"/>
  <c r="E526" i="6" s="1"/>
  <c r="L1378" i="6" s="1"/>
  <c r="T526" i="1"/>
  <c r="F526" i="6" s="1"/>
  <c r="Q527" i="1"/>
  <c r="C527" i="6" s="1"/>
  <c r="R527" i="1"/>
  <c r="D527" i="6" s="1"/>
  <c r="S527" i="1"/>
  <c r="E527" i="6" s="1"/>
  <c r="L1379" i="6" s="1"/>
  <c r="T527" i="1"/>
  <c r="F527" i="6" s="1"/>
  <c r="Q528" i="1"/>
  <c r="C528" i="6" s="1"/>
  <c r="R528" i="1"/>
  <c r="D528" i="6" s="1"/>
  <c r="S528" i="1"/>
  <c r="E528" i="6" s="1"/>
  <c r="L1380" i="6" s="1"/>
  <c r="T528" i="1"/>
  <c r="F528" i="6" s="1"/>
  <c r="Q529" i="1"/>
  <c r="C529" i="6" s="1"/>
  <c r="R529" i="1"/>
  <c r="D529" i="6" s="1"/>
  <c r="S529" i="1"/>
  <c r="E529" i="6" s="1"/>
  <c r="L1381" i="6" s="1"/>
  <c r="T529" i="1"/>
  <c r="F529" i="6" s="1"/>
  <c r="Q530" i="1"/>
  <c r="C530" i="6" s="1"/>
  <c r="R530" i="1"/>
  <c r="D530" i="6" s="1"/>
  <c r="S530" i="1"/>
  <c r="E530" i="6" s="1"/>
  <c r="L1382" i="6" s="1"/>
  <c r="T530" i="1"/>
  <c r="F530" i="6" s="1"/>
  <c r="Q531" i="1"/>
  <c r="C531" i="6" s="1"/>
  <c r="R531" i="1"/>
  <c r="D531" i="6" s="1"/>
  <c r="S531" i="1"/>
  <c r="E531" i="6" s="1"/>
  <c r="L1383" i="6" s="1"/>
  <c r="T531" i="1"/>
  <c r="F531" i="6" s="1"/>
  <c r="Q532" i="1"/>
  <c r="C532" i="6" s="1"/>
  <c r="R532" i="1"/>
  <c r="D532" i="6" s="1"/>
  <c r="S532" i="1"/>
  <c r="E532" i="6" s="1"/>
  <c r="L1384" i="6" s="1"/>
  <c r="T532" i="1"/>
  <c r="F532" i="6" s="1"/>
  <c r="Q533" i="1"/>
  <c r="C533" i="6" s="1"/>
  <c r="R533" i="1"/>
  <c r="D533" i="6" s="1"/>
  <c r="S533" i="1"/>
  <c r="E533" i="6" s="1"/>
  <c r="L1385" i="6" s="1"/>
  <c r="T533" i="1"/>
  <c r="F533" i="6" s="1"/>
  <c r="Q534" i="1"/>
  <c r="C534" i="6" s="1"/>
  <c r="R534" i="1"/>
  <c r="D534" i="6" s="1"/>
  <c r="S534" i="1"/>
  <c r="E534" i="6" s="1"/>
  <c r="L1386" i="6" s="1"/>
  <c r="T534" i="1"/>
  <c r="F534" i="6" s="1"/>
  <c r="Q535" i="1"/>
  <c r="C535" i="6" s="1"/>
  <c r="R535" i="1"/>
  <c r="D535" i="6" s="1"/>
  <c r="S535" i="1"/>
  <c r="E535" i="6" s="1"/>
  <c r="L1387" i="6" s="1"/>
  <c r="T535" i="1"/>
  <c r="F535" i="6" s="1"/>
  <c r="Q536" i="1"/>
  <c r="C536" i="6" s="1"/>
  <c r="R536" i="1"/>
  <c r="D536" i="6" s="1"/>
  <c r="S536" i="1"/>
  <c r="E536" i="6" s="1"/>
  <c r="L1388" i="6" s="1"/>
  <c r="T536" i="1"/>
  <c r="F536" i="6" s="1"/>
  <c r="Q537" i="1"/>
  <c r="C537" i="6" s="1"/>
  <c r="R537" i="1"/>
  <c r="D537" i="6" s="1"/>
  <c r="S537" i="1"/>
  <c r="E537" i="6" s="1"/>
  <c r="L1389" i="6" s="1"/>
  <c r="T537" i="1"/>
  <c r="F537" i="6" s="1"/>
  <c r="Q538" i="1"/>
  <c r="C538" i="6" s="1"/>
  <c r="R538" i="1"/>
  <c r="D538" i="6" s="1"/>
  <c r="S538" i="1"/>
  <c r="E538" i="6" s="1"/>
  <c r="L1390" i="6" s="1"/>
  <c r="T538" i="1"/>
  <c r="F538" i="6" s="1"/>
  <c r="Q539" i="1"/>
  <c r="C539" i="6" s="1"/>
  <c r="R539" i="1"/>
  <c r="D539" i="6" s="1"/>
  <c r="S539" i="1"/>
  <c r="E539" i="6" s="1"/>
  <c r="L1391" i="6" s="1"/>
  <c r="T539" i="1"/>
  <c r="F539" i="6" s="1"/>
  <c r="Q540" i="1"/>
  <c r="C540" i="6" s="1"/>
  <c r="R540" i="1"/>
  <c r="D540" i="6" s="1"/>
  <c r="S540" i="1"/>
  <c r="E540" i="6" s="1"/>
  <c r="L1392" i="6" s="1"/>
  <c r="T540" i="1"/>
  <c r="F540" i="6" s="1"/>
  <c r="Q541" i="1"/>
  <c r="C541" i="6" s="1"/>
  <c r="R541" i="1"/>
  <c r="D541" i="6" s="1"/>
  <c r="S541" i="1"/>
  <c r="E541" i="6" s="1"/>
  <c r="L1393" i="6" s="1"/>
  <c r="T541" i="1"/>
  <c r="F541" i="6" s="1"/>
  <c r="Q542" i="1"/>
  <c r="C542" i="6" s="1"/>
  <c r="R542" i="1"/>
  <c r="D542" i="6" s="1"/>
  <c r="S542" i="1"/>
  <c r="E542" i="6" s="1"/>
  <c r="L1394" i="6" s="1"/>
  <c r="T542" i="1"/>
  <c r="F542" i="6" s="1"/>
  <c r="Q543" i="1"/>
  <c r="C543" i="6" s="1"/>
  <c r="R543" i="1"/>
  <c r="D543" i="6" s="1"/>
  <c r="S543" i="1"/>
  <c r="E543" i="6" s="1"/>
  <c r="L1395" i="6" s="1"/>
  <c r="T543" i="1"/>
  <c r="F543" i="6" s="1"/>
  <c r="Q544" i="1"/>
  <c r="C544" i="6" s="1"/>
  <c r="R544" i="1"/>
  <c r="D544" i="6" s="1"/>
  <c r="S544" i="1"/>
  <c r="E544" i="6" s="1"/>
  <c r="L1396" i="6" s="1"/>
  <c r="T544" i="1"/>
  <c r="F544" i="6" s="1"/>
  <c r="Q545" i="1"/>
  <c r="C545" i="6" s="1"/>
  <c r="R545" i="1"/>
  <c r="D545" i="6" s="1"/>
  <c r="S545" i="1"/>
  <c r="E545" i="6" s="1"/>
  <c r="L1397" i="6" s="1"/>
  <c r="T545" i="1"/>
  <c r="F545" i="6" s="1"/>
  <c r="Q546" i="1"/>
  <c r="C546" i="6" s="1"/>
  <c r="R546" i="1"/>
  <c r="D546" i="6" s="1"/>
  <c r="S546" i="1"/>
  <c r="E546" i="6" s="1"/>
  <c r="L1398" i="6" s="1"/>
  <c r="T546" i="1"/>
  <c r="F546" i="6" s="1"/>
  <c r="Q547" i="1"/>
  <c r="C547" i="6" s="1"/>
  <c r="R547" i="1"/>
  <c r="D547" i="6" s="1"/>
  <c r="S547" i="1"/>
  <c r="E547" i="6" s="1"/>
  <c r="L1399" i="6" s="1"/>
  <c r="T547" i="1"/>
  <c r="F547" i="6" s="1"/>
  <c r="Q548" i="1"/>
  <c r="C548" i="6" s="1"/>
  <c r="R548" i="1"/>
  <c r="D548" i="6" s="1"/>
  <c r="S548" i="1"/>
  <c r="E548" i="6" s="1"/>
  <c r="L1400" i="6" s="1"/>
  <c r="T548" i="1"/>
  <c r="F548" i="6" s="1"/>
  <c r="Q549" i="1"/>
  <c r="C549" i="6" s="1"/>
  <c r="R549" i="1"/>
  <c r="D549" i="6" s="1"/>
  <c r="S549" i="1"/>
  <c r="E549" i="6" s="1"/>
  <c r="L1401" i="6" s="1"/>
  <c r="T549" i="1"/>
  <c r="F549" i="6" s="1"/>
  <c r="Q550" i="1"/>
  <c r="C550" i="6" s="1"/>
  <c r="R550" i="1"/>
  <c r="D550" i="6" s="1"/>
  <c r="S550" i="1"/>
  <c r="E550" i="6" s="1"/>
  <c r="L1402" i="6" s="1"/>
  <c r="T550" i="1"/>
  <c r="F550" i="6" s="1"/>
  <c r="Q551" i="1"/>
  <c r="C551" i="6" s="1"/>
  <c r="R551" i="1"/>
  <c r="D551" i="6" s="1"/>
  <c r="S551" i="1"/>
  <c r="E551" i="6" s="1"/>
  <c r="L1403" i="6" s="1"/>
  <c r="T551" i="1"/>
  <c r="F551" i="6" s="1"/>
  <c r="Q552" i="1"/>
  <c r="C552" i="6" s="1"/>
  <c r="R552" i="1"/>
  <c r="D552" i="6" s="1"/>
  <c r="S552" i="1"/>
  <c r="E552" i="6" s="1"/>
  <c r="L1404" i="6" s="1"/>
  <c r="T552" i="1"/>
  <c r="F552" i="6" s="1"/>
  <c r="Q553" i="1"/>
  <c r="C553" i="6" s="1"/>
  <c r="R553" i="1"/>
  <c r="D553" i="6" s="1"/>
  <c r="S553" i="1"/>
  <c r="E553" i="6" s="1"/>
  <c r="L1405" i="6" s="1"/>
  <c r="T553" i="1"/>
  <c r="F553" i="6" s="1"/>
  <c r="Q554" i="1"/>
  <c r="C554" i="6" s="1"/>
  <c r="R554" i="1"/>
  <c r="D554" i="6" s="1"/>
  <c r="S554" i="1"/>
  <c r="E554" i="6" s="1"/>
  <c r="L1406" i="6" s="1"/>
  <c r="T554" i="1"/>
  <c r="F554" i="6" s="1"/>
  <c r="Q555" i="1"/>
  <c r="C555" i="6" s="1"/>
  <c r="R555" i="1"/>
  <c r="D555" i="6" s="1"/>
  <c r="S555" i="1"/>
  <c r="E555" i="6" s="1"/>
  <c r="L1407" i="6" s="1"/>
  <c r="T555" i="1"/>
  <c r="F555" i="6" s="1"/>
  <c r="Q556" i="1"/>
  <c r="C556" i="6" s="1"/>
  <c r="R556" i="1"/>
  <c r="D556" i="6" s="1"/>
  <c r="S556" i="1"/>
  <c r="E556" i="6" s="1"/>
  <c r="L1408" i="6" s="1"/>
  <c r="T556" i="1"/>
  <c r="F556" i="6" s="1"/>
  <c r="Q557" i="1"/>
  <c r="C557" i="6" s="1"/>
  <c r="R557" i="1"/>
  <c r="D557" i="6" s="1"/>
  <c r="S557" i="1"/>
  <c r="E557" i="6" s="1"/>
  <c r="L1409" i="6" s="1"/>
  <c r="T557" i="1"/>
  <c r="F557" i="6" s="1"/>
  <c r="Q558" i="1"/>
  <c r="C558" i="6" s="1"/>
  <c r="R558" i="1"/>
  <c r="D558" i="6" s="1"/>
  <c r="S558" i="1"/>
  <c r="E558" i="6" s="1"/>
  <c r="L1410" i="6" s="1"/>
  <c r="T558" i="1"/>
  <c r="F558" i="6" s="1"/>
  <c r="Q559" i="1"/>
  <c r="C559" i="6" s="1"/>
  <c r="R559" i="1"/>
  <c r="D559" i="6" s="1"/>
  <c r="S559" i="1"/>
  <c r="E559" i="6" s="1"/>
  <c r="L1411" i="6" s="1"/>
  <c r="T559" i="1"/>
  <c r="F559" i="6" s="1"/>
  <c r="Q560" i="1"/>
  <c r="C560" i="6" s="1"/>
  <c r="R560" i="1"/>
  <c r="D560" i="6" s="1"/>
  <c r="S560" i="1"/>
  <c r="E560" i="6" s="1"/>
  <c r="L1412" i="6" s="1"/>
  <c r="T560" i="1"/>
  <c r="F560" i="6" s="1"/>
  <c r="Q561" i="1"/>
  <c r="C561" i="6" s="1"/>
  <c r="R561" i="1"/>
  <c r="D561" i="6" s="1"/>
  <c r="S561" i="1"/>
  <c r="E561" i="6" s="1"/>
  <c r="L1413" i="6" s="1"/>
  <c r="T561" i="1"/>
  <c r="F561" i="6" s="1"/>
  <c r="Q562" i="1"/>
  <c r="C562" i="6" s="1"/>
  <c r="R562" i="1"/>
  <c r="D562" i="6" s="1"/>
  <c r="S562" i="1"/>
  <c r="E562" i="6" s="1"/>
  <c r="L1414" i="6" s="1"/>
  <c r="T562" i="1"/>
  <c r="F562" i="6" s="1"/>
  <c r="Q563" i="1"/>
  <c r="C563" i="6" s="1"/>
  <c r="R563" i="1"/>
  <c r="D563" i="6" s="1"/>
  <c r="S563" i="1"/>
  <c r="E563" i="6" s="1"/>
  <c r="L1415" i="6" s="1"/>
  <c r="T563" i="1"/>
  <c r="F563" i="6" s="1"/>
  <c r="Q564" i="1"/>
  <c r="C564" i="6" s="1"/>
  <c r="R564" i="1"/>
  <c r="D564" i="6" s="1"/>
  <c r="S564" i="1"/>
  <c r="E564" i="6" s="1"/>
  <c r="L1416" i="6" s="1"/>
  <c r="T564" i="1"/>
  <c r="F564" i="6" s="1"/>
  <c r="Q565" i="1"/>
  <c r="C565" i="6" s="1"/>
  <c r="R565" i="1"/>
  <c r="D565" i="6" s="1"/>
  <c r="S565" i="1"/>
  <c r="E565" i="6" s="1"/>
  <c r="L1417" i="6" s="1"/>
  <c r="T565" i="1"/>
  <c r="F565" i="6" s="1"/>
  <c r="Q566" i="1"/>
  <c r="C566" i="6" s="1"/>
  <c r="R566" i="1"/>
  <c r="D566" i="6" s="1"/>
  <c r="S566" i="1"/>
  <c r="E566" i="6" s="1"/>
  <c r="L1418" i="6" s="1"/>
  <c r="T566" i="1"/>
  <c r="F566" i="6" s="1"/>
  <c r="Q567" i="1"/>
  <c r="C567" i="6" s="1"/>
  <c r="R567" i="1"/>
  <c r="D567" i="6" s="1"/>
  <c r="S567" i="1"/>
  <c r="E567" i="6" s="1"/>
  <c r="L1419" i="6" s="1"/>
  <c r="T567" i="1"/>
  <c r="F567" i="6" s="1"/>
  <c r="Q568" i="1"/>
  <c r="C568" i="6" s="1"/>
  <c r="R568" i="1"/>
  <c r="D568" i="6" s="1"/>
  <c r="S568" i="1"/>
  <c r="E568" i="6" s="1"/>
  <c r="L1420" i="6" s="1"/>
  <c r="T568" i="1"/>
  <c r="F568" i="6" s="1"/>
  <c r="Q569" i="1"/>
  <c r="C569" i="6" s="1"/>
  <c r="R569" i="1"/>
  <c r="D569" i="6" s="1"/>
  <c r="S569" i="1"/>
  <c r="E569" i="6" s="1"/>
  <c r="L1421" i="6" s="1"/>
  <c r="T569" i="1"/>
  <c r="F569" i="6" s="1"/>
  <c r="Q570" i="1"/>
  <c r="C570" i="6" s="1"/>
  <c r="R570" i="1"/>
  <c r="D570" i="6" s="1"/>
  <c r="S570" i="1"/>
  <c r="E570" i="6" s="1"/>
  <c r="L1422" i="6" s="1"/>
  <c r="T570" i="1"/>
  <c r="F570" i="6" s="1"/>
  <c r="Q571" i="1"/>
  <c r="C571" i="6" s="1"/>
  <c r="R571" i="1"/>
  <c r="D571" i="6" s="1"/>
  <c r="S571" i="1"/>
  <c r="E571" i="6" s="1"/>
  <c r="L1423" i="6" s="1"/>
  <c r="T571" i="1"/>
  <c r="F571" i="6" s="1"/>
  <c r="Q572" i="1"/>
  <c r="C572" i="6" s="1"/>
  <c r="R572" i="1"/>
  <c r="D572" i="6" s="1"/>
  <c r="S572" i="1"/>
  <c r="E572" i="6" s="1"/>
  <c r="L1424" i="6" s="1"/>
  <c r="T572" i="1"/>
  <c r="F572" i="6" s="1"/>
  <c r="Q573" i="1"/>
  <c r="C573" i="6" s="1"/>
  <c r="R573" i="1"/>
  <c r="D573" i="6" s="1"/>
  <c r="S573" i="1"/>
  <c r="E573" i="6" s="1"/>
  <c r="L1425" i="6" s="1"/>
  <c r="T573" i="1"/>
  <c r="F573" i="6" s="1"/>
  <c r="Q574" i="1"/>
  <c r="C574" i="6" s="1"/>
  <c r="R574" i="1"/>
  <c r="D574" i="6" s="1"/>
  <c r="S574" i="1"/>
  <c r="E574" i="6" s="1"/>
  <c r="L1426" i="6" s="1"/>
  <c r="T574" i="1"/>
  <c r="F574" i="6" s="1"/>
  <c r="Q575" i="1"/>
  <c r="C575" i="6" s="1"/>
  <c r="R575" i="1"/>
  <c r="D575" i="6" s="1"/>
  <c r="S575" i="1"/>
  <c r="E575" i="6" s="1"/>
  <c r="L1427" i="6" s="1"/>
  <c r="T575" i="1"/>
  <c r="F575" i="6" s="1"/>
  <c r="Q576" i="1"/>
  <c r="C576" i="6" s="1"/>
  <c r="R576" i="1"/>
  <c r="D576" i="6" s="1"/>
  <c r="S576" i="1"/>
  <c r="E576" i="6" s="1"/>
  <c r="L1428" i="6" s="1"/>
  <c r="T576" i="1"/>
  <c r="F576" i="6" s="1"/>
  <c r="Q577" i="1"/>
  <c r="C577" i="6" s="1"/>
  <c r="R577" i="1"/>
  <c r="D577" i="6" s="1"/>
  <c r="S577" i="1"/>
  <c r="E577" i="6" s="1"/>
  <c r="L1429" i="6" s="1"/>
  <c r="T577" i="1"/>
  <c r="F577" i="6" s="1"/>
  <c r="Q578" i="1"/>
  <c r="C578" i="6" s="1"/>
  <c r="R578" i="1"/>
  <c r="D578" i="6" s="1"/>
  <c r="S578" i="1"/>
  <c r="E578" i="6" s="1"/>
  <c r="L1430" i="6" s="1"/>
  <c r="T578" i="1"/>
  <c r="F578" i="6" s="1"/>
  <c r="Q579" i="1"/>
  <c r="C579" i="6" s="1"/>
  <c r="R579" i="1"/>
  <c r="D579" i="6" s="1"/>
  <c r="S579" i="1"/>
  <c r="E579" i="6" s="1"/>
  <c r="L1431" i="6" s="1"/>
  <c r="T579" i="1"/>
  <c r="F579" i="6" s="1"/>
  <c r="Q580" i="1"/>
  <c r="C580" i="6" s="1"/>
  <c r="R580" i="1"/>
  <c r="D580" i="6" s="1"/>
  <c r="S580" i="1"/>
  <c r="E580" i="6" s="1"/>
  <c r="L1432" i="6" s="1"/>
  <c r="T580" i="1"/>
  <c r="F580" i="6" s="1"/>
  <c r="Q581" i="1"/>
  <c r="C581" i="6" s="1"/>
  <c r="R581" i="1"/>
  <c r="D581" i="6" s="1"/>
  <c r="S581" i="1"/>
  <c r="E581" i="6" s="1"/>
  <c r="L1433" i="6" s="1"/>
  <c r="T581" i="1"/>
  <c r="F581" i="6" s="1"/>
  <c r="Q582" i="1"/>
  <c r="C582" i="6" s="1"/>
  <c r="R582" i="1"/>
  <c r="D582" i="6" s="1"/>
  <c r="S582" i="1"/>
  <c r="E582" i="6" s="1"/>
  <c r="L1434" i="6" s="1"/>
  <c r="T582" i="1"/>
  <c r="F582" i="6" s="1"/>
  <c r="Q583" i="1"/>
  <c r="C583" i="6" s="1"/>
  <c r="R583" i="1"/>
  <c r="D583" i="6" s="1"/>
  <c r="S583" i="1"/>
  <c r="E583" i="6" s="1"/>
  <c r="L1435" i="6" s="1"/>
  <c r="T583" i="1"/>
  <c r="F583" i="6" s="1"/>
  <c r="Q584" i="1"/>
  <c r="C584" i="6" s="1"/>
  <c r="R584" i="1"/>
  <c r="D584" i="6" s="1"/>
  <c r="S584" i="1"/>
  <c r="E584" i="6" s="1"/>
  <c r="L1436" i="6" s="1"/>
  <c r="T584" i="1"/>
  <c r="F584" i="6" s="1"/>
  <c r="Q585" i="1"/>
  <c r="C585" i="6" s="1"/>
  <c r="R585" i="1"/>
  <c r="D585" i="6" s="1"/>
  <c r="S585" i="1"/>
  <c r="E585" i="6" s="1"/>
  <c r="L1437" i="6" s="1"/>
  <c r="T585" i="1"/>
  <c r="F585" i="6" s="1"/>
  <c r="Q586" i="1"/>
  <c r="C586" i="6" s="1"/>
  <c r="R586" i="1"/>
  <c r="D586" i="6" s="1"/>
  <c r="S586" i="1"/>
  <c r="E586" i="6" s="1"/>
  <c r="L1438" i="6" s="1"/>
  <c r="T586" i="1"/>
  <c r="F586" i="6" s="1"/>
  <c r="Q587" i="1"/>
  <c r="C587" i="6" s="1"/>
  <c r="R587" i="1"/>
  <c r="D587" i="6" s="1"/>
  <c r="S587" i="1"/>
  <c r="E587" i="6" s="1"/>
  <c r="L1439" i="6" s="1"/>
  <c r="T587" i="1"/>
  <c r="F587" i="6" s="1"/>
  <c r="Q588" i="1"/>
  <c r="C588" i="6" s="1"/>
  <c r="R588" i="1"/>
  <c r="D588" i="6" s="1"/>
  <c r="S588" i="1"/>
  <c r="E588" i="6" s="1"/>
  <c r="L1440" i="6" s="1"/>
  <c r="T588" i="1"/>
  <c r="F588" i="6" s="1"/>
  <c r="Q589" i="1"/>
  <c r="C589" i="6" s="1"/>
  <c r="R589" i="1"/>
  <c r="D589" i="6" s="1"/>
  <c r="S589" i="1"/>
  <c r="E589" i="6" s="1"/>
  <c r="L1441" i="6" s="1"/>
  <c r="T589" i="1"/>
  <c r="F589" i="6" s="1"/>
  <c r="Q590" i="1"/>
  <c r="C590" i="6" s="1"/>
  <c r="R590" i="1"/>
  <c r="D590" i="6" s="1"/>
  <c r="S590" i="1"/>
  <c r="E590" i="6" s="1"/>
  <c r="L1442" i="6" s="1"/>
  <c r="T590" i="1"/>
  <c r="F590" i="6" s="1"/>
  <c r="Q591" i="1"/>
  <c r="C591" i="6" s="1"/>
  <c r="R591" i="1"/>
  <c r="D591" i="6" s="1"/>
  <c r="S591" i="1"/>
  <c r="E591" i="6" s="1"/>
  <c r="L1443" i="6" s="1"/>
  <c r="T591" i="1"/>
  <c r="F591" i="6" s="1"/>
  <c r="Q592" i="1"/>
  <c r="C592" i="6" s="1"/>
  <c r="R592" i="1"/>
  <c r="D592" i="6" s="1"/>
  <c r="S592" i="1"/>
  <c r="E592" i="6" s="1"/>
  <c r="L1444" i="6" s="1"/>
  <c r="T592" i="1"/>
  <c r="F592" i="6" s="1"/>
  <c r="Q593" i="1"/>
  <c r="C593" i="6" s="1"/>
  <c r="R593" i="1"/>
  <c r="D593" i="6" s="1"/>
  <c r="S593" i="1"/>
  <c r="E593" i="6" s="1"/>
  <c r="L1445" i="6" s="1"/>
  <c r="T593" i="1"/>
  <c r="F593" i="6" s="1"/>
  <c r="Q594" i="1"/>
  <c r="C594" i="6" s="1"/>
  <c r="R594" i="1"/>
  <c r="D594" i="6" s="1"/>
  <c r="S594" i="1"/>
  <c r="E594" i="6" s="1"/>
  <c r="L1446" i="6" s="1"/>
  <c r="T594" i="1"/>
  <c r="F594" i="6" s="1"/>
  <c r="Q595" i="1"/>
  <c r="C595" i="6" s="1"/>
  <c r="R595" i="1"/>
  <c r="D595" i="6" s="1"/>
  <c r="S595" i="1"/>
  <c r="E595" i="6" s="1"/>
  <c r="L1447" i="6" s="1"/>
  <c r="T595" i="1"/>
  <c r="F595" i="6" s="1"/>
  <c r="Q596" i="1"/>
  <c r="C596" i="6" s="1"/>
  <c r="R596" i="1"/>
  <c r="D596" i="6" s="1"/>
  <c r="S596" i="1"/>
  <c r="E596" i="6" s="1"/>
  <c r="L1448" i="6" s="1"/>
  <c r="T596" i="1"/>
  <c r="F596" i="6" s="1"/>
  <c r="Q597" i="1"/>
  <c r="C597" i="6" s="1"/>
  <c r="R597" i="1"/>
  <c r="D597" i="6" s="1"/>
  <c r="S597" i="1"/>
  <c r="E597" i="6" s="1"/>
  <c r="L1449" i="6" s="1"/>
  <c r="T597" i="1"/>
  <c r="F597" i="6" s="1"/>
  <c r="Q598" i="1"/>
  <c r="C598" i="6" s="1"/>
  <c r="R598" i="1"/>
  <c r="D598" i="6" s="1"/>
  <c r="S598" i="1"/>
  <c r="E598" i="6" s="1"/>
  <c r="L1450" i="6" s="1"/>
  <c r="T598" i="1"/>
  <c r="F598" i="6" s="1"/>
  <c r="Q599" i="1"/>
  <c r="C599" i="6" s="1"/>
  <c r="R599" i="1"/>
  <c r="D599" i="6" s="1"/>
  <c r="S599" i="1"/>
  <c r="E599" i="6" s="1"/>
  <c r="L1451" i="6" s="1"/>
  <c r="T599" i="1"/>
  <c r="F599" i="6" s="1"/>
  <c r="Q600" i="1"/>
  <c r="C600" i="6" s="1"/>
  <c r="R600" i="1"/>
  <c r="D600" i="6" s="1"/>
  <c r="S600" i="1"/>
  <c r="E600" i="6" s="1"/>
  <c r="L1452" i="6" s="1"/>
  <c r="T600" i="1"/>
  <c r="F600" i="6" s="1"/>
  <c r="Q601" i="1"/>
  <c r="C601" i="6" s="1"/>
  <c r="R601" i="1"/>
  <c r="D601" i="6" s="1"/>
  <c r="S601" i="1"/>
  <c r="E601" i="6" s="1"/>
  <c r="L1453" i="6" s="1"/>
  <c r="T601" i="1"/>
  <c r="F601" i="6" s="1"/>
  <c r="Q602" i="1"/>
  <c r="C602" i="6" s="1"/>
  <c r="R602" i="1"/>
  <c r="D602" i="6" s="1"/>
  <c r="S602" i="1"/>
  <c r="E602" i="6" s="1"/>
  <c r="L1454" i="6" s="1"/>
  <c r="T602" i="1"/>
  <c r="F602" i="6" s="1"/>
  <c r="Q603" i="1"/>
  <c r="C603" i="6" s="1"/>
  <c r="R603" i="1"/>
  <c r="D603" i="6" s="1"/>
  <c r="S603" i="1"/>
  <c r="E603" i="6" s="1"/>
  <c r="L1455" i="6" s="1"/>
  <c r="T603" i="1"/>
  <c r="F603" i="6" s="1"/>
  <c r="Q604" i="1"/>
  <c r="C604" i="6" s="1"/>
  <c r="R604" i="1"/>
  <c r="D604" i="6" s="1"/>
  <c r="S604" i="1"/>
  <c r="E604" i="6" s="1"/>
  <c r="L1456" i="6" s="1"/>
  <c r="T604" i="1"/>
  <c r="F604" i="6" s="1"/>
  <c r="Q605" i="1"/>
  <c r="C605" i="6" s="1"/>
  <c r="R605" i="1"/>
  <c r="D605" i="6" s="1"/>
  <c r="S605" i="1"/>
  <c r="E605" i="6" s="1"/>
  <c r="L1457" i="6" s="1"/>
  <c r="T605" i="1"/>
  <c r="F605" i="6" s="1"/>
  <c r="Q606" i="1"/>
  <c r="C606" i="6" s="1"/>
  <c r="R606" i="1"/>
  <c r="D606" i="6" s="1"/>
  <c r="S606" i="1"/>
  <c r="E606" i="6" s="1"/>
  <c r="L1458" i="6" s="1"/>
  <c r="T606" i="1"/>
  <c r="F606" i="6" s="1"/>
  <c r="Q607" i="1"/>
  <c r="C607" i="6" s="1"/>
  <c r="R607" i="1"/>
  <c r="D607" i="6" s="1"/>
  <c r="S607" i="1"/>
  <c r="E607" i="6" s="1"/>
  <c r="L1459" i="6" s="1"/>
  <c r="T607" i="1"/>
  <c r="F607" i="6" s="1"/>
  <c r="Q608" i="1"/>
  <c r="C608" i="6" s="1"/>
  <c r="R608" i="1"/>
  <c r="D608" i="6" s="1"/>
  <c r="S608" i="1"/>
  <c r="E608" i="6" s="1"/>
  <c r="L1460" i="6" s="1"/>
  <c r="T608" i="1"/>
  <c r="F608" i="6" s="1"/>
  <c r="Q609" i="1"/>
  <c r="C609" i="6" s="1"/>
  <c r="R609" i="1"/>
  <c r="D609" i="6" s="1"/>
  <c r="S609" i="1"/>
  <c r="E609" i="6" s="1"/>
  <c r="L1461" i="6" s="1"/>
  <c r="T609" i="1"/>
  <c r="F609" i="6" s="1"/>
  <c r="Q610" i="1"/>
  <c r="C610" i="6" s="1"/>
  <c r="R610" i="1"/>
  <c r="D610" i="6" s="1"/>
  <c r="S610" i="1"/>
  <c r="E610" i="6" s="1"/>
  <c r="L1462" i="6" s="1"/>
  <c r="T610" i="1"/>
  <c r="F610" i="6" s="1"/>
  <c r="Q611" i="1"/>
  <c r="C611" i="6" s="1"/>
  <c r="R611" i="1"/>
  <c r="D611" i="6" s="1"/>
  <c r="S611" i="1"/>
  <c r="E611" i="6" s="1"/>
  <c r="L1463" i="6" s="1"/>
  <c r="T611" i="1"/>
  <c r="F611" i="6" s="1"/>
  <c r="Q612" i="1"/>
  <c r="C612" i="6" s="1"/>
  <c r="R612" i="1"/>
  <c r="D612" i="6" s="1"/>
  <c r="S612" i="1"/>
  <c r="E612" i="6" s="1"/>
  <c r="L1464" i="6" s="1"/>
  <c r="T612" i="1"/>
  <c r="F612" i="6" s="1"/>
  <c r="Q613" i="1"/>
  <c r="C613" i="6" s="1"/>
  <c r="R613" i="1"/>
  <c r="D613" i="6" s="1"/>
  <c r="S613" i="1"/>
  <c r="E613" i="6" s="1"/>
  <c r="L1465" i="6" s="1"/>
  <c r="T613" i="1"/>
  <c r="F613" i="6" s="1"/>
  <c r="Q614" i="1"/>
  <c r="C614" i="6" s="1"/>
  <c r="R614" i="1"/>
  <c r="D614" i="6" s="1"/>
  <c r="S614" i="1"/>
  <c r="E614" i="6" s="1"/>
  <c r="L1466" i="6" s="1"/>
  <c r="T614" i="1"/>
  <c r="F614" i="6" s="1"/>
  <c r="Q615" i="1"/>
  <c r="C615" i="6" s="1"/>
  <c r="R615" i="1"/>
  <c r="D615" i="6" s="1"/>
  <c r="S615" i="1"/>
  <c r="E615" i="6" s="1"/>
  <c r="L1467" i="6" s="1"/>
  <c r="T615" i="1"/>
  <c r="F615" i="6" s="1"/>
  <c r="Q616" i="1"/>
  <c r="C616" i="6" s="1"/>
  <c r="R616" i="1"/>
  <c r="D616" i="6" s="1"/>
  <c r="S616" i="1"/>
  <c r="E616" i="6" s="1"/>
  <c r="L1468" i="6" s="1"/>
  <c r="T616" i="1"/>
  <c r="F616" i="6" s="1"/>
  <c r="Q617" i="1"/>
  <c r="C617" i="6" s="1"/>
  <c r="R617" i="1"/>
  <c r="D617" i="6" s="1"/>
  <c r="S617" i="1"/>
  <c r="E617" i="6" s="1"/>
  <c r="L1469" i="6" s="1"/>
  <c r="T617" i="1"/>
  <c r="F617" i="6" s="1"/>
  <c r="Q618" i="1"/>
  <c r="C618" i="6" s="1"/>
  <c r="R618" i="1"/>
  <c r="D618" i="6" s="1"/>
  <c r="S618" i="1"/>
  <c r="E618" i="6" s="1"/>
  <c r="L1470" i="6" s="1"/>
  <c r="T618" i="1"/>
  <c r="F618" i="6" s="1"/>
  <c r="Q619" i="1"/>
  <c r="C619" i="6" s="1"/>
  <c r="R619" i="1"/>
  <c r="D619" i="6" s="1"/>
  <c r="S619" i="1"/>
  <c r="E619" i="6" s="1"/>
  <c r="L1471" i="6" s="1"/>
  <c r="T619" i="1"/>
  <c r="F619" i="6" s="1"/>
  <c r="Q620" i="1"/>
  <c r="C620" i="6" s="1"/>
  <c r="R620" i="1"/>
  <c r="D620" i="6" s="1"/>
  <c r="S620" i="1"/>
  <c r="E620" i="6" s="1"/>
  <c r="L1472" i="6" s="1"/>
  <c r="T620" i="1"/>
  <c r="F620" i="6" s="1"/>
  <c r="Q621" i="1"/>
  <c r="C621" i="6" s="1"/>
  <c r="R621" i="1"/>
  <c r="D621" i="6" s="1"/>
  <c r="S621" i="1"/>
  <c r="E621" i="6" s="1"/>
  <c r="L1473" i="6" s="1"/>
  <c r="T621" i="1"/>
  <c r="F621" i="6" s="1"/>
  <c r="Q622" i="1"/>
  <c r="C622" i="6" s="1"/>
  <c r="R622" i="1"/>
  <c r="D622" i="6" s="1"/>
  <c r="S622" i="1"/>
  <c r="E622" i="6" s="1"/>
  <c r="L1474" i="6" s="1"/>
  <c r="T622" i="1"/>
  <c r="F622" i="6" s="1"/>
  <c r="Q623" i="1"/>
  <c r="C623" i="6" s="1"/>
  <c r="R623" i="1"/>
  <c r="D623" i="6" s="1"/>
  <c r="S623" i="1"/>
  <c r="E623" i="6" s="1"/>
  <c r="L1475" i="6" s="1"/>
  <c r="T623" i="1"/>
  <c r="F623" i="6" s="1"/>
  <c r="Q624" i="1"/>
  <c r="C624" i="6" s="1"/>
  <c r="R624" i="1"/>
  <c r="D624" i="6" s="1"/>
  <c r="S624" i="1"/>
  <c r="E624" i="6" s="1"/>
  <c r="L1476" i="6" s="1"/>
  <c r="T624" i="1"/>
  <c r="F624" i="6" s="1"/>
  <c r="Q625" i="1"/>
  <c r="C625" i="6" s="1"/>
  <c r="R625" i="1"/>
  <c r="D625" i="6" s="1"/>
  <c r="S625" i="1"/>
  <c r="E625" i="6" s="1"/>
  <c r="L1477" i="6" s="1"/>
  <c r="T625" i="1"/>
  <c r="F625" i="6" s="1"/>
  <c r="Q626" i="1"/>
  <c r="C626" i="6" s="1"/>
  <c r="R626" i="1"/>
  <c r="D626" i="6" s="1"/>
  <c r="S626" i="1"/>
  <c r="E626" i="6" s="1"/>
  <c r="L1478" i="6" s="1"/>
  <c r="T626" i="1"/>
  <c r="F626" i="6" s="1"/>
  <c r="Q627" i="1"/>
  <c r="C627" i="6" s="1"/>
  <c r="R627" i="1"/>
  <c r="D627" i="6" s="1"/>
  <c r="S627" i="1"/>
  <c r="E627" i="6" s="1"/>
  <c r="L1479" i="6" s="1"/>
  <c r="T627" i="1"/>
  <c r="F627" i="6" s="1"/>
  <c r="Q628" i="1"/>
  <c r="C628" i="6" s="1"/>
  <c r="R628" i="1"/>
  <c r="D628" i="6" s="1"/>
  <c r="S628" i="1"/>
  <c r="E628" i="6" s="1"/>
  <c r="L1480" i="6" s="1"/>
  <c r="T628" i="1"/>
  <c r="F628" i="6" s="1"/>
  <c r="Q629" i="1"/>
  <c r="C629" i="6" s="1"/>
  <c r="R629" i="1"/>
  <c r="D629" i="6" s="1"/>
  <c r="S629" i="1"/>
  <c r="E629" i="6" s="1"/>
  <c r="L1481" i="6" s="1"/>
  <c r="T629" i="1"/>
  <c r="F629" i="6" s="1"/>
  <c r="Q630" i="1"/>
  <c r="C630" i="6" s="1"/>
  <c r="R630" i="1"/>
  <c r="D630" i="6" s="1"/>
  <c r="S630" i="1"/>
  <c r="E630" i="6" s="1"/>
  <c r="L1482" i="6" s="1"/>
  <c r="T630" i="1"/>
  <c r="F630" i="6" s="1"/>
  <c r="Q631" i="1"/>
  <c r="C631" i="6" s="1"/>
  <c r="R631" i="1"/>
  <c r="D631" i="6" s="1"/>
  <c r="S631" i="1"/>
  <c r="E631" i="6" s="1"/>
  <c r="L1483" i="6" s="1"/>
  <c r="T631" i="1"/>
  <c r="F631" i="6" s="1"/>
  <c r="Q632" i="1"/>
  <c r="C632" i="6" s="1"/>
  <c r="R632" i="1"/>
  <c r="D632" i="6" s="1"/>
  <c r="S632" i="1"/>
  <c r="E632" i="6" s="1"/>
  <c r="L1484" i="6" s="1"/>
  <c r="T632" i="1"/>
  <c r="F632" i="6" s="1"/>
  <c r="Q633" i="1"/>
  <c r="C633" i="6" s="1"/>
  <c r="R633" i="1"/>
  <c r="D633" i="6" s="1"/>
  <c r="S633" i="1"/>
  <c r="E633" i="6" s="1"/>
  <c r="L1485" i="6" s="1"/>
  <c r="T633" i="1"/>
  <c r="F633" i="6" s="1"/>
  <c r="Q634" i="1"/>
  <c r="C634" i="6" s="1"/>
  <c r="R634" i="1"/>
  <c r="D634" i="6" s="1"/>
  <c r="S634" i="1"/>
  <c r="E634" i="6" s="1"/>
  <c r="L1486" i="6" s="1"/>
  <c r="T634" i="1"/>
  <c r="F634" i="6" s="1"/>
  <c r="Q635" i="1"/>
  <c r="C635" i="6" s="1"/>
  <c r="R635" i="1"/>
  <c r="D635" i="6" s="1"/>
  <c r="S635" i="1"/>
  <c r="E635" i="6" s="1"/>
  <c r="L1487" i="6" s="1"/>
  <c r="T635" i="1"/>
  <c r="F635" i="6" s="1"/>
  <c r="Q636" i="1"/>
  <c r="C636" i="6" s="1"/>
  <c r="R636" i="1"/>
  <c r="D636" i="6" s="1"/>
  <c r="S636" i="1"/>
  <c r="E636" i="6" s="1"/>
  <c r="L1488" i="6" s="1"/>
  <c r="T636" i="1"/>
  <c r="F636" i="6" s="1"/>
  <c r="Q637" i="1"/>
  <c r="C637" i="6" s="1"/>
  <c r="R637" i="1"/>
  <c r="D637" i="6" s="1"/>
  <c r="S637" i="1"/>
  <c r="E637" i="6" s="1"/>
  <c r="L1489" i="6" s="1"/>
  <c r="T637" i="1"/>
  <c r="F637" i="6" s="1"/>
  <c r="Q638" i="1"/>
  <c r="C638" i="6" s="1"/>
  <c r="R638" i="1"/>
  <c r="D638" i="6" s="1"/>
  <c r="S638" i="1"/>
  <c r="E638" i="6" s="1"/>
  <c r="L1490" i="6" s="1"/>
  <c r="T638" i="1"/>
  <c r="F638" i="6" s="1"/>
  <c r="Q639" i="1"/>
  <c r="C639" i="6" s="1"/>
  <c r="R639" i="1"/>
  <c r="D639" i="6" s="1"/>
  <c r="S639" i="1"/>
  <c r="E639" i="6" s="1"/>
  <c r="L1491" i="6" s="1"/>
  <c r="T639" i="1"/>
  <c r="F639" i="6" s="1"/>
  <c r="Q640" i="1"/>
  <c r="C640" i="6" s="1"/>
  <c r="R640" i="1"/>
  <c r="D640" i="6" s="1"/>
  <c r="S640" i="1"/>
  <c r="E640" i="6" s="1"/>
  <c r="L1492" i="6" s="1"/>
  <c r="T640" i="1"/>
  <c r="F640" i="6" s="1"/>
  <c r="Q641" i="1"/>
  <c r="C641" i="6" s="1"/>
  <c r="R641" i="1"/>
  <c r="D641" i="6" s="1"/>
  <c r="S641" i="1"/>
  <c r="E641" i="6" s="1"/>
  <c r="L1493" i="6" s="1"/>
  <c r="T641" i="1"/>
  <c r="F641" i="6" s="1"/>
  <c r="Q642" i="1"/>
  <c r="C642" i="6" s="1"/>
  <c r="R642" i="1"/>
  <c r="D642" i="6" s="1"/>
  <c r="S642" i="1"/>
  <c r="E642" i="6" s="1"/>
  <c r="L1494" i="6" s="1"/>
  <c r="T642" i="1"/>
  <c r="F642" i="6" s="1"/>
  <c r="Q643" i="1"/>
  <c r="C643" i="6" s="1"/>
  <c r="R643" i="1"/>
  <c r="D643" i="6" s="1"/>
  <c r="S643" i="1"/>
  <c r="E643" i="6" s="1"/>
  <c r="L1495" i="6" s="1"/>
  <c r="T643" i="1"/>
  <c r="F643" i="6" s="1"/>
  <c r="Q644" i="1"/>
  <c r="C644" i="6" s="1"/>
  <c r="R644" i="1"/>
  <c r="D644" i="6" s="1"/>
  <c r="S644" i="1"/>
  <c r="E644" i="6" s="1"/>
  <c r="L1496" i="6" s="1"/>
  <c r="T644" i="1"/>
  <c r="F644" i="6" s="1"/>
  <c r="Q645" i="1"/>
  <c r="C645" i="6" s="1"/>
  <c r="R645" i="1"/>
  <c r="D645" i="6" s="1"/>
  <c r="S645" i="1"/>
  <c r="E645" i="6" s="1"/>
  <c r="L1497" i="6" s="1"/>
  <c r="T645" i="1"/>
  <c r="F645" i="6" s="1"/>
  <c r="Q646" i="1"/>
  <c r="C646" i="6" s="1"/>
  <c r="R646" i="1"/>
  <c r="D646" i="6" s="1"/>
  <c r="S646" i="1"/>
  <c r="E646" i="6" s="1"/>
  <c r="L1498" i="6" s="1"/>
  <c r="T646" i="1"/>
  <c r="F646" i="6" s="1"/>
  <c r="Q647" i="1"/>
  <c r="C647" i="6" s="1"/>
  <c r="R647" i="1"/>
  <c r="D647" i="6" s="1"/>
  <c r="S647" i="1"/>
  <c r="E647" i="6" s="1"/>
  <c r="L1499" i="6" s="1"/>
  <c r="T647" i="1"/>
  <c r="F647" i="6" s="1"/>
  <c r="Q648" i="1"/>
  <c r="C648" i="6" s="1"/>
  <c r="R648" i="1"/>
  <c r="D648" i="6" s="1"/>
  <c r="S648" i="1"/>
  <c r="E648" i="6" s="1"/>
  <c r="L1500" i="6" s="1"/>
  <c r="T648" i="1"/>
  <c r="F648" i="6" s="1"/>
  <c r="Q649" i="1"/>
  <c r="C649" i="6" s="1"/>
  <c r="R649" i="1"/>
  <c r="D649" i="6" s="1"/>
  <c r="S649" i="1"/>
  <c r="E649" i="6" s="1"/>
  <c r="L1501" i="6" s="1"/>
  <c r="T649" i="1"/>
  <c r="F649" i="6" s="1"/>
  <c r="Q650" i="1"/>
  <c r="C650" i="6" s="1"/>
  <c r="R650" i="1"/>
  <c r="D650" i="6" s="1"/>
  <c r="S650" i="1"/>
  <c r="E650" i="6" s="1"/>
  <c r="L1502" i="6" s="1"/>
  <c r="T650" i="1"/>
  <c r="F650" i="6" s="1"/>
  <c r="Q651" i="1"/>
  <c r="C651" i="6" s="1"/>
  <c r="R651" i="1"/>
  <c r="D651" i="6" s="1"/>
  <c r="S651" i="1"/>
  <c r="E651" i="6" s="1"/>
  <c r="L1503" i="6" s="1"/>
  <c r="T651" i="1"/>
  <c r="F651" i="6" s="1"/>
  <c r="Q652" i="1"/>
  <c r="C652" i="6" s="1"/>
  <c r="R652" i="1"/>
  <c r="D652" i="6" s="1"/>
  <c r="S652" i="1"/>
  <c r="E652" i="6" s="1"/>
  <c r="L1504" i="6" s="1"/>
  <c r="T652" i="1"/>
  <c r="F652" i="6" s="1"/>
  <c r="Q653" i="1"/>
  <c r="C653" i="6" s="1"/>
  <c r="R653" i="1"/>
  <c r="D653" i="6" s="1"/>
  <c r="S653" i="1"/>
  <c r="E653" i="6" s="1"/>
  <c r="L1505" i="6" s="1"/>
  <c r="T653" i="1"/>
  <c r="F653" i="6" s="1"/>
  <c r="Q654" i="1"/>
  <c r="C654" i="6" s="1"/>
  <c r="R654" i="1"/>
  <c r="D654" i="6" s="1"/>
  <c r="S654" i="1"/>
  <c r="E654" i="6" s="1"/>
  <c r="L1506" i="6" s="1"/>
  <c r="T654" i="1"/>
  <c r="F654" i="6" s="1"/>
  <c r="Q655" i="1"/>
  <c r="C655" i="6" s="1"/>
  <c r="R655" i="1"/>
  <c r="D655" i="6" s="1"/>
  <c r="S655" i="1"/>
  <c r="E655" i="6" s="1"/>
  <c r="L1507" i="6" s="1"/>
  <c r="T655" i="1"/>
  <c r="F655" i="6" s="1"/>
  <c r="Q656" i="1"/>
  <c r="C656" i="6" s="1"/>
  <c r="R656" i="1"/>
  <c r="D656" i="6" s="1"/>
  <c r="S656" i="1"/>
  <c r="E656" i="6" s="1"/>
  <c r="L1508" i="6" s="1"/>
  <c r="T656" i="1"/>
  <c r="F656" i="6" s="1"/>
  <c r="Q657" i="1"/>
  <c r="C657" i="6" s="1"/>
  <c r="R657" i="1"/>
  <c r="D657" i="6" s="1"/>
  <c r="S657" i="1"/>
  <c r="E657" i="6" s="1"/>
  <c r="L1509" i="6" s="1"/>
  <c r="T657" i="1"/>
  <c r="F657" i="6" s="1"/>
  <c r="Q658" i="1"/>
  <c r="C658" i="6" s="1"/>
  <c r="R658" i="1"/>
  <c r="D658" i="6" s="1"/>
  <c r="S658" i="1"/>
  <c r="E658" i="6" s="1"/>
  <c r="L1510" i="6" s="1"/>
  <c r="T658" i="1"/>
  <c r="F658" i="6" s="1"/>
  <c r="Q659" i="1"/>
  <c r="C659" i="6" s="1"/>
  <c r="R659" i="1"/>
  <c r="D659" i="6" s="1"/>
  <c r="S659" i="1"/>
  <c r="E659" i="6" s="1"/>
  <c r="L1511" i="6" s="1"/>
  <c r="T659" i="1"/>
  <c r="F659" i="6" s="1"/>
  <c r="Q660" i="1"/>
  <c r="C660" i="6" s="1"/>
  <c r="R660" i="1"/>
  <c r="D660" i="6" s="1"/>
  <c r="S660" i="1"/>
  <c r="E660" i="6" s="1"/>
  <c r="L1512" i="6" s="1"/>
  <c r="T660" i="1"/>
  <c r="F660" i="6" s="1"/>
  <c r="Q661" i="1"/>
  <c r="C661" i="6" s="1"/>
  <c r="R661" i="1"/>
  <c r="D661" i="6" s="1"/>
  <c r="S661" i="1"/>
  <c r="E661" i="6" s="1"/>
  <c r="L1513" i="6" s="1"/>
  <c r="T661" i="1"/>
  <c r="F661" i="6" s="1"/>
  <c r="Q662" i="1"/>
  <c r="C662" i="6" s="1"/>
  <c r="R662" i="1"/>
  <c r="D662" i="6" s="1"/>
  <c r="S662" i="1"/>
  <c r="E662" i="6" s="1"/>
  <c r="L1514" i="6" s="1"/>
  <c r="T662" i="1"/>
  <c r="F662" i="6" s="1"/>
  <c r="Q663" i="1"/>
  <c r="C663" i="6" s="1"/>
  <c r="R663" i="1"/>
  <c r="D663" i="6" s="1"/>
  <c r="S663" i="1"/>
  <c r="E663" i="6" s="1"/>
  <c r="L1515" i="6" s="1"/>
  <c r="T663" i="1"/>
  <c r="F663" i="6" s="1"/>
  <c r="Q664" i="1"/>
  <c r="C664" i="6" s="1"/>
  <c r="R664" i="1"/>
  <c r="D664" i="6" s="1"/>
  <c r="S664" i="1"/>
  <c r="E664" i="6" s="1"/>
  <c r="L1516" i="6" s="1"/>
  <c r="T664" i="1"/>
  <c r="F664" i="6" s="1"/>
  <c r="Q665" i="1"/>
  <c r="C665" i="6" s="1"/>
  <c r="R665" i="1"/>
  <c r="D665" i="6" s="1"/>
  <c r="S665" i="1"/>
  <c r="E665" i="6" s="1"/>
  <c r="L1517" i="6" s="1"/>
  <c r="T665" i="1"/>
  <c r="F665" i="6" s="1"/>
  <c r="Q666" i="1"/>
  <c r="C666" i="6" s="1"/>
  <c r="R666" i="1"/>
  <c r="D666" i="6" s="1"/>
  <c r="S666" i="1"/>
  <c r="E666" i="6" s="1"/>
  <c r="L1518" i="6" s="1"/>
  <c r="T666" i="1"/>
  <c r="F666" i="6" s="1"/>
  <c r="Q667" i="1"/>
  <c r="C667" i="6" s="1"/>
  <c r="R667" i="1"/>
  <c r="D667" i="6" s="1"/>
  <c r="S667" i="1"/>
  <c r="E667" i="6" s="1"/>
  <c r="L1519" i="6" s="1"/>
  <c r="T667" i="1"/>
  <c r="F667" i="6" s="1"/>
  <c r="Q668" i="1"/>
  <c r="C668" i="6" s="1"/>
  <c r="R668" i="1"/>
  <c r="D668" i="6" s="1"/>
  <c r="S668" i="1"/>
  <c r="E668" i="6" s="1"/>
  <c r="L1520" i="6" s="1"/>
  <c r="T668" i="1"/>
  <c r="F668" i="6" s="1"/>
  <c r="Q669" i="1"/>
  <c r="C669" i="6" s="1"/>
  <c r="R669" i="1"/>
  <c r="D669" i="6" s="1"/>
  <c r="S669" i="1"/>
  <c r="E669" i="6" s="1"/>
  <c r="L1521" i="6" s="1"/>
  <c r="T669" i="1"/>
  <c r="F669" i="6" s="1"/>
  <c r="Q670" i="1"/>
  <c r="C670" i="6" s="1"/>
  <c r="R670" i="1"/>
  <c r="D670" i="6" s="1"/>
  <c r="S670" i="1"/>
  <c r="E670" i="6" s="1"/>
  <c r="L1522" i="6" s="1"/>
  <c r="T670" i="1"/>
  <c r="F670" i="6" s="1"/>
  <c r="Q671" i="1"/>
  <c r="C671" i="6" s="1"/>
  <c r="R671" i="1"/>
  <c r="D671" i="6" s="1"/>
  <c r="S671" i="1"/>
  <c r="E671" i="6" s="1"/>
  <c r="L1523" i="6" s="1"/>
  <c r="T671" i="1"/>
  <c r="F671" i="6" s="1"/>
  <c r="Q672" i="1"/>
  <c r="C672" i="6" s="1"/>
  <c r="R672" i="1"/>
  <c r="D672" i="6" s="1"/>
  <c r="S672" i="1"/>
  <c r="E672" i="6" s="1"/>
  <c r="L1524" i="6" s="1"/>
  <c r="T672" i="1"/>
  <c r="F672" i="6" s="1"/>
  <c r="Q673" i="1"/>
  <c r="C673" i="6" s="1"/>
  <c r="R673" i="1"/>
  <c r="D673" i="6" s="1"/>
  <c r="S673" i="1"/>
  <c r="E673" i="6" s="1"/>
  <c r="L1525" i="6" s="1"/>
  <c r="T673" i="1"/>
  <c r="F673" i="6" s="1"/>
  <c r="Q674" i="1"/>
  <c r="C674" i="6" s="1"/>
  <c r="R674" i="1"/>
  <c r="D674" i="6" s="1"/>
  <c r="S674" i="1"/>
  <c r="E674" i="6" s="1"/>
  <c r="L1526" i="6" s="1"/>
  <c r="T674" i="1"/>
  <c r="F674" i="6" s="1"/>
  <c r="Q675" i="1"/>
  <c r="C675" i="6" s="1"/>
  <c r="R675" i="1"/>
  <c r="D675" i="6" s="1"/>
  <c r="S675" i="1"/>
  <c r="E675" i="6" s="1"/>
  <c r="L1527" i="6" s="1"/>
  <c r="T675" i="1"/>
  <c r="F675" i="6" s="1"/>
  <c r="Q676" i="1"/>
  <c r="C676" i="6" s="1"/>
  <c r="R676" i="1"/>
  <c r="D676" i="6" s="1"/>
  <c r="S676" i="1"/>
  <c r="E676" i="6" s="1"/>
  <c r="L1528" i="6" s="1"/>
  <c r="T676" i="1"/>
  <c r="F676" i="6" s="1"/>
  <c r="Q677" i="1"/>
  <c r="C677" i="6" s="1"/>
  <c r="R677" i="1"/>
  <c r="D677" i="6" s="1"/>
  <c r="S677" i="1"/>
  <c r="E677" i="6" s="1"/>
  <c r="L1529" i="6" s="1"/>
  <c r="T677" i="1"/>
  <c r="F677" i="6" s="1"/>
  <c r="Q678" i="1"/>
  <c r="C678" i="6" s="1"/>
  <c r="R678" i="1"/>
  <c r="D678" i="6" s="1"/>
  <c r="S678" i="1"/>
  <c r="E678" i="6" s="1"/>
  <c r="L1530" i="6" s="1"/>
  <c r="T678" i="1"/>
  <c r="F678" i="6" s="1"/>
  <c r="Q679" i="1"/>
  <c r="C679" i="6" s="1"/>
  <c r="R679" i="1"/>
  <c r="D679" i="6" s="1"/>
  <c r="S679" i="1"/>
  <c r="E679" i="6" s="1"/>
  <c r="L1531" i="6" s="1"/>
  <c r="T679" i="1"/>
  <c r="F679" i="6" s="1"/>
  <c r="Q680" i="1"/>
  <c r="C680" i="6" s="1"/>
  <c r="R680" i="1"/>
  <c r="D680" i="6" s="1"/>
  <c r="S680" i="1"/>
  <c r="E680" i="6" s="1"/>
  <c r="L1532" i="6" s="1"/>
  <c r="T680" i="1"/>
  <c r="F680" i="6" s="1"/>
  <c r="Q681" i="1"/>
  <c r="C681" i="6" s="1"/>
  <c r="R681" i="1"/>
  <c r="D681" i="6" s="1"/>
  <c r="S681" i="1"/>
  <c r="E681" i="6" s="1"/>
  <c r="L1533" i="6" s="1"/>
  <c r="T681" i="1"/>
  <c r="F681" i="6" s="1"/>
  <c r="Q682" i="1"/>
  <c r="C682" i="6" s="1"/>
  <c r="R682" i="1"/>
  <c r="D682" i="6" s="1"/>
  <c r="S682" i="1"/>
  <c r="E682" i="6" s="1"/>
  <c r="L1534" i="6" s="1"/>
  <c r="T682" i="1"/>
  <c r="F682" i="6" s="1"/>
  <c r="Q683" i="1"/>
  <c r="C683" i="6" s="1"/>
  <c r="R683" i="1"/>
  <c r="D683" i="6" s="1"/>
  <c r="S683" i="1"/>
  <c r="E683" i="6" s="1"/>
  <c r="L1535" i="6" s="1"/>
  <c r="T683" i="1"/>
  <c r="F683" i="6" s="1"/>
  <c r="Q684" i="1"/>
  <c r="C684" i="6" s="1"/>
  <c r="R684" i="1"/>
  <c r="D684" i="6" s="1"/>
  <c r="S684" i="1"/>
  <c r="E684" i="6" s="1"/>
  <c r="L1536" i="6" s="1"/>
  <c r="T684" i="1"/>
  <c r="F684" i="6" s="1"/>
  <c r="Q685" i="1"/>
  <c r="C685" i="6" s="1"/>
  <c r="R685" i="1"/>
  <c r="D685" i="6" s="1"/>
  <c r="S685" i="1"/>
  <c r="E685" i="6" s="1"/>
  <c r="L1537" i="6" s="1"/>
  <c r="T685" i="1"/>
  <c r="F685" i="6" s="1"/>
  <c r="Q686" i="1"/>
  <c r="C686" i="6" s="1"/>
  <c r="R686" i="1"/>
  <c r="D686" i="6" s="1"/>
  <c r="S686" i="1"/>
  <c r="E686" i="6" s="1"/>
  <c r="L1538" i="6" s="1"/>
  <c r="T686" i="1"/>
  <c r="F686" i="6" s="1"/>
  <c r="Q687" i="1"/>
  <c r="C687" i="6" s="1"/>
  <c r="R687" i="1"/>
  <c r="D687" i="6" s="1"/>
  <c r="S687" i="1"/>
  <c r="E687" i="6" s="1"/>
  <c r="L1539" i="6" s="1"/>
  <c r="T687" i="1"/>
  <c r="F687" i="6" s="1"/>
  <c r="Q688" i="1"/>
  <c r="C688" i="6" s="1"/>
  <c r="R688" i="1"/>
  <c r="D688" i="6" s="1"/>
  <c r="S688" i="1"/>
  <c r="E688" i="6" s="1"/>
  <c r="L1540" i="6" s="1"/>
  <c r="T688" i="1"/>
  <c r="F688" i="6" s="1"/>
  <c r="Q689" i="1"/>
  <c r="C689" i="6" s="1"/>
  <c r="R689" i="1"/>
  <c r="D689" i="6" s="1"/>
  <c r="S689" i="1"/>
  <c r="E689" i="6" s="1"/>
  <c r="L1541" i="6" s="1"/>
  <c r="T689" i="1"/>
  <c r="F689" i="6" s="1"/>
  <c r="Q690" i="1"/>
  <c r="C690" i="6" s="1"/>
  <c r="R690" i="1"/>
  <c r="D690" i="6" s="1"/>
  <c r="S690" i="1"/>
  <c r="E690" i="6" s="1"/>
  <c r="L1542" i="6" s="1"/>
  <c r="T690" i="1"/>
  <c r="F690" i="6" s="1"/>
  <c r="Q691" i="1"/>
  <c r="C691" i="6" s="1"/>
  <c r="R691" i="1"/>
  <c r="D691" i="6" s="1"/>
  <c r="S691" i="1"/>
  <c r="E691" i="6" s="1"/>
  <c r="L1543" i="6" s="1"/>
  <c r="T691" i="1"/>
  <c r="F691" i="6" s="1"/>
  <c r="Q692" i="1"/>
  <c r="C692" i="6" s="1"/>
  <c r="R692" i="1"/>
  <c r="D692" i="6" s="1"/>
  <c r="S692" i="1"/>
  <c r="E692" i="6" s="1"/>
  <c r="L1544" i="6" s="1"/>
  <c r="T692" i="1"/>
  <c r="F692" i="6" s="1"/>
  <c r="Q693" i="1"/>
  <c r="C693" i="6" s="1"/>
  <c r="R693" i="1"/>
  <c r="D693" i="6" s="1"/>
  <c r="S693" i="1"/>
  <c r="E693" i="6" s="1"/>
  <c r="L1545" i="6" s="1"/>
  <c r="T693" i="1"/>
  <c r="F693" i="6" s="1"/>
  <c r="Q694" i="1"/>
  <c r="C694" i="6" s="1"/>
  <c r="R694" i="1"/>
  <c r="D694" i="6" s="1"/>
  <c r="S694" i="1"/>
  <c r="E694" i="6" s="1"/>
  <c r="L1546" i="6" s="1"/>
  <c r="T694" i="1"/>
  <c r="F694" i="6" s="1"/>
  <c r="Q695" i="1"/>
  <c r="C695" i="6" s="1"/>
  <c r="R695" i="1"/>
  <c r="D695" i="6" s="1"/>
  <c r="S695" i="1"/>
  <c r="E695" i="6" s="1"/>
  <c r="L1547" i="6" s="1"/>
  <c r="T695" i="1"/>
  <c r="F695" i="6" s="1"/>
  <c r="Q696" i="1"/>
  <c r="C696" i="6" s="1"/>
  <c r="R696" i="1"/>
  <c r="D696" i="6" s="1"/>
  <c r="S696" i="1"/>
  <c r="E696" i="6" s="1"/>
  <c r="L1548" i="6" s="1"/>
  <c r="T696" i="1"/>
  <c r="F696" i="6" s="1"/>
  <c r="Q697" i="1"/>
  <c r="C697" i="6" s="1"/>
  <c r="R697" i="1"/>
  <c r="D697" i="6" s="1"/>
  <c r="S697" i="1"/>
  <c r="E697" i="6" s="1"/>
  <c r="L1549" i="6" s="1"/>
  <c r="T697" i="1"/>
  <c r="F697" i="6" s="1"/>
  <c r="Q698" i="1"/>
  <c r="C698" i="6" s="1"/>
  <c r="R698" i="1"/>
  <c r="D698" i="6" s="1"/>
  <c r="S698" i="1"/>
  <c r="E698" i="6" s="1"/>
  <c r="L1550" i="6" s="1"/>
  <c r="T698" i="1"/>
  <c r="F698" i="6" s="1"/>
  <c r="Q699" i="1"/>
  <c r="C699" i="6" s="1"/>
  <c r="R699" i="1"/>
  <c r="D699" i="6" s="1"/>
  <c r="S699" i="1"/>
  <c r="E699" i="6" s="1"/>
  <c r="L1551" i="6" s="1"/>
  <c r="T699" i="1"/>
  <c r="F699" i="6" s="1"/>
  <c r="Q700" i="1"/>
  <c r="C700" i="6" s="1"/>
  <c r="R700" i="1"/>
  <c r="D700" i="6" s="1"/>
  <c r="S700" i="1"/>
  <c r="E700" i="6" s="1"/>
  <c r="L1552" i="6" s="1"/>
  <c r="T700" i="1"/>
  <c r="F700" i="6" s="1"/>
  <c r="Q701" i="1"/>
  <c r="C701" i="6" s="1"/>
  <c r="R701" i="1"/>
  <c r="D701" i="6" s="1"/>
  <c r="S701" i="1"/>
  <c r="E701" i="6" s="1"/>
  <c r="L1553" i="6" s="1"/>
  <c r="T701" i="1"/>
  <c r="F701" i="6" s="1"/>
  <c r="Q702" i="1"/>
  <c r="C702" i="6" s="1"/>
  <c r="R702" i="1"/>
  <c r="D702" i="6" s="1"/>
  <c r="S702" i="1"/>
  <c r="E702" i="6" s="1"/>
  <c r="L1554" i="6" s="1"/>
  <c r="T702" i="1"/>
  <c r="F702" i="6" s="1"/>
  <c r="Q703" i="1"/>
  <c r="C703" i="6" s="1"/>
  <c r="R703" i="1"/>
  <c r="D703" i="6" s="1"/>
  <c r="S703" i="1"/>
  <c r="E703" i="6" s="1"/>
  <c r="L1555" i="6" s="1"/>
  <c r="T703" i="1"/>
  <c r="F703" i="6" s="1"/>
  <c r="Q704" i="1"/>
  <c r="C704" i="6" s="1"/>
  <c r="R704" i="1"/>
  <c r="D704" i="6" s="1"/>
  <c r="S704" i="1"/>
  <c r="E704" i="6" s="1"/>
  <c r="L1556" i="6" s="1"/>
  <c r="T704" i="1"/>
  <c r="F704" i="6" s="1"/>
  <c r="Q705" i="1"/>
  <c r="C705" i="6" s="1"/>
  <c r="R705" i="1"/>
  <c r="D705" i="6" s="1"/>
  <c r="S705" i="1"/>
  <c r="E705" i="6" s="1"/>
  <c r="L1557" i="6" s="1"/>
  <c r="T705" i="1"/>
  <c r="F705" i="6" s="1"/>
  <c r="Q706" i="1"/>
  <c r="C706" i="6" s="1"/>
  <c r="R706" i="1"/>
  <c r="D706" i="6" s="1"/>
  <c r="S706" i="1"/>
  <c r="E706" i="6" s="1"/>
  <c r="L1558" i="6" s="1"/>
  <c r="T706" i="1"/>
  <c r="F706" i="6" s="1"/>
  <c r="Q707" i="1"/>
  <c r="C707" i="6" s="1"/>
  <c r="R707" i="1"/>
  <c r="D707" i="6" s="1"/>
  <c r="S707" i="1"/>
  <c r="E707" i="6" s="1"/>
  <c r="L1559" i="6" s="1"/>
  <c r="T707" i="1"/>
  <c r="F707" i="6" s="1"/>
  <c r="Q708" i="1"/>
  <c r="C708" i="6" s="1"/>
  <c r="R708" i="1"/>
  <c r="D708" i="6" s="1"/>
  <c r="S708" i="1"/>
  <c r="E708" i="6" s="1"/>
  <c r="L1560" i="6" s="1"/>
  <c r="T708" i="1"/>
  <c r="F708" i="6" s="1"/>
  <c r="Q709" i="1"/>
  <c r="C709" i="6" s="1"/>
  <c r="R709" i="1"/>
  <c r="D709" i="6" s="1"/>
  <c r="S709" i="1"/>
  <c r="E709" i="6" s="1"/>
  <c r="L1561" i="6" s="1"/>
  <c r="T709" i="1"/>
  <c r="F709" i="6" s="1"/>
  <c r="Q710" i="1"/>
  <c r="C710" i="6" s="1"/>
  <c r="R710" i="1"/>
  <c r="D710" i="6" s="1"/>
  <c r="S710" i="1"/>
  <c r="E710" i="6" s="1"/>
  <c r="L1562" i="6" s="1"/>
  <c r="T710" i="1"/>
  <c r="F710" i="6" s="1"/>
  <c r="Q711" i="1"/>
  <c r="C711" i="6" s="1"/>
  <c r="R711" i="1"/>
  <c r="D711" i="6" s="1"/>
  <c r="S711" i="1"/>
  <c r="E711" i="6" s="1"/>
  <c r="L1563" i="6" s="1"/>
  <c r="T711" i="1"/>
  <c r="F711" i="6" s="1"/>
  <c r="Q712" i="1"/>
  <c r="C712" i="6" s="1"/>
  <c r="R712" i="1"/>
  <c r="D712" i="6" s="1"/>
  <c r="S712" i="1"/>
  <c r="E712" i="6" s="1"/>
  <c r="L1564" i="6" s="1"/>
  <c r="T712" i="1"/>
  <c r="F712" i="6" s="1"/>
  <c r="Q713" i="1"/>
  <c r="C713" i="6" s="1"/>
  <c r="R713" i="1"/>
  <c r="D713" i="6" s="1"/>
  <c r="S713" i="1"/>
  <c r="E713" i="6" s="1"/>
  <c r="L1565" i="6" s="1"/>
  <c r="T713" i="1"/>
  <c r="F713" i="6" s="1"/>
  <c r="Q714" i="1"/>
  <c r="C714" i="6" s="1"/>
  <c r="R714" i="1"/>
  <c r="D714" i="6" s="1"/>
  <c r="S714" i="1"/>
  <c r="E714" i="6" s="1"/>
  <c r="L1566" i="6" s="1"/>
  <c r="T714" i="1"/>
  <c r="F714" i="6" s="1"/>
  <c r="Q715" i="1"/>
  <c r="C715" i="6" s="1"/>
  <c r="R715" i="1"/>
  <c r="D715" i="6" s="1"/>
  <c r="S715" i="1"/>
  <c r="E715" i="6" s="1"/>
  <c r="L1567" i="6" s="1"/>
  <c r="T715" i="1"/>
  <c r="F715" i="6" s="1"/>
  <c r="Q716" i="1"/>
  <c r="C716" i="6" s="1"/>
  <c r="R716" i="1"/>
  <c r="D716" i="6" s="1"/>
  <c r="S716" i="1"/>
  <c r="E716" i="6" s="1"/>
  <c r="L1568" i="6" s="1"/>
  <c r="T716" i="1"/>
  <c r="F716" i="6" s="1"/>
  <c r="Q717" i="1"/>
  <c r="C717" i="6" s="1"/>
  <c r="R717" i="1"/>
  <c r="D717" i="6" s="1"/>
  <c r="S717" i="1"/>
  <c r="E717" i="6" s="1"/>
  <c r="L1569" i="6" s="1"/>
  <c r="T717" i="1"/>
  <c r="F717" i="6" s="1"/>
  <c r="Q718" i="1"/>
  <c r="C718" i="6" s="1"/>
  <c r="R718" i="1"/>
  <c r="D718" i="6" s="1"/>
  <c r="S718" i="1"/>
  <c r="E718" i="6" s="1"/>
  <c r="L1570" i="6" s="1"/>
  <c r="T718" i="1"/>
  <c r="F718" i="6" s="1"/>
  <c r="Q719" i="1"/>
  <c r="C719" i="6" s="1"/>
  <c r="R719" i="1"/>
  <c r="D719" i="6" s="1"/>
  <c r="S719" i="1"/>
  <c r="E719" i="6" s="1"/>
  <c r="L1571" i="6" s="1"/>
  <c r="T719" i="1"/>
  <c r="F719" i="6" s="1"/>
  <c r="Q720" i="1"/>
  <c r="C720" i="6" s="1"/>
  <c r="R720" i="1"/>
  <c r="D720" i="6" s="1"/>
  <c r="S720" i="1"/>
  <c r="E720" i="6" s="1"/>
  <c r="L1572" i="6" s="1"/>
  <c r="T720" i="1"/>
  <c r="F720" i="6" s="1"/>
  <c r="Q721" i="1"/>
  <c r="C721" i="6" s="1"/>
  <c r="R721" i="1"/>
  <c r="D721" i="6" s="1"/>
  <c r="S721" i="1"/>
  <c r="E721" i="6" s="1"/>
  <c r="L1573" i="6" s="1"/>
  <c r="T721" i="1"/>
  <c r="F721" i="6" s="1"/>
  <c r="Q722" i="1"/>
  <c r="C722" i="6" s="1"/>
  <c r="R722" i="1"/>
  <c r="D722" i="6" s="1"/>
  <c r="S722" i="1"/>
  <c r="E722" i="6" s="1"/>
  <c r="L1574" i="6" s="1"/>
  <c r="T722" i="1"/>
  <c r="F722" i="6" s="1"/>
  <c r="Q723" i="1"/>
  <c r="C723" i="6" s="1"/>
  <c r="R723" i="1"/>
  <c r="D723" i="6" s="1"/>
  <c r="S723" i="1"/>
  <c r="E723" i="6" s="1"/>
  <c r="L1575" i="6" s="1"/>
  <c r="T723" i="1"/>
  <c r="F723" i="6" s="1"/>
  <c r="Q724" i="1"/>
  <c r="C724" i="6" s="1"/>
  <c r="R724" i="1"/>
  <c r="D724" i="6" s="1"/>
  <c r="S724" i="1"/>
  <c r="E724" i="6" s="1"/>
  <c r="L1576" i="6" s="1"/>
  <c r="T724" i="1"/>
  <c r="F724" i="6" s="1"/>
  <c r="Q725" i="1"/>
  <c r="C725" i="6" s="1"/>
  <c r="R725" i="1"/>
  <c r="D725" i="6" s="1"/>
  <c r="S725" i="1"/>
  <c r="E725" i="6" s="1"/>
  <c r="L1577" i="6" s="1"/>
  <c r="T725" i="1"/>
  <c r="F725" i="6" s="1"/>
  <c r="Q726" i="1"/>
  <c r="C726" i="6" s="1"/>
  <c r="R726" i="1"/>
  <c r="D726" i="6" s="1"/>
  <c r="S726" i="1"/>
  <c r="E726" i="6" s="1"/>
  <c r="L1578" i="6" s="1"/>
  <c r="T726" i="1"/>
  <c r="F726" i="6" s="1"/>
  <c r="Q727" i="1"/>
  <c r="C727" i="6" s="1"/>
  <c r="R727" i="1"/>
  <c r="D727" i="6" s="1"/>
  <c r="S727" i="1"/>
  <c r="E727" i="6" s="1"/>
  <c r="L1579" i="6" s="1"/>
  <c r="T727" i="1"/>
  <c r="F727" i="6" s="1"/>
  <c r="Q728" i="1"/>
  <c r="C728" i="6" s="1"/>
  <c r="R728" i="1"/>
  <c r="D728" i="6" s="1"/>
  <c r="S728" i="1"/>
  <c r="E728" i="6" s="1"/>
  <c r="L1580" i="6" s="1"/>
  <c r="T728" i="1"/>
  <c r="F728" i="6" s="1"/>
  <c r="Q729" i="1"/>
  <c r="C729" i="6" s="1"/>
  <c r="R729" i="1"/>
  <c r="D729" i="6" s="1"/>
  <c r="S729" i="1"/>
  <c r="E729" i="6" s="1"/>
  <c r="L1581" i="6" s="1"/>
  <c r="T729" i="1"/>
  <c r="F729" i="6" s="1"/>
  <c r="Q730" i="1"/>
  <c r="C730" i="6" s="1"/>
  <c r="R730" i="1"/>
  <c r="D730" i="6" s="1"/>
  <c r="S730" i="1"/>
  <c r="E730" i="6" s="1"/>
  <c r="L1582" i="6" s="1"/>
  <c r="T730" i="1"/>
  <c r="F730" i="6" s="1"/>
  <c r="Q731" i="1"/>
  <c r="C731" i="6" s="1"/>
  <c r="R731" i="1"/>
  <c r="D731" i="6" s="1"/>
  <c r="S731" i="1"/>
  <c r="E731" i="6" s="1"/>
  <c r="L1583" i="6" s="1"/>
  <c r="T731" i="1"/>
  <c r="F731" i="6" s="1"/>
  <c r="Q732" i="1"/>
  <c r="C732" i="6" s="1"/>
  <c r="R732" i="1"/>
  <c r="D732" i="6" s="1"/>
  <c r="S732" i="1"/>
  <c r="E732" i="6" s="1"/>
  <c r="L1584" i="6" s="1"/>
  <c r="T732" i="1"/>
  <c r="F732" i="6" s="1"/>
  <c r="Q733" i="1"/>
  <c r="C733" i="6" s="1"/>
  <c r="R733" i="1"/>
  <c r="D733" i="6" s="1"/>
  <c r="S733" i="1"/>
  <c r="E733" i="6" s="1"/>
  <c r="L1585" i="6" s="1"/>
  <c r="T733" i="1"/>
  <c r="F733" i="6" s="1"/>
  <c r="Q734" i="1"/>
  <c r="C734" i="6" s="1"/>
  <c r="R734" i="1"/>
  <c r="D734" i="6" s="1"/>
  <c r="S734" i="1"/>
  <c r="E734" i="6" s="1"/>
  <c r="L1586" i="6" s="1"/>
  <c r="T734" i="1"/>
  <c r="F734" i="6" s="1"/>
  <c r="Q735" i="1"/>
  <c r="C735" i="6" s="1"/>
  <c r="R735" i="1"/>
  <c r="D735" i="6" s="1"/>
  <c r="S735" i="1"/>
  <c r="E735" i="6" s="1"/>
  <c r="L1587" i="6" s="1"/>
  <c r="T735" i="1"/>
  <c r="F735" i="6" s="1"/>
  <c r="Q736" i="1"/>
  <c r="C736" i="6" s="1"/>
  <c r="R736" i="1"/>
  <c r="D736" i="6" s="1"/>
  <c r="S736" i="1"/>
  <c r="E736" i="6" s="1"/>
  <c r="L1588" i="6" s="1"/>
  <c r="T736" i="1"/>
  <c r="F736" i="6" s="1"/>
  <c r="Q737" i="1"/>
  <c r="C737" i="6" s="1"/>
  <c r="R737" i="1"/>
  <c r="D737" i="6" s="1"/>
  <c r="S737" i="1"/>
  <c r="E737" i="6" s="1"/>
  <c r="L1589" i="6" s="1"/>
  <c r="T737" i="1"/>
  <c r="F737" i="6" s="1"/>
  <c r="Q738" i="1"/>
  <c r="C738" i="6" s="1"/>
  <c r="R738" i="1"/>
  <c r="D738" i="6" s="1"/>
  <c r="S738" i="1"/>
  <c r="E738" i="6" s="1"/>
  <c r="L1590" i="6" s="1"/>
  <c r="T738" i="1"/>
  <c r="F738" i="6" s="1"/>
  <c r="Q739" i="1"/>
  <c r="C739" i="6" s="1"/>
  <c r="R739" i="1"/>
  <c r="D739" i="6" s="1"/>
  <c r="S739" i="1"/>
  <c r="E739" i="6" s="1"/>
  <c r="L1591" i="6" s="1"/>
  <c r="T739" i="1"/>
  <c r="F739" i="6" s="1"/>
  <c r="Q740" i="1"/>
  <c r="C740" i="6" s="1"/>
  <c r="R740" i="1"/>
  <c r="D740" i="6" s="1"/>
  <c r="S740" i="1"/>
  <c r="E740" i="6" s="1"/>
  <c r="L1592" i="6" s="1"/>
  <c r="T740" i="1"/>
  <c r="F740" i="6" s="1"/>
  <c r="Q741" i="1"/>
  <c r="C741" i="6" s="1"/>
  <c r="R741" i="1"/>
  <c r="D741" i="6" s="1"/>
  <c r="S741" i="1"/>
  <c r="E741" i="6" s="1"/>
  <c r="L1593" i="6" s="1"/>
  <c r="T741" i="1"/>
  <c r="F741" i="6" s="1"/>
  <c r="Q742" i="1"/>
  <c r="C742" i="6" s="1"/>
  <c r="R742" i="1"/>
  <c r="D742" i="6" s="1"/>
  <c r="S742" i="1"/>
  <c r="E742" i="6" s="1"/>
  <c r="L1594" i="6" s="1"/>
  <c r="T742" i="1"/>
  <c r="F742" i="6" s="1"/>
  <c r="Q743" i="1"/>
  <c r="C743" i="6" s="1"/>
  <c r="R743" i="1"/>
  <c r="D743" i="6" s="1"/>
  <c r="S743" i="1"/>
  <c r="E743" i="6" s="1"/>
  <c r="L1595" i="6" s="1"/>
  <c r="T743" i="1"/>
  <c r="F743" i="6" s="1"/>
  <c r="Q744" i="1"/>
  <c r="C744" i="6" s="1"/>
  <c r="R744" i="1"/>
  <c r="D744" i="6" s="1"/>
  <c r="S744" i="1"/>
  <c r="E744" i="6" s="1"/>
  <c r="L1596" i="6" s="1"/>
  <c r="T744" i="1"/>
  <c r="F744" i="6" s="1"/>
  <c r="Q745" i="1"/>
  <c r="C745" i="6" s="1"/>
  <c r="R745" i="1"/>
  <c r="D745" i="6" s="1"/>
  <c r="S745" i="1"/>
  <c r="E745" i="6" s="1"/>
  <c r="L1597" i="6" s="1"/>
  <c r="T745" i="1"/>
  <c r="F745" i="6" s="1"/>
  <c r="Q746" i="1"/>
  <c r="C746" i="6" s="1"/>
  <c r="R746" i="1"/>
  <c r="D746" i="6" s="1"/>
  <c r="S746" i="1"/>
  <c r="E746" i="6" s="1"/>
  <c r="L1598" i="6" s="1"/>
  <c r="T746" i="1"/>
  <c r="F746" i="6" s="1"/>
  <c r="Q747" i="1"/>
  <c r="C747" i="6" s="1"/>
  <c r="R747" i="1"/>
  <c r="D747" i="6" s="1"/>
  <c r="S747" i="1"/>
  <c r="E747" i="6" s="1"/>
  <c r="L1599" i="6" s="1"/>
  <c r="T747" i="1"/>
  <c r="F747" i="6" s="1"/>
  <c r="Q748" i="1"/>
  <c r="C748" i="6" s="1"/>
  <c r="R748" i="1"/>
  <c r="D748" i="6" s="1"/>
  <c r="S748" i="1"/>
  <c r="E748" i="6" s="1"/>
  <c r="L1600" i="6" s="1"/>
  <c r="T748" i="1"/>
  <c r="F748" i="6" s="1"/>
  <c r="Q749" i="1"/>
  <c r="C749" i="6" s="1"/>
  <c r="R749" i="1"/>
  <c r="D749" i="6" s="1"/>
  <c r="S749" i="1"/>
  <c r="E749" i="6" s="1"/>
  <c r="L1601" i="6" s="1"/>
  <c r="T749" i="1"/>
  <c r="F749" i="6" s="1"/>
  <c r="Q750" i="1"/>
  <c r="C750" i="6" s="1"/>
  <c r="R750" i="1"/>
  <c r="D750" i="6" s="1"/>
  <c r="S750" i="1"/>
  <c r="E750" i="6" s="1"/>
  <c r="L1602" i="6" s="1"/>
  <c r="T750" i="1"/>
  <c r="F750" i="6" s="1"/>
  <c r="Q751" i="1"/>
  <c r="C751" i="6" s="1"/>
  <c r="R751" i="1"/>
  <c r="D751" i="6" s="1"/>
  <c r="S751" i="1"/>
  <c r="E751" i="6" s="1"/>
  <c r="L1603" i="6" s="1"/>
  <c r="T751" i="1"/>
  <c r="F751" i="6" s="1"/>
  <c r="Q752" i="1"/>
  <c r="C752" i="6" s="1"/>
  <c r="R752" i="1"/>
  <c r="D752" i="6" s="1"/>
  <c r="S752" i="1"/>
  <c r="E752" i="6" s="1"/>
  <c r="L1604" i="6" s="1"/>
  <c r="T752" i="1"/>
  <c r="F752" i="6" s="1"/>
  <c r="Q753" i="1"/>
  <c r="C753" i="6" s="1"/>
  <c r="R753" i="1"/>
  <c r="D753" i="6" s="1"/>
  <c r="S753" i="1"/>
  <c r="E753" i="6" s="1"/>
  <c r="L1605" i="6" s="1"/>
  <c r="T753" i="1"/>
  <c r="F753" i="6" s="1"/>
  <c r="Q754" i="1"/>
  <c r="C754" i="6" s="1"/>
  <c r="R754" i="1"/>
  <c r="D754" i="6" s="1"/>
  <c r="S754" i="1"/>
  <c r="E754" i="6" s="1"/>
  <c r="L1606" i="6" s="1"/>
  <c r="T754" i="1"/>
  <c r="F754" i="6" s="1"/>
  <c r="Q755" i="1"/>
  <c r="C755" i="6" s="1"/>
  <c r="R755" i="1"/>
  <c r="D755" i="6" s="1"/>
  <c r="S755" i="1"/>
  <c r="E755" i="6" s="1"/>
  <c r="L1607" i="6" s="1"/>
  <c r="T755" i="1"/>
  <c r="F755" i="6" s="1"/>
  <c r="Q756" i="1"/>
  <c r="C756" i="6" s="1"/>
  <c r="R756" i="1"/>
  <c r="D756" i="6" s="1"/>
  <c r="S756" i="1"/>
  <c r="E756" i="6" s="1"/>
  <c r="L1608" i="6" s="1"/>
  <c r="T756" i="1"/>
  <c r="F756" i="6" s="1"/>
  <c r="Q757" i="1"/>
  <c r="C757" i="6" s="1"/>
  <c r="R757" i="1"/>
  <c r="D757" i="6" s="1"/>
  <c r="S757" i="1"/>
  <c r="E757" i="6" s="1"/>
  <c r="L1609" i="6" s="1"/>
  <c r="T757" i="1"/>
  <c r="F757" i="6" s="1"/>
  <c r="Q758" i="1"/>
  <c r="C758" i="6" s="1"/>
  <c r="R758" i="1"/>
  <c r="D758" i="6" s="1"/>
  <c r="S758" i="1"/>
  <c r="E758" i="6" s="1"/>
  <c r="L1610" i="6" s="1"/>
  <c r="T758" i="1"/>
  <c r="F758" i="6" s="1"/>
  <c r="Q759" i="1"/>
  <c r="C759" i="6" s="1"/>
  <c r="R759" i="1"/>
  <c r="D759" i="6" s="1"/>
  <c r="S759" i="1"/>
  <c r="E759" i="6" s="1"/>
  <c r="L1611" i="6" s="1"/>
  <c r="T759" i="1"/>
  <c r="F759" i="6" s="1"/>
  <c r="Q760" i="1"/>
  <c r="C760" i="6" s="1"/>
  <c r="R760" i="1"/>
  <c r="D760" i="6" s="1"/>
  <c r="S760" i="1"/>
  <c r="E760" i="6" s="1"/>
  <c r="L1612" i="6" s="1"/>
  <c r="T760" i="1"/>
  <c r="F760" i="6" s="1"/>
  <c r="Q761" i="1"/>
  <c r="C761" i="6" s="1"/>
  <c r="R761" i="1"/>
  <c r="D761" i="6" s="1"/>
  <c r="S761" i="1"/>
  <c r="E761" i="6" s="1"/>
  <c r="L1613" i="6" s="1"/>
  <c r="T761" i="1"/>
  <c r="F761" i="6" s="1"/>
  <c r="Q762" i="1"/>
  <c r="C762" i="6" s="1"/>
  <c r="R762" i="1"/>
  <c r="D762" i="6" s="1"/>
  <c r="S762" i="1"/>
  <c r="E762" i="6" s="1"/>
  <c r="L1614" i="6" s="1"/>
  <c r="T762" i="1"/>
  <c r="F762" i="6" s="1"/>
  <c r="Q763" i="1"/>
  <c r="C763" i="6" s="1"/>
  <c r="R763" i="1"/>
  <c r="D763" i="6" s="1"/>
  <c r="S763" i="1"/>
  <c r="E763" i="6" s="1"/>
  <c r="L1615" i="6" s="1"/>
  <c r="T763" i="1"/>
  <c r="F763" i="6" s="1"/>
  <c r="Q764" i="1"/>
  <c r="C764" i="6" s="1"/>
  <c r="R764" i="1"/>
  <c r="D764" i="6" s="1"/>
  <c r="S764" i="1"/>
  <c r="E764" i="6" s="1"/>
  <c r="L1616" i="6" s="1"/>
  <c r="T764" i="1"/>
  <c r="F764" i="6" s="1"/>
  <c r="Q765" i="1"/>
  <c r="C765" i="6" s="1"/>
  <c r="R765" i="1"/>
  <c r="D765" i="6" s="1"/>
  <c r="S765" i="1"/>
  <c r="E765" i="6" s="1"/>
  <c r="L1617" i="6" s="1"/>
  <c r="T765" i="1"/>
  <c r="F765" i="6" s="1"/>
  <c r="Q766" i="1"/>
  <c r="C766" i="6" s="1"/>
  <c r="R766" i="1"/>
  <c r="D766" i="6" s="1"/>
  <c r="S766" i="1"/>
  <c r="E766" i="6" s="1"/>
  <c r="L1618" i="6" s="1"/>
  <c r="T766" i="1"/>
  <c r="F766" i="6" s="1"/>
  <c r="Q767" i="1"/>
  <c r="C767" i="6" s="1"/>
  <c r="R767" i="1"/>
  <c r="D767" i="6" s="1"/>
  <c r="S767" i="1"/>
  <c r="E767" i="6" s="1"/>
  <c r="L1619" i="6" s="1"/>
  <c r="T767" i="1"/>
  <c r="F767" i="6" s="1"/>
  <c r="Q768" i="1"/>
  <c r="C768" i="6" s="1"/>
  <c r="R768" i="1"/>
  <c r="D768" i="6" s="1"/>
  <c r="S768" i="1"/>
  <c r="E768" i="6" s="1"/>
  <c r="L1620" i="6" s="1"/>
  <c r="T768" i="1"/>
  <c r="F768" i="6" s="1"/>
  <c r="Q769" i="1"/>
  <c r="C769" i="6" s="1"/>
  <c r="R769" i="1"/>
  <c r="D769" i="6" s="1"/>
  <c r="S769" i="1"/>
  <c r="E769" i="6" s="1"/>
  <c r="L1621" i="6" s="1"/>
  <c r="T769" i="1"/>
  <c r="F769" i="6" s="1"/>
  <c r="Q770" i="1"/>
  <c r="C770" i="6" s="1"/>
  <c r="R770" i="1"/>
  <c r="D770" i="6" s="1"/>
  <c r="S770" i="1"/>
  <c r="E770" i="6" s="1"/>
  <c r="L1622" i="6" s="1"/>
  <c r="T770" i="1"/>
  <c r="F770" i="6" s="1"/>
  <c r="Q771" i="1"/>
  <c r="C771" i="6" s="1"/>
  <c r="R771" i="1"/>
  <c r="D771" i="6" s="1"/>
  <c r="S771" i="1"/>
  <c r="E771" i="6" s="1"/>
  <c r="L1623" i="6" s="1"/>
  <c r="T771" i="1"/>
  <c r="F771" i="6" s="1"/>
  <c r="Q772" i="1"/>
  <c r="C772" i="6" s="1"/>
  <c r="R772" i="1"/>
  <c r="D772" i="6" s="1"/>
  <c r="S772" i="1"/>
  <c r="E772" i="6" s="1"/>
  <c r="L1624" i="6" s="1"/>
  <c r="T772" i="1"/>
  <c r="F772" i="6" s="1"/>
  <c r="Q773" i="1"/>
  <c r="C773" i="6" s="1"/>
  <c r="R773" i="1"/>
  <c r="D773" i="6" s="1"/>
  <c r="S773" i="1"/>
  <c r="E773" i="6" s="1"/>
  <c r="L1625" i="6" s="1"/>
  <c r="T773" i="1"/>
  <c r="F773" i="6" s="1"/>
  <c r="Q774" i="1"/>
  <c r="C774" i="6" s="1"/>
  <c r="R774" i="1"/>
  <c r="D774" i="6" s="1"/>
  <c r="S774" i="1"/>
  <c r="E774" i="6" s="1"/>
  <c r="L1626" i="6" s="1"/>
  <c r="T774" i="1"/>
  <c r="F774" i="6" s="1"/>
  <c r="Q775" i="1"/>
  <c r="C775" i="6" s="1"/>
  <c r="R775" i="1"/>
  <c r="D775" i="6" s="1"/>
  <c r="S775" i="1"/>
  <c r="E775" i="6" s="1"/>
  <c r="L1627" i="6" s="1"/>
  <c r="T775" i="1"/>
  <c r="F775" i="6" s="1"/>
  <c r="Q776" i="1"/>
  <c r="C776" i="6" s="1"/>
  <c r="R776" i="1"/>
  <c r="D776" i="6" s="1"/>
  <c r="S776" i="1"/>
  <c r="E776" i="6" s="1"/>
  <c r="L1628" i="6" s="1"/>
  <c r="T776" i="1"/>
  <c r="F776" i="6" s="1"/>
  <c r="Q777" i="1"/>
  <c r="C777" i="6" s="1"/>
  <c r="R777" i="1"/>
  <c r="D777" i="6" s="1"/>
  <c r="S777" i="1"/>
  <c r="E777" i="6" s="1"/>
  <c r="L1629" i="6" s="1"/>
  <c r="T777" i="1"/>
  <c r="F777" i="6" s="1"/>
  <c r="Q778" i="1"/>
  <c r="C778" i="6" s="1"/>
  <c r="R778" i="1"/>
  <c r="D778" i="6" s="1"/>
  <c r="S778" i="1"/>
  <c r="E778" i="6" s="1"/>
  <c r="L1630" i="6" s="1"/>
  <c r="T778" i="1"/>
  <c r="F778" i="6" s="1"/>
  <c r="Q779" i="1"/>
  <c r="C779" i="6" s="1"/>
  <c r="R779" i="1"/>
  <c r="D779" i="6" s="1"/>
  <c r="S779" i="1"/>
  <c r="E779" i="6" s="1"/>
  <c r="L1631" i="6" s="1"/>
  <c r="T779" i="1"/>
  <c r="F779" i="6" s="1"/>
  <c r="Q780" i="1"/>
  <c r="C780" i="6" s="1"/>
  <c r="R780" i="1"/>
  <c r="D780" i="6" s="1"/>
  <c r="S780" i="1"/>
  <c r="E780" i="6" s="1"/>
  <c r="L1632" i="6" s="1"/>
  <c r="T780" i="1"/>
  <c r="F780" i="6" s="1"/>
  <c r="Q781" i="1"/>
  <c r="C781" i="6" s="1"/>
  <c r="R781" i="1"/>
  <c r="D781" i="6" s="1"/>
  <c r="S781" i="1"/>
  <c r="E781" i="6" s="1"/>
  <c r="L1633" i="6" s="1"/>
  <c r="T781" i="1"/>
  <c r="F781" i="6" s="1"/>
  <c r="Q782" i="1"/>
  <c r="C782" i="6" s="1"/>
  <c r="R782" i="1"/>
  <c r="D782" i="6" s="1"/>
  <c r="S782" i="1"/>
  <c r="E782" i="6" s="1"/>
  <c r="L1634" i="6" s="1"/>
  <c r="T782" i="1"/>
  <c r="F782" i="6" s="1"/>
  <c r="Q783" i="1"/>
  <c r="C783" i="6" s="1"/>
  <c r="R783" i="1"/>
  <c r="D783" i="6" s="1"/>
  <c r="S783" i="1"/>
  <c r="E783" i="6" s="1"/>
  <c r="L1635" i="6" s="1"/>
  <c r="T783" i="1"/>
  <c r="F783" i="6" s="1"/>
  <c r="Q784" i="1"/>
  <c r="C784" i="6" s="1"/>
  <c r="R784" i="1"/>
  <c r="D784" i="6" s="1"/>
  <c r="S784" i="1"/>
  <c r="E784" i="6" s="1"/>
  <c r="L1636" i="6" s="1"/>
  <c r="T784" i="1"/>
  <c r="F784" i="6" s="1"/>
  <c r="Q785" i="1"/>
  <c r="C785" i="6" s="1"/>
  <c r="R785" i="1"/>
  <c r="D785" i="6" s="1"/>
  <c r="S785" i="1"/>
  <c r="E785" i="6" s="1"/>
  <c r="L1637" i="6" s="1"/>
  <c r="T785" i="1"/>
  <c r="F785" i="6" s="1"/>
  <c r="Q786" i="1"/>
  <c r="C786" i="6" s="1"/>
  <c r="R786" i="1"/>
  <c r="D786" i="6" s="1"/>
  <c r="S786" i="1"/>
  <c r="E786" i="6" s="1"/>
  <c r="L1638" i="6" s="1"/>
  <c r="T786" i="1"/>
  <c r="F786" i="6" s="1"/>
  <c r="Q787" i="1"/>
  <c r="C787" i="6" s="1"/>
  <c r="R787" i="1"/>
  <c r="D787" i="6" s="1"/>
  <c r="S787" i="1"/>
  <c r="E787" i="6" s="1"/>
  <c r="L1639" i="6" s="1"/>
  <c r="T787" i="1"/>
  <c r="F787" i="6" s="1"/>
  <c r="Q788" i="1"/>
  <c r="C788" i="6" s="1"/>
  <c r="R788" i="1"/>
  <c r="D788" i="6" s="1"/>
  <c r="S788" i="1"/>
  <c r="E788" i="6" s="1"/>
  <c r="L1640" i="6" s="1"/>
  <c r="T788" i="1"/>
  <c r="F788" i="6" s="1"/>
  <c r="Q789" i="1"/>
  <c r="C789" i="6" s="1"/>
  <c r="R789" i="1"/>
  <c r="D789" i="6" s="1"/>
  <c r="S789" i="1"/>
  <c r="E789" i="6" s="1"/>
  <c r="L1641" i="6" s="1"/>
  <c r="T789" i="1"/>
  <c r="F789" i="6" s="1"/>
  <c r="Q790" i="1"/>
  <c r="C790" i="6" s="1"/>
  <c r="R790" i="1"/>
  <c r="D790" i="6" s="1"/>
  <c r="S790" i="1"/>
  <c r="E790" i="6" s="1"/>
  <c r="L1642" i="6" s="1"/>
  <c r="T790" i="1"/>
  <c r="F790" i="6" s="1"/>
  <c r="Q791" i="1"/>
  <c r="C791" i="6" s="1"/>
  <c r="R791" i="1"/>
  <c r="D791" i="6" s="1"/>
  <c r="S791" i="1"/>
  <c r="E791" i="6" s="1"/>
  <c r="L1643" i="6" s="1"/>
  <c r="T791" i="1"/>
  <c r="F791" i="6" s="1"/>
  <c r="Q792" i="1"/>
  <c r="C792" i="6" s="1"/>
  <c r="R792" i="1"/>
  <c r="D792" i="6" s="1"/>
  <c r="S792" i="1"/>
  <c r="E792" i="6" s="1"/>
  <c r="L1644" i="6" s="1"/>
  <c r="T792" i="1"/>
  <c r="F792" i="6" s="1"/>
  <c r="Q793" i="1"/>
  <c r="C793" i="6" s="1"/>
  <c r="R793" i="1"/>
  <c r="D793" i="6" s="1"/>
  <c r="S793" i="1"/>
  <c r="E793" i="6" s="1"/>
  <c r="L1645" i="6" s="1"/>
  <c r="T793" i="1"/>
  <c r="F793" i="6" s="1"/>
  <c r="Q794" i="1"/>
  <c r="C794" i="6" s="1"/>
  <c r="R794" i="1"/>
  <c r="D794" i="6" s="1"/>
  <c r="S794" i="1"/>
  <c r="E794" i="6" s="1"/>
  <c r="L1646" i="6" s="1"/>
  <c r="T794" i="1"/>
  <c r="F794" i="6" s="1"/>
  <c r="Q795" i="1"/>
  <c r="C795" i="6" s="1"/>
  <c r="R795" i="1"/>
  <c r="D795" i="6" s="1"/>
  <c r="S795" i="1"/>
  <c r="E795" i="6" s="1"/>
  <c r="L1647" i="6" s="1"/>
  <c r="T795" i="1"/>
  <c r="F795" i="6" s="1"/>
  <c r="Q796" i="1"/>
  <c r="C796" i="6" s="1"/>
  <c r="R796" i="1"/>
  <c r="D796" i="6" s="1"/>
  <c r="S796" i="1"/>
  <c r="E796" i="6" s="1"/>
  <c r="L1648" i="6" s="1"/>
  <c r="T796" i="1"/>
  <c r="F796" i="6" s="1"/>
  <c r="Q797" i="1"/>
  <c r="C797" i="6" s="1"/>
  <c r="R797" i="1"/>
  <c r="D797" i="6" s="1"/>
  <c r="S797" i="1"/>
  <c r="E797" i="6" s="1"/>
  <c r="L1649" i="6" s="1"/>
  <c r="T797" i="1"/>
  <c r="F797" i="6" s="1"/>
  <c r="Q798" i="1"/>
  <c r="C798" i="6" s="1"/>
  <c r="R798" i="1"/>
  <c r="D798" i="6" s="1"/>
  <c r="S798" i="1"/>
  <c r="E798" i="6" s="1"/>
  <c r="L1650" i="6" s="1"/>
  <c r="T798" i="1"/>
  <c r="F798" i="6" s="1"/>
  <c r="Q799" i="1"/>
  <c r="C799" i="6" s="1"/>
  <c r="R799" i="1"/>
  <c r="D799" i="6" s="1"/>
  <c r="S799" i="1"/>
  <c r="E799" i="6" s="1"/>
  <c r="L1651" i="6" s="1"/>
  <c r="T799" i="1"/>
  <c r="F799" i="6" s="1"/>
  <c r="Q800" i="1"/>
  <c r="C800" i="6" s="1"/>
  <c r="R800" i="1"/>
  <c r="D800" i="6" s="1"/>
  <c r="S800" i="1"/>
  <c r="E800" i="6" s="1"/>
  <c r="L1652" i="6" s="1"/>
  <c r="T800" i="1"/>
  <c r="F800" i="6" s="1"/>
  <c r="Q801" i="1"/>
  <c r="C801" i="6" s="1"/>
  <c r="R801" i="1"/>
  <c r="D801" i="6" s="1"/>
  <c r="S801" i="1"/>
  <c r="E801" i="6" s="1"/>
  <c r="L1653" i="6" s="1"/>
  <c r="T801" i="1"/>
  <c r="F801" i="6" s="1"/>
  <c r="Q802" i="1"/>
  <c r="C802" i="6" s="1"/>
  <c r="R802" i="1"/>
  <c r="D802" i="6" s="1"/>
  <c r="S802" i="1"/>
  <c r="E802" i="6" s="1"/>
  <c r="L1654" i="6" s="1"/>
  <c r="T802" i="1"/>
  <c r="F802" i="6" s="1"/>
  <c r="Q803" i="1"/>
  <c r="C803" i="6" s="1"/>
  <c r="R803" i="1"/>
  <c r="D803" i="6" s="1"/>
  <c r="S803" i="1"/>
  <c r="E803" i="6" s="1"/>
  <c r="L1655" i="6" s="1"/>
  <c r="T803" i="1"/>
  <c r="F803" i="6" s="1"/>
  <c r="Q804" i="1"/>
  <c r="C804" i="6" s="1"/>
  <c r="R804" i="1"/>
  <c r="D804" i="6" s="1"/>
  <c r="S804" i="1"/>
  <c r="E804" i="6" s="1"/>
  <c r="L1656" i="6" s="1"/>
  <c r="T804" i="1"/>
  <c r="F804" i="6" s="1"/>
  <c r="Q805" i="1"/>
  <c r="C805" i="6" s="1"/>
  <c r="R805" i="1"/>
  <c r="D805" i="6" s="1"/>
  <c r="S805" i="1"/>
  <c r="E805" i="6" s="1"/>
  <c r="L1657" i="6" s="1"/>
  <c r="T805" i="1"/>
  <c r="F805" i="6" s="1"/>
  <c r="Q806" i="1"/>
  <c r="C806" i="6" s="1"/>
  <c r="R806" i="1"/>
  <c r="D806" i="6" s="1"/>
  <c r="S806" i="1"/>
  <c r="E806" i="6" s="1"/>
  <c r="L1658" i="6" s="1"/>
  <c r="T806" i="1"/>
  <c r="F806" i="6" s="1"/>
  <c r="Q807" i="1"/>
  <c r="C807" i="6" s="1"/>
  <c r="R807" i="1"/>
  <c r="D807" i="6" s="1"/>
  <c r="S807" i="1"/>
  <c r="E807" i="6" s="1"/>
  <c r="L1659" i="6" s="1"/>
  <c r="T807" i="1"/>
  <c r="F807" i="6" s="1"/>
  <c r="Q808" i="1"/>
  <c r="C808" i="6" s="1"/>
  <c r="R808" i="1"/>
  <c r="D808" i="6" s="1"/>
  <c r="S808" i="1"/>
  <c r="E808" i="6" s="1"/>
  <c r="L1660" i="6" s="1"/>
  <c r="T808" i="1"/>
  <c r="F808" i="6" s="1"/>
  <c r="Q809" i="1"/>
  <c r="C809" i="6" s="1"/>
  <c r="R809" i="1"/>
  <c r="D809" i="6" s="1"/>
  <c r="S809" i="1"/>
  <c r="E809" i="6" s="1"/>
  <c r="L1661" i="6" s="1"/>
  <c r="T809" i="1"/>
  <c r="F809" i="6" s="1"/>
  <c r="Q810" i="1"/>
  <c r="C810" i="6" s="1"/>
  <c r="R810" i="1"/>
  <c r="D810" i="6" s="1"/>
  <c r="S810" i="1"/>
  <c r="E810" i="6" s="1"/>
  <c r="L1662" i="6" s="1"/>
  <c r="T810" i="1"/>
  <c r="F810" i="6" s="1"/>
  <c r="Q811" i="1"/>
  <c r="C811" i="6" s="1"/>
  <c r="R811" i="1"/>
  <c r="D811" i="6" s="1"/>
  <c r="S811" i="1"/>
  <c r="E811" i="6" s="1"/>
  <c r="L1663" i="6" s="1"/>
  <c r="T811" i="1"/>
  <c r="F811" i="6" s="1"/>
  <c r="Q812" i="1"/>
  <c r="C812" i="6" s="1"/>
  <c r="R812" i="1"/>
  <c r="D812" i="6" s="1"/>
  <c r="S812" i="1"/>
  <c r="E812" i="6" s="1"/>
  <c r="L1664" i="6" s="1"/>
  <c r="T812" i="1"/>
  <c r="F812" i="6" s="1"/>
  <c r="Q813" i="1"/>
  <c r="C813" i="6" s="1"/>
  <c r="R813" i="1"/>
  <c r="D813" i="6" s="1"/>
  <c r="S813" i="1"/>
  <c r="E813" i="6" s="1"/>
  <c r="L1665" i="6" s="1"/>
  <c r="T813" i="1"/>
  <c r="F813" i="6" s="1"/>
  <c r="Q814" i="1"/>
  <c r="C814" i="6" s="1"/>
  <c r="R814" i="1"/>
  <c r="D814" i="6" s="1"/>
  <c r="S814" i="1"/>
  <c r="E814" i="6" s="1"/>
  <c r="L1666" i="6" s="1"/>
  <c r="T814" i="1"/>
  <c r="F814" i="6" s="1"/>
  <c r="Q815" i="1"/>
  <c r="C815" i="6" s="1"/>
  <c r="R815" i="1"/>
  <c r="D815" i="6" s="1"/>
  <c r="S815" i="1"/>
  <c r="E815" i="6" s="1"/>
  <c r="L1667" i="6" s="1"/>
  <c r="T815" i="1"/>
  <c r="F815" i="6" s="1"/>
  <c r="Q816" i="1"/>
  <c r="C816" i="6" s="1"/>
  <c r="R816" i="1"/>
  <c r="D816" i="6" s="1"/>
  <c r="S816" i="1"/>
  <c r="E816" i="6" s="1"/>
  <c r="L1668" i="6" s="1"/>
  <c r="T816" i="1"/>
  <c r="F816" i="6" s="1"/>
  <c r="Q817" i="1"/>
  <c r="C817" i="6" s="1"/>
  <c r="R817" i="1"/>
  <c r="D817" i="6" s="1"/>
  <c r="S817" i="1"/>
  <c r="E817" i="6" s="1"/>
  <c r="L1669" i="6" s="1"/>
  <c r="T817" i="1"/>
  <c r="F817" i="6" s="1"/>
  <c r="Q818" i="1"/>
  <c r="C818" i="6" s="1"/>
  <c r="R818" i="1"/>
  <c r="D818" i="6" s="1"/>
  <c r="S818" i="1"/>
  <c r="E818" i="6" s="1"/>
  <c r="L1670" i="6" s="1"/>
  <c r="T818" i="1"/>
  <c r="F818" i="6" s="1"/>
  <c r="Q819" i="1"/>
  <c r="C819" i="6" s="1"/>
  <c r="R819" i="1"/>
  <c r="D819" i="6" s="1"/>
  <c r="S819" i="1"/>
  <c r="E819" i="6" s="1"/>
  <c r="L1671" i="6" s="1"/>
  <c r="T819" i="1"/>
  <c r="F819" i="6" s="1"/>
  <c r="Q820" i="1"/>
  <c r="C820" i="6" s="1"/>
  <c r="R820" i="1"/>
  <c r="D820" i="6" s="1"/>
  <c r="S820" i="1"/>
  <c r="E820" i="6" s="1"/>
  <c r="L1672" i="6" s="1"/>
  <c r="T820" i="1"/>
  <c r="F820" i="6" s="1"/>
  <c r="Q821" i="1"/>
  <c r="C821" i="6" s="1"/>
  <c r="R821" i="1"/>
  <c r="D821" i="6" s="1"/>
  <c r="S821" i="1"/>
  <c r="E821" i="6" s="1"/>
  <c r="L1673" i="6" s="1"/>
  <c r="T821" i="1"/>
  <c r="F821" i="6" s="1"/>
  <c r="Q822" i="1"/>
  <c r="C822" i="6" s="1"/>
  <c r="R822" i="1"/>
  <c r="D822" i="6" s="1"/>
  <c r="S822" i="1"/>
  <c r="E822" i="6" s="1"/>
  <c r="L1674" i="6" s="1"/>
  <c r="T822" i="1"/>
  <c r="F822" i="6" s="1"/>
  <c r="Q823" i="1"/>
  <c r="C823" i="6" s="1"/>
  <c r="R823" i="1"/>
  <c r="D823" i="6" s="1"/>
  <c r="S823" i="1"/>
  <c r="E823" i="6" s="1"/>
  <c r="L1675" i="6" s="1"/>
  <c r="T823" i="1"/>
  <c r="F823" i="6" s="1"/>
  <c r="Q824" i="1"/>
  <c r="C824" i="6" s="1"/>
  <c r="R824" i="1"/>
  <c r="D824" i="6" s="1"/>
  <c r="S824" i="1"/>
  <c r="E824" i="6" s="1"/>
  <c r="L1676" i="6" s="1"/>
  <c r="T824" i="1"/>
  <c r="F824" i="6" s="1"/>
  <c r="Q825" i="1"/>
  <c r="C825" i="6" s="1"/>
  <c r="R825" i="1"/>
  <c r="D825" i="6" s="1"/>
  <c r="S825" i="1"/>
  <c r="E825" i="6" s="1"/>
  <c r="L1677" i="6" s="1"/>
  <c r="T825" i="1"/>
  <c r="F825" i="6" s="1"/>
  <c r="Q826" i="1"/>
  <c r="C826" i="6" s="1"/>
  <c r="R826" i="1"/>
  <c r="D826" i="6" s="1"/>
  <c r="S826" i="1"/>
  <c r="E826" i="6" s="1"/>
  <c r="L1678" i="6" s="1"/>
  <c r="T826" i="1"/>
  <c r="F826" i="6" s="1"/>
  <c r="Q827" i="1"/>
  <c r="C827" i="6" s="1"/>
  <c r="R827" i="1"/>
  <c r="D827" i="6" s="1"/>
  <c r="S827" i="1"/>
  <c r="E827" i="6" s="1"/>
  <c r="L1679" i="6" s="1"/>
  <c r="T827" i="1"/>
  <c r="F827" i="6" s="1"/>
  <c r="Q828" i="1"/>
  <c r="C828" i="6" s="1"/>
  <c r="R828" i="1"/>
  <c r="D828" i="6" s="1"/>
  <c r="S828" i="1"/>
  <c r="E828" i="6" s="1"/>
  <c r="L1680" i="6" s="1"/>
  <c r="T828" i="1"/>
  <c r="F828" i="6" s="1"/>
  <c r="Q829" i="1"/>
  <c r="C829" i="6" s="1"/>
  <c r="R829" i="1"/>
  <c r="D829" i="6" s="1"/>
  <c r="S829" i="1"/>
  <c r="E829" i="6" s="1"/>
  <c r="L1681" i="6" s="1"/>
  <c r="T829" i="1"/>
  <c r="F829" i="6" s="1"/>
  <c r="D830" i="6"/>
  <c r="E830" i="6"/>
  <c r="L1682" i="6" s="1"/>
  <c r="Q831" i="1"/>
  <c r="C831" i="6" s="1"/>
  <c r="R831" i="1"/>
  <c r="D831" i="6" s="1"/>
  <c r="S831" i="1"/>
  <c r="E831" i="6" s="1"/>
  <c r="L1683" i="6" s="1"/>
  <c r="T831" i="1"/>
  <c r="F831" i="6" s="1"/>
  <c r="Q832" i="1"/>
  <c r="C832" i="6" s="1"/>
  <c r="R832" i="1"/>
  <c r="D832" i="6" s="1"/>
  <c r="S832" i="1"/>
  <c r="E832" i="6" s="1"/>
  <c r="L1684" i="6" s="1"/>
  <c r="T832" i="1"/>
  <c r="F832" i="6" s="1"/>
  <c r="Q833" i="1"/>
  <c r="C833" i="6" s="1"/>
  <c r="R833" i="1"/>
  <c r="D833" i="6" s="1"/>
  <c r="S833" i="1"/>
  <c r="E833" i="6" s="1"/>
  <c r="L1685" i="6" s="1"/>
  <c r="T833" i="1"/>
  <c r="F833" i="6" s="1"/>
  <c r="Q834" i="1"/>
  <c r="C834" i="6" s="1"/>
  <c r="R834" i="1"/>
  <c r="D834" i="6" s="1"/>
  <c r="S834" i="1"/>
  <c r="E834" i="6" s="1"/>
  <c r="L1686" i="6" s="1"/>
  <c r="T834" i="1"/>
  <c r="F834" i="6" s="1"/>
  <c r="Q835" i="1"/>
  <c r="C835" i="6" s="1"/>
  <c r="R835" i="1"/>
  <c r="D835" i="6" s="1"/>
  <c r="S835" i="1"/>
  <c r="E835" i="6" s="1"/>
  <c r="L1687" i="6" s="1"/>
  <c r="T835" i="1"/>
  <c r="F835" i="6" s="1"/>
  <c r="Q836" i="1"/>
  <c r="C836" i="6" s="1"/>
  <c r="R836" i="1"/>
  <c r="D836" i="6" s="1"/>
  <c r="S836" i="1"/>
  <c r="E836" i="6" s="1"/>
  <c r="L1688" i="6" s="1"/>
  <c r="T836" i="1"/>
  <c r="F836" i="6" s="1"/>
  <c r="Q837" i="1"/>
  <c r="C837" i="6" s="1"/>
  <c r="R837" i="1"/>
  <c r="D837" i="6" s="1"/>
  <c r="S837" i="1"/>
  <c r="E837" i="6" s="1"/>
  <c r="L1689" i="6" s="1"/>
  <c r="T837" i="1"/>
  <c r="F837" i="6" s="1"/>
  <c r="Q838" i="1"/>
  <c r="C838" i="6" s="1"/>
  <c r="R838" i="1"/>
  <c r="D838" i="6" s="1"/>
  <c r="S838" i="1"/>
  <c r="E838" i="6" s="1"/>
  <c r="L1690" i="6" s="1"/>
  <c r="T838" i="1"/>
  <c r="F838" i="6" s="1"/>
  <c r="Q839" i="1"/>
  <c r="C839" i="6" s="1"/>
  <c r="R839" i="1"/>
  <c r="D839" i="6" s="1"/>
  <c r="S839" i="1"/>
  <c r="E839" i="6" s="1"/>
  <c r="L1691" i="6" s="1"/>
  <c r="T839" i="1"/>
  <c r="F839" i="6" s="1"/>
  <c r="Q840" i="1"/>
  <c r="C840" i="6" s="1"/>
  <c r="R840" i="1"/>
  <c r="D840" i="6" s="1"/>
  <c r="S840" i="1"/>
  <c r="E840" i="6" s="1"/>
  <c r="L1692" i="6" s="1"/>
  <c r="T840" i="1"/>
  <c r="F840" i="6" s="1"/>
  <c r="Q841" i="1"/>
  <c r="C841" i="6" s="1"/>
  <c r="R841" i="1"/>
  <c r="D841" i="6" s="1"/>
  <c r="S841" i="1"/>
  <c r="E841" i="6" s="1"/>
  <c r="L1693" i="6" s="1"/>
  <c r="T841" i="1"/>
  <c r="F841" i="6" s="1"/>
  <c r="Q842" i="1"/>
  <c r="C842" i="6" s="1"/>
  <c r="R842" i="1"/>
  <c r="D842" i="6" s="1"/>
  <c r="S842" i="1"/>
  <c r="E842" i="6" s="1"/>
  <c r="L1694" i="6" s="1"/>
  <c r="T842" i="1"/>
  <c r="F842" i="6" s="1"/>
  <c r="Q843" i="1"/>
  <c r="C843" i="6" s="1"/>
  <c r="R843" i="1"/>
  <c r="D843" i="6" s="1"/>
  <c r="S843" i="1"/>
  <c r="E843" i="6" s="1"/>
  <c r="L1695" i="6" s="1"/>
  <c r="T843" i="1"/>
  <c r="F843" i="6" s="1"/>
  <c r="Q844" i="1"/>
  <c r="C844" i="6" s="1"/>
  <c r="R844" i="1"/>
  <c r="D844" i="6" s="1"/>
  <c r="S844" i="1"/>
  <c r="E844" i="6" s="1"/>
  <c r="L1696" i="6" s="1"/>
  <c r="T844" i="1"/>
  <c r="F844" i="6" s="1"/>
  <c r="Q845" i="1"/>
  <c r="C845" i="6" s="1"/>
  <c r="R845" i="1"/>
  <c r="D845" i="6" s="1"/>
  <c r="S845" i="1"/>
  <c r="E845" i="6" s="1"/>
  <c r="L1697" i="6" s="1"/>
  <c r="T845" i="1"/>
  <c r="F845" i="6" s="1"/>
  <c r="Q846" i="1"/>
  <c r="C846" i="6" s="1"/>
  <c r="R846" i="1"/>
  <c r="D846" i="6" s="1"/>
  <c r="S846" i="1"/>
  <c r="E846" i="6" s="1"/>
  <c r="L1698" i="6" s="1"/>
  <c r="T846" i="1"/>
  <c r="F846" i="6" s="1"/>
  <c r="Q847" i="1"/>
  <c r="C847" i="6" s="1"/>
  <c r="R847" i="1"/>
  <c r="D847" i="6" s="1"/>
  <c r="S847" i="1"/>
  <c r="E847" i="6" s="1"/>
  <c r="L1699" i="6" s="1"/>
  <c r="T847" i="1"/>
  <c r="F847" i="6" s="1"/>
  <c r="Q848" i="1"/>
  <c r="C848" i="6" s="1"/>
  <c r="R848" i="1"/>
  <c r="D848" i="6" s="1"/>
  <c r="S848" i="1"/>
  <c r="E848" i="6" s="1"/>
  <c r="L1700" i="6" s="1"/>
  <c r="T848" i="1"/>
  <c r="F848" i="6" s="1"/>
  <c r="Q849" i="1"/>
  <c r="C849" i="6" s="1"/>
  <c r="R849" i="1"/>
  <c r="D849" i="6" s="1"/>
  <c r="S849" i="1"/>
  <c r="E849" i="6" s="1"/>
  <c r="L1701" i="6" s="1"/>
  <c r="T849" i="1"/>
  <c r="F849" i="6" s="1"/>
  <c r="D850" i="6"/>
  <c r="E850" i="6"/>
  <c r="L1702" i="6" s="1"/>
  <c r="F850" i="6"/>
  <c r="E851" i="6"/>
  <c r="L1703" i="6" s="1"/>
  <c r="F851" i="6"/>
  <c r="Q852" i="1"/>
  <c r="C852" i="6" s="1"/>
  <c r="R852" i="1"/>
  <c r="D852" i="6" s="1"/>
  <c r="S852" i="1"/>
  <c r="E852" i="6" s="1"/>
  <c r="L1704" i="6" s="1"/>
  <c r="T852" i="1"/>
  <c r="F852" i="6" s="1"/>
  <c r="Q853" i="1"/>
  <c r="C853" i="6" s="1"/>
  <c r="R853" i="1"/>
  <c r="D853" i="6" s="1"/>
  <c r="S853" i="1"/>
  <c r="E853" i="6" s="1"/>
  <c r="L1705" i="6" s="1"/>
  <c r="T853" i="1"/>
  <c r="F853" i="6" s="1"/>
  <c r="P3" i="1"/>
  <c r="B3" i="6" s="1"/>
  <c r="P4" i="1"/>
  <c r="B4" i="6" s="1"/>
  <c r="P5" i="1"/>
  <c r="B5" i="6" s="1"/>
  <c r="L5" i="6" s="1"/>
  <c r="P6" i="1"/>
  <c r="B6" i="6" s="1"/>
  <c r="L6" i="6" s="1"/>
  <c r="P7" i="1"/>
  <c r="B7" i="6" s="1"/>
  <c r="P8" i="1"/>
  <c r="B8" i="6" s="1"/>
  <c r="P9" i="1"/>
  <c r="B9" i="6" s="1"/>
  <c r="L9" i="6" s="1"/>
  <c r="P10" i="1"/>
  <c r="B10" i="6" s="1"/>
  <c r="L10" i="6" s="1"/>
  <c r="P11" i="1"/>
  <c r="B11" i="6" s="1"/>
  <c r="P12" i="1"/>
  <c r="B12" i="6" s="1"/>
  <c r="P13" i="1"/>
  <c r="B13" i="6" s="1"/>
  <c r="L13" i="6" s="1"/>
  <c r="P14" i="1"/>
  <c r="B14" i="6" s="1"/>
  <c r="L14" i="6" s="1"/>
  <c r="P15" i="1"/>
  <c r="B15" i="6" s="1"/>
  <c r="P16" i="1"/>
  <c r="B16" i="6" s="1"/>
  <c r="P17" i="1"/>
  <c r="B17" i="6" s="1"/>
  <c r="L17" i="6" s="1"/>
  <c r="P18" i="1"/>
  <c r="B18" i="6" s="1"/>
  <c r="L18" i="6" s="1"/>
  <c r="P19" i="1"/>
  <c r="B19" i="6" s="1"/>
  <c r="P20" i="1"/>
  <c r="B20" i="6" s="1"/>
  <c r="P21" i="1"/>
  <c r="B21" i="6" s="1"/>
  <c r="L21" i="6" s="1"/>
  <c r="P22" i="1"/>
  <c r="B22" i="6" s="1"/>
  <c r="L22" i="6" s="1"/>
  <c r="P23" i="1"/>
  <c r="B23" i="6" s="1"/>
  <c r="P24" i="1"/>
  <c r="B24" i="6" s="1"/>
  <c r="P25" i="1"/>
  <c r="B25" i="6" s="1"/>
  <c r="L25" i="6" s="1"/>
  <c r="P26" i="1"/>
  <c r="B26" i="6" s="1"/>
  <c r="L26" i="6" s="1"/>
  <c r="P27" i="1"/>
  <c r="B27" i="6" s="1"/>
  <c r="P28" i="1"/>
  <c r="B28" i="6" s="1"/>
  <c r="P29" i="1"/>
  <c r="B29" i="6" s="1"/>
  <c r="L29" i="6" s="1"/>
  <c r="P30" i="1"/>
  <c r="B30" i="6" s="1"/>
  <c r="L30" i="6" s="1"/>
  <c r="P31" i="1"/>
  <c r="B31" i="6" s="1"/>
  <c r="P32" i="1"/>
  <c r="B32" i="6" s="1"/>
  <c r="P33" i="1"/>
  <c r="B33" i="6" s="1"/>
  <c r="L33" i="6" s="1"/>
  <c r="P34" i="1"/>
  <c r="B34" i="6" s="1"/>
  <c r="L34" i="6" s="1"/>
  <c r="P35" i="1"/>
  <c r="B35" i="6" s="1"/>
  <c r="P36" i="1"/>
  <c r="B36" i="6" s="1"/>
  <c r="P37" i="1"/>
  <c r="B37" i="6" s="1"/>
  <c r="L37" i="6" s="1"/>
  <c r="P38" i="1"/>
  <c r="B38" i="6" s="1"/>
  <c r="L38" i="6" s="1"/>
  <c r="P39" i="1"/>
  <c r="B39" i="6" s="1"/>
  <c r="P40" i="1"/>
  <c r="B40" i="6" s="1"/>
  <c r="P41" i="1"/>
  <c r="B41" i="6" s="1"/>
  <c r="L41" i="6" s="1"/>
  <c r="P42" i="1"/>
  <c r="B42" i="6" s="1"/>
  <c r="L42" i="6" s="1"/>
  <c r="P43" i="1"/>
  <c r="B43" i="6" s="1"/>
  <c r="P44" i="1"/>
  <c r="B44" i="6" s="1"/>
  <c r="P45" i="1"/>
  <c r="B45" i="6" s="1"/>
  <c r="L45" i="6" s="1"/>
  <c r="P46" i="1"/>
  <c r="B46" i="6" s="1"/>
  <c r="L46" i="6" s="1"/>
  <c r="P47" i="1"/>
  <c r="B47" i="6" s="1"/>
  <c r="P48" i="1"/>
  <c r="B48" i="6" s="1"/>
  <c r="P49" i="1"/>
  <c r="B49" i="6" s="1"/>
  <c r="L49" i="6" s="1"/>
  <c r="P50" i="1"/>
  <c r="B50" i="6" s="1"/>
  <c r="L50" i="6" s="1"/>
  <c r="P51" i="1"/>
  <c r="B51" i="6" s="1"/>
  <c r="P52" i="1"/>
  <c r="B52" i="6" s="1"/>
  <c r="P53" i="1"/>
  <c r="B53" i="6" s="1"/>
  <c r="L53" i="6" s="1"/>
  <c r="P54" i="1"/>
  <c r="B54" i="6" s="1"/>
  <c r="L54" i="6" s="1"/>
  <c r="P55" i="1"/>
  <c r="B55" i="6" s="1"/>
  <c r="P56" i="1"/>
  <c r="B56" i="6" s="1"/>
  <c r="P57" i="1"/>
  <c r="B57" i="6" s="1"/>
  <c r="L57" i="6" s="1"/>
  <c r="P58" i="1"/>
  <c r="B58" i="6" s="1"/>
  <c r="L58" i="6" s="1"/>
  <c r="P59" i="1"/>
  <c r="B59" i="6" s="1"/>
  <c r="P60" i="1"/>
  <c r="B60" i="6" s="1"/>
  <c r="P61" i="1"/>
  <c r="B61" i="6" s="1"/>
  <c r="L61" i="6" s="1"/>
  <c r="P62" i="1"/>
  <c r="B62" i="6" s="1"/>
  <c r="L62" i="6" s="1"/>
  <c r="P63" i="1"/>
  <c r="B63" i="6" s="1"/>
  <c r="P64" i="1"/>
  <c r="B64" i="6" s="1"/>
  <c r="P65" i="1"/>
  <c r="B65" i="6" s="1"/>
  <c r="L65" i="6" s="1"/>
  <c r="P66" i="1"/>
  <c r="B66" i="6" s="1"/>
  <c r="L66" i="6" s="1"/>
  <c r="P67" i="1"/>
  <c r="B67" i="6" s="1"/>
  <c r="P68" i="1"/>
  <c r="B68" i="6" s="1"/>
  <c r="P69" i="1"/>
  <c r="B69" i="6" s="1"/>
  <c r="L69" i="6" s="1"/>
  <c r="P70" i="1"/>
  <c r="B70" i="6" s="1"/>
  <c r="L70" i="6" s="1"/>
  <c r="P71" i="1"/>
  <c r="B71" i="6" s="1"/>
  <c r="P72" i="1"/>
  <c r="B72" i="6" s="1"/>
  <c r="P73" i="1"/>
  <c r="B73" i="6" s="1"/>
  <c r="L73" i="6" s="1"/>
  <c r="P74" i="1"/>
  <c r="B74" i="6" s="1"/>
  <c r="L74" i="6" s="1"/>
  <c r="P75" i="1"/>
  <c r="B75" i="6" s="1"/>
  <c r="P76" i="1"/>
  <c r="B76" i="6" s="1"/>
  <c r="P77" i="1"/>
  <c r="B77" i="6" s="1"/>
  <c r="L77" i="6" s="1"/>
  <c r="P78" i="1"/>
  <c r="B78" i="6" s="1"/>
  <c r="L78" i="6" s="1"/>
  <c r="P79" i="1"/>
  <c r="B79" i="6" s="1"/>
  <c r="P80" i="1"/>
  <c r="B80" i="6" s="1"/>
  <c r="P81" i="1"/>
  <c r="B81" i="6" s="1"/>
  <c r="L81" i="6" s="1"/>
  <c r="P82" i="1"/>
  <c r="B82" i="6" s="1"/>
  <c r="L82" i="6" s="1"/>
  <c r="P83" i="1"/>
  <c r="B83" i="6" s="1"/>
  <c r="P84" i="1"/>
  <c r="B84" i="6" s="1"/>
  <c r="P85" i="1"/>
  <c r="B85" i="6" s="1"/>
  <c r="L85" i="6" s="1"/>
  <c r="P86" i="1"/>
  <c r="B86" i="6" s="1"/>
  <c r="L86" i="6" s="1"/>
  <c r="P87" i="1"/>
  <c r="B87" i="6" s="1"/>
  <c r="P88" i="1"/>
  <c r="B88" i="6" s="1"/>
  <c r="P89" i="1"/>
  <c r="B89" i="6" s="1"/>
  <c r="L89" i="6" s="1"/>
  <c r="P90" i="1"/>
  <c r="B90" i="6" s="1"/>
  <c r="L90" i="6" s="1"/>
  <c r="P91" i="1"/>
  <c r="B91" i="6" s="1"/>
  <c r="P92" i="1"/>
  <c r="B92" i="6" s="1"/>
  <c r="P93" i="1"/>
  <c r="B93" i="6" s="1"/>
  <c r="L93" i="6" s="1"/>
  <c r="P94" i="1"/>
  <c r="B94" i="6" s="1"/>
  <c r="L94" i="6" s="1"/>
  <c r="P95" i="1"/>
  <c r="B95" i="6" s="1"/>
  <c r="P96" i="1"/>
  <c r="B96" i="6" s="1"/>
  <c r="P97" i="1"/>
  <c r="B97" i="6" s="1"/>
  <c r="L97" i="6" s="1"/>
  <c r="P98" i="1"/>
  <c r="B98" i="6" s="1"/>
  <c r="L98" i="6" s="1"/>
  <c r="P99" i="1"/>
  <c r="B99" i="6" s="1"/>
  <c r="P100" i="1"/>
  <c r="B100" i="6" s="1"/>
  <c r="P101" i="1"/>
  <c r="B101" i="6" s="1"/>
  <c r="L101" i="6" s="1"/>
  <c r="P102" i="1"/>
  <c r="B102" i="6" s="1"/>
  <c r="L102" i="6" s="1"/>
  <c r="P103" i="1"/>
  <c r="B103" i="6" s="1"/>
  <c r="P104" i="1"/>
  <c r="B104" i="6" s="1"/>
  <c r="P105" i="1"/>
  <c r="B105" i="6" s="1"/>
  <c r="L105" i="6" s="1"/>
  <c r="P106" i="1"/>
  <c r="B106" i="6" s="1"/>
  <c r="L106" i="6" s="1"/>
  <c r="P107" i="1"/>
  <c r="B107" i="6" s="1"/>
  <c r="P108" i="1"/>
  <c r="B108" i="6" s="1"/>
  <c r="P109" i="1"/>
  <c r="B109" i="6" s="1"/>
  <c r="L109" i="6" s="1"/>
  <c r="P110" i="1"/>
  <c r="B110" i="6" s="1"/>
  <c r="L110" i="6" s="1"/>
  <c r="P111" i="1"/>
  <c r="B111" i="6" s="1"/>
  <c r="P112" i="1"/>
  <c r="B112" i="6" s="1"/>
  <c r="P113" i="1"/>
  <c r="B113" i="6" s="1"/>
  <c r="L113" i="6" s="1"/>
  <c r="P114" i="1"/>
  <c r="B114" i="6" s="1"/>
  <c r="L114" i="6" s="1"/>
  <c r="P115" i="1"/>
  <c r="B115" i="6" s="1"/>
  <c r="P116" i="1"/>
  <c r="B116" i="6" s="1"/>
  <c r="P117" i="1"/>
  <c r="B117" i="6" s="1"/>
  <c r="L117" i="6" s="1"/>
  <c r="P118" i="1"/>
  <c r="B118" i="6" s="1"/>
  <c r="L118" i="6" s="1"/>
  <c r="P119" i="1"/>
  <c r="B119" i="6" s="1"/>
  <c r="P120" i="1"/>
  <c r="B120" i="6" s="1"/>
  <c r="P121" i="1"/>
  <c r="B121" i="6" s="1"/>
  <c r="L121" i="6" s="1"/>
  <c r="P122" i="1"/>
  <c r="B122" i="6" s="1"/>
  <c r="L122" i="6" s="1"/>
  <c r="P123" i="1"/>
  <c r="B123" i="6" s="1"/>
  <c r="P124" i="1"/>
  <c r="B124" i="6" s="1"/>
  <c r="P125" i="1"/>
  <c r="B125" i="6" s="1"/>
  <c r="L125" i="6" s="1"/>
  <c r="P126" i="1"/>
  <c r="B126" i="6" s="1"/>
  <c r="L126" i="6" s="1"/>
  <c r="P127" i="1"/>
  <c r="B127" i="6" s="1"/>
  <c r="P128" i="1"/>
  <c r="B128" i="6" s="1"/>
  <c r="P129" i="1"/>
  <c r="B129" i="6" s="1"/>
  <c r="L129" i="6" s="1"/>
  <c r="P130" i="1"/>
  <c r="B130" i="6" s="1"/>
  <c r="L130" i="6" s="1"/>
  <c r="P131" i="1"/>
  <c r="B131" i="6" s="1"/>
  <c r="P132" i="1"/>
  <c r="B132" i="6" s="1"/>
  <c r="P133" i="1"/>
  <c r="B133" i="6" s="1"/>
  <c r="L133" i="6" s="1"/>
  <c r="P134" i="1"/>
  <c r="B134" i="6" s="1"/>
  <c r="L134" i="6" s="1"/>
  <c r="P135" i="1"/>
  <c r="B135" i="6" s="1"/>
  <c r="P136" i="1"/>
  <c r="B136" i="6" s="1"/>
  <c r="P137" i="1"/>
  <c r="B137" i="6" s="1"/>
  <c r="L137" i="6" s="1"/>
  <c r="P138" i="1"/>
  <c r="B138" i="6" s="1"/>
  <c r="L138" i="6" s="1"/>
  <c r="P139" i="1"/>
  <c r="B139" i="6" s="1"/>
  <c r="P140" i="1"/>
  <c r="B140" i="6" s="1"/>
  <c r="P141" i="1"/>
  <c r="B141" i="6" s="1"/>
  <c r="L141" i="6" s="1"/>
  <c r="P142" i="1"/>
  <c r="B142" i="6" s="1"/>
  <c r="L142" i="6" s="1"/>
  <c r="P143" i="1"/>
  <c r="B143" i="6" s="1"/>
  <c r="P144" i="1"/>
  <c r="B144" i="6" s="1"/>
  <c r="P145" i="1"/>
  <c r="B145" i="6" s="1"/>
  <c r="L145" i="6" s="1"/>
  <c r="P146" i="1"/>
  <c r="B146" i="6" s="1"/>
  <c r="L146" i="6" s="1"/>
  <c r="P147" i="1"/>
  <c r="B147" i="6" s="1"/>
  <c r="P148" i="1"/>
  <c r="B148" i="6" s="1"/>
  <c r="P149" i="1"/>
  <c r="B149" i="6" s="1"/>
  <c r="L149" i="6" s="1"/>
  <c r="P150" i="1"/>
  <c r="B150" i="6" s="1"/>
  <c r="L150" i="6" s="1"/>
  <c r="P151" i="1"/>
  <c r="B151" i="6" s="1"/>
  <c r="P152" i="1"/>
  <c r="B152" i="6" s="1"/>
  <c r="P153" i="1"/>
  <c r="B153" i="6" s="1"/>
  <c r="L153" i="6" s="1"/>
  <c r="P154" i="1"/>
  <c r="B154" i="6" s="1"/>
  <c r="L154" i="6" s="1"/>
  <c r="P155" i="1"/>
  <c r="B155" i="6" s="1"/>
  <c r="P156" i="1"/>
  <c r="B156" i="6" s="1"/>
  <c r="P157" i="1"/>
  <c r="B157" i="6" s="1"/>
  <c r="L157" i="6" s="1"/>
  <c r="P158" i="1"/>
  <c r="B158" i="6" s="1"/>
  <c r="L158" i="6" s="1"/>
  <c r="P159" i="1"/>
  <c r="B159" i="6" s="1"/>
  <c r="P160" i="1"/>
  <c r="B160" i="6" s="1"/>
  <c r="P161" i="1"/>
  <c r="B161" i="6" s="1"/>
  <c r="L161" i="6" s="1"/>
  <c r="P162" i="1"/>
  <c r="B162" i="6" s="1"/>
  <c r="L162" i="6" s="1"/>
  <c r="P163" i="1"/>
  <c r="B163" i="6" s="1"/>
  <c r="P164" i="1"/>
  <c r="B164" i="6" s="1"/>
  <c r="P165" i="1"/>
  <c r="B165" i="6" s="1"/>
  <c r="L165" i="6" s="1"/>
  <c r="P166" i="1"/>
  <c r="B166" i="6" s="1"/>
  <c r="L166" i="6" s="1"/>
  <c r="P167" i="1"/>
  <c r="B167" i="6" s="1"/>
  <c r="P168" i="1"/>
  <c r="B168" i="6" s="1"/>
  <c r="P169" i="1"/>
  <c r="B169" i="6" s="1"/>
  <c r="L169" i="6" s="1"/>
  <c r="P170" i="1"/>
  <c r="B170" i="6" s="1"/>
  <c r="L170" i="6" s="1"/>
  <c r="P171" i="1"/>
  <c r="B171" i="6" s="1"/>
  <c r="P172" i="1"/>
  <c r="B172" i="6" s="1"/>
  <c r="P173" i="1"/>
  <c r="B173" i="6" s="1"/>
  <c r="L173" i="6" s="1"/>
  <c r="P174" i="1"/>
  <c r="B174" i="6" s="1"/>
  <c r="L174" i="6" s="1"/>
  <c r="P175" i="1"/>
  <c r="B175" i="6" s="1"/>
  <c r="P176" i="1"/>
  <c r="B176" i="6" s="1"/>
  <c r="P177" i="1"/>
  <c r="B177" i="6" s="1"/>
  <c r="L177" i="6" s="1"/>
  <c r="P178" i="1"/>
  <c r="B178" i="6" s="1"/>
  <c r="L178" i="6" s="1"/>
  <c r="P179" i="1"/>
  <c r="B179" i="6" s="1"/>
  <c r="P180" i="1"/>
  <c r="B180" i="6" s="1"/>
  <c r="P181" i="1"/>
  <c r="B181" i="6" s="1"/>
  <c r="L181" i="6" s="1"/>
  <c r="P182" i="1"/>
  <c r="B182" i="6" s="1"/>
  <c r="L182" i="6" s="1"/>
  <c r="P183" i="1"/>
  <c r="B183" i="6" s="1"/>
  <c r="P184" i="1"/>
  <c r="B184" i="6" s="1"/>
  <c r="P185" i="1"/>
  <c r="B185" i="6" s="1"/>
  <c r="L185" i="6" s="1"/>
  <c r="P186" i="1"/>
  <c r="B186" i="6" s="1"/>
  <c r="L186" i="6" s="1"/>
  <c r="P187" i="1"/>
  <c r="B187" i="6" s="1"/>
  <c r="P188" i="1"/>
  <c r="B188" i="6" s="1"/>
  <c r="P189" i="1"/>
  <c r="B189" i="6" s="1"/>
  <c r="L189" i="6" s="1"/>
  <c r="P190" i="1"/>
  <c r="B190" i="6" s="1"/>
  <c r="L190" i="6" s="1"/>
  <c r="P191" i="1"/>
  <c r="B191" i="6" s="1"/>
  <c r="P192" i="1"/>
  <c r="B192" i="6" s="1"/>
  <c r="P193" i="1"/>
  <c r="B193" i="6" s="1"/>
  <c r="L193" i="6" s="1"/>
  <c r="P194" i="1"/>
  <c r="B194" i="6" s="1"/>
  <c r="L194" i="6" s="1"/>
  <c r="P195" i="1"/>
  <c r="B195" i="6" s="1"/>
  <c r="P196" i="1"/>
  <c r="B196" i="6" s="1"/>
  <c r="P197" i="1"/>
  <c r="B197" i="6" s="1"/>
  <c r="L197" i="6" s="1"/>
  <c r="P198" i="1"/>
  <c r="B198" i="6" s="1"/>
  <c r="L198" i="6" s="1"/>
  <c r="P199" i="1"/>
  <c r="B199" i="6" s="1"/>
  <c r="P200" i="1"/>
  <c r="B200" i="6" s="1"/>
  <c r="P201" i="1"/>
  <c r="B201" i="6" s="1"/>
  <c r="L201" i="6" s="1"/>
  <c r="P202" i="1"/>
  <c r="B202" i="6" s="1"/>
  <c r="L202" i="6" s="1"/>
  <c r="P203" i="1"/>
  <c r="B203" i="6" s="1"/>
  <c r="P204" i="1"/>
  <c r="B204" i="6" s="1"/>
  <c r="P205" i="1"/>
  <c r="B205" i="6" s="1"/>
  <c r="L205" i="6" s="1"/>
  <c r="P206" i="1"/>
  <c r="B206" i="6" s="1"/>
  <c r="L206" i="6" s="1"/>
  <c r="P207" i="1"/>
  <c r="B207" i="6" s="1"/>
  <c r="P208" i="1"/>
  <c r="B208" i="6" s="1"/>
  <c r="P209" i="1"/>
  <c r="B209" i="6" s="1"/>
  <c r="L209" i="6" s="1"/>
  <c r="P210" i="1"/>
  <c r="B210" i="6" s="1"/>
  <c r="L210" i="6" s="1"/>
  <c r="P211" i="1"/>
  <c r="B211" i="6" s="1"/>
  <c r="P212" i="1"/>
  <c r="B212" i="6" s="1"/>
  <c r="P213" i="1"/>
  <c r="B213" i="6" s="1"/>
  <c r="L213" i="6" s="1"/>
  <c r="P214" i="1"/>
  <c r="B214" i="6" s="1"/>
  <c r="L214" i="6" s="1"/>
  <c r="P215" i="1"/>
  <c r="B215" i="6" s="1"/>
  <c r="P216" i="1"/>
  <c r="B216" i="6" s="1"/>
  <c r="P217" i="1"/>
  <c r="B217" i="6" s="1"/>
  <c r="L217" i="6" s="1"/>
  <c r="P218" i="1"/>
  <c r="B218" i="6" s="1"/>
  <c r="L218" i="6" s="1"/>
  <c r="P219" i="1"/>
  <c r="B219" i="6" s="1"/>
  <c r="P220" i="1"/>
  <c r="B220" i="6" s="1"/>
  <c r="P221" i="1"/>
  <c r="B221" i="6" s="1"/>
  <c r="L221" i="6" s="1"/>
  <c r="P222" i="1"/>
  <c r="B222" i="6" s="1"/>
  <c r="L222" i="6" s="1"/>
  <c r="P223" i="1"/>
  <c r="B223" i="6" s="1"/>
  <c r="P224" i="1"/>
  <c r="B224" i="6" s="1"/>
  <c r="P225" i="1"/>
  <c r="B225" i="6" s="1"/>
  <c r="L225" i="6" s="1"/>
  <c r="P226" i="1"/>
  <c r="B226" i="6" s="1"/>
  <c r="L226" i="6" s="1"/>
  <c r="P227" i="1"/>
  <c r="B227" i="6" s="1"/>
  <c r="P228" i="1"/>
  <c r="B228" i="6" s="1"/>
  <c r="P229" i="1"/>
  <c r="B229" i="6" s="1"/>
  <c r="L229" i="6" s="1"/>
  <c r="P230" i="1"/>
  <c r="B230" i="6" s="1"/>
  <c r="L230" i="6" s="1"/>
  <c r="P231" i="1"/>
  <c r="B231" i="6" s="1"/>
  <c r="P232" i="1"/>
  <c r="B232" i="6" s="1"/>
  <c r="P233" i="1"/>
  <c r="B233" i="6" s="1"/>
  <c r="L233" i="6" s="1"/>
  <c r="P234" i="1"/>
  <c r="B234" i="6" s="1"/>
  <c r="L234" i="6" s="1"/>
  <c r="P235" i="1"/>
  <c r="B235" i="6" s="1"/>
  <c r="P236" i="1"/>
  <c r="B236" i="6" s="1"/>
  <c r="P237" i="1"/>
  <c r="B237" i="6" s="1"/>
  <c r="L237" i="6" s="1"/>
  <c r="P238" i="1"/>
  <c r="B238" i="6" s="1"/>
  <c r="L238" i="6" s="1"/>
  <c r="P239" i="1"/>
  <c r="B239" i="6" s="1"/>
  <c r="P240" i="1"/>
  <c r="B240" i="6" s="1"/>
  <c r="P241" i="1"/>
  <c r="B241" i="6" s="1"/>
  <c r="L241" i="6" s="1"/>
  <c r="P242" i="1"/>
  <c r="B242" i="6" s="1"/>
  <c r="L242" i="6" s="1"/>
  <c r="P243" i="1"/>
  <c r="B243" i="6" s="1"/>
  <c r="P244" i="1"/>
  <c r="B244" i="6" s="1"/>
  <c r="P245" i="1"/>
  <c r="B245" i="6" s="1"/>
  <c r="L245" i="6" s="1"/>
  <c r="P246" i="1"/>
  <c r="B246" i="6" s="1"/>
  <c r="L246" i="6" s="1"/>
  <c r="P247" i="1"/>
  <c r="B247" i="6" s="1"/>
  <c r="P248" i="1"/>
  <c r="B248" i="6" s="1"/>
  <c r="P249" i="1"/>
  <c r="B249" i="6" s="1"/>
  <c r="L249" i="6" s="1"/>
  <c r="P250" i="1"/>
  <c r="B250" i="6" s="1"/>
  <c r="L250" i="6" s="1"/>
  <c r="P251" i="1"/>
  <c r="B251" i="6" s="1"/>
  <c r="P252" i="1"/>
  <c r="B252" i="6" s="1"/>
  <c r="P253" i="1"/>
  <c r="B253" i="6" s="1"/>
  <c r="L253" i="6" s="1"/>
  <c r="P254" i="1"/>
  <c r="B254" i="6" s="1"/>
  <c r="L254" i="6" s="1"/>
  <c r="P255" i="1"/>
  <c r="B255" i="6" s="1"/>
  <c r="P256" i="1"/>
  <c r="B256" i="6" s="1"/>
  <c r="P257" i="1"/>
  <c r="B257" i="6" s="1"/>
  <c r="L257" i="6" s="1"/>
  <c r="P258" i="1"/>
  <c r="B258" i="6" s="1"/>
  <c r="L258" i="6" s="1"/>
  <c r="P259" i="1"/>
  <c r="B259" i="6" s="1"/>
  <c r="P260" i="1"/>
  <c r="B260" i="6" s="1"/>
  <c r="P261" i="1"/>
  <c r="B261" i="6" s="1"/>
  <c r="L261" i="6" s="1"/>
  <c r="P262" i="1"/>
  <c r="B262" i="6" s="1"/>
  <c r="L262" i="6" s="1"/>
  <c r="P263" i="1"/>
  <c r="B263" i="6" s="1"/>
  <c r="P264" i="1"/>
  <c r="B264" i="6" s="1"/>
  <c r="P265" i="1"/>
  <c r="B265" i="6" s="1"/>
  <c r="L265" i="6" s="1"/>
  <c r="P266" i="1"/>
  <c r="B266" i="6" s="1"/>
  <c r="L266" i="6" s="1"/>
  <c r="P267" i="1"/>
  <c r="B267" i="6" s="1"/>
  <c r="P268" i="1"/>
  <c r="B268" i="6" s="1"/>
  <c r="P269" i="1"/>
  <c r="B269" i="6" s="1"/>
  <c r="L269" i="6" s="1"/>
  <c r="P270" i="1"/>
  <c r="B270" i="6" s="1"/>
  <c r="L270" i="6" s="1"/>
  <c r="P271" i="1"/>
  <c r="B271" i="6" s="1"/>
  <c r="P272" i="1"/>
  <c r="B272" i="6" s="1"/>
  <c r="P273" i="1"/>
  <c r="B273" i="6" s="1"/>
  <c r="L273" i="6" s="1"/>
  <c r="P274" i="1"/>
  <c r="B274" i="6" s="1"/>
  <c r="L274" i="6" s="1"/>
  <c r="P275" i="1"/>
  <c r="B275" i="6" s="1"/>
  <c r="P276" i="1"/>
  <c r="B276" i="6" s="1"/>
  <c r="P277" i="1"/>
  <c r="B277" i="6" s="1"/>
  <c r="L277" i="6" s="1"/>
  <c r="P278" i="1"/>
  <c r="B278" i="6" s="1"/>
  <c r="L278" i="6" s="1"/>
  <c r="P279" i="1"/>
  <c r="B279" i="6" s="1"/>
  <c r="P280" i="1"/>
  <c r="B280" i="6" s="1"/>
  <c r="P281" i="1"/>
  <c r="B281" i="6" s="1"/>
  <c r="L281" i="6" s="1"/>
  <c r="P282" i="1"/>
  <c r="B282" i="6" s="1"/>
  <c r="L282" i="6" s="1"/>
  <c r="P283" i="1"/>
  <c r="B283" i="6" s="1"/>
  <c r="P284" i="1"/>
  <c r="B284" i="6" s="1"/>
  <c r="P285" i="1"/>
  <c r="B285" i="6" s="1"/>
  <c r="L285" i="6" s="1"/>
  <c r="P286" i="1"/>
  <c r="B286" i="6" s="1"/>
  <c r="L286" i="6" s="1"/>
  <c r="P287" i="1"/>
  <c r="B287" i="6" s="1"/>
  <c r="P288" i="1"/>
  <c r="B288" i="6" s="1"/>
  <c r="P289" i="1"/>
  <c r="B289" i="6" s="1"/>
  <c r="L289" i="6" s="1"/>
  <c r="P290" i="1"/>
  <c r="B290" i="6" s="1"/>
  <c r="L290" i="6" s="1"/>
  <c r="P291" i="1"/>
  <c r="B291" i="6" s="1"/>
  <c r="P292" i="1"/>
  <c r="B292" i="6" s="1"/>
  <c r="P293" i="1"/>
  <c r="B293" i="6" s="1"/>
  <c r="L293" i="6" s="1"/>
  <c r="P294" i="1"/>
  <c r="B294" i="6" s="1"/>
  <c r="L294" i="6" s="1"/>
  <c r="P295" i="1"/>
  <c r="B295" i="6" s="1"/>
  <c r="P296" i="1"/>
  <c r="B296" i="6" s="1"/>
  <c r="P297" i="1"/>
  <c r="B297" i="6" s="1"/>
  <c r="L297" i="6" s="1"/>
  <c r="P298" i="1"/>
  <c r="B298" i="6" s="1"/>
  <c r="L298" i="6" s="1"/>
  <c r="P299" i="1"/>
  <c r="B299" i="6" s="1"/>
  <c r="P300" i="1"/>
  <c r="B300" i="6" s="1"/>
  <c r="P301" i="1"/>
  <c r="B301" i="6" s="1"/>
  <c r="L301" i="6" s="1"/>
  <c r="P302" i="1"/>
  <c r="B302" i="6" s="1"/>
  <c r="L302" i="6" s="1"/>
  <c r="P303" i="1"/>
  <c r="B303" i="6" s="1"/>
  <c r="P304" i="1"/>
  <c r="B304" i="6" s="1"/>
  <c r="P305" i="1"/>
  <c r="B305" i="6" s="1"/>
  <c r="L305" i="6" s="1"/>
  <c r="P306" i="1"/>
  <c r="B306" i="6" s="1"/>
  <c r="L306" i="6" s="1"/>
  <c r="P307" i="1"/>
  <c r="B307" i="6" s="1"/>
  <c r="P308" i="1"/>
  <c r="B308" i="6" s="1"/>
  <c r="P309" i="1"/>
  <c r="B309" i="6" s="1"/>
  <c r="L309" i="6" s="1"/>
  <c r="P310" i="1"/>
  <c r="B310" i="6" s="1"/>
  <c r="L310" i="6" s="1"/>
  <c r="P311" i="1"/>
  <c r="B311" i="6" s="1"/>
  <c r="P312" i="1"/>
  <c r="B312" i="6" s="1"/>
  <c r="P313" i="1"/>
  <c r="B313" i="6" s="1"/>
  <c r="L313" i="6" s="1"/>
  <c r="P314" i="1"/>
  <c r="B314" i="6" s="1"/>
  <c r="L314" i="6" s="1"/>
  <c r="P315" i="1"/>
  <c r="B315" i="6" s="1"/>
  <c r="P316" i="1"/>
  <c r="B316" i="6" s="1"/>
  <c r="P317" i="1"/>
  <c r="B317" i="6" s="1"/>
  <c r="L317" i="6" s="1"/>
  <c r="P318" i="1"/>
  <c r="B318" i="6" s="1"/>
  <c r="L318" i="6" s="1"/>
  <c r="P319" i="1"/>
  <c r="B319" i="6" s="1"/>
  <c r="P320" i="1"/>
  <c r="B320" i="6" s="1"/>
  <c r="P321" i="1"/>
  <c r="B321" i="6" s="1"/>
  <c r="L321" i="6" s="1"/>
  <c r="P322" i="1"/>
  <c r="B322" i="6" s="1"/>
  <c r="L322" i="6" s="1"/>
  <c r="P323" i="1"/>
  <c r="B323" i="6" s="1"/>
  <c r="P324" i="1"/>
  <c r="B324" i="6" s="1"/>
  <c r="P325" i="1"/>
  <c r="B325" i="6" s="1"/>
  <c r="L325" i="6" s="1"/>
  <c r="P326" i="1"/>
  <c r="B326" i="6" s="1"/>
  <c r="L326" i="6" s="1"/>
  <c r="P327" i="1"/>
  <c r="B327" i="6" s="1"/>
  <c r="P328" i="1"/>
  <c r="B328" i="6" s="1"/>
  <c r="P329" i="1"/>
  <c r="B329" i="6" s="1"/>
  <c r="L329" i="6" s="1"/>
  <c r="P330" i="1"/>
  <c r="B330" i="6" s="1"/>
  <c r="L330" i="6" s="1"/>
  <c r="P331" i="1"/>
  <c r="B331" i="6" s="1"/>
  <c r="P332" i="1"/>
  <c r="B332" i="6" s="1"/>
  <c r="P333" i="1"/>
  <c r="B333" i="6" s="1"/>
  <c r="L333" i="6" s="1"/>
  <c r="P334" i="1"/>
  <c r="B334" i="6" s="1"/>
  <c r="L334" i="6" s="1"/>
  <c r="P335" i="1"/>
  <c r="B335" i="6" s="1"/>
  <c r="P336" i="1"/>
  <c r="B336" i="6" s="1"/>
  <c r="P337" i="1"/>
  <c r="B337" i="6" s="1"/>
  <c r="L337" i="6" s="1"/>
  <c r="P338" i="1"/>
  <c r="B338" i="6" s="1"/>
  <c r="L338" i="6" s="1"/>
  <c r="P339" i="1"/>
  <c r="B339" i="6" s="1"/>
  <c r="P340" i="1"/>
  <c r="B340" i="6" s="1"/>
  <c r="P341" i="1"/>
  <c r="B341" i="6" s="1"/>
  <c r="L341" i="6" s="1"/>
  <c r="P342" i="1"/>
  <c r="B342" i="6" s="1"/>
  <c r="L342" i="6" s="1"/>
  <c r="P343" i="1"/>
  <c r="B343" i="6" s="1"/>
  <c r="P344" i="1"/>
  <c r="B344" i="6" s="1"/>
  <c r="P345" i="1"/>
  <c r="B345" i="6" s="1"/>
  <c r="L345" i="6" s="1"/>
  <c r="P346" i="1"/>
  <c r="B346" i="6" s="1"/>
  <c r="L346" i="6" s="1"/>
  <c r="P347" i="1"/>
  <c r="B347" i="6" s="1"/>
  <c r="P348" i="1"/>
  <c r="B348" i="6" s="1"/>
  <c r="P349" i="1"/>
  <c r="B349" i="6" s="1"/>
  <c r="L349" i="6" s="1"/>
  <c r="P350" i="1"/>
  <c r="B350" i="6" s="1"/>
  <c r="L350" i="6" s="1"/>
  <c r="P351" i="1"/>
  <c r="B351" i="6" s="1"/>
  <c r="P352" i="1"/>
  <c r="B352" i="6" s="1"/>
  <c r="P353" i="1"/>
  <c r="B353" i="6" s="1"/>
  <c r="L353" i="6" s="1"/>
  <c r="P354" i="1"/>
  <c r="B354" i="6" s="1"/>
  <c r="L354" i="6" s="1"/>
  <c r="P355" i="1"/>
  <c r="B355" i="6" s="1"/>
  <c r="P356" i="1"/>
  <c r="B356" i="6" s="1"/>
  <c r="P357" i="1"/>
  <c r="B357" i="6" s="1"/>
  <c r="L357" i="6" s="1"/>
  <c r="P358" i="1"/>
  <c r="B358" i="6" s="1"/>
  <c r="L358" i="6" s="1"/>
  <c r="P359" i="1"/>
  <c r="B359" i="6" s="1"/>
  <c r="P360" i="1"/>
  <c r="B360" i="6" s="1"/>
  <c r="P361" i="1"/>
  <c r="B361" i="6" s="1"/>
  <c r="L361" i="6" s="1"/>
  <c r="P362" i="1"/>
  <c r="B362" i="6" s="1"/>
  <c r="L362" i="6" s="1"/>
  <c r="P363" i="1"/>
  <c r="B363" i="6" s="1"/>
  <c r="P364" i="1"/>
  <c r="B364" i="6" s="1"/>
  <c r="P365" i="1"/>
  <c r="B365" i="6" s="1"/>
  <c r="L365" i="6" s="1"/>
  <c r="P366" i="1"/>
  <c r="B366" i="6" s="1"/>
  <c r="L366" i="6" s="1"/>
  <c r="P367" i="1"/>
  <c r="B367" i="6" s="1"/>
  <c r="P368" i="1"/>
  <c r="B368" i="6" s="1"/>
  <c r="P369" i="1"/>
  <c r="B369" i="6" s="1"/>
  <c r="L369" i="6" s="1"/>
  <c r="P370" i="1"/>
  <c r="B370" i="6" s="1"/>
  <c r="L370" i="6" s="1"/>
  <c r="P371" i="1"/>
  <c r="B371" i="6" s="1"/>
  <c r="P372" i="1"/>
  <c r="B372" i="6" s="1"/>
  <c r="P373" i="1"/>
  <c r="B373" i="6" s="1"/>
  <c r="L373" i="6" s="1"/>
  <c r="P374" i="1"/>
  <c r="B374" i="6" s="1"/>
  <c r="L374" i="6" s="1"/>
  <c r="P375" i="1"/>
  <c r="B375" i="6" s="1"/>
  <c r="P376" i="1"/>
  <c r="B376" i="6" s="1"/>
  <c r="P377" i="1"/>
  <c r="B377" i="6" s="1"/>
  <c r="L377" i="6" s="1"/>
  <c r="P378" i="1"/>
  <c r="B378" i="6" s="1"/>
  <c r="L378" i="6" s="1"/>
  <c r="P379" i="1"/>
  <c r="B379" i="6" s="1"/>
  <c r="P380" i="1"/>
  <c r="B380" i="6" s="1"/>
  <c r="P381" i="1"/>
  <c r="B381" i="6" s="1"/>
  <c r="L381" i="6" s="1"/>
  <c r="P382" i="1"/>
  <c r="B382" i="6" s="1"/>
  <c r="L382" i="6" s="1"/>
  <c r="P383" i="1"/>
  <c r="B383" i="6" s="1"/>
  <c r="P384" i="1"/>
  <c r="B384" i="6" s="1"/>
  <c r="P385" i="1"/>
  <c r="B385" i="6" s="1"/>
  <c r="L385" i="6" s="1"/>
  <c r="P386" i="1"/>
  <c r="B386" i="6" s="1"/>
  <c r="L386" i="6" s="1"/>
  <c r="P387" i="1"/>
  <c r="B387" i="6" s="1"/>
  <c r="P388" i="1"/>
  <c r="B388" i="6" s="1"/>
  <c r="P389" i="1"/>
  <c r="B389" i="6" s="1"/>
  <c r="L389" i="6" s="1"/>
  <c r="P390" i="1"/>
  <c r="B390" i="6" s="1"/>
  <c r="L390" i="6" s="1"/>
  <c r="P391" i="1"/>
  <c r="B391" i="6" s="1"/>
  <c r="P392" i="1"/>
  <c r="B392" i="6" s="1"/>
  <c r="P393" i="1"/>
  <c r="B393" i="6" s="1"/>
  <c r="L393" i="6" s="1"/>
  <c r="P394" i="1"/>
  <c r="B394" i="6" s="1"/>
  <c r="L394" i="6" s="1"/>
  <c r="P395" i="1"/>
  <c r="B395" i="6" s="1"/>
  <c r="P396" i="1"/>
  <c r="B396" i="6" s="1"/>
  <c r="P397" i="1"/>
  <c r="B397" i="6" s="1"/>
  <c r="L397" i="6" s="1"/>
  <c r="P398" i="1"/>
  <c r="B398" i="6" s="1"/>
  <c r="L398" i="6" s="1"/>
  <c r="P399" i="1"/>
  <c r="B399" i="6" s="1"/>
  <c r="P400" i="1"/>
  <c r="B400" i="6" s="1"/>
  <c r="P401" i="1"/>
  <c r="B401" i="6" s="1"/>
  <c r="L401" i="6" s="1"/>
  <c r="P402" i="1"/>
  <c r="B402" i="6" s="1"/>
  <c r="L402" i="6" s="1"/>
  <c r="P403" i="1"/>
  <c r="B403" i="6" s="1"/>
  <c r="P404" i="1"/>
  <c r="B404" i="6" s="1"/>
  <c r="P405" i="1"/>
  <c r="B405" i="6" s="1"/>
  <c r="L405" i="6" s="1"/>
  <c r="P406" i="1"/>
  <c r="B406" i="6" s="1"/>
  <c r="L406" i="6" s="1"/>
  <c r="P407" i="1"/>
  <c r="B407" i="6" s="1"/>
  <c r="P408" i="1"/>
  <c r="B408" i="6" s="1"/>
  <c r="P409" i="1"/>
  <c r="B409" i="6" s="1"/>
  <c r="L409" i="6" s="1"/>
  <c r="P410" i="1"/>
  <c r="B410" i="6" s="1"/>
  <c r="L410" i="6" s="1"/>
  <c r="P411" i="1"/>
  <c r="B411" i="6" s="1"/>
  <c r="P412" i="1"/>
  <c r="B412" i="6" s="1"/>
  <c r="P413" i="1"/>
  <c r="B413" i="6" s="1"/>
  <c r="L413" i="6" s="1"/>
  <c r="P414" i="1"/>
  <c r="B414" i="6" s="1"/>
  <c r="L414" i="6" s="1"/>
  <c r="P415" i="1"/>
  <c r="B415" i="6" s="1"/>
  <c r="P416" i="1"/>
  <c r="B416" i="6" s="1"/>
  <c r="P417" i="1"/>
  <c r="B417" i="6" s="1"/>
  <c r="L417" i="6" s="1"/>
  <c r="P418" i="1"/>
  <c r="B418" i="6" s="1"/>
  <c r="L418" i="6" s="1"/>
  <c r="P419" i="1"/>
  <c r="B419" i="6" s="1"/>
  <c r="P420" i="1"/>
  <c r="B420" i="6" s="1"/>
  <c r="P421" i="1"/>
  <c r="B421" i="6" s="1"/>
  <c r="L421" i="6" s="1"/>
  <c r="P422" i="1"/>
  <c r="B422" i="6" s="1"/>
  <c r="L422" i="6" s="1"/>
  <c r="P423" i="1"/>
  <c r="B423" i="6" s="1"/>
  <c r="P424" i="1"/>
  <c r="B424" i="6" s="1"/>
  <c r="P425" i="1"/>
  <c r="B425" i="6" s="1"/>
  <c r="L425" i="6" s="1"/>
  <c r="P426" i="1"/>
  <c r="B426" i="6" s="1"/>
  <c r="L426" i="6" s="1"/>
  <c r="P427" i="1"/>
  <c r="B427" i="6" s="1"/>
  <c r="P428" i="1"/>
  <c r="B428" i="6" s="1"/>
  <c r="P429" i="1"/>
  <c r="B429" i="6" s="1"/>
  <c r="L429" i="6" s="1"/>
  <c r="P430" i="1"/>
  <c r="B430" i="6" s="1"/>
  <c r="L430" i="6" s="1"/>
  <c r="P431" i="1"/>
  <c r="B431" i="6" s="1"/>
  <c r="P432" i="1"/>
  <c r="B432" i="6" s="1"/>
  <c r="P433" i="1"/>
  <c r="B433" i="6" s="1"/>
  <c r="L433" i="6" s="1"/>
  <c r="P434" i="1"/>
  <c r="B434" i="6" s="1"/>
  <c r="L434" i="6" s="1"/>
  <c r="P435" i="1"/>
  <c r="B435" i="6" s="1"/>
  <c r="P436" i="1"/>
  <c r="B436" i="6" s="1"/>
  <c r="P437" i="1"/>
  <c r="B437" i="6" s="1"/>
  <c r="L437" i="6" s="1"/>
  <c r="P438" i="1"/>
  <c r="B438" i="6" s="1"/>
  <c r="L438" i="6" s="1"/>
  <c r="P439" i="1"/>
  <c r="B439" i="6" s="1"/>
  <c r="P440" i="1"/>
  <c r="B440" i="6" s="1"/>
  <c r="P441" i="1"/>
  <c r="B441" i="6" s="1"/>
  <c r="L441" i="6" s="1"/>
  <c r="P442" i="1"/>
  <c r="B442" i="6" s="1"/>
  <c r="L442" i="6" s="1"/>
  <c r="P443" i="1"/>
  <c r="B443" i="6" s="1"/>
  <c r="P444" i="1"/>
  <c r="B444" i="6" s="1"/>
  <c r="P445" i="1"/>
  <c r="B445" i="6" s="1"/>
  <c r="L445" i="6" s="1"/>
  <c r="P446" i="1"/>
  <c r="B446" i="6" s="1"/>
  <c r="L446" i="6" s="1"/>
  <c r="P447" i="1"/>
  <c r="B447" i="6" s="1"/>
  <c r="P448" i="1"/>
  <c r="B448" i="6" s="1"/>
  <c r="P449" i="1"/>
  <c r="B449" i="6" s="1"/>
  <c r="L449" i="6" s="1"/>
  <c r="P450" i="1"/>
  <c r="B450" i="6" s="1"/>
  <c r="L450" i="6" s="1"/>
  <c r="P451" i="1"/>
  <c r="B451" i="6" s="1"/>
  <c r="P452" i="1"/>
  <c r="B452" i="6" s="1"/>
  <c r="P453" i="1"/>
  <c r="B453" i="6" s="1"/>
  <c r="L453" i="6" s="1"/>
  <c r="P454" i="1"/>
  <c r="B454" i="6" s="1"/>
  <c r="L454" i="6" s="1"/>
  <c r="P455" i="1"/>
  <c r="B455" i="6" s="1"/>
  <c r="P456" i="1"/>
  <c r="B456" i="6" s="1"/>
  <c r="P457" i="1"/>
  <c r="B457" i="6" s="1"/>
  <c r="L457" i="6" s="1"/>
  <c r="P458" i="1"/>
  <c r="B458" i="6" s="1"/>
  <c r="L458" i="6" s="1"/>
  <c r="P459" i="1"/>
  <c r="B459" i="6" s="1"/>
  <c r="P460" i="1"/>
  <c r="B460" i="6" s="1"/>
  <c r="P461" i="1"/>
  <c r="B461" i="6" s="1"/>
  <c r="L461" i="6" s="1"/>
  <c r="P462" i="1"/>
  <c r="B462" i="6" s="1"/>
  <c r="L462" i="6" s="1"/>
  <c r="P463" i="1"/>
  <c r="B463" i="6" s="1"/>
  <c r="P464" i="1"/>
  <c r="B464" i="6" s="1"/>
  <c r="P465" i="1"/>
  <c r="B465" i="6" s="1"/>
  <c r="L465" i="6" s="1"/>
  <c r="P466" i="1"/>
  <c r="B466" i="6" s="1"/>
  <c r="L466" i="6" s="1"/>
  <c r="P467" i="1"/>
  <c r="B467" i="6" s="1"/>
  <c r="P468" i="1"/>
  <c r="B468" i="6" s="1"/>
  <c r="P469" i="1"/>
  <c r="B469" i="6" s="1"/>
  <c r="L469" i="6" s="1"/>
  <c r="P470" i="1"/>
  <c r="B470" i="6" s="1"/>
  <c r="L470" i="6" s="1"/>
  <c r="P471" i="1"/>
  <c r="B471" i="6" s="1"/>
  <c r="P472" i="1"/>
  <c r="B472" i="6" s="1"/>
  <c r="P473" i="1"/>
  <c r="B473" i="6" s="1"/>
  <c r="L473" i="6" s="1"/>
  <c r="P474" i="1"/>
  <c r="B474" i="6" s="1"/>
  <c r="L474" i="6" s="1"/>
  <c r="P475" i="1"/>
  <c r="B475" i="6" s="1"/>
  <c r="P476" i="1"/>
  <c r="B476" i="6" s="1"/>
  <c r="P477" i="1"/>
  <c r="B477" i="6" s="1"/>
  <c r="L477" i="6" s="1"/>
  <c r="P478" i="1"/>
  <c r="B478" i="6" s="1"/>
  <c r="L478" i="6" s="1"/>
  <c r="P479" i="1"/>
  <c r="B479" i="6" s="1"/>
  <c r="P480" i="1"/>
  <c r="B480" i="6" s="1"/>
  <c r="P481" i="1"/>
  <c r="B481" i="6" s="1"/>
  <c r="L481" i="6" s="1"/>
  <c r="P482" i="1"/>
  <c r="B482" i="6" s="1"/>
  <c r="L482" i="6" s="1"/>
  <c r="P483" i="1"/>
  <c r="B483" i="6" s="1"/>
  <c r="P484" i="1"/>
  <c r="B484" i="6" s="1"/>
  <c r="P485" i="1"/>
  <c r="B485" i="6" s="1"/>
  <c r="L485" i="6" s="1"/>
  <c r="P486" i="1"/>
  <c r="B486" i="6" s="1"/>
  <c r="L486" i="6" s="1"/>
  <c r="P487" i="1"/>
  <c r="B487" i="6" s="1"/>
  <c r="P488" i="1"/>
  <c r="B488" i="6" s="1"/>
  <c r="P489" i="1"/>
  <c r="B489" i="6" s="1"/>
  <c r="L489" i="6" s="1"/>
  <c r="P490" i="1"/>
  <c r="B490" i="6" s="1"/>
  <c r="L490" i="6" s="1"/>
  <c r="P491" i="1"/>
  <c r="B491" i="6" s="1"/>
  <c r="P492" i="1"/>
  <c r="B492" i="6" s="1"/>
  <c r="P493" i="1"/>
  <c r="B493" i="6" s="1"/>
  <c r="L493" i="6" s="1"/>
  <c r="P494" i="1"/>
  <c r="B494" i="6" s="1"/>
  <c r="L494" i="6" s="1"/>
  <c r="P495" i="1"/>
  <c r="B495" i="6" s="1"/>
  <c r="P496" i="1"/>
  <c r="B496" i="6" s="1"/>
  <c r="P497" i="1"/>
  <c r="B497" i="6" s="1"/>
  <c r="L497" i="6" s="1"/>
  <c r="P498" i="1"/>
  <c r="B498" i="6" s="1"/>
  <c r="L498" i="6" s="1"/>
  <c r="P499" i="1"/>
  <c r="B499" i="6" s="1"/>
  <c r="P500" i="1"/>
  <c r="B500" i="6" s="1"/>
  <c r="P501" i="1"/>
  <c r="B501" i="6" s="1"/>
  <c r="L501" i="6" s="1"/>
  <c r="P502" i="1"/>
  <c r="B502" i="6" s="1"/>
  <c r="L502" i="6" s="1"/>
  <c r="P503" i="1"/>
  <c r="B503" i="6" s="1"/>
  <c r="P504" i="1"/>
  <c r="B504" i="6" s="1"/>
  <c r="P505" i="1"/>
  <c r="B505" i="6" s="1"/>
  <c r="L505" i="6" s="1"/>
  <c r="P506" i="1"/>
  <c r="B506" i="6" s="1"/>
  <c r="L506" i="6" s="1"/>
  <c r="P507" i="1"/>
  <c r="B507" i="6" s="1"/>
  <c r="P508" i="1"/>
  <c r="B508" i="6" s="1"/>
  <c r="P509" i="1"/>
  <c r="B509" i="6" s="1"/>
  <c r="L509" i="6" s="1"/>
  <c r="P510" i="1"/>
  <c r="B510" i="6" s="1"/>
  <c r="L510" i="6" s="1"/>
  <c r="P511" i="1"/>
  <c r="B511" i="6" s="1"/>
  <c r="P512" i="1"/>
  <c r="B512" i="6" s="1"/>
  <c r="P513" i="1"/>
  <c r="B513" i="6" s="1"/>
  <c r="L513" i="6" s="1"/>
  <c r="P514" i="1"/>
  <c r="B514" i="6" s="1"/>
  <c r="L514" i="6" s="1"/>
  <c r="P515" i="1"/>
  <c r="B515" i="6" s="1"/>
  <c r="P516" i="1"/>
  <c r="B516" i="6" s="1"/>
  <c r="P517" i="1"/>
  <c r="B517" i="6" s="1"/>
  <c r="L517" i="6" s="1"/>
  <c r="P518" i="1"/>
  <c r="B518" i="6" s="1"/>
  <c r="L518" i="6" s="1"/>
  <c r="P519" i="1"/>
  <c r="B519" i="6" s="1"/>
  <c r="P520" i="1"/>
  <c r="B520" i="6" s="1"/>
  <c r="P521" i="1"/>
  <c r="B521" i="6" s="1"/>
  <c r="L521" i="6" s="1"/>
  <c r="P522" i="1"/>
  <c r="B522" i="6" s="1"/>
  <c r="L522" i="6" s="1"/>
  <c r="P523" i="1"/>
  <c r="B523" i="6" s="1"/>
  <c r="P524" i="1"/>
  <c r="B524" i="6" s="1"/>
  <c r="P525" i="1"/>
  <c r="B525" i="6" s="1"/>
  <c r="L525" i="6" s="1"/>
  <c r="P526" i="1"/>
  <c r="B526" i="6" s="1"/>
  <c r="L526" i="6" s="1"/>
  <c r="P527" i="1"/>
  <c r="B527" i="6" s="1"/>
  <c r="P528" i="1"/>
  <c r="B528" i="6" s="1"/>
  <c r="P529" i="1"/>
  <c r="B529" i="6" s="1"/>
  <c r="L529" i="6" s="1"/>
  <c r="P530" i="1"/>
  <c r="B530" i="6" s="1"/>
  <c r="L530" i="6" s="1"/>
  <c r="P531" i="1"/>
  <c r="B531" i="6" s="1"/>
  <c r="P532" i="1"/>
  <c r="B532" i="6" s="1"/>
  <c r="P533" i="1"/>
  <c r="B533" i="6" s="1"/>
  <c r="L533" i="6" s="1"/>
  <c r="P534" i="1"/>
  <c r="B534" i="6" s="1"/>
  <c r="L534" i="6" s="1"/>
  <c r="P535" i="1"/>
  <c r="B535" i="6" s="1"/>
  <c r="P536" i="1"/>
  <c r="B536" i="6" s="1"/>
  <c r="P537" i="1"/>
  <c r="B537" i="6" s="1"/>
  <c r="L537" i="6" s="1"/>
  <c r="P538" i="1"/>
  <c r="B538" i="6" s="1"/>
  <c r="L538" i="6" s="1"/>
  <c r="P539" i="1"/>
  <c r="B539" i="6" s="1"/>
  <c r="P540" i="1"/>
  <c r="B540" i="6" s="1"/>
  <c r="P541" i="1"/>
  <c r="B541" i="6" s="1"/>
  <c r="L541" i="6" s="1"/>
  <c r="P542" i="1"/>
  <c r="B542" i="6" s="1"/>
  <c r="L542" i="6" s="1"/>
  <c r="P543" i="1"/>
  <c r="B543" i="6" s="1"/>
  <c r="P544" i="1"/>
  <c r="B544" i="6" s="1"/>
  <c r="P545" i="1"/>
  <c r="B545" i="6" s="1"/>
  <c r="L545" i="6" s="1"/>
  <c r="P546" i="1"/>
  <c r="B546" i="6" s="1"/>
  <c r="L546" i="6" s="1"/>
  <c r="P547" i="1"/>
  <c r="B547" i="6" s="1"/>
  <c r="P548" i="1"/>
  <c r="B548" i="6" s="1"/>
  <c r="P549" i="1"/>
  <c r="B549" i="6" s="1"/>
  <c r="L549" i="6" s="1"/>
  <c r="P550" i="1"/>
  <c r="B550" i="6" s="1"/>
  <c r="L550" i="6" s="1"/>
  <c r="P551" i="1"/>
  <c r="B551" i="6" s="1"/>
  <c r="P552" i="1"/>
  <c r="B552" i="6" s="1"/>
  <c r="P553" i="1"/>
  <c r="B553" i="6" s="1"/>
  <c r="L553" i="6" s="1"/>
  <c r="P554" i="1"/>
  <c r="B554" i="6" s="1"/>
  <c r="L554" i="6" s="1"/>
  <c r="P555" i="1"/>
  <c r="B555" i="6" s="1"/>
  <c r="P556" i="1"/>
  <c r="B556" i="6" s="1"/>
  <c r="P557" i="1"/>
  <c r="B557" i="6" s="1"/>
  <c r="L557" i="6" s="1"/>
  <c r="P558" i="1"/>
  <c r="B558" i="6" s="1"/>
  <c r="L558" i="6" s="1"/>
  <c r="P559" i="1"/>
  <c r="B559" i="6" s="1"/>
  <c r="P560" i="1"/>
  <c r="B560" i="6" s="1"/>
  <c r="P561" i="1"/>
  <c r="B561" i="6" s="1"/>
  <c r="L561" i="6" s="1"/>
  <c r="P562" i="1"/>
  <c r="B562" i="6" s="1"/>
  <c r="L562" i="6" s="1"/>
  <c r="P563" i="1"/>
  <c r="B563" i="6" s="1"/>
  <c r="P564" i="1"/>
  <c r="B564" i="6" s="1"/>
  <c r="P565" i="1"/>
  <c r="B565" i="6" s="1"/>
  <c r="L565" i="6" s="1"/>
  <c r="P566" i="1"/>
  <c r="B566" i="6" s="1"/>
  <c r="L566" i="6" s="1"/>
  <c r="P567" i="1"/>
  <c r="B567" i="6" s="1"/>
  <c r="P568" i="1"/>
  <c r="B568" i="6" s="1"/>
  <c r="P569" i="1"/>
  <c r="B569" i="6" s="1"/>
  <c r="L569" i="6" s="1"/>
  <c r="P570" i="1"/>
  <c r="B570" i="6" s="1"/>
  <c r="L570" i="6" s="1"/>
  <c r="P571" i="1"/>
  <c r="B571" i="6" s="1"/>
  <c r="P572" i="1"/>
  <c r="B572" i="6" s="1"/>
  <c r="P573" i="1"/>
  <c r="B573" i="6" s="1"/>
  <c r="L573" i="6" s="1"/>
  <c r="P574" i="1"/>
  <c r="B574" i="6" s="1"/>
  <c r="L574" i="6" s="1"/>
  <c r="P575" i="1"/>
  <c r="B575" i="6" s="1"/>
  <c r="P576" i="1"/>
  <c r="B576" i="6" s="1"/>
  <c r="P577" i="1"/>
  <c r="B577" i="6" s="1"/>
  <c r="L577" i="6" s="1"/>
  <c r="P578" i="1"/>
  <c r="B578" i="6" s="1"/>
  <c r="L578" i="6" s="1"/>
  <c r="P579" i="1"/>
  <c r="B579" i="6" s="1"/>
  <c r="P580" i="1"/>
  <c r="B580" i="6" s="1"/>
  <c r="P581" i="1"/>
  <c r="B581" i="6" s="1"/>
  <c r="L581" i="6" s="1"/>
  <c r="P582" i="1"/>
  <c r="B582" i="6" s="1"/>
  <c r="L582" i="6" s="1"/>
  <c r="P583" i="1"/>
  <c r="B583" i="6" s="1"/>
  <c r="P584" i="1"/>
  <c r="B584" i="6" s="1"/>
  <c r="P585" i="1"/>
  <c r="B585" i="6" s="1"/>
  <c r="L585" i="6" s="1"/>
  <c r="P586" i="1"/>
  <c r="B586" i="6" s="1"/>
  <c r="L586" i="6" s="1"/>
  <c r="P587" i="1"/>
  <c r="B587" i="6" s="1"/>
  <c r="P588" i="1"/>
  <c r="B588" i="6" s="1"/>
  <c r="P589" i="1"/>
  <c r="B589" i="6" s="1"/>
  <c r="L589" i="6" s="1"/>
  <c r="P590" i="1"/>
  <c r="B590" i="6" s="1"/>
  <c r="P591" i="1"/>
  <c r="B591" i="6" s="1"/>
  <c r="L591" i="6" s="1"/>
  <c r="P592" i="1"/>
  <c r="B592" i="6" s="1"/>
  <c r="P593" i="1"/>
  <c r="B593" i="6" s="1"/>
  <c r="L593" i="6" s="1"/>
  <c r="P594" i="1"/>
  <c r="B594" i="6" s="1"/>
  <c r="P595" i="1"/>
  <c r="B595" i="6" s="1"/>
  <c r="L595" i="6" s="1"/>
  <c r="P596" i="1"/>
  <c r="B596" i="6" s="1"/>
  <c r="P597" i="1"/>
  <c r="B597" i="6" s="1"/>
  <c r="L597" i="6" s="1"/>
  <c r="P598" i="1"/>
  <c r="B598" i="6" s="1"/>
  <c r="P599" i="1"/>
  <c r="B599" i="6" s="1"/>
  <c r="L599" i="6" s="1"/>
  <c r="P600" i="1"/>
  <c r="B600" i="6" s="1"/>
  <c r="P601" i="1"/>
  <c r="B601" i="6" s="1"/>
  <c r="L601" i="6" s="1"/>
  <c r="P602" i="1"/>
  <c r="B602" i="6" s="1"/>
  <c r="P603" i="1"/>
  <c r="B603" i="6" s="1"/>
  <c r="L603" i="6" s="1"/>
  <c r="P604" i="1"/>
  <c r="B604" i="6" s="1"/>
  <c r="P605" i="1"/>
  <c r="B605" i="6" s="1"/>
  <c r="L605" i="6" s="1"/>
  <c r="P606" i="1"/>
  <c r="B606" i="6" s="1"/>
  <c r="P607" i="1"/>
  <c r="B607" i="6" s="1"/>
  <c r="L607" i="6" s="1"/>
  <c r="P608" i="1"/>
  <c r="B608" i="6" s="1"/>
  <c r="P609" i="1"/>
  <c r="B609" i="6" s="1"/>
  <c r="L609" i="6" s="1"/>
  <c r="P610" i="1"/>
  <c r="B610" i="6" s="1"/>
  <c r="P611" i="1"/>
  <c r="B611" i="6" s="1"/>
  <c r="L611" i="6" s="1"/>
  <c r="P612" i="1"/>
  <c r="B612" i="6" s="1"/>
  <c r="P613" i="1"/>
  <c r="B613" i="6" s="1"/>
  <c r="L613" i="6" s="1"/>
  <c r="P614" i="1"/>
  <c r="B614" i="6" s="1"/>
  <c r="P615" i="1"/>
  <c r="B615" i="6" s="1"/>
  <c r="L615" i="6" s="1"/>
  <c r="P616" i="1"/>
  <c r="B616" i="6" s="1"/>
  <c r="P617" i="1"/>
  <c r="B617" i="6" s="1"/>
  <c r="L617" i="6" s="1"/>
  <c r="P618" i="1"/>
  <c r="B618" i="6" s="1"/>
  <c r="P619" i="1"/>
  <c r="B619" i="6" s="1"/>
  <c r="L619" i="6" s="1"/>
  <c r="P620" i="1"/>
  <c r="B620" i="6" s="1"/>
  <c r="P621" i="1"/>
  <c r="B621" i="6" s="1"/>
  <c r="L621" i="6" s="1"/>
  <c r="P622" i="1"/>
  <c r="B622" i="6" s="1"/>
  <c r="P623" i="1"/>
  <c r="B623" i="6" s="1"/>
  <c r="L623" i="6" s="1"/>
  <c r="P624" i="1"/>
  <c r="B624" i="6" s="1"/>
  <c r="P625" i="1"/>
  <c r="B625" i="6" s="1"/>
  <c r="L625" i="6" s="1"/>
  <c r="P626" i="1"/>
  <c r="B626" i="6" s="1"/>
  <c r="P627" i="1"/>
  <c r="B627" i="6" s="1"/>
  <c r="L627" i="6" s="1"/>
  <c r="P628" i="1"/>
  <c r="B628" i="6" s="1"/>
  <c r="P629" i="1"/>
  <c r="B629" i="6" s="1"/>
  <c r="L629" i="6" s="1"/>
  <c r="P630" i="1"/>
  <c r="B630" i="6" s="1"/>
  <c r="P631" i="1"/>
  <c r="B631" i="6" s="1"/>
  <c r="L631" i="6" s="1"/>
  <c r="P632" i="1"/>
  <c r="B632" i="6" s="1"/>
  <c r="P633" i="1"/>
  <c r="B633" i="6" s="1"/>
  <c r="L633" i="6" s="1"/>
  <c r="P634" i="1"/>
  <c r="B634" i="6" s="1"/>
  <c r="P635" i="1"/>
  <c r="B635" i="6" s="1"/>
  <c r="L635" i="6" s="1"/>
  <c r="P636" i="1"/>
  <c r="B636" i="6" s="1"/>
  <c r="P637" i="1"/>
  <c r="B637" i="6" s="1"/>
  <c r="L637" i="6" s="1"/>
  <c r="P638" i="1"/>
  <c r="B638" i="6" s="1"/>
  <c r="P639" i="1"/>
  <c r="B639" i="6" s="1"/>
  <c r="L639" i="6" s="1"/>
  <c r="P640" i="1"/>
  <c r="B640" i="6" s="1"/>
  <c r="P641" i="1"/>
  <c r="B641" i="6" s="1"/>
  <c r="L641" i="6" s="1"/>
  <c r="P642" i="1"/>
  <c r="B642" i="6" s="1"/>
  <c r="P643" i="1"/>
  <c r="B643" i="6" s="1"/>
  <c r="L643" i="6" s="1"/>
  <c r="P644" i="1"/>
  <c r="B644" i="6" s="1"/>
  <c r="P645" i="1"/>
  <c r="B645" i="6" s="1"/>
  <c r="L645" i="6" s="1"/>
  <c r="P646" i="1"/>
  <c r="B646" i="6" s="1"/>
  <c r="P647" i="1"/>
  <c r="B647" i="6" s="1"/>
  <c r="L647" i="6" s="1"/>
  <c r="P648" i="1"/>
  <c r="B648" i="6" s="1"/>
  <c r="P649" i="1"/>
  <c r="B649" i="6" s="1"/>
  <c r="L649" i="6" s="1"/>
  <c r="P650" i="1"/>
  <c r="B650" i="6" s="1"/>
  <c r="P651" i="1"/>
  <c r="B651" i="6" s="1"/>
  <c r="L651" i="6" s="1"/>
  <c r="P652" i="1"/>
  <c r="B652" i="6" s="1"/>
  <c r="P653" i="1"/>
  <c r="B653" i="6" s="1"/>
  <c r="L653" i="6" s="1"/>
  <c r="P654" i="1"/>
  <c r="B654" i="6" s="1"/>
  <c r="P655" i="1"/>
  <c r="B655" i="6" s="1"/>
  <c r="L655" i="6" s="1"/>
  <c r="P656" i="1"/>
  <c r="B656" i="6" s="1"/>
  <c r="P657" i="1"/>
  <c r="B657" i="6" s="1"/>
  <c r="L657" i="6" s="1"/>
  <c r="P658" i="1"/>
  <c r="B658" i="6" s="1"/>
  <c r="P659" i="1"/>
  <c r="B659" i="6" s="1"/>
  <c r="L659" i="6" s="1"/>
  <c r="P660" i="1"/>
  <c r="B660" i="6" s="1"/>
  <c r="P661" i="1"/>
  <c r="B661" i="6" s="1"/>
  <c r="L661" i="6" s="1"/>
  <c r="P662" i="1"/>
  <c r="B662" i="6" s="1"/>
  <c r="P663" i="1"/>
  <c r="B663" i="6" s="1"/>
  <c r="L663" i="6" s="1"/>
  <c r="P664" i="1"/>
  <c r="B664" i="6" s="1"/>
  <c r="P665" i="1"/>
  <c r="B665" i="6" s="1"/>
  <c r="L665" i="6" s="1"/>
  <c r="P666" i="1"/>
  <c r="B666" i="6" s="1"/>
  <c r="P667" i="1"/>
  <c r="B667" i="6" s="1"/>
  <c r="L667" i="6" s="1"/>
  <c r="P668" i="1"/>
  <c r="B668" i="6" s="1"/>
  <c r="P669" i="1"/>
  <c r="B669" i="6" s="1"/>
  <c r="L669" i="6" s="1"/>
  <c r="P670" i="1"/>
  <c r="B670" i="6" s="1"/>
  <c r="P671" i="1"/>
  <c r="B671" i="6" s="1"/>
  <c r="L671" i="6" s="1"/>
  <c r="P672" i="1"/>
  <c r="B672" i="6" s="1"/>
  <c r="P673" i="1"/>
  <c r="B673" i="6" s="1"/>
  <c r="L673" i="6" s="1"/>
  <c r="P674" i="1"/>
  <c r="B674" i="6" s="1"/>
  <c r="P675" i="1"/>
  <c r="B675" i="6" s="1"/>
  <c r="L675" i="6" s="1"/>
  <c r="P676" i="1"/>
  <c r="B676" i="6" s="1"/>
  <c r="P677" i="1"/>
  <c r="B677" i="6" s="1"/>
  <c r="L677" i="6" s="1"/>
  <c r="P678" i="1"/>
  <c r="B678" i="6" s="1"/>
  <c r="P679" i="1"/>
  <c r="B679" i="6" s="1"/>
  <c r="L679" i="6" s="1"/>
  <c r="P680" i="1"/>
  <c r="B680" i="6" s="1"/>
  <c r="P681" i="1"/>
  <c r="B681" i="6" s="1"/>
  <c r="L681" i="6" s="1"/>
  <c r="P682" i="1"/>
  <c r="B682" i="6" s="1"/>
  <c r="P683" i="1"/>
  <c r="B683" i="6" s="1"/>
  <c r="L683" i="6" s="1"/>
  <c r="P684" i="1"/>
  <c r="B684" i="6" s="1"/>
  <c r="P685" i="1"/>
  <c r="B685" i="6" s="1"/>
  <c r="L685" i="6" s="1"/>
  <c r="P686" i="1"/>
  <c r="B686" i="6" s="1"/>
  <c r="P687" i="1"/>
  <c r="B687" i="6" s="1"/>
  <c r="L687" i="6" s="1"/>
  <c r="P688" i="1"/>
  <c r="B688" i="6" s="1"/>
  <c r="P689" i="1"/>
  <c r="B689" i="6" s="1"/>
  <c r="L689" i="6" s="1"/>
  <c r="P690" i="1"/>
  <c r="B690" i="6" s="1"/>
  <c r="P691" i="1"/>
  <c r="B691" i="6" s="1"/>
  <c r="L691" i="6" s="1"/>
  <c r="P692" i="1"/>
  <c r="B692" i="6" s="1"/>
  <c r="P693" i="1"/>
  <c r="B693" i="6" s="1"/>
  <c r="L693" i="6" s="1"/>
  <c r="P694" i="1"/>
  <c r="B694" i="6" s="1"/>
  <c r="P695" i="1"/>
  <c r="B695" i="6" s="1"/>
  <c r="L695" i="6" s="1"/>
  <c r="P696" i="1"/>
  <c r="B696" i="6" s="1"/>
  <c r="P697" i="1"/>
  <c r="B697" i="6" s="1"/>
  <c r="L697" i="6" s="1"/>
  <c r="P698" i="1"/>
  <c r="B698" i="6" s="1"/>
  <c r="P699" i="1"/>
  <c r="B699" i="6" s="1"/>
  <c r="L699" i="6" s="1"/>
  <c r="P700" i="1"/>
  <c r="B700" i="6" s="1"/>
  <c r="P701" i="1"/>
  <c r="B701" i="6" s="1"/>
  <c r="L701" i="6" s="1"/>
  <c r="P702" i="1"/>
  <c r="B702" i="6" s="1"/>
  <c r="P703" i="1"/>
  <c r="B703" i="6" s="1"/>
  <c r="L703" i="6" s="1"/>
  <c r="P704" i="1"/>
  <c r="B704" i="6" s="1"/>
  <c r="P705" i="1"/>
  <c r="B705" i="6" s="1"/>
  <c r="L705" i="6" s="1"/>
  <c r="P706" i="1"/>
  <c r="B706" i="6" s="1"/>
  <c r="P707" i="1"/>
  <c r="B707" i="6" s="1"/>
  <c r="L707" i="6" s="1"/>
  <c r="P708" i="1"/>
  <c r="B708" i="6" s="1"/>
  <c r="P709" i="1"/>
  <c r="B709" i="6" s="1"/>
  <c r="L709" i="6" s="1"/>
  <c r="P710" i="1"/>
  <c r="B710" i="6" s="1"/>
  <c r="P711" i="1"/>
  <c r="B711" i="6" s="1"/>
  <c r="L711" i="6" s="1"/>
  <c r="P712" i="1"/>
  <c r="B712" i="6" s="1"/>
  <c r="P713" i="1"/>
  <c r="B713" i="6" s="1"/>
  <c r="L713" i="6" s="1"/>
  <c r="P714" i="1"/>
  <c r="B714" i="6" s="1"/>
  <c r="P715" i="1"/>
  <c r="B715" i="6" s="1"/>
  <c r="L715" i="6" s="1"/>
  <c r="P716" i="1"/>
  <c r="B716" i="6" s="1"/>
  <c r="P717" i="1"/>
  <c r="B717" i="6" s="1"/>
  <c r="L717" i="6" s="1"/>
  <c r="P718" i="1"/>
  <c r="B718" i="6" s="1"/>
  <c r="P719" i="1"/>
  <c r="B719" i="6" s="1"/>
  <c r="L719" i="6" s="1"/>
  <c r="P720" i="1"/>
  <c r="B720" i="6" s="1"/>
  <c r="P721" i="1"/>
  <c r="B721" i="6" s="1"/>
  <c r="L721" i="6" s="1"/>
  <c r="P722" i="1"/>
  <c r="B722" i="6" s="1"/>
  <c r="P723" i="1"/>
  <c r="B723" i="6" s="1"/>
  <c r="L723" i="6" s="1"/>
  <c r="P724" i="1"/>
  <c r="B724" i="6" s="1"/>
  <c r="P725" i="1"/>
  <c r="B725" i="6" s="1"/>
  <c r="L725" i="6" s="1"/>
  <c r="P726" i="1"/>
  <c r="B726" i="6" s="1"/>
  <c r="P727" i="1"/>
  <c r="B727" i="6" s="1"/>
  <c r="L727" i="6" s="1"/>
  <c r="P728" i="1"/>
  <c r="B728" i="6" s="1"/>
  <c r="P729" i="1"/>
  <c r="B729" i="6" s="1"/>
  <c r="L729" i="6" s="1"/>
  <c r="P730" i="1"/>
  <c r="B730" i="6" s="1"/>
  <c r="P731" i="1"/>
  <c r="B731" i="6" s="1"/>
  <c r="L731" i="6" s="1"/>
  <c r="P732" i="1"/>
  <c r="B732" i="6" s="1"/>
  <c r="P733" i="1"/>
  <c r="B733" i="6" s="1"/>
  <c r="L733" i="6" s="1"/>
  <c r="P734" i="1"/>
  <c r="B734" i="6" s="1"/>
  <c r="P735" i="1"/>
  <c r="B735" i="6" s="1"/>
  <c r="L735" i="6" s="1"/>
  <c r="P736" i="1"/>
  <c r="B736" i="6" s="1"/>
  <c r="P737" i="1"/>
  <c r="B737" i="6" s="1"/>
  <c r="L737" i="6" s="1"/>
  <c r="P738" i="1"/>
  <c r="B738" i="6" s="1"/>
  <c r="P739" i="1"/>
  <c r="B739" i="6" s="1"/>
  <c r="L739" i="6" s="1"/>
  <c r="P740" i="1"/>
  <c r="B740" i="6" s="1"/>
  <c r="P741" i="1"/>
  <c r="B741" i="6" s="1"/>
  <c r="L741" i="6" s="1"/>
  <c r="P742" i="1"/>
  <c r="B742" i="6" s="1"/>
  <c r="P743" i="1"/>
  <c r="B743" i="6" s="1"/>
  <c r="L743" i="6" s="1"/>
  <c r="P744" i="1"/>
  <c r="B744" i="6" s="1"/>
  <c r="P745" i="1"/>
  <c r="B745" i="6" s="1"/>
  <c r="L745" i="6" s="1"/>
  <c r="P746" i="1"/>
  <c r="B746" i="6" s="1"/>
  <c r="P747" i="1"/>
  <c r="B747" i="6" s="1"/>
  <c r="L747" i="6" s="1"/>
  <c r="P748" i="1"/>
  <c r="B748" i="6" s="1"/>
  <c r="P749" i="1"/>
  <c r="B749" i="6" s="1"/>
  <c r="L749" i="6" s="1"/>
  <c r="P750" i="1"/>
  <c r="B750" i="6" s="1"/>
  <c r="P751" i="1"/>
  <c r="B751" i="6" s="1"/>
  <c r="L751" i="6" s="1"/>
  <c r="P752" i="1"/>
  <c r="B752" i="6" s="1"/>
  <c r="P753" i="1"/>
  <c r="B753" i="6" s="1"/>
  <c r="L753" i="6" s="1"/>
  <c r="P754" i="1"/>
  <c r="B754" i="6" s="1"/>
  <c r="P755" i="1"/>
  <c r="B755" i="6" s="1"/>
  <c r="L755" i="6" s="1"/>
  <c r="P756" i="1"/>
  <c r="B756" i="6" s="1"/>
  <c r="P757" i="1"/>
  <c r="B757" i="6" s="1"/>
  <c r="L757" i="6" s="1"/>
  <c r="P758" i="1"/>
  <c r="B758" i="6" s="1"/>
  <c r="P759" i="1"/>
  <c r="B759" i="6" s="1"/>
  <c r="L759" i="6" s="1"/>
  <c r="P760" i="1"/>
  <c r="B760" i="6" s="1"/>
  <c r="P761" i="1"/>
  <c r="B761" i="6" s="1"/>
  <c r="L761" i="6" s="1"/>
  <c r="P762" i="1"/>
  <c r="B762" i="6" s="1"/>
  <c r="P763" i="1"/>
  <c r="B763" i="6" s="1"/>
  <c r="L763" i="6" s="1"/>
  <c r="P764" i="1"/>
  <c r="B764" i="6" s="1"/>
  <c r="P765" i="1"/>
  <c r="B765" i="6" s="1"/>
  <c r="L765" i="6" s="1"/>
  <c r="P766" i="1"/>
  <c r="B766" i="6" s="1"/>
  <c r="P767" i="1"/>
  <c r="B767" i="6" s="1"/>
  <c r="L767" i="6" s="1"/>
  <c r="P768" i="1"/>
  <c r="B768" i="6" s="1"/>
  <c r="P769" i="1"/>
  <c r="B769" i="6" s="1"/>
  <c r="L769" i="6" s="1"/>
  <c r="P770" i="1"/>
  <c r="B770" i="6" s="1"/>
  <c r="P771" i="1"/>
  <c r="B771" i="6" s="1"/>
  <c r="L771" i="6" s="1"/>
  <c r="P772" i="1"/>
  <c r="B772" i="6" s="1"/>
  <c r="P773" i="1"/>
  <c r="B773" i="6" s="1"/>
  <c r="L773" i="6" s="1"/>
  <c r="P774" i="1"/>
  <c r="B774" i="6" s="1"/>
  <c r="P775" i="1"/>
  <c r="B775" i="6" s="1"/>
  <c r="L775" i="6" s="1"/>
  <c r="P776" i="1"/>
  <c r="B776" i="6" s="1"/>
  <c r="P777" i="1"/>
  <c r="B777" i="6" s="1"/>
  <c r="L777" i="6" s="1"/>
  <c r="P778" i="1"/>
  <c r="B778" i="6" s="1"/>
  <c r="P779" i="1"/>
  <c r="B779" i="6" s="1"/>
  <c r="L779" i="6" s="1"/>
  <c r="P780" i="1"/>
  <c r="B780" i="6" s="1"/>
  <c r="P781" i="1"/>
  <c r="B781" i="6" s="1"/>
  <c r="L781" i="6" s="1"/>
  <c r="P782" i="1"/>
  <c r="B782" i="6" s="1"/>
  <c r="P783" i="1"/>
  <c r="B783" i="6" s="1"/>
  <c r="L783" i="6" s="1"/>
  <c r="P784" i="1"/>
  <c r="B784" i="6" s="1"/>
  <c r="P785" i="1"/>
  <c r="B785" i="6" s="1"/>
  <c r="L785" i="6" s="1"/>
  <c r="P786" i="1"/>
  <c r="B786" i="6" s="1"/>
  <c r="P787" i="1"/>
  <c r="B787" i="6" s="1"/>
  <c r="L787" i="6" s="1"/>
  <c r="P788" i="1"/>
  <c r="B788" i="6" s="1"/>
  <c r="P789" i="1"/>
  <c r="B789" i="6" s="1"/>
  <c r="L789" i="6" s="1"/>
  <c r="P790" i="1"/>
  <c r="B790" i="6" s="1"/>
  <c r="P791" i="1"/>
  <c r="B791" i="6" s="1"/>
  <c r="L791" i="6" s="1"/>
  <c r="P792" i="1"/>
  <c r="B792" i="6" s="1"/>
  <c r="P793" i="1"/>
  <c r="B793" i="6" s="1"/>
  <c r="L793" i="6" s="1"/>
  <c r="P794" i="1"/>
  <c r="B794" i="6" s="1"/>
  <c r="P795" i="1"/>
  <c r="B795" i="6" s="1"/>
  <c r="L795" i="6" s="1"/>
  <c r="P796" i="1"/>
  <c r="B796" i="6" s="1"/>
  <c r="P797" i="1"/>
  <c r="B797" i="6" s="1"/>
  <c r="L797" i="6" s="1"/>
  <c r="P798" i="1"/>
  <c r="B798" i="6" s="1"/>
  <c r="P799" i="1"/>
  <c r="B799" i="6" s="1"/>
  <c r="L799" i="6" s="1"/>
  <c r="P800" i="1"/>
  <c r="B800" i="6" s="1"/>
  <c r="P801" i="1"/>
  <c r="B801" i="6" s="1"/>
  <c r="L801" i="6" s="1"/>
  <c r="P802" i="1"/>
  <c r="B802" i="6" s="1"/>
  <c r="P803" i="1"/>
  <c r="B803" i="6" s="1"/>
  <c r="L803" i="6" s="1"/>
  <c r="P804" i="1"/>
  <c r="B804" i="6" s="1"/>
  <c r="P805" i="1"/>
  <c r="B805" i="6" s="1"/>
  <c r="L805" i="6" s="1"/>
  <c r="P806" i="1"/>
  <c r="B806" i="6" s="1"/>
  <c r="P807" i="1"/>
  <c r="B807" i="6" s="1"/>
  <c r="L807" i="6" s="1"/>
  <c r="P808" i="1"/>
  <c r="B808" i="6" s="1"/>
  <c r="P809" i="1"/>
  <c r="B809" i="6" s="1"/>
  <c r="L809" i="6" s="1"/>
  <c r="P810" i="1"/>
  <c r="B810" i="6" s="1"/>
  <c r="P811" i="1"/>
  <c r="B811" i="6" s="1"/>
  <c r="L811" i="6" s="1"/>
  <c r="P812" i="1"/>
  <c r="B812" i="6" s="1"/>
  <c r="P813" i="1"/>
  <c r="B813" i="6" s="1"/>
  <c r="L813" i="6" s="1"/>
  <c r="P814" i="1"/>
  <c r="B814" i="6" s="1"/>
  <c r="P815" i="1"/>
  <c r="B815" i="6" s="1"/>
  <c r="L815" i="6" s="1"/>
  <c r="P816" i="1"/>
  <c r="B816" i="6" s="1"/>
  <c r="P817" i="1"/>
  <c r="B817" i="6" s="1"/>
  <c r="L817" i="6" s="1"/>
  <c r="P818" i="1"/>
  <c r="B818" i="6" s="1"/>
  <c r="P819" i="1"/>
  <c r="B819" i="6" s="1"/>
  <c r="L819" i="6" s="1"/>
  <c r="P820" i="1"/>
  <c r="B820" i="6" s="1"/>
  <c r="P821" i="1"/>
  <c r="B821" i="6" s="1"/>
  <c r="L821" i="6" s="1"/>
  <c r="P822" i="1"/>
  <c r="B822" i="6" s="1"/>
  <c r="P823" i="1"/>
  <c r="B823" i="6" s="1"/>
  <c r="L823" i="6" s="1"/>
  <c r="P824" i="1"/>
  <c r="B824" i="6" s="1"/>
  <c r="P825" i="1"/>
  <c r="B825" i="6" s="1"/>
  <c r="L825" i="6" s="1"/>
  <c r="P826" i="1"/>
  <c r="B826" i="6" s="1"/>
  <c r="P827" i="1"/>
  <c r="B827" i="6" s="1"/>
  <c r="L827" i="6" s="1"/>
  <c r="P828" i="1"/>
  <c r="B828" i="6" s="1"/>
  <c r="P829" i="1"/>
  <c r="B829" i="6" s="1"/>
  <c r="L829" i="6" s="1"/>
  <c r="P831" i="1"/>
  <c r="B831" i="6" s="1"/>
  <c r="L831" i="6" s="1"/>
  <c r="P832" i="1"/>
  <c r="B832" i="6" s="1"/>
  <c r="P833" i="1"/>
  <c r="B833" i="6" s="1"/>
  <c r="L833" i="6" s="1"/>
  <c r="P834" i="1"/>
  <c r="B834" i="6" s="1"/>
  <c r="P835" i="1"/>
  <c r="B835" i="6" s="1"/>
  <c r="L835" i="6" s="1"/>
  <c r="P836" i="1"/>
  <c r="B836" i="6" s="1"/>
  <c r="P837" i="1"/>
  <c r="B837" i="6" s="1"/>
  <c r="L837" i="6" s="1"/>
  <c r="P838" i="1"/>
  <c r="B838" i="6" s="1"/>
  <c r="P839" i="1"/>
  <c r="B839" i="6" s="1"/>
  <c r="L839" i="6" s="1"/>
  <c r="P840" i="1"/>
  <c r="B840" i="6" s="1"/>
  <c r="P841" i="1"/>
  <c r="B841" i="6" s="1"/>
  <c r="L841" i="6" s="1"/>
  <c r="P842" i="1"/>
  <c r="B842" i="6" s="1"/>
  <c r="P843" i="1"/>
  <c r="B843" i="6" s="1"/>
  <c r="L843" i="6" s="1"/>
  <c r="P844" i="1"/>
  <c r="B844" i="6" s="1"/>
  <c r="P845" i="1"/>
  <c r="B845" i="6" s="1"/>
  <c r="L845" i="6" s="1"/>
  <c r="P846" i="1"/>
  <c r="B846" i="6" s="1"/>
  <c r="P847" i="1"/>
  <c r="B847" i="6" s="1"/>
  <c r="L847" i="6" s="1"/>
  <c r="P848" i="1"/>
  <c r="B848" i="6" s="1"/>
  <c r="P849" i="1"/>
  <c r="B849" i="6" s="1"/>
  <c r="L849" i="6" s="1"/>
  <c r="B851" i="6"/>
  <c r="L851" i="6" s="1"/>
  <c r="P852" i="1"/>
  <c r="B852" i="6" s="1"/>
  <c r="P853" i="1"/>
  <c r="B853" i="6" s="1"/>
  <c r="L853" i="6" s="1"/>
  <c r="P2" i="1"/>
  <c r="B2" i="6" s="1"/>
  <c r="L2" i="6" s="1"/>
  <c r="J2" i="6" s="1"/>
  <c r="M2" i="6" s="1"/>
  <c r="O3" i="1"/>
  <c r="A3" i="6" s="1"/>
  <c r="K855" i="6" s="1"/>
  <c r="O4" i="1"/>
  <c r="A4" i="6" s="1"/>
  <c r="K856" i="6" s="1"/>
  <c r="O5" i="1"/>
  <c r="A5" i="6" s="1"/>
  <c r="O6" i="1"/>
  <c r="A6" i="6" s="1"/>
  <c r="O7" i="1"/>
  <c r="A7" i="6" s="1"/>
  <c r="K859" i="6" s="1"/>
  <c r="O8" i="1"/>
  <c r="A8" i="6" s="1"/>
  <c r="K860" i="6" s="1"/>
  <c r="O9" i="1"/>
  <c r="A9" i="6" s="1"/>
  <c r="O10" i="1"/>
  <c r="A10" i="6" s="1"/>
  <c r="K9" i="6" s="1"/>
  <c r="O11" i="1"/>
  <c r="A11" i="6" s="1"/>
  <c r="O12" i="1"/>
  <c r="A12" i="6" s="1"/>
  <c r="K864" i="6" s="1"/>
  <c r="O13" i="1"/>
  <c r="A13" i="6" s="1"/>
  <c r="O14" i="1"/>
  <c r="A14" i="6" s="1"/>
  <c r="K13" i="6" s="1"/>
  <c r="O15" i="1"/>
  <c r="A15" i="6" s="1"/>
  <c r="K867" i="6" s="1"/>
  <c r="O16" i="1"/>
  <c r="A16" i="6" s="1"/>
  <c r="K868" i="6" s="1"/>
  <c r="O17" i="1"/>
  <c r="A17" i="6" s="1"/>
  <c r="O18" i="1"/>
  <c r="A18" i="6" s="1"/>
  <c r="O19" i="1"/>
  <c r="A19" i="6" s="1"/>
  <c r="K871" i="6" s="1"/>
  <c r="O20" i="1"/>
  <c r="A20" i="6" s="1"/>
  <c r="K872" i="6" s="1"/>
  <c r="O21" i="1"/>
  <c r="A21" i="6" s="1"/>
  <c r="O22" i="1"/>
  <c r="A22" i="6" s="1"/>
  <c r="K21" i="6" s="1"/>
  <c r="O23" i="1"/>
  <c r="A23" i="6" s="1"/>
  <c r="K23" i="6" s="1"/>
  <c r="O24" i="1"/>
  <c r="A24" i="6" s="1"/>
  <c r="K876" i="6" s="1"/>
  <c r="O25" i="1"/>
  <c r="A25" i="6" s="1"/>
  <c r="O26" i="1"/>
  <c r="A26" i="6" s="1"/>
  <c r="O27" i="1"/>
  <c r="A27" i="6" s="1"/>
  <c r="K879" i="6" s="1"/>
  <c r="O28" i="1"/>
  <c r="A28" i="6" s="1"/>
  <c r="K880" i="6" s="1"/>
  <c r="O29" i="1"/>
  <c r="A29" i="6" s="1"/>
  <c r="O30" i="1"/>
  <c r="A30" i="6" s="1"/>
  <c r="K29" i="6" s="1"/>
  <c r="O31" i="1"/>
  <c r="A31" i="6" s="1"/>
  <c r="K31" i="6" s="1"/>
  <c r="O32" i="1"/>
  <c r="A32" i="6" s="1"/>
  <c r="K884" i="6" s="1"/>
  <c r="O33" i="1"/>
  <c r="A33" i="6" s="1"/>
  <c r="O34" i="1"/>
  <c r="A34" i="6" s="1"/>
  <c r="K33" i="6" s="1"/>
  <c r="O35" i="1"/>
  <c r="A35" i="6" s="1"/>
  <c r="K887" i="6" s="1"/>
  <c r="O36" i="1"/>
  <c r="A36" i="6" s="1"/>
  <c r="K888" i="6" s="1"/>
  <c r="O37" i="1"/>
  <c r="A37" i="6" s="1"/>
  <c r="O38" i="1"/>
  <c r="A38" i="6" s="1"/>
  <c r="K37" i="6" s="1"/>
  <c r="O39" i="1"/>
  <c r="A39" i="6" s="1"/>
  <c r="O40" i="1"/>
  <c r="A40" i="6" s="1"/>
  <c r="K892" i="6" s="1"/>
  <c r="O41" i="1"/>
  <c r="A41" i="6" s="1"/>
  <c r="O42" i="1"/>
  <c r="A42" i="6" s="1"/>
  <c r="K41" i="6" s="1"/>
  <c r="O43" i="1"/>
  <c r="A43" i="6" s="1"/>
  <c r="K895" i="6" s="1"/>
  <c r="O44" i="1"/>
  <c r="A44" i="6" s="1"/>
  <c r="K896" i="6" s="1"/>
  <c r="O45" i="1"/>
  <c r="A45" i="6" s="1"/>
  <c r="O46" i="1"/>
  <c r="A46" i="6" s="1"/>
  <c r="K45" i="6" s="1"/>
  <c r="O47" i="1"/>
  <c r="A47" i="6" s="1"/>
  <c r="O48" i="1"/>
  <c r="A48" i="6" s="1"/>
  <c r="K900" i="6" s="1"/>
  <c r="O49" i="1"/>
  <c r="A49" i="6" s="1"/>
  <c r="O50" i="1"/>
  <c r="A50" i="6" s="1"/>
  <c r="K49" i="6" s="1"/>
  <c r="O51" i="1"/>
  <c r="A51" i="6" s="1"/>
  <c r="K903" i="6" s="1"/>
  <c r="O52" i="1"/>
  <c r="A52" i="6" s="1"/>
  <c r="K904" i="6" s="1"/>
  <c r="O53" i="1"/>
  <c r="A53" i="6" s="1"/>
  <c r="O54" i="1"/>
  <c r="A54" i="6" s="1"/>
  <c r="O55" i="1"/>
  <c r="A55" i="6" s="1"/>
  <c r="K907" i="6" s="1"/>
  <c r="O56" i="1"/>
  <c r="A56" i="6" s="1"/>
  <c r="K908" i="6" s="1"/>
  <c r="O57" i="1"/>
  <c r="A57" i="6" s="1"/>
  <c r="O58" i="1"/>
  <c r="A58" i="6" s="1"/>
  <c r="K57" i="6" s="1"/>
  <c r="O59" i="1"/>
  <c r="A59" i="6" s="1"/>
  <c r="K59" i="6" s="1"/>
  <c r="O60" i="1"/>
  <c r="A60" i="6" s="1"/>
  <c r="K912" i="6" s="1"/>
  <c r="O61" i="1"/>
  <c r="A61" i="6" s="1"/>
  <c r="O62" i="1"/>
  <c r="A62" i="6" s="1"/>
  <c r="K61" i="6" s="1"/>
  <c r="O63" i="1"/>
  <c r="A63" i="6" s="1"/>
  <c r="K915" i="6" s="1"/>
  <c r="O64" i="1"/>
  <c r="A64" i="6" s="1"/>
  <c r="K916" i="6" s="1"/>
  <c r="O65" i="1"/>
  <c r="A65" i="6" s="1"/>
  <c r="O66" i="1"/>
  <c r="A66" i="6" s="1"/>
  <c r="K65" i="6" s="1"/>
  <c r="O67" i="1"/>
  <c r="A67" i="6" s="1"/>
  <c r="K919" i="6" s="1"/>
  <c r="O68" i="1"/>
  <c r="A68" i="6" s="1"/>
  <c r="K920" i="6" s="1"/>
  <c r="O69" i="1"/>
  <c r="A69" i="6" s="1"/>
  <c r="O70" i="1"/>
  <c r="A70" i="6" s="1"/>
  <c r="K69" i="6" s="1"/>
  <c r="O71" i="1"/>
  <c r="A71" i="6" s="1"/>
  <c r="K923" i="6" s="1"/>
  <c r="O72" i="1"/>
  <c r="A72" i="6" s="1"/>
  <c r="K924" i="6" s="1"/>
  <c r="O73" i="1"/>
  <c r="A73" i="6" s="1"/>
  <c r="O74" i="1"/>
  <c r="A74" i="6" s="1"/>
  <c r="K73" i="6" s="1"/>
  <c r="O75" i="1"/>
  <c r="A75" i="6" s="1"/>
  <c r="O76" i="1"/>
  <c r="A76" i="6" s="1"/>
  <c r="K928" i="6" s="1"/>
  <c r="O77" i="1"/>
  <c r="A77" i="6" s="1"/>
  <c r="O78" i="1"/>
  <c r="A78" i="6" s="1"/>
  <c r="K77" i="6" s="1"/>
  <c r="O79" i="1"/>
  <c r="A79" i="6" s="1"/>
  <c r="K931" i="6" s="1"/>
  <c r="O80" i="1"/>
  <c r="A80" i="6" s="1"/>
  <c r="K932" i="6" s="1"/>
  <c r="O81" i="1"/>
  <c r="A81" i="6" s="1"/>
  <c r="O82" i="1"/>
  <c r="A82" i="6" s="1"/>
  <c r="O83" i="1"/>
  <c r="A83" i="6" s="1"/>
  <c r="K935" i="6" s="1"/>
  <c r="O84" i="1"/>
  <c r="A84" i="6" s="1"/>
  <c r="K936" i="6" s="1"/>
  <c r="O85" i="1"/>
  <c r="A85" i="6" s="1"/>
  <c r="O86" i="1"/>
  <c r="A86" i="6" s="1"/>
  <c r="K85" i="6" s="1"/>
  <c r="O87" i="1"/>
  <c r="A87" i="6" s="1"/>
  <c r="K87" i="6" s="1"/>
  <c r="O88" i="1"/>
  <c r="A88" i="6" s="1"/>
  <c r="K940" i="6" s="1"/>
  <c r="O89" i="1"/>
  <c r="A89" i="6" s="1"/>
  <c r="O90" i="1"/>
  <c r="A90" i="6" s="1"/>
  <c r="O91" i="1"/>
  <c r="A91" i="6" s="1"/>
  <c r="K943" i="6" s="1"/>
  <c r="O92" i="1"/>
  <c r="A92" i="6" s="1"/>
  <c r="K944" i="6" s="1"/>
  <c r="O93" i="1"/>
  <c r="A93" i="6" s="1"/>
  <c r="O94" i="1"/>
  <c r="A94" i="6" s="1"/>
  <c r="K93" i="6" s="1"/>
  <c r="O95" i="1"/>
  <c r="A95" i="6" s="1"/>
  <c r="K95" i="6" s="1"/>
  <c r="O96" i="1"/>
  <c r="A96" i="6" s="1"/>
  <c r="K948" i="6" s="1"/>
  <c r="O97" i="1"/>
  <c r="A97" i="6" s="1"/>
  <c r="O98" i="1"/>
  <c r="A98" i="6" s="1"/>
  <c r="K97" i="6" s="1"/>
  <c r="O99" i="1"/>
  <c r="A99" i="6" s="1"/>
  <c r="K951" i="6" s="1"/>
  <c r="O100" i="1"/>
  <c r="A100" i="6" s="1"/>
  <c r="K952" i="6" s="1"/>
  <c r="O101" i="1"/>
  <c r="A101" i="6" s="1"/>
  <c r="O102" i="1"/>
  <c r="A102" i="6" s="1"/>
  <c r="K101" i="6" s="1"/>
  <c r="O103" i="1"/>
  <c r="A103" i="6" s="1"/>
  <c r="O104" i="1"/>
  <c r="A104" i="6" s="1"/>
  <c r="K956" i="6" s="1"/>
  <c r="O105" i="1"/>
  <c r="A105" i="6" s="1"/>
  <c r="O106" i="1"/>
  <c r="A106" i="6" s="1"/>
  <c r="K105" i="6" s="1"/>
  <c r="O107" i="1"/>
  <c r="A107" i="6" s="1"/>
  <c r="K959" i="6" s="1"/>
  <c r="O108" i="1"/>
  <c r="A108" i="6" s="1"/>
  <c r="K960" i="6" s="1"/>
  <c r="O109" i="1"/>
  <c r="A109" i="6" s="1"/>
  <c r="O110" i="1"/>
  <c r="A110" i="6" s="1"/>
  <c r="K109" i="6" s="1"/>
  <c r="O111" i="1"/>
  <c r="A111" i="6" s="1"/>
  <c r="O112" i="1"/>
  <c r="A112" i="6" s="1"/>
  <c r="K964" i="6" s="1"/>
  <c r="O113" i="1"/>
  <c r="A113" i="6" s="1"/>
  <c r="O114" i="1"/>
  <c r="A114" i="6" s="1"/>
  <c r="K113" i="6" s="1"/>
  <c r="O115" i="1"/>
  <c r="A115" i="6" s="1"/>
  <c r="K967" i="6" s="1"/>
  <c r="O116" i="1"/>
  <c r="A116" i="6" s="1"/>
  <c r="K968" i="6" s="1"/>
  <c r="O117" i="1"/>
  <c r="A117" i="6" s="1"/>
  <c r="O118" i="1"/>
  <c r="A118" i="6" s="1"/>
  <c r="O119" i="1"/>
  <c r="A119" i="6" s="1"/>
  <c r="K971" i="6" s="1"/>
  <c r="O120" i="1"/>
  <c r="A120" i="6" s="1"/>
  <c r="K972" i="6" s="1"/>
  <c r="O121" i="1"/>
  <c r="A121" i="6" s="1"/>
  <c r="O122" i="1"/>
  <c r="A122" i="6" s="1"/>
  <c r="K121" i="6" s="1"/>
  <c r="O123" i="1"/>
  <c r="A123" i="6" s="1"/>
  <c r="K123" i="6" s="1"/>
  <c r="O124" i="1"/>
  <c r="A124" i="6" s="1"/>
  <c r="K976" i="6" s="1"/>
  <c r="O125" i="1"/>
  <c r="A125" i="6" s="1"/>
  <c r="O126" i="1"/>
  <c r="A126" i="6" s="1"/>
  <c r="K125" i="6" s="1"/>
  <c r="O127" i="1"/>
  <c r="A127" i="6" s="1"/>
  <c r="K979" i="6" s="1"/>
  <c r="O128" i="1"/>
  <c r="A128" i="6" s="1"/>
  <c r="K980" i="6" s="1"/>
  <c r="O129" i="1"/>
  <c r="A129" i="6" s="1"/>
  <c r="O130" i="1"/>
  <c r="A130" i="6" s="1"/>
  <c r="K129" i="6" s="1"/>
  <c r="O131" i="1"/>
  <c r="A131" i="6" s="1"/>
  <c r="K983" i="6" s="1"/>
  <c r="O132" i="1"/>
  <c r="A132" i="6" s="1"/>
  <c r="K984" i="6" s="1"/>
  <c r="O133" i="1"/>
  <c r="A133" i="6" s="1"/>
  <c r="O134" i="1"/>
  <c r="A134" i="6" s="1"/>
  <c r="K133" i="6" s="1"/>
  <c r="O135" i="1"/>
  <c r="A135" i="6" s="1"/>
  <c r="K987" i="6" s="1"/>
  <c r="O136" i="1"/>
  <c r="A136" i="6" s="1"/>
  <c r="K988" i="6" s="1"/>
  <c r="O137" i="1"/>
  <c r="A137" i="6" s="1"/>
  <c r="O138" i="1"/>
  <c r="A138" i="6" s="1"/>
  <c r="K137" i="6" s="1"/>
  <c r="O139" i="1"/>
  <c r="A139" i="6" s="1"/>
  <c r="O140" i="1"/>
  <c r="A140" i="6" s="1"/>
  <c r="K992" i="6" s="1"/>
  <c r="O141" i="1"/>
  <c r="A141" i="6" s="1"/>
  <c r="O142" i="1"/>
  <c r="A142" i="6" s="1"/>
  <c r="K141" i="6" s="1"/>
  <c r="O143" i="1"/>
  <c r="A143" i="6" s="1"/>
  <c r="K995" i="6" s="1"/>
  <c r="O144" i="1"/>
  <c r="A144" i="6" s="1"/>
  <c r="K996" i="6" s="1"/>
  <c r="O145" i="1"/>
  <c r="A145" i="6" s="1"/>
  <c r="O146" i="1"/>
  <c r="A146" i="6" s="1"/>
  <c r="O147" i="1"/>
  <c r="A147" i="6" s="1"/>
  <c r="K999" i="6" s="1"/>
  <c r="O148" i="1"/>
  <c r="A148" i="6" s="1"/>
  <c r="K1000" i="6" s="1"/>
  <c r="O149" i="1"/>
  <c r="A149" i="6" s="1"/>
  <c r="O150" i="1"/>
  <c r="A150" i="6" s="1"/>
  <c r="K149" i="6" s="1"/>
  <c r="O151" i="1"/>
  <c r="A151" i="6" s="1"/>
  <c r="K151" i="6" s="1"/>
  <c r="O152" i="1"/>
  <c r="A152" i="6" s="1"/>
  <c r="K1004" i="6" s="1"/>
  <c r="O153" i="1"/>
  <c r="A153" i="6" s="1"/>
  <c r="O154" i="1"/>
  <c r="A154" i="6" s="1"/>
  <c r="O155" i="1"/>
  <c r="A155" i="6" s="1"/>
  <c r="K1007" i="6" s="1"/>
  <c r="O156" i="1"/>
  <c r="A156" i="6" s="1"/>
  <c r="K1008" i="6" s="1"/>
  <c r="O157" i="1"/>
  <c r="A157" i="6" s="1"/>
  <c r="O158" i="1"/>
  <c r="A158" i="6" s="1"/>
  <c r="K157" i="6" s="1"/>
  <c r="O159" i="1"/>
  <c r="A159" i="6" s="1"/>
  <c r="K159" i="6" s="1"/>
  <c r="O160" i="1"/>
  <c r="A160" i="6" s="1"/>
  <c r="K1012" i="6" s="1"/>
  <c r="O161" i="1"/>
  <c r="A161" i="6" s="1"/>
  <c r="O162" i="1"/>
  <c r="A162" i="6" s="1"/>
  <c r="K161" i="6" s="1"/>
  <c r="O163" i="1"/>
  <c r="A163" i="6" s="1"/>
  <c r="K1015" i="6" s="1"/>
  <c r="O164" i="1"/>
  <c r="A164" i="6" s="1"/>
  <c r="K1016" i="6" s="1"/>
  <c r="O165" i="1"/>
  <c r="A165" i="6" s="1"/>
  <c r="O166" i="1"/>
  <c r="A166" i="6" s="1"/>
  <c r="K165" i="6" s="1"/>
  <c r="O167" i="1"/>
  <c r="A167" i="6" s="1"/>
  <c r="O168" i="1"/>
  <c r="A168" i="6" s="1"/>
  <c r="K1020" i="6" s="1"/>
  <c r="O169" i="1"/>
  <c r="A169" i="6" s="1"/>
  <c r="O170" i="1"/>
  <c r="A170" i="6" s="1"/>
  <c r="K169" i="6" s="1"/>
  <c r="O171" i="1"/>
  <c r="A171" i="6" s="1"/>
  <c r="K1023" i="6" s="1"/>
  <c r="O172" i="1"/>
  <c r="A172" i="6" s="1"/>
  <c r="K1024" i="6" s="1"/>
  <c r="O173" i="1"/>
  <c r="A173" i="6" s="1"/>
  <c r="O174" i="1"/>
  <c r="A174" i="6" s="1"/>
  <c r="K173" i="6" s="1"/>
  <c r="O175" i="1"/>
  <c r="A175" i="6" s="1"/>
  <c r="O176" i="1"/>
  <c r="A176" i="6" s="1"/>
  <c r="K1028" i="6" s="1"/>
  <c r="O177" i="1"/>
  <c r="A177" i="6" s="1"/>
  <c r="O178" i="1"/>
  <c r="A178" i="6" s="1"/>
  <c r="K177" i="6" s="1"/>
  <c r="O179" i="1"/>
  <c r="A179" i="6" s="1"/>
  <c r="K1031" i="6" s="1"/>
  <c r="O180" i="1"/>
  <c r="A180" i="6" s="1"/>
  <c r="K1032" i="6" s="1"/>
  <c r="O181" i="1"/>
  <c r="A181" i="6" s="1"/>
  <c r="O182" i="1"/>
  <c r="A182" i="6" s="1"/>
  <c r="O183" i="1"/>
  <c r="A183" i="6" s="1"/>
  <c r="K1035" i="6" s="1"/>
  <c r="O184" i="1"/>
  <c r="A184" i="6" s="1"/>
  <c r="K1036" i="6" s="1"/>
  <c r="O185" i="1"/>
  <c r="A185" i="6" s="1"/>
  <c r="O186" i="1"/>
  <c r="A186" i="6" s="1"/>
  <c r="K185" i="6" s="1"/>
  <c r="O187" i="1"/>
  <c r="A187" i="6" s="1"/>
  <c r="K187" i="6" s="1"/>
  <c r="O188" i="1"/>
  <c r="A188" i="6" s="1"/>
  <c r="K1040" i="6" s="1"/>
  <c r="O189" i="1"/>
  <c r="A189" i="6" s="1"/>
  <c r="O190" i="1"/>
  <c r="A190" i="6" s="1"/>
  <c r="K189" i="6" s="1"/>
  <c r="O191" i="1"/>
  <c r="A191" i="6" s="1"/>
  <c r="K1043" i="6" s="1"/>
  <c r="O192" i="1"/>
  <c r="A192" i="6" s="1"/>
  <c r="K1044" i="6" s="1"/>
  <c r="O193" i="1"/>
  <c r="A193" i="6" s="1"/>
  <c r="O194" i="1"/>
  <c r="A194" i="6" s="1"/>
  <c r="K193" i="6" s="1"/>
  <c r="O195" i="1"/>
  <c r="A195" i="6" s="1"/>
  <c r="K1047" i="6" s="1"/>
  <c r="O196" i="1"/>
  <c r="A196" i="6" s="1"/>
  <c r="K1048" i="6" s="1"/>
  <c r="O197" i="1"/>
  <c r="A197" i="6" s="1"/>
  <c r="O198" i="1"/>
  <c r="A198" i="6" s="1"/>
  <c r="K197" i="6" s="1"/>
  <c r="O199" i="1"/>
  <c r="A199" i="6" s="1"/>
  <c r="K1051" i="6" s="1"/>
  <c r="O200" i="1"/>
  <c r="A200" i="6" s="1"/>
  <c r="K1052" i="6" s="1"/>
  <c r="O201" i="1"/>
  <c r="A201" i="6" s="1"/>
  <c r="O202" i="1"/>
  <c r="A202" i="6" s="1"/>
  <c r="K201" i="6" s="1"/>
  <c r="O203" i="1"/>
  <c r="A203" i="6" s="1"/>
  <c r="O204" i="1"/>
  <c r="A204" i="6" s="1"/>
  <c r="K1056" i="6" s="1"/>
  <c r="O205" i="1"/>
  <c r="A205" i="6" s="1"/>
  <c r="O206" i="1"/>
  <c r="A206" i="6" s="1"/>
  <c r="K205" i="6" s="1"/>
  <c r="O207" i="1"/>
  <c r="A207" i="6" s="1"/>
  <c r="K1059" i="6" s="1"/>
  <c r="O208" i="1"/>
  <c r="A208" i="6" s="1"/>
  <c r="K1060" i="6" s="1"/>
  <c r="O209" i="1"/>
  <c r="A209" i="6" s="1"/>
  <c r="O210" i="1"/>
  <c r="A210" i="6" s="1"/>
  <c r="O211" i="1"/>
  <c r="A211" i="6" s="1"/>
  <c r="K1063" i="6" s="1"/>
  <c r="O212" i="1"/>
  <c r="A212" i="6" s="1"/>
  <c r="K1064" i="6" s="1"/>
  <c r="O213" i="1"/>
  <c r="A213" i="6" s="1"/>
  <c r="O214" i="1"/>
  <c r="A214" i="6" s="1"/>
  <c r="K213" i="6" s="1"/>
  <c r="O215" i="1"/>
  <c r="A215" i="6" s="1"/>
  <c r="K215" i="6" s="1"/>
  <c r="O216" i="1"/>
  <c r="A216" i="6" s="1"/>
  <c r="K1068" i="6" s="1"/>
  <c r="O217" i="1"/>
  <c r="A217" i="6" s="1"/>
  <c r="O218" i="1"/>
  <c r="A218" i="6" s="1"/>
  <c r="O219" i="1"/>
  <c r="A219" i="6" s="1"/>
  <c r="K1071" i="6" s="1"/>
  <c r="O220" i="1"/>
  <c r="A220" i="6" s="1"/>
  <c r="K1072" i="6" s="1"/>
  <c r="O221" i="1"/>
  <c r="A221" i="6" s="1"/>
  <c r="O222" i="1"/>
  <c r="A222" i="6" s="1"/>
  <c r="K221" i="6" s="1"/>
  <c r="O223" i="1"/>
  <c r="A223" i="6" s="1"/>
  <c r="K223" i="6" s="1"/>
  <c r="O224" i="1"/>
  <c r="A224" i="6" s="1"/>
  <c r="K1076" i="6" s="1"/>
  <c r="O225" i="1"/>
  <c r="A225" i="6" s="1"/>
  <c r="O226" i="1"/>
  <c r="A226" i="6" s="1"/>
  <c r="K225" i="6" s="1"/>
  <c r="O227" i="1"/>
  <c r="A227" i="6" s="1"/>
  <c r="K1079" i="6" s="1"/>
  <c r="O228" i="1"/>
  <c r="A228" i="6" s="1"/>
  <c r="K1080" i="6" s="1"/>
  <c r="O229" i="1"/>
  <c r="A229" i="6" s="1"/>
  <c r="O230" i="1"/>
  <c r="A230" i="6" s="1"/>
  <c r="K229" i="6" s="1"/>
  <c r="O231" i="1"/>
  <c r="A231" i="6" s="1"/>
  <c r="O232" i="1"/>
  <c r="A232" i="6" s="1"/>
  <c r="K1084" i="6" s="1"/>
  <c r="O233" i="1"/>
  <c r="A233" i="6" s="1"/>
  <c r="O234" i="1"/>
  <c r="A234" i="6" s="1"/>
  <c r="K233" i="6" s="1"/>
  <c r="O235" i="1"/>
  <c r="A235" i="6" s="1"/>
  <c r="K1087" i="6" s="1"/>
  <c r="O236" i="1"/>
  <c r="A236" i="6" s="1"/>
  <c r="K1088" i="6" s="1"/>
  <c r="O237" i="1"/>
  <c r="A237" i="6" s="1"/>
  <c r="O238" i="1"/>
  <c r="A238" i="6" s="1"/>
  <c r="K237" i="6" s="1"/>
  <c r="O239" i="1"/>
  <c r="A239" i="6" s="1"/>
  <c r="O240" i="1"/>
  <c r="A240" i="6" s="1"/>
  <c r="K1092" i="6" s="1"/>
  <c r="O241" i="1"/>
  <c r="A241" i="6" s="1"/>
  <c r="O242" i="1"/>
  <c r="A242" i="6" s="1"/>
  <c r="K241" i="6" s="1"/>
  <c r="O243" i="1"/>
  <c r="A243" i="6" s="1"/>
  <c r="K1095" i="6" s="1"/>
  <c r="O244" i="1"/>
  <c r="A244" i="6" s="1"/>
  <c r="K1096" i="6" s="1"/>
  <c r="O245" i="1"/>
  <c r="A245" i="6" s="1"/>
  <c r="O246" i="1"/>
  <c r="A246" i="6" s="1"/>
  <c r="O247" i="1"/>
  <c r="A247" i="6" s="1"/>
  <c r="K1099" i="6" s="1"/>
  <c r="O248" i="1"/>
  <c r="A248" i="6" s="1"/>
  <c r="K1100" i="6" s="1"/>
  <c r="O249" i="1"/>
  <c r="A249" i="6" s="1"/>
  <c r="O250" i="1"/>
  <c r="A250" i="6" s="1"/>
  <c r="K249" i="6" s="1"/>
  <c r="O251" i="1"/>
  <c r="A251" i="6" s="1"/>
  <c r="K251" i="6" s="1"/>
  <c r="O252" i="1"/>
  <c r="A252" i="6" s="1"/>
  <c r="K1104" i="6" s="1"/>
  <c r="O253" i="1"/>
  <c r="A253" i="6" s="1"/>
  <c r="O254" i="1"/>
  <c r="A254" i="6" s="1"/>
  <c r="K253" i="6" s="1"/>
  <c r="O255" i="1"/>
  <c r="A255" i="6" s="1"/>
  <c r="K1107" i="6" s="1"/>
  <c r="O256" i="1"/>
  <c r="A256" i="6" s="1"/>
  <c r="K1108" i="6" s="1"/>
  <c r="O257" i="1"/>
  <c r="A257" i="6" s="1"/>
  <c r="O258" i="1"/>
  <c r="A258" i="6" s="1"/>
  <c r="K257" i="6" s="1"/>
  <c r="O259" i="1"/>
  <c r="A259" i="6" s="1"/>
  <c r="K1111" i="6" s="1"/>
  <c r="O260" i="1"/>
  <c r="A260" i="6" s="1"/>
  <c r="K1112" i="6" s="1"/>
  <c r="O261" i="1"/>
  <c r="A261" i="6" s="1"/>
  <c r="O262" i="1"/>
  <c r="A262" i="6" s="1"/>
  <c r="K261" i="6" s="1"/>
  <c r="O263" i="1"/>
  <c r="A263" i="6" s="1"/>
  <c r="K1115" i="6" s="1"/>
  <c r="O264" i="1"/>
  <c r="A264" i="6" s="1"/>
  <c r="K1116" i="6" s="1"/>
  <c r="O265" i="1"/>
  <c r="A265" i="6" s="1"/>
  <c r="O266" i="1"/>
  <c r="A266" i="6" s="1"/>
  <c r="K265" i="6" s="1"/>
  <c r="O267" i="1"/>
  <c r="A267" i="6" s="1"/>
  <c r="O268" i="1"/>
  <c r="A268" i="6" s="1"/>
  <c r="K1120" i="6" s="1"/>
  <c r="O269" i="1"/>
  <c r="A269" i="6" s="1"/>
  <c r="O270" i="1"/>
  <c r="A270" i="6" s="1"/>
  <c r="K269" i="6" s="1"/>
  <c r="O271" i="1"/>
  <c r="A271" i="6" s="1"/>
  <c r="K1123" i="6" s="1"/>
  <c r="O272" i="1"/>
  <c r="A272" i="6" s="1"/>
  <c r="K1124" i="6" s="1"/>
  <c r="O273" i="1"/>
  <c r="A273" i="6" s="1"/>
  <c r="O274" i="1"/>
  <c r="A274" i="6" s="1"/>
  <c r="O275" i="1"/>
  <c r="A275" i="6" s="1"/>
  <c r="K1127" i="6" s="1"/>
  <c r="O276" i="1"/>
  <c r="A276" i="6" s="1"/>
  <c r="K1128" i="6" s="1"/>
  <c r="O277" i="1"/>
  <c r="A277" i="6" s="1"/>
  <c r="O278" i="1"/>
  <c r="A278" i="6" s="1"/>
  <c r="K277" i="6" s="1"/>
  <c r="O279" i="1"/>
  <c r="A279" i="6" s="1"/>
  <c r="K279" i="6" s="1"/>
  <c r="O280" i="1"/>
  <c r="A280" i="6" s="1"/>
  <c r="K1132" i="6" s="1"/>
  <c r="O281" i="1"/>
  <c r="A281" i="6" s="1"/>
  <c r="O282" i="1"/>
  <c r="A282" i="6" s="1"/>
  <c r="O283" i="1"/>
  <c r="A283" i="6" s="1"/>
  <c r="K1135" i="6" s="1"/>
  <c r="O284" i="1"/>
  <c r="A284" i="6" s="1"/>
  <c r="K1136" i="6" s="1"/>
  <c r="O285" i="1"/>
  <c r="A285" i="6" s="1"/>
  <c r="O286" i="1"/>
  <c r="A286" i="6" s="1"/>
  <c r="K285" i="6" s="1"/>
  <c r="O287" i="1"/>
  <c r="A287" i="6" s="1"/>
  <c r="K287" i="6" s="1"/>
  <c r="O288" i="1"/>
  <c r="A288" i="6" s="1"/>
  <c r="K1140" i="6" s="1"/>
  <c r="O289" i="1"/>
  <c r="A289" i="6" s="1"/>
  <c r="O290" i="1"/>
  <c r="A290" i="6" s="1"/>
  <c r="K289" i="6" s="1"/>
  <c r="O291" i="1"/>
  <c r="A291" i="6" s="1"/>
  <c r="K1143" i="6" s="1"/>
  <c r="O292" i="1"/>
  <c r="A292" i="6" s="1"/>
  <c r="K1144" i="6" s="1"/>
  <c r="O293" i="1"/>
  <c r="A293" i="6" s="1"/>
  <c r="O294" i="1"/>
  <c r="A294" i="6" s="1"/>
  <c r="K293" i="6" s="1"/>
  <c r="O295" i="1"/>
  <c r="A295" i="6" s="1"/>
  <c r="O296" i="1"/>
  <c r="A296" i="6" s="1"/>
  <c r="K1148" i="6" s="1"/>
  <c r="O297" i="1"/>
  <c r="A297" i="6" s="1"/>
  <c r="O298" i="1"/>
  <c r="A298" i="6" s="1"/>
  <c r="K297" i="6" s="1"/>
  <c r="O299" i="1"/>
  <c r="A299" i="6" s="1"/>
  <c r="K1151" i="6" s="1"/>
  <c r="O300" i="1"/>
  <c r="A300" i="6" s="1"/>
  <c r="K1152" i="6" s="1"/>
  <c r="O301" i="1"/>
  <c r="A301" i="6" s="1"/>
  <c r="O302" i="1"/>
  <c r="A302" i="6" s="1"/>
  <c r="K301" i="6" s="1"/>
  <c r="O303" i="1"/>
  <c r="A303" i="6" s="1"/>
  <c r="O304" i="1"/>
  <c r="A304" i="6" s="1"/>
  <c r="K1156" i="6" s="1"/>
  <c r="O305" i="1"/>
  <c r="A305" i="6" s="1"/>
  <c r="O306" i="1"/>
  <c r="A306" i="6" s="1"/>
  <c r="K305" i="6" s="1"/>
  <c r="O307" i="1"/>
  <c r="A307" i="6" s="1"/>
  <c r="K1159" i="6" s="1"/>
  <c r="O308" i="1"/>
  <c r="A308" i="6" s="1"/>
  <c r="K1160" i="6" s="1"/>
  <c r="O309" i="1"/>
  <c r="A309" i="6" s="1"/>
  <c r="O310" i="1"/>
  <c r="A310" i="6" s="1"/>
  <c r="O311" i="1"/>
  <c r="A311" i="6" s="1"/>
  <c r="K1163" i="6" s="1"/>
  <c r="O312" i="1"/>
  <c r="A312" i="6" s="1"/>
  <c r="K1164" i="6" s="1"/>
  <c r="O313" i="1"/>
  <c r="A313" i="6" s="1"/>
  <c r="O314" i="1"/>
  <c r="A314" i="6" s="1"/>
  <c r="K313" i="6" s="1"/>
  <c r="O315" i="1"/>
  <c r="A315" i="6" s="1"/>
  <c r="K315" i="6" s="1"/>
  <c r="O316" i="1"/>
  <c r="A316" i="6" s="1"/>
  <c r="K1168" i="6" s="1"/>
  <c r="O317" i="1"/>
  <c r="A317" i="6" s="1"/>
  <c r="O318" i="1"/>
  <c r="A318" i="6" s="1"/>
  <c r="K317" i="6" s="1"/>
  <c r="O319" i="1"/>
  <c r="A319" i="6" s="1"/>
  <c r="K1171" i="6" s="1"/>
  <c r="O320" i="1"/>
  <c r="A320" i="6" s="1"/>
  <c r="K1172" i="6" s="1"/>
  <c r="O321" i="1"/>
  <c r="A321" i="6" s="1"/>
  <c r="O322" i="1"/>
  <c r="A322" i="6" s="1"/>
  <c r="K321" i="6" s="1"/>
  <c r="O323" i="1"/>
  <c r="A323" i="6" s="1"/>
  <c r="K1175" i="6" s="1"/>
  <c r="O324" i="1"/>
  <c r="A324" i="6" s="1"/>
  <c r="K1176" i="6" s="1"/>
  <c r="O325" i="1"/>
  <c r="A325" i="6" s="1"/>
  <c r="O326" i="1"/>
  <c r="A326" i="6" s="1"/>
  <c r="K325" i="6" s="1"/>
  <c r="O327" i="1"/>
  <c r="A327" i="6" s="1"/>
  <c r="K1179" i="6" s="1"/>
  <c r="O328" i="1"/>
  <c r="A328" i="6" s="1"/>
  <c r="K1180" i="6" s="1"/>
  <c r="O329" i="1"/>
  <c r="A329" i="6" s="1"/>
  <c r="O330" i="1"/>
  <c r="A330" i="6" s="1"/>
  <c r="O331" i="1"/>
  <c r="A331" i="6" s="1"/>
  <c r="K1183" i="6" s="1"/>
  <c r="O332" i="1"/>
  <c r="A332" i="6" s="1"/>
  <c r="K1184" i="6" s="1"/>
  <c r="O333" i="1"/>
  <c r="A333" i="6" s="1"/>
  <c r="O334" i="1"/>
  <c r="A334" i="6" s="1"/>
  <c r="K333" i="6" s="1"/>
  <c r="O335" i="1"/>
  <c r="A335" i="6" s="1"/>
  <c r="O336" i="1"/>
  <c r="A336" i="6" s="1"/>
  <c r="K1188" i="6" s="1"/>
  <c r="O337" i="1"/>
  <c r="A337" i="6" s="1"/>
  <c r="O338" i="1"/>
  <c r="A338" i="6" s="1"/>
  <c r="K337" i="6" s="1"/>
  <c r="O339" i="1"/>
  <c r="A339" i="6" s="1"/>
  <c r="K339" i="6" s="1"/>
  <c r="O340" i="1"/>
  <c r="A340" i="6" s="1"/>
  <c r="K1192" i="6" s="1"/>
  <c r="O341" i="1"/>
  <c r="A341" i="6" s="1"/>
  <c r="O342" i="1"/>
  <c r="A342" i="6" s="1"/>
  <c r="K341" i="6" s="1"/>
  <c r="O343" i="1"/>
  <c r="A343" i="6" s="1"/>
  <c r="K1195" i="6" s="1"/>
  <c r="O344" i="1"/>
  <c r="A344" i="6" s="1"/>
  <c r="K1196" i="6" s="1"/>
  <c r="O345" i="1"/>
  <c r="A345" i="6" s="1"/>
  <c r="O346" i="1"/>
  <c r="A346" i="6" s="1"/>
  <c r="O347" i="1"/>
  <c r="A347" i="6" s="1"/>
  <c r="K1199" i="6" s="1"/>
  <c r="O348" i="1"/>
  <c r="A348" i="6" s="1"/>
  <c r="K1200" i="6" s="1"/>
  <c r="O349" i="1"/>
  <c r="A349" i="6" s="1"/>
  <c r="O350" i="1"/>
  <c r="A350" i="6" s="1"/>
  <c r="K349" i="6" s="1"/>
  <c r="O351" i="1"/>
  <c r="A351" i="6" s="1"/>
  <c r="O352" i="1"/>
  <c r="A352" i="6" s="1"/>
  <c r="K1204" i="6" s="1"/>
  <c r="O353" i="1"/>
  <c r="A353" i="6" s="1"/>
  <c r="O354" i="1"/>
  <c r="A354" i="6" s="1"/>
  <c r="K353" i="6" s="1"/>
  <c r="O355" i="1"/>
  <c r="A355" i="6" s="1"/>
  <c r="K355" i="6" s="1"/>
  <c r="O356" i="1"/>
  <c r="A356" i="6" s="1"/>
  <c r="K1208" i="6" s="1"/>
  <c r="O357" i="1"/>
  <c r="A357" i="6" s="1"/>
  <c r="O358" i="1"/>
  <c r="A358" i="6" s="1"/>
  <c r="K357" i="6" s="1"/>
  <c r="O359" i="1"/>
  <c r="A359" i="6" s="1"/>
  <c r="K1211" i="6" s="1"/>
  <c r="O360" i="1"/>
  <c r="A360" i="6" s="1"/>
  <c r="K1212" i="6" s="1"/>
  <c r="O361" i="1"/>
  <c r="A361" i="6" s="1"/>
  <c r="O362" i="1"/>
  <c r="A362" i="6" s="1"/>
  <c r="O363" i="1"/>
  <c r="A363" i="6" s="1"/>
  <c r="K1215" i="6" s="1"/>
  <c r="O364" i="1"/>
  <c r="A364" i="6" s="1"/>
  <c r="K1216" i="6" s="1"/>
  <c r="O365" i="1"/>
  <c r="A365" i="6" s="1"/>
  <c r="O366" i="1"/>
  <c r="A366" i="6" s="1"/>
  <c r="K365" i="6" s="1"/>
  <c r="O367" i="1"/>
  <c r="A367" i="6" s="1"/>
  <c r="O368" i="1"/>
  <c r="A368" i="6" s="1"/>
  <c r="K1220" i="6" s="1"/>
  <c r="O369" i="1"/>
  <c r="A369" i="6" s="1"/>
  <c r="O370" i="1"/>
  <c r="A370" i="6" s="1"/>
  <c r="K369" i="6" s="1"/>
  <c r="O371" i="1"/>
  <c r="A371" i="6" s="1"/>
  <c r="K371" i="6" s="1"/>
  <c r="O372" i="1"/>
  <c r="A372" i="6" s="1"/>
  <c r="K1224" i="6" s="1"/>
  <c r="O373" i="1"/>
  <c r="A373" i="6" s="1"/>
  <c r="O374" i="1"/>
  <c r="A374" i="6" s="1"/>
  <c r="K373" i="6" s="1"/>
  <c r="O375" i="1"/>
  <c r="A375" i="6" s="1"/>
  <c r="K1227" i="6" s="1"/>
  <c r="O376" i="1"/>
  <c r="A376" i="6" s="1"/>
  <c r="K1228" i="6" s="1"/>
  <c r="O377" i="1"/>
  <c r="A377" i="6" s="1"/>
  <c r="O378" i="1"/>
  <c r="A378" i="6" s="1"/>
  <c r="O379" i="1"/>
  <c r="A379" i="6" s="1"/>
  <c r="K1231" i="6" s="1"/>
  <c r="O380" i="1"/>
  <c r="A380" i="6" s="1"/>
  <c r="K1232" i="6" s="1"/>
  <c r="O381" i="1"/>
  <c r="A381" i="6" s="1"/>
  <c r="O382" i="1"/>
  <c r="A382" i="6" s="1"/>
  <c r="K381" i="6" s="1"/>
  <c r="O383" i="1"/>
  <c r="A383" i="6" s="1"/>
  <c r="O384" i="1"/>
  <c r="A384" i="6" s="1"/>
  <c r="K1236" i="6" s="1"/>
  <c r="O385" i="1"/>
  <c r="A385" i="6" s="1"/>
  <c r="O386" i="1"/>
  <c r="A386" i="6" s="1"/>
  <c r="K385" i="6" s="1"/>
  <c r="O387" i="1"/>
  <c r="A387" i="6" s="1"/>
  <c r="K387" i="6" s="1"/>
  <c r="O388" i="1"/>
  <c r="A388" i="6" s="1"/>
  <c r="K1240" i="6" s="1"/>
  <c r="O389" i="1"/>
  <c r="A389" i="6" s="1"/>
  <c r="O390" i="1"/>
  <c r="A390" i="6" s="1"/>
  <c r="K389" i="6" s="1"/>
  <c r="O391" i="1"/>
  <c r="A391" i="6" s="1"/>
  <c r="K1243" i="6" s="1"/>
  <c r="O392" i="1"/>
  <c r="A392" i="6" s="1"/>
  <c r="K1244" i="6" s="1"/>
  <c r="O393" i="1"/>
  <c r="A393" i="6" s="1"/>
  <c r="O394" i="1"/>
  <c r="A394" i="6" s="1"/>
  <c r="O395" i="1"/>
  <c r="A395" i="6" s="1"/>
  <c r="K1247" i="6" s="1"/>
  <c r="O396" i="1"/>
  <c r="A396" i="6" s="1"/>
  <c r="K1248" i="6" s="1"/>
  <c r="O397" i="1"/>
  <c r="A397" i="6" s="1"/>
  <c r="O398" i="1"/>
  <c r="A398" i="6" s="1"/>
  <c r="K397" i="6" s="1"/>
  <c r="O399" i="1"/>
  <c r="A399" i="6" s="1"/>
  <c r="O400" i="1"/>
  <c r="A400" i="6" s="1"/>
  <c r="K1252" i="6" s="1"/>
  <c r="O401" i="1"/>
  <c r="A401" i="6" s="1"/>
  <c r="O402" i="1"/>
  <c r="A402" i="6" s="1"/>
  <c r="K401" i="6" s="1"/>
  <c r="O403" i="1"/>
  <c r="A403" i="6" s="1"/>
  <c r="K403" i="6" s="1"/>
  <c r="O404" i="1"/>
  <c r="A404" i="6" s="1"/>
  <c r="K1256" i="6" s="1"/>
  <c r="O405" i="1"/>
  <c r="A405" i="6" s="1"/>
  <c r="O406" i="1"/>
  <c r="A406" i="6" s="1"/>
  <c r="K405" i="6" s="1"/>
  <c r="O407" i="1"/>
  <c r="A407" i="6" s="1"/>
  <c r="K1259" i="6" s="1"/>
  <c r="O408" i="1"/>
  <c r="A408" i="6" s="1"/>
  <c r="K1260" i="6" s="1"/>
  <c r="O409" i="1"/>
  <c r="A409" i="6" s="1"/>
  <c r="O410" i="1"/>
  <c r="A410" i="6" s="1"/>
  <c r="O411" i="1"/>
  <c r="A411" i="6" s="1"/>
  <c r="K1263" i="6" s="1"/>
  <c r="O412" i="1"/>
  <c r="A412" i="6" s="1"/>
  <c r="K1264" i="6" s="1"/>
  <c r="O413" i="1"/>
  <c r="A413" i="6" s="1"/>
  <c r="O414" i="1"/>
  <c r="A414" i="6" s="1"/>
  <c r="K413" i="6" s="1"/>
  <c r="O415" i="1"/>
  <c r="A415" i="6" s="1"/>
  <c r="O416" i="1"/>
  <c r="A416" i="6" s="1"/>
  <c r="K1268" i="6" s="1"/>
  <c r="O417" i="1"/>
  <c r="A417" i="6" s="1"/>
  <c r="O418" i="1"/>
  <c r="A418" i="6" s="1"/>
  <c r="K417" i="6" s="1"/>
  <c r="O419" i="1"/>
  <c r="A419" i="6" s="1"/>
  <c r="K419" i="6" s="1"/>
  <c r="O420" i="1"/>
  <c r="A420" i="6" s="1"/>
  <c r="K1272" i="6" s="1"/>
  <c r="O421" i="1"/>
  <c r="A421" i="6" s="1"/>
  <c r="O422" i="1"/>
  <c r="A422" i="6" s="1"/>
  <c r="K421" i="6" s="1"/>
  <c r="O423" i="1"/>
  <c r="A423" i="6" s="1"/>
  <c r="K1275" i="6" s="1"/>
  <c r="O424" i="1"/>
  <c r="A424" i="6" s="1"/>
  <c r="K1276" i="6" s="1"/>
  <c r="O425" i="1"/>
  <c r="A425" i="6" s="1"/>
  <c r="O426" i="1"/>
  <c r="A426" i="6" s="1"/>
  <c r="O427" i="1"/>
  <c r="A427" i="6" s="1"/>
  <c r="K1279" i="6" s="1"/>
  <c r="O428" i="1"/>
  <c r="A428" i="6" s="1"/>
  <c r="K1280" i="6" s="1"/>
  <c r="O429" i="1"/>
  <c r="A429" i="6" s="1"/>
  <c r="O430" i="1"/>
  <c r="A430" i="6" s="1"/>
  <c r="K429" i="6" s="1"/>
  <c r="O431" i="1"/>
  <c r="A431" i="6" s="1"/>
  <c r="O432" i="1"/>
  <c r="A432" i="6" s="1"/>
  <c r="K1284" i="6" s="1"/>
  <c r="O433" i="1"/>
  <c r="A433" i="6" s="1"/>
  <c r="O434" i="1"/>
  <c r="A434" i="6" s="1"/>
  <c r="K433" i="6" s="1"/>
  <c r="O435" i="1"/>
  <c r="A435" i="6" s="1"/>
  <c r="K435" i="6" s="1"/>
  <c r="O436" i="1"/>
  <c r="A436" i="6" s="1"/>
  <c r="K1288" i="6" s="1"/>
  <c r="O437" i="1"/>
  <c r="A437" i="6" s="1"/>
  <c r="O438" i="1"/>
  <c r="A438" i="6" s="1"/>
  <c r="K437" i="6" s="1"/>
  <c r="O439" i="1"/>
  <c r="A439" i="6" s="1"/>
  <c r="K1291" i="6" s="1"/>
  <c r="O440" i="1"/>
  <c r="A440" i="6" s="1"/>
  <c r="K1292" i="6" s="1"/>
  <c r="O441" i="1"/>
  <c r="A441" i="6" s="1"/>
  <c r="O442" i="1"/>
  <c r="A442" i="6" s="1"/>
  <c r="O443" i="1"/>
  <c r="A443" i="6" s="1"/>
  <c r="K1295" i="6" s="1"/>
  <c r="O444" i="1"/>
  <c r="A444" i="6" s="1"/>
  <c r="K1296" i="6" s="1"/>
  <c r="O445" i="1"/>
  <c r="A445" i="6" s="1"/>
  <c r="O446" i="1"/>
  <c r="A446" i="6" s="1"/>
  <c r="K445" i="6" s="1"/>
  <c r="O447" i="1"/>
  <c r="A447" i="6" s="1"/>
  <c r="O448" i="1"/>
  <c r="A448" i="6" s="1"/>
  <c r="K1300" i="6" s="1"/>
  <c r="O449" i="1"/>
  <c r="A449" i="6" s="1"/>
  <c r="O450" i="1"/>
  <c r="A450" i="6" s="1"/>
  <c r="K449" i="6" s="1"/>
  <c r="O451" i="1"/>
  <c r="A451" i="6" s="1"/>
  <c r="K451" i="6" s="1"/>
  <c r="O452" i="1"/>
  <c r="A452" i="6" s="1"/>
  <c r="K1304" i="6" s="1"/>
  <c r="O453" i="1"/>
  <c r="A453" i="6" s="1"/>
  <c r="O454" i="1"/>
  <c r="A454" i="6" s="1"/>
  <c r="K453" i="6" s="1"/>
  <c r="O455" i="1"/>
  <c r="A455" i="6" s="1"/>
  <c r="K1307" i="6" s="1"/>
  <c r="O456" i="1"/>
  <c r="A456" i="6" s="1"/>
  <c r="K1308" i="6" s="1"/>
  <c r="O457" i="1"/>
  <c r="A457" i="6" s="1"/>
  <c r="O458" i="1"/>
  <c r="A458" i="6" s="1"/>
  <c r="O459" i="1"/>
  <c r="A459" i="6" s="1"/>
  <c r="K1311" i="6" s="1"/>
  <c r="O460" i="1"/>
  <c r="A460" i="6" s="1"/>
  <c r="K1312" i="6" s="1"/>
  <c r="O461" i="1"/>
  <c r="A461" i="6" s="1"/>
  <c r="O462" i="1"/>
  <c r="A462" i="6" s="1"/>
  <c r="K461" i="6" s="1"/>
  <c r="O463" i="1"/>
  <c r="A463" i="6" s="1"/>
  <c r="O464" i="1"/>
  <c r="A464" i="6" s="1"/>
  <c r="K1316" i="6" s="1"/>
  <c r="O465" i="1"/>
  <c r="A465" i="6" s="1"/>
  <c r="O466" i="1"/>
  <c r="A466" i="6" s="1"/>
  <c r="K465" i="6" s="1"/>
  <c r="O467" i="1"/>
  <c r="A467" i="6" s="1"/>
  <c r="K467" i="6" s="1"/>
  <c r="O468" i="1"/>
  <c r="A468" i="6" s="1"/>
  <c r="K1320" i="6" s="1"/>
  <c r="O469" i="1"/>
  <c r="A469" i="6" s="1"/>
  <c r="O470" i="1"/>
  <c r="A470" i="6" s="1"/>
  <c r="K469" i="6" s="1"/>
  <c r="O471" i="1"/>
  <c r="A471" i="6" s="1"/>
  <c r="K1323" i="6" s="1"/>
  <c r="O472" i="1"/>
  <c r="A472" i="6" s="1"/>
  <c r="K1324" i="6" s="1"/>
  <c r="O473" i="1"/>
  <c r="A473" i="6" s="1"/>
  <c r="O474" i="1"/>
  <c r="A474" i="6" s="1"/>
  <c r="O475" i="1"/>
  <c r="A475" i="6" s="1"/>
  <c r="K1327" i="6" s="1"/>
  <c r="O476" i="1"/>
  <c r="A476" i="6" s="1"/>
  <c r="K1328" i="6" s="1"/>
  <c r="O477" i="1"/>
  <c r="A477" i="6" s="1"/>
  <c r="O478" i="1"/>
  <c r="A478" i="6" s="1"/>
  <c r="K477" i="6" s="1"/>
  <c r="O479" i="1"/>
  <c r="A479" i="6" s="1"/>
  <c r="O480" i="1"/>
  <c r="A480" i="6" s="1"/>
  <c r="K1332" i="6" s="1"/>
  <c r="O481" i="1"/>
  <c r="A481" i="6" s="1"/>
  <c r="O482" i="1"/>
  <c r="A482" i="6" s="1"/>
  <c r="K481" i="6" s="1"/>
  <c r="O483" i="1"/>
  <c r="A483" i="6" s="1"/>
  <c r="K483" i="6" s="1"/>
  <c r="O484" i="1"/>
  <c r="A484" i="6" s="1"/>
  <c r="K1336" i="6" s="1"/>
  <c r="O485" i="1"/>
  <c r="A485" i="6" s="1"/>
  <c r="O486" i="1"/>
  <c r="A486" i="6" s="1"/>
  <c r="K485" i="6" s="1"/>
  <c r="O487" i="1"/>
  <c r="A487" i="6" s="1"/>
  <c r="K1339" i="6" s="1"/>
  <c r="O488" i="1"/>
  <c r="A488" i="6" s="1"/>
  <c r="K1340" i="6" s="1"/>
  <c r="O489" i="1"/>
  <c r="A489" i="6" s="1"/>
  <c r="O490" i="1"/>
  <c r="A490" i="6" s="1"/>
  <c r="O491" i="1"/>
  <c r="A491" i="6" s="1"/>
  <c r="K1343" i="6" s="1"/>
  <c r="O492" i="1"/>
  <c r="A492" i="6" s="1"/>
  <c r="K1344" i="6" s="1"/>
  <c r="O493" i="1"/>
  <c r="A493" i="6" s="1"/>
  <c r="O494" i="1"/>
  <c r="A494" i="6" s="1"/>
  <c r="K493" i="6" s="1"/>
  <c r="O495" i="1"/>
  <c r="A495" i="6" s="1"/>
  <c r="O496" i="1"/>
  <c r="A496" i="6" s="1"/>
  <c r="K1348" i="6" s="1"/>
  <c r="O497" i="1"/>
  <c r="A497" i="6" s="1"/>
  <c r="O498" i="1"/>
  <c r="A498" i="6" s="1"/>
  <c r="K497" i="6" s="1"/>
  <c r="O499" i="1"/>
  <c r="A499" i="6" s="1"/>
  <c r="K499" i="6" s="1"/>
  <c r="O500" i="1"/>
  <c r="A500" i="6" s="1"/>
  <c r="K1352" i="6" s="1"/>
  <c r="O501" i="1"/>
  <c r="A501" i="6" s="1"/>
  <c r="O502" i="1"/>
  <c r="A502" i="6" s="1"/>
  <c r="K501" i="6" s="1"/>
  <c r="O503" i="1"/>
  <c r="A503" i="6" s="1"/>
  <c r="K1355" i="6" s="1"/>
  <c r="O504" i="1"/>
  <c r="A504" i="6" s="1"/>
  <c r="K1356" i="6" s="1"/>
  <c r="O505" i="1"/>
  <c r="A505" i="6" s="1"/>
  <c r="O506" i="1"/>
  <c r="A506" i="6" s="1"/>
  <c r="O507" i="1"/>
  <c r="A507" i="6" s="1"/>
  <c r="K1359" i="6" s="1"/>
  <c r="O508" i="1"/>
  <c r="A508" i="6" s="1"/>
  <c r="K1360" i="6" s="1"/>
  <c r="O509" i="1"/>
  <c r="A509" i="6" s="1"/>
  <c r="O510" i="1"/>
  <c r="A510" i="6" s="1"/>
  <c r="K509" i="6" s="1"/>
  <c r="O511" i="1"/>
  <c r="A511" i="6" s="1"/>
  <c r="O512" i="1"/>
  <c r="A512" i="6" s="1"/>
  <c r="K1364" i="6" s="1"/>
  <c r="O513" i="1"/>
  <c r="A513" i="6" s="1"/>
  <c r="O514" i="1"/>
  <c r="A514" i="6" s="1"/>
  <c r="K513" i="6" s="1"/>
  <c r="O515" i="1"/>
  <c r="A515" i="6" s="1"/>
  <c r="K515" i="6" s="1"/>
  <c r="O516" i="1"/>
  <c r="A516" i="6" s="1"/>
  <c r="K1368" i="6" s="1"/>
  <c r="O517" i="1"/>
  <c r="A517" i="6" s="1"/>
  <c r="O518" i="1"/>
  <c r="A518" i="6" s="1"/>
  <c r="K517" i="6" s="1"/>
  <c r="O519" i="1"/>
  <c r="A519" i="6" s="1"/>
  <c r="K1371" i="6" s="1"/>
  <c r="O520" i="1"/>
  <c r="A520" i="6" s="1"/>
  <c r="K1372" i="6" s="1"/>
  <c r="O521" i="1"/>
  <c r="A521" i="6" s="1"/>
  <c r="O522" i="1"/>
  <c r="A522" i="6" s="1"/>
  <c r="O523" i="1"/>
  <c r="A523" i="6" s="1"/>
  <c r="K1375" i="6" s="1"/>
  <c r="O524" i="1"/>
  <c r="A524" i="6" s="1"/>
  <c r="K1376" i="6" s="1"/>
  <c r="O525" i="1"/>
  <c r="A525" i="6" s="1"/>
  <c r="O526" i="1"/>
  <c r="A526" i="6" s="1"/>
  <c r="K525" i="6" s="1"/>
  <c r="O527" i="1"/>
  <c r="A527" i="6" s="1"/>
  <c r="O528" i="1"/>
  <c r="A528" i="6" s="1"/>
  <c r="K1380" i="6" s="1"/>
  <c r="O529" i="1"/>
  <c r="A529" i="6" s="1"/>
  <c r="O530" i="1"/>
  <c r="A530" i="6" s="1"/>
  <c r="K529" i="6" s="1"/>
  <c r="O531" i="1"/>
  <c r="A531" i="6" s="1"/>
  <c r="K531" i="6" s="1"/>
  <c r="O532" i="1"/>
  <c r="A532" i="6" s="1"/>
  <c r="K1384" i="6" s="1"/>
  <c r="O533" i="1"/>
  <c r="A533" i="6" s="1"/>
  <c r="O534" i="1"/>
  <c r="A534" i="6" s="1"/>
  <c r="K533" i="6" s="1"/>
  <c r="O535" i="1"/>
  <c r="A535" i="6" s="1"/>
  <c r="K1387" i="6" s="1"/>
  <c r="O536" i="1"/>
  <c r="A536" i="6" s="1"/>
  <c r="K1388" i="6" s="1"/>
  <c r="O537" i="1"/>
  <c r="A537" i="6" s="1"/>
  <c r="O538" i="1"/>
  <c r="A538" i="6" s="1"/>
  <c r="O539" i="1"/>
  <c r="A539" i="6" s="1"/>
  <c r="K1391" i="6" s="1"/>
  <c r="O540" i="1"/>
  <c r="A540" i="6" s="1"/>
  <c r="K1392" i="6" s="1"/>
  <c r="O541" i="1"/>
  <c r="A541" i="6" s="1"/>
  <c r="O542" i="1"/>
  <c r="A542" i="6" s="1"/>
  <c r="K541" i="6" s="1"/>
  <c r="O543" i="1"/>
  <c r="A543" i="6" s="1"/>
  <c r="O544" i="1"/>
  <c r="A544" i="6" s="1"/>
  <c r="K1396" i="6" s="1"/>
  <c r="O545" i="1"/>
  <c r="A545" i="6" s="1"/>
  <c r="O546" i="1"/>
  <c r="A546" i="6" s="1"/>
  <c r="K545" i="6" s="1"/>
  <c r="O547" i="1"/>
  <c r="A547" i="6" s="1"/>
  <c r="K547" i="6" s="1"/>
  <c r="O548" i="1"/>
  <c r="A548" i="6" s="1"/>
  <c r="K1400" i="6" s="1"/>
  <c r="O549" i="1"/>
  <c r="A549" i="6" s="1"/>
  <c r="O550" i="1"/>
  <c r="A550" i="6" s="1"/>
  <c r="K549" i="6" s="1"/>
  <c r="O551" i="1"/>
  <c r="A551" i="6" s="1"/>
  <c r="K1403" i="6" s="1"/>
  <c r="O552" i="1"/>
  <c r="A552" i="6" s="1"/>
  <c r="K1404" i="6" s="1"/>
  <c r="O553" i="1"/>
  <c r="A553" i="6" s="1"/>
  <c r="O554" i="1"/>
  <c r="A554" i="6" s="1"/>
  <c r="O555" i="1"/>
  <c r="A555" i="6" s="1"/>
  <c r="K1407" i="6" s="1"/>
  <c r="O556" i="1"/>
  <c r="A556" i="6" s="1"/>
  <c r="K1408" i="6" s="1"/>
  <c r="O557" i="1"/>
  <c r="A557" i="6" s="1"/>
  <c r="O558" i="1"/>
  <c r="A558" i="6" s="1"/>
  <c r="K557" i="6" s="1"/>
  <c r="O559" i="1"/>
  <c r="A559" i="6" s="1"/>
  <c r="O560" i="1"/>
  <c r="A560" i="6" s="1"/>
  <c r="K1412" i="6" s="1"/>
  <c r="O561" i="1"/>
  <c r="A561" i="6" s="1"/>
  <c r="O562" i="1"/>
  <c r="A562" i="6" s="1"/>
  <c r="K561" i="6" s="1"/>
  <c r="O563" i="1"/>
  <c r="A563" i="6" s="1"/>
  <c r="K563" i="6" s="1"/>
  <c r="O564" i="1"/>
  <c r="A564" i="6" s="1"/>
  <c r="K1416" i="6" s="1"/>
  <c r="O565" i="1"/>
  <c r="A565" i="6" s="1"/>
  <c r="O566" i="1"/>
  <c r="A566" i="6" s="1"/>
  <c r="K565" i="6" s="1"/>
  <c r="O567" i="1"/>
  <c r="A567" i="6" s="1"/>
  <c r="K1419" i="6" s="1"/>
  <c r="O568" i="1"/>
  <c r="A568" i="6" s="1"/>
  <c r="K1420" i="6" s="1"/>
  <c r="O569" i="1"/>
  <c r="A569" i="6" s="1"/>
  <c r="O570" i="1"/>
  <c r="A570" i="6" s="1"/>
  <c r="O571" i="1"/>
  <c r="A571" i="6" s="1"/>
  <c r="K1423" i="6" s="1"/>
  <c r="O572" i="1"/>
  <c r="A572" i="6" s="1"/>
  <c r="K1424" i="6" s="1"/>
  <c r="O573" i="1"/>
  <c r="A573" i="6" s="1"/>
  <c r="O574" i="1"/>
  <c r="A574" i="6" s="1"/>
  <c r="K573" i="6" s="1"/>
  <c r="O575" i="1"/>
  <c r="A575" i="6" s="1"/>
  <c r="O576" i="1"/>
  <c r="A576" i="6" s="1"/>
  <c r="K1428" i="6" s="1"/>
  <c r="O577" i="1"/>
  <c r="A577" i="6" s="1"/>
  <c r="O578" i="1"/>
  <c r="A578" i="6" s="1"/>
  <c r="K577" i="6" s="1"/>
  <c r="O579" i="1"/>
  <c r="A579" i="6" s="1"/>
  <c r="K579" i="6" s="1"/>
  <c r="O580" i="1"/>
  <c r="A580" i="6" s="1"/>
  <c r="K1432" i="6" s="1"/>
  <c r="O581" i="1"/>
  <c r="A581" i="6" s="1"/>
  <c r="O582" i="1"/>
  <c r="A582" i="6" s="1"/>
  <c r="K581" i="6" s="1"/>
  <c r="O583" i="1"/>
  <c r="A583" i="6" s="1"/>
  <c r="K1435" i="6" s="1"/>
  <c r="O584" i="1"/>
  <c r="A584" i="6" s="1"/>
  <c r="K1436" i="6" s="1"/>
  <c r="O585" i="1"/>
  <c r="A585" i="6" s="1"/>
  <c r="O586" i="1"/>
  <c r="A586" i="6" s="1"/>
  <c r="O587" i="1"/>
  <c r="A587" i="6" s="1"/>
  <c r="K1439" i="6" s="1"/>
  <c r="O588" i="1"/>
  <c r="A588" i="6" s="1"/>
  <c r="K1440" i="6" s="1"/>
  <c r="O589" i="1"/>
  <c r="A589" i="6" s="1"/>
  <c r="O590" i="1"/>
  <c r="A590" i="6" s="1"/>
  <c r="K589" i="6" s="1"/>
  <c r="O591" i="1"/>
  <c r="A591" i="6" s="1"/>
  <c r="O592" i="1"/>
  <c r="A592" i="6" s="1"/>
  <c r="K1444" i="6" s="1"/>
  <c r="O593" i="1"/>
  <c r="A593" i="6" s="1"/>
  <c r="O594" i="1"/>
  <c r="A594" i="6" s="1"/>
  <c r="K593" i="6" s="1"/>
  <c r="O595" i="1"/>
  <c r="A595" i="6" s="1"/>
  <c r="K595" i="6" s="1"/>
  <c r="O596" i="1"/>
  <c r="A596" i="6" s="1"/>
  <c r="K1448" i="6" s="1"/>
  <c r="O597" i="1"/>
  <c r="A597" i="6" s="1"/>
  <c r="O598" i="1"/>
  <c r="A598" i="6" s="1"/>
  <c r="K597" i="6" s="1"/>
  <c r="O599" i="1"/>
  <c r="A599" i="6" s="1"/>
  <c r="K1451" i="6" s="1"/>
  <c r="O600" i="1"/>
  <c r="A600" i="6" s="1"/>
  <c r="K1452" i="6" s="1"/>
  <c r="O601" i="1"/>
  <c r="A601" i="6" s="1"/>
  <c r="O602" i="1"/>
  <c r="A602" i="6" s="1"/>
  <c r="O603" i="1"/>
  <c r="A603" i="6" s="1"/>
  <c r="K1455" i="6" s="1"/>
  <c r="O604" i="1"/>
  <c r="A604" i="6" s="1"/>
  <c r="K1456" i="6" s="1"/>
  <c r="O605" i="1"/>
  <c r="A605" i="6" s="1"/>
  <c r="O606" i="1"/>
  <c r="A606" i="6" s="1"/>
  <c r="K605" i="6" s="1"/>
  <c r="O607" i="1"/>
  <c r="A607" i="6" s="1"/>
  <c r="O608" i="1"/>
  <c r="A608" i="6" s="1"/>
  <c r="K1460" i="6" s="1"/>
  <c r="O609" i="1"/>
  <c r="A609" i="6" s="1"/>
  <c r="O610" i="1"/>
  <c r="A610" i="6" s="1"/>
  <c r="K609" i="6" s="1"/>
  <c r="O611" i="1"/>
  <c r="A611" i="6" s="1"/>
  <c r="K611" i="6" s="1"/>
  <c r="O612" i="1"/>
  <c r="A612" i="6" s="1"/>
  <c r="K1464" i="6" s="1"/>
  <c r="O613" i="1"/>
  <c r="A613" i="6" s="1"/>
  <c r="O614" i="1"/>
  <c r="A614" i="6" s="1"/>
  <c r="K613" i="6" s="1"/>
  <c r="O615" i="1"/>
  <c r="A615" i="6" s="1"/>
  <c r="K1467" i="6" s="1"/>
  <c r="O616" i="1"/>
  <c r="A616" i="6" s="1"/>
  <c r="K1468" i="6" s="1"/>
  <c r="O617" i="1"/>
  <c r="A617" i="6" s="1"/>
  <c r="O618" i="1"/>
  <c r="A618" i="6" s="1"/>
  <c r="O619" i="1"/>
  <c r="A619" i="6" s="1"/>
  <c r="K1471" i="6" s="1"/>
  <c r="O620" i="1"/>
  <c r="A620" i="6" s="1"/>
  <c r="K1472" i="6" s="1"/>
  <c r="O621" i="1"/>
  <c r="A621" i="6" s="1"/>
  <c r="O622" i="1"/>
  <c r="A622" i="6" s="1"/>
  <c r="K621" i="6" s="1"/>
  <c r="O623" i="1"/>
  <c r="A623" i="6" s="1"/>
  <c r="O624" i="1"/>
  <c r="A624" i="6" s="1"/>
  <c r="K1476" i="6" s="1"/>
  <c r="O625" i="1"/>
  <c r="A625" i="6" s="1"/>
  <c r="O626" i="1"/>
  <c r="A626" i="6" s="1"/>
  <c r="K625" i="6" s="1"/>
  <c r="O627" i="1"/>
  <c r="A627" i="6" s="1"/>
  <c r="K627" i="6" s="1"/>
  <c r="O628" i="1"/>
  <c r="A628" i="6" s="1"/>
  <c r="K1480" i="6" s="1"/>
  <c r="O629" i="1"/>
  <c r="A629" i="6" s="1"/>
  <c r="O630" i="1"/>
  <c r="A630" i="6" s="1"/>
  <c r="K629" i="6" s="1"/>
  <c r="O631" i="1"/>
  <c r="A631" i="6" s="1"/>
  <c r="K1483" i="6" s="1"/>
  <c r="O632" i="1"/>
  <c r="A632" i="6" s="1"/>
  <c r="K1484" i="6" s="1"/>
  <c r="O633" i="1"/>
  <c r="A633" i="6" s="1"/>
  <c r="O634" i="1"/>
  <c r="A634" i="6" s="1"/>
  <c r="O635" i="1"/>
  <c r="A635" i="6" s="1"/>
  <c r="K1487" i="6" s="1"/>
  <c r="O636" i="1"/>
  <c r="A636" i="6" s="1"/>
  <c r="K1488" i="6" s="1"/>
  <c r="O637" i="1"/>
  <c r="A637" i="6" s="1"/>
  <c r="O638" i="1"/>
  <c r="A638" i="6" s="1"/>
  <c r="K637" i="6" s="1"/>
  <c r="O639" i="1"/>
  <c r="A639" i="6" s="1"/>
  <c r="O640" i="1"/>
  <c r="A640" i="6" s="1"/>
  <c r="K1492" i="6" s="1"/>
  <c r="O641" i="1"/>
  <c r="A641" i="6" s="1"/>
  <c r="O642" i="1"/>
  <c r="A642" i="6" s="1"/>
  <c r="K641" i="6" s="1"/>
  <c r="O643" i="1"/>
  <c r="A643" i="6" s="1"/>
  <c r="K643" i="6" s="1"/>
  <c r="O644" i="1"/>
  <c r="A644" i="6" s="1"/>
  <c r="K1496" i="6" s="1"/>
  <c r="O645" i="1"/>
  <c r="A645" i="6" s="1"/>
  <c r="O646" i="1"/>
  <c r="A646" i="6" s="1"/>
  <c r="K645" i="6" s="1"/>
  <c r="O647" i="1"/>
  <c r="A647" i="6" s="1"/>
  <c r="K1499" i="6" s="1"/>
  <c r="O648" i="1"/>
  <c r="A648" i="6" s="1"/>
  <c r="K1500" i="6" s="1"/>
  <c r="O649" i="1"/>
  <c r="A649" i="6" s="1"/>
  <c r="O650" i="1"/>
  <c r="A650" i="6" s="1"/>
  <c r="O651" i="1"/>
  <c r="A651" i="6" s="1"/>
  <c r="K1503" i="6" s="1"/>
  <c r="O652" i="1"/>
  <c r="A652" i="6" s="1"/>
  <c r="K1504" i="6" s="1"/>
  <c r="O653" i="1"/>
  <c r="A653" i="6" s="1"/>
  <c r="O654" i="1"/>
  <c r="A654" i="6" s="1"/>
  <c r="K653" i="6" s="1"/>
  <c r="O655" i="1"/>
  <c r="A655" i="6" s="1"/>
  <c r="O656" i="1"/>
  <c r="A656" i="6" s="1"/>
  <c r="K1508" i="6" s="1"/>
  <c r="O657" i="1"/>
  <c r="A657" i="6" s="1"/>
  <c r="O658" i="1"/>
  <c r="A658" i="6" s="1"/>
  <c r="K657" i="6" s="1"/>
  <c r="O659" i="1"/>
  <c r="A659" i="6" s="1"/>
  <c r="K659" i="6" s="1"/>
  <c r="O660" i="1"/>
  <c r="A660" i="6" s="1"/>
  <c r="K1512" i="6" s="1"/>
  <c r="O661" i="1"/>
  <c r="A661" i="6" s="1"/>
  <c r="O662" i="1"/>
  <c r="A662" i="6" s="1"/>
  <c r="K661" i="6" s="1"/>
  <c r="O663" i="1"/>
  <c r="A663" i="6" s="1"/>
  <c r="K1515" i="6" s="1"/>
  <c r="O664" i="1"/>
  <c r="A664" i="6" s="1"/>
  <c r="K1516" i="6" s="1"/>
  <c r="O665" i="1"/>
  <c r="A665" i="6" s="1"/>
  <c r="O666" i="1"/>
  <c r="A666" i="6" s="1"/>
  <c r="O667" i="1"/>
  <c r="A667" i="6" s="1"/>
  <c r="K1519" i="6" s="1"/>
  <c r="O668" i="1"/>
  <c r="A668" i="6" s="1"/>
  <c r="K1520" i="6" s="1"/>
  <c r="O669" i="1"/>
  <c r="A669" i="6" s="1"/>
  <c r="O670" i="1"/>
  <c r="A670" i="6" s="1"/>
  <c r="K669" i="6" s="1"/>
  <c r="O671" i="1"/>
  <c r="A671" i="6" s="1"/>
  <c r="O672" i="1"/>
  <c r="A672" i="6" s="1"/>
  <c r="K1524" i="6" s="1"/>
  <c r="O673" i="1"/>
  <c r="A673" i="6" s="1"/>
  <c r="O674" i="1"/>
  <c r="A674" i="6" s="1"/>
  <c r="K673" i="6" s="1"/>
  <c r="O675" i="1"/>
  <c r="A675" i="6" s="1"/>
  <c r="K675" i="6" s="1"/>
  <c r="O676" i="1"/>
  <c r="A676" i="6" s="1"/>
  <c r="K1528" i="6" s="1"/>
  <c r="O677" i="1"/>
  <c r="A677" i="6" s="1"/>
  <c r="O678" i="1"/>
  <c r="A678" i="6" s="1"/>
  <c r="K677" i="6" s="1"/>
  <c r="O679" i="1"/>
  <c r="A679" i="6" s="1"/>
  <c r="K1531" i="6" s="1"/>
  <c r="O680" i="1"/>
  <c r="A680" i="6" s="1"/>
  <c r="K1532" i="6" s="1"/>
  <c r="O681" i="1"/>
  <c r="A681" i="6" s="1"/>
  <c r="O682" i="1"/>
  <c r="A682" i="6" s="1"/>
  <c r="O683" i="1"/>
  <c r="A683" i="6" s="1"/>
  <c r="K1535" i="6" s="1"/>
  <c r="O684" i="1"/>
  <c r="A684" i="6" s="1"/>
  <c r="K1536" i="6" s="1"/>
  <c r="O685" i="1"/>
  <c r="A685" i="6" s="1"/>
  <c r="O686" i="1"/>
  <c r="A686" i="6" s="1"/>
  <c r="K685" i="6" s="1"/>
  <c r="O687" i="1"/>
  <c r="A687" i="6" s="1"/>
  <c r="O688" i="1"/>
  <c r="A688" i="6" s="1"/>
  <c r="K1540" i="6" s="1"/>
  <c r="O689" i="1"/>
  <c r="A689" i="6" s="1"/>
  <c r="O690" i="1"/>
  <c r="A690" i="6" s="1"/>
  <c r="K689" i="6" s="1"/>
  <c r="O691" i="1"/>
  <c r="A691" i="6" s="1"/>
  <c r="K691" i="6" s="1"/>
  <c r="O692" i="1"/>
  <c r="A692" i="6" s="1"/>
  <c r="K1544" i="6" s="1"/>
  <c r="O693" i="1"/>
  <c r="A693" i="6" s="1"/>
  <c r="O694" i="1"/>
  <c r="A694" i="6" s="1"/>
  <c r="K693" i="6" s="1"/>
  <c r="O695" i="1"/>
  <c r="A695" i="6" s="1"/>
  <c r="K1547" i="6" s="1"/>
  <c r="O696" i="1"/>
  <c r="A696" i="6" s="1"/>
  <c r="K1548" i="6" s="1"/>
  <c r="O697" i="1"/>
  <c r="A697" i="6" s="1"/>
  <c r="O698" i="1"/>
  <c r="A698" i="6" s="1"/>
  <c r="O699" i="1"/>
  <c r="A699" i="6" s="1"/>
  <c r="K1551" i="6" s="1"/>
  <c r="O700" i="1"/>
  <c r="A700" i="6" s="1"/>
  <c r="K1552" i="6" s="1"/>
  <c r="O701" i="1"/>
  <c r="A701" i="6" s="1"/>
  <c r="O702" i="1"/>
  <c r="A702" i="6" s="1"/>
  <c r="K701" i="6" s="1"/>
  <c r="O703" i="1"/>
  <c r="A703" i="6" s="1"/>
  <c r="O704" i="1"/>
  <c r="A704" i="6" s="1"/>
  <c r="K1556" i="6" s="1"/>
  <c r="O705" i="1"/>
  <c r="A705" i="6" s="1"/>
  <c r="O706" i="1"/>
  <c r="A706" i="6" s="1"/>
  <c r="K705" i="6" s="1"/>
  <c r="O707" i="1"/>
  <c r="A707" i="6" s="1"/>
  <c r="K707" i="6" s="1"/>
  <c r="O708" i="1"/>
  <c r="A708" i="6" s="1"/>
  <c r="K1560" i="6" s="1"/>
  <c r="O709" i="1"/>
  <c r="A709" i="6" s="1"/>
  <c r="O710" i="1"/>
  <c r="A710" i="6" s="1"/>
  <c r="K709" i="6" s="1"/>
  <c r="O711" i="1"/>
  <c r="A711" i="6" s="1"/>
  <c r="K1563" i="6" s="1"/>
  <c r="O712" i="1"/>
  <c r="A712" i="6" s="1"/>
  <c r="K1564" i="6" s="1"/>
  <c r="O713" i="1"/>
  <c r="A713" i="6" s="1"/>
  <c r="O714" i="1"/>
  <c r="A714" i="6" s="1"/>
  <c r="O715" i="1"/>
  <c r="A715" i="6" s="1"/>
  <c r="K1567" i="6" s="1"/>
  <c r="O716" i="1"/>
  <c r="A716" i="6" s="1"/>
  <c r="K1568" i="6" s="1"/>
  <c r="O717" i="1"/>
  <c r="A717" i="6" s="1"/>
  <c r="O718" i="1"/>
  <c r="A718" i="6" s="1"/>
  <c r="K717" i="6" s="1"/>
  <c r="O719" i="1"/>
  <c r="A719" i="6" s="1"/>
  <c r="O720" i="1"/>
  <c r="A720" i="6" s="1"/>
  <c r="K1572" i="6" s="1"/>
  <c r="O721" i="1"/>
  <c r="A721" i="6" s="1"/>
  <c r="O722" i="1"/>
  <c r="A722" i="6" s="1"/>
  <c r="K721" i="6" s="1"/>
  <c r="O723" i="1"/>
  <c r="A723" i="6" s="1"/>
  <c r="K723" i="6" s="1"/>
  <c r="O724" i="1"/>
  <c r="A724" i="6" s="1"/>
  <c r="K1576" i="6" s="1"/>
  <c r="O725" i="1"/>
  <c r="A725" i="6" s="1"/>
  <c r="O726" i="1"/>
  <c r="A726" i="6" s="1"/>
  <c r="K725" i="6" s="1"/>
  <c r="O727" i="1"/>
  <c r="A727" i="6" s="1"/>
  <c r="K1579" i="6" s="1"/>
  <c r="O728" i="1"/>
  <c r="A728" i="6" s="1"/>
  <c r="K1580" i="6" s="1"/>
  <c r="O729" i="1"/>
  <c r="A729" i="6" s="1"/>
  <c r="O730" i="1"/>
  <c r="A730" i="6" s="1"/>
  <c r="O731" i="1"/>
  <c r="A731" i="6" s="1"/>
  <c r="K1583" i="6" s="1"/>
  <c r="O732" i="1"/>
  <c r="A732" i="6" s="1"/>
  <c r="K1584" i="6" s="1"/>
  <c r="O733" i="1"/>
  <c r="A733" i="6" s="1"/>
  <c r="O734" i="1"/>
  <c r="A734" i="6" s="1"/>
  <c r="K733" i="6" s="1"/>
  <c r="O735" i="1"/>
  <c r="A735" i="6" s="1"/>
  <c r="O736" i="1"/>
  <c r="A736" i="6" s="1"/>
  <c r="K1588" i="6" s="1"/>
  <c r="O737" i="1"/>
  <c r="A737" i="6" s="1"/>
  <c r="O738" i="1"/>
  <c r="A738" i="6" s="1"/>
  <c r="K737" i="6" s="1"/>
  <c r="O739" i="1"/>
  <c r="A739" i="6" s="1"/>
  <c r="K739" i="6" s="1"/>
  <c r="O740" i="1"/>
  <c r="A740" i="6" s="1"/>
  <c r="K1592" i="6" s="1"/>
  <c r="O741" i="1"/>
  <c r="A741" i="6" s="1"/>
  <c r="O742" i="1"/>
  <c r="A742" i="6" s="1"/>
  <c r="K741" i="6" s="1"/>
  <c r="O743" i="1"/>
  <c r="A743" i="6" s="1"/>
  <c r="K1595" i="6" s="1"/>
  <c r="O744" i="1"/>
  <c r="A744" i="6" s="1"/>
  <c r="K1596" i="6" s="1"/>
  <c r="O745" i="1"/>
  <c r="A745" i="6" s="1"/>
  <c r="O746" i="1"/>
  <c r="A746" i="6" s="1"/>
  <c r="O747" i="1"/>
  <c r="A747" i="6" s="1"/>
  <c r="K1599" i="6" s="1"/>
  <c r="O748" i="1"/>
  <c r="A748" i="6" s="1"/>
  <c r="K1600" i="6" s="1"/>
  <c r="O749" i="1"/>
  <c r="A749" i="6" s="1"/>
  <c r="O750" i="1"/>
  <c r="A750" i="6" s="1"/>
  <c r="K749" i="6" s="1"/>
  <c r="O751" i="1"/>
  <c r="A751" i="6" s="1"/>
  <c r="O752" i="1"/>
  <c r="A752" i="6" s="1"/>
  <c r="K1604" i="6" s="1"/>
  <c r="O753" i="1"/>
  <c r="A753" i="6" s="1"/>
  <c r="O754" i="1"/>
  <c r="A754" i="6" s="1"/>
  <c r="K753" i="6" s="1"/>
  <c r="O755" i="1"/>
  <c r="A755" i="6" s="1"/>
  <c r="K755" i="6" s="1"/>
  <c r="O756" i="1"/>
  <c r="A756" i="6" s="1"/>
  <c r="K1608" i="6" s="1"/>
  <c r="O757" i="1"/>
  <c r="A757" i="6" s="1"/>
  <c r="O758" i="1"/>
  <c r="A758" i="6" s="1"/>
  <c r="K757" i="6" s="1"/>
  <c r="O759" i="1"/>
  <c r="A759" i="6" s="1"/>
  <c r="K1611" i="6" s="1"/>
  <c r="O760" i="1"/>
  <c r="A760" i="6" s="1"/>
  <c r="K1612" i="6" s="1"/>
  <c r="O761" i="1"/>
  <c r="A761" i="6" s="1"/>
  <c r="O762" i="1"/>
  <c r="A762" i="6" s="1"/>
  <c r="O763" i="1"/>
  <c r="A763" i="6" s="1"/>
  <c r="K1615" i="6" s="1"/>
  <c r="O764" i="1"/>
  <c r="A764" i="6" s="1"/>
  <c r="K1616" i="6" s="1"/>
  <c r="O765" i="1"/>
  <c r="A765" i="6" s="1"/>
  <c r="O766" i="1"/>
  <c r="A766" i="6" s="1"/>
  <c r="K765" i="6" s="1"/>
  <c r="O767" i="1"/>
  <c r="A767" i="6" s="1"/>
  <c r="O768" i="1"/>
  <c r="A768" i="6" s="1"/>
  <c r="K1620" i="6" s="1"/>
  <c r="O769" i="1"/>
  <c r="A769" i="6" s="1"/>
  <c r="O770" i="1"/>
  <c r="A770" i="6" s="1"/>
  <c r="K769" i="6" s="1"/>
  <c r="O771" i="1"/>
  <c r="A771" i="6" s="1"/>
  <c r="K771" i="6" s="1"/>
  <c r="O772" i="1"/>
  <c r="A772" i="6" s="1"/>
  <c r="K1624" i="6" s="1"/>
  <c r="O773" i="1"/>
  <c r="A773" i="6" s="1"/>
  <c r="O774" i="1"/>
  <c r="A774" i="6" s="1"/>
  <c r="K773" i="6" s="1"/>
  <c r="O775" i="1"/>
  <c r="A775" i="6" s="1"/>
  <c r="K1627" i="6" s="1"/>
  <c r="O776" i="1"/>
  <c r="A776" i="6" s="1"/>
  <c r="K1628" i="6" s="1"/>
  <c r="O777" i="1"/>
  <c r="A777" i="6" s="1"/>
  <c r="O778" i="1"/>
  <c r="A778" i="6" s="1"/>
  <c r="O779" i="1"/>
  <c r="A779" i="6" s="1"/>
  <c r="K1631" i="6" s="1"/>
  <c r="O780" i="1"/>
  <c r="A780" i="6" s="1"/>
  <c r="K1632" i="6" s="1"/>
  <c r="O781" i="1"/>
  <c r="A781" i="6" s="1"/>
  <c r="O782" i="1"/>
  <c r="A782" i="6" s="1"/>
  <c r="K781" i="6" s="1"/>
  <c r="O783" i="1"/>
  <c r="A783" i="6" s="1"/>
  <c r="O784" i="1"/>
  <c r="A784" i="6" s="1"/>
  <c r="K1636" i="6" s="1"/>
  <c r="O785" i="1"/>
  <c r="A785" i="6" s="1"/>
  <c r="O786" i="1"/>
  <c r="A786" i="6" s="1"/>
  <c r="K785" i="6" s="1"/>
  <c r="O787" i="1"/>
  <c r="A787" i="6" s="1"/>
  <c r="K787" i="6" s="1"/>
  <c r="O788" i="1"/>
  <c r="A788" i="6" s="1"/>
  <c r="K1640" i="6" s="1"/>
  <c r="O789" i="1"/>
  <c r="A789" i="6" s="1"/>
  <c r="O790" i="1"/>
  <c r="A790" i="6" s="1"/>
  <c r="K789" i="6" s="1"/>
  <c r="O791" i="1"/>
  <c r="A791" i="6" s="1"/>
  <c r="K1643" i="6" s="1"/>
  <c r="O792" i="1"/>
  <c r="A792" i="6" s="1"/>
  <c r="K1644" i="6" s="1"/>
  <c r="O793" i="1"/>
  <c r="A793" i="6" s="1"/>
  <c r="O794" i="1"/>
  <c r="A794" i="6" s="1"/>
  <c r="O795" i="1"/>
  <c r="A795" i="6" s="1"/>
  <c r="K1647" i="6" s="1"/>
  <c r="O796" i="1"/>
  <c r="A796" i="6" s="1"/>
  <c r="K1648" i="6" s="1"/>
  <c r="O797" i="1"/>
  <c r="A797" i="6" s="1"/>
  <c r="O798" i="1"/>
  <c r="A798" i="6" s="1"/>
  <c r="K797" i="6" s="1"/>
  <c r="O799" i="1"/>
  <c r="A799" i="6" s="1"/>
  <c r="O800" i="1"/>
  <c r="A800" i="6" s="1"/>
  <c r="K1652" i="6" s="1"/>
  <c r="O801" i="1"/>
  <c r="A801" i="6" s="1"/>
  <c r="O802" i="1"/>
  <c r="A802" i="6" s="1"/>
  <c r="K801" i="6" s="1"/>
  <c r="O803" i="1"/>
  <c r="A803" i="6" s="1"/>
  <c r="K803" i="6" s="1"/>
  <c r="O804" i="1"/>
  <c r="A804" i="6" s="1"/>
  <c r="K1656" i="6" s="1"/>
  <c r="O805" i="1"/>
  <c r="A805" i="6" s="1"/>
  <c r="O806" i="1"/>
  <c r="A806" i="6" s="1"/>
  <c r="K805" i="6" s="1"/>
  <c r="O807" i="1"/>
  <c r="A807" i="6" s="1"/>
  <c r="K1659" i="6" s="1"/>
  <c r="O808" i="1"/>
  <c r="A808" i="6" s="1"/>
  <c r="K1660" i="6" s="1"/>
  <c r="O809" i="1"/>
  <c r="A809" i="6" s="1"/>
  <c r="O810" i="1"/>
  <c r="A810" i="6" s="1"/>
  <c r="O811" i="1"/>
  <c r="A811" i="6" s="1"/>
  <c r="K1663" i="6" s="1"/>
  <c r="O812" i="1"/>
  <c r="A812" i="6" s="1"/>
  <c r="K1664" i="6" s="1"/>
  <c r="O813" i="1"/>
  <c r="A813" i="6" s="1"/>
  <c r="O814" i="1"/>
  <c r="A814" i="6" s="1"/>
  <c r="K813" i="6" s="1"/>
  <c r="O815" i="1"/>
  <c r="A815" i="6" s="1"/>
  <c r="O816" i="1"/>
  <c r="A816" i="6" s="1"/>
  <c r="K1668" i="6" s="1"/>
  <c r="O817" i="1"/>
  <c r="A817" i="6" s="1"/>
  <c r="O818" i="1"/>
  <c r="A818" i="6" s="1"/>
  <c r="K817" i="6" s="1"/>
  <c r="O819" i="1"/>
  <c r="A819" i="6" s="1"/>
  <c r="K819" i="6" s="1"/>
  <c r="O820" i="1"/>
  <c r="A820" i="6" s="1"/>
  <c r="K1672" i="6" s="1"/>
  <c r="O821" i="1"/>
  <c r="A821" i="6" s="1"/>
  <c r="O822" i="1"/>
  <c r="A822" i="6" s="1"/>
  <c r="K821" i="6" s="1"/>
  <c r="O823" i="1"/>
  <c r="A823" i="6" s="1"/>
  <c r="K1675" i="6" s="1"/>
  <c r="O824" i="1"/>
  <c r="A824" i="6" s="1"/>
  <c r="K1676" i="6" s="1"/>
  <c r="O825" i="1"/>
  <c r="A825" i="6" s="1"/>
  <c r="O826" i="1"/>
  <c r="A826" i="6" s="1"/>
  <c r="O827" i="1"/>
  <c r="A827" i="6" s="1"/>
  <c r="K1679" i="6" s="1"/>
  <c r="O828" i="1"/>
  <c r="A828" i="6" s="1"/>
  <c r="K1680" i="6" s="1"/>
  <c r="O829" i="1"/>
  <c r="A829" i="6" s="1"/>
  <c r="A830" i="6"/>
  <c r="K829" i="6" s="1"/>
  <c r="O831" i="1"/>
  <c r="A831" i="6" s="1"/>
  <c r="O832" i="1"/>
  <c r="A832" i="6" s="1"/>
  <c r="K1684" i="6" s="1"/>
  <c r="O833" i="1"/>
  <c r="A833" i="6" s="1"/>
  <c r="O834" i="1"/>
  <c r="A834" i="6" s="1"/>
  <c r="K833" i="6" s="1"/>
  <c r="O835" i="1"/>
  <c r="A835" i="6" s="1"/>
  <c r="K835" i="6" s="1"/>
  <c r="O836" i="1"/>
  <c r="A836" i="6" s="1"/>
  <c r="K1688" i="6" s="1"/>
  <c r="O837" i="1"/>
  <c r="A837" i="6" s="1"/>
  <c r="O838" i="1"/>
  <c r="A838" i="6" s="1"/>
  <c r="K837" i="6" s="1"/>
  <c r="O839" i="1"/>
  <c r="A839" i="6" s="1"/>
  <c r="K839" i="6" s="1"/>
  <c r="O840" i="1"/>
  <c r="A840" i="6" s="1"/>
  <c r="K1692" i="6" s="1"/>
  <c r="O841" i="1"/>
  <c r="A841" i="6" s="1"/>
  <c r="O842" i="1"/>
  <c r="A842" i="6" s="1"/>
  <c r="K841" i="6" s="1"/>
  <c r="O843" i="1"/>
  <c r="A843" i="6" s="1"/>
  <c r="K843" i="6" s="1"/>
  <c r="O844" i="1"/>
  <c r="A844" i="6" s="1"/>
  <c r="K1696" i="6" s="1"/>
  <c r="O845" i="1"/>
  <c r="A845" i="6" s="1"/>
  <c r="O846" i="1"/>
  <c r="A846" i="6" s="1"/>
  <c r="K845" i="6" s="1"/>
  <c r="O847" i="1"/>
  <c r="A847" i="6" s="1"/>
  <c r="K847" i="6" s="1"/>
  <c r="O848" i="1"/>
  <c r="A848" i="6" s="1"/>
  <c r="K1700" i="6" s="1"/>
  <c r="O849" i="1"/>
  <c r="A849" i="6" s="1"/>
  <c r="A850" i="6"/>
  <c r="K849" i="6" s="1"/>
  <c r="A851" i="6"/>
  <c r="K851" i="6" s="1"/>
  <c r="O852" i="1"/>
  <c r="A852" i="6" s="1"/>
  <c r="K1704" i="6" s="1"/>
  <c r="O853" i="1"/>
  <c r="A853" i="6" s="1"/>
  <c r="K853" i="6" s="1"/>
  <c r="O2" i="1"/>
  <c r="A2" i="6" s="1"/>
  <c r="M846" i="1"/>
  <c r="U846" i="1" s="1"/>
  <c r="G846" i="6" s="1"/>
  <c r="M847" i="1"/>
  <c r="U847" i="1" s="1"/>
  <c r="G847" i="6" s="1"/>
  <c r="M848" i="1"/>
  <c r="U848" i="1" s="1"/>
  <c r="G848" i="6" s="1"/>
  <c r="M849" i="1"/>
  <c r="U849" i="1" s="1"/>
  <c r="G849" i="6" s="1"/>
  <c r="M852" i="1"/>
  <c r="U852" i="1" s="1"/>
  <c r="G852" i="6" s="1"/>
  <c r="U853" i="1"/>
  <c r="G853" i="6" s="1"/>
  <c r="B43" i="4"/>
  <c r="M3" i="1"/>
  <c r="U3" i="1" s="1"/>
  <c r="G3" i="6" s="1"/>
  <c r="M4" i="1"/>
  <c r="U4" i="1" s="1"/>
  <c r="G4" i="6" s="1"/>
  <c r="M5" i="1"/>
  <c r="U5" i="1" s="1"/>
  <c r="G5" i="6" s="1"/>
  <c r="M6" i="1"/>
  <c r="U6" i="1" s="1"/>
  <c r="G6" i="6" s="1"/>
  <c r="M7" i="1"/>
  <c r="U7" i="1" s="1"/>
  <c r="G7" i="6" s="1"/>
  <c r="M8" i="1"/>
  <c r="U8" i="1" s="1"/>
  <c r="G8" i="6" s="1"/>
  <c r="M9" i="1"/>
  <c r="U9" i="1" s="1"/>
  <c r="G9" i="6" s="1"/>
  <c r="M10" i="1"/>
  <c r="U10" i="1" s="1"/>
  <c r="G10" i="6" s="1"/>
  <c r="M11" i="1"/>
  <c r="U11" i="1" s="1"/>
  <c r="G11" i="6" s="1"/>
  <c r="M12" i="1"/>
  <c r="U12" i="1" s="1"/>
  <c r="G12" i="6" s="1"/>
  <c r="M13" i="1"/>
  <c r="U13" i="1" s="1"/>
  <c r="G13" i="6" s="1"/>
  <c r="M14" i="1"/>
  <c r="U14" i="1" s="1"/>
  <c r="G14" i="6" s="1"/>
  <c r="M15" i="1"/>
  <c r="U15" i="1" s="1"/>
  <c r="G15" i="6" s="1"/>
  <c r="M16" i="1"/>
  <c r="U16" i="1" s="1"/>
  <c r="G16" i="6" s="1"/>
  <c r="M17" i="1"/>
  <c r="U17" i="1" s="1"/>
  <c r="G17" i="6" s="1"/>
  <c r="M18" i="1"/>
  <c r="U18" i="1" s="1"/>
  <c r="G18" i="6" s="1"/>
  <c r="M19" i="1"/>
  <c r="U19" i="1" s="1"/>
  <c r="G19" i="6" s="1"/>
  <c r="M20" i="1"/>
  <c r="U20" i="1" s="1"/>
  <c r="G20" i="6" s="1"/>
  <c r="M21" i="1"/>
  <c r="U21" i="1" s="1"/>
  <c r="G21" i="6" s="1"/>
  <c r="M22" i="1"/>
  <c r="U22" i="1" s="1"/>
  <c r="G22" i="6" s="1"/>
  <c r="M23" i="1"/>
  <c r="U23" i="1" s="1"/>
  <c r="G23" i="6" s="1"/>
  <c r="M24" i="1"/>
  <c r="U24" i="1" s="1"/>
  <c r="G24" i="6" s="1"/>
  <c r="M25" i="1"/>
  <c r="U25" i="1" s="1"/>
  <c r="G25" i="6" s="1"/>
  <c r="M26" i="1"/>
  <c r="U26" i="1" s="1"/>
  <c r="G26" i="6" s="1"/>
  <c r="M27" i="1"/>
  <c r="U27" i="1" s="1"/>
  <c r="G27" i="6" s="1"/>
  <c r="M28" i="1"/>
  <c r="U28" i="1" s="1"/>
  <c r="G28" i="6" s="1"/>
  <c r="M29" i="1"/>
  <c r="U29" i="1" s="1"/>
  <c r="G29" i="6" s="1"/>
  <c r="M30" i="1"/>
  <c r="U30" i="1" s="1"/>
  <c r="G30" i="6" s="1"/>
  <c r="M31" i="1"/>
  <c r="U31" i="1" s="1"/>
  <c r="G31" i="6" s="1"/>
  <c r="M32" i="1"/>
  <c r="U32" i="1" s="1"/>
  <c r="G32" i="6" s="1"/>
  <c r="M33" i="1"/>
  <c r="U33" i="1" s="1"/>
  <c r="G33" i="6" s="1"/>
  <c r="M34" i="1"/>
  <c r="U34" i="1" s="1"/>
  <c r="G34" i="6" s="1"/>
  <c r="M35" i="1"/>
  <c r="U35" i="1" s="1"/>
  <c r="G35" i="6" s="1"/>
  <c r="M36" i="1"/>
  <c r="U36" i="1" s="1"/>
  <c r="G36" i="6" s="1"/>
  <c r="M37" i="1"/>
  <c r="U37" i="1" s="1"/>
  <c r="G37" i="6" s="1"/>
  <c r="M38" i="1"/>
  <c r="U38" i="1" s="1"/>
  <c r="G38" i="6" s="1"/>
  <c r="M39" i="1"/>
  <c r="U39" i="1" s="1"/>
  <c r="G39" i="6" s="1"/>
  <c r="M40" i="1"/>
  <c r="U40" i="1" s="1"/>
  <c r="G40" i="6" s="1"/>
  <c r="M41" i="1"/>
  <c r="U41" i="1" s="1"/>
  <c r="G41" i="6" s="1"/>
  <c r="M42" i="1"/>
  <c r="U42" i="1" s="1"/>
  <c r="G42" i="6" s="1"/>
  <c r="M43" i="1"/>
  <c r="U43" i="1" s="1"/>
  <c r="G43" i="6" s="1"/>
  <c r="M44" i="1"/>
  <c r="U44" i="1" s="1"/>
  <c r="G44" i="6" s="1"/>
  <c r="M45" i="1"/>
  <c r="U45" i="1" s="1"/>
  <c r="G45" i="6" s="1"/>
  <c r="M46" i="1"/>
  <c r="U46" i="1" s="1"/>
  <c r="G46" i="6" s="1"/>
  <c r="M47" i="1"/>
  <c r="U47" i="1" s="1"/>
  <c r="G47" i="6" s="1"/>
  <c r="M48" i="1"/>
  <c r="U48" i="1" s="1"/>
  <c r="G48" i="6" s="1"/>
  <c r="M49" i="1"/>
  <c r="U49" i="1" s="1"/>
  <c r="G49" i="6" s="1"/>
  <c r="M50" i="1"/>
  <c r="U50" i="1" s="1"/>
  <c r="G50" i="6" s="1"/>
  <c r="M51" i="1"/>
  <c r="U51" i="1" s="1"/>
  <c r="G51" i="6" s="1"/>
  <c r="M52" i="1"/>
  <c r="U52" i="1" s="1"/>
  <c r="G52" i="6" s="1"/>
  <c r="M53" i="1"/>
  <c r="U53" i="1" s="1"/>
  <c r="G53" i="6" s="1"/>
  <c r="M54" i="1"/>
  <c r="U54" i="1" s="1"/>
  <c r="G54" i="6" s="1"/>
  <c r="M55" i="1"/>
  <c r="U55" i="1" s="1"/>
  <c r="G55" i="6" s="1"/>
  <c r="M56" i="1"/>
  <c r="U56" i="1" s="1"/>
  <c r="G56" i="6" s="1"/>
  <c r="M57" i="1"/>
  <c r="U57" i="1" s="1"/>
  <c r="G57" i="6" s="1"/>
  <c r="M58" i="1"/>
  <c r="U58" i="1" s="1"/>
  <c r="G58" i="6" s="1"/>
  <c r="M59" i="1"/>
  <c r="U59" i="1" s="1"/>
  <c r="G59" i="6" s="1"/>
  <c r="M60" i="1"/>
  <c r="U60" i="1" s="1"/>
  <c r="G60" i="6" s="1"/>
  <c r="M61" i="1"/>
  <c r="U61" i="1" s="1"/>
  <c r="G61" i="6" s="1"/>
  <c r="M62" i="1"/>
  <c r="U62" i="1" s="1"/>
  <c r="G62" i="6" s="1"/>
  <c r="M63" i="1"/>
  <c r="U63" i="1" s="1"/>
  <c r="G63" i="6" s="1"/>
  <c r="M64" i="1"/>
  <c r="U64" i="1" s="1"/>
  <c r="G64" i="6" s="1"/>
  <c r="M65" i="1"/>
  <c r="U65" i="1" s="1"/>
  <c r="G65" i="6" s="1"/>
  <c r="M66" i="1"/>
  <c r="U66" i="1" s="1"/>
  <c r="G66" i="6" s="1"/>
  <c r="M67" i="1"/>
  <c r="U67" i="1" s="1"/>
  <c r="G67" i="6" s="1"/>
  <c r="M68" i="1"/>
  <c r="U68" i="1" s="1"/>
  <c r="G68" i="6" s="1"/>
  <c r="M69" i="1"/>
  <c r="U69" i="1" s="1"/>
  <c r="G69" i="6" s="1"/>
  <c r="M70" i="1"/>
  <c r="U70" i="1" s="1"/>
  <c r="G70" i="6" s="1"/>
  <c r="M71" i="1"/>
  <c r="U71" i="1" s="1"/>
  <c r="G71" i="6" s="1"/>
  <c r="M72" i="1"/>
  <c r="U72" i="1" s="1"/>
  <c r="G72" i="6" s="1"/>
  <c r="M73" i="1"/>
  <c r="U73" i="1" s="1"/>
  <c r="G73" i="6" s="1"/>
  <c r="M74" i="1"/>
  <c r="U74" i="1" s="1"/>
  <c r="G74" i="6" s="1"/>
  <c r="M75" i="1"/>
  <c r="U75" i="1" s="1"/>
  <c r="G75" i="6" s="1"/>
  <c r="M76" i="1"/>
  <c r="U76" i="1" s="1"/>
  <c r="G76" i="6" s="1"/>
  <c r="M77" i="1"/>
  <c r="U77" i="1" s="1"/>
  <c r="G77" i="6" s="1"/>
  <c r="M78" i="1"/>
  <c r="U78" i="1" s="1"/>
  <c r="G78" i="6" s="1"/>
  <c r="M79" i="1"/>
  <c r="U79" i="1" s="1"/>
  <c r="G79" i="6" s="1"/>
  <c r="M80" i="1"/>
  <c r="U80" i="1" s="1"/>
  <c r="G80" i="6" s="1"/>
  <c r="M81" i="1"/>
  <c r="U81" i="1" s="1"/>
  <c r="G81" i="6" s="1"/>
  <c r="M82" i="1"/>
  <c r="U82" i="1" s="1"/>
  <c r="G82" i="6" s="1"/>
  <c r="M83" i="1"/>
  <c r="U83" i="1" s="1"/>
  <c r="G83" i="6" s="1"/>
  <c r="M84" i="1"/>
  <c r="U84" i="1" s="1"/>
  <c r="G84" i="6" s="1"/>
  <c r="M85" i="1"/>
  <c r="U85" i="1" s="1"/>
  <c r="G85" i="6" s="1"/>
  <c r="M86" i="1"/>
  <c r="U86" i="1" s="1"/>
  <c r="G86" i="6" s="1"/>
  <c r="M87" i="1"/>
  <c r="U87" i="1" s="1"/>
  <c r="G87" i="6" s="1"/>
  <c r="M88" i="1"/>
  <c r="U88" i="1" s="1"/>
  <c r="G88" i="6" s="1"/>
  <c r="M89" i="1"/>
  <c r="U89" i="1" s="1"/>
  <c r="G89" i="6" s="1"/>
  <c r="M90" i="1"/>
  <c r="U90" i="1" s="1"/>
  <c r="G90" i="6" s="1"/>
  <c r="M91" i="1"/>
  <c r="U91" i="1" s="1"/>
  <c r="G91" i="6" s="1"/>
  <c r="M92" i="1"/>
  <c r="U92" i="1" s="1"/>
  <c r="G92" i="6" s="1"/>
  <c r="M93" i="1"/>
  <c r="U93" i="1" s="1"/>
  <c r="G93" i="6" s="1"/>
  <c r="M94" i="1"/>
  <c r="U94" i="1" s="1"/>
  <c r="G94" i="6" s="1"/>
  <c r="M95" i="1"/>
  <c r="U95" i="1" s="1"/>
  <c r="G95" i="6" s="1"/>
  <c r="M96" i="1"/>
  <c r="U96" i="1" s="1"/>
  <c r="G96" i="6" s="1"/>
  <c r="M97" i="1"/>
  <c r="U97" i="1" s="1"/>
  <c r="G97" i="6" s="1"/>
  <c r="M98" i="1"/>
  <c r="U98" i="1" s="1"/>
  <c r="G98" i="6" s="1"/>
  <c r="M99" i="1"/>
  <c r="U99" i="1" s="1"/>
  <c r="G99" i="6" s="1"/>
  <c r="M100" i="1"/>
  <c r="U100" i="1" s="1"/>
  <c r="G100" i="6" s="1"/>
  <c r="M101" i="1"/>
  <c r="U101" i="1" s="1"/>
  <c r="G101" i="6" s="1"/>
  <c r="M102" i="1"/>
  <c r="U102" i="1" s="1"/>
  <c r="G102" i="6" s="1"/>
  <c r="M103" i="1"/>
  <c r="U103" i="1" s="1"/>
  <c r="G103" i="6" s="1"/>
  <c r="M104" i="1"/>
  <c r="U104" i="1" s="1"/>
  <c r="G104" i="6" s="1"/>
  <c r="M105" i="1"/>
  <c r="U105" i="1" s="1"/>
  <c r="G105" i="6" s="1"/>
  <c r="M106" i="1"/>
  <c r="U106" i="1" s="1"/>
  <c r="G106" i="6" s="1"/>
  <c r="M107" i="1"/>
  <c r="U107" i="1" s="1"/>
  <c r="G107" i="6" s="1"/>
  <c r="M108" i="1"/>
  <c r="U108" i="1" s="1"/>
  <c r="G108" i="6" s="1"/>
  <c r="M109" i="1"/>
  <c r="U109" i="1" s="1"/>
  <c r="G109" i="6" s="1"/>
  <c r="M110" i="1"/>
  <c r="U110" i="1" s="1"/>
  <c r="G110" i="6" s="1"/>
  <c r="M111" i="1"/>
  <c r="U111" i="1" s="1"/>
  <c r="G111" i="6" s="1"/>
  <c r="M112" i="1"/>
  <c r="U112" i="1" s="1"/>
  <c r="G112" i="6" s="1"/>
  <c r="M113" i="1"/>
  <c r="U113" i="1" s="1"/>
  <c r="G113" i="6" s="1"/>
  <c r="M114" i="1"/>
  <c r="U114" i="1" s="1"/>
  <c r="G114" i="6" s="1"/>
  <c r="M115" i="1"/>
  <c r="U115" i="1" s="1"/>
  <c r="G115" i="6" s="1"/>
  <c r="M116" i="1"/>
  <c r="U116" i="1" s="1"/>
  <c r="G116" i="6" s="1"/>
  <c r="M117" i="1"/>
  <c r="U117" i="1" s="1"/>
  <c r="G117" i="6" s="1"/>
  <c r="M118" i="1"/>
  <c r="U118" i="1" s="1"/>
  <c r="G118" i="6" s="1"/>
  <c r="M119" i="1"/>
  <c r="U119" i="1" s="1"/>
  <c r="G119" i="6" s="1"/>
  <c r="M120" i="1"/>
  <c r="U120" i="1" s="1"/>
  <c r="G120" i="6" s="1"/>
  <c r="M121" i="1"/>
  <c r="U121" i="1" s="1"/>
  <c r="G121" i="6" s="1"/>
  <c r="M122" i="1"/>
  <c r="U122" i="1" s="1"/>
  <c r="G122" i="6" s="1"/>
  <c r="M123" i="1"/>
  <c r="U123" i="1" s="1"/>
  <c r="G123" i="6" s="1"/>
  <c r="M124" i="1"/>
  <c r="U124" i="1" s="1"/>
  <c r="G124" i="6" s="1"/>
  <c r="M125" i="1"/>
  <c r="U125" i="1" s="1"/>
  <c r="G125" i="6" s="1"/>
  <c r="M126" i="1"/>
  <c r="U126" i="1" s="1"/>
  <c r="G126" i="6" s="1"/>
  <c r="M127" i="1"/>
  <c r="U127" i="1" s="1"/>
  <c r="G127" i="6" s="1"/>
  <c r="M128" i="1"/>
  <c r="U128" i="1" s="1"/>
  <c r="G128" i="6" s="1"/>
  <c r="M129" i="1"/>
  <c r="U129" i="1" s="1"/>
  <c r="G129" i="6" s="1"/>
  <c r="M130" i="1"/>
  <c r="U130" i="1" s="1"/>
  <c r="G130" i="6" s="1"/>
  <c r="M131" i="1"/>
  <c r="U131" i="1" s="1"/>
  <c r="G131" i="6" s="1"/>
  <c r="M132" i="1"/>
  <c r="U132" i="1" s="1"/>
  <c r="G132" i="6" s="1"/>
  <c r="M133" i="1"/>
  <c r="U133" i="1" s="1"/>
  <c r="G133" i="6" s="1"/>
  <c r="M134" i="1"/>
  <c r="U134" i="1" s="1"/>
  <c r="G134" i="6" s="1"/>
  <c r="M135" i="1"/>
  <c r="U135" i="1" s="1"/>
  <c r="G135" i="6" s="1"/>
  <c r="M136" i="1"/>
  <c r="U136" i="1" s="1"/>
  <c r="G136" i="6" s="1"/>
  <c r="M137" i="1"/>
  <c r="U137" i="1" s="1"/>
  <c r="G137" i="6" s="1"/>
  <c r="M138" i="1"/>
  <c r="U138" i="1" s="1"/>
  <c r="G138" i="6" s="1"/>
  <c r="M139" i="1"/>
  <c r="U139" i="1" s="1"/>
  <c r="G139" i="6" s="1"/>
  <c r="M140" i="1"/>
  <c r="U140" i="1" s="1"/>
  <c r="G140" i="6" s="1"/>
  <c r="M141" i="1"/>
  <c r="U141" i="1" s="1"/>
  <c r="G141" i="6" s="1"/>
  <c r="M142" i="1"/>
  <c r="U142" i="1" s="1"/>
  <c r="G142" i="6" s="1"/>
  <c r="M143" i="1"/>
  <c r="U143" i="1" s="1"/>
  <c r="G143" i="6" s="1"/>
  <c r="M144" i="1"/>
  <c r="U144" i="1" s="1"/>
  <c r="G144" i="6" s="1"/>
  <c r="M145" i="1"/>
  <c r="U145" i="1" s="1"/>
  <c r="G145" i="6" s="1"/>
  <c r="M146" i="1"/>
  <c r="U146" i="1" s="1"/>
  <c r="G146" i="6" s="1"/>
  <c r="M147" i="1"/>
  <c r="U147" i="1" s="1"/>
  <c r="G147" i="6" s="1"/>
  <c r="M148" i="1"/>
  <c r="U148" i="1" s="1"/>
  <c r="G148" i="6" s="1"/>
  <c r="M149" i="1"/>
  <c r="U149" i="1" s="1"/>
  <c r="G149" i="6" s="1"/>
  <c r="M150" i="1"/>
  <c r="U150" i="1" s="1"/>
  <c r="G150" i="6" s="1"/>
  <c r="M151" i="1"/>
  <c r="U151" i="1" s="1"/>
  <c r="G151" i="6" s="1"/>
  <c r="M152" i="1"/>
  <c r="U152" i="1" s="1"/>
  <c r="G152" i="6" s="1"/>
  <c r="M153" i="1"/>
  <c r="U153" i="1" s="1"/>
  <c r="G153" i="6" s="1"/>
  <c r="M154" i="1"/>
  <c r="U154" i="1" s="1"/>
  <c r="G154" i="6" s="1"/>
  <c r="M155" i="1"/>
  <c r="U155" i="1" s="1"/>
  <c r="G155" i="6" s="1"/>
  <c r="M156" i="1"/>
  <c r="U156" i="1" s="1"/>
  <c r="G156" i="6" s="1"/>
  <c r="M157" i="1"/>
  <c r="U157" i="1" s="1"/>
  <c r="G157" i="6" s="1"/>
  <c r="M158" i="1"/>
  <c r="U158" i="1" s="1"/>
  <c r="G158" i="6" s="1"/>
  <c r="M159" i="1"/>
  <c r="U159" i="1" s="1"/>
  <c r="G159" i="6" s="1"/>
  <c r="M160" i="1"/>
  <c r="U160" i="1" s="1"/>
  <c r="G160" i="6" s="1"/>
  <c r="M161" i="1"/>
  <c r="U161" i="1" s="1"/>
  <c r="G161" i="6" s="1"/>
  <c r="M162" i="1"/>
  <c r="U162" i="1" s="1"/>
  <c r="G162" i="6" s="1"/>
  <c r="M163" i="1"/>
  <c r="U163" i="1" s="1"/>
  <c r="G163" i="6" s="1"/>
  <c r="M164" i="1"/>
  <c r="U164" i="1" s="1"/>
  <c r="G164" i="6" s="1"/>
  <c r="M165" i="1"/>
  <c r="U165" i="1" s="1"/>
  <c r="G165" i="6" s="1"/>
  <c r="M166" i="1"/>
  <c r="U166" i="1" s="1"/>
  <c r="G166" i="6" s="1"/>
  <c r="M167" i="1"/>
  <c r="U167" i="1" s="1"/>
  <c r="G167" i="6" s="1"/>
  <c r="M168" i="1"/>
  <c r="U168" i="1" s="1"/>
  <c r="G168" i="6" s="1"/>
  <c r="M169" i="1"/>
  <c r="U169" i="1" s="1"/>
  <c r="G169" i="6" s="1"/>
  <c r="M170" i="1"/>
  <c r="U170" i="1" s="1"/>
  <c r="G170" i="6" s="1"/>
  <c r="M171" i="1"/>
  <c r="U171" i="1" s="1"/>
  <c r="G171" i="6" s="1"/>
  <c r="M172" i="1"/>
  <c r="U172" i="1" s="1"/>
  <c r="G172" i="6" s="1"/>
  <c r="M173" i="1"/>
  <c r="U173" i="1" s="1"/>
  <c r="G173" i="6" s="1"/>
  <c r="M174" i="1"/>
  <c r="U174" i="1" s="1"/>
  <c r="G174" i="6" s="1"/>
  <c r="M175" i="1"/>
  <c r="U175" i="1" s="1"/>
  <c r="G175" i="6" s="1"/>
  <c r="M176" i="1"/>
  <c r="U176" i="1" s="1"/>
  <c r="G176" i="6" s="1"/>
  <c r="M177" i="1"/>
  <c r="U177" i="1" s="1"/>
  <c r="G177" i="6" s="1"/>
  <c r="M178" i="1"/>
  <c r="U178" i="1" s="1"/>
  <c r="G178" i="6" s="1"/>
  <c r="M179" i="1"/>
  <c r="U179" i="1" s="1"/>
  <c r="G179" i="6" s="1"/>
  <c r="M180" i="1"/>
  <c r="U180" i="1" s="1"/>
  <c r="G180" i="6" s="1"/>
  <c r="M181" i="1"/>
  <c r="U181" i="1" s="1"/>
  <c r="G181" i="6" s="1"/>
  <c r="M182" i="1"/>
  <c r="U182" i="1" s="1"/>
  <c r="G182" i="6" s="1"/>
  <c r="M183" i="1"/>
  <c r="U183" i="1" s="1"/>
  <c r="G183" i="6" s="1"/>
  <c r="M184" i="1"/>
  <c r="U184" i="1" s="1"/>
  <c r="G184" i="6" s="1"/>
  <c r="M185" i="1"/>
  <c r="U185" i="1" s="1"/>
  <c r="G185" i="6" s="1"/>
  <c r="M186" i="1"/>
  <c r="U186" i="1" s="1"/>
  <c r="G186" i="6" s="1"/>
  <c r="M187" i="1"/>
  <c r="U187" i="1" s="1"/>
  <c r="G187" i="6" s="1"/>
  <c r="M188" i="1"/>
  <c r="U188" i="1" s="1"/>
  <c r="G188" i="6" s="1"/>
  <c r="M189" i="1"/>
  <c r="U189" i="1" s="1"/>
  <c r="G189" i="6" s="1"/>
  <c r="M190" i="1"/>
  <c r="U190" i="1" s="1"/>
  <c r="G190" i="6" s="1"/>
  <c r="M191" i="1"/>
  <c r="U191" i="1" s="1"/>
  <c r="G191" i="6" s="1"/>
  <c r="M192" i="1"/>
  <c r="U192" i="1" s="1"/>
  <c r="G192" i="6" s="1"/>
  <c r="M193" i="1"/>
  <c r="U193" i="1" s="1"/>
  <c r="G193" i="6" s="1"/>
  <c r="M194" i="1"/>
  <c r="U194" i="1" s="1"/>
  <c r="G194" i="6" s="1"/>
  <c r="M195" i="1"/>
  <c r="U195" i="1" s="1"/>
  <c r="G195" i="6" s="1"/>
  <c r="M196" i="1"/>
  <c r="U196" i="1" s="1"/>
  <c r="G196" i="6" s="1"/>
  <c r="M197" i="1"/>
  <c r="U197" i="1" s="1"/>
  <c r="G197" i="6" s="1"/>
  <c r="M198" i="1"/>
  <c r="U198" i="1" s="1"/>
  <c r="G198" i="6" s="1"/>
  <c r="M199" i="1"/>
  <c r="U199" i="1" s="1"/>
  <c r="G199" i="6" s="1"/>
  <c r="M200" i="1"/>
  <c r="U200" i="1" s="1"/>
  <c r="G200" i="6" s="1"/>
  <c r="M201" i="1"/>
  <c r="U201" i="1" s="1"/>
  <c r="G201" i="6" s="1"/>
  <c r="M202" i="1"/>
  <c r="U202" i="1" s="1"/>
  <c r="G202" i="6" s="1"/>
  <c r="M203" i="1"/>
  <c r="U203" i="1" s="1"/>
  <c r="G203" i="6" s="1"/>
  <c r="M204" i="1"/>
  <c r="U204" i="1" s="1"/>
  <c r="G204" i="6" s="1"/>
  <c r="M205" i="1"/>
  <c r="U205" i="1" s="1"/>
  <c r="G205" i="6" s="1"/>
  <c r="M206" i="1"/>
  <c r="U206" i="1" s="1"/>
  <c r="G206" i="6" s="1"/>
  <c r="M207" i="1"/>
  <c r="U207" i="1" s="1"/>
  <c r="G207" i="6" s="1"/>
  <c r="M208" i="1"/>
  <c r="U208" i="1" s="1"/>
  <c r="G208" i="6" s="1"/>
  <c r="M209" i="1"/>
  <c r="U209" i="1" s="1"/>
  <c r="G209" i="6" s="1"/>
  <c r="M210" i="1"/>
  <c r="U210" i="1" s="1"/>
  <c r="G210" i="6" s="1"/>
  <c r="M211" i="1"/>
  <c r="U211" i="1" s="1"/>
  <c r="G211" i="6" s="1"/>
  <c r="M212" i="1"/>
  <c r="U212" i="1" s="1"/>
  <c r="G212" i="6" s="1"/>
  <c r="M213" i="1"/>
  <c r="U213" i="1" s="1"/>
  <c r="G213" i="6" s="1"/>
  <c r="M214" i="1"/>
  <c r="U214" i="1" s="1"/>
  <c r="G214" i="6" s="1"/>
  <c r="M215" i="1"/>
  <c r="U215" i="1" s="1"/>
  <c r="G215" i="6" s="1"/>
  <c r="M216" i="1"/>
  <c r="U216" i="1" s="1"/>
  <c r="G216" i="6" s="1"/>
  <c r="M217" i="1"/>
  <c r="U217" i="1" s="1"/>
  <c r="G217" i="6" s="1"/>
  <c r="M218" i="1"/>
  <c r="U218" i="1" s="1"/>
  <c r="G218" i="6" s="1"/>
  <c r="M219" i="1"/>
  <c r="U219" i="1" s="1"/>
  <c r="G219" i="6" s="1"/>
  <c r="M220" i="1"/>
  <c r="U220" i="1" s="1"/>
  <c r="G220" i="6" s="1"/>
  <c r="M221" i="1"/>
  <c r="U221" i="1" s="1"/>
  <c r="G221" i="6" s="1"/>
  <c r="M222" i="1"/>
  <c r="U222" i="1" s="1"/>
  <c r="G222" i="6" s="1"/>
  <c r="M223" i="1"/>
  <c r="U223" i="1" s="1"/>
  <c r="G223" i="6" s="1"/>
  <c r="M224" i="1"/>
  <c r="U224" i="1" s="1"/>
  <c r="G224" i="6" s="1"/>
  <c r="M225" i="1"/>
  <c r="U225" i="1" s="1"/>
  <c r="G225" i="6" s="1"/>
  <c r="M226" i="1"/>
  <c r="U226" i="1" s="1"/>
  <c r="G226" i="6" s="1"/>
  <c r="M227" i="1"/>
  <c r="U227" i="1" s="1"/>
  <c r="G227" i="6" s="1"/>
  <c r="M228" i="1"/>
  <c r="U228" i="1" s="1"/>
  <c r="G228" i="6" s="1"/>
  <c r="M229" i="1"/>
  <c r="U229" i="1" s="1"/>
  <c r="G229" i="6" s="1"/>
  <c r="M230" i="1"/>
  <c r="U230" i="1" s="1"/>
  <c r="G230" i="6" s="1"/>
  <c r="M231" i="1"/>
  <c r="U231" i="1" s="1"/>
  <c r="G231" i="6" s="1"/>
  <c r="M232" i="1"/>
  <c r="U232" i="1" s="1"/>
  <c r="G232" i="6" s="1"/>
  <c r="M233" i="1"/>
  <c r="U233" i="1" s="1"/>
  <c r="G233" i="6" s="1"/>
  <c r="M234" i="1"/>
  <c r="U234" i="1" s="1"/>
  <c r="G234" i="6" s="1"/>
  <c r="M235" i="1"/>
  <c r="U235" i="1" s="1"/>
  <c r="G235" i="6" s="1"/>
  <c r="M236" i="1"/>
  <c r="U236" i="1" s="1"/>
  <c r="G236" i="6" s="1"/>
  <c r="M237" i="1"/>
  <c r="U237" i="1" s="1"/>
  <c r="G237" i="6" s="1"/>
  <c r="M238" i="1"/>
  <c r="U238" i="1" s="1"/>
  <c r="G238" i="6" s="1"/>
  <c r="M239" i="1"/>
  <c r="U239" i="1" s="1"/>
  <c r="G239" i="6" s="1"/>
  <c r="M240" i="1"/>
  <c r="U240" i="1" s="1"/>
  <c r="G240" i="6" s="1"/>
  <c r="M241" i="1"/>
  <c r="U241" i="1" s="1"/>
  <c r="G241" i="6" s="1"/>
  <c r="M242" i="1"/>
  <c r="U242" i="1" s="1"/>
  <c r="G242" i="6" s="1"/>
  <c r="M243" i="1"/>
  <c r="U243" i="1" s="1"/>
  <c r="G243" i="6" s="1"/>
  <c r="M244" i="1"/>
  <c r="U244" i="1" s="1"/>
  <c r="G244" i="6" s="1"/>
  <c r="M245" i="1"/>
  <c r="U245" i="1" s="1"/>
  <c r="G245" i="6" s="1"/>
  <c r="M246" i="1"/>
  <c r="U246" i="1" s="1"/>
  <c r="G246" i="6" s="1"/>
  <c r="M247" i="1"/>
  <c r="U247" i="1" s="1"/>
  <c r="G247" i="6" s="1"/>
  <c r="M248" i="1"/>
  <c r="U248" i="1" s="1"/>
  <c r="G248" i="6" s="1"/>
  <c r="M249" i="1"/>
  <c r="U249" i="1" s="1"/>
  <c r="G249" i="6" s="1"/>
  <c r="M250" i="1"/>
  <c r="U250" i="1" s="1"/>
  <c r="G250" i="6" s="1"/>
  <c r="M251" i="1"/>
  <c r="U251" i="1" s="1"/>
  <c r="G251" i="6" s="1"/>
  <c r="M252" i="1"/>
  <c r="U252" i="1" s="1"/>
  <c r="G252" i="6" s="1"/>
  <c r="M253" i="1"/>
  <c r="U253" i="1" s="1"/>
  <c r="G253" i="6" s="1"/>
  <c r="M254" i="1"/>
  <c r="U254" i="1" s="1"/>
  <c r="G254" i="6" s="1"/>
  <c r="M255" i="1"/>
  <c r="U255" i="1" s="1"/>
  <c r="G255" i="6" s="1"/>
  <c r="M256" i="1"/>
  <c r="U256" i="1" s="1"/>
  <c r="G256" i="6" s="1"/>
  <c r="M257" i="1"/>
  <c r="U257" i="1" s="1"/>
  <c r="G257" i="6" s="1"/>
  <c r="M258" i="1"/>
  <c r="U258" i="1" s="1"/>
  <c r="G258" i="6" s="1"/>
  <c r="M259" i="1"/>
  <c r="U259" i="1" s="1"/>
  <c r="G259" i="6" s="1"/>
  <c r="M260" i="1"/>
  <c r="U260" i="1" s="1"/>
  <c r="G260" i="6" s="1"/>
  <c r="M261" i="1"/>
  <c r="U261" i="1" s="1"/>
  <c r="G261" i="6" s="1"/>
  <c r="M262" i="1"/>
  <c r="U262" i="1" s="1"/>
  <c r="G262" i="6" s="1"/>
  <c r="M263" i="1"/>
  <c r="U263" i="1" s="1"/>
  <c r="G263" i="6" s="1"/>
  <c r="M264" i="1"/>
  <c r="U264" i="1" s="1"/>
  <c r="G264" i="6" s="1"/>
  <c r="M265" i="1"/>
  <c r="U265" i="1" s="1"/>
  <c r="G265" i="6" s="1"/>
  <c r="M266" i="1"/>
  <c r="U266" i="1" s="1"/>
  <c r="G266" i="6" s="1"/>
  <c r="M267" i="1"/>
  <c r="U267" i="1" s="1"/>
  <c r="G267" i="6" s="1"/>
  <c r="M268" i="1"/>
  <c r="U268" i="1" s="1"/>
  <c r="G268" i="6" s="1"/>
  <c r="M269" i="1"/>
  <c r="U269" i="1" s="1"/>
  <c r="G269" i="6" s="1"/>
  <c r="M270" i="1"/>
  <c r="U270" i="1" s="1"/>
  <c r="G270" i="6" s="1"/>
  <c r="M271" i="1"/>
  <c r="U271" i="1" s="1"/>
  <c r="G271" i="6" s="1"/>
  <c r="M272" i="1"/>
  <c r="U272" i="1" s="1"/>
  <c r="G272" i="6" s="1"/>
  <c r="M273" i="1"/>
  <c r="U273" i="1" s="1"/>
  <c r="G273" i="6" s="1"/>
  <c r="M274" i="1"/>
  <c r="U274" i="1" s="1"/>
  <c r="G274" i="6" s="1"/>
  <c r="M275" i="1"/>
  <c r="U275" i="1" s="1"/>
  <c r="G275" i="6" s="1"/>
  <c r="M276" i="1"/>
  <c r="U276" i="1" s="1"/>
  <c r="G276" i="6" s="1"/>
  <c r="M277" i="1"/>
  <c r="U277" i="1" s="1"/>
  <c r="G277" i="6" s="1"/>
  <c r="M278" i="1"/>
  <c r="U278" i="1" s="1"/>
  <c r="G278" i="6" s="1"/>
  <c r="M279" i="1"/>
  <c r="U279" i="1" s="1"/>
  <c r="G279" i="6" s="1"/>
  <c r="M280" i="1"/>
  <c r="U280" i="1" s="1"/>
  <c r="G280" i="6" s="1"/>
  <c r="M281" i="1"/>
  <c r="U281" i="1" s="1"/>
  <c r="G281" i="6" s="1"/>
  <c r="M282" i="1"/>
  <c r="U282" i="1" s="1"/>
  <c r="G282" i="6" s="1"/>
  <c r="M283" i="1"/>
  <c r="U283" i="1" s="1"/>
  <c r="G283" i="6" s="1"/>
  <c r="M284" i="1"/>
  <c r="U284" i="1" s="1"/>
  <c r="G284" i="6" s="1"/>
  <c r="M285" i="1"/>
  <c r="U285" i="1" s="1"/>
  <c r="G285" i="6" s="1"/>
  <c r="M286" i="1"/>
  <c r="U286" i="1" s="1"/>
  <c r="G286" i="6" s="1"/>
  <c r="M287" i="1"/>
  <c r="U287" i="1" s="1"/>
  <c r="G287" i="6" s="1"/>
  <c r="M288" i="1"/>
  <c r="U288" i="1" s="1"/>
  <c r="G288" i="6" s="1"/>
  <c r="M289" i="1"/>
  <c r="U289" i="1" s="1"/>
  <c r="G289" i="6" s="1"/>
  <c r="M290" i="1"/>
  <c r="U290" i="1" s="1"/>
  <c r="G290" i="6" s="1"/>
  <c r="M291" i="1"/>
  <c r="U291" i="1" s="1"/>
  <c r="G291" i="6" s="1"/>
  <c r="M292" i="1"/>
  <c r="U292" i="1" s="1"/>
  <c r="G292" i="6" s="1"/>
  <c r="M293" i="1"/>
  <c r="U293" i="1" s="1"/>
  <c r="G293" i="6" s="1"/>
  <c r="M294" i="1"/>
  <c r="U294" i="1" s="1"/>
  <c r="G294" i="6" s="1"/>
  <c r="M295" i="1"/>
  <c r="U295" i="1" s="1"/>
  <c r="G295" i="6" s="1"/>
  <c r="M296" i="1"/>
  <c r="U296" i="1" s="1"/>
  <c r="G296" i="6" s="1"/>
  <c r="M297" i="1"/>
  <c r="U297" i="1" s="1"/>
  <c r="G297" i="6" s="1"/>
  <c r="M298" i="1"/>
  <c r="U298" i="1" s="1"/>
  <c r="G298" i="6" s="1"/>
  <c r="M299" i="1"/>
  <c r="U299" i="1" s="1"/>
  <c r="G299" i="6" s="1"/>
  <c r="M300" i="1"/>
  <c r="U300" i="1" s="1"/>
  <c r="G300" i="6" s="1"/>
  <c r="M301" i="1"/>
  <c r="U301" i="1" s="1"/>
  <c r="G301" i="6" s="1"/>
  <c r="M302" i="1"/>
  <c r="U302" i="1" s="1"/>
  <c r="G302" i="6" s="1"/>
  <c r="M303" i="1"/>
  <c r="U303" i="1" s="1"/>
  <c r="G303" i="6" s="1"/>
  <c r="M304" i="1"/>
  <c r="U304" i="1" s="1"/>
  <c r="G304" i="6" s="1"/>
  <c r="M305" i="1"/>
  <c r="U305" i="1" s="1"/>
  <c r="G305" i="6" s="1"/>
  <c r="M306" i="1"/>
  <c r="U306" i="1" s="1"/>
  <c r="G306" i="6" s="1"/>
  <c r="M307" i="1"/>
  <c r="U307" i="1" s="1"/>
  <c r="G307" i="6" s="1"/>
  <c r="M308" i="1"/>
  <c r="U308" i="1" s="1"/>
  <c r="G308" i="6" s="1"/>
  <c r="M309" i="1"/>
  <c r="U309" i="1" s="1"/>
  <c r="G309" i="6" s="1"/>
  <c r="M310" i="1"/>
  <c r="U310" i="1" s="1"/>
  <c r="G310" i="6" s="1"/>
  <c r="M311" i="1"/>
  <c r="U311" i="1" s="1"/>
  <c r="G311" i="6" s="1"/>
  <c r="M312" i="1"/>
  <c r="U312" i="1" s="1"/>
  <c r="G312" i="6" s="1"/>
  <c r="M313" i="1"/>
  <c r="U313" i="1" s="1"/>
  <c r="G313" i="6" s="1"/>
  <c r="M314" i="1"/>
  <c r="U314" i="1" s="1"/>
  <c r="G314" i="6" s="1"/>
  <c r="M315" i="1"/>
  <c r="U315" i="1" s="1"/>
  <c r="G315" i="6" s="1"/>
  <c r="M316" i="1"/>
  <c r="U316" i="1" s="1"/>
  <c r="G316" i="6" s="1"/>
  <c r="M317" i="1"/>
  <c r="U317" i="1" s="1"/>
  <c r="G317" i="6" s="1"/>
  <c r="M318" i="1"/>
  <c r="U318" i="1" s="1"/>
  <c r="G318" i="6" s="1"/>
  <c r="M319" i="1"/>
  <c r="U319" i="1" s="1"/>
  <c r="G319" i="6" s="1"/>
  <c r="M320" i="1"/>
  <c r="U320" i="1" s="1"/>
  <c r="G320" i="6" s="1"/>
  <c r="M321" i="1"/>
  <c r="U321" i="1" s="1"/>
  <c r="G321" i="6" s="1"/>
  <c r="M322" i="1"/>
  <c r="U322" i="1" s="1"/>
  <c r="G322" i="6" s="1"/>
  <c r="M323" i="1"/>
  <c r="U323" i="1" s="1"/>
  <c r="G323" i="6" s="1"/>
  <c r="M324" i="1"/>
  <c r="U324" i="1" s="1"/>
  <c r="G324" i="6" s="1"/>
  <c r="M325" i="1"/>
  <c r="U325" i="1" s="1"/>
  <c r="G325" i="6" s="1"/>
  <c r="M326" i="1"/>
  <c r="U326" i="1" s="1"/>
  <c r="G326" i="6" s="1"/>
  <c r="M327" i="1"/>
  <c r="U327" i="1" s="1"/>
  <c r="G327" i="6" s="1"/>
  <c r="M328" i="1"/>
  <c r="U328" i="1" s="1"/>
  <c r="G328" i="6" s="1"/>
  <c r="M329" i="1"/>
  <c r="U329" i="1" s="1"/>
  <c r="G329" i="6" s="1"/>
  <c r="M330" i="1"/>
  <c r="U330" i="1" s="1"/>
  <c r="G330" i="6" s="1"/>
  <c r="M331" i="1"/>
  <c r="U331" i="1" s="1"/>
  <c r="G331" i="6" s="1"/>
  <c r="M332" i="1"/>
  <c r="U332" i="1" s="1"/>
  <c r="G332" i="6" s="1"/>
  <c r="M333" i="1"/>
  <c r="U333" i="1" s="1"/>
  <c r="G333" i="6" s="1"/>
  <c r="M334" i="1"/>
  <c r="U334" i="1" s="1"/>
  <c r="G334" i="6" s="1"/>
  <c r="M335" i="1"/>
  <c r="U335" i="1" s="1"/>
  <c r="G335" i="6" s="1"/>
  <c r="M336" i="1"/>
  <c r="U336" i="1" s="1"/>
  <c r="G336" i="6" s="1"/>
  <c r="M337" i="1"/>
  <c r="U337" i="1" s="1"/>
  <c r="G337" i="6" s="1"/>
  <c r="M338" i="1"/>
  <c r="U338" i="1" s="1"/>
  <c r="G338" i="6" s="1"/>
  <c r="M339" i="1"/>
  <c r="U339" i="1" s="1"/>
  <c r="G339" i="6" s="1"/>
  <c r="M340" i="1"/>
  <c r="U340" i="1" s="1"/>
  <c r="G340" i="6" s="1"/>
  <c r="M341" i="1"/>
  <c r="U341" i="1" s="1"/>
  <c r="G341" i="6" s="1"/>
  <c r="M342" i="1"/>
  <c r="U342" i="1" s="1"/>
  <c r="G342" i="6" s="1"/>
  <c r="M343" i="1"/>
  <c r="U343" i="1" s="1"/>
  <c r="G343" i="6" s="1"/>
  <c r="M344" i="1"/>
  <c r="U344" i="1" s="1"/>
  <c r="G344" i="6" s="1"/>
  <c r="M345" i="1"/>
  <c r="U345" i="1" s="1"/>
  <c r="G345" i="6" s="1"/>
  <c r="M346" i="1"/>
  <c r="U346" i="1" s="1"/>
  <c r="G346" i="6" s="1"/>
  <c r="M347" i="1"/>
  <c r="U347" i="1" s="1"/>
  <c r="G347" i="6" s="1"/>
  <c r="M348" i="1"/>
  <c r="U348" i="1" s="1"/>
  <c r="G348" i="6" s="1"/>
  <c r="M349" i="1"/>
  <c r="U349" i="1" s="1"/>
  <c r="G349" i="6" s="1"/>
  <c r="M350" i="1"/>
  <c r="U350" i="1" s="1"/>
  <c r="G350" i="6" s="1"/>
  <c r="M351" i="1"/>
  <c r="U351" i="1" s="1"/>
  <c r="G351" i="6" s="1"/>
  <c r="M352" i="1"/>
  <c r="U352" i="1" s="1"/>
  <c r="G352" i="6" s="1"/>
  <c r="M353" i="1"/>
  <c r="U353" i="1" s="1"/>
  <c r="G353" i="6" s="1"/>
  <c r="M354" i="1"/>
  <c r="U354" i="1" s="1"/>
  <c r="G354" i="6" s="1"/>
  <c r="M355" i="1"/>
  <c r="U355" i="1" s="1"/>
  <c r="G355" i="6" s="1"/>
  <c r="M356" i="1"/>
  <c r="U356" i="1" s="1"/>
  <c r="G356" i="6" s="1"/>
  <c r="M357" i="1"/>
  <c r="U357" i="1" s="1"/>
  <c r="G357" i="6" s="1"/>
  <c r="M358" i="1"/>
  <c r="U358" i="1" s="1"/>
  <c r="G358" i="6" s="1"/>
  <c r="M359" i="1"/>
  <c r="U359" i="1" s="1"/>
  <c r="G359" i="6" s="1"/>
  <c r="M360" i="1"/>
  <c r="U360" i="1" s="1"/>
  <c r="G360" i="6" s="1"/>
  <c r="M361" i="1"/>
  <c r="U361" i="1" s="1"/>
  <c r="G361" i="6" s="1"/>
  <c r="M362" i="1"/>
  <c r="U362" i="1" s="1"/>
  <c r="G362" i="6" s="1"/>
  <c r="M363" i="1"/>
  <c r="U363" i="1" s="1"/>
  <c r="G363" i="6" s="1"/>
  <c r="M364" i="1"/>
  <c r="U364" i="1" s="1"/>
  <c r="G364" i="6" s="1"/>
  <c r="M365" i="1"/>
  <c r="U365" i="1" s="1"/>
  <c r="G365" i="6" s="1"/>
  <c r="M366" i="1"/>
  <c r="U366" i="1" s="1"/>
  <c r="G366" i="6" s="1"/>
  <c r="M367" i="1"/>
  <c r="U367" i="1" s="1"/>
  <c r="G367" i="6" s="1"/>
  <c r="M368" i="1"/>
  <c r="U368" i="1" s="1"/>
  <c r="G368" i="6" s="1"/>
  <c r="M369" i="1"/>
  <c r="U369" i="1" s="1"/>
  <c r="G369" i="6" s="1"/>
  <c r="M370" i="1"/>
  <c r="U370" i="1" s="1"/>
  <c r="G370" i="6" s="1"/>
  <c r="M371" i="1"/>
  <c r="U371" i="1" s="1"/>
  <c r="G371" i="6" s="1"/>
  <c r="M372" i="1"/>
  <c r="U372" i="1" s="1"/>
  <c r="G372" i="6" s="1"/>
  <c r="M373" i="1"/>
  <c r="U373" i="1" s="1"/>
  <c r="G373" i="6" s="1"/>
  <c r="M374" i="1"/>
  <c r="U374" i="1" s="1"/>
  <c r="G374" i="6" s="1"/>
  <c r="M375" i="1"/>
  <c r="U375" i="1" s="1"/>
  <c r="G375" i="6" s="1"/>
  <c r="M376" i="1"/>
  <c r="U376" i="1" s="1"/>
  <c r="G376" i="6" s="1"/>
  <c r="M377" i="1"/>
  <c r="U377" i="1" s="1"/>
  <c r="G377" i="6" s="1"/>
  <c r="M378" i="1"/>
  <c r="U378" i="1" s="1"/>
  <c r="G378" i="6" s="1"/>
  <c r="M379" i="1"/>
  <c r="U379" i="1" s="1"/>
  <c r="G379" i="6" s="1"/>
  <c r="M380" i="1"/>
  <c r="U380" i="1" s="1"/>
  <c r="G380" i="6" s="1"/>
  <c r="M381" i="1"/>
  <c r="U381" i="1" s="1"/>
  <c r="G381" i="6" s="1"/>
  <c r="M382" i="1"/>
  <c r="U382" i="1" s="1"/>
  <c r="G382" i="6" s="1"/>
  <c r="M383" i="1"/>
  <c r="U383" i="1" s="1"/>
  <c r="G383" i="6" s="1"/>
  <c r="M384" i="1"/>
  <c r="U384" i="1" s="1"/>
  <c r="G384" i="6" s="1"/>
  <c r="M385" i="1"/>
  <c r="U385" i="1" s="1"/>
  <c r="G385" i="6" s="1"/>
  <c r="M386" i="1"/>
  <c r="U386" i="1" s="1"/>
  <c r="G386" i="6" s="1"/>
  <c r="M387" i="1"/>
  <c r="U387" i="1" s="1"/>
  <c r="G387" i="6" s="1"/>
  <c r="M388" i="1"/>
  <c r="U388" i="1" s="1"/>
  <c r="G388" i="6" s="1"/>
  <c r="M389" i="1"/>
  <c r="U389" i="1" s="1"/>
  <c r="G389" i="6" s="1"/>
  <c r="M390" i="1"/>
  <c r="U390" i="1" s="1"/>
  <c r="G390" i="6" s="1"/>
  <c r="M391" i="1"/>
  <c r="U391" i="1" s="1"/>
  <c r="G391" i="6" s="1"/>
  <c r="M392" i="1"/>
  <c r="U392" i="1" s="1"/>
  <c r="G392" i="6" s="1"/>
  <c r="M393" i="1"/>
  <c r="U393" i="1" s="1"/>
  <c r="G393" i="6" s="1"/>
  <c r="M394" i="1"/>
  <c r="U394" i="1" s="1"/>
  <c r="G394" i="6" s="1"/>
  <c r="M395" i="1"/>
  <c r="U395" i="1" s="1"/>
  <c r="G395" i="6" s="1"/>
  <c r="M396" i="1"/>
  <c r="U396" i="1" s="1"/>
  <c r="G396" i="6" s="1"/>
  <c r="M397" i="1"/>
  <c r="U397" i="1" s="1"/>
  <c r="G397" i="6" s="1"/>
  <c r="M398" i="1"/>
  <c r="U398" i="1" s="1"/>
  <c r="G398" i="6" s="1"/>
  <c r="M399" i="1"/>
  <c r="U399" i="1" s="1"/>
  <c r="G399" i="6" s="1"/>
  <c r="M400" i="1"/>
  <c r="U400" i="1" s="1"/>
  <c r="G400" i="6" s="1"/>
  <c r="M401" i="1"/>
  <c r="U401" i="1" s="1"/>
  <c r="G401" i="6" s="1"/>
  <c r="M402" i="1"/>
  <c r="U402" i="1" s="1"/>
  <c r="G402" i="6" s="1"/>
  <c r="M403" i="1"/>
  <c r="U403" i="1" s="1"/>
  <c r="G403" i="6" s="1"/>
  <c r="M404" i="1"/>
  <c r="U404" i="1" s="1"/>
  <c r="G404" i="6" s="1"/>
  <c r="M405" i="1"/>
  <c r="U405" i="1" s="1"/>
  <c r="G405" i="6" s="1"/>
  <c r="M406" i="1"/>
  <c r="U406" i="1" s="1"/>
  <c r="G406" i="6" s="1"/>
  <c r="M407" i="1"/>
  <c r="U407" i="1" s="1"/>
  <c r="G407" i="6" s="1"/>
  <c r="M408" i="1"/>
  <c r="U408" i="1" s="1"/>
  <c r="G408" i="6" s="1"/>
  <c r="M409" i="1"/>
  <c r="U409" i="1" s="1"/>
  <c r="G409" i="6" s="1"/>
  <c r="M410" i="1"/>
  <c r="U410" i="1" s="1"/>
  <c r="G410" i="6" s="1"/>
  <c r="M411" i="1"/>
  <c r="U411" i="1" s="1"/>
  <c r="G411" i="6" s="1"/>
  <c r="M412" i="1"/>
  <c r="U412" i="1" s="1"/>
  <c r="G412" i="6" s="1"/>
  <c r="M413" i="1"/>
  <c r="U413" i="1" s="1"/>
  <c r="G413" i="6" s="1"/>
  <c r="M414" i="1"/>
  <c r="U414" i="1" s="1"/>
  <c r="G414" i="6" s="1"/>
  <c r="M415" i="1"/>
  <c r="U415" i="1" s="1"/>
  <c r="G415" i="6" s="1"/>
  <c r="M416" i="1"/>
  <c r="U416" i="1" s="1"/>
  <c r="G416" i="6" s="1"/>
  <c r="M417" i="1"/>
  <c r="U417" i="1" s="1"/>
  <c r="G417" i="6" s="1"/>
  <c r="M418" i="1"/>
  <c r="U418" i="1" s="1"/>
  <c r="G418" i="6" s="1"/>
  <c r="M419" i="1"/>
  <c r="U419" i="1" s="1"/>
  <c r="G419" i="6" s="1"/>
  <c r="M420" i="1"/>
  <c r="U420" i="1" s="1"/>
  <c r="G420" i="6" s="1"/>
  <c r="M421" i="1"/>
  <c r="U421" i="1" s="1"/>
  <c r="G421" i="6" s="1"/>
  <c r="M422" i="1"/>
  <c r="U422" i="1" s="1"/>
  <c r="G422" i="6" s="1"/>
  <c r="M423" i="1"/>
  <c r="U423" i="1" s="1"/>
  <c r="G423" i="6" s="1"/>
  <c r="M424" i="1"/>
  <c r="U424" i="1" s="1"/>
  <c r="G424" i="6" s="1"/>
  <c r="M425" i="1"/>
  <c r="U425" i="1" s="1"/>
  <c r="G425" i="6" s="1"/>
  <c r="M426" i="1"/>
  <c r="U426" i="1" s="1"/>
  <c r="G426" i="6" s="1"/>
  <c r="M427" i="1"/>
  <c r="U427" i="1" s="1"/>
  <c r="G427" i="6" s="1"/>
  <c r="M428" i="1"/>
  <c r="U428" i="1" s="1"/>
  <c r="G428" i="6" s="1"/>
  <c r="M429" i="1"/>
  <c r="U429" i="1" s="1"/>
  <c r="G429" i="6" s="1"/>
  <c r="M430" i="1"/>
  <c r="U430" i="1" s="1"/>
  <c r="G430" i="6" s="1"/>
  <c r="M431" i="1"/>
  <c r="U431" i="1" s="1"/>
  <c r="G431" i="6" s="1"/>
  <c r="M432" i="1"/>
  <c r="U432" i="1" s="1"/>
  <c r="G432" i="6" s="1"/>
  <c r="M433" i="1"/>
  <c r="U433" i="1" s="1"/>
  <c r="G433" i="6" s="1"/>
  <c r="M434" i="1"/>
  <c r="U434" i="1" s="1"/>
  <c r="G434" i="6" s="1"/>
  <c r="M435" i="1"/>
  <c r="U435" i="1" s="1"/>
  <c r="G435" i="6" s="1"/>
  <c r="M436" i="1"/>
  <c r="U436" i="1" s="1"/>
  <c r="G436" i="6" s="1"/>
  <c r="M437" i="1"/>
  <c r="U437" i="1" s="1"/>
  <c r="G437" i="6" s="1"/>
  <c r="M438" i="1"/>
  <c r="U438" i="1" s="1"/>
  <c r="G438" i="6" s="1"/>
  <c r="M439" i="1"/>
  <c r="U439" i="1" s="1"/>
  <c r="G439" i="6" s="1"/>
  <c r="M440" i="1"/>
  <c r="U440" i="1" s="1"/>
  <c r="G440" i="6" s="1"/>
  <c r="M441" i="1"/>
  <c r="U441" i="1" s="1"/>
  <c r="G441" i="6" s="1"/>
  <c r="M442" i="1"/>
  <c r="U442" i="1" s="1"/>
  <c r="G442" i="6" s="1"/>
  <c r="M443" i="1"/>
  <c r="U443" i="1" s="1"/>
  <c r="G443" i="6" s="1"/>
  <c r="M444" i="1"/>
  <c r="U444" i="1" s="1"/>
  <c r="G444" i="6" s="1"/>
  <c r="M445" i="1"/>
  <c r="U445" i="1" s="1"/>
  <c r="G445" i="6" s="1"/>
  <c r="M446" i="1"/>
  <c r="U446" i="1" s="1"/>
  <c r="G446" i="6" s="1"/>
  <c r="M447" i="1"/>
  <c r="U447" i="1" s="1"/>
  <c r="G447" i="6" s="1"/>
  <c r="M448" i="1"/>
  <c r="U448" i="1" s="1"/>
  <c r="G448" i="6" s="1"/>
  <c r="M449" i="1"/>
  <c r="U449" i="1" s="1"/>
  <c r="G449" i="6" s="1"/>
  <c r="M450" i="1"/>
  <c r="U450" i="1" s="1"/>
  <c r="G450" i="6" s="1"/>
  <c r="M451" i="1"/>
  <c r="U451" i="1" s="1"/>
  <c r="G451" i="6" s="1"/>
  <c r="M452" i="1"/>
  <c r="U452" i="1" s="1"/>
  <c r="G452" i="6" s="1"/>
  <c r="M453" i="1"/>
  <c r="U453" i="1" s="1"/>
  <c r="G453" i="6" s="1"/>
  <c r="M454" i="1"/>
  <c r="U454" i="1" s="1"/>
  <c r="G454" i="6" s="1"/>
  <c r="M455" i="1"/>
  <c r="U455" i="1" s="1"/>
  <c r="G455" i="6" s="1"/>
  <c r="M456" i="1"/>
  <c r="U456" i="1" s="1"/>
  <c r="G456" i="6" s="1"/>
  <c r="M457" i="1"/>
  <c r="U457" i="1" s="1"/>
  <c r="G457" i="6" s="1"/>
  <c r="M458" i="1"/>
  <c r="U458" i="1" s="1"/>
  <c r="G458" i="6" s="1"/>
  <c r="M459" i="1"/>
  <c r="U459" i="1" s="1"/>
  <c r="G459" i="6" s="1"/>
  <c r="M460" i="1"/>
  <c r="U460" i="1" s="1"/>
  <c r="G460" i="6" s="1"/>
  <c r="M461" i="1"/>
  <c r="U461" i="1" s="1"/>
  <c r="G461" i="6" s="1"/>
  <c r="M462" i="1"/>
  <c r="U462" i="1" s="1"/>
  <c r="G462" i="6" s="1"/>
  <c r="M463" i="1"/>
  <c r="U463" i="1" s="1"/>
  <c r="G463" i="6" s="1"/>
  <c r="M464" i="1"/>
  <c r="U464" i="1" s="1"/>
  <c r="G464" i="6" s="1"/>
  <c r="M465" i="1"/>
  <c r="U465" i="1" s="1"/>
  <c r="G465" i="6" s="1"/>
  <c r="M466" i="1"/>
  <c r="U466" i="1" s="1"/>
  <c r="G466" i="6" s="1"/>
  <c r="M467" i="1"/>
  <c r="U467" i="1" s="1"/>
  <c r="G467" i="6" s="1"/>
  <c r="M468" i="1"/>
  <c r="U468" i="1" s="1"/>
  <c r="G468" i="6" s="1"/>
  <c r="M469" i="1"/>
  <c r="U469" i="1" s="1"/>
  <c r="G469" i="6" s="1"/>
  <c r="M470" i="1"/>
  <c r="U470" i="1" s="1"/>
  <c r="G470" i="6" s="1"/>
  <c r="M471" i="1"/>
  <c r="U471" i="1" s="1"/>
  <c r="G471" i="6" s="1"/>
  <c r="M472" i="1"/>
  <c r="U472" i="1" s="1"/>
  <c r="G472" i="6" s="1"/>
  <c r="M473" i="1"/>
  <c r="U473" i="1" s="1"/>
  <c r="G473" i="6" s="1"/>
  <c r="M474" i="1"/>
  <c r="U474" i="1" s="1"/>
  <c r="G474" i="6" s="1"/>
  <c r="M475" i="1"/>
  <c r="U475" i="1" s="1"/>
  <c r="G475" i="6" s="1"/>
  <c r="M476" i="1"/>
  <c r="U476" i="1" s="1"/>
  <c r="G476" i="6" s="1"/>
  <c r="M477" i="1"/>
  <c r="U477" i="1" s="1"/>
  <c r="G477" i="6" s="1"/>
  <c r="M478" i="1"/>
  <c r="U478" i="1" s="1"/>
  <c r="G478" i="6" s="1"/>
  <c r="M479" i="1"/>
  <c r="U479" i="1" s="1"/>
  <c r="G479" i="6" s="1"/>
  <c r="M480" i="1"/>
  <c r="U480" i="1" s="1"/>
  <c r="G480" i="6" s="1"/>
  <c r="M481" i="1"/>
  <c r="U481" i="1" s="1"/>
  <c r="G481" i="6" s="1"/>
  <c r="M482" i="1"/>
  <c r="U482" i="1" s="1"/>
  <c r="G482" i="6" s="1"/>
  <c r="M483" i="1"/>
  <c r="U483" i="1" s="1"/>
  <c r="G483" i="6" s="1"/>
  <c r="M484" i="1"/>
  <c r="U484" i="1" s="1"/>
  <c r="G484" i="6" s="1"/>
  <c r="M485" i="1"/>
  <c r="U485" i="1" s="1"/>
  <c r="G485" i="6" s="1"/>
  <c r="M486" i="1"/>
  <c r="U486" i="1" s="1"/>
  <c r="G486" i="6" s="1"/>
  <c r="M487" i="1"/>
  <c r="U487" i="1" s="1"/>
  <c r="G487" i="6" s="1"/>
  <c r="M488" i="1"/>
  <c r="U488" i="1" s="1"/>
  <c r="G488" i="6" s="1"/>
  <c r="M489" i="1"/>
  <c r="U489" i="1" s="1"/>
  <c r="G489" i="6" s="1"/>
  <c r="M490" i="1"/>
  <c r="U490" i="1" s="1"/>
  <c r="G490" i="6" s="1"/>
  <c r="M491" i="1"/>
  <c r="U491" i="1" s="1"/>
  <c r="G491" i="6" s="1"/>
  <c r="M492" i="1"/>
  <c r="U492" i="1" s="1"/>
  <c r="G492" i="6" s="1"/>
  <c r="M493" i="1"/>
  <c r="U493" i="1" s="1"/>
  <c r="G493" i="6" s="1"/>
  <c r="M494" i="1"/>
  <c r="U494" i="1" s="1"/>
  <c r="G494" i="6" s="1"/>
  <c r="M495" i="1"/>
  <c r="U495" i="1" s="1"/>
  <c r="G495" i="6" s="1"/>
  <c r="M496" i="1"/>
  <c r="U496" i="1" s="1"/>
  <c r="G496" i="6" s="1"/>
  <c r="M497" i="1"/>
  <c r="U497" i="1" s="1"/>
  <c r="G497" i="6" s="1"/>
  <c r="M498" i="1"/>
  <c r="U498" i="1" s="1"/>
  <c r="G498" i="6" s="1"/>
  <c r="M499" i="1"/>
  <c r="U499" i="1" s="1"/>
  <c r="G499" i="6" s="1"/>
  <c r="M500" i="1"/>
  <c r="U500" i="1" s="1"/>
  <c r="G500" i="6" s="1"/>
  <c r="M501" i="1"/>
  <c r="U501" i="1" s="1"/>
  <c r="G501" i="6" s="1"/>
  <c r="M502" i="1"/>
  <c r="U502" i="1" s="1"/>
  <c r="G502" i="6" s="1"/>
  <c r="M503" i="1"/>
  <c r="U503" i="1" s="1"/>
  <c r="G503" i="6" s="1"/>
  <c r="M504" i="1"/>
  <c r="U504" i="1" s="1"/>
  <c r="G504" i="6" s="1"/>
  <c r="M505" i="1"/>
  <c r="U505" i="1" s="1"/>
  <c r="G505" i="6" s="1"/>
  <c r="M506" i="1"/>
  <c r="U506" i="1" s="1"/>
  <c r="G506" i="6" s="1"/>
  <c r="M507" i="1"/>
  <c r="U507" i="1" s="1"/>
  <c r="G507" i="6" s="1"/>
  <c r="M508" i="1"/>
  <c r="U508" i="1" s="1"/>
  <c r="G508" i="6" s="1"/>
  <c r="M509" i="1"/>
  <c r="U509" i="1" s="1"/>
  <c r="G509" i="6" s="1"/>
  <c r="M510" i="1"/>
  <c r="U510" i="1" s="1"/>
  <c r="G510" i="6" s="1"/>
  <c r="M511" i="1"/>
  <c r="U511" i="1" s="1"/>
  <c r="G511" i="6" s="1"/>
  <c r="M512" i="1"/>
  <c r="U512" i="1" s="1"/>
  <c r="G512" i="6" s="1"/>
  <c r="M513" i="1"/>
  <c r="U513" i="1" s="1"/>
  <c r="G513" i="6" s="1"/>
  <c r="M514" i="1"/>
  <c r="U514" i="1" s="1"/>
  <c r="G514" i="6" s="1"/>
  <c r="M515" i="1"/>
  <c r="U515" i="1" s="1"/>
  <c r="G515" i="6" s="1"/>
  <c r="M516" i="1"/>
  <c r="U516" i="1" s="1"/>
  <c r="G516" i="6" s="1"/>
  <c r="M517" i="1"/>
  <c r="U517" i="1" s="1"/>
  <c r="G517" i="6" s="1"/>
  <c r="M518" i="1"/>
  <c r="U518" i="1" s="1"/>
  <c r="G518" i="6" s="1"/>
  <c r="M519" i="1"/>
  <c r="U519" i="1" s="1"/>
  <c r="G519" i="6" s="1"/>
  <c r="M520" i="1"/>
  <c r="U520" i="1" s="1"/>
  <c r="G520" i="6" s="1"/>
  <c r="M521" i="1"/>
  <c r="U521" i="1" s="1"/>
  <c r="G521" i="6" s="1"/>
  <c r="M522" i="1"/>
  <c r="U522" i="1" s="1"/>
  <c r="G522" i="6" s="1"/>
  <c r="M523" i="1"/>
  <c r="U523" i="1" s="1"/>
  <c r="G523" i="6" s="1"/>
  <c r="M524" i="1"/>
  <c r="U524" i="1" s="1"/>
  <c r="G524" i="6" s="1"/>
  <c r="M525" i="1"/>
  <c r="U525" i="1" s="1"/>
  <c r="G525" i="6" s="1"/>
  <c r="M526" i="1"/>
  <c r="U526" i="1" s="1"/>
  <c r="G526" i="6" s="1"/>
  <c r="M527" i="1"/>
  <c r="U527" i="1" s="1"/>
  <c r="G527" i="6" s="1"/>
  <c r="M528" i="1"/>
  <c r="U528" i="1" s="1"/>
  <c r="G528" i="6" s="1"/>
  <c r="M529" i="1"/>
  <c r="U529" i="1" s="1"/>
  <c r="G529" i="6" s="1"/>
  <c r="M530" i="1"/>
  <c r="U530" i="1" s="1"/>
  <c r="G530" i="6" s="1"/>
  <c r="M531" i="1"/>
  <c r="U531" i="1" s="1"/>
  <c r="G531" i="6" s="1"/>
  <c r="M532" i="1"/>
  <c r="U532" i="1" s="1"/>
  <c r="G532" i="6" s="1"/>
  <c r="M533" i="1"/>
  <c r="U533" i="1" s="1"/>
  <c r="G533" i="6" s="1"/>
  <c r="M534" i="1"/>
  <c r="U534" i="1" s="1"/>
  <c r="G534" i="6" s="1"/>
  <c r="M535" i="1"/>
  <c r="U535" i="1" s="1"/>
  <c r="G535" i="6" s="1"/>
  <c r="M536" i="1"/>
  <c r="U536" i="1" s="1"/>
  <c r="G536" i="6" s="1"/>
  <c r="M537" i="1"/>
  <c r="U537" i="1" s="1"/>
  <c r="G537" i="6" s="1"/>
  <c r="M538" i="1"/>
  <c r="U538" i="1" s="1"/>
  <c r="G538" i="6" s="1"/>
  <c r="M539" i="1"/>
  <c r="U539" i="1" s="1"/>
  <c r="G539" i="6" s="1"/>
  <c r="M540" i="1"/>
  <c r="U540" i="1" s="1"/>
  <c r="G540" i="6" s="1"/>
  <c r="M541" i="1"/>
  <c r="U541" i="1" s="1"/>
  <c r="G541" i="6" s="1"/>
  <c r="M542" i="1"/>
  <c r="U542" i="1" s="1"/>
  <c r="G542" i="6" s="1"/>
  <c r="M543" i="1"/>
  <c r="U543" i="1" s="1"/>
  <c r="G543" i="6" s="1"/>
  <c r="M544" i="1"/>
  <c r="U544" i="1" s="1"/>
  <c r="G544" i="6" s="1"/>
  <c r="M545" i="1"/>
  <c r="U545" i="1" s="1"/>
  <c r="G545" i="6" s="1"/>
  <c r="M546" i="1"/>
  <c r="U546" i="1" s="1"/>
  <c r="G546" i="6" s="1"/>
  <c r="M547" i="1"/>
  <c r="U547" i="1" s="1"/>
  <c r="G547" i="6" s="1"/>
  <c r="M548" i="1"/>
  <c r="U548" i="1" s="1"/>
  <c r="G548" i="6" s="1"/>
  <c r="M549" i="1"/>
  <c r="U549" i="1" s="1"/>
  <c r="G549" i="6" s="1"/>
  <c r="M550" i="1"/>
  <c r="U550" i="1" s="1"/>
  <c r="G550" i="6" s="1"/>
  <c r="M551" i="1"/>
  <c r="U551" i="1" s="1"/>
  <c r="G551" i="6" s="1"/>
  <c r="M552" i="1"/>
  <c r="U552" i="1" s="1"/>
  <c r="G552" i="6" s="1"/>
  <c r="M553" i="1"/>
  <c r="U553" i="1" s="1"/>
  <c r="G553" i="6" s="1"/>
  <c r="M554" i="1"/>
  <c r="U554" i="1" s="1"/>
  <c r="G554" i="6" s="1"/>
  <c r="M555" i="1"/>
  <c r="U555" i="1" s="1"/>
  <c r="G555" i="6" s="1"/>
  <c r="M556" i="1"/>
  <c r="U556" i="1" s="1"/>
  <c r="G556" i="6" s="1"/>
  <c r="M557" i="1"/>
  <c r="U557" i="1" s="1"/>
  <c r="G557" i="6" s="1"/>
  <c r="M558" i="1"/>
  <c r="U558" i="1" s="1"/>
  <c r="G558" i="6" s="1"/>
  <c r="M559" i="1"/>
  <c r="U559" i="1" s="1"/>
  <c r="G559" i="6" s="1"/>
  <c r="M560" i="1"/>
  <c r="U560" i="1" s="1"/>
  <c r="G560" i="6" s="1"/>
  <c r="M561" i="1"/>
  <c r="U561" i="1" s="1"/>
  <c r="G561" i="6" s="1"/>
  <c r="M562" i="1"/>
  <c r="U562" i="1" s="1"/>
  <c r="G562" i="6" s="1"/>
  <c r="M563" i="1"/>
  <c r="U563" i="1" s="1"/>
  <c r="G563" i="6" s="1"/>
  <c r="M564" i="1"/>
  <c r="U564" i="1" s="1"/>
  <c r="G564" i="6" s="1"/>
  <c r="M565" i="1"/>
  <c r="U565" i="1" s="1"/>
  <c r="G565" i="6" s="1"/>
  <c r="M566" i="1"/>
  <c r="U566" i="1" s="1"/>
  <c r="G566" i="6" s="1"/>
  <c r="M567" i="1"/>
  <c r="U567" i="1" s="1"/>
  <c r="G567" i="6" s="1"/>
  <c r="M568" i="1"/>
  <c r="U568" i="1" s="1"/>
  <c r="G568" i="6" s="1"/>
  <c r="M569" i="1"/>
  <c r="U569" i="1" s="1"/>
  <c r="G569" i="6" s="1"/>
  <c r="M570" i="1"/>
  <c r="U570" i="1" s="1"/>
  <c r="G570" i="6" s="1"/>
  <c r="M571" i="1"/>
  <c r="U571" i="1" s="1"/>
  <c r="G571" i="6" s="1"/>
  <c r="M572" i="1"/>
  <c r="U572" i="1" s="1"/>
  <c r="G572" i="6" s="1"/>
  <c r="M573" i="1"/>
  <c r="U573" i="1" s="1"/>
  <c r="G573" i="6" s="1"/>
  <c r="M574" i="1"/>
  <c r="U574" i="1" s="1"/>
  <c r="G574" i="6" s="1"/>
  <c r="M575" i="1"/>
  <c r="U575" i="1" s="1"/>
  <c r="G575" i="6" s="1"/>
  <c r="M576" i="1"/>
  <c r="U576" i="1" s="1"/>
  <c r="G576" i="6" s="1"/>
  <c r="M577" i="1"/>
  <c r="U577" i="1" s="1"/>
  <c r="G577" i="6" s="1"/>
  <c r="M578" i="1"/>
  <c r="U578" i="1" s="1"/>
  <c r="G578" i="6" s="1"/>
  <c r="M579" i="1"/>
  <c r="U579" i="1" s="1"/>
  <c r="G579" i="6" s="1"/>
  <c r="M580" i="1"/>
  <c r="U580" i="1" s="1"/>
  <c r="G580" i="6" s="1"/>
  <c r="M581" i="1"/>
  <c r="U581" i="1" s="1"/>
  <c r="G581" i="6" s="1"/>
  <c r="M582" i="1"/>
  <c r="U582" i="1" s="1"/>
  <c r="G582" i="6" s="1"/>
  <c r="M583" i="1"/>
  <c r="U583" i="1" s="1"/>
  <c r="G583" i="6" s="1"/>
  <c r="M584" i="1"/>
  <c r="U584" i="1" s="1"/>
  <c r="G584" i="6" s="1"/>
  <c r="M585" i="1"/>
  <c r="U585" i="1" s="1"/>
  <c r="G585" i="6" s="1"/>
  <c r="M586" i="1"/>
  <c r="U586" i="1" s="1"/>
  <c r="G586" i="6" s="1"/>
  <c r="M587" i="1"/>
  <c r="U587" i="1" s="1"/>
  <c r="G587" i="6" s="1"/>
  <c r="M588" i="1"/>
  <c r="U588" i="1" s="1"/>
  <c r="G588" i="6" s="1"/>
  <c r="M589" i="1"/>
  <c r="U589" i="1" s="1"/>
  <c r="G589" i="6" s="1"/>
  <c r="M590" i="1"/>
  <c r="U590" i="1" s="1"/>
  <c r="G590" i="6" s="1"/>
  <c r="M591" i="1"/>
  <c r="U591" i="1" s="1"/>
  <c r="G591" i="6" s="1"/>
  <c r="M592" i="1"/>
  <c r="U592" i="1" s="1"/>
  <c r="G592" i="6" s="1"/>
  <c r="M593" i="1"/>
  <c r="U593" i="1" s="1"/>
  <c r="G593" i="6" s="1"/>
  <c r="M594" i="1"/>
  <c r="U594" i="1" s="1"/>
  <c r="G594" i="6" s="1"/>
  <c r="M595" i="1"/>
  <c r="U595" i="1" s="1"/>
  <c r="G595" i="6" s="1"/>
  <c r="M596" i="1"/>
  <c r="U596" i="1" s="1"/>
  <c r="G596" i="6" s="1"/>
  <c r="M597" i="1"/>
  <c r="U597" i="1" s="1"/>
  <c r="G597" i="6" s="1"/>
  <c r="M598" i="1"/>
  <c r="U598" i="1" s="1"/>
  <c r="G598" i="6" s="1"/>
  <c r="M599" i="1"/>
  <c r="U599" i="1" s="1"/>
  <c r="G599" i="6" s="1"/>
  <c r="M600" i="1"/>
  <c r="U600" i="1" s="1"/>
  <c r="G600" i="6" s="1"/>
  <c r="M601" i="1"/>
  <c r="U601" i="1" s="1"/>
  <c r="G601" i="6" s="1"/>
  <c r="M602" i="1"/>
  <c r="U602" i="1" s="1"/>
  <c r="G602" i="6" s="1"/>
  <c r="M603" i="1"/>
  <c r="U603" i="1" s="1"/>
  <c r="G603" i="6" s="1"/>
  <c r="M604" i="1"/>
  <c r="U604" i="1" s="1"/>
  <c r="G604" i="6" s="1"/>
  <c r="M605" i="1"/>
  <c r="U605" i="1" s="1"/>
  <c r="G605" i="6" s="1"/>
  <c r="M606" i="1"/>
  <c r="U606" i="1" s="1"/>
  <c r="G606" i="6" s="1"/>
  <c r="M607" i="1"/>
  <c r="U607" i="1" s="1"/>
  <c r="G607" i="6" s="1"/>
  <c r="M608" i="1"/>
  <c r="U608" i="1" s="1"/>
  <c r="G608" i="6" s="1"/>
  <c r="M609" i="1"/>
  <c r="U609" i="1" s="1"/>
  <c r="G609" i="6" s="1"/>
  <c r="M610" i="1"/>
  <c r="U610" i="1" s="1"/>
  <c r="G610" i="6" s="1"/>
  <c r="M611" i="1"/>
  <c r="U611" i="1" s="1"/>
  <c r="G611" i="6" s="1"/>
  <c r="M612" i="1"/>
  <c r="U612" i="1" s="1"/>
  <c r="G612" i="6" s="1"/>
  <c r="M613" i="1"/>
  <c r="U613" i="1" s="1"/>
  <c r="G613" i="6" s="1"/>
  <c r="M614" i="1"/>
  <c r="U614" i="1" s="1"/>
  <c r="G614" i="6" s="1"/>
  <c r="M615" i="1"/>
  <c r="U615" i="1" s="1"/>
  <c r="G615" i="6" s="1"/>
  <c r="M616" i="1"/>
  <c r="U616" i="1" s="1"/>
  <c r="G616" i="6" s="1"/>
  <c r="M617" i="1"/>
  <c r="U617" i="1" s="1"/>
  <c r="G617" i="6" s="1"/>
  <c r="M618" i="1"/>
  <c r="U618" i="1" s="1"/>
  <c r="G618" i="6" s="1"/>
  <c r="M619" i="1"/>
  <c r="U619" i="1" s="1"/>
  <c r="G619" i="6" s="1"/>
  <c r="M620" i="1"/>
  <c r="U620" i="1" s="1"/>
  <c r="G620" i="6" s="1"/>
  <c r="M621" i="1"/>
  <c r="U621" i="1" s="1"/>
  <c r="G621" i="6" s="1"/>
  <c r="M622" i="1"/>
  <c r="U622" i="1" s="1"/>
  <c r="G622" i="6" s="1"/>
  <c r="M623" i="1"/>
  <c r="U623" i="1" s="1"/>
  <c r="G623" i="6" s="1"/>
  <c r="M624" i="1"/>
  <c r="U624" i="1" s="1"/>
  <c r="G624" i="6" s="1"/>
  <c r="M625" i="1"/>
  <c r="U625" i="1" s="1"/>
  <c r="G625" i="6" s="1"/>
  <c r="M626" i="1"/>
  <c r="U626" i="1" s="1"/>
  <c r="G626" i="6" s="1"/>
  <c r="M627" i="1"/>
  <c r="U627" i="1" s="1"/>
  <c r="G627" i="6" s="1"/>
  <c r="M628" i="1"/>
  <c r="U628" i="1" s="1"/>
  <c r="G628" i="6" s="1"/>
  <c r="M629" i="1"/>
  <c r="U629" i="1" s="1"/>
  <c r="G629" i="6" s="1"/>
  <c r="M630" i="1"/>
  <c r="U630" i="1" s="1"/>
  <c r="G630" i="6" s="1"/>
  <c r="M631" i="1"/>
  <c r="U631" i="1" s="1"/>
  <c r="G631" i="6" s="1"/>
  <c r="M632" i="1"/>
  <c r="U632" i="1" s="1"/>
  <c r="G632" i="6" s="1"/>
  <c r="M633" i="1"/>
  <c r="U633" i="1" s="1"/>
  <c r="G633" i="6" s="1"/>
  <c r="M634" i="1"/>
  <c r="U634" i="1" s="1"/>
  <c r="G634" i="6" s="1"/>
  <c r="M635" i="1"/>
  <c r="U635" i="1" s="1"/>
  <c r="G635" i="6" s="1"/>
  <c r="M636" i="1"/>
  <c r="U636" i="1" s="1"/>
  <c r="G636" i="6" s="1"/>
  <c r="M637" i="1"/>
  <c r="U637" i="1" s="1"/>
  <c r="G637" i="6" s="1"/>
  <c r="M638" i="1"/>
  <c r="U638" i="1" s="1"/>
  <c r="G638" i="6" s="1"/>
  <c r="M639" i="1"/>
  <c r="U639" i="1" s="1"/>
  <c r="G639" i="6" s="1"/>
  <c r="M640" i="1"/>
  <c r="U640" i="1" s="1"/>
  <c r="G640" i="6" s="1"/>
  <c r="M641" i="1"/>
  <c r="U641" i="1" s="1"/>
  <c r="G641" i="6" s="1"/>
  <c r="M642" i="1"/>
  <c r="U642" i="1" s="1"/>
  <c r="G642" i="6" s="1"/>
  <c r="M643" i="1"/>
  <c r="U643" i="1" s="1"/>
  <c r="G643" i="6" s="1"/>
  <c r="M644" i="1"/>
  <c r="U644" i="1" s="1"/>
  <c r="G644" i="6" s="1"/>
  <c r="M645" i="1"/>
  <c r="U645" i="1" s="1"/>
  <c r="G645" i="6" s="1"/>
  <c r="M646" i="1"/>
  <c r="U646" i="1" s="1"/>
  <c r="G646" i="6" s="1"/>
  <c r="M647" i="1"/>
  <c r="U647" i="1" s="1"/>
  <c r="G647" i="6" s="1"/>
  <c r="M648" i="1"/>
  <c r="U648" i="1" s="1"/>
  <c r="G648" i="6" s="1"/>
  <c r="M649" i="1"/>
  <c r="U649" i="1" s="1"/>
  <c r="G649" i="6" s="1"/>
  <c r="M650" i="1"/>
  <c r="U650" i="1" s="1"/>
  <c r="G650" i="6" s="1"/>
  <c r="M651" i="1"/>
  <c r="U651" i="1" s="1"/>
  <c r="G651" i="6" s="1"/>
  <c r="M652" i="1"/>
  <c r="U652" i="1" s="1"/>
  <c r="G652" i="6" s="1"/>
  <c r="M653" i="1"/>
  <c r="U653" i="1" s="1"/>
  <c r="G653" i="6" s="1"/>
  <c r="M654" i="1"/>
  <c r="U654" i="1" s="1"/>
  <c r="G654" i="6" s="1"/>
  <c r="M655" i="1"/>
  <c r="U655" i="1" s="1"/>
  <c r="G655" i="6" s="1"/>
  <c r="M656" i="1"/>
  <c r="U656" i="1" s="1"/>
  <c r="G656" i="6" s="1"/>
  <c r="M657" i="1"/>
  <c r="U657" i="1" s="1"/>
  <c r="G657" i="6" s="1"/>
  <c r="M658" i="1"/>
  <c r="U658" i="1" s="1"/>
  <c r="G658" i="6" s="1"/>
  <c r="M659" i="1"/>
  <c r="U659" i="1" s="1"/>
  <c r="G659" i="6" s="1"/>
  <c r="M660" i="1"/>
  <c r="U660" i="1" s="1"/>
  <c r="G660" i="6" s="1"/>
  <c r="M661" i="1"/>
  <c r="U661" i="1" s="1"/>
  <c r="G661" i="6" s="1"/>
  <c r="M662" i="1"/>
  <c r="U662" i="1" s="1"/>
  <c r="G662" i="6" s="1"/>
  <c r="M663" i="1"/>
  <c r="U663" i="1" s="1"/>
  <c r="G663" i="6" s="1"/>
  <c r="M664" i="1"/>
  <c r="U664" i="1" s="1"/>
  <c r="G664" i="6" s="1"/>
  <c r="M665" i="1"/>
  <c r="U665" i="1" s="1"/>
  <c r="G665" i="6" s="1"/>
  <c r="M666" i="1"/>
  <c r="U666" i="1" s="1"/>
  <c r="G666" i="6" s="1"/>
  <c r="M667" i="1"/>
  <c r="U667" i="1" s="1"/>
  <c r="G667" i="6" s="1"/>
  <c r="M668" i="1"/>
  <c r="U668" i="1" s="1"/>
  <c r="G668" i="6" s="1"/>
  <c r="M669" i="1"/>
  <c r="U669" i="1" s="1"/>
  <c r="G669" i="6" s="1"/>
  <c r="M670" i="1"/>
  <c r="U670" i="1" s="1"/>
  <c r="G670" i="6" s="1"/>
  <c r="M671" i="1"/>
  <c r="U671" i="1" s="1"/>
  <c r="G671" i="6" s="1"/>
  <c r="M672" i="1"/>
  <c r="U672" i="1" s="1"/>
  <c r="G672" i="6" s="1"/>
  <c r="M673" i="1"/>
  <c r="U673" i="1" s="1"/>
  <c r="G673" i="6" s="1"/>
  <c r="M674" i="1"/>
  <c r="U674" i="1" s="1"/>
  <c r="G674" i="6" s="1"/>
  <c r="M675" i="1"/>
  <c r="U675" i="1" s="1"/>
  <c r="G675" i="6" s="1"/>
  <c r="M676" i="1"/>
  <c r="U676" i="1" s="1"/>
  <c r="G676" i="6" s="1"/>
  <c r="M677" i="1"/>
  <c r="U677" i="1" s="1"/>
  <c r="G677" i="6" s="1"/>
  <c r="M678" i="1"/>
  <c r="U678" i="1" s="1"/>
  <c r="G678" i="6" s="1"/>
  <c r="M679" i="1"/>
  <c r="U679" i="1" s="1"/>
  <c r="G679" i="6" s="1"/>
  <c r="M680" i="1"/>
  <c r="U680" i="1" s="1"/>
  <c r="G680" i="6" s="1"/>
  <c r="M681" i="1"/>
  <c r="U681" i="1" s="1"/>
  <c r="G681" i="6" s="1"/>
  <c r="M682" i="1"/>
  <c r="U682" i="1" s="1"/>
  <c r="G682" i="6" s="1"/>
  <c r="M683" i="1"/>
  <c r="U683" i="1" s="1"/>
  <c r="G683" i="6" s="1"/>
  <c r="M684" i="1"/>
  <c r="U684" i="1" s="1"/>
  <c r="G684" i="6" s="1"/>
  <c r="M685" i="1"/>
  <c r="U685" i="1" s="1"/>
  <c r="G685" i="6" s="1"/>
  <c r="M686" i="1"/>
  <c r="U686" i="1" s="1"/>
  <c r="G686" i="6" s="1"/>
  <c r="M687" i="1"/>
  <c r="U687" i="1" s="1"/>
  <c r="G687" i="6" s="1"/>
  <c r="M688" i="1"/>
  <c r="U688" i="1" s="1"/>
  <c r="G688" i="6" s="1"/>
  <c r="M689" i="1"/>
  <c r="U689" i="1" s="1"/>
  <c r="G689" i="6" s="1"/>
  <c r="M690" i="1"/>
  <c r="U690" i="1" s="1"/>
  <c r="G690" i="6" s="1"/>
  <c r="M691" i="1"/>
  <c r="U691" i="1" s="1"/>
  <c r="G691" i="6" s="1"/>
  <c r="M692" i="1"/>
  <c r="U692" i="1" s="1"/>
  <c r="G692" i="6" s="1"/>
  <c r="M693" i="1"/>
  <c r="U693" i="1" s="1"/>
  <c r="G693" i="6" s="1"/>
  <c r="M694" i="1"/>
  <c r="U694" i="1" s="1"/>
  <c r="G694" i="6" s="1"/>
  <c r="M695" i="1"/>
  <c r="U695" i="1" s="1"/>
  <c r="G695" i="6" s="1"/>
  <c r="M696" i="1"/>
  <c r="U696" i="1" s="1"/>
  <c r="G696" i="6" s="1"/>
  <c r="M697" i="1"/>
  <c r="U697" i="1" s="1"/>
  <c r="G697" i="6" s="1"/>
  <c r="M698" i="1"/>
  <c r="U698" i="1" s="1"/>
  <c r="G698" i="6" s="1"/>
  <c r="M699" i="1"/>
  <c r="U699" i="1" s="1"/>
  <c r="G699" i="6" s="1"/>
  <c r="M700" i="1"/>
  <c r="U700" i="1" s="1"/>
  <c r="G700" i="6" s="1"/>
  <c r="M701" i="1"/>
  <c r="U701" i="1" s="1"/>
  <c r="G701" i="6" s="1"/>
  <c r="M702" i="1"/>
  <c r="U702" i="1" s="1"/>
  <c r="G702" i="6" s="1"/>
  <c r="M703" i="1"/>
  <c r="U703" i="1" s="1"/>
  <c r="G703" i="6" s="1"/>
  <c r="M704" i="1"/>
  <c r="U704" i="1" s="1"/>
  <c r="G704" i="6" s="1"/>
  <c r="M705" i="1"/>
  <c r="U705" i="1" s="1"/>
  <c r="G705" i="6" s="1"/>
  <c r="M706" i="1"/>
  <c r="U706" i="1" s="1"/>
  <c r="G706" i="6" s="1"/>
  <c r="M707" i="1"/>
  <c r="U707" i="1" s="1"/>
  <c r="G707" i="6" s="1"/>
  <c r="M708" i="1"/>
  <c r="U708" i="1" s="1"/>
  <c r="G708" i="6" s="1"/>
  <c r="M709" i="1"/>
  <c r="U709" i="1" s="1"/>
  <c r="G709" i="6" s="1"/>
  <c r="M710" i="1"/>
  <c r="U710" i="1" s="1"/>
  <c r="G710" i="6" s="1"/>
  <c r="M711" i="1"/>
  <c r="U711" i="1" s="1"/>
  <c r="G711" i="6" s="1"/>
  <c r="M712" i="1"/>
  <c r="U712" i="1" s="1"/>
  <c r="G712" i="6" s="1"/>
  <c r="M713" i="1"/>
  <c r="U713" i="1" s="1"/>
  <c r="G713" i="6" s="1"/>
  <c r="M714" i="1"/>
  <c r="U714" i="1" s="1"/>
  <c r="G714" i="6" s="1"/>
  <c r="M715" i="1"/>
  <c r="U715" i="1" s="1"/>
  <c r="G715" i="6" s="1"/>
  <c r="M716" i="1"/>
  <c r="U716" i="1" s="1"/>
  <c r="G716" i="6" s="1"/>
  <c r="M717" i="1"/>
  <c r="U717" i="1" s="1"/>
  <c r="G717" i="6" s="1"/>
  <c r="M718" i="1"/>
  <c r="U718" i="1" s="1"/>
  <c r="G718" i="6" s="1"/>
  <c r="M719" i="1"/>
  <c r="U719" i="1" s="1"/>
  <c r="G719" i="6" s="1"/>
  <c r="M720" i="1"/>
  <c r="U720" i="1" s="1"/>
  <c r="G720" i="6" s="1"/>
  <c r="M721" i="1"/>
  <c r="U721" i="1" s="1"/>
  <c r="G721" i="6" s="1"/>
  <c r="M722" i="1"/>
  <c r="U722" i="1" s="1"/>
  <c r="G722" i="6" s="1"/>
  <c r="M723" i="1"/>
  <c r="U723" i="1" s="1"/>
  <c r="G723" i="6" s="1"/>
  <c r="M724" i="1"/>
  <c r="U724" i="1" s="1"/>
  <c r="G724" i="6" s="1"/>
  <c r="M725" i="1"/>
  <c r="U725" i="1" s="1"/>
  <c r="G725" i="6" s="1"/>
  <c r="M726" i="1"/>
  <c r="U726" i="1" s="1"/>
  <c r="G726" i="6" s="1"/>
  <c r="M727" i="1"/>
  <c r="U727" i="1" s="1"/>
  <c r="G727" i="6" s="1"/>
  <c r="M728" i="1"/>
  <c r="U728" i="1" s="1"/>
  <c r="G728" i="6" s="1"/>
  <c r="M729" i="1"/>
  <c r="U729" i="1" s="1"/>
  <c r="G729" i="6" s="1"/>
  <c r="M730" i="1"/>
  <c r="U730" i="1" s="1"/>
  <c r="G730" i="6" s="1"/>
  <c r="M731" i="1"/>
  <c r="U731" i="1" s="1"/>
  <c r="G731" i="6" s="1"/>
  <c r="M732" i="1"/>
  <c r="U732" i="1" s="1"/>
  <c r="G732" i="6" s="1"/>
  <c r="M733" i="1"/>
  <c r="U733" i="1" s="1"/>
  <c r="G733" i="6" s="1"/>
  <c r="M734" i="1"/>
  <c r="U734" i="1" s="1"/>
  <c r="G734" i="6" s="1"/>
  <c r="M735" i="1"/>
  <c r="U735" i="1" s="1"/>
  <c r="G735" i="6" s="1"/>
  <c r="M736" i="1"/>
  <c r="U736" i="1" s="1"/>
  <c r="G736" i="6" s="1"/>
  <c r="M737" i="1"/>
  <c r="U737" i="1" s="1"/>
  <c r="G737" i="6" s="1"/>
  <c r="M738" i="1"/>
  <c r="U738" i="1" s="1"/>
  <c r="G738" i="6" s="1"/>
  <c r="M739" i="1"/>
  <c r="U739" i="1" s="1"/>
  <c r="G739" i="6" s="1"/>
  <c r="M740" i="1"/>
  <c r="U740" i="1" s="1"/>
  <c r="G740" i="6" s="1"/>
  <c r="M741" i="1"/>
  <c r="U741" i="1" s="1"/>
  <c r="G741" i="6" s="1"/>
  <c r="M742" i="1"/>
  <c r="U742" i="1" s="1"/>
  <c r="G742" i="6" s="1"/>
  <c r="M743" i="1"/>
  <c r="U743" i="1" s="1"/>
  <c r="G743" i="6" s="1"/>
  <c r="M744" i="1"/>
  <c r="U744" i="1" s="1"/>
  <c r="G744" i="6" s="1"/>
  <c r="M745" i="1"/>
  <c r="U745" i="1" s="1"/>
  <c r="G745" i="6" s="1"/>
  <c r="M746" i="1"/>
  <c r="U746" i="1" s="1"/>
  <c r="G746" i="6" s="1"/>
  <c r="M747" i="1"/>
  <c r="U747" i="1" s="1"/>
  <c r="G747" i="6" s="1"/>
  <c r="M748" i="1"/>
  <c r="U748" i="1" s="1"/>
  <c r="G748" i="6" s="1"/>
  <c r="M749" i="1"/>
  <c r="U749" i="1" s="1"/>
  <c r="G749" i="6" s="1"/>
  <c r="M750" i="1"/>
  <c r="U750" i="1" s="1"/>
  <c r="G750" i="6" s="1"/>
  <c r="M751" i="1"/>
  <c r="U751" i="1" s="1"/>
  <c r="G751" i="6" s="1"/>
  <c r="M752" i="1"/>
  <c r="U752" i="1" s="1"/>
  <c r="G752" i="6" s="1"/>
  <c r="M753" i="1"/>
  <c r="U753" i="1" s="1"/>
  <c r="G753" i="6" s="1"/>
  <c r="M754" i="1"/>
  <c r="U754" i="1" s="1"/>
  <c r="G754" i="6" s="1"/>
  <c r="M755" i="1"/>
  <c r="U755" i="1" s="1"/>
  <c r="G755" i="6" s="1"/>
  <c r="M756" i="1"/>
  <c r="U756" i="1" s="1"/>
  <c r="G756" i="6" s="1"/>
  <c r="M757" i="1"/>
  <c r="U757" i="1" s="1"/>
  <c r="G757" i="6" s="1"/>
  <c r="M758" i="1"/>
  <c r="U758" i="1" s="1"/>
  <c r="G758" i="6" s="1"/>
  <c r="M759" i="1"/>
  <c r="U759" i="1" s="1"/>
  <c r="G759" i="6" s="1"/>
  <c r="M760" i="1"/>
  <c r="U760" i="1" s="1"/>
  <c r="G760" i="6" s="1"/>
  <c r="M761" i="1"/>
  <c r="U761" i="1" s="1"/>
  <c r="G761" i="6" s="1"/>
  <c r="M762" i="1"/>
  <c r="U762" i="1" s="1"/>
  <c r="G762" i="6" s="1"/>
  <c r="M763" i="1"/>
  <c r="U763" i="1" s="1"/>
  <c r="G763" i="6" s="1"/>
  <c r="M764" i="1"/>
  <c r="U764" i="1" s="1"/>
  <c r="G764" i="6" s="1"/>
  <c r="M765" i="1"/>
  <c r="U765" i="1" s="1"/>
  <c r="G765" i="6" s="1"/>
  <c r="M766" i="1"/>
  <c r="U766" i="1" s="1"/>
  <c r="G766" i="6" s="1"/>
  <c r="M767" i="1"/>
  <c r="U767" i="1" s="1"/>
  <c r="G767" i="6" s="1"/>
  <c r="M768" i="1"/>
  <c r="U768" i="1" s="1"/>
  <c r="G768" i="6" s="1"/>
  <c r="M769" i="1"/>
  <c r="U769" i="1" s="1"/>
  <c r="G769" i="6" s="1"/>
  <c r="M770" i="1"/>
  <c r="U770" i="1" s="1"/>
  <c r="G770" i="6" s="1"/>
  <c r="M771" i="1"/>
  <c r="U771" i="1" s="1"/>
  <c r="G771" i="6" s="1"/>
  <c r="M772" i="1"/>
  <c r="U772" i="1" s="1"/>
  <c r="G772" i="6" s="1"/>
  <c r="M773" i="1"/>
  <c r="U773" i="1" s="1"/>
  <c r="G773" i="6" s="1"/>
  <c r="M774" i="1"/>
  <c r="U774" i="1" s="1"/>
  <c r="G774" i="6" s="1"/>
  <c r="M775" i="1"/>
  <c r="U775" i="1" s="1"/>
  <c r="G775" i="6" s="1"/>
  <c r="M776" i="1"/>
  <c r="U776" i="1" s="1"/>
  <c r="G776" i="6" s="1"/>
  <c r="M777" i="1"/>
  <c r="U777" i="1" s="1"/>
  <c r="G777" i="6" s="1"/>
  <c r="M778" i="1"/>
  <c r="U778" i="1" s="1"/>
  <c r="G778" i="6" s="1"/>
  <c r="M779" i="1"/>
  <c r="U779" i="1" s="1"/>
  <c r="G779" i="6" s="1"/>
  <c r="M780" i="1"/>
  <c r="U780" i="1" s="1"/>
  <c r="G780" i="6" s="1"/>
  <c r="M781" i="1"/>
  <c r="U781" i="1" s="1"/>
  <c r="G781" i="6" s="1"/>
  <c r="M782" i="1"/>
  <c r="U782" i="1" s="1"/>
  <c r="G782" i="6" s="1"/>
  <c r="M783" i="1"/>
  <c r="U783" i="1" s="1"/>
  <c r="G783" i="6" s="1"/>
  <c r="M784" i="1"/>
  <c r="U784" i="1" s="1"/>
  <c r="G784" i="6" s="1"/>
  <c r="M785" i="1"/>
  <c r="U785" i="1" s="1"/>
  <c r="G785" i="6" s="1"/>
  <c r="M786" i="1"/>
  <c r="U786" i="1" s="1"/>
  <c r="G786" i="6" s="1"/>
  <c r="M787" i="1"/>
  <c r="U787" i="1" s="1"/>
  <c r="G787" i="6" s="1"/>
  <c r="M788" i="1"/>
  <c r="U788" i="1" s="1"/>
  <c r="G788" i="6" s="1"/>
  <c r="M789" i="1"/>
  <c r="U789" i="1" s="1"/>
  <c r="G789" i="6" s="1"/>
  <c r="M790" i="1"/>
  <c r="U790" i="1" s="1"/>
  <c r="G790" i="6" s="1"/>
  <c r="M791" i="1"/>
  <c r="U791" i="1" s="1"/>
  <c r="G791" i="6" s="1"/>
  <c r="M792" i="1"/>
  <c r="U792" i="1" s="1"/>
  <c r="G792" i="6" s="1"/>
  <c r="M793" i="1"/>
  <c r="U793" i="1" s="1"/>
  <c r="G793" i="6" s="1"/>
  <c r="M794" i="1"/>
  <c r="U794" i="1" s="1"/>
  <c r="G794" i="6" s="1"/>
  <c r="M795" i="1"/>
  <c r="U795" i="1" s="1"/>
  <c r="G795" i="6" s="1"/>
  <c r="M796" i="1"/>
  <c r="U796" i="1" s="1"/>
  <c r="G796" i="6" s="1"/>
  <c r="M797" i="1"/>
  <c r="U797" i="1" s="1"/>
  <c r="G797" i="6" s="1"/>
  <c r="M798" i="1"/>
  <c r="U798" i="1" s="1"/>
  <c r="G798" i="6" s="1"/>
  <c r="M799" i="1"/>
  <c r="U799" i="1" s="1"/>
  <c r="G799" i="6" s="1"/>
  <c r="M800" i="1"/>
  <c r="U800" i="1" s="1"/>
  <c r="G800" i="6" s="1"/>
  <c r="M801" i="1"/>
  <c r="U801" i="1" s="1"/>
  <c r="G801" i="6" s="1"/>
  <c r="M802" i="1"/>
  <c r="U802" i="1" s="1"/>
  <c r="G802" i="6" s="1"/>
  <c r="M803" i="1"/>
  <c r="U803" i="1" s="1"/>
  <c r="G803" i="6" s="1"/>
  <c r="M804" i="1"/>
  <c r="U804" i="1" s="1"/>
  <c r="G804" i="6" s="1"/>
  <c r="M805" i="1"/>
  <c r="U805" i="1" s="1"/>
  <c r="G805" i="6" s="1"/>
  <c r="M806" i="1"/>
  <c r="U806" i="1" s="1"/>
  <c r="G806" i="6" s="1"/>
  <c r="M807" i="1"/>
  <c r="U807" i="1" s="1"/>
  <c r="G807" i="6" s="1"/>
  <c r="M808" i="1"/>
  <c r="U808" i="1" s="1"/>
  <c r="G808" i="6" s="1"/>
  <c r="M809" i="1"/>
  <c r="U809" i="1" s="1"/>
  <c r="G809" i="6" s="1"/>
  <c r="M810" i="1"/>
  <c r="U810" i="1" s="1"/>
  <c r="G810" i="6" s="1"/>
  <c r="M811" i="1"/>
  <c r="U811" i="1" s="1"/>
  <c r="G811" i="6" s="1"/>
  <c r="M812" i="1"/>
  <c r="U812" i="1" s="1"/>
  <c r="G812" i="6" s="1"/>
  <c r="M813" i="1"/>
  <c r="U813" i="1" s="1"/>
  <c r="G813" i="6" s="1"/>
  <c r="M814" i="1"/>
  <c r="U814" i="1" s="1"/>
  <c r="G814" i="6" s="1"/>
  <c r="M815" i="1"/>
  <c r="U815" i="1" s="1"/>
  <c r="G815" i="6" s="1"/>
  <c r="M816" i="1"/>
  <c r="U816" i="1" s="1"/>
  <c r="G816" i="6" s="1"/>
  <c r="M817" i="1"/>
  <c r="U817" i="1" s="1"/>
  <c r="G817" i="6" s="1"/>
  <c r="M818" i="1"/>
  <c r="U818" i="1" s="1"/>
  <c r="G818" i="6" s="1"/>
  <c r="M819" i="1"/>
  <c r="U819" i="1" s="1"/>
  <c r="G819" i="6" s="1"/>
  <c r="M820" i="1"/>
  <c r="U820" i="1" s="1"/>
  <c r="G820" i="6" s="1"/>
  <c r="M821" i="1"/>
  <c r="U821" i="1" s="1"/>
  <c r="G821" i="6" s="1"/>
  <c r="M822" i="1"/>
  <c r="U822" i="1" s="1"/>
  <c r="G822" i="6" s="1"/>
  <c r="M823" i="1"/>
  <c r="U823" i="1" s="1"/>
  <c r="G823" i="6" s="1"/>
  <c r="M824" i="1"/>
  <c r="U824" i="1" s="1"/>
  <c r="G824" i="6" s="1"/>
  <c r="M825" i="1"/>
  <c r="U825" i="1" s="1"/>
  <c r="G825" i="6" s="1"/>
  <c r="M826" i="1"/>
  <c r="U826" i="1" s="1"/>
  <c r="G826" i="6" s="1"/>
  <c r="M827" i="1"/>
  <c r="U827" i="1" s="1"/>
  <c r="G827" i="6" s="1"/>
  <c r="M828" i="1"/>
  <c r="U828" i="1" s="1"/>
  <c r="G828" i="6" s="1"/>
  <c r="M829" i="1"/>
  <c r="U829" i="1" s="1"/>
  <c r="G829" i="6" s="1"/>
  <c r="M831" i="1"/>
  <c r="U831" i="1" s="1"/>
  <c r="G831" i="6" s="1"/>
  <c r="M832" i="1"/>
  <c r="U832" i="1" s="1"/>
  <c r="G832" i="6" s="1"/>
  <c r="M833" i="1"/>
  <c r="U833" i="1" s="1"/>
  <c r="G833" i="6" s="1"/>
  <c r="M834" i="1"/>
  <c r="U834" i="1" s="1"/>
  <c r="G834" i="6" s="1"/>
  <c r="M835" i="1"/>
  <c r="U835" i="1" s="1"/>
  <c r="G835" i="6" s="1"/>
  <c r="M836" i="1"/>
  <c r="U836" i="1" s="1"/>
  <c r="G836" i="6" s="1"/>
  <c r="M837" i="1"/>
  <c r="U837" i="1" s="1"/>
  <c r="G837" i="6" s="1"/>
  <c r="M838" i="1"/>
  <c r="U838" i="1" s="1"/>
  <c r="G838" i="6" s="1"/>
  <c r="M839" i="1"/>
  <c r="U839" i="1" s="1"/>
  <c r="G839" i="6" s="1"/>
  <c r="M840" i="1"/>
  <c r="U840" i="1" s="1"/>
  <c r="G840" i="6" s="1"/>
  <c r="M841" i="1"/>
  <c r="U841" i="1" s="1"/>
  <c r="G841" i="6" s="1"/>
  <c r="M842" i="1"/>
  <c r="U842" i="1" s="1"/>
  <c r="G842" i="6" s="1"/>
  <c r="M843" i="1"/>
  <c r="U843" i="1" s="1"/>
  <c r="G843" i="6" s="1"/>
  <c r="M844" i="1"/>
  <c r="U844" i="1" s="1"/>
  <c r="G844" i="6" s="1"/>
  <c r="M845" i="1"/>
  <c r="U845" i="1" s="1"/>
  <c r="G845" i="6" s="1"/>
  <c r="M2" i="1"/>
  <c r="U2" i="1" s="1"/>
  <c r="G2" i="6" s="1"/>
  <c r="K2" i="2" l="1"/>
  <c r="R5" i="2"/>
  <c r="R1" i="2"/>
  <c r="R4" i="2"/>
  <c r="R7" i="2"/>
  <c r="R3" i="2"/>
  <c r="R6" i="2"/>
  <c r="X5" i="1"/>
  <c r="X2" i="1"/>
  <c r="X850" i="1"/>
  <c r="X846" i="1"/>
  <c r="X842" i="1"/>
  <c r="X838" i="1"/>
  <c r="X834" i="1"/>
  <c r="X830" i="1"/>
  <c r="X826" i="1"/>
  <c r="X822" i="1"/>
  <c r="X818" i="1"/>
  <c r="X814" i="1"/>
  <c r="X810" i="1"/>
  <c r="X806" i="1"/>
  <c r="X802" i="1"/>
  <c r="X798" i="1"/>
  <c r="X794" i="1"/>
  <c r="X790" i="1"/>
  <c r="X786" i="1"/>
  <c r="X782" i="1"/>
  <c r="X778" i="1"/>
  <c r="X774" i="1"/>
  <c r="X770" i="1"/>
  <c r="X766" i="1"/>
  <c r="X762" i="1"/>
  <c r="X758" i="1"/>
  <c r="X754" i="1"/>
  <c r="X750" i="1"/>
  <c r="X746" i="1"/>
  <c r="X742" i="1"/>
  <c r="X738" i="1"/>
  <c r="X734" i="1"/>
  <c r="X730" i="1"/>
  <c r="X726" i="1"/>
  <c r="X722" i="1"/>
  <c r="X718" i="1"/>
  <c r="X714" i="1"/>
  <c r="X710" i="1"/>
  <c r="X706" i="1"/>
  <c r="X702" i="1"/>
  <c r="X698" i="1"/>
  <c r="X694" i="1"/>
  <c r="X690" i="1"/>
  <c r="X686" i="1"/>
  <c r="X682" i="1"/>
  <c r="X678" i="1"/>
  <c r="X674" i="1"/>
  <c r="X670" i="1"/>
  <c r="X666" i="1"/>
  <c r="X662" i="1"/>
  <c r="X658" i="1"/>
  <c r="X654" i="1"/>
  <c r="X650" i="1"/>
  <c r="X646" i="1"/>
  <c r="X642" i="1"/>
  <c r="X638" i="1"/>
  <c r="X634" i="1"/>
  <c r="X630" i="1"/>
  <c r="X626" i="1"/>
  <c r="X622" i="1"/>
  <c r="X618" i="1"/>
  <c r="X613" i="1"/>
  <c r="X608" i="1"/>
  <c r="X600" i="1"/>
  <c r="X592" i="1"/>
  <c r="X584" i="1"/>
  <c r="X576" i="1"/>
  <c r="X568" i="1"/>
  <c r="X560" i="1"/>
  <c r="X552" i="1"/>
  <c r="X544" i="1"/>
  <c r="X536" i="1"/>
  <c r="X528" i="1"/>
  <c r="X520" i="1"/>
  <c r="X512" i="1"/>
  <c r="X504" i="1"/>
  <c r="X496" i="1"/>
  <c r="X488" i="1"/>
  <c r="X480" i="1"/>
  <c r="X472" i="1"/>
  <c r="X464" i="1"/>
  <c r="X456" i="1"/>
  <c r="X448" i="1"/>
  <c r="X440" i="1"/>
  <c r="X432" i="1"/>
  <c r="X424" i="1"/>
  <c r="X416" i="1"/>
  <c r="X408" i="1"/>
  <c r="X400" i="1"/>
  <c r="X392" i="1"/>
  <c r="X384" i="1"/>
  <c r="X376" i="1"/>
  <c r="X368" i="1"/>
  <c r="X360" i="1"/>
  <c r="X352" i="1"/>
  <c r="X344" i="1"/>
  <c r="X336" i="1"/>
  <c r="X328" i="1"/>
  <c r="X320" i="1"/>
  <c r="X312" i="1"/>
  <c r="X304" i="1"/>
  <c r="X293" i="1"/>
  <c r="X277" i="1"/>
  <c r="X261" i="1"/>
  <c r="X245" i="1"/>
  <c r="X229" i="1"/>
  <c r="X213" i="1"/>
  <c r="X197" i="1"/>
  <c r="X181" i="1"/>
  <c r="X165" i="1"/>
  <c r="X149" i="1"/>
  <c r="X133" i="1"/>
  <c r="X117" i="1"/>
  <c r="X101" i="1"/>
  <c r="X85" i="1"/>
  <c r="X69" i="1"/>
  <c r="X53" i="1"/>
  <c r="X37" i="1"/>
  <c r="X21" i="1"/>
  <c r="X6" i="1"/>
  <c r="X10" i="1"/>
  <c r="X14" i="1"/>
  <c r="X18" i="1"/>
  <c r="X22" i="1"/>
  <c r="X26" i="1"/>
  <c r="X30" i="1"/>
  <c r="X34" i="1"/>
  <c r="X38" i="1"/>
  <c r="X42" i="1"/>
  <c r="X46" i="1"/>
  <c r="X50" i="1"/>
  <c r="X54" i="1"/>
  <c r="X58" i="1"/>
  <c r="X62" i="1"/>
  <c r="X66" i="1"/>
  <c r="X70" i="1"/>
  <c r="X74" i="1"/>
  <c r="X78" i="1"/>
  <c r="X82" i="1"/>
  <c r="X86" i="1"/>
  <c r="X90" i="1"/>
  <c r="X94" i="1"/>
  <c r="X98" i="1"/>
  <c r="X102" i="1"/>
  <c r="X106" i="1"/>
  <c r="X110" i="1"/>
  <c r="X114" i="1"/>
  <c r="X118" i="1"/>
  <c r="X122" i="1"/>
  <c r="X126" i="1"/>
  <c r="X130" i="1"/>
  <c r="X134" i="1"/>
  <c r="X138" i="1"/>
  <c r="X142" i="1"/>
  <c r="X146" i="1"/>
  <c r="X150" i="1"/>
  <c r="X154" i="1"/>
  <c r="X158" i="1"/>
  <c r="X162" i="1"/>
  <c r="X166" i="1"/>
  <c r="X170" i="1"/>
  <c r="X174" i="1"/>
  <c r="X178" i="1"/>
  <c r="X182" i="1"/>
  <c r="X186" i="1"/>
  <c r="X190" i="1"/>
  <c r="X194" i="1"/>
  <c r="X198" i="1"/>
  <c r="X202" i="1"/>
  <c r="X206" i="1"/>
  <c r="X210" i="1"/>
  <c r="X214" i="1"/>
  <c r="X218" i="1"/>
  <c r="X222" i="1"/>
  <c r="X226" i="1"/>
  <c r="X230" i="1"/>
  <c r="X234" i="1"/>
  <c r="X238" i="1"/>
  <c r="X242" i="1"/>
  <c r="X246" i="1"/>
  <c r="X250" i="1"/>
  <c r="X254" i="1"/>
  <c r="X258" i="1"/>
  <c r="X262" i="1"/>
  <c r="X266" i="1"/>
  <c r="X270" i="1"/>
  <c r="X274" i="1"/>
  <c r="X278" i="1"/>
  <c r="X282" i="1"/>
  <c r="X286" i="1"/>
  <c r="X290" i="1"/>
  <c r="X294" i="1"/>
  <c r="X298" i="1"/>
  <c r="X302" i="1"/>
  <c r="X306" i="1"/>
  <c r="X310" i="1"/>
  <c r="X314" i="1"/>
  <c r="X318" i="1"/>
  <c r="X322" i="1"/>
  <c r="X326" i="1"/>
  <c r="X330" i="1"/>
  <c r="X334" i="1"/>
  <c r="X338" i="1"/>
  <c r="X342" i="1"/>
  <c r="X346" i="1"/>
  <c r="X350" i="1"/>
  <c r="X354" i="1"/>
  <c r="X358" i="1"/>
  <c r="X362" i="1"/>
  <c r="X366" i="1"/>
  <c r="X370" i="1"/>
  <c r="X374" i="1"/>
  <c r="X378" i="1"/>
  <c r="X382" i="1"/>
  <c r="X386" i="1"/>
  <c r="X390" i="1"/>
  <c r="X394" i="1"/>
  <c r="X398" i="1"/>
  <c r="X402" i="1"/>
  <c r="X406" i="1"/>
  <c r="X410" i="1"/>
  <c r="X414" i="1"/>
  <c r="X418" i="1"/>
  <c r="X422" i="1"/>
  <c r="X426" i="1"/>
  <c r="X430" i="1"/>
  <c r="X434" i="1"/>
  <c r="X438" i="1"/>
  <c r="X442" i="1"/>
  <c r="X446" i="1"/>
  <c r="X450" i="1"/>
  <c r="X454" i="1"/>
  <c r="X458" i="1"/>
  <c r="X462" i="1"/>
  <c r="X466" i="1"/>
  <c r="X470" i="1"/>
  <c r="X474" i="1"/>
  <c r="X478" i="1"/>
  <c r="X482" i="1"/>
  <c r="X486" i="1"/>
  <c r="X490" i="1"/>
  <c r="X494" i="1"/>
  <c r="X498" i="1"/>
  <c r="X502" i="1"/>
  <c r="X506" i="1"/>
  <c r="X510" i="1"/>
  <c r="X514" i="1"/>
  <c r="X518" i="1"/>
  <c r="X522" i="1"/>
  <c r="X526" i="1"/>
  <c r="X530" i="1"/>
  <c r="X534" i="1"/>
  <c r="X538" i="1"/>
  <c r="X542" i="1"/>
  <c r="X546" i="1"/>
  <c r="X550" i="1"/>
  <c r="X554" i="1"/>
  <c r="X558" i="1"/>
  <c r="X562" i="1"/>
  <c r="X566" i="1"/>
  <c r="X570" i="1"/>
  <c r="X574" i="1"/>
  <c r="X578" i="1"/>
  <c r="X582" i="1"/>
  <c r="X586" i="1"/>
  <c r="X590" i="1"/>
  <c r="X594" i="1"/>
  <c r="X598" i="1"/>
  <c r="X602" i="1"/>
  <c r="X606" i="1"/>
  <c r="X610" i="1"/>
  <c r="X614" i="1"/>
  <c r="X3" i="1"/>
  <c r="X7" i="1"/>
  <c r="X11" i="1"/>
  <c r="X15" i="1"/>
  <c r="X19" i="1"/>
  <c r="X23" i="1"/>
  <c r="X27" i="1"/>
  <c r="X31" i="1"/>
  <c r="X35" i="1"/>
  <c r="X39" i="1"/>
  <c r="X43" i="1"/>
  <c r="X47" i="1"/>
  <c r="X51" i="1"/>
  <c r="X55" i="1"/>
  <c r="X59" i="1"/>
  <c r="X63" i="1"/>
  <c r="X67" i="1"/>
  <c r="X71" i="1"/>
  <c r="X75" i="1"/>
  <c r="X79" i="1"/>
  <c r="X83" i="1"/>
  <c r="X87" i="1"/>
  <c r="X91" i="1"/>
  <c r="X95" i="1"/>
  <c r="X99" i="1"/>
  <c r="X103" i="1"/>
  <c r="X107" i="1"/>
  <c r="X111" i="1"/>
  <c r="X115" i="1"/>
  <c r="X119" i="1"/>
  <c r="X123" i="1"/>
  <c r="X127" i="1"/>
  <c r="X131" i="1"/>
  <c r="X135" i="1"/>
  <c r="X139" i="1"/>
  <c r="X143" i="1"/>
  <c r="X147" i="1"/>
  <c r="X151" i="1"/>
  <c r="X155" i="1"/>
  <c r="X159" i="1"/>
  <c r="X163" i="1"/>
  <c r="X167" i="1"/>
  <c r="X171" i="1"/>
  <c r="X175" i="1"/>
  <c r="X179" i="1"/>
  <c r="X183" i="1"/>
  <c r="X187" i="1"/>
  <c r="X191" i="1"/>
  <c r="X195" i="1"/>
  <c r="X199" i="1"/>
  <c r="X203" i="1"/>
  <c r="X207" i="1"/>
  <c r="X211" i="1"/>
  <c r="X215" i="1"/>
  <c r="X219" i="1"/>
  <c r="X223" i="1"/>
  <c r="X227" i="1"/>
  <c r="X231" i="1"/>
  <c r="X235" i="1"/>
  <c r="X239" i="1"/>
  <c r="X243" i="1"/>
  <c r="X247" i="1"/>
  <c r="X251" i="1"/>
  <c r="X255" i="1"/>
  <c r="X259" i="1"/>
  <c r="X263" i="1"/>
  <c r="X267" i="1"/>
  <c r="X271" i="1"/>
  <c r="X275" i="1"/>
  <c r="X279" i="1"/>
  <c r="X283" i="1"/>
  <c r="X287" i="1"/>
  <c r="X291" i="1"/>
  <c r="X295" i="1"/>
  <c r="X299" i="1"/>
  <c r="X303" i="1"/>
  <c r="X307" i="1"/>
  <c r="X311" i="1"/>
  <c r="X315" i="1"/>
  <c r="X319" i="1"/>
  <c r="X323" i="1"/>
  <c r="X327" i="1"/>
  <c r="X331" i="1"/>
  <c r="X335" i="1"/>
  <c r="X339" i="1"/>
  <c r="X343" i="1"/>
  <c r="X347" i="1"/>
  <c r="X351" i="1"/>
  <c r="X355" i="1"/>
  <c r="X359" i="1"/>
  <c r="X363" i="1"/>
  <c r="X367" i="1"/>
  <c r="X371" i="1"/>
  <c r="X375" i="1"/>
  <c r="X379" i="1"/>
  <c r="X383" i="1"/>
  <c r="X387" i="1"/>
  <c r="X391" i="1"/>
  <c r="X395" i="1"/>
  <c r="X399" i="1"/>
  <c r="X403" i="1"/>
  <c r="X407" i="1"/>
  <c r="X411" i="1"/>
  <c r="X415" i="1"/>
  <c r="X419" i="1"/>
  <c r="X423" i="1"/>
  <c r="X427" i="1"/>
  <c r="X431" i="1"/>
  <c r="X435" i="1"/>
  <c r="X439" i="1"/>
  <c r="X443" i="1"/>
  <c r="X447" i="1"/>
  <c r="X451" i="1"/>
  <c r="X455" i="1"/>
  <c r="X459" i="1"/>
  <c r="X463" i="1"/>
  <c r="X467" i="1"/>
  <c r="X471" i="1"/>
  <c r="X475" i="1"/>
  <c r="X479" i="1"/>
  <c r="X483" i="1"/>
  <c r="X487" i="1"/>
  <c r="X491" i="1"/>
  <c r="X495" i="1"/>
  <c r="X499" i="1"/>
  <c r="X503" i="1"/>
  <c r="X507" i="1"/>
  <c r="X511" i="1"/>
  <c r="X515" i="1"/>
  <c r="X519" i="1"/>
  <c r="X523" i="1"/>
  <c r="X527" i="1"/>
  <c r="X531" i="1"/>
  <c r="X535" i="1"/>
  <c r="X539" i="1"/>
  <c r="X543" i="1"/>
  <c r="X547" i="1"/>
  <c r="X551" i="1"/>
  <c r="X555" i="1"/>
  <c r="X559" i="1"/>
  <c r="X563" i="1"/>
  <c r="X567" i="1"/>
  <c r="X571" i="1"/>
  <c r="X575" i="1"/>
  <c r="X579" i="1"/>
  <c r="X583" i="1"/>
  <c r="X587" i="1"/>
  <c r="X591" i="1"/>
  <c r="X595" i="1"/>
  <c r="X599" i="1"/>
  <c r="X603" i="1"/>
  <c r="X607" i="1"/>
  <c r="X4" i="1"/>
  <c r="X8" i="1"/>
  <c r="X12" i="1"/>
  <c r="X16" i="1"/>
  <c r="X20" i="1"/>
  <c r="X24" i="1"/>
  <c r="X28" i="1"/>
  <c r="X32" i="1"/>
  <c r="X36" i="1"/>
  <c r="X40" i="1"/>
  <c r="X44" i="1"/>
  <c r="X48" i="1"/>
  <c r="X52" i="1"/>
  <c r="X56" i="1"/>
  <c r="X60" i="1"/>
  <c r="X64" i="1"/>
  <c r="X68" i="1"/>
  <c r="X72" i="1"/>
  <c r="X76" i="1"/>
  <c r="X80" i="1"/>
  <c r="X84" i="1"/>
  <c r="X88" i="1"/>
  <c r="X92" i="1"/>
  <c r="X96" i="1"/>
  <c r="X100" i="1"/>
  <c r="X104" i="1"/>
  <c r="X108" i="1"/>
  <c r="X112" i="1"/>
  <c r="X116" i="1"/>
  <c r="X120" i="1"/>
  <c r="X124" i="1"/>
  <c r="X128" i="1"/>
  <c r="X132" i="1"/>
  <c r="X136" i="1"/>
  <c r="X140" i="1"/>
  <c r="X144" i="1"/>
  <c r="X148" i="1"/>
  <c r="X152" i="1"/>
  <c r="X156" i="1"/>
  <c r="X160" i="1"/>
  <c r="X164" i="1"/>
  <c r="X168" i="1"/>
  <c r="X172" i="1"/>
  <c r="X176" i="1"/>
  <c r="X180" i="1"/>
  <c r="X184" i="1"/>
  <c r="X188" i="1"/>
  <c r="X192" i="1"/>
  <c r="X196" i="1"/>
  <c r="X200" i="1"/>
  <c r="X204" i="1"/>
  <c r="X208" i="1"/>
  <c r="X212" i="1"/>
  <c r="X216" i="1"/>
  <c r="X220" i="1"/>
  <c r="X224" i="1"/>
  <c r="X228" i="1"/>
  <c r="X232" i="1"/>
  <c r="X236" i="1"/>
  <c r="X240" i="1"/>
  <c r="X244" i="1"/>
  <c r="X248" i="1"/>
  <c r="X252" i="1"/>
  <c r="X256" i="1"/>
  <c r="X260" i="1"/>
  <c r="X264" i="1"/>
  <c r="X268" i="1"/>
  <c r="X272" i="1"/>
  <c r="X276" i="1"/>
  <c r="X280" i="1"/>
  <c r="X284" i="1"/>
  <c r="X288" i="1"/>
  <c r="X292" i="1"/>
  <c r="X296" i="1"/>
  <c r="X853" i="1"/>
  <c r="X849" i="1"/>
  <c r="X845" i="1"/>
  <c r="X841" i="1"/>
  <c r="X837" i="1"/>
  <c r="X833" i="1"/>
  <c r="X829" i="1"/>
  <c r="X825" i="1"/>
  <c r="X821" i="1"/>
  <c r="X817" i="1"/>
  <c r="X813" i="1"/>
  <c r="X809" i="1"/>
  <c r="X805" i="1"/>
  <c r="X801" i="1"/>
  <c r="X797" i="1"/>
  <c r="X793" i="1"/>
  <c r="X789" i="1"/>
  <c r="X785" i="1"/>
  <c r="X781" i="1"/>
  <c r="X777" i="1"/>
  <c r="X773" i="1"/>
  <c r="X769" i="1"/>
  <c r="X765" i="1"/>
  <c r="X761" i="1"/>
  <c r="X757" i="1"/>
  <c r="X753" i="1"/>
  <c r="X749" i="1"/>
  <c r="X745" i="1"/>
  <c r="X741" i="1"/>
  <c r="X737" i="1"/>
  <c r="X733" i="1"/>
  <c r="X729" i="1"/>
  <c r="X725" i="1"/>
  <c r="X721" i="1"/>
  <c r="X717" i="1"/>
  <c r="X713" i="1"/>
  <c r="X709" i="1"/>
  <c r="X705" i="1"/>
  <c r="X701" i="1"/>
  <c r="X697" i="1"/>
  <c r="X693" i="1"/>
  <c r="X689" i="1"/>
  <c r="X685" i="1"/>
  <c r="X681" i="1"/>
  <c r="X677" i="1"/>
  <c r="X673" i="1"/>
  <c r="X669" i="1"/>
  <c r="X665" i="1"/>
  <c r="X661" i="1"/>
  <c r="X657" i="1"/>
  <c r="X653" i="1"/>
  <c r="X649" i="1"/>
  <c r="X645" i="1"/>
  <c r="X641" i="1"/>
  <c r="X637" i="1"/>
  <c r="X633" i="1"/>
  <c r="X629" i="1"/>
  <c r="X625" i="1"/>
  <c r="X621" i="1"/>
  <c r="X617" i="1"/>
  <c r="X612" i="1"/>
  <c r="X605" i="1"/>
  <c r="X597" i="1"/>
  <c r="X589" i="1"/>
  <c r="X581" i="1"/>
  <c r="X573" i="1"/>
  <c r="X565" i="1"/>
  <c r="X557" i="1"/>
  <c r="X549" i="1"/>
  <c r="X541" i="1"/>
  <c r="X533" i="1"/>
  <c r="X525" i="1"/>
  <c r="X517" i="1"/>
  <c r="X509" i="1"/>
  <c r="X501" i="1"/>
  <c r="X493" i="1"/>
  <c r="X485" i="1"/>
  <c r="X477" i="1"/>
  <c r="X469" i="1"/>
  <c r="X461" i="1"/>
  <c r="X453" i="1"/>
  <c r="X445" i="1"/>
  <c r="X437" i="1"/>
  <c r="X429" i="1"/>
  <c r="X421" i="1"/>
  <c r="X413" i="1"/>
  <c r="X405" i="1"/>
  <c r="X397" i="1"/>
  <c r="X389" i="1"/>
  <c r="X381" i="1"/>
  <c r="X373" i="1"/>
  <c r="X365" i="1"/>
  <c r="X357" i="1"/>
  <c r="X349" i="1"/>
  <c r="X341" i="1"/>
  <c r="X333" i="1"/>
  <c r="X325" i="1"/>
  <c r="X317" i="1"/>
  <c r="X309" i="1"/>
  <c r="X301" i="1"/>
  <c r="X289" i="1"/>
  <c r="X273" i="1"/>
  <c r="X257" i="1"/>
  <c r="X241" i="1"/>
  <c r="X225" i="1"/>
  <c r="X209" i="1"/>
  <c r="X193" i="1"/>
  <c r="X177" i="1"/>
  <c r="X161" i="1"/>
  <c r="X145" i="1"/>
  <c r="X129" i="1"/>
  <c r="X113" i="1"/>
  <c r="X97" i="1"/>
  <c r="X81" i="1"/>
  <c r="X65" i="1"/>
  <c r="X49" i="1"/>
  <c r="X33" i="1"/>
  <c r="X17" i="1"/>
  <c r="X852" i="1"/>
  <c r="X848" i="1"/>
  <c r="X844" i="1"/>
  <c r="X840" i="1"/>
  <c r="X836" i="1"/>
  <c r="X832" i="1"/>
  <c r="X828" i="1"/>
  <c r="X824" i="1"/>
  <c r="X820" i="1"/>
  <c r="X816" i="1"/>
  <c r="X812" i="1"/>
  <c r="X808" i="1"/>
  <c r="X804" i="1"/>
  <c r="X800" i="1"/>
  <c r="X796" i="1"/>
  <c r="X792" i="1"/>
  <c r="X788" i="1"/>
  <c r="X784" i="1"/>
  <c r="X780" i="1"/>
  <c r="X776" i="1"/>
  <c r="X772" i="1"/>
  <c r="X768" i="1"/>
  <c r="X764" i="1"/>
  <c r="X760" i="1"/>
  <c r="X756" i="1"/>
  <c r="X752" i="1"/>
  <c r="X748" i="1"/>
  <c r="X744" i="1"/>
  <c r="X740" i="1"/>
  <c r="X736" i="1"/>
  <c r="X732" i="1"/>
  <c r="X728" i="1"/>
  <c r="X724" i="1"/>
  <c r="X720" i="1"/>
  <c r="X716" i="1"/>
  <c r="X712" i="1"/>
  <c r="X708" i="1"/>
  <c r="X704" i="1"/>
  <c r="X700" i="1"/>
  <c r="X696" i="1"/>
  <c r="X692" i="1"/>
  <c r="X688" i="1"/>
  <c r="X684" i="1"/>
  <c r="X680" i="1"/>
  <c r="X676" i="1"/>
  <c r="X672" i="1"/>
  <c r="X668" i="1"/>
  <c r="X664" i="1"/>
  <c r="X660" i="1"/>
  <c r="X656" i="1"/>
  <c r="X652" i="1"/>
  <c r="X648" i="1"/>
  <c r="X644" i="1"/>
  <c r="X640" i="1"/>
  <c r="X636" i="1"/>
  <c r="X632" i="1"/>
  <c r="X628" i="1"/>
  <c r="X624" i="1"/>
  <c r="X620" i="1"/>
  <c r="X616" i="1"/>
  <c r="X611" i="1"/>
  <c r="X604" i="1"/>
  <c r="X596" i="1"/>
  <c r="X588" i="1"/>
  <c r="X580" i="1"/>
  <c r="X572" i="1"/>
  <c r="X564" i="1"/>
  <c r="X556" i="1"/>
  <c r="X548" i="1"/>
  <c r="X540" i="1"/>
  <c r="X532" i="1"/>
  <c r="X524" i="1"/>
  <c r="X516" i="1"/>
  <c r="X508" i="1"/>
  <c r="X500" i="1"/>
  <c r="X492" i="1"/>
  <c r="X484" i="1"/>
  <c r="X476" i="1"/>
  <c r="X468" i="1"/>
  <c r="X460" i="1"/>
  <c r="X452" i="1"/>
  <c r="X444" i="1"/>
  <c r="X436" i="1"/>
  <c r="X428" i="1"/>
  <c r="X420" i="1"/>
  <c r="X412" i="1"/>
  <c r="X404" i="1"/>
  <c r="X396" i="1"/>
  <c r="X388" i="1"/>
  <c r="X380" i="1"/>
  <c r="X372" i="1"/>
  <c r="X364" i="1"/>
  <c r="X356" i="1"/>
  <c r="X348" i="1"/>
  <c r="X340" i="1"/>
  <c r="X332" i="1"/>
  <c r="X324" i="1"/>
  <c r="X316" i="1"/>
  <c r="X308" i="1"/>
  <c r="X300" i="1"/>
  <c r="X285" i="1"/>
  <c r="X269" i="1"/>
  <c r="X253" i="1"/>
  <c r="X237" i="1"/>
  <c r="X221" i="1"/>
  <c r="X205" i="1"/>
  <c r="X189" i="1"/>
  <c r="X173" i="1"/>
  <c r="X157" i="1"/>
  <c r="X141" i="1"/>
  <c r="X125" i="1"/>
  <c r="X109" i="1"/>
  <c r="X93" i="1"/>
  <c r="X77" i="1"/>
  <c r="X61" i="1"/>
  <c r="X45" i="1"/>
  <c r="X29" i="1"/>
  <c r="X13" i="1"/>
  <c r="X851" i="1"/>
  <c r="X847" i="1"/>
  <c r="X843" i="1"/>
  <c r="X839" i="1"/>
  <c r="X835" i="1"/>
  <c r="X831" i="1"/>
  <c r="X827" i="1"/>
  <c r="X823" i="1"/>
  <c r="X819" i="1"/>
  <c r="X815" i="1"/>
  <c r="X811" i="1"/>
  <c r="X807" i="1"/>
  <c r="X803" i="1"/>
  <c r="X799" i="1"/>
  <c r="X795" i="1"/>
  <c r="X791" i="1"/>
  <c r="X787" i="1"/>
  <c r="X783" i="1"/>
  <c r="X779" i="1"/>
  <c r="X775" i="1"/>
  <c r="X771" i="1"/>
  <c r="X767" i="1"/>
  <c r="X763" i="1"/>
  <c r="X759" i="1"/>
  <c r="X755" i="1"/>
  <c r="X751" i="1"/>
  <c r="X747" i="1"/>
  <c r="X743" i="1"/>
  <c r="X739" i="1"/>
  <c r="X735" i="1"/>
  <c r="X731" i="1"/>
  <c r="X727" i="1"/>
  <c r="X723" i="1"/>
  <c r="X719" i="1"/>
  <c r="X715" i="1"/>
  <c r="X711" i="1"/>
  <c r="X707" i="1"/>
  <c r="X703" i="1"/>
  <c r="X699" i="1"/>
  <c r="X695" i="1"/>
  <c r="X691" i="1"/>
  <c r="X687" i="1"/>
  <c r="X683" i="1"/>
  <c r="X679" i="1"/>
  <c r="X675" i="1"/>
  <c r="X671" i="1"/>
  <c r="X667" i="1"/>
  <c r="X663" i="1"/>
  <c r="X659" i="1"/>
  <c r="X655" i="1"/>
  <c r="X651" i="1"/>
  <c r="X647" i="1"/>
  <c r="X643" i="1"/>
  <c r="X639" i="1"/>
  <c r="X635" i="1"/>
  <c r="X631" i="1"/>
  <c r="X627" i="1"/>
  <c r="X623" i="1"/>
  <c r="X619" i="1"/>
  <c r="X615" i="1"/>
  <c r="X609" i="1"/>
  <c r="X601" i="1"/>
  <c r="X593" i="1"/>
  <c r="X585" i="1"/>
  <c r="X577" i="1"/>
  <c r="X569" i="1"/>
  <c r="X561" i="1"/>
  <c r="X553" i="1"/>
  <c r="X545" i="1"/>
  <c r="X537" i="1"/>
  <c r="X529" i="1"/>
  <c r="X521" i="1"/>
  <c r="X513" i="1"/>
  <c r="X505" i="1"/>
  <c r="X497" i="1"/>
  <c r="X489" i="1"/>
  <c r="X481" i="1"/>
  <c r="X473" i="1"/>
  <c r="X465" i="1"/>
  <c r="X457" i="1"/>
  <c r="X449" i="1"/>
  <c r="X441" i="1"/>
  <c r="X433" i="1"/>
  <c r="X425" i="1"/>
  <c r="X417" i="1"/>
  <c r="X409" i="1"/>
  <c r="X401" i="1"/>
  <c r="X393" i="1"/>
  <c r="X385" i="1"/>
  <c r="X377" i="1"/>
  <c r="X369" i="1"/>
  <c r="X361" i="1"/>
  <c r="X353" i="1"/>
  <c r="X345" i="1"/>
  <c r="X337" i="1"/>
  <c r="X329" i="1"/>
  <c r="X321" i="1"/>
  <c r="X313" i="1"/>
  <c r="X305" i="1"/>
  <c r="X297" i="1"/>
  <c r="X281" i="1"/>
  <c r="X265" i="1"/>
  <c r="X249" i="1"/>
  <c r="X233" i="1"/>
  <c r="X217" i="1"/>
  <c r="X201" i="1"/>
  <c r="X185" i="1"/>
  <c r="X169" i="1"/>
  <c r="X153" i="1"/>
  <c r="X137" i="1"/>
  <c r="X121" i="1"/>
  <c r="X105" i="1"/>
  <c r="X89" i="1"/>
  <c r="X73" i="1"/>
  <c r="X57" i="1"/>
  <c r="X41" i="1"/>
  <c r="X25" i="1"/>
  <c r="X9" i="1"/>
  <c r="K5" i="6"/>
  <c r="K1705" i="6"/>
  <c r="K852" i="6"/>
  <c r="K1693" i="6"/>
  <c r="K840" i="6"/>
  <c r="K1677" i="6"/>
  <c r="K824" i="6"/>
  <c r="K1661" i="6"/>
  <c r="K808" i="6"/>
  <c r="K1645" i="6"/>
  <c r="K792" i="6"/>
  <c r="K1629" i="6"/>
  <c r="K776" i="6"/>
  <c r="K1617" i="6"/>
  <c r="K764" i="6"/>
  <c r="K1609" i="6"/>
  <c r="K756" i="6"/>
  <c r="K1593" i="6"/>
  <c r="K740" i="6"/>
  <c r="K1577" i="6"/>
  <c r="K724" i="6"/>
  <c r="K1565" i="6"/>
  <c r="K712" i="6"/>
  <c r="K1549" i="6"/>
  <c r="K696" i="6"/>
  <c r="K1537" i="6"/>
  <c r="K684" i="6"/>
  <c r="K1521" i="6"/>
  <c r="K668" i="6"/>
  <c r="K1505" i="6"/>
  <c r="K652" i="6"/>
  <c r="K1489" i="6"/>
  <c r="K636" i="6"/>
  <c r="K1477" i="6"/>
  <c r="K624" i="6"/>
  <c r="K1461" i="6"/>
  <c r="K608" i="6"/>
  <c r="K1449" i="6"/>
  <c r="K596" i="6"/>
  <c r="K1433" i="6"/>
  <c r="K580" i="6"/>
  <c r="K1417" i="6"/>
  <c r="K564" i="6"/>
  <c r="K1401" i="6"/>
  <c r="K548" i="6"/>
  <c r="K1389" i="6"/>
  <c r="K536" i="6"/>
  <c r="K1369" i="6"/>
  <c r="K516" i="6"/>
  <c r="K1353" i="6"/>
  <c r="K500" i="6"/>
  <c r="K1341" i="6"/>
  <c r="K488" i="6"/>
  <c r="K1325" i="6"/>
  <c r="K472" i="6"/>
  <c r="K1309" i="6"/>
  <c r="K456" i="6"/>
  <c r="K1293" i="6"/>
  <c r="K440" i="6"/>
  <c r="K1273" i="6"/>
  <c r="K420" i="6"/>
  <c r="K1261" i="6"/>
  <c r="K408" i="6"/>
  <c r="K1245" i="6"/>
  <c r="K392" i="6"/>
  <c r="K1229" i="6"/>
  <c r="K376" i="6"/>
  <c r="K1209" i="6"/>
  <c r="K356" i="6"/>
  <c r="K1193" i="6"/>
  <c r="K340" i="6"/>
  <c r="K1177" i="6"/>
  <c r="K324" i="6"/>
  <c r="K1161" i="6"/>
  <c r="K308" i="6"/>
  <c r="K1145" i="6"/>
  <c r="K292" i="6"/>
  <c r="K1121" i="6"/>
  <c r="K268" i="6"/>
  <c r="K1109" i="6"/>
  <c r="K256" i="6"/>
  <c r="K1093" i="6"/>
  <c r="K240" i="6"/>
  <c r="K224" i="6"/>
  <c r="K1077" i="6"/>
  <c r="K1061" i="6"/>
  <c r="K208" i="6"/>
  <c r="K1045" i="6"/>
  <c r="K192" i="6"/>
  <c r="K1029" i="6"/>
  <c r="K176" i="6"/>
  <c r="K160" i="6"/>
  <c r="K1013" i="6"/>
  <c r="K997" i="6"/>
  <c r="K144" i="6"/>
  <c r="K981" i="6"/>
  <c r="K128" i="6"/>
  <c r="K957" i="6"/>
  <c r="K104" i="6"/>
  <c r="K941" i="6"/>
  <c r="K88" i="6"/>
  <c r="K925" i="6"/>
  <c r="K72" i="6"/>
  <c r="K913" i="6"/>
  <c r="K60" i="6"/>
  <c r="K897" i="6"/>
  <c r="K44" i="6"/>
  <c r="K881" i="6"/>
  <c r="K28" i="6"/>
  <c r="K826" i="6"/>
  <c r="K825" i="6"/>
  <c r="K810" i="6"/>
  <c r="K1662" i="6"/>
  <c r="K809" i="6"/>
  <c r="K794" i="6"/>
  <c r="K793" i="6"/>
  <c r="K778" i="6"/>
  <c r="K777" i="6"/>
  <c r="K762" i="6"/>
  <c r="K761" i="6"/>
  <c r="K746" i="6"/>
  <c r="K1598" i="6"/>
  <c r="K745" i="6"/>
  <c r="K730" i="6"/>
  <c r="K729" i="6"/>
  <c r="K714" i="6"/>
  <c r="K713" i="6"/>
  <c r="K698" i="6"/>
  <c r="K697" i="6"/>
  <c r="K682" i="6"/>
  <c r="K1534" i="6"/>
  <c r="K681" i="6"/>
  <c r="K666" i="6"/>
  <c r="K665" i="6"/>
  <c r="K650" i="6"/>
  <c r="K649" i="6"/>
  <c r="K634" i="6"/>
  <c r="K633" i="6"/>
  <c r="K618" i="6"/>
  <c r="K1470" i="6"/>
  <c r="K617" i="6"/>
  <c r="K602" i="6"/>
  <c r="K601" i="6"/>
  <c r="K586" i="6"/>
  <c r="K585" i="6"/>
  <c r="K570" i="6"/>
  <c r="K569" i="6"/>
  <c r="K554" i="6"/>
  <c r="K1406" i="6"/>
  <c r="K553" i="6"/>
  <c r="K538" i="6"/>
  <c r="K537" i="6"/>
  <c r="K522" i="6"/>
  <c r="K521" i="6"/>
  <c r="K506" i="6"/>
  <c r="K505" i="6"/>
  <c r="K490" i="6"/>
  <c r="K1342" i="6"/>
  <c r="K489" i="6"/>
  <c r="K474" i="6"/>
  <c r="K473" i="6"/>
  <c r="K458" i="6"/>
  <c r="K457" i="6"/>
  <c r="K442" i="6"/>
  <c r="K441" i="6"/>
  <c r="K426" i="6"/>
  <c r="K425" i="6"/>
  <c r="K1278" i="6"/>
  <c r="K410" i="6"/>
  <c r="K409" i="6"/>
  <c r="K394" i="6"/>
  <c r="K393" i="6"/>
  <c r="K378" i="6"/>
  <c r="K377" i="6"/>
  <c r="K362" i="6"/>
  <c r="K361" i="6"/>
  <c r="K1214" i="6"/>
  <c r="K346" i="6"/>
  <c r="K345" i="6"/>
  <c r="K330" i="6"/>
  <c r="K329" i="6"/>
  <c r="K310" i="6"/>
  <c r="K309" i="6"/>
  <c r="K282" i="6"/>
  <c r="K281" i="6"/>
  <c r="K274" i="6"/>
  <c r="K273" i="6"/>
  <c r="K246" i="6"/>
  <c r="K245" i="6"/>
  <c r="K218" i="6"/>
  <c r="K217" i="6"/>
  <c r="K210" i="6"/>
  <c r="K209" i="6"/>
  <c r="K182" i="6"/>
  <c r="K181" i="6"/>
  <c r="K154" i="6"/>
  <c r="K153" i="6"/>
  <c r="K146" i="6"/>
  <c r="K998" i="6"/>
  <c r="K145" i="6"/>
  <c r="K118" i="6"/>
  <c r="K970" i="6"/>
  <c r="K117" i="6"/>
  <c r="K90" i="6"/>
  <c r="K942" i="6"/>
  <c r="K89" i="6"/>
  <c r="K82" i="6"/>
  <c r="K81" i="6"/>
  <c r="K54" i="6"/>
  <c r="K53" i="6"/>
  <c r="K26" i="6"/>
  <c r="K25" i="6"/>
  <c r="K18" i="6"/>
  <c r="K17" i="6"/>
  <c r="L850" i="6"/>
  <c r="L846" i="6"/>
  <c r="L842" i="6"/>
  <c r="L838" i="6"/>
  <c r="L834" i="6"/>
  <c r="L830" i="6"/>
  <c r="L826" i="6"/>
  <c r="L822" i="6"/>
  <c r="L818" i="6"/>
  <c r="L814" i="6"/>
  <c r="L810" i="6"/>
  <c r="L806" i="6"/>
  <c r="L802" i="6"/>
  <c r="L798" i="6"/>
  <c r="L794" i="6"/>
  <c r="K1689" i="6"/>
  <c r="K836" i="6"/>
  <c r="K1673" i="6"/>
  <c r="K820" i="6"/>
  <c r="K1649" i="6"/>
  <c r="K796" i="6"/>
  <c r="K1633" i="6"/>
  <c r="K780" i="6"/>
  <c r="K1613" i="6"/>
  <c r="K760" i="6"/>
  <c r="K1597" i="6"/>
  <c r="K744" i="6"/>
  <c r="K1581" i="6"/>
  <c r="K728" i="6"/>
  <c r="K1561" i="6"/>
  <c r="K708" i="6"/>
  <c r="K1525" i="6"/>
  <c r="K672" i="6"/>
  <c r="K1509" i="6"/>
  <c r="K656" i="6"/>
  <c r="K1493" i="6"/>
  <c r="K640" i="6"/>
  <c r="K1473" i="6"/>
  <c r="K620" i="6"/>
  <c r="K1445" i="6"/>
  <c r="K592" i="6"/>
  <c r="K1425" i="6"/>
  <c r="K572" i="6"/>
  <c r="K1409" i="6"/>
  <c r="K556" i="6"/>
  <c r="K1385" i="6"/>
  <c r="K532" i="6"/>
  <c r="K1373" i="6"/>
  <c r="K520" i="6"/>
  <c r="K1357" i="6"/>
  <c r="K504" i="6"/>
  <c r="K1337" i="6"/>
  <c r="K484" i="6"/>
  <c r="K1313" i="6"/>
  <c r="K460" i="6"/>
  <c r="K1297" i="6"/>
  <c r="K444" i="6"/>
  <c r="K1281" i="6"/>
  <c r="K428" i="6"/>
  <c r="K1265" i="6"/>
  <c r="K412" i="6"/>
  <c r="K1249" i="6"/>
  <c r="K396" i="6"/>
  <c r="K1233" i="6"/>
  <c r="K380" i="6"/>
  <c r="K1217" i="6"/>
  <c r="K364" i="6"/>
  <c r="K1201" i="6"/>
  <c r="K348" i="6"/>
  <c r="K1185" i="6"/>
  <c r="K332" i="6"/>
  <c r="K1165" i="6"/>
  <c r="K312" i="6"/>
  <c r="K1149" i="6"/>
  <c r="K296" i="6"/>
  <c r="K1133" i="6"/>
  <c r="K280" i="6"/>
  <c r="K1117" i="6"/>
  <c r="K264" i="6"/>
  <c r="K1101" i="6"/>
  <c r="K248" i="6"/>
  <c r="K1085" i="6"/>
  <c r="K232" i="6"/>
  <c r="K1069" i="6"/>
  <c r="K216" i="6"/>
  <c r="K1049" i="6"/>
  <c r="K196" i="6"/>
  <c r="K1025" i="6"/>
  <c r="K172" i="6"/>
  <c r="K1005" i="6"/>
  <c r="K152" i="6"/>
  <c r="K985" i="6"/>
  <c r="K132" i="6"/>
  <c r="K965" i="6"/>
  <c r="K112" i="6"/>
  <c r="K945" i="6"/>
  <c r="K92" i="6"/>
  <c r="K929" i="6"/>
  <c r="K76" i="6"/>
  <c r="K901" i="6"/>
  <c r="K48" i="6"/>
  <c r="K893" i="6"/>
  <c r="K40" i="6"/>
  <c r="K877" i="6"/>
  <c r="K24" i="6"/>
  <c r="K869" i="6"/>
  <c r="K16" i="6"/>
  <c r="K861" i="6"/>
  <c r="K8" i="6"/>
  <c r="K857" i="6"/>
  <c r="K4" i="6"/>
  <c r="K1701" i="6"/>
  <c r="K848" i="6"/>
  <c r="K1685" i="6"/>
  <c r="K832" i="6"/>
  <c r="K1669" i="6"/>
  <c r="K816" i="6"/>
  <c r="K1657" i="6"/>
  <c r="K804" i="6"/>
  <c r="K1637" i="6"/>
  <c r="K784" i="6"/>
  <c r="K1621" i="6"/>
  <c r="K768" i="6"/>
  <c r="K1605" i="6"/>
  <c r="K752" i="6"/>
  <c r="K1589" i="6"/>
  <c r="K736" i="6"/>
  <c r="K1573" i="6"/>
  <c r="K720" i="6"/>
  <c r="K1557" i="6"/>
  <c r="K704" i="6"/>
  <c r="K1545" i="6"/>
  <c r="K692" i="6"/>
  <c r="K1533" i="6"/>
  <c r="K680" i="6"/>
  <c r="K1517" i="6"/>
  <c r="K664" i="6"/>
  <c r="K1501" i="6"/>
  <c r="K648" i="6"/>
  <c r="K1481" i="6"/>
  <c r="K628" i="6"/>
  <c r="K1465" i="6"/>
  <c r="K612" i="6"/>
  <c r="K1453" i="6"/>
  <c r="K600" i="6"/>
  <c r="K1437" i="6"/>
  <c r="K584" i="6"/>
  <c r="K1421" i="6"/>
  <c r="K568" i="6"/>
  <c r="K1405" i="6"/>
  <c r="K552" i="6"/>
  <c r="K1393" i="6"/>
  <c r="K540" i="6"/>
  <c r="K1377" i="6"/>
  <c r="K524" i="6"/>
  <c r="K1361" i="6"/>
  <c r="K508" i="6"/>
  <c r="K1345" i="6"/>
  <c r="K492" i="6"/>
  <c r="K1329" i="6"/>
  <c r="K476" i="6"/>
  <c r="K1321" i="6"/>
  <c r="K468" i="6"/>
  <c r="K1305" i="6"/>
  <c r="K452" i="6"/>
  <c r="K1289" i="6"/>
  <c r="K436" i="6"/>
  <c r="K1277" i="6"/>
  <c r="K424" i="6"/>
  <c r="K1253" i="6"/>
  <c r="K400" i="6"/>
  <c r="K1241" i="6"/>
  <c r="K388" i="6"/>
  <c r="K1221" i="6"/>
  <c r="K368" i="6"/>
  <c r="K1205" i="6"/>
  <c r="K352" i="6"/>
  <c r="K1189" i="6"/>
  <c r="K336" i="6"/>
  <c r="K1173" i="6"/>
  <c r="K320" i="6"/>
  <c r="K1157" i="6"/>
  <c r="K304" i="6"/>
  <c r="K1137" i="6"/>
  <c r="K284" i="6"/>
  <c r="K1125" i="6"/>
  <c r="K272" i="6"/>
  <c r="K260" i="6"/>
  <c r="K1113" i="6"/>
  <c r="K1097" i="6"/>
  <c r="K244" i="6"/>
  <c r="K1081" i="6"/>
  <c r="K228" i="6"/>
  <c r="K1065" i="6"/>
  <c r="K212" i="6"/>
  <c r="K1053" i="6"/>
  <c r="K200" i="6"/>
  <c r="K1033" i="6"/>
  <c r="K180" i="6"/>
  <c r="K1017" i="6"/>
  <c r="K164" i="6"/>
  <c r="K1001" i="6"/>
  <c r="K148" i="6"/>
  <c r="K989" i="6"/>
  <c r="K136" i="6"/>
  <c r="K977" i="6"/>
  <c r="K124" i="6"/>
  <c r="K969" i="6"/>
  <c r="K116" i="6"/>
  <c r="K953" i="6"/>
  <c r="K100" i="6"/>
  <c r="K937" i="6"/>
  <c r="K84" i="6"/>
  <c r="K917" i="6"/>
  <c r="K64" i="6"/>
  <c r="K905" i="6"/>
  <c r="K52" i="6"/>
  <c r="K889" i="6"/>
  <c r="K36" i="6"/>
  <c r="L852" i="6"/>
  <c r="L848" i="6"/>
  <c r="L844" i="6"/>
  <c r="L840" i="6"/>
  <c r="L836" i="6"/>
  <c r="L832" i="6"/>
  <c r="L828" i="6"/>
  <c r="L824" i="6"/>
  <c r="L820" i="6"/>
  <c r="L816" i="6"/>
  <c r="L812" i="6"/>
  <c r="L808" i="6"/>
  <c r="L804" i="6"/>
  <c r="L800" i="6"/>
  <c r="K1697" i="6"/>
  <c r="K844" i="6"/>
  <c r="K1681" i="6"/>
  <c r="K828" i="6"/>
  <c r="K1665" i="6"/>
  <c r="K812" i="6"/>
  <c r="K1653" i="6"/>
  <c r="K800" i="6"/>
  <c r="K1641" i="6"/>
  <c r="K788" i="6"/>
  <c r="K1625" i="6"/>
  <c r="K772" i="6"/>
  <c r="K1601" i="6"/>
  <c r="K748" i="6"/>
  <c r="K1585" i="6"/>
  <c r="K732" i="6"/>
  <c r="K1569" i="6"/>
  <c r="K716" i="6"/>
  <c r="K1553" i="6"/>
  <c r="K700" i="6"/>
  <c r="K1541" i="6"/>
  <c r="K688" i="6"/>
  <c r="K1529" i="6"/>
  <c r="K676" i="6"/>
  <c r="K1513" i="6"/>
  <c r="K660" i="6"/>
  <c r="K1497" i="6"/>
  <c r="K644" i="6"/>
  <c r="K1485" i="6"/>
  <c r="K632" i="6"/>
  <c r="K1469" i="6"/>
  <c r="K616" i="6"/>
  <c r="K1457" i="6"/>
  <c r="K604" i="6"/>
  <c r="K1441" i="6"/>
  <c r="K588" i="6"/>
  <c r="K1429" i="6"/>
  <c r="K576" i="6"/>
  <c r="K1413" i="6"/>
  <c r="K560" i="6"/>
  <c r="K1397" i="6"/>
  <c r="K544" i="6"/>
  <c r="K1381" i="6"/>
  <c r="K528" i="6"/>
  <c r="K1365" i="6"/>
  <c r="K512" i="6"/>
  <c r="K1349" i="6"/>
  <c r="K496" i="6"/>
  <c r="K1333" i="6"/>
  <c r="K480" i="6"/>
  <c r="K1317" i="6"/>
  <c r="K464" i="6"/>
  <c r="K1301" i="6"/>
  <c r="K448" i="6"/>
  <c r="K1285" i="6"/>
  <c r="K432" i="6"/>
  <c r="K1269" i="6"/>
  <c r="K416" i="6"/>
  <c r="K1257" i="6"/>
  <c r="K404" i="6"/>
  <c r="K1237" i="6"/>
  <c r="K384" i="6"/>
  <c r="K1225" i="6"/>
  <c r="K372" i="6"/>
  <c r="K1213" i="6"/>
  <c r="K360" i="6"/>
  <c r="K1197" i="6"/>
  <c r="K344" i="6"/>
  <c r="K1181" i="6"/>
  <c r="K328" i="6"/>
  <c r="K1169" i="6"/>
  <c r="K316" i="6"/>
  <c r="K1153" i="6"/>
  <c r="K300" i="6"/>
  <c r="K1141" i="6"/>
  <c r="K288" i="6"/>
  <c r="K1129" i="6"/>
  <c r="K276" i="6"/>
  <c r="K1105" i="6"/>
  <c r="K252" i="6"/>
  <c r="K1089" i="6"/>
  <c r="K236" i="6"/>
  <c r="K1073" i="6"/>
  <c r="K220" i="6"/>
  <c r="K1057" i="6"/>
  <c r="K204" i="6"/>
  <c r="K1041" i="6"/>
  <c r="K188" i="6"/>
  <c r="K1037" i="6"/>
  <c r="K184" i="6"/>
  <c r="K1021" i="6"/>
  <c r="K168" i="6"/>
  <c r="K1009" i="6"/>
  <c r="K156" i="6"/>
  <c r="K993" i="6"/>
  <c r="K140" i="6"/>
  <c r="K973" i="6"/>
  <c r="K120" i="6"/>
  <c r="K961" i="6"/>
  <c r="K108" i="6"/>
  <c r="K96" i="6"/>
  <c r="K949" i="6"/>
  <c r="K933" i="6"/>
  <c r="K80" i="6"/>
  <c r="K921" i="6"/>
  <c r="K68" i="6"/>
  <c r="K909" i="6"/>
  <c r="K56" i="6"/>
  <c r="K32" i="6"/>
  <c r="K885" i="6"/>
  <c r="K873" i="6"/>
  <c r="K20" i="6"/>
  <c r="K865" i="6"/>
  <c r="K12" i="6"/>
  <c r="K831" i="6"/>
  <c r="K1683" i="6"/>
  <c r="K815" i="6"/>
  <c r="K1667" i="6"/>
  <c r="K799" i="6"/>
  <c r="K1651" i="6"/>
  <c r="K783" i="6"/>
  <c r="K1635" i="6"/>
  <c r="K767" i="6"/>
  <c r="K1619" i="6"/>
  <c r="K751" i="6"/>
  <c r="K1603" i="6"/>
  <c r="K735" i="6"/>
  <c r="K1587" i="6"/>
  <c r="K719" i="6"/>
  <c r="K1571" i="6"/>
  <c r="K703" i="6"/>
  <c r="K1555" i="6"/>
  <c r="K687" i="6"/>
  <c r="K1539" i="6"/>
  <c r="K671" i="6"/>
  <c r="K1523" i="6"/>
  <c r="K655" i="6"/>
  <c r="K1507" i="6"/>
  <c r="K639" i="6"/>
  <c r="K1491" i="6"/>
  <c r="K623" i="6"/>
  <c r="K1475" i="6"/>
  <c r="K607" i="6"/>
  <c r="K1459" i="6"/>
  <c r="K591" i="6"/>
  <c r="K1443" i="6"/>
  <c r="K575" i="6"/>
  <c r="K1427" i="6"/>
  <c r="K559" i="6"/>
  <c r="K1411" i="6"/>
  <c r="K543" i="6"/>
  <c r="K1395" i="6"/>
  <c r="K527" i="6"/>
  <c r="K1379" i="6"/>
  <c r="K511" i="6"/>
  <c r="K1363" i="6"/>
  <c r="K495" i="6"/>
  <c r="K1347" i="6"/>
  <c r="K479" i="6"/>
  <c r="K1331" i="6"/>
  <c r="K463" i="6"/>
  <c r="K1315" i="6"/>
  <c r="K447" i="6"/>
  <c r="K1299" i="6"/>
  <c r="K431" i="6"/>
  <c r="K1283" i="6"/>
  <c r="K415" i="6"/>
  <c r="K1267" i="6"/>
  <c r="K399" i="6"/>
  <c r="K1251" i="6"/>
  <c r="K383" i="6"/>
  <c r="K1235" i="6"/>
  <c r="K367" i="6"/>
  <c r="K1219" i="6"/>
  <c r="K351" i="6"/>
  <c r="K1203" i="6"/>
  <c r="K335" i="6"/>
  <c r="K1187" i="6"/>
  <c r="K303" i="6"/>
  <c r="K1155" i="6"/>
  <c r="K295" i="6"/>
  <c r="K1147" i="6"/>
  <c r="K267" i="6"/>
  <c r="K1119" i="6"/>
  <c r="K239" i="6"/>
  <c r="K1091" i="6"/>
  <c r="K231" i="6"/>
  <c r="K1083" i="6"/>
  <c r="K203" i="6"/>
  <c r="K1055" i="6"/>
  <c r="K175" i="6"/>
  <c r="K1027" i="6"/>
  <c r="K167" i="6"/>
  <c r="K1019" i="6"/>
  <c r="K139" i="6"/>
  <c r="K991" i="6"/>
  <c r="K111" i="6"/>
  <c r="K963" i="6"/>
  <c r="K103" i="6"/>
  <c r="K955" i="6"/>
  <c r="K75" i="6"/>
  <c r="K927" i="6"/>
  <c r="K47" i="6"/>
  <c r="K899" i="6"/>
  <c r="K39" i="6"/>
  <c r="K891" i="6"/>
  <c r="K11" i="6"/>
  <c r="K863" i="6"/>
  <c r="L790" i="6"/>
  <c r="L786" i="6"/>
  <c r="L782" i="6"/>
  <c r="L778" i="6"/>
  <c r="L774" i="6"/>
  <c r="L770" i="6"/>
  <c r="L766" i="6"/>
  <c r="L762" i="6"/>
  <c r="L758" i="6"/>
  <c r="L754" i="6"/>
  <c r="L750" i="6"/>
  <c r="L746" i="6"/>
  <c r="L742" i="6"/>
  <c r="L738" i="6"/>
  <c r="L734" i="6"/>
  <c r="L730" i="6"/>
  <c r="L726" i="6"/>
  <c r="L722" i="6"/>
  <c r="L718" i="6"/>
  <c r="L714" i="6"/>
  <c r="L710" i="6"/>
  <c r="L706" i="6"/>
  <c r="L702" i="6"/>
  <c r="L698" i="6"/>
  <c r="L694" i="6"/>
  <c r="L690" i="6"/>
  <c r="L686" i="6"/>
  <c r="L682" i="6"/>
  <c r="L678" i="6"/>
  <c r="L674" i="6"/>
  <c r="L670" i="6"/>
  <c r="L666" i="6"/>
  <c r="L662" i="6"/>
  <c r="L658" i="6"/>
  <c r="L654" i="6"/>
  <c r="L650" i="6"/>
  <c r="L646" i="6"/>
  <c r="L642" i="6"/>
  <c r="L638" i="6"/>
  <c r="L634" i="6"/>
  <c r="L630" i="6"/>
  <c r="L626" i="6"/>
  <c r="L622" i="6"/>
  <c r="L618" i="6"/>
  <c r="J618" i="6" s="1"/>
  <c r="M618" i="6" s="1"/>
  <c r="L614" i="6"/>
  <c r="L610" i="6"/>
  <c r="L606" i="6"/>
  <c r="L602" i="6"/>
  <c r="L598" i="6"/>
  <c r="L594" i="6"/>
  <c r="L590" i="6"/>
  <c r="L796" i="6"/>
  <c r="L792" i="6"/>
  <c r="L788" i="6"/>
  <c r="L784" i="6"/>
  <c r="L780" i="6"/>
  <c r="L776" i="6"/>
  <c r="L772" i="6"/>
  <c r="L768" i="6"/>
  <c r="L764" i="6"/>
  <c r="L760" i="6"/>
  <c r="L756" i="6"/>
  <c r="L752" i="6"/>
  <c r="L748" i="6"/>
  <c r="L744" i="6"/>
  <c r="L740" i="6"/>
  <c r="L736" i="6"/>
  <c r="L732" i="6"/>
  <c r="L728" i="6"/>
  <c r="L724" i="6"/>
  <c r="L720" i="6"/>
  <c r="L716" i="6"/>
  <c r="L712" i="6"/>
  <c r="L708" i="6"/>
  <c r="L704" i="6"/>
  <c r="L700" i="6"/>
  <c r="L696" i="6"/>
  <c r="L692" i="6"/>
  <c r="L688" i="6"/>
  <c r="L684" i="6"/>
  <c r="L680" i="6"/>
  <c r="L676" i="6"/>
  <c r="L672" i="6"/>
  <c r="L668" i="6"/>
  <c r="L664" i="6"/>
  <c r="L660" i="6"/>
  <c r="L656" i="6"/>
  <c r="L652" i="6"/>
  <c r="L648" i="6"/>
  <c r="L644" i="6"/>
  <c r="L640" i="6"/>
  <c r="L636" i="6"/>
  <c r="L632" i="6"/>
  <c r="L628" i="6"/>
  <c r="L624" i="6"/>
  <c r="L620" i="6"/>
  <c r="L616" i="6"/>
  <c r="L612" i="6"/>
  <c r="L608" i="6"/>
  <c r="L604" i="6"/>
  <c r="L600" i="6"/>
  <c r="L596" i="6"/>
  <c r="L592" i="6"/>
  <c r="L588" i="6"/>
  <c r="L584" i="6"/>
  <c r="L580" i="6"/>
  <c r="L576" i="6"/>
  <c r="L572" i="6"/>
  <c r="L568" i="6"/>
  <c r="L564" i="6"/>
  <c r="L560" i="6"/>
  <c r="L556" i="6"/>
  <c r="L552" i="6"/>
  <c r="L548" i="6"/>
  <c r="L544" i="6"/>
  <c r="L540" i="6"/>
  <c r="L536" i="6"/>
  <c r="L532" i="6"/>
  <c r="L528" i="6"/>
  <c r="L524" i="6"/>
  <c r="L520" i="6"/>
  <c r="L516" i="6"/>
  <c r="L512" i="6"/>
  <c r="L508" i="6"/>
  <c r="L504" i="6"/>
  <c r="L500" i="6"/>
  <c r="L496" i="6"/>
  <c r="L492" i="6"/>
  <c r="L488" i="6"/>
  <c r="L484" i="6"/>
  <c r="L480" i="6"/>
  <c r="L476" i="6"/>
  <c r="L472" i="6"/>
  <c r="L468" i="6"/>
  <c r="L464" i="6"/>
  <c r="L460" i="6"/>
  <c r="L456" i="6"/>
  <c r="L452" i="6"/>
  <c r="L448" i="6"/>
  <c r="L444" i="6"/>
  <c r="L440" i="6"/>
  <c r="L436" i="6"/>
  <c r="L432" i="6"/>
  <c r="L428" i="6"/>
  <c r="L424" i="6"/>
  <c r="L420" i="6"/>
  <c r="L416" i="6"/>
  <c r="L412" i="6"/>
  <c r="L408" i="6"/>
  <c r="L404" i="6"/>
  <c r="L400" i="6"/>
  <c r="L396" i="6"/>
  <c r="L392" i="6"/>
  <c r="L388" i="6"/>
  <c r="L384" i="6"/>
  <c r="L380" i="6"/>
  <c r="J380" i="6" s="1"/>
  <c r="M380" i="6" s="1"/>
  <c r="L376" i="6"/>
  <c r="L372" i="6"/>
  <c r="L368" i="6"/>
  <c r="L364" i="6"/>
  <c r="L360" i="6"/>
  <c r="L356" i="6"/>
  <c r="L352" i="6"/>
  <c r="L348" i="6"/>
  <c r="L344" i="6"/>
  <c r="L340" i="6"/>
  <c r="L336" i="6"/>
  <c r="L332" i="6"/>
  <c r="L328" i="6"/>
  <c r="L324" i="6"/>
  <c r="L320" i="6"/>
  <c r="L316" i="6"/>
  <c r="L312" i="6"/>
  <c r="L308" i="6"/>
  <c r="L304" i="6"/>
  <c r="L300" i="6"/>
  <c r="L296" i="6"/>
  <c r="L292" i="6"/>
  <c r="L288" i="6"/>
  <c r="L284" i="6"/>
  <c r="L280" i="6"/>
  <c r="L276" i="6"/>
  <c r="L272" i="6"/>
  <c r="L268" i="6"/>
  <c r="L264" i="6"/>
  <c r="L260" i="6"/>
  <c r="L256" i="6"/>
  <c r="L252" i="6"/>
  <c r="L248" i="6"/>
  <c r="J248" i="6" s="1"/>
  <c r="M248" i="6" s="1"/>
  <c r="L244" i="6"/>
  <c r="L240" i="6"/>
  <c r="L236" i="6"/>
  <c r="L232" i="6"/>
  <c r="L228" i="6"/>
  <c r="L224" i="6"/>
  <c r="L220" i="6"/>
  <c r="L216" i="6"/>
  <c r="L212" i="6"/>
  <c r="L208" i="6"/>
  <c r="L204" i="6"/>
  <c r="L200" i="6"/>
  <c r="L196" i="6"/>
  <c r="L192" i="6"/>
  <c r="L188" i="6"/>
  <c r="L184" i="6"/>
  <c r="L180" i="6"/>
  <c r="L176" i="6"/>
  <c r="L172" i="6"/>
  <c r="L168" i="6"/>
  <c r="L164" i="6"/>
  <c r="L160" i="6"/>
  <c r="L156" i="6"/>
  <c r="J156" i="6" s="1"/>
  <c r="M156" i="6" s="1"/>
  <c r="L152" i="6"/>
  <c r="L148" i="6"/>
  <c r="L144" i="6"/>
  <c r="L140" i="6"/>
  <c r="L136" i="6"/>
  <c r="J136" i="6" s="1"/>
  <c r="M136" i="6" s="1"/>
  <c r="L132" i="6"/>
  <c r="L128" i="6"/>
  <c r="L124" i="6"/>
  <c r="L120" i="6"/>
  <c r="L116" i="6"/>
  <c r="L112" i="6"/>
  <c r="L108" i="6"/>
  <c r="L104" i="6"/>
  <c r="J104" i="6" s="1"/>
  <c r="M104" i="6" s="1"/>
  <c r="L100" i="6"/>
  <c r="L96" i="6"/>
  <c r="L92" i="6"/>
  <c r="L88" i="6"/>
  <c r="J88" i="6" s="1"/>
  <c r="M88" i="6" s="1"/>
  <c r="L84" i="6"/>
  <c r="L80" i="6"/>
  <c r="L76" i="6"/>
  <c r="L72" i="6"/>
  <c r="J72" i="6" s="1"/>
  <c r="M72" i="6" s="1"/>
  <c r="L68" i="6"/>
  <c r="L64" i="6"/>
  <c r="L60" i="6"/>
  <c r="L56" i="6"/>
  <c r="L52" i="6"/>
  <c r="L48" i="6"/>
  <c r="L44" i="6"/>
  <c r="L40" i="6"/>
  <c r="J40" i="6" s="1"/>
  <c r="M40" i="6" s="1"/>
  <c r="L36" i="6"/>
  <c r="L32" i="6"/>
  <c r="L28" i="6"/>
  <c r="L24" i="6"/>
  <c r="J24" i="6" s="1"/>
  <c r="M24" i="6" s="1"/>
  <c r="L20" i="6"/>
  <c r="L16" i="6"/>
  <c r="L12" i="6"/>
  <c r="L8" i="6"/>
  <c r="J8" i="6" s="1"/>
  <c r="M8" i="6" s="1"/>
  <c r="L4" i="6"/>
  <c r="L587" i="6"/>
  <c r="L583" i="6"/>
  <c r="L579" i="6"/>
  <c r="L575" i="6"/>
  <c r="L571" i="6"/>
  <c r="L567" i="6"/>
  <c r="L563" i="6"/>
  <c r="L559" i="6"/>
  <c r="L555" i="6"/>
  <c r="L551" i="6"/>
  <c r="L547" i="6"/>
  <c r="L543" i="6"/>
  <c r="L539" i="6"/>
  <c r="L535" i="6"/>
  <c r="L531" i="6"/>
  <c r="L527" i="6"/>
  <c r="L523" i="6"/>
  <c r="L519" i="6"/>
  <c r="L515" i="6"/>
  <c r="L511" i="6"/>
  <c r="L507" i="6"/>
  <c r="L503" i="6"/>
  <c r="L499" i="6"/>
  <c r="L495" i="6"/>
  <c r="L491" i="6"/>
  <c r="L487" i="6"/>
  <c r="L483" i="6"/>
  <c r="L479" i="6"/>
  <c r="L475" i="6"/>
  <c r="L471" i="6"/>
  <c r="L467" i="6"/>
  <c r="L463" i="6"/>
  <c r="L459" i="6"/>
  <c r="L455" i="6"/>
  <c r="L451" i="6"/>
  <c r="L447" i="6"/>
  <c r="L443" i="6"/>
  <c r="L439" i="6"/>
  <c r="L435" i="6"/>
  <c r="L431" i="6"/>
  <c r="L427" i="6"/>
  <c r="L423" i="6"/>
  <c r="L419" i="6"/>
  <c r="L415" i="6"/>
  <c r="L411" i="6"/>
  <c r="L407" i="6"/>
  <c r="L403" i="6"/>
  <c r="L399" i="6"/>
  <c r="L395" i="6"/>
  <c r="L391" i="6"/>
  <c r="L387" i="6"/>
  <c r="L383" i="6"/>
  <c r="L379" i="6"/>
  <c r="L375" i="6"/>
  <c r="L371" i="6"/>
  <c r="L367" i="6"/>
  <c r="L363" i="6"/>
  <c r="L359" i="6"/>
  <c r="L355" i="6"/>
  <c r="L351" i="6"/>
  <c r="L347" i="6"/>
  <c r="L343" i="6"/>
  <c r="L339" i="6"/>
  <c r="L335" i="6"/>
  <c r="L331" i="6"/>
  <c r="L327" i="6"/>
  <c r="L323" i="6"/>
  <c r="L319" i="6"/>
  <c r="L315" i="6"/>
  <c r="L311" i="6"/>
  <c r="L307" i="6"/>
  <c r="L303" i="6"/>
  <c r="L299" i="6"/>
  <c r="L295" i="6"/>
  <c r="L291" i="6"/>
  <c r="L287" i="6"/>
  <c r="L283" i="6"/>
  <c r="L279" i="6"/>
  <c r="L275" i="6"/>
  <c r="L271" i="6"/>
  <c r="L267" i="6"/>
  <c r="L263" i="6"/>
  <c r="L259" i="6"/>
  <c r="L255" i="6"/>
  <c r="L251" i="6"/>
  <c r="L247" i="6"/>
  <c r="L243" i="6"/>
  <c r="L239" i="6"/>
  <c r="L235" i="6"/>
  <c r="L231" i="6"/>
  <c r="L227" i="6"/>
  <c r="L223" i="6"/>
  <c r="L219" i="6"/>
  <c r="L215" i="6"/>
  <c r="L211" i="6"/>
  <c r="L207" i="6"/>
  <c r="L203" i="6"/>
  <c r="L199" i="6"/>
  <c r="L195" i="6"/>
  <c r="L191" i="6"/>
  <c r="L187" i="6"/>
  <c r="L183" i="6"/>
  <c r="L179" i="6"/>
  <c r="L175" i="6"/>
  <c r="L171" i="6"/>
  <c r="L167" i="6"/>
  <c r="L163" i="6"/>
  <c r="L159" i="6"/>
  <c r="L155" i="6"/>
  <c r="L151" i="6"/>
  <c r="L147" i="6"/>
  <c r="L143" i="6"/>
  <c r="L139" i="6"/>
  <c r="L135" i="6"/>
  <c r="L131" i="6"/>
  <c r="L127" i="6"/>
  <c r="L123" i="6"/>
  <c r="L119" i="6"/>
  <c r="L115" i="6"/>
  <c r="L111" i="6"/>
  <c r="L107" i="6"/>
  <c r="L103" i="6"/>
  <c r="L99" i="6"/>
  <c r="L95" i="6"/>
  <c r="L91" i="6"/>
  <c r="L87" i="6"/>
  <c r="L83" i="6"/>
  <c r="L79" i="6"/>
  <c r="L75" i="6"/>
  <c r="L71" i="6"/>
  <c r="L67" i="6"/>
  <c r="L63" i="6"/>
  <c r="L59" i="6"/>
  <c r="L55" i="6"/>
  <c r="L51" i="6"/>
  <c r="L47" i="6"/>
  <c r="L43" i="6"/>
  <c r="L39" i="6"/>
  <c r="L35" i="6"/>
  <c r="L31" i="6"/>
  <c r="L27" i="6"/>
  <c r="L23" i="6"/>
  <c r="L19" i="6"/>
  <c r="L15" i="6"/>
  <c r="L11" i="6"/>
  <c r="L7" i="6"/>
  <c r="L3" i="6"/>
  <c r="J889" i="6" s="1"/>
  <c r="M889" i="6" s="1"/>
  <c r="J258" i="6"/>
  <c r="M258" i="6" s="1"/>
  <c r="J757" i="6"/>
  <c r="M757" i="6" s="1"/>
  <c r="J529" i="6"/>
  <c r="M529" i="6" s="1"/>
  <c r="J401" i="6"/>
  <c r="M401" i="6" s="1"/>
  <c r="J273" i="6"/>
  <c r="M273" i="6" s="1"/>
  <c r="J141" i="6"/>
  <c r="M141" i="6" s="1"/>
  <c r="J73" i="6"/>
  <c r="M73" i="6" s="1"/>
  <c r="J9" i="6"/>
  <c r="M9" i="6" s="1"/>
  <c r="J268" i="6"/>
  <c r="M268" i="6" s="1"/>
  <c r="J196" i="6"/>
  <c r="M196" i="6" s="1"/>
  <c r="J120" i="6"/>
  <c r="M120" i="6" s="1"/>
  <c r="J56" i="6"/>
  <c r="M56" i="6" s="1"/>
  <c r="K1678" i="6"/>
  <c r="K1614" i="6"/>
  <c r="K1550" i="6"/>
  <c r="K1486" i="6"/>
  <c r="K1422" i="6"/>
  <c r="K1358" i="6"/>
  <c r="K1294" i="6"/>
  <c r="K1230" i="6"/>
  <c r="K1162" i="6"/>
  <c r="K1134" i="6"/>
  <c r="K934" i="6"/>
  <c r="K906" i="6"/>
  <c r="K878" i="6"/>
  <c r="K854" i="6"/>
  <c r="K2" i="6"/>
  <c r="K850" i="6"/>
  <c r="K1702" i="6"/>
  <c r="K846" i="6"/>
  <c r="K1698" i="6"/>
  <c r="K842" i="6"/>
  <c r="K1694" i="6"/>
  <c r="K838" i="6"/>
  <c r="K1690" i="6"/>
  <c r="K834" i="6"/>
  <c r="K1686" i="6"/>
  <c r="K830" i="6"/>
  <c r="K1682" i="6"/>
  <c r="K1674" i="6"/>
  <c r="K822" i="6"/>
  <c r="K818" i="6"/>
  <c r="K1670" i="6"/>
  <c r="K814" i="6"/>
  <c r="K1666" i="6"/>
  <c r="K1658" i="6"/>
  <c r="K806" i="6"/>
  <c r="K802" i="6"/>
  <c r="K1654" i="6"/>
  <c r="K798" i="6"/>
  <c r="K1650" i="6"/>
  <c r="K1642" i="6"/>
  <c r="K790" i="6"/>
  <c r="K786" i="6"/>
  <c r="K1638" i="6"/>
  <c r="K782" i="6"/>
  <c r="K1634" i="6"/>
  <c r="K1626" i="6"/>
  <c r="K774" i="6"/>
  <c r="K770" i="6"/>
  <c r="K1622" i="6"/>
  <c r="K766" i="6"/>
  <c r="K1618" i="6"/>
  <c r="K1610" i="6"/>
  <c r="K758" i="6"/>
  <c r="K754" i="6"/>
  <c r="K1606" i="6"/>
  <c r="K750" i="6"/>
  <c r="K1602" i="6"/>
  <c r="K1594" i="6"/>
  <c r="K742" i="6"/>
  <c r="K738" i="6"/>
  <c r="K1590" i="6"/>
  <c r="K734" i="6"/>
  <c r="K1586" i="6"/>
  <c r="K1578" i="6"/>
  <c r="K726" i="6"/>
  <c r="K722" i="6"/>
  <c r="K1574" i="6"/>
  <c r="K718" i="6"/>
  <c r="K1570" i="6"/>
  <c r="K1562" i="6"/>
  <c r="K710" i="6"/>
  <c r="K706" i="6"/>
  <c r="K1558" i="6"/>
  <c r="K702" i="6"/>
  <c r="K1554" i="6"/>
  <c r="K1546" i="6"/>
  <c r="K694" i="6"/>
  <c r="K690" i="6"/>
  <c r="K1542" i="6"/>
  <c r="K686" i="6"/>
  <c r="K1538" i="6"/>
  <c r="K1530" i="6"/>
  <c r="K678" i="6"/>
  <c r="K674" i="6"/>
  <c r="K1526" i="6"/>
  <c r="K670" i="6"/>
  <c r="K1522" i="6"/>
  <c r="K1514" i="6"/>
  <c r="K662" i="6"/>
  <c r="K658" i="6"/>
  <c r="K1510" i="6"/>
  <c r="K654" i="6"/>
  <c r="K1506" i="6"/>
  <c r="K1498" i="6"/>
  <c r="K646" i="6"/>
  <c r="K642" i="6"/>
  <c r="K1494" i="6"/>
  <c r="K638" i="6"/>
  <c r="K1490" i="6"/>
  <c r="K1482" i="6"/>
  <c r="K630" i="6"/>
  <c r="K626" i="6"/>
  <c r="K1478" i="6"/>
  <c r="K622" i="6"/>
  <c r="K1474" i="6"/>
  <c r="K1466" i="6"/>
  <c r="K614" i="6"/>
  <c r="K610" i="6"/>
  <c r="K1462" i="6"/>
  <c r="K606" i="6"/>
  <c r="K1458" i="6"/>
  <c r="K1450" i="6"/>
  <c r="K598" i="6"/>
  <c r="K594" i="6"/>
  <c r="K1446" i="6"/>
  <c r="K590" i="6"/>
  <c r="K1442" i="6"/>
  <c r="K1434" i="6"/>
  <c r="K582" i="6"/>
  <c r="K578" i="6"/>
  <c r="K1430" i="6"/>
  <c r="K574" i="6"/>
  <c r="K1426" i="6"/>
  <c r="K1418" i="6"/>
  <c r="K566" i="6"/>
  <c r="K562" i="6"/>
  <c r="K1414" i="6"/>
  <c r="K558" i="6"/>
  <c r="K1410" i="6"/>
  <c r="K1402" i="6"/>
  <c r="K550" i="6"/>
  <c r="K546" i="6"/>
  <c r="K1398" i="6"/>
  <c r="K542" i="6"/>
  <c r="K1394" i="6"/>
  <c r="K1386" i="6"/>
  <c r="K534" i="6"/>
  <c r="K530" i="6"/>
  <c r="K1382" i="6"/>
  <c r="K526" i="6"/>
  <c r="K1378" i="6"/>
  <c r="K1370" i="6"/>
  <c r="K518" i="6"/>
  <c r="K514" i="6"/>
  <c r="K1366" i="6"/>
  <c r="K510" i="6"/>
  <c r="K1362" i="6"/>
  <c r="K1354" i="6"/>
  <c r="K502" i="6"/>
  <c r="K498" i="6"/>
  <c r="K1350" i="6"/>
  <c r="K494" i="6"/>
  <c r="K1346" i="6"/>
  <c r="K1338" i="6"/>
  <c r="K486" i="6"/>
  <c r="K482" i="6"/>
  <c r="K1334" i="6"/>
  <c r="K478" i="6"/>
  <c r="K1330" i="6"/>
  <c r="K1322" i="6"/>
  <c r="K470" i="6"/>
  <c r="K466" i="6"/>
  <c r="K1318" i="6"/>
  <c r="K462" i="6"/>
  <c r="K1314" i="6"/>
  <c r="K1306" i="6"/>
  <c r="K454" i="6"/>
  <c r="K450" i="6"/>
  <c r="K1302" i="6"/>
  <c r="K446" i="6"/>
  <c r="K1298" i="6"/>
  <c r="K1290" i="6"/>
  <c r="K438" i="6"/>
  <c r="K434" i="6"/>
  <c r="K1286" i="6"/>
  <c r="K430" i="6"/>
  <c r="K1282" i="6"/>
  <c r="K1274" i="6"/>
  <c r="K422" i="6"/>
  <c r="K418" i="6"/>
  <c r="K1270" i="6"/>
  <c r="K414" i="6"/>
  <c r="K1266" i="6"/>
  <c r="K1258" i="6"/>
  <c r="K406" i="6"/>
  <c r="K402" i="6"/>
  <c r="K1254" i="6"/>
  <c r="K398" i="6"/>
  <c r="K1250" i="6"/>
  <c r="K1242" i="6"/>
  <c r="K390" i="6"/>
  <c r="K386" i="6"/>
  <c r="K1238" i="6"/>
  <c r="K382" i="6"/>
  <c r="K1234" i="6"/>
  <c r="K1226" i="6"/>
  <c r="K374" i="6"/>
  <c r="K370" i="6"/>
  <c r="K1222" i="6"/>
  <c r="K366" i="6"/>
  <c r="K1218" i="6"/>
  <c r="K1210" i="6"/>
  <c r="K358" i="6"/>
  <c r="K354" i="6"/>
  <c r="K1206" i="6"/>
  <c r="K350" i="6"/>
  <c r="K1202" i="6"/>
  <c r="K1194" i="6"/>
  <c r="K342" i="6"/>
  <c r="K338" i="6"/>
  <c r="K1190" i="6"/>
  <c r="K334" i="6"/>
  <c r="K1186" i="6"/>
  <c r="K1178" i="6"/>
  <c r="K326" i="6"/>
  <c r="K322" i="6"/>
  <c r="K1174" i="6"/>
  <c r="K1170" i="6"/>
  <c r="K318" i="6"/>
  <c r="K314" i="6"/>
  <c r="K1166" i="6"/>
  <c r="K306" i="6"/>
  <c r="K1158" i="6"/>
  <c r="K1154" i="6"/>
  <c r="K302" i="6"/>
  <c r="K1150" i="6"/>
  <c r="K298" i="6"/>
  <c r="K294" i="6"/>
  <c r="K1146" i="6"/>
  <c r="K1142" i="6"/>
  <c r="K290" i="6"/>
  <c r="K1138" i="6"/>
  <c r="K286" i="6"/>
  <c r="K278" i="6"/>
  <c r="K1130" i="6"/>
  <c r="K1122" i="6"/>
  <c r="K270" i="6"/>
  <c r="K266" i="6"/>
  <c r="K1118" i="6"/>
  <c r="K1114" i="6"/>
  <c r="K262" i="6"/>
  <c r="K258" i="6"/>
  <c r="K1110" i="6"/>
  <c r="K1106" i="6"/>
  <c r="K254" i="6"/>
  <c r="K250" i="6"/>
  <c r="K1102" i="6"/>
  <c r="K242" i="6"/>
  <c r="K1094" i="6"/>
  <c r="K1090" i="6"/>
  <c r="K238" i="6"/>
  <c r="K1086" i="6"/>
  <c r="K234" i="6"/>
  <c r="K230" i="6"/>
  <c r="K1082" i="6"/>
  <c r="K1078" i="6"/>
  <c r="K226" i="6"/>
  <c r="K1074" i="6"/>
  <c r="K222" i="6"/>
  <c r="K214" i="6"/>
  <c r="K1066" i="6"/>
  <c r="K1058" i="6"/>
  <c r="K206" i="6"/>
  <c r="K202" i="6"/>
  <c r="K1054" i="6"/>
  <c r="K1050" i="6"/>
  <c r="K198" i="6"/>
  <c r="K194" i="6"/>
  <c r="K1046" i="6"/>
  <c r="K1042" i="6"/>
  <c r="K190" i="6"/>
  <c r="K186" i="6"/>
  <c r="K1038" i="6"/>
  <c r="K178" i="6"/>
  <c r="K1030" i="6"/>
  <c r="K1026" i="6"/>
  <c r="K174" i="6"/>
  <c r="K1022" i="6"/>
  <c r="K170" i="6"/>
  <c r="K166" i="6"/>
  <c r="K1018" i="6"/>
  <c r="K1014" i="6"/>
  <c r="K162" i="6"/>
  <c r="K1010" i="6"/>
  <c r="K158" i="6"/>
  <c r="K150" i="6"/>
  <c r="K1002" i="6"/>
  <c r="K994" i="6"/>
  <c r="K142" i="6"/>
  <c r="K138" i="6"/>
  <c r="K990" i="6"/>
  <c r="K986" i="6"/>
  <c r="K134" i="6"/>
  <c r="K130" i="6"/>
  <c r="K982" i="6"/>
  <c r="K978" i="6"/>
  <c r="K126" i="6"/>
  <c r="K122" i="6"/>
  <c r="K974" i="6"/>
  <c r="K114" i="6"/>
  <c r="K966" i="6"/>
  <c r="K962" i="6"/>
  <c r="K110" i="6"/>
  <c r="K958" i="6"/>
  <c r="K106" i="6"/>
  <c r="K102" i="6"/>
  <c r="K954" i="6"/>
  <c r="K950" i="6"/>
  <c r="K98" i="6"/>
  <c r="K946" i="6"/>
  <c r="K94" i="6"/>
  <c r="K86" i="6"/>
  <c r="K938" i="6"/>
  <c r="K930" i="6"/>
  <c r="K78" i="6"/>
  <c r="K74" i="6"/>
  <c r="K926" i="6"/>
  <c r="K922" i="6"/>
  <c r="K70" i="6"/>
  <c r="K66" i="6"/>
  <c r="K918" i="6"/>
  <c r="K914" i="6"/>
  <c r="K62" i="6"/>
  <c r="K58" i="6"/>
  <c r="K910" i="6"/>
  <c r="K50" i="6"/>
  <c r="K902" i="6"/>
  <c r="K898" i="6"/>
  <c r="K46" i="6"/>
  <c r="K894" i="6"/>
  <c r="K42" i="6"/>
  <c r="K38" i="6"/>
  <c r="K890" i="6"/>
  <c r="K886" i="6"/>
  <c r="K34" i="6"/>
  <c r="K882" i="6"/>
  <c r="K30" i="6"/>
  <c r="K22" i="6"/>
  <c r="K874" i="6"/>
  <c r="K866" i="6"/>
  <c r="K14" i="6"/>
  <c r="K10" i="6"/>
  <c r="K862" i="6"/>
  <c r="K858" i="6"/>
  <c r="K6" i="6"/>
  <c r="K1630" i="6"/>
  <c r="K1566" i="6"/>
  <c r="K1502" i="6"/>
  <c r="K1438" i="6"/>
  <c r="K1374" i="6"/>
  <c r="K1310" i="6"/>
  <c r="K1246" i="6"/>
  <c r="K1182" i="6"/>
  <c r="K1126" i="6"/>
  <c r="K1098" i="6"/>
  <c r="K1070" i="6"/>
  <c r="K870" i="6"/>
  <c r="K1646" i="6"/>
  <c r="K1582" i="6"/>
  <c r="K1518" i="6"/>
  <c r="K1454" i="6"/>
  <c r="K1390" i="6"/>
  <c r="K1326" i="6"/>
  <c r="K1262" i="6"/>
  <c r="K1198" i="6"/>
  <c r="K1062" i="6"/>
  <c r="K1034" i="6"/>
  <c r="K1006" i="6"/>
  <c r="K1703" i="6"/>
  <c r="K1699" i="6"/>
  <c r="K1695" i="6"/>
  <c r="K1691" i="6"/>
  <c r="K1687" i="6"/>
  <c r="K1671" i="6"/>
  <c r="K1655" i="6"/>
  <c r="K1639" i="6"/>
  <c r="K1623" i="6"/>
  <c r="K1607" i="6"/>
  <c r="K1591" i="6"/>
  <c r="K1575" i="6"/>
  <c r="K1559" i="6"/>
  <c r="K1543" i="6"/>
  <c r="K1527" i="6"/>
  <c r="K1511" i="6"/>
  <c r="K1495" i="6"/>
  <c r="K1479" i="6"/>
  <c r="K1463" i="6"/>
  <c r="K1447" i="6"/>
  <c r="K1431" i="6"/>
  <c r="K1415" i="6"/>
  <c r="K1399" i="6"/>
  <c r="K1383" i="6"/>
  <c r="K1367" i="6"/>
  <c r="K1351" i="6"/>
  <c r="K1335" i="6"/>
  <c r="K1319" i="6"/>
  <c r="K1303" i="6"/>
  <c r="K1287" i="6"/>
  <c r="K1271" i="6"/>
  <c r="K1255" i="6"/>
  <c r="K1239" i="6"/>
  <c r="K1223" i="6"/>
  <c r="K1207" i="6"/>
  <c r="K1191" i="6"/>
  <c r="K1167" i="6"/>
  <c r="K1139" i="6"/>
  <c r="K1131" i="6"/>
  <c r="K1103" i="6"/>
  <c r="K1075" i="6"/>
  <c r="K1067" i="6"/>
  <c r="K1039" i="6"/>
  <c r="K1011" i="6"/>
  <c r="K1003" i="6"/>
  <c r="K975" i="6"/>
  <c r="K947" i="6"/>
  <c r="K939" i="6"/>
  <c r="K911" i="6"/>
  <c r="K883" i="6"/>
  <c r="K875" i="6"/>
  <c r="K827" i="6"/>
  <c r="K823" i="6"/>
  <c r="K811" i="6"/>
  <c r="K807" i="6"/>
  <c r="K795" i="6"/>
  <c r="K791" i="6"/>
  <c r="K779" i="6"/>
  <c r="K775" i="6"/>
  <c r="K763" i="6"/>
  <c r="K759" i="6"/>
  <c r="K747" i="6"/>
  <c r="K743" i="6"/>
  <c r="K731" i="6"/>
  <c r="K727" i="6"/>
  <c r="K715" i="6"/>
  <c r="K711" i="6"/>
  <c r="K699" i="6"/>
  <c r="K695" i="6"/>
  <c r="K683" i="6"/>
  <c r="K679" i="6"/>
  <c r="K667" i="6"/>
  <c r="K663" i="6"/>
  <c r="K651" i="6"/>
  <c r="K647" i="6"/>
  <c r="K635" i="6"/>
  <c r="K631" i="6"/>
  <c r="K619" i="6"/>
  <c r="K615" i="6"/>
  <c r="K603" i="6"/>
  <c r="K599" i="6"/>
  <c r="K587" i="6"/>
  <c r="K583" i="6"/>
  <c r="K571" i="6"/>
  <c r="K567" i="6"/>
  <c r="K555" i="6"/>
  <c r="K551" i="6"/>
  <c r="K539" i="6"/>
  <c r="K535" i="6"/>
  <c r="K523" i="6"/>
  <c r="K519" i="6"/>
  <c r="K507" i="6"/>
  <c r="K503" i="6"/>
  <c r="K491" i="6"/>
  <c r="K487" i="6"/>
  <c r="K475" i="6"/>
  <c r="K471" i="6"/>
  <c r="K459" i="6"/>
  <c r="K455" i="6"/>
  <c r="K443" i="6"/>
  <c r="K439" i="6"/>
  <c r="K427" i="6"/>
  <c r="K423" i="6"/>
  <c r="K411" i="6"/>
  <c r="K407" i="6"/>
  <c r="K395" i="6"/>
  <c r="K391" i="6"/>
  <c r="K379" i="6"/>
  <c r="K375" i="6"/>
  <c r="K363" i="6"/>
  <c r="K359" i="6"/>
  <c r="K347" i="6"/>
  <c r="K343" i="6"/>
  <c r="K331" i="6"/>
  <c r="K327" i="6"/>
  <c r="K323" i="6"/>
  <c r="K319" i="6"/>
  <c r="K311" i="6"/>
  <c r="K307" i="6"/>
  <c r="K299" i="6"/>
  <c r="K291" i="6"/>
  <c r="K283" i="6"/>
  <c r="K275" i="6"/>
  <c r="K271" i="6"/>
  <c r="K263" i="6"/>
  <c r="K259" i="6"/>
  <c r="K255" i="6"/>
  <c r="K247" i="6"/>
  <c r="K243" i="6"/>
  <c r="K235" i="6"/>
  <c r="K227" i="6"/>
  <c r="K219" i="6"/>
  <c r="K211" i="6"/>
  <c r="K207" i="6"/>
  <c r="K199" i="6"/>
  <c r="K195" i="6"/>
  <c r="K191" i="6"/>
  <c r="K183" i="6"/>
  <c r="K179" i="6"/>
  <c r="K171" i="6"/>
  <c r="K163" i="6"/>
  <c r="K155" i="6"/>
  <c r="K147" i="6"/>
  <c r="K143" i="6"/>
  <c r="K135" i="6"/>
  <c r="K131" i="6"/>
  <c r="K127" i="6"/>
  <c r="K119" i="6"/>
  <c r="K115" i="6"/>
  <c r="K107" i="6"/>
  <c r="K99" i="6"/>
  <c r="K91" i="6"/>
  <c r="K83" i="6"/>
  <c r="K79" i="6"/>
  <c r="K71" i="6"/>
  <c r="K67" i="6"/>
  <c r="K63" i="6"/>
  <c r="K55" i="6"/>
  <c r="K51" i="6"/>
  <c r="K43" i="6"/>
  <c r="K35" i="6"/>
  <c r="K27" i="6"/>
  <c r="K19" i="6"/>
  <c r="K15" i="6"/>
  <c r="K7" i="6"/>
  <c r="K3" i="6"/>
  <c r="L3" i="2"/>
  <c r="B6" i="3"/>
  <c r="B8" i="3" s="1"/>
  <c r="B10" i="3" s="1"/>
  <c r="B12" i="3" s="1"/>
  <c r="B14" i="3" s="1"/>
  <c r="B16" i="3" s="1"/>
  <c r="B18" i="3" s="1"/>
  <c r="B20" i="3" s="1"/>
  <c r="B22" i="3" s="1"/>
  <c r="B24" i="3" s="1"/>
  <c r="B26" i="3" s="1"/>
  <c r="B28" i="3" s="1"/>
  <c r="B30" i="3" s="1"/>
  <c r="B32" i="3" s="1"/>
  <c r="B34" i="3" s="1"/>
  <c r="B36" i="3" s="1"/>
  <c r="B37" i="3" s="1"/>
  <c r="B39" i="3" s="1"/>
  <c r="B41" i="3" s="1"/>
  <c r="B43" i="3" s="1"/>
  <c r="B45" i="3" s="1"/>
  <c r="B47" i="3" s="1"/>
  <c r="B49" i="3" s="1"/>
  <c r="B51" i="3" s="1"/>
  <c r="B53" i="3" s="1"/>
  <c r="B55" i="3" s="1"/>
  <c r="B57" i="3" s="1"/>
  <c r="B59" i="3" s="1"/>
  <c r="B61" i="3" s="1"/>
  <c r="B63" i="3" s="1"/>
  <c r="B65" i="3" s="1"/>
  <c r="B67" i="3" s="1"/>
  <c r="B69" i="3" s="1"/>
  <c r="B71" i="3" s="1"/>
  <c r="B73" i="3" s="1"/>
  <c r="B75" i="3" s="1"/>
  <c r="B77" i="3" s="1"/>
  <c r="B79" i="3" s="1"/>
  <c r="B81" i="3" s="1"/>
  <c r="B83" i="3" s="1"/>
  <c r="B85" i="3" s="1"/>
  <c r="B87" i="3" s="1"/>
  <c r="B89" i="3" s="1"/>
  <c r="B91" i="3" s="1"/>
  <c r="B93" i="3" s="1"/>
  <c r="B95" i="3" s="1"/>
  <c r="B97" i="3" s="1"/>
  <c r="B99" i="3" s="1"/>
  <c r="B101" i="3" s="1"/>
  <c r="B103" i="3" s="1"/>
  <c r="B105" i="3" s="1"/>
  <c r="B107" i="3" s="1"/>
  <c r="B109" i="3" s="1"/>
  <c r="B111" i="3" s="1"/>
  <c r="B113" i="3" s="1"/>
  <c r="B115" i="3" s="1"/>
  <c r="B117" i="3" s="1"/>
  <c r="B119" i="3" s="1"/>
  <c r="B121" i="3" s="1"/>
  <c r="B123" i="3" s="1"/>
  <c r="B125" i="3" s="1"/>
  <c r="B127" i="3" s="1"/>
  <c r="B129" i="3" s="1"/>
  <c r="B131" i="3" s="1"/>
  <c r="B133" i="3" s="1"/>
  <c r="B135" i="3" s="1"/>
  <c r="B137" i="3" s="1"/>
  <c r="B139" i="3" s="1"/>
  <c r="B141" i="3" s="1"/>
  <c r="B143" i="3" s="1"/>
  <c r="B145" i="3" s="1"/>
  <c r="B147" i="3" s="1"/>
  <c r="B149" i="3" s="1"/>
  <c r="B151" i="3" s="1"/>
  <c r="B153" i="3" s="1"/>
  <c r="B155" i="3" s="1"/>
  <c r="B157" i="3" s="1"/>
  <c r="B159" i="3" s="1"/>
  <c r="B161" i="3" s="1"/>
  <c r="B163" i="3" s="1"/>
  <c r="B165" i="3" s="1"/>
  <c r="B167" i="3" s="1"/>
  <c r="B169" i="3" s="1"/>
  <c r="B171" i="3" s="1"/>
  <c r="B173" i="3" s="1"/>
  <c r="B175" i="3" s="1"/>
  <c r="B177" i="3" s="1"/>
  <c r="B179" i="3" s="1"/>
  <c r="B181" i="3" s="1"/>
  <c r="B183" i="3" s="1"/>
  <c r="B185" i="3" s="1"/>
  <c r="B187" i="3" s="1"/>
  <c r="B189" i="3" s="1"/>
  <c r="B191" i="3" s="1"/>
  <c r="B193" i="3" s="1"/>
  <c r="B195" i="3" s="1"/>
  <c r="B197" i="3" s="1"/>
  <c r="B199" i="3" s="1"/>
  <c r="B201" i="3" s="1"/>
  <c r="B203" i="3" s="1"/>
  <c r="B205" i="3" s="1"/>
  <c r="B207" i="3" s="1"/>
  <c r="B209" i="3" s="1"/>
  <c r="B211" i="3" s="1"/>
  <c r="B213" i="3" s="1"/>
  <c r="B215" i="3" s="1"/>
  <c r="B217" i="3" s="1"/>
  <c r="B219" i="3" s="1"/>
  <c r="B221" i="3" s="1"/>
  <c r="B223" i="3" s="1"/>
  <c r="B225" i="3" s="1"/>
  <c r="B227" i="3" s="1"/>
  <c r="B229" i="3" s="1"/>
  <c r="B231" i="3" s="1"/>
  <c r="B233" i="3" s="1"/>
  <c r="B235" i="3" s="1"/>
  <c r="B237" i="3" s="1"/>
  <c r="B239" i="3" s="1"/>
  <c r="B241" i="3" s="1"/>
  <c r="B243" i="3" s="1"/>
  <c r="B245" i="3" s="1"/>
  <c r="B247" i="3" s="1"/>
  <c r="B249" i="3" s="1"/>
  <c r="B251" i="3" s="1"/>
  <c r="B253" i="3" s="1"/>
  <c r="B255" i="3" s="1"/>
  <c r="B257" i="3" s="1"/>
  <c r="B259" i="3" s="1"/>
  <c r="B261" i="3" s="1"/>
  <c r="B263" i="3" s="1"/>
  <c r="B265" i="3" s="1"/>
  <c r="B267" i="3" s="1"/>
  <c r="B269" i="3" s="1"/>
  <c r="B271" i="3" s="1"/>
  <c r="B273" i="3" s="1"/>
  <c r="B275" i="3" s="1"/>
  <c r="B277" i="3" s="1"/>
  <c r="B279" i="3" s="1"/>
  <c r="B281" i="3" s="1"/>
  <c r="B283" i="3" s="1"/>
  <c r="B285" i="3" s="1"/>
  <c r="B287" i="3" s="1"/>
  <c r="B289" i="3" s="1"/>
  <c r="B291" i="3" s="1"/>
  <c r="B293" i="3" s="1"/>
  <c r="B295" i="3" s="1"/>
  <c r="B297" i="3" s="1"/>
  <c r="B299" i="3" s="1"/>
  <c r="B301" i="3" s="1"/>
  <c r="B303" i="3" s="1"/>
  <c r="B305" i="3" s="1"/>
  <c r="B307" i="3" s="1"/>
  <c r="B309" i="3" s="1"/>
  <c r="B311" i="3" s="1"/>
  <c r="B313" i="3" s="1"/>
  <c r="B315" i="3" s="1"/>
  <c r="B317" i="3" s="1"/>
  <c r="B319" i="3" s="1"/>
  <c r="B321" i="3" s="1"/>
  <c r="B323" i="3" s="1"/>
  <c r="B325" i="3" s="1"/>
  <c r="B327" i="3" s="1"/>
  <c r="B329" i="3" s="1"/>
  <c r="B331" i="3" s="1"/>
  <c r="B333" i="3" s="1"/>
  <c r="B335" i="3" s="1"/>
  <c r="B337" i="3" s="1"/>
  <c r="B339" i="3" s="1"/>
  <c r="B341" i="3" s="1"/>
  <c r="B343" i="3" s="1"/>
  <c r="B345" i="3" s="1"/>
  <c r="B347" i="3" s="1"/>
  <c r="B349" i="3" s="1"/>
  <c r="B351" i="3" s="1"/>
  <c r="B353" i="3" s="1"/>
  <c r="B355" i="3" s="1"/>
  <c r="B357" i="3" s="1"/>
  <c r="B359" i="3" s="1"/>
  <c r="B361" i="3" s="1"/>
  <c r="B363" i="3" s="1"/>
  <c r="B365" i="3" s="1"/>
  <c r="B367" i="3" s="1"/>
  <c r="B369" i="3" s="1"/>
  <c r="B371" i="3" s="1"/>
  <c r="B373" i="3" s="1"/>
  <c r="B375" i="3" s="1"/>
  <c r="B377" i="3" s="1"/>
  <c r="B379" i="3" s="1"/>
  <c r="B381" i="3" s="1"/>
  <c r="B383" i="3" s="1"/>
  <c r="B385" i="3" s="1"/>
  <c r="B387" i="3" s="1"/>
  <c r="B389" i="3" s="1"/>
  <c r="B391" i="3" s="1"/>
  <c r="B393" i="3" s="1"/>
  <c r="B395" i="3" s="1"/>
  <c r="B397" i="3" s="1"/>
  <c r="B399" i="3" s="1"/>
  <c r="B401" i="3" s="1"/>
  <c r="B403" i="3" s="1"/>
  <c r="B405" i="3" s="1"/>
  <c r="B407" i="3" s="1"/>
  <c r="B409" i="3" s="1"/>
  <c r="B411" i="3" s="1"/>
  <c r="B413" i="3" s="1"/>
  <c r="B415" i="3" s="1"/>
  <c r="B417" i="3" s="1"/>
  <c r="B419" i="3" s="1"/>
  <c r="B421" i="3" s="1"/>
  <c r="B423" i="3" s="1"/>
  <c r="B425" i="3" s="1"/>
  <c r="B427" i="3" s="1"/>
  <c r="B429" i="3" s="1"/>
  <c r="B431" i="3" s="1"/>
  <c r="B433" i="3" s="1"/>
  <c r="B435" i="3" s="1"/>
  <c r="B437" i="3" s="1"/>
  <c r="B439" i="3" s="1"/>
  <c r="B441" i="3" s="1"/>
  <c r="B443" i="3" s="1"/>
  <c r="B445" i="3" s="1"/>
  <c r="B447" i="3" s="1"/>
  <c r="B449" i="3" s="1"/>
  <c r="B451" i="3" s="1"/>
  <c r="B453" i="3" s="1"/>
  <c r="B455" i="3" s="1"/>
  <c r="B457" i="3" s="1"/>
  <c r="B459" i="3" s="1"/>
  <c r="B461" i="3" s="1"/>
  <c r="B463" i="3" s="1"/>
  <c r="B465" i="3" s="1"/>
  <c r="B467" i="3" s="1"/>
  <c r="B469" i="3" s="1"/>
  <c r="B471" i="3" s="1"/>
  <c r="B473" i="3" s="1"/>
  <c r="B475" i="3" s="1"/>
  <c r="B477" i="3" s="1"/>
  <c r="B479" i="3" s="1"/>
  <c r="B481" i="3" s="1"/>
  <c r="B483" i="3" s="1"/>
  <c r="B485" i="3" s="1"/>
  <c r="B487" i="3" s="1"/>
  <c r="B489" i="3" s="1"/>
  <c r="B491" i="3" s="1"/>
  <c r="B493" i="3" s="1"/>
  <c r="B495" i="3" s="1"/>
  <c r="B497" i="3" s="1"/>
  <c r="B499" i="3" s="1"/>
  <c r="B501" i="3" s="1"/>
  <c r="B503" i="3" s="1"/>
  <c r="B505" i="3" s="1"/>
  <c r="B507" i="3" s="1"/>
  <c r="B509" i="3" s="1"/>
  <c r="B511" i="3" s="1"/>
  <c r="B513" i="3" s="1"/>
  <c r="B515" i="3" s="1"/>
  <c r="B517" i="3" s="1"/>
  <c r="B519" i="3" s="1"/>
  <c r="B521" i="3" s="1"/>
  <c r="B523" i="3" s="1"/>
  <c r="B525" i="3" s="1"/>
  <c r="B527" i="3" s="1"/>
  <c r="B529" i="3" s="1"/>
  <c r="B531" i="3" s="1"/>
  <c r="B533" i="3" s="1"/>
  <c r="B535" i="3" s="1"/>
  <c r="B537" i="3" s="1"/>
  <c r="B539" i="3" s="1"/>
  <c r="B541" i="3" s="1"/>
  <c r="B543" i="3" s="1"/>
  <c r="B545" i="3" s="1"/>
  <c r="B547" i="3" s="1"/>
  <c r="B549" i="3" s="1"/>
  <c r="B551" i="3" s="1"/>
  <c r="B553" i="3" s="1"/>
  <c r="B555" i="3" s="1"/>
  <c r="B557" i="3" s="1"/>
  <c r="B559" i="3" s="1"/>
  <c r="B561" i="3" s="1"/>
  <c r="B563" i="3" s="1"/>
  <c r="B565" i="3" s="1"/>
  <c r="B567" i="3" s="1"/>
  <c r="B569" i="3" s="1"/>
  <c r="B571" i="3" s="1"/>
  <c r="B573" i="3" s="1"/>
  <c r="B575" i="3" s="1"/>
  <c r="B577" i="3" s="1"/>
  <c r="B579" i="3" s="1"/>
  <c r="B581" i="3" s="1"/>
  <c r="B583" i="3" s="1"/>
  <c r="B585" i="3" s="1"/>
  <c r="B587" i="3" s="1"/>
  <c r="B589" i="3" s="1"/>
  <c r="B591" i="3" s="1"/>
  <c r="B593" i="3" s="1"/>
  <c r="B595" i="3" s="1"/>
  <c r="B597" i="3" s="1"/>
  <c r="B599" i="3" s="1"/>
  <c r="B601" i="3" s="1"/>
  <c r="B603" i="3" s="1"/>
  <c r="B605" i="3" s="1"/>
  <c r="B607" i="3" s="1"/>
  <c r="B609" i="3" s="1"/>
  <c r="B611" i="3" s="1"/>
  <c r="B613" i="3" s="1"/>
  <c r="B615" i="3" s="1"/>
  <c r="B617" i="3" s="1"/>
  <c r="B619" i="3" s="1"/>
  <c r="B621" i="3" s="1"/>
  <c r="B623" i="3" s="1"/>
  <c r="B625" i="3" s="1"/>
  <c r="B627" i="3" s="1"/>
  <c r="B629" i="3" s="1"/>
  <c r="B631" i="3" s="1"/>
  <c r="B633" i="3" s="1"/>
  <c r="B635" i="3" s="1"/>
  <c r="B637" i="3" s="1"/>
  <c r="B639" i="3" s="1"/>
  <c r="B641" i="3" s="1"/>
  <c r="B643" i="3" s="1"/>
  <c r="B645" i="3" s="1"/>
  <c r="B647" i="3" s="1"/>
  <c r="B649" i="3" s="1"/>
  <c r="B651" i="3" s="1"/>
  <c r="B653" i="3" s="1"/>
  <c r="B655" i="3" s="1"/>
  <c r="B657" i="3" s="1"/>
  <c r="B659" i="3" s="1"/>
  <c r="B661" i="3" s="1"/>
  <c r="B663" i="3" s="1"/>
  <c r="B665" i="3" s="1"/>
  <c r="B667" i="3" s="1"/>
  <c r="B669" i="3" s="1"/>
  <c r="B671" i="3" s="1"/>
  <c r="B673" i="3" s="1"/>
  <c r="B675" i="3" s="1"/>
  <c r="B677" i="3" s="1"/>
  <c r="B679" i="3" s="1"/>
  <c r="B681" i="3" s="1"/>
  <c r="B683" i="3" s="1"/>
  <c r="B685" i="3" s="1"/>
  <c r="B687" i="3" s="1"/>
  <c r="B689" i="3" s="1"/>
  <c r="B691" i="3" s="1"/>
  <c r="B693" i="3" s="1"/>
  <c r="B695" i="3" s="1"/>
  <c r="B697" i="3" s="1"/>
  <c r="B699" i="3" s="1"/>
  <c r="B701" i="3" s="1"/>
  <c r="B703" i="3" s="1"/>
  <c r="B705" i="3" s="1"/>
  <c r="B707" i="3" s="1"/>
  <c r="B709" i="3" s="1"/>
  <c r="B711" i="3" s="1"/>
  <c r="B713" i="3" s="1"/>
  <c r="B715" i="3" s="1"/>
  <c r="B717" i="3" s="1"/>
  <c r="B719" i="3" s="1"/>
  <c r="B721" i="3" s="1"/>
  <c r="B723" i="3" s="1"/>
  <c r="B725" i="3" s="1"/>
  <c r="B727" i="3" s="1"/>
  <c r="B729" i="3" s="1"/>
  <c r="B731" i="3" s="1"/>
  <c r="B733" i="3" s="1"/>
  <c r="B735" i="3" s="1"/>
  <c r="B737" i="3" s="1"/>
  <c r="B739" i="3" s="1"/>
  <c r="B741" i="3" s="1"/>
  <c r="B743" i="3" s="1"/>
  <c r="B745" i="3" s="1"/>
  <c r="B747" i="3" s="1"/>
  <c r="B749" i="3" s="1"/>
  <c r="B751" i="3" s="1"/>
  <c r="B753" i="3" s="1"/>
  <c r="B755" i="3" s="1"/>
  <c r="B757" i="3" s="1"/>
  <c r="B759" i="3" s="1"/>
  <c r="B761" i="3" s="1"/>
  <c r="B763" i="3" s="1"/>
  <c r="B765" i="3" s="1"/>
  <c r="B767" i="3" s="1"/>
  <c r="B769" i="3" s="1"/>
  <c r="B771" i="3" s="1"/>
  <c r="B773" i="3" s="1"/>
  <c r="B775" i="3" s="1"/>
  <c r="B777" i="3" s="1"/>
  <c r="B779" i="3" s="1"/>
  <c r="B781" i="3" s="1"/>
  <c r="B783" i="3" s="1"/>
  <c r="B785" i="3" s="1"/>
  <c r="B787" i="3" s="1"/>
  <c r="B789" i="3" s="1"/>
  <c r="B791" i="3" s="1"/>
  <c r="B793" i="3" s="1"/>
  <c r="B795" i="3" s="1"/>
  <c r="B797" i="3" s="1"/>
  <c r="B799" i="3" s="1"/>
  <c r="B801" i="3" s="1"/>
  <c r="B803" i="3" s="1"/>
  <c r="B805" i="3" s="1"/>
  <c r="B807" i="3" s="1"/>
  <c r="B809" i="3" s="1"/>
  <c r="B811" i="3" s="1"/>
  <c r="B813" i="3" s="1"/>
  <c r="B815" i="3" s="1"/>
  <c r="B817" i="3" s="1"/>
  <c r="B819" i="3" s="1"/>
  <c r="B821" i="3" s="1"/>
  <c r="B823" i="3" s="1"/>
  <c r="B825" i="3" s="1"/>
  <c r="B827" i="3" s="1"/>
  <c r="B829" i="3" s="1"/>
  <c r="B831" i="3" s="1"/>
  <c r="B833" i="3" s="1"/>
  <c r="B835" i="3" s="1"/>
  <c r="B837" i="3" s="1"/>
  <c r="B839" i="3" s="1"/>
  <c r="B841" i="3" s="1"/>
  <c r="B843" i="3" s="1"/>
  <c r="B845" i="3" s="1"/>
  <c r="B847" i="3" s="1"/>
  <c r="B849" i="3" s="1"/>
  <c r="B851" i="3" s="1"/>
  <c r="B853" i="3" s="1"/>
  <c r="B855" i="3" s="1"/>
  <c r="B857" i="3" s="1"/>
  <c r="B859" i="3" s="1"/>
  <c r="B861" i="3" s="1"/>
  <c r="B863" i="3" s="1"/>
  <c r="B865" i="3" s="1"/>
  <c r="B867" i="3" s="1"/>
  <c r="B869" i="3" s="1"/>
  <c r="B871" i="3" s="1"/>
  <c r="B873" i="3" s="1"/>
  <c r="B875" i="3" s="1"/>
  <c r="B877" i="3" s="1"/>
  <c r="B879" i="3" s="1"/>
  <c r="B881" i="3" s="1"/>
  <c r="B883" i="3" s="1"/>
  <c r="B885" i="3" s="1"/>
  <c r="B887" i="3" s="1"/>
  <c r="B889" i="3" s="1"/>
  <c r="B891" i="3" s="1"/>
  <c r="B893" i="3" s="1"/>
  <c r="B895" i="3" s="1"/>
  <c r="B897" i="3" s="1"/>
  <c r="B899" i="3" s="1"/>
  <c r="B901" i="3" s="1"/>
  <c r="B903" i="3" s="1"/>
  <c r="B905" i="3" s="1"/>
  <c r="B907" i="3" s="1"/>
  <c r="B909" i="3" s="1"/>
  <c r="B911" i="3" s="1"/>
  <c r="B913" i="3" s="1"/>
  <c r="B915" i="3" s="1"/>
  <c r="B917" i="3" s="1"/>
  <c r="B919" i="3" s="1"/>
  <c r="B921" i="3" s="1"/>
  <c r="B923" i="3" s="1"/>
  <c r="B925" i="3" s="1"/>
  <c r="B927" i="3" s="1"/>
  <c r="B929" i="3" s="1"/>
  <c r="B931" i="3" s="1"/>
  <c r="B933" i="3" s="1"/>
  <c r="B935" i="3" s="1"/>
  <c r="B937" i="3" s="1"/>
  <c r="B939" i="3" s="1"/>
  <c r="B941" i="3" s="1"/>
  <c r="B943" i="3" s="1"/>
  <c r="B945" i="3" s="1"/>
  <c r="B947" i="3" s="1"/>
  <c r="B949" i="3" s="1"/>
  <c r="B951" i="3" s="1"/>
  <c r="B953" i="3" s="1"/>
  <c r="B955" i="3" s="1"/>
  <c r="B957" i="3" s="1"/>
  <c r="B959" i="3" s="1"/>
  <c r="B961" i="3" s="1"/>
  <c r="B963" i="3" s="1"/>
  <c r="B965" i="3" s="1"/>
  <c r="B967" i="3" s="1"/>
  <c r="B969" i="3" s="1"/>
  <c r="B971" i="3" s="1"/>
  <c r="B973" i="3" s="1"/>
  <c r="B975" i="3" s="1"/>
  <c r="B977" i="3" s="1"/>
  <c r="B979" i="3" s="1"/>
  <c r="B981" i="3" s="1"/>
  <c r="B983" i="3" s="1"/>
  <c r="B985" i="3" s="1"/>
  <c r="B987" i="3" s="1"/>
  <c r="B989" i="3" s="1"/>
  <c r="B991" i="3" s="1"/>
  <c r="B993" i="3" s="1"/>
  <c r="B995" i="3" s="1"/>
  <c r="B997" i="3" s="1"/>
  <c r="B999" i="3" s="1"/>
  <c r="B1001" i="3" s="1"/>
  <c r="B1003" i="3" s="1"/>
  <c r="B1005" i="3" s="1"/>
  <c r="B1007" i="3" s="1"/>
  <c r="B1009" i="3" s="1"/>
  <c r="B1011" i="3" s="1"/>
  <c r="B1013" i="3" s="1"/>
  <c r="B1015" i="3" s="1"/>
  <c r="B1017" i="3" s="1"/>
  <c r="B1019" i="3" s="1"/>
  <c r="B1021" i="3" s="1"/>
  <c r="B1023" i="3" s="1"/>
  <c r="B1025" i="3" s="1"/>
  <c r="B1027" i="3" s="1"/>
  <c r="B1029" i="3" s="1"/>
  <c r="B1031" i="3" s="1"/>
  <c r="B1033" i="3" s="1"/>
  <c r="B1035" i="3" s="1"/>
  <c r="B1037" i="3" s="1"/>
  <c r="B1039" i="3" s="1"/>
  <c r="B1041" i="3" s="1"/>
  <c r="B1043" i="3" s="1"/>
  <c r="B1045" i="3" s="1"/>
  <c r="B1047" i="3" s="1"/>
  <c r="B1049" i="3" s="1"/>
  <c r="B1051" i="3" s="1"/>
  <c r="B1053" i="3" s="1"/>
  <c r="B1055" i="3" s="1"/>
  <c r="B1057" i="3" s="1"/>
  <c r="B1059" i="3" s="1"/>
  <c r="B1061" i="3" s="1"/>
  <c r="B1063" i="3" s="1"/>
  <c r="B1065" i="3" s="1"/>
  <c r="B1067" i="3" s="1"/>
  <c r="B1069" i="3" s="1"/>
  <c r="B1071" i="3" s="1"/>
  <c r="B1073" i="3" s="1"/>
  <c r="B1075" i="3" s="1"/>
  <c r="B1077" i="3" s="1"/>
  <c r="B1079" i="3" s="1"/>
  <c r="B1081" i="3" s="1"/>
  <c r="B1083" i="3" s="1"/>
  <c r="B1085" i="3" s="1"/>
  <c r="B1087" i="3" s="1"/>
  <c r="B1089" i="3" s="1"/>
  <c r="B1091" i="3" s="1"/>
  <c r="B1093" i="3" s="1"/>
  <c r="B1095" i="3" s="1"/>
  <c r="B1097" i="3" s="1"/>
  <c r="B1099" i="3" s="1"/>
  <c r="B1101" i="3" s="1"/>
  <c r="B1103" i="3" s="1"/>
  <c r="B1105" i="3" s="1"/>
  <c r="B1107" i="3" s="1"/>
  <c r="B1109" i="3" s="1"/>
  <c r="B1111" i="3" s="1"/>
  <c r="B1113" i="3" s="1"/>
  <c r="B1115" i="3" s="1"/>
  <c r="B1117" i="3" s="1"/>
  <c r="B1119" i="3" s="1"/>
  <c r="B1121" i="3" s="1"/>
  <c r="B1123" i="3" s="1"/>
  <c r="B1125" i="3" s="1"/>
  <c r="B1127" i="3" s="1"/>
  <c r="B1129" i="3" s="1"/>
  <c r="B1131" i="3" s="1"/>
  <c r="B1133" i="3" s="1"/>
  <c r="B1135" i="3" s="1"/>
  <c r="B1137" i="3" s="1"/>
  <c r="B1139" i="3" s="1"/>
  <c r="B1141" i="3" s="1"/>
  <c r="B1143" i="3" s="1"/>
  <c r="B1145" i="3" s="1"/>
  <c r="B1147" i="3" s="1"/>
  <c r="B1149" i="3" s="1"/>
  <c r="B1151" i="3" s="1"/>
  <c r="B1153" i="3" s="1"/>
  <c r="B1155" i="3" s="1"/>
  <c r="B1157" i="3" s="1"/>
  <c r="B1159" i="3" s="1"/>
  <c r="B1161" i="3" s="1"/>
  <c r="B1163" i="3" s="1"/>
  <c r="B1165" i="3" s="1"/>
  <c r="B1167" i="3" s="1"/>
  <c r="B1169" i="3" s="1"/>
  <c r="B1171" i="3" s="1"/>
  <c r="B1173" i="3" s="1"/>
  <c r="B1175" i="3" s="1"/>
  <c r="B1177" i="3" s="1"/>
  <c r="B1179" i="3" s="1"/>
  <c r="B1181" i="3" s="1"/>
  <c r="B1183" i="3" s="1"/>
  <c r="B1185" i="3" s="1"/>
  <c r="B1187" i="3" s="1"/>
  <c r="B1189" i="3" s="1"/>
  <c r="B1191" i="3" s="1"/>
  <c r="B1193" i="3" s="1"/>
  <c r="B1195" i="3" s="1"/>
  <c r="B1197" i="3" s="1"/>
  <c r="B1199" i="3" s="1"/>
  <c r="B1201" i="3" s="1"/>
  <c r="B1203" i="3" s="1"/>
  <c r="B1205" i="3" s="1"/>
  <c r="B1207" i="3" s="1"/>
  <c r="B1209" i="3" s="1"/>
  <c r="B1211" i="3" s="1"/>
  <c r="B1213" i="3" s="1"/>
  <c r="B1215" i="3" s="1"/>
  <c r="B1217" i="3" s="1"/>
  <c r="B1219" i="3" s="1"/>
  <c r="B1221" i="3" s="1"/>
  <c r="B1223" i="3" s="1"/>
  <c r="B1225" i="3" s="1"/>
  <c r="B1227" i="3" s="1"/>
  <c r="B1229" i="3" s="1"/>
  <c r="B1231" i="3" s="1"/>
  <c r="B1233" i="3" s="1"/>
  <c r="B1235" i="3" s="1"/>
  <c r="B1237" i="3" s="1"/>
  <c r="B1239" i="3" s="1"/>
  <c r="B1241" i="3" s="1"/>
  <c r="B1243" i="3" s="1"/>
  <c r="B1245" i="3" s="1"/>
  <c r="B1247" i="3" s="1"/>
  <c r="B1249" i="3" s="1"/>
  <c r="B1251" i="3" s="1"/>
  <c r="B1253" i="3" s="1"/>
  <c r="B1255" i="3" s="1"/>
  <c r="B1257" i="3" s="1"/>
  <c r="B1259" i="3" s="1"/>
  <c r="B1261" i="3" s="1"/>
  <c r="B1263" i="3" s="1"/>
  <c r="B1265" i="3" s="1"/>
  <c r="B1267" i="3" s="1"/>
  <c r="B1269" i="3" s="1"/>
  <c r="B1271" i="3" s="1"/>
  <c r="B1273" i="3" s="1"/>
  <c r="B1275" i="3" s="1"/>
  <c r="B1277" i="3" s="1"/>
  <c r="B1279" i="3" s="1"/>
  <c r="B1281" i="3" s="1"/>
  <c r="B1283" i="3" s="1"/>
  <c r="B1285" i="3" s="1"/>
  <c r="B1287" i="3" s="1"/>
  <c r="B1289" i="3" s="1"/>
  <c r="B1291" i="3" s="1"/>
  <c r="B1293" i="3" s="1"/>
  <c r="B1295" i="3" s="1"/>
  <c r="B1297" i="3" s="1"/>
  <c r="B1299" i="3" s="1"/>
  <c r="B1301" i="3" s="1"/>
  <c r="B1303" i="3" s="1"/>
  <c r="B1305" i="3" s="1"/>
  <c r="B1307" i="3" s="1"/>
  <c r="B1309" i="3" s="1"/>
  <c r="B1311" i="3" s="1"/>
  <c r="B1313" i="3" s="1"/>
  <c r="B1315" i="3" s="1"/>
  <c r="B1317" i="3" s="1"/>
  <c r="B1319" i="3" s="1"/>
  <c r="B1321" i="3" s="1"/>
  <c r="B1323" i="3" s="1"/>
  <c r="B1325" i="3" s="1"/>
  <c r="B1327" i="3" s="1"/>
  <c r="B1329" i="3" s="1"/>
  <c r="B1331" i="3" s="1"/>
  <c r="B1333" i="3" s="1"/>
  <c r="B1335" i="3" s="1"/>
  <c r="B1337" i="3" s="1"/>
  <c r="B1339" i="3" s="1"/>
  <c r="B1341" i="3" s="1"/>
  <c r="B1343" i="3" s="1"/>
  <c r="B1345" i="3" s="1"/>
  <c r="B1347" i="3" s="1"/>
  <c r="B1349" i="3" s="1"/>
  <c r="B1351" i="3" s="1"/>
  <c r="B1353" i="3" s="1"/>
  <c r="B1355" i="3" s="1"/>
  <c r="B1357" i="3" s="1"/>
  <c r="B1359" i="3" s="1"/>
  <c r="B1361" i="3" s="1"/>
  <c r="B1363" i="3" s="1"/>
  <c r="B1365" i="3" s="1"/>
  <c r="B1367" i="3" s="1"/>
  <c r="B1369" i="3" s="1"/>
  <c r="B1371" i="3" s="1"/>
  <c r="B1373" i="3" s="1"/>
  <c r="B1375" i="3" s="1"/>
  <c r="B1377" i="3" s="1"/>
  <c r="B1379" i="3" s="1"/>
  <c r="B1381" i="3" s="1"/>
  <c r="B1383" i="3" s="1"/>
  <c r="B1385" i="3" s="1"/>
  <c r="B1387" i="3" s="1"/>
  <c r="B1389" i="3" s="1"/>
  <c r="B1391" i="3" s="1"/>
  <c r="B1393" i="3" s="1"/>
  <c r="B1395" i="3" s="1"/>
  <c r="B1397" i="3" s="1"/>
  <c r="B1399" i="3" s="1"/>
  <c r="B1401" i="3" s="1"/>
  <c r="B1403" i="3" s="1"/>
  <c r="B1405" i="3" s="1"/>
  <c r="B1407" i="3" s="1"/>
  <c r="B1409" i="3" s="1"/>
  <c r="B1411" i="3" s="1"/>
  <c r="B1413" i="3" s="1"/>
  <c r="B1415" i="3" s="1"/>
  <c r="B1417" i="3" s="1"/>
  <c r="B1419" i="3" s="1"/>
  <c r="B1421" i="3" s="1"/>
  <c r="B1423" i="3" s="1"/>
  <c r="B1425" i="3" s="1"/>
  <c r="B1427" i="3" s="1"/>
  <c r="B1429" i="3" s="1"/>
  <c r="B1431" i="3" s="1"/>
  <c r="B1433" i="3" s="1"/>
  <c r="B1435" i="3" s="1"/>
  <c r="B1437" i="3" s="1"/>
  <c r="B1439" i="3" s="1"/>
  <c r="B1441" i="3" s="1"/>
  <c r="B1443" i="3" s="1"/>
  <c r="B1445" i="3" s="1"/>
  <c r="B1447" i="3" s="1"/>
  <c r="B1449" i="3" s="1"/>
  <c r="B1451" i="3" s="1"/>
  <c r="B1453" i="3" s="1"/>
  <c r="B1455" i="3" s="1"/>
  <c r="B1457" i="3" s="1"/>
  <c r="B1459" i="3" s="1"/>
  <c r="B1461" i="3" s="1"/>
  <c r="B1463" i="3" s="1"/>
  <c r="B1465" i="3" s="1"/>
  <c r="B1467" i="3" s="1"/>
  <c r="B1469" i="3" s="1"/>
  <c r="B1471" i="3" s="1"/>
  <c r="B1473" i="3" s="1"/>
  <c r="B1475" i="3" s="1"/>
  <c r="B1477" i="3" s="1"/>
  <c r="B1479" i="3" s="1"/>
  <c r="B1481" i="3" s="1"/>
  <c r="B1483" i="3" s="1"/>
  <c r="B1485" i="3" s="1"/>
  <c r="B1487" i="3" s="1"/>
  <c r="B1489" i="3" s="1"/>
  <c r="B1491" i="3" s="1"/>
  <c r="B1493" i="3" s="1"/>
  <c r="B1495" i="3" s="1"/>
  <c r="B1497" i="3" s="1"/>
  <c r="B1499" i="3" s="1"/>
  <c r="B1501" i="3" s="1"/>
  <c r="B1503" i="3" s="1"/>
  <c r="B1505" i="3" s="1"/>
  <c r="B1507" i="3" s="1"/>
  <c r="B1509" i="3" s="1"/>
  <c r="B1511" i="3" s="1"/>
  <c r="B1513" i="3" s="1"/>
  <c r="B1515" i="3" s="1"/>
  <c r="B1517" i="3" s="1"/>
  <c r="B1519" i="3" s="1"/>
  <c r="B1521" i="3" s="1"/>
  <c r="B1523" i="3" s="1"/>
  <c r="B1525" i="3" s="1"/>
  <c r="B1527" i="3" s="1"/>
  <c r="B1529" i="3" s="1"/>
  <c r="B1531" i="3" s="1"/>
  <c r="B1533" i="3" s="1"/>
  <c r="B1535" i="3" s="1"/>
  <c r="B1537" i="3" s="1"/>
  <c r="B1539" i="3" s="1"/>
  <c r="B1541" i="3" s="1"/>
  <c r="B1543" i="3" s="1"/>
  <c r="B1545" i="3" s="1"/>
  <c r="B1547" i="3" s="1"/>
  <c r="B1549" i="3" s="1"/>
  <c r="B1551" i="3" s="1"/>
  <c r="B1553" i="3" s="1"/>
  <c r="B1555" i="3" s="1"/>
  <c r="B1557" i="3" s="1"/>
  <c r="B1559" i="3" s="1"/>
  <c r="B1561" i="3" s="1"/>
  <c r="B1563" i="3" s="1"/>
  <c r="B1565" i="3" s="1"/>
  <c r="B1567" i="3" s="1"/>
  <c r="B1569" i="3" s="1"/>
  <c r="B1571" i="3" s="1"/>
  <c r="B1573" i="3" s="1"/>
  <c r="B1575" i="3" s="1"/>
  <c r="B1577" i="3" s="1"/>
  <c r="B1579" i="3" s="1"/>
  <c r="B1581" i="3" s="1"/>
  <c r="B1583" i="3" s="1"/>
  <c r="B1585" i="3" s="1"/>
  <c r="B1587" i="3" s="1"/>
  <c r="B1589" i="3" s="1"/>
  <c r="B1591" i="3" s="1"/>
  <c r="B1593" i="3" s="1"/>
  <c r="B1595" i="3" s="1"/>
  <c r="B1597" i="3" s="1"/>
  <c r="B1599" i="3" s="1"/>
  <c r="B1601" i="3" s="1"/>
  <c r="B1603" i="3" s="1"/>
  <c r="B1605" i="3" s="1"/>
  <c r="B1607" i="3" s="1"/>
  <c r="B1609" i="3" s="1"/>
  <c r="B1611" i="3" s="1"/>
  <c r="B1613" i="3" s="1"/>
  <c r="B1615" i="3" s="1"/>
  <c r="B1617" i="3" s="1"/>
  <c r="B1619" i="3" s="1"/>
  <c r="B1621" i="3" s="1"/>
  <c r="B1623" i="3" s="1"/>
  <c r="B1625" i="3" s="1"/>
  <c r="B1627" i="3" s="1"/>
  <c r="B1629" i="3" s="1"/>
  <c r="B1631" i="3" s="1"/>
  <c r="B1633" i="3" s="1"/>
  <c r="B1635" i="3" s="1"/>
  <c r="B1637" i="3" s="1"/>
  <c r="B1639" i="3" s="1"/>
  <c r="B1641" i="3" s="1"/>
  <c r="B1643" i="3" s="1"/>
  <c r="B1645" i="3" s="1"/>
  <c r="B1647" i="3" s="1"/>
  <c r="B1649" i="3" s="1"/>
  <c r="B1651" i="3" s="1"/>
  <c r="B1653" i="3" s="1"/>
  <c r="B1655" i="3" s="1"/>
  <c r="B1657" i="3" s="1"/>
  <c r="B1659" i="3" s="1"/>
  <c r="B1661" i="3" s="1"/>
  <c r="B1663" i="3" s="1"/>
  <c r="B1665" i="3" s="1"/>
  <c r="B1667" i="3" s="1"/>
  <c r="B1669" i="3" s="1"/>
  <c r="B1671" i="3" s="1"/>
  <c r="B1673" i="3" s="1"/>
  <c r="B1675" i="3" s="1"/>
  <c r="B1677" i="3" s="1"/>
  <c r="B1679" i="3" s="1"/>
  <c r="B1681" i="3" s="1"/>
  <c r="B1683" i="3" s="1"/>
  <c r="B1685" i="3" s="1"/>
  <c r="B1687" i="3" s="1"/>
  <c r="B1689" i="3" s="1"/>
  <c r="B1691" i="3" s="1"/>
  <c r="B1693" i="3" s="1"/>
  <c r="B1695" i="3" s="1"/>
  <c r="B1697" i="3" s="1"/>
  <c r="B1699" i="3" s="1"/>
  <c r="B1701" i="3" s="1"/>
  <c r="B1703" i="3" s="1"/>
  <c r="B4" i="3"/>
  <c r="Y9" i="1" l="1"/>
  <c r="AC9" i="1"/>
  <c r="Z9" i="1"/>
  <c r="AD9" i="1"/>
  <c r="AA9" i="1"/>
  <c r="AB9" i="1"/>
  <c r="Y137" i="1"/>
  <c r="AC137" i="1"/>
  <c r="Z137" i="1"/>
  <c r="AD137" i="1"/>
  <c r="AA137" i="1"/>
  <c r="AB137" i="1"/>
  <c r="Y201" i="1"/>
  <c r="AC201" i="1"/>
  <c r="Z201" i="1"/>
  <c r="AD201" i="1"/>
  <c r="AA201" i="1"/>
  <c r="AB201" i="1"/>
  <c r="AB265" i="1"/>
  <c r="Y265" i="1"/>
  <c r="AC265" i="1"/>
  <c r="Z265" i="1"/>
  <c r="AD265" i="1"/>
  <c r="AA265" i="1"/>
  <c r="Y313" i="1"/>
  <c r="AC313" i="1"/>
  <c r="Z313" i="1"/>
  <c r="AD313" i="1"/>
  <c r="AA313" i="1"/>
  <c r="AB313" i="1"/>
  <c r="Y345" i="1"/>
  <c r="AC345" i="1"/>
  <c r="Z345" i="1"/>
  <c r="AD345" i="1"/>
  <c r="AA345" i="1"/>
  <c r="AB345" i="1"/>
  <c r="Y377" i="1"/>
  <c r="AC377" i="1"/>
  <c r="Z377" i="1"/>
  <c r="AD377" i="1"/>
  <c r="AA377" i="1"/>
  <c r="AB377" i="1"/>
  <c r="Z409" i="1"/>
  <c r="AD409" i="1"/>
  <c r="AA409" i="1"/>
  <c r="AB409" i="1"/>
  <c r="Y409" i="1"/>
  <c r="AC409" i="1"/>
  <c r="Z441" i="1"/>
  <c r="AD441" i="1"/>
  <c r="AA441" i="1"/>
  <c r="AB441" i="1"/>
  <c r="Y441" i="1"/>
  <c r="AC441" i="1"/>
  <c r="Z473" i="1"/>
  <c r="AD473" i="1"/>
  <c r="AA473" i="1"/>
  <c r="AB473" i="1"/>
  <c r="Y473" i="1"/>
  <c r="AC473" i="1"/>
  <c r="Z505" i="1"/>
  <c r="AD505" i="1"/>
  <c r="AA505" i="1"/>
  <c r="AB505" i="1"/>
  <c r="Y505" i="1"/>
  <c r="AC505" i="1"/>
  <c r="Z537" i="1"/>
  <c r="AD537" i="1"/>
  <c r="AA537" i="1"/>
  <c r="AB537" i="1"/>
  <c r="Y537" i="1"/>
  <c r="AC537" i="1"/>
  <c r="Z569" i="1"/>
  <c r="AD569" i="1"/>
  <c r="AA569" i="1"/>
  <c r="AB569" i="1"/>
  <c r="Y569" i="1"/>
  <c r="AC569" i="1"/>
  <c r="Z601" i="1"/>
  <c r="AD601" i="1"/>
  <c r="AA601" i="1"/>
  <c r="AB601" i="1"/>
  <c r="AC601" i="1"/>
  <c r="Y601" i="1"/>
  <c r="Z623" i="1"/>
  <c r="AD623" i="1"/>
  <c r="AA623" i="1"/>
  <c r="AB623" i="1"/>
  <c r="AC623" i="1"/>
  <c r="Y623" i="1"/>
  <c r="Z639" i="1"/>
  <c r="AD639" i="1"/>
  <c r="AA639" i="1"/>
  <c r="AB639" i="1"/>
  <c r="AC639" i="1"/>
  <c r="Y639" i="1"/>
  <c r="Z655" i="1"/>
  <c r="AD655" i="1"/>
  <c r="AA655" i="1"/>
  <c r="AB655" i="1"/>
  <c r="AC655" i="1"/>
  <c r="Y655" i="1"/>
  <c r="Z671" i="1"/>
  <c r="AD671" i="1"/>
  <c r="AA671" i="1"/>
  <c r="AB671" i="1"/>
  <c r="AC671" i="1"/>
  <c r="Y671" i="1"/>
  <c r="Z687" i="1"/>
  <c r="AD687" i="1"/>
  <c r="AA687" i="1"/>
  <c r="AB687" i="1"/>
  <c r="AC687" i="1"/>
  <c r="Y687" i="1"/>
  <c r="Z703" i="1"/>
  <c r="AD703" i="1"/>
  <c r="AA703" i="1"/>
  <c r="AB703" i="1"/>
  <c r="AC703" i="1"/>
  <c r="Y703" i="1"/>
  <c r="Z719" i="1"/>
  <c r="AD719" i="1"/>
  <c r="AA719" i="1"/>
  <c r="AB719" i="1"/>
  <c r="AC719" i="1"/>
  <c r="Y719" i="1"/>
  <c r="Z735" i="1"/>
  <c r="AD735" i="1"/>
  <c r="AA735" i="1"/>
  <c r="AB735" i="1"/>
  <c r="AC735" i="1"/>
  <c r="Y735" i="1"/>
  <c r="Z751" i="1"/>
  <c r="AD751" i="1"/>
  <c r="AB751" i="1"/>
  <c r="Y751" i="1"/>
  <c r="AA751" i="1"/>
  <c r="AC751" i="1"/>
  <c r="Y767" i="1"/>
  <c r="AC767" i="1"/>
  <c r="AB767" i="1"/>
  <c r="Z767" i="1"/>
  <c r="AD767" i="1"/>
  <c r="AA767" i="1"/>
  <c r="Y783" i="1"/>
  <c r="AC783" i="1"/>
  <c r="Z783" i="1"/>
  <c r="AD783" i="1"/>
  <c r="AB783" i="1"/>
  <c r="AA783" i="1"/>
  <c r="Y799" i="1"/>
  <c r="AC799" i="1"/>
  <c r="Z799" i="1"/>
  <c r="AD799" i="1"/>
  <c r="AA799" i="1"/>
  <c r="AB799" i="1"/>
  <c r="Y815" i="1"/>
  <c r="AC815" i="1"/>
  <c r="Z815" i="1"/>
  <c r="AD815" i="1"/>
  <c r="AA815" i="1"/>
  <c r="AB815" i="1"/>
  <c r="Y831" i="1"/>
  <c r="AC831" i="1"/>
  <c r="Z831" i="1"/>
  <c r="AD831" i="1"/>
  <c r="AB831" i="1"/>
  <c r="AA831" i="1"/>
  <c r="Y847" i="1"/>
  <c r="AC847" i="1"/>
  <c r="Z847" i="1"/>
  <c r="AD847" i="1"/>
  <c r="AB847" i="1"/>
  <c r="AA847" i="1"/>
  <c r="Z45" i="1"/>
  <c r="AD45" i="1"/>
  <c r="Y45" i="1"/>
  <c r="AA45" i="1"/>
  <c r="AB45" i="1"/>
  <c r="AC45" i="1"/>
  <c r="AB109" i="1"/>
  <c r="Y109" i="1"/>
  <c r="AC109" i="1"/>
  <c r="Z109" i="1"/>
  <c r="AD109" i="1"/>
  <c r="AA109" i="1"/>
  <c r="Y173" i="1"/>
  <c r="AC173" i="1"/>
  <c r="Z173" i="1"/>
  <c r="AD173" i="1"/>
  <c r="AA173" i="1"/>
  <c r="AB173" i="1"/>
  <c r="AB237" i="1"/>
  <c r="Y237" i="1"/>
  <c r="AC237" i="1"/>
  <c r="Z237" i="1"/>
  <c r="AD237" i="1"/>
  <c r="AA237" i="1"/>
  <c r="AA300" i="1"/>
  <c r="AB300" i="1"/>
  <c r="Y300" i="1"/>
  <c r="AC300" i="1"/>
  <c r="Z300" i="1"/>
  <c r="AD300" i="1"/>
  <c r="AA332" i="1"/>
  <c r="AB332" i="1"/>
  <c r="Y332" i="1"/>
  <c r="AC332" i="1"/>
  <c r="Z332" i="1"/>
  <c r="AD332" i="1"/>
  <c r="AA364" i="1"/>
  <c r="AB364" i="1"/>
  <c r="Y364" i="1"/>
  <c r="AC364" i="1"/>
  <c r="Z364" i="1"/>
  <c r="AD364" i="1"/>
  <c r="AA396" i="1"/>
  <c r="Y396" i="1"/>
  <c r="AC396" i="1"/>
  <c r="AB396" i="1"/>
  <c r="AD396" i="1"/>
  <c r="Z396" i="1"/>
  <c r="AB428" i="1"/>
  <c r="Y428" i="1"/>
  <c r="AC428" i="1"/>
  <c r="Z428" i="1"/>
  <c r="AD428" i="1"/>
  <c r="AA428" i="1"/>
  <c r="AB460" i="1"/>
  <c r="Y460" i="1"/>
  <c r="AC460" i="1"/>
  <c r="Z460" i="1"/>
  <c r="AD460" i="1"/>
  <c r="AA460" i="1"/>
  <c r="AB492" i="1"/>
  <c r="Y492" i="1"/>
  <c r="AC492" i="1"/>
  <c r="Z492" i="1"/>
  <c r="AD492" i="1"/>
  <c r="AA492" i="1"/>
  <c r="AB524" i="1"/>
  <c r="Y524" i="1"/>
  <c r="AC524" i="1"/>
  <c r="Z524" i="1"/>
  <c r="AD524" i="1"/>
  <c r="AA524" i="1"/>
  <c r="AB556" i="1"/>
  <c r="Y556" i="1"/>
  <c r="AC556" i="1"/>
  <c r="Z556" i="1"/>
  <c r="AD556" i="1"/>
  <c r="AA556" i="1"/>
  <c r="AB588" i="1"/>
  <c r="AA588" i="1"/>
  <c r="AC588" i="1"/>
  <c r="Y588" i="1"/>
  <c r="AD588" i="1"/>
  <c r="Z588" i="1"/>
  <c r="AB616" i="1"/>
  <c r="Y616" i="1"/>
  <c r="AC616" i="1"/>
  <c r="Z616" i="1"/>
  <c r="AD616" i="1"/>
  <c r="AA616" i="1"/>
  <c r="AB632" i="1"/>
  <c r="Y632" i="1"/>
  <c r="AC632" i="1"/>
  <c r="Z632" i="1"/>
  <c r="AD632" i="1"/>
  <c r="AA632" i="1"/>
  <c r="AB648" i="1"/>
  <c r="Y648" i="1"/>
  <c r="AC648" i="1"/>
  <c r="Z648" i="1"/>
  <c r="AD648" i="1"/>
  <c r="AA648" i="1"/>
  <c r="AB664" i="1"/>
  <c r="Y664" i="1"/>
  <c r="AC664" i="1"/>
  <c r="Z664" i="1"/>
  <c r="AD664" i="1"/>
  <c r="AA664" i="1"/>
  <c r="AB680" i="1"/>
  <c r="Y680" i="1"/>
  <c r="AC680" i="1"/>
  <c r="Z680" i="1"/>
  <c r="AD680" i="1"/>
  <c r="AA680" i="1"/>
  <c r="AB696" i="1"/>
  <c r="Y696" i="1"/>
  <c r="AC696" i="1"/>
  <c r="Z696" i="1"/>
  <c r="AD696" i="1"/>
  <c r="AA696" i="1"/>
  <c r="AB712" i="1"/>
  <c r="Y712" i="1"/>
  <c r="AC712" i="1"/>
  <c r="Z712" i="1"/>
  <c r="AD712" i="1"/>
  <c r="AA712" i="1"/>
  <c r="AB728" i="1"/>
  <c r="Y728" i="1"/>
  <c r="AC728" i="1"/>
  <c r="Z728" i="1"/>
  <c r="AD728" i="1"/>
  <c r="AA728" i="1"/>
  <c r="AB744" i="1"/>
  <c r="Z744" i="1"/>
  <c r="AD744" i="1"/>
  <c r="AA744" i="1"/>
  <c r="AC744" i="1"/>
  <c r="Y744" i="1"/>
  <c r="AA760" i="1"/>
  <c r="AD760" i="1"/>
  <c r="AB760" i="1"/>
  <c r="Z760" i="1"/>
  <c r="Y760" i="1"/>
  <c r="AC760" i="1"/>
  <c r="AA776" i="1"/>
  <c r="AD776" i="1"/>
  <c r="AB776" i="1"/>
  <c r="Y776" i="1"/>
  <c r="AC776" i="1"/>
  <c r="Z776" i="1"/>
  <c r="AA792" i="1"/>
  <c r="AB792" i="1"/>
  <c r="AD792" i="1"/>
  <c r="Y792" i="1"/>
  <c r="AC792" i="1"/>
  <c r="Z792" i="1"/>
  <c r="AA808" i="1"/>
  <c r="AD808" i="1"/>
  <c r="AB808" i="1"/>
  <c r="Z808" i="1"/>
  <c r="Y808" i="1"/>
  <c r="AC808" i="1"/>
  <c r="AA824" i="1"/>
  <c r="AD824" i="1"/>
  <c r="AB824" i="1"/>
  <c r="Z824" i="1"/>
  <c r="Y824" i="1"/>
  <c r="AC824" i="1"/>
  <c r="AA840" i="1"/>
  <c r="Z840" i="1"/>
  <c r="AB840" i="1"/>
  <c r="AD840" i="1"/>
  <c r="Y840" i="1"/>
  <c r="AC840" i="1"/>
  <c r="Y17" i="1"/>
  <c r="AC17" i="1"/>
  <c r="Z17" i="1"/>
  <c r="AD17" i="1"/>
  <c r="AA17" i="1"/>
  <c r="AB17" i="1"/>
  <c r="AB81" i="1"/>
  <c r="Y81" i="1"/>
  <c r="AC81" i="1"/>
  <c r="Z81" i="1"/>
  <c r="AD81" i="1"/>
  <c r="AA81" i="1"/>
  <c r="Y145" i="1"/>
  <c r="AC145" i="1"/>
  <c r="Z145" i="1"/>
  <c r="AD145" i="1"/>
  <c r="AA145" i="1"/>
  <c r="AB145" i="1"/>
  <c r="Y209" i="1"/>
  <c r="AC209" i="1"/>
  <c r="AA209" i="1"/>
  <c r="Z209" i="1"/>
  <c r="AB209" i="1"/>
  <c r="AD209" i="1"/>
  <c r="AB273" i="1"/>
  <c r="Y273" i="1"/>
  <c r="AC273" i="1"/>
  <c r="Z273" i="1"/>
  <c r="AD273" i="1"/>
  <c r="AA273" i="1"/>
  <c r="Y317" i="1"/>
  <c r="AC317" i="1"/>
  <c r="Z317" i="1"/>
  <c r="AD317" i="1"/>
  <c r="AA317" i="1"/>
  <c r="AB317" i="1"/>
  <c r="Y349" i="1"/>
  <c r="AC349" i="1"/>
  <c r="Z349" i="1"/>
  <c r="AD349" i="1"/>
  <c r="AA349" i="1"/>
  <c r="AB349" i="1"/>
  <c r="Y381" i="1"/>
  <c r="AC381" i="1"/>
  <c r="AA381" i="1"/>
  <c r="AD381" i="1"/>
  <c r="Z381" i="1"/>
  <c r="AB381" i="1"/>
  <c r="Z413" i="1"/>
  <c r="AD413" i="1"/>
  <c r="AA413" i="1"/>
  <c r="AB413" i="1"/>
  <c r="Y413" i="1"/>
  <c r="AC413" i="1"/>
  <c r="Z445" i="1"/>
  <c r="AD445" i="1"/>
  <c r="AA445" i="1"/>
  <c r="AB445" i="1"/>
  <c r="Y445" i="1"/>
  <c r="AC445" i="1"/>
  <c r="Z477" i="1"/>
  <c r="AD477" i="1"/>
  <c r="AA477" i="1"/>
  <c r="AB477" i="1"/>
  <c r="Y477" i="1"/>
  <c r="AC477" i="1"/>
  <c r="Z509" i="1"/>
  <c r="AD509" i="1"/>
  <c r="AA509" i="1"/>
  <c r="AB509" i="1"/>
  <c r="Y509" i="1"/>
  <c r="AC509" i="1"/>
  <c r="Z541" i="1"/>
  <c r="AD541" i="1"/>
  <c r="AA541" i="1"/>
  <c r="AB541" i="1"/>
  <c r="Y541" i="1"/>
  <c r="AC541" i="1"/>
  <c r="Z573" i="1"/>
  <c r="AD573" i="1"/>
  <c r="AB573" i="1"/>
  <c r="Y573" i="1"/>
  <c r="AA573" i="1"/>
  <c r="AC573" i="1"/>
  <c r="Z605" i="1"/>
  <c r="AD605" i="1"/>
  <c r="AA605" i="1"/>
  <c r="AB605" i="1"/>
  <c r="Y605" i="1"/>
  <c r="AC605" i="1"/>
  <c r="Z625" i="1"/>
  <c r="AD625" i="1"/>
  <c r="AA625" i="1"/>
  <c r="AB625" i="1"/>
  <c r="AC625" i="1"/>
  <c r="Y625" i="1"/>
  <c r="Z641" i="1"/>
  <c r="AD641" i="1"/>
  <c r="AA641" i="1"/>
  <c r="AB641" i="1"/>
  <c r="AC641" i="1"/>
  <c r="Y641" i="1"/>
  <c r="Z657" i="1"/>
  <c r="AD657" i="1"/>
  <c r="AA657" i="1"/>
  <c r="AB657" i="1"/>
  <c r="AC657" i="1"/>
  <c r="Y657" i="1"/>
  <c r="Z673" i="1"/>
  <c r="AD673" i="1"/>
  <c r="AA673" i="1"/>
  <c r="AB673" i="1"/>
  <c r="Y673" i="1"/>
  <c r="AC673" i="1"/>
  <c r="Z689" i="1"/>
  <c r="AD689" i="1"/>
  <c r="AA689" i="1"/>
  <c r="AB689" i="1"/>
  <c r="AC689" i="1"/>
  <c r="Y689" i="1"/>
  <c r="Z705" i="1"/>
  <c r="AD705" i="1"/>
  <c r="AA705" i="1"/>
  <c r="AB705" i="1"/>
  <c r="AC705" i="1"/>
  <c r="Y705" i="1"/>
  <c r="Z721" i="1"/>
  <c r="AD721" i="1"/>
  <c r="AA721" i="1"/>
  <c r="AB721" i="1"/>
  <c r="AC721" i="1"/>
  <c r="Y721" i="1"/>
  <c r="Z737" i="1"/>
  <c r="AD737" i="1"/>
  <c r="AB737" i="1"/>
  <c r="AC737" i="1"/>
  <c r="Y737" i="1"/>
  <c r="AA737" i="1"/>
  <c r="Z753" i="1"/>
  <c r="AD753" i="1"/>
  <c r="AB753" i="1"/>
  <c r="AC753" i="1"/>
  <c r="AA753" i="1"/>
  <c r="Y753" i="1"/>
  <c r="Y769" i="1"/>
  <c r="AC769" i="1"/>
  <c r="Z769" i="1"/>
  <c r="AD769" i="1"/>
  <c r="AB769" i="1"/>
  <c r="AA769" i="1"/>
  <c r="Y785" i="1"/>
  <c r="AC785" i="1"/>
  <c r="AB785" i="1"/>
  <c r="Z785" i="1"/>
  <c r="AD785" i="1"/>
  <c r="AA785" i="1"/>
  <c r="Y801" i="1"/>
  <c r="AC801" i="1"/>
  <c r="Z801" i="1"/>
  <c r="AD801" i="1"/>
  <c r="AA801" i="1"/>
  <c r="AB801" i="1"/>
  <c r="Y817" i="1"/>
  <c r="AC817" i="1"/>
  <c r="Z817" i="1"/>
  <c r="AD817" i="1"/>
  <c r="AB817" i="1"/>
  <c r="AA817" i="1"/>
  <c r="Y833" i="1"/>
  <c r="AC833" i="1"/>
  <c r="AB833" i="1"/>
  <c r="Z833" i="1"/>
  <c r="AD833" i="1"/>
  <c r="AA833" i="1"/>
  <c r="Y849" i="1"/>
  <c r="AC849" i="1"/>
  <c r="Z849" i="1"/>
  <c r="AD849" i="1"/>
  <c r="AA849" i="1"/>
  <c r="AB849" i="1"/>
  <c r="Z288" i="1"/>
  <c r="AD288" i="1"/>
  <c r="AB288" i="1"/>
  <c r="Y288" i="1"/>
  <c r="AA288" i="1"/>
  <c r="AC288" i="1"/>
  <c r="Z272" i="1"/>
  <c r="AD272" i="1"/>
  <c r="AA272" i="1"/>
  <c r="AB272" i="1"/>
  <c r="Y272" i="1"/>
  <c r="AC272" i="1"/>
  <c r="Z256" i="1"/>
  <c r="AD256" i="1"/>
  <c r="AA256" i="1"/>
  <c r="AB256" i="1"/>
  <c r="Y256" i="1"/>
  <c r="AC256" i="1"/>
  <c r="Z240" i="1"/>
  <c r="AD240" i="1"/>
  <c r="AA240" i="1"/>
  <c r="AB240" i="1"/>
  <c r="Y240" i="1"/>
  <c r="AC240" i="1"/>
  <c r="Z224" i="1"/>
  <c r="AD224" i="1"/>
  <c r="AA224" i="1"/>
  <c r="AB224" i="1"/>
  <c r="Y224" i="1"/>
  <c r="AC224" i="1"/>
  <c r="AA208" i="1"/>
  <c r="Y208" i="1"/>
  <c r="AC208" i="1"/>
  <c r="Z208" i="1"/>
  <c r="AB208" i="1"/>
  <c r="AD208" i="1"/>
  <c r="AA192" i="1"/>
  <c r="AB192" i="1"/>
  <c r="Y192" i="1"/>
  <c r="AC192" i="1"/>
  <c r="Z192" i="1"/>
  <c r="AD192" i="1"/>
  <c r="AA176" i="1"/>
  <c r="AB176" i="1"/>
  <c r="Y176" i="1"/>
  <c r="AC176" i="1"/>
  <c r="Z176" i="1"/>
  <c r="AD176" i="1"/>
  <c r="AA160" i="1"/>
  <c r="AB160" i="1"/>
  <c r="Y160" i="1"/>
  <c r="AC160" i="1"/>
  <c r="Z160" i="1"/>
  <c r="AD160" i="1"/>
  <c r="AA144" i="1"/>
  <c r="AB144" i="1"/>
  <c r="Y144" i="1"/>
  <c r="AC144" i="1"/>
  <c r="Z144" i="1"/>
  <c r="AD144" i="1"/>
  <c r="AA128" i="1"/>
  <c r="AB128" i="1"/>
  <c r="Y128" i="1"/>
  <c r="AC128" i="1"/>
  <c r="Z128" i="1"/>
  <c r="AD128" i="1"/>
  <c r="Z112" i="1"/>
  <c r="AD112" i="1"/>
  <c r="AA112" i="1"/>
  <c r="AB112" i="1"/>
  <c r="AC112" i="1"/>
  <c r="Y112" i="1"/>
  <c r="Z96" i="1"/>
  <c r="AD96" i="1"/>
  <c r="AA96" i="1"/>
  <c r="AB96" i="1"/>
  <c r="AC96" i="1"/>
  <c r="Y96" i="1"/>
  <c r="Y80" i="1"/>
  <c r="AC80" i="1"/>
  <c r="AD80" i="1"/>
  <c r="Z80" i="1"/>
  <c r="AA80" i="1"/>
  <c r="AB80" i="1"/>
  <c r="Y64" i="1"/>
  <c r="AC64" i="1"/>
  <c r="Z64" i="1"/>
  <c r="AD64" i="1"/>
  <c r="AA64" i="1"/>
  <c r="AB64" i="1"/>
  <c r="AB48" i="1"/>
  <c r="AC48" i="1"/>
  <c r="Y48" i="1"/>
  <c r="AD48" i="1"/>
  <c r="Z48" i="1"/>
  <c r="AA48" i="1"/>
  <c r="AA32" i="1"/>
  <c r="AB32" i="1"/>
  <c r="AC32" i="1"/>
  <c r="AD32" i="1"/>
  <c r="Y32" i="1"/>
  <c r="Z32" i="1"/>
  <c r="AA16" i="1"/>
  <c r="AB16" i="1"/>
  <c r="AC16" i="1"/>
  <c r="AD16" i="1"/>
  <c r="Y16" i="1"/>
  <c r="Z16" i="1"/>
  <c r="Z607" i="1"/>
  <c r="AD607" i="1"/>
  <c r="AA607" i="1"/>
  <c r="AB607" i="1"/>
  <c r="AC607" i="1"/>
  <c r="Y607" i="1"/>
  <c r="Z591" i="1"/>
  <c r="AD591" i="1"/>
  <c r="AA591" i="1"/>
  <c r="AB591" i="1"/>
  <c r="AC591" i="1"/>
  <c r="Y591" i="1"/>
  <c r="Z575" i="1"/>
  <c r="AD575" i="1"/>
  <c r="AB575" i="1"/>
  <c r="AA575" i="1"/>
  <c r="AC575" i="1"/>
  <c r="Y575" i="1"/>
  <c r="Z559" i="1"/>
  <c r="AD559" i="1"/>
  <c r="AA559" i="1"/>
  <c r="AB559" i="1"/>
  <c r="AC559" i="1"/>
  <c r="Y559" i="1"/>
  <c r="Z543" i="1"/>
  <c r="AD543" i="1"/>
  <c r="AA543" i="1"/>
  <c r="AB543" i="1"/>
  <c r="AC543" i="1"/>
  <c r="Y543" i="1"/>
  <c r="Z527" i="1"/>
  <c r="AD527" i="1"/>
  <c r="AA527" i="1"/>
  <c r="AB527" i="1"/>
  <c r="AC527" i="1"/>
  <c r="Y527" i="1"/>
  <c r="Z511" i="1"/>
  <c r="AD511" i="1"/>
  <c r="AA511" i="1"/>
  <c r="AB511" i="1"/>
  <c r="AC511" i="1"/>
  <c r="Y511" i="1"/>
  <c r="Z495" i="1"/>
  <c r="AD495" i="1"/>
  <c r="AA495" i="1"/>
  <c r="AB495" i="1"/>
  <c r="AC495" i="1"/>
  <c r="Y495" i="1"/>
  <c r="Z479" i="1"/>
  <c r="AD479" i="1"/>
  <c r="AA479" i="1"/>
  <c r="AB479" i="1"/>
  <c r="AC479" i="1"/>
  <c r="Y479" i="1"/>
  <c r="Z463" i="1"/>
  <c r="AD463" i="1"/>
  <c r="AA463" i="1"/>
  <c r="AB463" i="1"/>
  <c r="AC463" i="1"/>
  <c r="Y463" i="1"/>
  <c r="Z447" i="1"/>
  <c r="AD447" i="1"/>
  <c r="AA447" i="1"/>
  <c r="AB447" i="1"/>
  <c r="AC447" i="1"/>
  <c r="Y447" i="1"/>
  <c r="Z431" i="1"/>
  <c r="AD431" i="1"/>
  <c r="AA431" i="1"/>
  <c r="AB431" i="1"/>
  <c r="AC431" i="1"/>
  <c r="Y431" i="1"/>
  <c r="Z415" i="1"/>
  <c r="AD415" i="1"/>
  <c r="AA415" i="1"/>
  <c r="AB415" i="1"/>
  <c r="AC415" i="1"/>
  <c r="Y415" i="1"/>
  <c r="Y399" i="1"/>
  <c r="Z399" i="1"/>
  <c r="AD399" i="1"/>
  <c r="AA399" i="1"/>
  <c r="AB399" i="1"/>
  <c r="AC399" i="1"/>
  <c r="Y383" i="1"/>
  <c r="AC383" i="1"/>
  <c r="AA383" i="1"/>
  <c r="Z383" i="1"/>
  <c r="AB383" i="1"/>
  <c r="AD383" i="1"/>
  <c r="Y367" i="1"/>
  <c r="AC367" i="1"/>
  <c r="Z367" i="1"/>
  <c r="AD367" i="1"/>
  <c r="AA367" i="1"/>
  <c r="AB367" i="1"/>
  <c r="Y351" i="1"/>
  <c r="AC351" i="1"/>
  <c r="Z351" i="1"/>
  <c r="AD351" i="1"/>
  <c r="AA351" i="1"/>
  <c r="AB351" i="1"/>
  <c r="Y335" i="1"/>
  <c r="AC335" i="1"/>
  <c r="Z335" i="1"/>
  <c r="AD335" i="1"/>
  <c r="AA335" i="1"/>
  <c r="AB335" i="1"/>
  <c r="Y319" i="1"/>
  <c r="AC319" i="1"/>
  <c r="Z319" i="1"/>
  <c r="AD319" i="1"/>
  <c r="AA319" i="1"/>
  <c r="AB319" i="1"/>
  <c r="Y303" i="1"/>
  <c r="AC303" i="1"/>
  <c r="Z303" i="1"/>
  <c r="AD303" i="1"/>
  <c r="AA303" i="1"/>
  <c r="AB303" i="1"/>
  <c r="AB287" i="1"/>
  <c r="Z287" i="1"/>
  <c r="AD287" i="1"/>
  <c r="AC287" i="1"/>
  <c r="Y287" i="1"/>
  <c r="AA287" i="1"/>
  <c r="AB271" i="1"/>
  <c r="Y271" i="1"/>
  <c r="AC271" i="1"/>
  <c r="Z271" i="1"/>
  <c r="AD271" i="1"/>
  <c r="AA271" i="1"/>
  <c r="AB255" i="1"/>
  <c r="Y255" i="1"/>
  <c r="AC255" i="1"/>
  <c r="Z255" i="1"/>
  <c r="AD255" i="1"/>
  <c r="AA255" i="1"/>
  <c r="AB239" i="1"/>
  <c r="Y239" i="1"/>
  <c r="AC239" i="1"/>
  <c r="Z239" i="1"/>
  <c r="AD239" i="1"/>
  <c r="AA239" i="1"/>
  <c r="AB223" i="1"/>
  <c r="Y223" i="1"/>
  <c r="AC223" i="1"/>
  <c r="Z223" i="1"/>
  <c r="AD223" i="1"/>
  <c r="AA223" i="1"/>
  <c r="Y207" i="1"/>
  <c r="AC207" i="1"/>
  <c r="AA207" i="1"/>
  <c r="AD207" i="1"/>
  <c r="Z207" i="1"/>
  <c r="AB207" i="1"/>
  <c r="Y191" i="1"/>
  <c r="AC191" i="1"/>
  <c r="Z191" i="1"/>
  <c r="AD191" i="1"/>
  <c r="AA191" i="1"/>
  <c r="AB191" i="1"/>
  <c r="Y175" i="1"/>
  <c r="AC175" i="1"/>
  <c r="Z175" i="1"/>
  <c r="AD175" i="1"/>
  <c r="AA175" i="1"/>
  <c r="AB175" i="1"/>
  <c r="Y159" i="1"/>
  <c r="AC159" i="1"/>
  <c r="Z159" i="1"/>
  <c r="AD159" i="1"/>
  <c r="AA159" i="1"/>
  <c r="AB159" i="1"/>
  <c r="Y143" i="1"/>
  <c r="AC143" i="1"/>
  <c r="Z143" i="1"/>
  <c r="AD143" i="1"/>
  <c r="AA143" i="1"/>
  <c r="AB143" i="1"/>
  <c r="Y127" i="1"/>
  <c r="AC127" i="1"/>
  <c r="Z127" i="1"/>
  <c r="AD127" i="1"/>
  <c r="AA127" i="1"/>
  <c r="AB127" i="1"/>
  <c r="AB111" i="1"/>
  <c r="Y111" i="1"/>
  <c r="AC111" i="1"/>
  <c r="Z111" i="1"/>
  <c r="AD111" i="1"/>
  <c r="AA111" i="1"/>
  <c r="AB95" i="1"/>
  <c r="Y95" i="1"/>
  <c r="AC95" i="1"/>
  <c r="Z95" i="1"/>
  <c r="AD95" i="1"/>
  <c r="AA95" i="1"/>
  <c r="AA79" i="1"/>
  <c r="Y79" i="1"/>
  <c r="AD79" i="1"/>
  <c r="Z79" i="1"/>
  <c r="AB79" i="1"/>
  <c r="AC79" i="1"/>
  <c r="AA63" i="1"/>
  <c r="AB63" i="1"/>
  <c r="Y63" i="1"/>
  <c r="AC63" i="1"/>
  <c r="Z63" i="1"/>
  <c r="AD63" i="1"/>
  <c r="Z47" i="1"/>
  <c r="AD47" i="1"/>
  <c r="AC47" i="1"/>
  <c r="Y47" i="1"/>
  <c r="AA47" i="1"/>
  <c r="AB47" i="1"/>
  <c r="Y31" i="1"/>
  <c r="AC31" i="1"/>
  <c r="Z31" i="1"/>
  <c r="AD31" i="1"/>
  <c r="AA31" i="1"/>
  <c r="AB31" i="1"/>
  <c r="Y15" i="1"/>
  <c r="AC15" i="1"/>
  <c r="Z15" i="1"/>
  <c r="AD15" i="1"/>
  <c r="AA15" i="1"/>
  <c r="AB15" i="1"/>
  <c r="AB614" i="1"/>
  <c r="Y614" i="1"/>
  <c r="AC614" i="1"/>
  <c r="Z614" i="1"/>
  <c r="AD614" i="1"/>
  <c r="AA614" i="1"/>
  <c r="AB598" i="1"/>
  <c r="Y598" i="1"/>
  <c r="AC598" i="1"/>
  <c r="Z598" i="1"/>
  <c r="AD598" i="1"/>
  <c r="AA598" i="1"/>
  <c r="AB582" i="1"/>
  <c r="Z582" i="1"/>
  <c r="AD582" i="1"/>
  <c r="Y582" i="1"/>
  <c r="AA582" i="1"/>
  <c r="AC582" i="1"/>
  <c r="AB566" i="1"/>
  <c r="Y566" i="1"/>
  <c r="AC566" i="1"/>
  <c r="Z566" i="1"/>
  <c r="AD566" i="1"/>
  <c r="AA566" i="1"/>
  <c r="AB550" i="1"/>
  <c r="Y550" i="1"/>
  <c r="AC550" i="1"/>
  <c r="Z550" i="1"/>
  <c r="AD550" i="1"/>
  <c r="AA550" i="1"/>
  <c r="AB534" i="1"/>
  <c r="Y534" i="1"/>
  <c r="AC534" i="1"/>
  <c r="Z534" i="1"/>
  <c r="AD534" i="1"/>
  <c r="AA534" i="1"/>
  <c r="AB518" i="1"/>
  <c r="Y518" i="1"/>
  <c r="AC518" i="1"/>
  <c r="Z518" i="1"/>
  <c r="AD518" i="1"/>
  <c r="AA518" i="1"/>
  <c r="AB502" i="1"/>
  <c r="Y502" i="1"/>
  <c r="AC502" i="1"/>
  <c r="Z502" i="1"/>
  <c r="AD502" i="1"/>
  <c r="AA502" i="1"/>
  <c r="AB486" i="1"/>
  <c r="Y486" i="1"/>
  <c r="AC486" i="1"/>
  <c r="Z486" i="1"/>
  <c r="AD486" i="1"/>
  <c r="AA486" i="1"/>
  <c r="AB470" i="1"/>
  <c r="Y470" i="1"/>
  <c r="AC470" i="1"/>
  <c r="Z470" i="1"/>
  <c r="AD470" i="1"/>
  <c r="AA470" i="1"/>
  <c r="AB454" i="1"/>
  <c r="Y454" i="1"/>
  <c r="AC454" i="1"/>
  <c r="Z454" i="1"/>
  <c r="AD454" i="1"/>
  <c r="AA454" i="1"/>
  <c r="AB438" i="1"/>
  <c r="Y438" i="1"/>
  <c r="AC438" i="1"/>
  <c r="Z438" i="1"/>
  <c r="AD438" i="1"/>
  <c r="AA438" i="1"/>
  <c r="AB422" i="1"/>
  <c r="Y422" i="1"/>
  <c r="AC422" i="1"/>
  <c r="Z422" i="1"/>
  <c r="AD422" i="1"/>
  <c r="AA422" i="1"/>
  <c r="AB406" i="1"/>
  <c r="Y406" i="1"/>
  <c r="AC406" i="1"/>
  <c r="Z406" i="1"/>
  <c r="AD406" i="1"/>
  <c r="AA406" i="1"/>
  <c r="AA390" i="1"/>
  <c r="Y390" i="1"/>
  <c r="AC390" i="1"/>
  <c r="Z390" i="1"/>
  <c r="AB390" i="1"/>
  <c r="AD390" i="1"/>
  <c r="AA374" i="1"/>
  <c r="AB374" i="1"/>
  <c r="Y374" i="1"/>
  <c r="AC374" i="1"/>
  <c r="AD374" i="1"/>
  <c r="Z374" i="1"/>
  <c r="AA358" i="1"/>
  <c r="AB358" i="1"/>
  <c r="Y358" i="1"/>
  <c r="AC358" i="1"/>
  <c r="AD358" i="1"/>
  <c r="Z358" i="1"/>
  <c r="AA342" i="1"/>
  <c r="AB342" i="1"/>
  <c r="Y342" i="1"/>
  <c r="AC342" i="1"/>
  <c r="AD342" i="1"/>
  <c r="Z342" i="1"/>
  <c r="AA326" i="1"/>
  <c r="AB326" i="1"/>
  <c r="Y326" i="1"/>
  <c r="AC326" i="1"/>
  <c r="AD326" i="1"/>
  <c r="Z326" i="1"/>
  <c r="AA310" i="1"/>
  <c r="AB310" i="1"/>
  <c r="Y310" i="1"/>
  <c r="AC310" i="1"/>
  <c r="AD310" i="1"/>
  <c r="Z310" i="1"/>
  <c r="Z294" i="1"/>
  <c r="AD294" i="1"/>
  <c r="AB294" i="1"/>
  <c r="AA294" i="1"/>
  <c r="AC294" i="1"/>
  <c r="Y294" i="1"/>
  <c r="Z278" i="1"/>
  <c r="AD278" i="1"/>
  <c r="AA278" i="1"/>
  <c r="AB278" i="1"/>
  <c r="Y278" i="1"/>
  <c r="AC278" i="1"/>
  <c r="Z262" i="1"/>
  <c r="AD262" i="1"/>
  <c r="AA262" i="1"/>
  <c r="AB262" i="1"/>
  <c r="Y262" i="1"/>
  <c r="AC262" i="1"/>
  <c r="Z246" i="1"/>
  <c r="AD246" i="1"/>
  <c r="AA246" i="1"/>
  <c r="AB246" i="1"/>
  <c r="Y246" i="1"/>
  <c r="AC246" i="1"/>
  <c r="Z230" i="1"/>
  <c r="AD230" i="1"/>
  <c r="AA230" i="1"/>
  <c r="AB230" i="1"/>
  <c r="Y230" i="1"/>
  <c r="AC230" i="1"/>
  <c r="AA214" i="1"/>
  <c r="Y214" i="1"/>
  <c r="AC214" i="1"/>
  <c r="AB214" i="1"/>
  <c r="AD214" i="1"/>
  <c r="Z214" i="1"/>
  <c r="AA198" i="1"/>
  <c r="AB198" i="1"/>
  <c r="Y198" i="1"/>
  <c r="AC198" i="1"/>
  <c r="AD198" i="1"/>
  <c r="Z198" i="1"/>
  <c r="AA182" i="1"/>
  <c r="AB182" i="1"/>
  <c r="Y182" i="1"/>
  <c r="AC182" i="1"/>
  <c r="AD182" i="1"/>
  <c r="Z182" i="1"/>
  <c r="AA166" i="1"/>
  <c r="AB166" i="1"/>
  <c r="Y166" i="1"/>
  <c r="AC166" i="1"/>
  <c r="AD166" i="1"/>
  <c r="Z166" i="1"/>
  <c r="AA150" i="1"/>
  <c r="AB150" i="1"/>
  <c r="Y150" i="1"/>
  <c r="AC150" i="1"/>
  <c r="AD150" i="1"/>
  <c r="Z150" i="1"/>
  <c r="AA134" i="1"/>
  <c r="AB134" i="1"/>
  <c r="Y134" i="1"/>
  <c r="AC134" i="1"/>
  <c r="AD134" i="1"/>
  <c r="Z134" i="1"/>
  <c r="Z118" i="1"/>
  <c r="AD118" i="1"/>
  <c r="AB118" i="1"/>
  <c r="Y118" i="1"/>
  <c r="AA118" i="1"/>
  <c r="AC118" i="1"/>
  <c r="Z102" i="1"/>
  <c r="AD102" i="1"/>
  <c r="AA102" i="1"/>
  <c r="AB102" i="1"/>
  <c r="Y102" i="1"/>
  <c r="AC102" i="1"/>
  <c r="Z86" i="1"/>
  <c r="AD86" i="1"/>
  <c r="AA86" i="1"/>
  <c r="AB86" i="1"/>
  <c r="Y86" i="1"/>
  <c r="AC86" i="1"/>
  <c r="Y70" i="1"/>
  <c r="AC70" i="1"/>
  <c r="Z70" i="1"/>
  <c r="AD70" i="1"/>
  <c r="AA70" i="1"/>
  <c r="AB70" i="1"/>
  <c r="AB54" i="1"/>
  <c r="Y54" i="1"/>
  <c r="AD54" i="1"/>
  <c r="Z54" i="1"/>
  <c r="AA54" i="1"/>
  <c r="AC54" i="1"/>
  <c r="AB38" i="1"/>
  <c r="Y38" i="1"/>
  <c r="AD38" i="1"/>
  <c r="Z38" i="1"/>
  <c r="AA38" i="1"/>
  <c r="AC38" i="1"/>
  <c r="AA22" i="1"/>
  <c r="AB22" i="1"/>
  <c r="Y22" i="1"/>
  <c r="Z22" i="1"/>
  <c r="AC22" i="1"/>
  <c r="AD22" i="1"/>
  <c r="AA6" i="1"/>
  <c r="AB6" i="1"/>
  <c r="Y6" i="1"/>
  <c r="Z6" i="1"/>
  <c r="AC6" i="1"/>
  <c r="AD6" i="1"/>
  <c r="AA69" i="1"/>
  <c r="AB69" i="1"/>
  <c r="Y69" i="1"/>
  <c r="AC69" i="1"/>
  <c r="Z69" i="1"/>
  <c r="AD69" i="1"/>
  <c r="Y133" i="1"/>
  <c r="AC133" i="1"/>
  <c r="Z133" i="1"/>
  <c r="AD133" i="1"/>
  <c r="AA133" i="1"/>
  <c r="AB133" i="1"/>
  <c r="Y197" i="1"/>
  <c r="AC197" i="1"/>
  <c r="Z197" i="1"/>
  <c r="AD197" i="1"/>
  <c r="AA197" i="1"/>
  <c r="AB197" i="1"/>
  <c r="AB261" i="1"/>
  <c r="Y261" i="1"/>
  <c r="AC261" i="1"/>
  <c r="Z261" i="1"/>
  <c r="AD261" i="1"/>
  <c r="AA261" i="1"/>
  <c r="AA312" i="1"/>
  <c r="AB312" i="1"/>
  <c r="Y312" i="1"/>
  <c r="AC312" i="1"/>
  <c r="Z312" i="1"/>
  <c r="AD312" i="1"/>
  <c r="AA344" i="1"/>
  <c r="AB344" i="1"/>
  <c r="Y344" i="1"/>
  <c r="AC344" i="1"/>
  <c r="Z344" i="1"/>
  <c r="AD344" i="1"/>
  <c r="AA376" i="1"/>
  <c r="AB376" i="1"/>
  <c r="Y376" i="1"/>
  <c r="AC376" i="1"/>
  <c r="Z376" i="1"/>
  <c r="AD376" i="1"/>
  <c r="AB408" i="1"/>
  <c r="Y408" i="1"/>
  <c r="AC408" i="1"/>
  <c r="Z408" i="1"/>
  <c r="AD408" i="1"/>
  <c r="AA408" i="1"/>
  <c r="AB440" i="1"/>
  <c r="Y440" i="1"/>
  <c r="AC440" i="1"/>
  <c r="Z440" i="1"/>
  <c r="AD440" i="1"/>
  <c r="AA440" i="1"/>
  <c r="AB472" i="1"/>
  <c r="Y472" i="1"/>
  <c r="AC472" i="1"/>
  <c r="Z472" i="1"/>
  <c r="AD472" i="1"/>
  <c r="AA472" i="1"/>
  <c r="AB504" i="1"/>
  <c r="Y504" i="1"/>
  <c r="AC504" i="1"/>
  <c r="Z504" i="1"/>
  <c r="AD504" i="1"/>
  <c r="AA504" i="1"/>
  <c r="AB536" i="1"/>
  <c r="Y536" i="1"/>
  <c r="AC536" i="1"/>
  <c r="Z536" i="1"/>
  <c r="AD536" i="1"/>
  <c r="AA536" i="1"/>
  <c r="AB568" i="1"/>
  <c r="Y568" i="1"/>
  <c r="AC568" i="1"/>
  <c r="Z568" i="1"/>
  <c r="AD568" i="1"/>
  <c r="AA568" i="1"/>
  <c r="AB600" i="1"/>
  <c r="Y600" i="1"/>
  <c r="AC600" i="1"/>
  <c r="Z600" i="1"/>
  <c r="AD600" i="1"/>
  <c r="AA600" i="1"/>
  <c r="AB622" i="1"/>
  <c r="Y622" i="1"/>
  <c r="AC622" i="1"/>
  <c r="Z622" i="1"/>
  <c r="AD622" i="1"/>
  <c r="AA622" i="1"/>
  <c r="AB638" i="1"/>
  <c r="Y638" i="1"/>
  <c r="AC638" i="1"/>
  <c r="Z638" i="1"/>
  <c r="AD638" i="1"/>
  <c r="AA638" i="1"/>
  <c r="AB654" i="1"/>
  <c r="Y654" i="1"/>
  <c r="AC654" i="1"/>
  <c r="Z654" i="1"/>
  <c r="AD654" i="1"/>
  <c r="AA654" i="1"/>
  <c r="AB670" i="1"/>
  <c r="Y670" i="1"/>
  <c r="AC670" i="1"/>
  <c r="Z670" i="1"/>
  <c r="AD670" i="1"/>
  <c r="AA670" i="1"/>
  <c r="AB686" i="1"/>
  <c r="Y686" i="1"/>
  <c r="AC686" i="1"/>
  <c r="Z686" i="1"/>
  <c r="AD686" i="1"/>
  <c r="AA686" i="1"/>
  <c r="AB702" i="1"/>
  <c r="Y702" i="1"/>
  <c r="AC702" i="1"/>
  <c r="Z702" i="1"/>
  <c r="AD702" i="1"/>
  <c r="AA702" i="1"/>
  <c r="AB718" i="1"/>
  <c r="Y718" i="1"/>
  <c r="AC718" i="1"/>
  <c r="Z718" i="1"/>
  <c r="AD718" i="1"/>
  <c r="AA718" i="1"/>
  <c r="AB734" i="1"/>
  <c r="Y734" i="1"/>
  <c r="AC734" i="1"/>
  <c r="Z734" i="1"/>
  <c r="AD734" i="1"/>
  <c r="AA734" i="1"/>
  <c r="AB750" i="1"/>
  <c r="Z750" i="1"/>
  <c r="AD750" i="1"/>
  <c r="Y750" i="1"/>
  <c r="AC750" i="1"/>
  <c r="AA750" i="1"/>
  <c r="AA766" i="1"/>
  <c r="AB766" i="1"/>
  <c r="Z766" i="1"/>
  <c r="Y766" i="1"/>
  <c r="AC766" i="1"/>
  <c r="AD766" i="1"/>
  <c r="AA782" i="1"/>
  <c r="AD782" i="1"/>
  <c r="AB782" i="1"/>
  <c r="Y782" i="1"/>
  <c r="AC782" i="1"/>
  <c r="Z782" i="1"/>
  <c r="AA798" i="1"/>
  <c r="AD798" i="1"/>
  <c r="AB798" i="1"/>
  <c r="Z798" i="1"/>
  <c r="Y798" i="1"/>
  <c r="AC798" i="1"/>
  <c r="AA814" i="1"/>
  <c r="AD814" i="1"/>
  <c r="AB814" i="1"/>
  <c r="Z814" i="1"/>
  <c r="Y814" i="1"/>
  <c r="AC814" i="1"/>
  <c r="AA830" i="1"/>
  <c r="AD830" i="1"/>
  <c r="AB830" i="1"/>
  <c r="Z830" i="1"/>
  <c r="Y830" i="1"/>
  <c r="AC830" i="1"/>
  <c r="AA846" i="1"/>
  <c r="AD846" i="1"/>
  <c r="AB846" i="1"/>
  <c r="Z846" i="1"/>
  <c r="Y846" i="1"/>
  <c r="AC846" i="1"/>
  <c r="Y169" i="1"/>
  <c r="AC169" i="1"/>
  <c r="Z169" i="1"/>
  <c r="AD169" i="1"/>
  <c r="AA169" i="1"/>
  <c r="AB169" i="1"/>
  <c r="AA73" i="1"/>
  <c r="Y73" i="1"/>
  <c r="AC73" i="1"/>
  <c r="Z73" i="1"/>
  <c r="AB73" i="1"/>
  <c r="AD73" i="1"/>
  <c r="Y25" i="1"/>
  <c r="AC25" i="1"/>
  <c r="Z25" i="1"/>
  <c r="AD25" i="1"/>
  <c r="AA25" i="1"/>
  <c r="AB25" i="1"/>
  <c r="AB89" i="1"/>
  <c r="Y89" i="1"/>
  <c r="AC89" i="1"/>
  <c r="Z89" i="1"/>
  <c r="AD89" i="1"/>
  <c r="AA89" i="1"/>
  <c r="Y153" i="1"/>
  <c r="AC153" i="1"/>
  <c r="Z153" i="1"/>
  <c r="AD153" i="1"/>
  <c r="AA153" i="1"/>
  <c r="AB153" i="1"/>
  <c r="Y217" i="1"/>
  <c r="AC217" i="1"/>
  <c r="AA217" i="1"/>
  <c r="Z217" i="1"/>
  <c r="AB217" i="1"/>
  <c r="AD217" i="1"/>
  <c r="AB281" i="1"/>
  <c r="Y281" i="1"/>
  <c r="AC281" i="1"/>
  <c r="Z281" i="1"/>
  <c r="AD281" i="1"/>
  <c r="AA281" i="1"/>
  <c r="Y321" i="1"/>
  <c r="AC321" i="1"/>
  <c r="Z321" i="1"/>
  <c r="AD321" i="1"/>
  <c r="AA321" i="1"/>
  <c r="AB321" i="1"/>
  <c r="Y353" i="1"/>
  <c r="AC353" i="1"/>
  <c r="Z353" i="1"/>
  <c r="AD353" i="1"/>
  <c r="AA353" i="1"/>
  <c r="AB353" i="1"/>
  <c r="Y385" i="1"/>
  <c r="AC385" i="1"/>
  <c r="AA385" i="1"/>
  <c r="AD385" i="1"/>
  <c r="Z385" i="1"/>
  <c r="AB385" i="1"/>
  <c r="Z417" i="1"/>
  <c r="AD417" i="1"/>
  <c r="AA417" i="1"/>
  <c r="AB417" i="1"/>
  <c r="Y417" i="1"/>
  <c r="AC417" i="1"/>
  <c r="Z449" i="1"/>
  <c r="AD449" i="1"/>
  <c r="AA449" i="1"/>
  <c r="AB449" i="1"/>
  <c r="Y449" i="1"/>
  <c r="AC449" i="1"/>
  <c r="Z481" i="1"/>
  <c r="AD481" i="1"/>
  <c r="AA481" i="1"/>
  <c r="AB481" i="1"/>
  <c r="Y481" i="1"/>
  <c r="AC481" i="1"/>
  <c r="Z513" i="1"/>
  <c r="AD513" i="1"/>
  <c r="AA513" i="1"/>
  <c r="AB513" i="1"/>
  <c r="Y513" i="1"/>
  <c r="AC513" i="1"/>
  <c r="Z545" i="1"/>
  <c r="AD545" i="1"/>
  <c r="AA545" i="1"/>
  <c r="AB545" i="1"/>
  <c r="Y545" i="1"/>
  <c r="AC545" i="1"/>
  <c r="Z577" i="1"/>
  <c r="AD577" i="1"/>
  <c r="AB577" i="1"/>
  <c r="Y577" i="1"/>
  <c r="AA577" i="1"/>
  <c r="AC577" i="1"/>
  <c r="Z609" i="1"/>
  <c r="AD609" i="1"/>
  <c r="AA609" i="1"/>
  <c r="AB609" i="1"/>
  <c r="AC609" i="1"/>
  <c r="Y609" i="1"/>
  <c r="Z627" i="1"/>
  <c r="AD627" i="1"/>
  <c r="AA627" i="1"/>
  <c r="AB627" i="1"/>
  <c r="Y627" i="1"/>
  <c r="AC627" i="1"/>
  <c r="Z643" i="1"/>
  <c r="AD643" i="1"/>
  <c r="AA643" i="1"/>
  <c r="AB643" i="1"/>
  <c r="Y643" i="1"/>
  <c r="AC643" i="1"/>
  <c r="Z659" i="1"/>
  <c r="AD659" i="1"/>
  <c r="AA659" i="1"/>
  <c r="AB659" i="1"/>
  <c r="Y659" i="1"/>
  <c r="AC659" i="1"/>
  <c r="Z675" i="1"/>
  <c r="AD675" i="1"/>
  <c r="AA675" i="1"/>
  <c r="AB675" i="1"/>
  <c r="Y675" i="1"/>
  <c r="AC675" i="1"/>
  <c r="Z691" i="1"/>
  <c r="AD691" i="1"/>
  <c r="AA691" i="1"/>
  <c r="AB691" i="1"/>
  <c r="Y691" i="1"/>
  <c r="AC691" i="1"/>
  <c r="Z707" i="1"/>
  <c r="AD707" i="1"/>
  <c r="AA707" i="1"/>
  <c r="AB707" i="1"/>
  <c r="Y707" i="1"/>
  <c r="AC707" i="1"/>
  <c r="Z723" i="1"/>
  <c r="AD723" i="1"/>
  <c r="AA723" i="1"/>
  <c r="AB723" i="1"/>
  <c r="Y723" i="1"/>
  <c r="AC723" i="1"/>
  <c r="Z739" i="1"/>
  <c r="AD739" i="1"/>
  <c r="AB739" i="1"/>
  <c r="Y739" i="1"/>
  <c r="AA739" i="1"/>
  <c r="AC739" i="1"/>
  <c r="Z755" i="1"/>
  <c r="AC755" i="1"/>
  <c r="Y755" i="1"/>
  <c r="AD755" i="1"/>
  <c r="AB755" i="1"/>
  <c r="AA755" i="1"/>
  <c r="Y771" i="1"/>
  <c r="AC771" i="1"/>
  <c r="Z771" i="1"/>
  <c r="AD771" i="1"/>
  <c r="AB771" i="1"/>
  <c r="AA771" i="1"/>
  <c r="Y787" i="1"/>
  <c r="AC787" i="1"/>
  <c r="AB787" i="1"/>
  <c r="Z787" i="1"/>
  <c r="AD787" i="1"/>
  <c r="AA787" i="1"/>
  <c r="Y803" i="1"/>
  <c r="AC803" i="1"/>
  <c r="Z803" i="1"/>
  <c r="AD803" i="1"/>
  <c r="AA803" i="1"/>
  <c r="AB803" i="1"/>
  <c r="Y819" i="1"/>
  <c r="AC819" i="1"/>
  <c r="AB819" i="1"/>
  <c r="Z819" i="1"/>
  <c r="AD819" i="1"/>
  <c r="AA819" i="1"/>
  <c r="Y835" i="1"/>
  <c r="AC835" i="1"/>
  <c r="Z835" i="1"/>
  <c r="AD835" i="1"/>
  <c r="AB835" i="1"/>
  <c r="AA835" i="1"/>
  <c r="Y851" i="1"/>
  <c r="AC851" i="1"/>
  <c r="Z851" i="1"/>
  <c r="AD851" i="1"/>
  <c r="AA851" i="1"/>
  <c r="AB851" i="1"/>
  <c r="AA61" i="1"/>
  <c r="AB61" i="1"/>
  <c r="Y61" i="1"/>
  <c r="AC61" i="1"/>
  <c r="Z61" i="1"/>
  <c r="AD61" i="1"/>
  <c r="Y125" i="1"/>
  <c r="AC125" i="1"/>
  <c r="Z125" i="1"/>
  <c r="AD125" i="1"/>
  <c r="AA125" i="1"/>
  <c r="AB125" i="1"/>
  <c r="Y189" i="1"/>
  <c r="AC189" i="1"/>
  <c r="Z189" i="1"/>
  <c r="AD189" i="1"/>
  <c r="AA189" i="1"/>
  <c r="AB189" i="1"/>
  <c r="AB253" i="1"/>
  <c r="Y253" i="1"/>
  <c r="AC253" i="1"/>
  <c r="Z253" i="1"/>
  <c r="AD253" i="1"/>
  <c r="AA253" i="1"/>
  <c r="AA308" i="1"/>
  <c r="AB308" i="1"/>
  <c r="Y308" i="1"/>
  <c r="AC308" i="1"/>
  <c r="Z308" i="1"/>
  <c r="AD308" i="1"/>
  <c r="AA340" i="1"/>
  <c r="AB340" i="1"/>
  <c r="Y340" i="1"/>
  <c r="AC340" i="1"/>
  <c r="Z340" i="1"/>
  <c r="AD340" i="1"/>
  <c r="AA372" i="1"/>
  <c r="AB372" i="1"/>
  <c r="Y372" i="1"/>
  <c r="AC372" i="1"/>
  <c r="Z372" i="1"/>
  <c r="AD372" i="1"/>
  <c r="AB404" i="1"/>
  <c r="Y404" i="1"/>
  <c r="AC404" i="1"/>
  <c r="Z404" i="1"/>
  <c r="AD404" i="1"/>
  <c r="AA404" i="1"/>
  <c r="AB436" i="1"/>
  <c r="Y436" i="1"/>
  <c r="AC436" i="1"/>
  <c r="Z436" i="1"/>
  <c r="AD436" i="1"/>
  <c r="AA436" i="1"/>
  <c r="AB468" i="1"/>
  <c r="Y468" i="1"/>
  <c r="AC468" i="1"/>
  <c r="Z468" i="1"/>
  <c r="AD468" i="1"/>
  <c r="AA468" i="1"/>
  <c r="AB500" i="1"/>
  <c r="Y500" i="1"/>
  <c r="AC500" i="1"/>
  <c r="Z500" i="1"/>
  <c r="AD500" i="1"/>
  <c r="AA500" i="1"/>
  <c r="AB532" i="1"/>
  <c r="Y532" i="1"/>
  <c r="AC532" i="1"/>
  <c r="Z532" i="1"/>
  <c r="AD532" i="1"/>
  <c r="AA532" i="1"/>
  <c r="AB564" i="1"/>
  <c r="Y564" i="1"/>
  <c r="AC564" i="1"/>
  <c r="Z564" i="1"/>
  <c r="AD564" i="1"/>
  <c r="AA564" i="1"/>
  <c r="AB596" i="1"/>
  <c r="Y596" i="1"/>
  <c r="AC596" i="1"/>
  <c r="Z596" i="1"/>
  <c r="AD596" i="1"/>
  <c r="AA596" i="1"/>
  <c r="AB620" i="1"/>
  <c r="Y620" i="1"/>
  <c r="AC620" i="1"/>
  <c r="Z620" i="1"/>
  <c r="AD620" i="1"/>
  <c r="AA620" i="1"/>
  <c r="AB636" i="1"/>
  <c r="Y636" i="1"/>
  <c r="AC636" i="1"/>
  <c r="Z636" i="1"/>
  <c r="AD636" i="1"/>
  <c r="AA636" i="1"/>
  <c r="AB652" i="1"/>
  <c r="Y652" i="1"/>
  <c r="AC652" i="1"/>
  <c r="Z652" i="1"/>
  <c r="AD652" i="1"/>
  <c r="AA652" i="1"/>
  <c r="AB668" i="1"/>
  <c r="Y668" i="1"/>
  <c r="AC668" i="1"/>
  <c r="Z668" i="1"/>
  <c r="AD668" i="1"/>
  <c r="AA668" i="1"/>
  <c r="AB684" i="1"/>
  <c r="Y684" i="1"/>
  <c r="AC684" i="1"/>
  <c r="Z684" i="1"/>
  <c r="AD684" i="1"/>
  <c r="AA684" i="1"/>
  <c r="AB700" i="1"/>
  <c r="Y700" i="1"/>
  <c r="AC700" i="1"/>
  <c r="Z700" i="1"/>
  <c r="AD700" i="1"/>
  <c r="AA700" i="1"/>
  <c r="AB716" i="1"/>
  <c r="Y716" i="1"/>
  <c r="AC716" i="1"/>
  <c r="Z716" i="1"/>
  <c r="AD716" i="1"/>
  <c r="AA716" i="1"/>
  <c r="AB732" i="1"/>
  <c r="Y732" i="1"/>
  <c r="AC732" i="1"/>
  <c r="Z732" i="1"/>
  <c r="AD732" i="1"/>
  <c r="AA732" i="1"/>
  <c r="AB748" i="1"/>
  <c r="Z748" i="1"/>
  <c r="AD748" i="1"/>
  <c r="AA748" i="1"/>
  <c r="AC748" i="1"/>
  <c r="Y748" i="1"/>
  <c r="AA764" i="1"/>
  <c r="AB764" i="1"/>
  <c r="Z764" i="1"/>
  <c r="Y764" i="1"/>
  <c r="AC764" i="1"/>
  <c r="AD764" i="1"/>
  <c r="AA780" i="1"/>
  <c r="AD780" i="1"/>
  <c r="AB780" i="1"/>
  <c r="Y780" i="1"/>
  <c r="AC780" i="1"/>
  <c r="Z780" i="1"/>
  <c r="AA796" i="1"/>
  <c r="AD796" i="1"/>
  <c r="AB796" i="1"/>
  <c r="Z796" i="1"/>
  <c r="Y796" i="1"/>
  <c r="AC796" i="1"/>
  <c r="AA812" i="1"/>
  <c r="AB812" i="1"/>
  <c r="Z812" i="1"/>
  <c r="Y812" i="1"/>
  <c r="AC812" i="1"/>
  <c r="AD812" i="1"/>
  <c r="AA828" i="1"/>
  <c r="AD828" i="1"/>
  <c r="AB828" i="1"/>
  <c r="Z828" i="1"/>
  <c r="Y828" i="1"/>
  <c r="AC828" i="1"/>
  <c r="AA844" i="1"/>
  <c r="Z844" i="1"/>
  <c r="AB844" i="1"/>
  <c r="AD844" i="1"/>
  <c r="Y844" i="1"/>
  <c r="AC844" i="1"/>
  <c r="Z33" i="1"/>
  <c r="AD33" i="1"/>
  <c r="AB33" i="1"/>
  <c r="AC33" i="1"/>
  <c r="Y33" i="1"/>
  <c r="AA33" i="1"/>
  <c r="AB97" i="1"/>
  <c r="Y97" i="1"/>
  <c r="AC97" i="1"/>
  <c r="Z97" i="1"/>
  <c r="AD97" i="1"/>
  <c r="AA97" i="1"/>
  <c r="Y161" i="1"/>
  <c r="AC161" i="1"/>
  <c r="Z161" i="1"/>
  <c r="AD161" i="1"/>
  <c r="AA161" i="1"/>
  <c r="AB161" i="1"/>
  <c r="AB225" i="1"/>
  <c r="Y225" i="1"/>
  <c r="AC225" i="1"/>
  <c r="Z225" i="1"/>
  <c r="AD225" i="1"/>
  <c r="AA225" i="1"/>
  <c r="AB289" i="1"/>
  <c r="Z289" i="1"/>
  <c r="AD289" i="1"/>
  <c r="Y289" i="1"/>
  <c r="AA289" i="1"/>
  <c r="AC289" i="1"/>
  <c r="Y325" i="1"/>
  <c r="AC325" i="1"/>
  <c r="Z325" i="1"/>
  <c r="AD325" i="1"/>
  <c r="AA325" i="1"/>
  <c r="AB325" i="1"/>
  <c r="Y357" i="1"/>
  <c r="AC357" i="1"/>
  <c r="Z357" i="1"/>
  <c r="AD357" i="1"/>
  <c r="AA357" i="1"/>
  <c r="AB357" i="1"/>
  <c r="Y389" i="1"/>
  <c r="AC389" i="1"/>
  <c r="AA389" i="1"/>
  <c r="AD389" i="1"/>
  <c r="Z389" i="1"/>
  <c r="AB389" i="1"/>
  <c r="Z421" i="1"/>
  <c r="AD421" i="1"/>
  <c r="AA421" i="1"/>
  <c r="AB421" i="1"/>
  <c r="Y421" i="1"/>
  <c r="AC421" i="1"/>
  <c r="Z453" i="1"/>
  <c r="AD453" i="1"/>
  <c r="AA453" i="1"/>
  <c r="AB453" i="1"/>
  <c r="Y453" i="1"/>
  <c r="AC453" i="1"/>
  <c r="Z485" i="1"/>
  <c r="AD485" i="1"/>
  <c r="AA485" i="1"/>
  <c r="AB485" i="1"/>
  <c r="Y485" i="1"/>
  <c r="AC485" i="1"/>
  <c r="Z517" i="1"/>
  <c r="AD517" i="1"/>
  <c r="AA517" i="1"/>
  <c r="AB517" i="1"/>
  <c r="Y517" i="1"/>
  <c r="AC517" i="1"/>
  <c r="Z549" i="1"/>
  <c r="AD549" i="1"/>
  <c r="AA549" i="1"/>
  <c r="AB549" i="1"/>
  <c r="Y549" i="1"/>
  <c r="AC549" i="1"/>
  <c r="Z581" i="1"/>
  <c r="AD581" i="1"/>
  <c r="AB581" i="1"/>
  <c r="Y581" i="1"/>
  <c r="AA581" i="1"/>
  <c r="AC581" i="1"/>
  <c r="AB612" i="1"/>
  <c r="Y612" i="1"/>
  <c r="AC612" i="1"/>
  <c r="Z612" i="1"/>
  <c r="AD612" i="1"/>
  <c r="AA612" i="1"/>
  <c r="Z629" i="1"/>
  <c r="AD629" i="1"/>
  <c r="AA629" i="1"/>
  <c r="AB629" i="1"/>
  <c r="Y629" i="1"/>
  <c r="AC629" i="1"/>
  <c r="Z645" i="1"/>
  <c r="AD645" i="1"/>
  <c r="AA645" i="1"/>
  <c r="AB645" i="1"/>
  <c r="Y645" i="1"/>
  <c r="AC645" i="1"/>
  <c r="Z661" i="1"/>
  <c r="AD661" i="1"/>
  <c r="AA661" i="1"/>
  <c r="AB661" i="1"/>
  <c r="Y661" i="1"/>
  <c r="AC661" i="1"/>
  <c r="Z677" i="1"/>
  <c r="AD677" i="1"/>
  <c r="AA677" i="1"/>
  <c r="AB677" i="1"/>
  <c r="Y677" i="1"/>
  <c r="AC677" i="1"/>
  <c r="Z693" i="1"/>
  <c r="AD693" i="1"/>
  <c r="AA693" i="1"/>
  <c r="AB693" i="1"/>
  <c r="Y693" i="1"/>
  <c r="AC693" i="1"/>
  <c r="Z709" i="1"/>
  <c r="AD709" i="1"/>
  <c r="AA709" i="1"/>
  <c r="AB709" i="1"/>
  <c r="Y709" i="1"/>
  <c r="AC709" i="1"/>
  <c r="Z725" i="1"/>
  <c r="AD725" i="1"/>
  <c r="AA725" i="1"/>
  <c r="AB725" i="1"/>
  <c r="Y725" i="1"/>
  <c r="AC725" i="1"/>
  <c r="Z741" i="1"/>
  <c r="AD741" i="1"/>
  <c r="AB741" i="1"/>
  <c r="AC741" i="1"/>
  <c r="AA741" i="1"/>
  <c r="Y741" i="1"/>
  <c r="Y757" i="1"/>
  <c r="AC757" i="1"/>
  <c r="Z757" i="1"/>
  <c r="AD757" i="1"/>
  <c r="AB757" i="1"/>
  <c r="AA757" i="1"/>
  <c r="Y773" i="1"/>
  <c r="AC773" i="1"/>
  <c r="AB773" i="1"/>
  <c r="Z773" i="1"/>
  <c r="AD773" i="1"/>
  <c r="AA773" i="1"/>
  <c r="Y789" i="1"/>
  <c r="AC789" i="1"/>
  <c r="AB789" i="1"/>
  <c r="Z789" i="1"/>
  <c r="AD789" i="1"/>
  <c r="AA789" i="1"/>
  <c r="Y805" i="1"/>
  <c r="AC805" i="1"/>
  <c r="Z805" i="1"/>
  <c r="AD805" i="1"/>
  <c r="AA805" i="1"/>
  <c r="AB805" i="1"/>
  <c r="Y821" i="1"/>
  <c r="AC821" i="1"/>
  <c r="Z821" i="1"/>
  <c r="AD821" i="1"/>
  <c r="AB821" i="1"/>
  <c r="AA821" i="1"/>
  <c r="Y837" i="1"/>
  <c r="AC837" i="1"/>
  <c r="AB837" i="1"/>
  <c r="Z837" i="1"/>
  <c r="AD837" i="1"/>
  <c r="AA837" i="1"/>
  <c r="Y853" i="1"/>
  <c r="AC853" i="1"/>
  <c r="Z853" i="1"/>
  <c r="AD853" i="1"/>
  <c r="AA853" i="1"/>
  <c r="AB853" i="1"/>
  <c r="Z284" i="1"/>
  <c r="AD284" i="1"/>
  <c r="AA284" i="1"/>
  <c r="AB284" i="1"/>
  <c r="Y284" i="1"/>
  <c r="AC284" i="1"/>
  <c r="Z268" i="1"/>
  <c r="AD268" i="1"/>
  <c r="AA268" i="1"/>
  <c r="AB268" i="1"/>
  <c r="Y268" i="1"/>
  <c r="AC268" i="1"/>
  <c r="Z252" i="1"/>
  <c r="AD252" i="1"/>
  <c r="AA252" i="1"/>
  <c r="AB252" i="1"/>
  <c r="Y252" i="1"/>
  <c r="AC252" i="1"/>
  <c r="Z236" i="1"/>
  <c r="AD236" i="1"/>
  <c r="AA236" i="1"/>
  <c r="AB236" i="1"/>
  <c r="Y236" i="1"/>
  <c r="AC236" i="1"/>
  <c r="Z220" i="1"/>
  <c r="AD220" i="1"/>
  <c r="AA220" i="1"/>
  <c r="AB220" i="1"/>
  <c r="Y220" i="1"/>
  <c r="AC220" i="1"/>
  <c r="AA204" i="1"/>
  <c r="Y204" i="1"/>
  <c r="AC204" i="1"/>
  <c r="Z204" i="1"/>
  <c r="AB204" i="1"/>
  <c r="AD204" i="1"/>
  <c r="AA188" i="1"/>
  <c r="AB188" i="1"/>
  <c r="Y188" i="1"/>
  <c r="AC188" i="1"/>
  <c r="Z188" i="1"/>
  <c r="AD188" i="1"/>
  <c r="AA172" i="1"/>
  <c r="AB172" i="1"/>
  <c r="Y172" i="1"/>
  <c r="AC172" i="1"/>
  <c r="Z172" i="1"/>
  <c r="AD172" i="1"/>
  <c r="AA156" i="1"/>
  <c r="AB156" i="1"/>
  <c r="Y156" i="1"/>
  <c r="AC156" i="1"/>
  <c r="Z156" i="1"/>
  <c r="AD156" i="1"/>
  <c r="AA140" i="1"/>
  <c r="AB140" i="1"/>
  <c r="Y140" i="1"/>
  <c r="AC140" i="1"/>
  <c r="Z140" i="1"/>
  <c r="AD140" i="1"/>
  <c r="AA124" i="1"/>
  <c r="AB124" i="1"/>
  <c r="Y124" i="1"/>
  <c r="AC124" i="1"/>
  <c r="Z124" i="1"/>
  <c r="AD124" i="1"/>
  <c r="Z108" i="1"/>
  <c r="AD108" i="1"/>
  <c r="AA108" i="1"/>
  <c r="AB108" i="1"/>
  <c r="Y108" i="1"/>
  <c r="AC108" i="1"/>
  <c r="Z92" i="1"/>
  <c r="AD92" i="1"/>
  <c r="AA92" i="1"/>
  <c r="AB92" i="1"/>
  <c r="Y92" i="1"/>
  <c r="AC92" i="1"/>
  <c r="Y76" i="1"/>
  <c r="AC76" i="1"/>
  <c r="AA76" i="1"/>
  <c r="Z76" i="1"/>
  <c r="AB76" i="1"/>
  <c r="AD76" i="1"/>
  <c r="Y60" i="1"/>
  <c r="AC60" i="1"/>
  <c r="Z60" i="1"/>
  <c r="AD60" i="1"/>
  <c r="AA60" i="1"/>
  <c r="AB60" i="1"/>
  <c r="AB44" i="1"/>
  <c r="Z44" i="1"/>
  <c r="AA44" i="1"/>
  <c r="AC44" i="1"/>
  <c r="Y44" i="1"/>
  <c r="AD44" i="1"/>
  <c r="AA28" i="1"/>
  <c r="AB28" i="1"/>
  <c r="AC28" i="1"/>
  <c r="AD28" i="1"/>
  <c r="Y28" i="1"/>
  <c r="Z28" i="1"/>
  <c r="AA12" i="1"/>
  <c r="N14" i="5" s="1"/>
  <c r="AB12" i="1"/>
  <c r="O14" i="5" s="1"/>
  <c r="AC12" i="1"/>
  <c r="P14" i="5" s="1"/>
  <c r="AD12" i="1"/>
  <c r="Q14" i="5" s="1"/>
  <c r="Y12" i="1"/>
  <c r="L14" i="5" s="1"/>
  <c r="Z12" i="1"/>
  <c r="M14" i="5" s="1"/>
  <c r="Z603" i="1"/>
  <c r="AD603" i="1"/>
  <c r="AA603" i="1"/>
  <c r="AB603" i="1"/>
  <c r="Y603" i="1"/>
  <c r="AC603" i="1"/>
  <c r="Z587" i="1"/>
  <c r="AD587" i="1"/>
  <c r="AB587" i="1"/>
  <c r="AA587" i="1"/>
  <c r="AC587" i="1"/>
  <c r="Y587" i="1"/>
  <c r="Z571" i="1"/>
  <c r="AD571" i="1"/>
  <c r="AB571" i="1"/>
  <c r="AA571" i="1"/>
  <c r="AC571" i="1"/>
  <c r="Y571" i="1"/>
  <c r="Z555" i="1"/>
  <c r="AD555" i="1"/>
  <c r="AA555" i="1"/>
  <c r="AB555" i="1"/>
  <c r="Y555" i="1"/>
  <c r="AC555" i="1"/>
  <c r="Z539" i="1"/>
  <c r="AD539" i="1"/>
  <c r="AA539" i="1"/>
  <c r="AB539" i="1"/>
  <c r="Y539" i="1"/>
  <c r="AC539" i="1"/>
  <c r="Z523" i="1"/>
  <c r="AD523" i="1"/>
  <c r="AA523" i="1"/>
  <c r="AB523" i="1"/>
  <c r="Y523" i="1"/>
  <c r="AC523" i="1"/>
  <c r="Z507" i="1"/>
  <c r="AD507" i="1"/>
  <c r="AA507" i="1"/>
  <c r="AB507" i="1"/>
  <c r="Y507" i="1"/>
  <c r="AC507" i="1"/>
  <c r="Z491" i="1"/>
  <c r="AD491" i="1"/>
  <c r="AA491" i="1"/>
  <c r="AB491" i="1"/>
  <c r="Y491" i="1"/>
  <c r="AC491" i="1"/>
  <c r="Z475" i="1"/>
  <c r="AD475" i="1"/>
  <c r="AA475" i="1"/>
  <c r="AB475" i="1"/>
  <c r="Y475" i="1"/>
  <c r="AC475" i="1"/>
  <c r="Z459" i="1"/>
  <c r="AD459" i="1"/>
  <c r="AA459" i="1"/>
  <c r="AB459" i="1"/>
  <c r="Y459" i="1"/>
  <c r="AC459" i="1"/>
  <c r="Z443" i="1"/>
  <c r="AD443" i="1"/>
  <c r="AA443" i="1"/>
  <c r="AB443" i="1"/>
  <c r="Y443" i="1"/>
  <c r="AC443" i="1"/>
  <c r="Z427" i="1"/>
  <c r="AD427" i="1"/>
  <c r="AA427" i="1"/>
  <c r="AB427" i="1"/>
  <c r="Y427" i="1"/>
  <c r="AC427" i="1"/>
  <c r="Z411" i="1"/>
  <c r="AD411" i="1"/>
  <c r="AA411" i="1"/>
  <c r="AB411" i="1"/>
  <c r="Y411" i="1"/>
  <c r="AC411" i="1"/>
  <c r="Y395" i="1"/>
  <c r="AC395" i="1"/>
  <c r="AA395" i="1"/>
  <c r="Z395" i="1"/>
  <c r="AB395" i="1"/>
  <c r="AD395" i="1"/>
  <c r="Y379" i="1"/>
  <c r="AC379" i="1"/>
  <c r="Z379" i="1"/>
  <c r="AD379" i="1"/>
  <c r="AA379" i="1"/>
  <c r="AB379" i="1"/>
  <c r="Y363" i="1"/>
  <c r="AC363" i="1"/>
  <c r="Z363" i="1"/>
  <c r="AD363" i="1"/>
  <c r="AA363" i="1"/>
  <c r="AB363" i="1"/>
  <c r="Y347" i="1"/>
  <c r="AC347" i="1"/>
  <c r="Z347" i="1"/>
  <c r="AD347" i="1"/>
  <c r="AA347" i="1"/>
  <c r="AB347" i="1"/>
  <c r="Y331" i="1"/>
  <c r="AC331" i="1"/>
  <c r="Z331" i="1"/>
  <c r="AD331" i="1"/>
  <c r="AA331" i="1"/>
  <c r="AB331" i="1"/>
  <c r="Y315" i="1"/>
  <c r="AC315" i="1"/>
  <c r="Z315" i="1"/>
  <c r="AD315" i="1"/>
  <c r="AA315" i="1"/>
  <c r="AB315" i="1"/>
  <c r="AB299" i="1"/>
  <c r="Z299" i="1"/>
  <c r="AC299" i="1"/>
  <c r="AD299" i="1"/>
  <c r="Y299" i="1"/>
  <c r="AA299" i="1"/>
  <c r="AB283" i="1"/>
  <c r="Y283" i="1"/>
  <c r="AC283" i="1"/>
  <c r="Z283" i="1"/>
  <c r="AD283" i="1"/>
  <c r="AA283" i="1"/>
  <c r="AB267" i="1"/>
  <c r="Y267" i="1"/>
  <c r="AC267" i="1"/>
  <c r="Z267" i="1"/>
  <c r="AD267" i="1"/>
  <c r="AA267" i="1"/>
  <c r="AB251" i="1"/>
  <c r="Y251" i="1"/>
  <c r="AC251" i="1"/>
  <c r="Z251" i="1"/>
  <c r="AD251" i="1"/>
  <c r="AA251" i="1"/>
  <c r="AB235" i="1"/>
  <c r="Y235" i="1"/>
  <c r="AC235" i="1"/>
  <c r="Z235" i="1"/>
  <c r="AD235" i="1"/>
  <c r="AA235" i="1"/>
  <c r="AB219" i="1"/>
  <c r="Y219" i="1"/>
  <c r="AC219" i="1"/>
  <c r="Z219" i="1"/>
  <c r="AD219" i="1"/>
  <c r="AA219" i="1"/>
  <c r="Y203" i="1"/>
  <c r="AC203" i="1"/>
  <c r="Z203" i="1"/>
  <c r="AA203" i="1"/>
  <c r="AD203" i="1"/>
  <c r="AB203" i="1"/>
  <c r="Y187" i="1"/>
  <c r="AC187" i="1"/>
  <c r="Z187" i="1"/>
  <c r="AD187" i="1"/>
  <c r="AA187" i="1"/>
  <c r="AB187" i="1"/>
  <c r="Y171" i="1"/>
  <c r="AC171" i="1"/>
  <c r="Z171" i="1"/>
  <c r="AD171" i="1"/>
  <c r="AA171" i="1"/>
  <c r="AB171" i="1"/>
  <c r="Y155" i="1"/>
  <c r="AC155" i="1"/>
  <c r="Z155" i="1"/>
  <c r="AD155" i="1"/>
  <c r="AA155" i="1"/>
  <c r="AB155" i="1"/>
  <c r="Y139" i="1"/>
  <c r="AC139" i="1"/>
  <c r="Z139" i="1"/>
  <c r="AD139" i="1"/>
  <c r="AA139" i="1"/>
  <c r="AB139" i="1"/>
  <c r="Y123" i="1"/>
  <c r="AC123" i="1"/>
  <c r="Z123" i="1"/>
  <c r="AD123" i="1"/>
  <c r="AA123" i="1"/>
  <c r="AB123" i="1"/>
  <c r="AB107" i="1"/>
  <c r="Y107" i="1"/>
  <c r="AC107" i="1"/>
  <c r="Z107" i="1"/>
  <c r="AD107" i="1"/>
  <c r="AA107" i="1"/>
  <c r="AB91" i="1"/>
  <c r="Y91" i="1"/>
  <c r="AC91" i="1"/>
  <c r="Z91" i="1"/>
  <c r="AD91" i="1"/>
  <c r="AA91" i="1"/>
  <c r="AA75" i="1"/>
  <c r="Y75" i="1"/>
  <c r="AC75" i="1"/>
  <c r="AD75" i="1"/>
  <c r="Z75" i="1"/>
  <c r="AB75" i="1"/>
  <c r="Z59" i="1"/>
  <c r="AA59" i="1"/>
  <c r="AB59" i="1"/>
  <c r="AC59" i="1"/>
  <c r="AD59" i="1"/>
  <c r="Y59" i="1"/>
  <c r="Z43" i="1"/>
  <c r="AD43" i="1"/>
  <c r="AA43" i="1"/>
  <c r="AB43" i="1"/>
  <c r="AC43" i="1"/>
  <c r="Y43" i="1"/>
  <c r="Y27" i="1"/>
  <c r="AC27" i="1"/>
  <c r="Z27" i="1"/>
  <c r="AD27" i="1"/>
  <c r="AA27" i="1"/>
  <c r="AB27" i="1"/>
  <c r="Y11" i="1"/>
  <c r="L13" i="5" s="1"/>
  <c r="AC11" i="1"/>
  <c r="P13" i="5" s="1"/>
  <c r="Z11" i="1"/>
  <c r="M13" i="5" s="1"/>
  <c r="AD11" i="1"/>
  <c r="Q13" i="5" s="1"/>
  <c r="AA11" i="1"/>
  <c r="N13" i="5" s="1"/>
  <c r="AB11" i="1"/>
  <c r="O13" i="5" s="1"/>
  <c r="AB610" i="1"/>
  <c r="Y610" i="1"/>
  <c r="AC610" i="1"/>
  <c r="Z610" i="1"/>
  <c r="AD610" i="1"/>
  <c r="AA610" i="1"/>
  <c r="AB594" i="1"/>
  <c r="Y594" i="1"/>
  <c r="AC594" i="1"/>
  <c r="Z594" i="1"/>
  <c r="AD594" i="1"/>
  <c r="AA594" i="1"/>
  <c r="AB578" i="1"/>
  <c r="Z578" i="1"/>
  <c r="AD578" i="1"/>
  <c r="Y578" i="1"/>
  <c r="AA578" i="1"/>
  <c r="AC578" i="1"/>
  <c r="AB562" i="1"/>
  <c r="Y562" i="1"/>
  <c r="AC562" i="1"/>
  <c r="Z562" i="1"/>
  <c r="AD562" i="1"/>
  <c r="AA562" i="1"/>
  <c r="AB546" i="1"/>
  <c r="Y546" i="1"/>
  <c r="AC546" i="1"/>
  <c r="Z546" i="1"/>
  <c r="AD546" i="1"/>
  <c r="AA546" i="1"/>
  <c r="AB530" i="1"/>
  <c r="Y530" i="1"/>
  <c r="AC530" i="1"/>
  <c r="Z530" i="1"/>
  <c r="AD530" i="1"/>
  <c r="AA530" i="1"/>
  <c r="AB514" i="1"/>
  <c r="Y514" i="1"/>
  <c r="AC514" i="1"/>
  <c r="Z514" i="1"/>
  <c r="AD514" i="1"/>
  <c r="AA514" i="1"/>
  <c r="AB498" i="1"/>
  <c r="Y498" i="1"/>
  <c r="AC498" i="1"/>
  <c r="Z498" i="1"/>
  <c r="AD498" i="1"/>
  <c r="AA498" i="1"/>
  <c r="AB482" i="1"/>
  <c r="Y482" i="1"/>
  <c r="AC482" i="1"/>
  <c r="Z482" i="1"/>
  <c r="AD482" i="1"/>
  <c r="AA482" i="1"/>
  <c r="AB466" i="1"/>
  <c r="Y466" i="1"/>
  <c r="AC466" i="1"/>
  <c r="Z466" i="1"/>
  <c r="AD466" i="1"/>
  <c r="AA466" i="1"/>
  <c r="AB450" i="1"/>
  <c r="Y450" i="1"/>
  <c r="AC450" i="1"/>
  <c r="Z450" i="1"/>
  <c r="AD450" i="1"/>
  <c r="AA450" i="1"/>
  <c r="AB434" i="1"/>
  <c r="Y434" i="1"/>
  <c r="AC434" i="1"/>
  <c r="Z434" i="1"/>
  <c r="AD434" i="1"/>
  <c r="AA434" i="1"/>
  <c r="AB418" i="1"/>
  <c r="Y418" i="1"/>
  <c r="AC418" i="1"/>
  <c r="Z418" i="1"/>
  <c r="AD418" i="1"/>
  <c r="AA418" i="1"/>
  <c r="AB402" i="1"/>
  <c r="Y402" i="1"/>
  <c r="AC402" i="1"/>
  <c r="Z402" i="1"/>
  <c r="AD402" i="1"/>
  <c r="AA402" i="1"/>
  <c r="AA386" i="1"/>
  <c r="Y386" i="1"/>
  <c r="AC386" i="1"/>
  <c r="Z386" i="1"/>
  <c r="AB386" i="1"/>
  <c r="AD386" i="1"/>
  <c r="AA370" i="1"/>
  <c r="AB370" i="1"/>
  <c r="Y370" i="1"/>
  <c r="AC370" i="1"/>
  <c r="Z370" i="1"/>
  <c r="AD370" i="1"/>
  <c r="AA354" i="1"/>
  <c r="AB354" i="1"/>
  <c r="Y354" i="1"/>
  <c r="AC354" i="1"/>
  <c r="Z354" i="1"/>
  <c r="AD354" i="1"/>
  <c r="AA338" i="1"/>
  <c r="AB338" i="1"/>
  <c r="Y338" i="1"/>
  <c r="AC338" i="1"/>
  <c r="Z338" i="1"/>
  <c r="AD338" i="1"/>
  <c r="AA322" i="1"/>
  <c r="AB322" i="1"/>
  <c r="Y322" i="1"/>
  <c r="AC322" i="1"/>
  <c r="Z322" i="1"/>
  <c r="AD322" i="1"/>
  <c r="AA306" i="1"/>
  <c r="AB306" i="1"/>
  <c r="Y306" i="1"/>
  <c r="AC306" i="1"/>
  <c r="Z306" i="1"/>
  <c r="AD306" i="1"/>
  <c r="Z290" i="1"/>
  <c r="AD290" i="1"/>
  <c r="AB290" i="1"/>
  <c r="AA290" i="1"/>
  <c r="AC290" i="1"/>
  <c r="Y290" i="1"/>
  <c r="Z274" i="1"/>
  <c r="AD274" i="1"/>
  <c r="AA274" i="1"/>
  <c r="AB274" i="1"/>
  <c r="AC274" i="1"/>
  <c r="Y274" i="1"/>
  <c r="Z258" i="1"/>
  <c r="AD258" i="1"/>
  <c r="AA258" i="1"/>
  <c r="AB258" i="1"/>
  <c r="AC258" i="1"/>
  <c r="Y258" i="1"/>
  <c r="Z242" i="1"/>
  <c r="AD242" i="1"/>
  <c r="AA242" i="1"/>
  <c r="AB242" i="1"/>
  <c r="AC242" i="1"/>
  <c r="Y242" i="1"/>
  <c r="Z226" i="1"/>
  <c r="AD226" i="1"/>
  <c r="AA226" i="1"/>
  <c r="AB226" i="1"/>
  <c r="AC226" i="1"/>
  <c r="Y226" i="1"/>
  <c r="AA210" i="1"/>
  <c r="Y210" i="1"/>
  <c r="AC210" i="1"/>
  <c r="AB210" i="1"/>
  <c r="AD210" i="1"/>
  <c r="Z210" i="1"/>
  <c r="AA194" i="1"/>
  <c r="AB194" i="1"/>
  <c r="Y194" i="1"/>
  <c r="AC194" i="1"/>
  <c r="Z194" i="1"/>
  <c r="AD194" i="1"/>
  <c r="AA178" i="1"/>
  <c r="AB178" i="1"/>
  <c r="Y178" i="1"/>
  <c r="AC178" i="1"/>
  <c r="Z178" i="1"/>
  <c r="AD178" i="1"/>
  <c r="AA162" i="1"/>
  <c r="AB162" i="1"/>
  <c r="Y162" i="1"/>
  <c r="AC162" i="1"/>
  <c r="Z162" i="1"/>
  <c r="AD162" i="1"/>
  <c r="AA146" i="1"/>
  <c r="AB146" i="1"/>
  <c r="Y146" i="1"/>
  <c r="AC146" i="1"/>
  <c r="Z146" i="1"/>
  <c r="AD146" i="1"/>
  <c r="AA130" i="1"/>
  <c r="AB130" i="1"/>
  <c r="Y130" i="1"/>
  <c r="AC130" i="1"/>
  <c r="Z130" i="1"/>
  <c r="AD130" i="1"/>
  <c r="Z114" i="1"/>
  <c r="AD114" i="1"/>
  <c r="AB114" i="1"/>
  <c r="Y114" i="1"/>
  <c r="AA114" i="1"/>
  <c r="AC114" i="1"/>
  <c r="Z98" i="1"/>
  <c r="AD98" i="1"/>
  <c r="AA98" i="1"/>
  <c r="AB98" i="1"/>
  <c r="Y98" i="1"/>
  <c r="AC98" i="1"/>
  <c r="Z82" i="1"/>
  <c r="AD82" i="1"/>
  <c r="AA82" i="1"/>
  <c r="AB82" i="1"/>
  <c r="Y82" i="1"/>
  <c r="AC82" i="1"/>
  <c r="Y66" i="1"/>
  <c r="AC66" i="1"/>
  <c r="Z66" i="1"/>
  <c r="AD66" i="1"/>
  <c r="AA66" i="1"/>
  <c r="AB66" i="1"/>
  <c r="AB50" i="1"/>
  <c r="AA50" i="1"/>
  <c r="AC50" i="1"/>
  <c r="Y50" i="1"/>
  <c r="AD50" i="1"/>
  <c r="Z50" i="1"/>
  <c r="AB34" i="1"/>
  <c r="AA34" i="1"/>
  <c r="AC34" i="1"/>
  <c r="Y34" i="1"/>
  <c r="AD34" i="1"/>
  <c r="Z34" i="1"/>
  <c r="AA18" i="1"/>
  <c r="N20" i="5" s="1"/>
  <c r="AB18" i="1"/>
  <c r="O20" i="5" s="1"/>
  <c r="Y18" i="1"/>
  <c r="L20" i="5" s="1"/>
  <c r="Z18" i="1"/>
  <c r="M20" i="5" s="1"/>
  <c r="AC18" i="1"/>
  <c r="P20" i="5" s="1"/>
  <c r="AD18" i="1"/>
  <c r="Q20" i="5" s="1"/>
  <c r="Y21" i="1"/>
  <c r="AC21" i="1"/>
  <c r="Z21" i="1"/>
  <c r="AD21" i="1"/>
  <c r="AA21" i="1"/>
  <c r="AB21" i="1"/>
  <c r="AB85" i="1"/>
  <c r="Y85" i="1"/>
  <c r="AC85" i="1"/>
  <c r="Z85" i="1"/>
  <c r="AD85" i="1"/>
  <c r="AA85" i="1"/>
  <c r="Y149" i="1"/>
  <c r="AC149" i="1"/>
  <c r="Z149" i="1"/>
  <c r="AD149" i="1"/>
  <c r="AA149" i="1"/>
  <c r="AB149" i="1"/>
  <c r="Y213" i="1"/>
  <c r="AC213" i="1"/>
  <c r="AA213" i="1"/>
  <c r="Z213" i="1"/>
  <c r="AB213" i="1"/>
  <c r="AD213" i="1"/>
  <c r="AB277" i="1"/>
  <c r="Y277" i="1"/>
  <c r="AC277" i="1"/>
  <c r="Z277" i="1"/>
  <c r="AD277" i="1"/>
  <c r="AA277" i="1"/>
  <c r="AA320" i="1"/>
  <c r="AB320" i="1"/>
  <c r="Y320" i="1"/>
  <c r="AC320" i="1"/>
  <c r="Z320" i="1"/>
  <c r="AD320" i="1"/>
  <c r="AA352" i="1"/>
  <c r="AB352" i="1"/>
  <c r="Y352" i="1"/>
  <c r="AC352" i="1"/>
  <c r="Z352" i="1"/>
  <c r="AD352" i="1"/>
  <c r="AA384" i="1"/>
  <c r="Y384" i="1"/>
  <c r="AC384" i="1"/>
  <c r="AB384" i="1"/>
  <c r="AD384" i="1"/>
  <c r="Z384" i="1"/>
  <c r="AB416" i="1"/>
  <c r="Y416" i="1"/>
  <c r="AC416" i="1"/>
  <c r="Z416" i="1"/>
  <c r="AD416" i="1"/>
  <c r="AA416" i="1"/>
  <c r="AB448" i="1"/>
  <c r="Y448" i="1"/>
  <c r="AC448" i="1"/>
  <c r="Z448" i="1"/>
  <c r="AD448" i="1"/>
  <c r="AA448" i="1"/>
  <c r="AB480" i="1"/>
  <c r="Y480" i="1"/>
  <c r="AC480" i="1"/>
  <c r="Z480" i="1"/>
  <c r="AD480" i="1"/>
  <c r="AA480" i="1"/>
  <c r="AB512" i="1"/>
  <c r="Y512" i="1"/>
  <c r="AC512" i="1"/>
  <c r="Z512" i="1"/>
  <c r="AD512" i="1"/>
  <c r="AA512" i="1"/>
  <c r="AB544" i="1"/>
  <c r="Y544" i="1"/>
  <c r="AC544" i="1"/>
  <c r="Z544" i="1"/>
  <c r="AD544" i="1"/>
  <c r="AA544" i="1"/>
  <c r="AB576" i="1"/>
  <c r="Z576" i="1"/>
  <c r="AD576" i="1"/>
  <c r="AC576" i="1"/>
  <c r="Y576" i="1"/>
  <c r="AA576" i="1"/>
  <c r="AB608" i="1"/>
  <c r="Y608" i="1"/>
  <c r="AC608" i="1"/>
  <c r="Z608" i="1"/>
  <c r="AD608" i="1"/>
  <c r="AA608" i="1"/>
  <c r="AB626" i="1"/>
  <c r="Y626" i="1"/>
  <c r="AC626" i="1"/>
  <c r="Z626" i="1"/>
  <c r="AD626" i="1"/>
  <c r="AA626" i="1"/>
  <c r="AB642" i="1"/>
  <c r="Y642" i="1"/>
  <c r="AC642" i="1"/>
  <c r="Z642" i="1"/>
  <c r="AD642" i="1"/>
  <c r="AA642" i="1"/>
  <c r="AB658" i="1"/>
  <c r="Y658" i="1"/>
  <c r="AC658" i="1"/>
  <c r="Z658" i="1"/>
  <c r="AD658" i="1"/>
  <c r="AA658" i="1"/>
  <c r="AB674" i="1"/>
  <c r="Y674" i="1"/>
  <c r="AC674" i="1"/>
  <c r="Z674" i="1"/>
  <c r="AD674" i="1"/>
  <c r="AA674" i="1"/>
  <c r="AB690" i="1"/>
  <c r="Y690" i="1"/>
  <c r="AC690" i="1"/>
  <c r="Z690" i="1"/>
  <c r="AD690" i="1"/>
  <c r="AA690" i="1"/>
  <c r="AB706" i="1"/>
  <c r="Y706" i="1"/>
  <c r="AC706" i="1"/>
  <c r="Z706" i="1"/>
  <c r="AD706" i="1"/>
  <c r="AA706" i="1"/>
  <c r="AB722" i="1"/>
  <c r="Y722" i="1"/>
  <c r="AC722" i="1"/>
  <c r="Z722" i="1"/>
  <c r="AD722" i="1"/>
  <c r="AA722" i="1"/>
  <c r="AB738" i="1"/>
  <c r="Z738" i="1"/>
  <c r="AD738" i="1"/>
  <c r="Y738" i="1"/>
  <c r="AC738" i="1"/>
  <c r="AA738" i="1"/>
  <c r="AB754" i="1"/>
  <c r="Z754" i="1"/>
  <c r="AD754" i="1"/>
  <c r="AC754" i="1"/>
  <c r="Y754" i="1"/>
  <c r="AA754" i="1"/>
  <c r="AA770" i="1"/>
  <c r="AD770" i="1"/>
  <c r="AB770" i="1"/>
  <c r="Y770" i="1"/>
  <c r="AC770" i="1"/>
  <c r="Z770" i="1"/>
  <c r="AA786" i="1"/>
  <c r="AB786" i="1"/>
  <c r="AD786" i="1"/>
  <c r="Y786" i="1"/>
  <c r="AC786" i="1"/>
  <c r="Z786" i="1"/>
  <c r="AA802" i="1"/>
  <c r="Z802" i="1"/>
  <c r="AB802" i="1"/>
  <c r="AD802" i="1"/>
  <c r="Y802" i="1"/>
  <c r="AC802" i="1"/>
  <c r="AA818" i="1"/>
  <c r="Z818" i="1"/>
  <c r="AB818" i="1"/>
  <c r="AD818" i="1"/>
  <c r="Y818" i="1"/>
  <c r="AC818" i="1"/>
  <c r="AA834" i="1"/>
  <c r="AD834" i="1"/>
  <c r="AB834" i="1"/>
  <c r="Z834" i="1"/>
  <c r="Y834" i="1"/>
  <c r="AC834" i="1"/>
  <c r="AA850" i="1"/>
  <c r="AB850" i="1"/>
  <c r="Y850" i="1"/>
  <c r="AC850" i="1"/>
  <c r="AD850" i="1"/>
  <c r="Z850" i="1"/>
  <c r="AB105" i="1"/>
  <c r="Y105" i="1"/>
  <c r="AC105" i="1"/>
  <c r="Z105" i="1"/>
  <c r="AD105" i="1"/>
  <c r="AA105" i="1"/>
  <c r="AB297" i="1"/>
  <c r="Z297" i="1"/>
  <c r="AD297" i="1"/>
  <c r="Y297" i="1"/>
  <c r="AA297" i="1"/>
  <c r="AC297" i="1"/>
  <c r="Y329" i="1"/>
  <c r="AC329" i="1"/>
  <c r="Z329" i="1"/>
  <c r="AD329" i="1"/>
  <c r="AA329" i="1"/>
  <c r="AB329" i="1"/>
  <c r="Y393" i="1"/>
  <c r="AC393" i="1"/>
  <c r="AA393" i="1"/>
  <c r="AD393" i="1"/>
  <c r="Z393" i="1"/>
  <c r="AB393" i="1"/>
  <c r="Z425" i="1"/>
  <c r="AD425" i="1"/>
  <c r="AA425" i="1"/>
  <c r="AB425" i="1"/>
  <c r="Y425" i="1"/>
  <c r="AC425" i="1"/>
  <c r="Z457" i="1"/>
  <c r="AD457" i="1"/>
  <c r="AA457" i="1"/>
  <c r="AB457" i="1"/>
  <c r="Y457" i="1"/>
  <c r="AC457" i="1"/>
  <c r="Z489" i="1"/>
  <c r="AD489" i="1"/>
  <c r="AA489" i="1"/>
  <c r="AB489" i="1"/>
  <c r="Y489" i="1"/>
  <c r="AC489" i="1"/>
  <c r="Z521" i="1"/>
  <c r="AD521" i="1"/>
  <c r="AA521" i="1"/>
  <c r="AB521" i="1"/>
  <c r="Y521" i="1"/>
  <c r="AC521" i="1"/>
  <c r="Z553" i="1"/>
  <c r="AD553" i="1"/>
  <c r="AA553" i="1"/>
  <c r="AB553" i="1"/>
  <c r="Y553" i="1"/>
  <c r="AC553" i="1"/>
  <c r="Z585" i="1"/>
  <c r="AD585" i="1"/>
  <c r="AB585" i="1"/>
  <c r="Y585" i="1"/>
  <c r="AA585" i="1"/>
  <c r="AC585" i="1"/>
  <c r="Z615" i="1"/>
  <c r="AD615" i="1"/>
  <c r="AA615" i="1"/>
  <c r="AB615" i="1"/>
  <c r="AC615" i="1"/>
  <c r="Y615" i="1"/>
  <c r="Z631" i="1"/>
  <c r="AD631" i="1"/>
  <c r="AA631" i="1"/>
  <c r="AB631" i="1"/>
  <c r="AC631" i="1"/>
  <c r="Y631" i="1"/>
  <c r="Z647" i="1"/>
  <c r="AD647" i="1"/>
  <c r="AA647" i="1"/>
  <c r="AB647" i="1"/>
  <c r="AC647" i="1"/>
  <c r="Y647" i="1"/>
  <c r="Z663" i="1"/>
  <c r="AD663" i="1"/>
  <c r="AA663" i="1"/>
  <c r="AB663" i="1"/>
  <c r="AC663" i="1"/>
  <c r="Y663" i="1"/>
  <c r="Z679" i="1"/>
  <c r="AD679" i="1"/>
  <c r="AA679" i="1"/>
  <c r="AB679" i="1"/>
  <c r="AC679" i="1"/>
  <c r="Y679" i="1"/>
  <c r="Z695" i="1"/>
  <c r="AD695" i="1"/>
  <c r="AA695" i="1"/>
  <c r="AB695" i="1"/>
  <c r="AC695" i="1"/>
  <c r="Y695" i="1"/>
  <c r="Z711" i="1"/>
  <c r="AD711" i="1"/>
  <c r="AA711" i="1"/>
  <c r="AB711" i="1"/>
  <c r="AC711" i="1"/>
  <c r="Y711" i="1"/>
  <c r="Z727" i="1"/>
  <c r="AD727" i="1"/>
  <c r="AA727" i="1"/>
  <c r="AB727" i="1"/>
  <c r="AC727" i="1"/>
  <c r="Y727" i="1"/>
  <c r="Z743" i="1"/>
  <c r="AD743" i="1"/>
  <c r="AB743" i="1"/>
  <c r="Y743" i="1"/>
  <c r="AA743" i="1"/>
  <c r="AC743" i="1"/>
  <c r="Y759" i="1"/>
  <c r="AC759" i="1"/>
  <c r="Z759" i="1"/>
  <c r="AD759" i="1"/>
  <c r="AA759" i="1"/>
  <c r="AB759" i="1"/>
  <c r="Y775" i="1"/>
  <c r="AC775" i="1"/>
  <c r="Z775" i="1"/>
  <c r="AD775" i="1"/>
  <c r="AB775" i="1"/>
  <c r="AA775" i="1"/>
  <c r="Y791" i="1"/>
  <c r="AC791" i="1"/>
  <c r="AB791" i="1"/>
  <c r="Z791" i="1"/>
  <c r="AD791" i="1"/>
  <c r="AA791" i="1"/>
  <c r="Y807" i="1"/>
  <c r="AC807" i="1"/>
  <c r="Z807" i="1"/>
  <c r="AD807" i="1"/>
  <c r="AA807" i="1"/>
  <c r="AB807" i="1"/>
  <c r="Y823" i="1"/>
  <c r="AC823" i="1"/>
  <c r="AB823" i="1"/>
  <c r="Z823" i="1"/>
  <c r="AD823" i="1"/>
  <c r="AA823" i="1"/>
  <c r="Y839" i="1"/>
  <c r="AC839" i="1"/>
  <c r="Z839" i="1"/>
  <c r="AD839" i="1"/>
  <c r="AB839" i="1"/>
  <c r="AA839" i="1"/>
  <c r="Y13" i="1"/>
  <c r="L15" i="5" s="1"/>
  <c r="AC13" i="1"/>
  <c r="P15" i="5" s="1"/>
  <c r="Z13" i="1"/>
  <c r="M15" i="5" s="1"/>
  <c r="AD13" i="1"/>
  <c r="Q15" i="5" s="1"/>
  <c r="AA13" i="1"/>
  <c r="N15" i="5" s="1"/>
  <c r="AB13" i="1"/>
  <c r="O15" i="5" s="1"/>
  <c r="AA77" i="1"/>
  <c r="Y77" i="1"/>
  <c r="Z77" i="1"/>
  <c r="AB77" i="1"/>
  <c r="AC77" i="1"/>
  <c r="AD77" i="1"/>
  <c r="Y141" i="1"/>
  <c r="AC141" i="1"/>
  <c r="Z141" i="1"/>
  <c r="AD141" i="1"/>
  <c r="AA141" i="1"/>
  <c r="AB141" i="1"/>
  <c r="Y205" i="1"/>
  <c r="AC205" i="1"/>
  <c r="AA205" i="1"/>
  <c r="Z205" i="1"/>
  <c r="AB205" i="1"/>
  <c r="AD205" i="1"/>
  <c r="AB269" i="1"/>
  <c r="Y269" i="1"/>
  <c r="AC269" i="1"/>
  <c r="Z269" i="1"/>
  <c r="AD269" i="1"/>
  <c r="AA269" i="1"/>
  <c r="AA316" i="1"/>
  <c r="AB316" i="1"/>
  <c r="Y316" i="1"/>
  <c r="AC316" i="1"/>
  <c r="Z316" i="1"/>
  <c r="AD316" i="1"/>
  <c r="AA348" i="1"/>
  <c r="AB348" i="1"/>
  <c r="Y348" i="1"/>
  <c r="AC348" i="1"/>
  <c r="Z348" i="1"/>
  <c r="AD348" i="1"/>
  <c r="AA380" i="1"/>
  <c r="AB380" i="1"/>
  <c r="Y380" i="1"/>
  <c r="AC380" i="1"/>
  <c r="Z380" i="1"/>
  <c r="AD380" i="1"/>
  <c r="AB412" i="1"/>
  <c r="Y412" i="1"/>
  <c r="AC412" i="1"/>
  <c r="Z412" i="1"/>
  <c r="AD412" i="1"/>
  <c r="AA412" i="1"/>
  <c r="AB444" i="1"/>
  <c r="Y444" i="1"/>
  <c r="AC444" i="1"/>
  <c r="Z444" i="1"/>
  <c r="AD444" i="1"/>
  <c r="AA444" i="1"/>
  <c r="AB476" i="1"/>
  <c r="Y476" i="1"/>
  <c r="AC476" i="1"/>
  <c r="Z476" i="1"/>
  <c r="AD476" i="1"/>
  <c r="AA476" i="1"/>
  <c r="AB508" i="1"/>
  <c r="Y508" i="1"/>
  <c r="AC508" i="1"/>
  <c r="Z508" i="1"/>
  <c r="AD508" i="1"/>
  <c r="AA508" i="1"/>
  <c r="AB540" i="1"/>
  <c r="Y540" i="1"/>
  <c r="AC540" i="1"/>
  <c r="Z540" i="1"/>
  <c r="AD540" i="1"/>
  <c r="AA540" i="1"/>
  <c r="AB572" i="1"/>
  <c r="Z572" i="1"/>
  <c r="AD572" i="1"/>
  <c r="AC572" i="1"/>
  <c r="Y572" i="1"/>
  <c r="AA572" i="1"/>
  <c r="AB604" i="1"/>
  <c r="Y604" i="1"/>
  <c r="AC604" i="1"/>
  <c r="Z604" i="1"/>
  <c r="AD604" i="1"/>
  <c r="AA604" i="1"/>
  <c r="AB624" i="1"/>
  <c r="Y624" i="1"/>
  <c r="AC624" i="1"/>
  <c r="Z624" i="1"/>
  <c r="AD624" i="1"/>
  <c r="AA624" i="1"/>
  <c r="AB640" i="1"/>
  <c r="Y640" i="1"/>
  <c r="AC640" i="1"/>
  <c r="Z640" i="1"/>
  <c r="AD640" i="1"/>
  <c r="AA640" i="1"/>
  <c r="AB656" i="1"/>
  <c r="Y656" i="1"/>
  <c r="AC656" i="1"/>
  <c r="Z656" i="1"/>
  <c r="AD656" i="1"/>
  <c r="AA656" i="1"/>
  <c r="AB672" i="1"/>
  <c r="Y672" i="1"/>
  <c r="AC672" i="1"/>
  <c r="Z672" i="1"/>
  <c r="AD672" i="1"/>
  <c r="AA672" i="1"/>
  <c r="AB688" i="1"/>
  <c r="Y688" i="1"/>
  <c r="AC688" i="1"/>
  <c r="Z688" i="1"/>
  <c r="AD688" i="1"/>
  <c r="AA688" i="1"/>
  <c r="AB704" i="1"/>
  <c r="Y704" i="1"/>
  <c r="AC704" i="1"/>
  <c r="Z704" i="1"/>
  <c r="AD704" i="1"/>
  <c r="AA704" i="1"/>
  <c r="AB720" i="1"/>
  <c r="Y720" i="1"/>
  <c r="AC720" i="1"/>
  <c r="Z720" i="1"/>
  <c r="AD720" i="1"/>
  <c r="AA720" i="1"/>
  <c r="AB736" i="1"/>
  <c r="Y736" i="1"/>
  <c r="AC736" i="1"/>
  <c r="Z736" i="1"/>
  <c r="AD736" i="1"/>
  <c r="AA736" i="1"/>
  <c r="AB752" i="1"/>
  <c r="Z752" i="1"/>
  <c r="AD752" i="1"/>
  <c r="AA752" i="1"/>
  <c r="AC752" i="1"/>
  <c r="Y752" i="1"/>
  <c r="AA768" i="1"/>
  <c r="AD768" i="1"/>
  <c r="AB768" i="1"/>
  <c r="Z768" i="1"/>
  <c r="Y768" i="1"/>
  <c r="AC768" i="1"/>
  <c r="AA784" i="1"/>
  <c r="AB784" i="1"/>
  <c r="AD784" i="1"/>
  <c r="Y784" i="1"/>
  <c r="AC784" i="1"/>
  <c r="Z784" i="1"/>
  <c r="AA800" i="1"/>
  <c r="AD800" i="1"/>
  <c r="AB800" i="1"/>
  <c r="Z800" i="1"/>
  <c r="Y800" i="1"/>
  <c r="AC800" i="1"/>
  <c r="AA816" i="1"/>
  <c r="AD816" i="1"/>
  <c r="AB816" i="1"/>
  <c r="Z816" i="1"/>
  <c r="Y816" i="1"/>
  <c r="AC816" i="1"/>
  <c r="AA832" i="1"/>
  <c r="Z832" i="1"/>
  <c r="AB832" i="1"/>
  <c r="AD832" i="1"/>
  <c r="Y832" i="1"/>
  <c r="AC832" i="1"/>
  <c r="AA848" i="1"/>
  <c r="Z848" i="1"/>
  <c r="AB848" i="1"/>
  <c r="Y848" i="1"/>
  <c r="AC848" i="1"/>
  <c r="AD848" i="1"/>
  <c r="Z49" i="1"/>
  <c r="AD49" i="1"/>
  <c r="AB49" i="1"/>
  <c r="AC49" i="1"/>
  <c r="Y49" i="1"/>
  <c r="AA49" i="1"/>
  <c r="AB113" i="1"/>
  <c r="Z113" i="1"/>
  <c r="AD113" i="1"/>
  <c r="Y113" i="1"/>
  <c r="AA113" i="1"/>
  <c r="AC113" i="1"/>
  <c r="Y177" i="1"/>
  <c r="AC177" i="1"/>
  <c r="Z177" i="1"/>
  <c r="AD177" i="1"/>
  <c r="AA177" i="1"/>
  <c r="AB177" i="1"/>
  <c r="AB241" i="1"/>
  <c r="Y241" i="1"/>
  <c r="AC241" i="1"/>
  <c r="Z241" i="1"/>
  <c r="AD241" i="1"/>
  <c r="AA241" i="1"/>
  <c r="Y301" i="1"/>
  <c r="AC301" i="1"/>
  <c r="Z301" i="1"/>
  <c r="AD301" i="1"/>
  <c r="AA301" i="1"/>
  <c r="AB301" i="1"/>
  <c r="Y333" i="1"/>
  <c r="AC333" i="1"/>
  <c r="Z333" i="1"/>
  <c r="AD333" i="1"/>
  <c r="AA333" i="1"/>
  <c r="AB333" i="1"/>
  <c r="Y365" i="1"/>
  <c r="AC365" i="1"/>
  <c r="Z365" i="1"/>
  <c r="AD365" i="1"/>
  <c r="AA365" i="1"/>
  <c r="AB365" i="1"/>
  <c r="Y397" i="1"/>
  <c r="AC397" i="1"/>
  <c r="AA397" i="1"/>
  <c r="AD397" i="1"/>
  <c r="Z397" i="1"/>
  <c r="AB397" i="1"/>
  <c r="Z429" i="1"/>
  <c r="AD429" i="1"/>
  <c r="AA429" i="1"/>
  <c r="AB429" i="1"/>
  <c r="Y429" i="1"/>
  <c r="AC429" i="1"/>
  <c r="Z461" i="1"/>
  <c r="AD461" i="1"/>
  <c r="AA461" i="1"/>
  <c r="AB461" i="1"/>
  <c r="Y461" i="1"/>
  <c r="AC461" i="1"/>
  <c r="Z493" i="1"/>
  <c r="AD493" i="1"/>
  <c r="AA493" i="1"/>
  <c r="AB493" i="1"/>
  <c r="Y493" i="1"/>
  <c r="AC493" i="1"/>
  <c r="Z525" i="1"/>
  <c r="AD525" i="1"/>
  <c r="AA525" i="1"/>
  <c r="AB525" i="1"/>
  <c r="Y525" i="1"/>
  <c r="AC525" i="1"/>
  <c r="Z557" i="1"/>
  <c r="AD557" i="1"/>
  <c r="AA557" i="1"/>
  <c r="AB557" i="1"/>
  <c r="Y557" i="1"/>
  <c r="AC557" i="1"/>
  <c r="Z589" i="1"/>
  <c r="AD589" i="1"/>
  <c r="AA589" i="1"/>
  <c r="AB589" i="1"/>
  <c r="Y589" i="1"/>
  <c r="AC589" i="1"/>
  <c r="Z617" i="1"/>
  <c r="AD617" i="1"/>
  <c r="AA617" i="1"/>
  <c r="AB617" i="1"/>
  <c r="AC617" i="1"/>
  <c r="Y617" i="1"/>
  <c r="Z633" i="1"/>
  <c r="AD633" i="1"/>
  <c r="AA633" i="1"/>
  <c r="AB633" i="1"/>
  <c r="AC633" i="1"/>
  <c r="Y633" i="1"/>
  <c r="Z649" i="1"/>
  <c r="AD649" i="1"/>
  <c r="AA649" i="1"/>
  <c r="AB649" i="1"/>
  <c r="AC649" i="1"/>
  <c r="Y649" i="1"/>
  <c r="Z665" i="1"/>
  <c r="AD665" i="1"/>
  <c r="AA665" i="1"/>
  <c r="AB665" i="1"/>
  <c r="AC665" i="1"/>
  <c r="Y665" i="1"/>
  <c r="Z681" i="1"/>
  <c r="AD681" i="1"/>
  <c r="AA681" i="1"/>
  <c r="AB681" i="1"/>
  <c r="AC681" i="1"/>
  <c r="Y681" i="1"/>
  <c r="Z697" i="1"/>
  <c r="AD697" i="1"/>
  <c r="AA697" i="1"/>
  <c r="AB697" i="1"/>
  <c r="AC697" i="1"/>
  <c r="Y697" i="1"/>
  <c r="Z713" i="1"/>
  <c r="AD713" i="1"/>
  <c r="AA713" i="1"/>
  <c r="AB713" i="1"/>
  <c r="AC713" i="1"/>
  <c r="Y713" i="1"/>
  <c r="Z729" i="1"/>
  <c r="AD729" i="1"/>
  <c r="AA729" i="1"/>
  <c r="AB729" i="1"/>
  <c r="Y729" i="1"/>
  <c r="AC729" i="1"/>
  <c r="Z745" i="1"/>
  <c r="AD745" i="1"/>
  <c r="AB745" i="1"/>
  <c r="AC745" i="1"/>
  <c r="Y745" i="1"/>
  <c r="AA745" i="1"/>
  <c r="Y761" i="1"/>
  <c r="AC761" i="1"/>
  <c r="Z761" i="1"/>
  <c r="AD761" i="1"/>
  <c r="AB761" i="1"/>
  <c r="AA761" i="1"/>
  <c r="Y777" i="1"/>
  <c r="AC777" i="1"/>
  <c r="Z777" i="1"/>
  <c r="AD777" i="1"/>
  <c r="AB777" i="1"/>
  <c r="AA777" i="1"/>
  <c r="Y793" i="1"/>
  <c r="AC793" i="1"/>
  <c r="AB793" i="1"/>
  <c r="Z793" i="1"/>
  <c r="AD793" i="1"/>
  <c r="AA793" i="1"/>
  <c r="Y809" i="1"/>
  <c r="AC809" i="1"/>
  <c r="Z809" i="1"/>
  <c r="AD809" i="1"/>
  <c r="AA809" i="1"/>
  <c r="AB809" i="1"/>
  <c r="Y825" i="1"/>
  <c r="AC825" i="1"/>
  <c r="Z825" i="1"/>
  <c r="AD825" i="1"/>
  <c r="AB825" i="1"/>
  <c r="AA825" i="1"/>
  <c r="Y841" i="1"/>
  <c r="AC841" i="1"/>
  <c r="AB841" i="1"/>
  <c r="Z841" i="1"/>
  <c r="AD841" i="1"/>
  <c r="AA841" i="1"/>
  <c r="Z296" i="1"/>
  <c r="AD296" i="1"/>
  <c r="AB296" i="1"/>
  <c r="Y296" i="1"/>
  <c r="AA296" i="1"/>
  <c r="AC296" i="1"/>
  <c r="Z280" i="1"/>
  <c r="AD280" i="1"/>
  <c r="AA280" i="1"/>
  <c r="AB280" i="1"/>
  <c r="Y280" i="1"/>
  <c r="AC280" i="1"/>
  <c r="Z264" i="1"/>
  <c r="AD264" i="1"/>
  <c r="AA264" i="1"/>
  <c r="AB264" i="1"/>
  <c r="Y264" i="1"/>
  <c r="AC264" i="1"/>
  <c r="Z248" i="1"/>
  <c r="AD248" i="1"/>
  <c r="AA248" i="1"/>
  <c r="AB248" i="1"/>
  <c r="Y248" i="1"/>
  <c r="AC248" i="1"/>
  <c r="Z232" i="1"/>
  <c r="AD232" i="1"/>
  <c r="AA232" i="1"/>
  <c r="AB232" i="1"/>
  <c r="Y232" i="1"/>
  <c r="AC232" i="1"/>
  <c r="AA216" i="1"/>
  <c r="Y216" i="1"/>
  <c r="AC216" i="1"/>
  <c r="Z216" i="1"/>
  <c r="AB216" i="1"/>
  <c r="AD216" i="1"/>
  <c r="AA200" i="1"/>
  <c r="AB200" i="1"/>
  <c r="Y200" i="1"/>
  <c r="AC200" i="1"/>
  <c r="Z200" i="1"/>
  <c r="AD200" i="1"/>
  <c r="AA184" i="1"/>
  <c r="AB184" i="1"/>
  <c r="Y184" i="1"/>
  <c r="AC184" i="1"/>
  <c r="Z184" i="1"/>
  <c r="AD184" i="1"/>
  <c r="AA168" i="1"/>
  <c r="AB168" i="1"/>
  <c r="Y168" i="1"/>
  <c r="AC168" i="1"/>
  <c r="Z168" i="1"/>
  <c r="AD168" i="1"/>
  <c r="AA152" i="1"/>
  <c r="AB152" i="1"/>
  <c r="Y152" i="1"/>
  <c r="AC152" i="1"/>
  <c r="Z152" i="1"/>
  <c r="AD152" i="1"/>
  <c r="AA136" i="1"/>
  <c r="AB136" i="1"/>
  <c r="Y136" i="1"/>
  <c r="AC136" i="1"/>
  <c r="Z136" i="1"/>
  <c r="AD136" i="1"/>
  <c r="Z120" i="1"/>
  <c r="AD120" i="1"/>
  <c r="AB120" i="1"/>
  <c r="AC120" i="1"/>
  <c r="Y120" i="1"/>
  <c r="AA120" i="1"/>
  <c r="Z104" i="1"/>
  <c r="AD104" i="1"/>
  <c r="AA104" i="1"/>
  <c r="AB104" i="1"/>
  <c r="AC104" i="1"/>
  <c r="Y104" i="1"/>
  <c r="Z88" i="1"/>
  <c r="AD88" i="1"/>
  <c r="AA88" i="1"/>
  <c r="AB88" i="1"/>
  <c r="AC88" i="1"/>
  <c r="Y88" i="1"/>
  <c r="Y72" i="1"/>
  <c r="AC72" i="1"/>
  <c r="Z72" i="1"/>
  <c r="AD72" i="1"/>
  <c r="AA72" i="1"/>
  <c r="AB72" i="1"/>
  <c r="AB56" i="1"/>
  <c r="AC56" i="1"/>
  <c r="Y56" i="1"/>
  <c r="AD56" i="1"/>
  <c r="Z56" i="1"/>
  <c r="AA56" i="1"/>
  <c r="AB40" i="1"/>
  <c r="AC40" i="1"/>
  <c r="Y40" i="1"/>
  <c r="AD40" i="1"/>
  <c r="Z40" i="1"/>
  <c r="AA40" i="1"/>
  <c r="AA24" i="1"/>
  <c r="AB24" i="1"/>
  <c r="AC24" i="1"/>
  <c r="AD24" i="1"/>
  <c r="Y24" i="1"/>
  <c r="Z24" i="1"/>
  <c r="AA8" i="1"/>
  <c r="N10" i="5" s="1"/>
  <c r="AB8" i="1"/>
  <c r="O10" i="5" s="1"/>
  <c r="AC8" i="1"/>
  <c r="P10" i="5" s="1"/>
  <c r="AD8" i="1"/>
  <c r="Q10" i="5" s="1"/>
  <c r="Y8" i="1"/>
  <c r="L10" i="5" s="1"/>
  <c r="Z8" i="1"/>
  <c r="M10" i="5" s="1"/>
  <c r="Z599" i="1"/>
  <c r="AD599" i="1"/>
  <c r="AA599" i="1"/>
  <c r="AB599" i="1"/>
  <c r="AC599" i="1"/>
  <c r="Y599" i="1"/>
  <c r="Z583" i="1"/>
  <c r="AD583" i="1"/>
  <c r="AB583" i="1"/>
  <c r="AA583" i="1"/>
  <c r="AC583" i="1"/>
  <c r="Y583" i="1"/>
  <c r="Z567" i="1"/>
  <c r="AD567" i="1"/>
  <c r="AA567" i="1"/>
  <c r="AB567" i="1"/>
  <c r="AC567" i="1"/>
  <c r="Y567" i="1"/>
  <c r="Z551" i="1"/>
  <c r="AD551" i="1"/>
  <c r="AA551" i="1"/>
  <c r="AB551" i="1"/>
  <c r="AC551" i="1"/>
  <c r="Y551" i="1"/>
  <c r="Z535" i="1"/>
  <c r="AD535" i="1"/>
  <c r="AA535" i="1"/>
  <c r="AB535" i="1"/>
  <c r="AC535" i="1"/>
  <c r="Y535" i="1"/>
  <c r="Z519" i="1"/>
  <c r="AD519" i="1"/>
  <c r="AA519" i="1"/>
  <c r="AB519" i="1"/>
  <c r="AC519" i="1"/>
  <c r="Y519" i="1"/>
  <c r="Z503" i="1"/>
  <c r="AD503" i="1"/>
  <c r="AA503" i="1"/>
  <c r="AB503" i="1"/>
  <c r="AC503" i="1"/>
  <c r="Y503" i="1"/>
  <c r="Z487" i="1"/>
  <c r="AD487" i="1"/>
  <c r="AA487" i="1"/>
  <c r="AB487" i="1"/>
  <c r="AC487" i="1"/>
  <c r="Y487" i="1"/>
  <c r="Z471" i="1"/>
  <c r="AD471" i="1"/>
  <c r="AA471" i="1"/>
  <c r="AB471" i="1"/>
  <c r="AC471" i="1"/>
  <c r="Y471" i="1"/>
  <c r="Z455" i="1"/>
  <c r="AD455" i="1"/>
  <c r="AA455" i="1"/>
  <c r="AB455" i="1"/>
  <c r="AC455" i="1"/>
  <c r="Y455" i="1"/>
  <c r="Z439" i="1"/>
  <c r="AD439" i="1"/>
  <c r="AA439" i="1"/>
  <c r="AB439" i="1"/>
  <c r="AC439" i="1"/>
  <c r="Y439" i="1"/>
  <c r="Z423" i="1"/>
  <c r="AD423" i="1"/>
  <c r="AA423" i="1"/>
  <c r="AB423" i="1"/>
  <c r="AC423" i="1"/>
  <c r="Y423" i="1"/>
  <c r="Z407" i="1"/>
  <c r="AD407" i="1"/>
  <c r="AA407" i="1"/>
  <c r="AB407" i="1"/>
  <c r="AC407" i="1"/>
  <c r="Y407" i="1"/>
  <c r="Y391" i="1"/>
  <c r="AC391" i="1"/>
  <c r="AA391" i="1"/>
  <c r="Z391" i="1"/>
  <c r="AB391" i="1"/>
  <c r="AD391" i="1"/>
  <c r="Y375" i="1"/>
  <c r="AC375" i="1"/>
  <c r="Z375" i="1"/>
  <c r="AD375" i="1"/>
  <c r="AA375" i="1"/>
  <c r="AB375" i="1"/>
  <c r="Y359" i="1"/>
  <c r="AC359" i="1"/>
  <c r="Z359" i="1"/>
  <c r="AD359" i="1"/>
  <c r="AA359" i="1"/>
  <c r="AB359" i="1"/>
  <c r="Y343" i="1"/>
  <c r="AC343" i="1"/>
  <c r="Z343" i="1"/>
  <c r="AD343" i="1"/>
  <c r="AA343" i="1"/>
  <c r="AB343" i="1"/>
  <c r="Y327" i="1"/>
  <c r="AC327" i="1"/>
  <c r="Z327" i="1"/>
  <c r="AD327" i="1"/>
  <c r="AA327" i="1"/>
  <c r="AB327" i="1"/>
  <c r="Y311" i="1"/>
  <c r="AC311" i="1"/>
  <c r="Z311" i="1"/>
  <c r="AD311" i="1"/>
  <c r="AA311" i="1"/>
  <c r="AB311" i="1"/>
  <c r="AB295" i="1"/>
  <c r="Z295" i="1"/>
  <c r="AD295" i="1"/>
  <c r="AC295" i="1"/>
  <c r="Y295" i="1"/>
  <c r="AA295" i="1"/>
  <c r="AB279" i="1"/>
  <c r="Y279" i="1"/>
  <c r="AC279" i="1"/>
  <c r="Z279" i="1"/>
  <c r="AD279" i="1"/>
  <c r="AA279" i="1"/>
  <c r="AB263" i="1"/>
  <c r="Y263" i="1"/>
  <c r="AC263" i="1"/>
  <c r="Z263" i="1"/>
  <c r="AD263" i="1"/>
  <c r="AA263" i="1"/>
  <c r="AB247" i="1"/>
  <c r="Y247" i="1"/>
  <c r="AC247" i="1"/>
  <c r="Z247" i="1"/>
  <c r="AD247" i="1"/>
  <c r="AA247" i="1"/>
  <c r="AB231" i="1"/>
  <c r="Y231" i="1"/>
  <c r="AC231" i="1"/>
  <c r="Z231" i="1"/>
  <c r="AD231" i="1"/>
  <c r="AA231" i="1"/>
  <c r="Y215" i="1"/>
  <c r="AC215" i="1"/>
  <c r="AA215" i="1"/>
  <c r="AD215" i="1"/>
  <c r="Z215" i="1"/>
  <c r="AB215" i="1"/>
  <c r="Y199" i="1"/>
  <c r="AC199" i="1"/>
  <c r="Z199" i="1"/>
  <c r="AD199" i="1"/>
  <c r="AA199" i="1"/>
  <c r="AB199" i="1"/>
  <c r="Y183" i="1"/>
  <c r="AC183" i="1"/>
  <c r="Z183" i="1"/>
  <c r="AD183" i="1"/>
  <c r="AA183" i="1"/>
  <c r="AB183" i="1"/>
  <c r="Y167" i="1"/>
  <c r="AC167" i="1"/>
  <c r="Z167" i="1"/>
  <c r="AD167" i="1"/>
  <c r="AA167" i="1"/>
  <c r="AB167" i="1"/>
  <c r="Y151" i="1"/>
  <c r="AC151" i="1"/>
  <c r="Z151" i="1"/>
  <c r="AD151" i="1"/>
  <c r="AA151" i="1"/>
  <c r="AB151" i="1"/>
  <c r="Y135" i="1"/>
  <c r="AC135" i="1"/>
  <c r="Z135" i="1"/>
  <c r="AD135" i="1"/>
  <c r="AA135" i="1"/>
  <c r="AB135" i="1"/>
  <c r="AB119" i="1"/>
  <c r="Z119" i="1"/>
  <c r="AD119" i="1"/>
  <c r="AA119" i="1"/>
  <c r="AC119" i="1"/>
  <c r="Y119" i="1"/>
  <c r="AB103" i="1"/>
  <c r="Y103" i="1"/>
  <c r="AC103" i="1"/>
  <c r="Z103" i="1"/>
  <c r="AD103" i="1"/>
  <c r="AA103" i="1"/>
  <c r="AB87" i="1"/>
  <c r="Y87" i="1"/>
  <c r="AC87" i="1"/>
  <c r="Z87" i="1"/>
  <c r="AD87" i="1"/>
  <c r="AA87" i="1"/>
  <c r="AA71" i="1"/>
  <c r="AB71" i="1"/>
  <c r="Y71" i="1"/>
  <c r="AC71" i="1"/>
  <c r="Z71" i="1"/>
  <c r="AD71" i="1"/>
  <c r="Z55" i="1"/>
  <c r="AD55" i="1"/>
  <c r="AC55" i="1"/>
  <c r="Y55" i="1"/>
  <c r="AA55" i="1"/>
  <c r="AB55" i="1"/>
  <c r="Z39" i="1"/>
  <c r="AD39" i="1"/>
  <c r="AC39" i="1"/>
  <c r="Y39" i="1"/>
  <c r="AA39" i="1"/>
  <c r="AB39" i="1"/>
  <c r="Y23" i="1"/>
  <c r="AC23" i="1"/>
  <c r="Z23" i="1"/>
  <c r="AD23" i="1"/>
  <c r="AA23" i="1"/>
  <c r="AB23" i="1"/>
  <c r="Y7" i="1"/>
  <c r="L9" i="5" s="1"/>
  <c r="AC7" i="1"/>
  <c r="P9" i="5" s="1"/>
  <c r="Z7" i="1"/>
  <c r="M9" i="5" s="1"/>
  <c r="AD7" i="1"/>
  <c r="Q9" i="5" s="1"/>
  <c r="AA7" i="1"/>
  <c r="N9" i="5" s="1"/>
  <c r="AB7" i="1"/>
  <c r="O9" i="5" s="1"/>
  <c r="AB606" i="1"/>
  <c r="Y606" i="1"/>
  <c r="AC606" i="1"/>
  <c r="Z606" i="1"/>
  <c r="AD606" i="1"/>
  <c r="AA606" i="1"/>
  <c r="AB590" i="1"/>
  <c r="Y590" i="1"/>
  <c r="AC590" i="1"/>
  <c r="Z590" i="1"/>
  <c r="AD590" i="1"/>
  <c r="AA590" i="1"/>
  <c r="AB574" i="1"/>
  <c r="Z574" i="1"/>
  <c r="AD574" i="1"/>
  <c r="Y574" i="1"/>
  <c r="AA574" i="1"/>
  <c r="AC574" i="1"/>
  <c r="AB558" i="1"/>
  <c r="Y558" i="1"/>
  <c r="AC558" i="1"/>
  <c r="Z558" i="1"/>
  <c r="AD558" i="1"/>
  <c r="AA558" i="1"/>
  <c r="AB542" i="1"/>
  <c r="Y542" i="1"/>
  <c r="AC542" i="1"/>
  <c r="Z542" i="1"/>
  <c r="AD542" i="1"/>
  <c r="AA542" i="1"/>
  <c r="AB526" i="1"/>
  <c r="Y526" i="1"/>
  <c r="AC526" i="1"/>
  <c r="Z526" i="1"/>
  <c r="AD526" i="1"/>
  <c r="AA526" i="1"/>
  <c r="AB510" i="1"/>
  <c r="Y510" i="1"/>
  <c r="AC510" i="1"/>
  <c r="Z510" i="1"/>
  <c r="AD510" i="1"/>
  <c r="AA510" i="1"/>
  <c r="AB494" i="1"/>
  <c r="Y494" i="1"/>
  <c r="AC494" i="1"/>
  <c r="Z494" i="1"/>
  <c r="AD494" i="1"/>
  <c r="AA494" i="1"/>
  <c r="AB478" i="1"/>
  <c r="Y478" i="1"/>
  <c r="AC478" i="1"/>
  <c r="Z478" i="1"/>
  <c r="AD478" i="1"/>
  <c r="AA478" i="1"/>
  <c r="AB462" i="1"/>
  <c r="Y462" i="1"/>
  <c r="AC462" i="1"/>
  <c r="Z462" i="1"/>
  <c r="AD462" i="1"/>
  <c r="AA462" i="1"/>
  <c r="AB446" i="1"/>
  <c r="Y446" i="1"/>
  <c r="AC446" i="1"/>
  <c r="Z446" i="1"/>
  <c r="AD446" i="1"/>
  <c r="AA446" i="1"/>
  <c r="AB430" i="1"/>
  <c r="Y430" i="1"/>
  <c r="AC430" i="1"/>
  <c r="Z430" i="1"/>
  <c r="AD430" i="1"/>
  <c r="AA430" i="1"/>
  <c r="AB414" i="1"/>
  <c r="Y414" i="1"/>
  <c r="AC414" i="1"/>
  <c r="Z414" i="1"/>
  <c r="AD414" i="1"/>
  <c r="AA414" i="1"/>
  <c r="AA398" i="1"/>
  <c r="Y398" i="1"/>
  <c r="AC398" i="1"/>
  <c r="Z398" i="1"/>
  <c r="AB398" i="1"/>
  <c r="AD398" i="1"/>
  <c r="AA382" i="1"/>
  <c r="Y382" i="1"/>
  <c r="AC382" i="1"/>
  <c r="Z382" i="1"/>
  <c r="AB382" i="1"/>
  <c r="AD382" i="1"/>
  <c r="AA366" i="1"/>
  <c r="AB366" i="1"/>
  <c r="Y366" i="1"/>
  <c r="AC366" i="1"/>
  <c r="AD366" i="1"/>
  <c r="Z366" i="1"/>
  <c r="AA350" i="1"/>
  <c r="AB350" i="1"/>
  <c r="Y350" i="1"/>
  <c r="AC350" i="1"/>
  <c r="AD350" i="1"/>
  <c r="Z350" i="1"/>
  <c r="AA334" i="1"/>
  <c r="AB334" i="1"/>
  <c r="Y334" i="1"/>
  <c r="AC334" i="1"/>
  <c r="AD334" i="1"/>
  <c r="Z334" i="1"/>
  <c r="AA318" i="1"/>
  <c r="AB318" i="1"/>
  <c r="Y318" i="1"/>
  <c r="AC318" i="1"/>
  <c r="AD318" i="1"/>
  <c r="Z318" i="1"/>
  <c r="AA302" i="1"/>
  <c r="AB302" i="1"/>
  <c r="Y302" i="1"/>
  <c r="AC302" i="1"/>
  <c r="AD302" i="1"/>
  <c r="Z302" i="1"/>
  <c r="Z286" i="1"/>
  <c r="AD286" i="1"/>
  <c r="AB286" i="1"/>
  <c r="AA286" i="1"/>
  <c r="AC286" i="1"/>
  <c r="Y286" i="1"/>
  <c r="Z270" i="1"/>
  <c r="AD270" i="1"/>
  <c r="AA270" i="1"/>
  <c r="AB270" i="1"/>
  <c r="Y270" i="1"/>
  <c r="AC270" i="1"/>
  <c r="Z254" i="1"/>
  <c r="AD254" i="1"/>
  <c r="AA254" i="1"/>
  <c r="AB254" i="1"/>
  <c r="Y254" i="1"/>
  <c r="AC254" i="1"/>
  <c r="Z238" i="1"/>
  <c r="AD238" i="1"/>
  <c r="AA238" i="1"/>
  <c r="AB238" i="1"/>
  <c r="Y238" i="1"/>
  <c r="AC238" i="1"/>
  <c r="Z222" i="1"/>
  <c r="AD222" i="1"/>
  <c r="AA222" i="1"/>
  <c r="AB222" i="1"/>
  <c r="Y222" i="1"/>
  <c r="AC222" i="1"/>
  <c r="AA206" i="1"/>
  <c r="Y206" i="1"/>
  <c r="AC206" i="1"/>
  <c r="AB206" i="1"/>
  <c r="AD206" i="1"/>
  <c r="Z206" i="1"/>
  <c r="AA190" i="1"/>
  <c r="AB190" i="1"/>
  <c r="Y190" i="1"/>
  <c r="AC190" i="1"/>
  <c r="AD190" i="1"/>
  <c r="Z190" i="1"/>
  <c r="AA174" i="1"/>
  <c r="AB174" i="1"/>
  <c r="Y174" i="1"/>
  <c r="AC174" i="1"/>
  <c r="AD174" i="1"/>
  <c r="Z174" i="1"/>
  <c r="AA158" i="1"/>
  <c r="AB158" i="1"/>
  <c r="Y158" i="1"/>
  <c r="AC158" i="1"/>
  <c r="AD158" i="1"/>
  <c r="Z158" i="1"/>
  <c r="AA142" i="1"/>
  <c r="AB142" i="1"/>
  <c r="Y142" i="1"/>
  <c r="AC142" i="1"/>
  <c r="AD142" i="1"/>
  <c r="Z142" i="1"/>
  <c r="AA126" i="1"/>
  <c r="AB126" i="1"/>
  <c r="Y126" i="1"/>
  <c r="AC126" i="1"/>
  <c r="AD126" i="1"/>
  <c r="Z126" i="1"/>
  <c r="Z110" i="1"/>
  <c r="AD110" i="1"/>
  <c r="AA110" i="1"/>
  <c r="AB110" i="1"/>
  <c r="Y110" i="1"/>
  <c r="AC110" i="1"/>
  <c r="Z94" i="1"/>
  <c r="AD94" i="1"/>
  <c r="AA94" i="1"/>
  <c r="AB94" i="1"/>
  <c r="Y94" i="1"/>
  <c r="AC94" i="1"/>
  <c r="Y78" i="1"/>
  <c r="AC78" i="1"/>
  <c r="Z78" i="1"/>
  <c r="AA78" i="1"/>
  <c r="AB78" i="1"/>
  <c r="AD78" i="1"/>
  <c r="Y62" i="1"/>
  <c r="AC62" i="1"/>
  <c r="Z62" i="1"/>
  <c r="AD62" i="1"/>
  <c r="AA62" i="1"/>
  <c r="AB62" i="1"/>
  <c r="AB46" i="1"/>
  <c r="Y46" i="1"/>
  <c r="AD46" i="1"/>
  <c r="Z46" i="1"/>
  <c r="AA46" i="1"/>
  <c r="AC46" i="1"/>
  <c r="AA30" i="1"/>
  <c r="AB30" i="1"/>
  <c r="Y30" i="1"/>
  <c r="Z30" i="1"/>
  <c r="AC30" i="1"/>
  <c r="AD30" i="1"/>
  <c r="AA14" i="1"/>
  <c r="N16" i="5" s="1"/>
  <c r="AB14" i="1"/>
  <c r="O16" i="5" s="1"/>
  <c r="Y14" i="1"/>
  <c r="L16" i="5" s="1"/>
  <c r="Z14" i="1"/>
  <c r="M16" i="5" s="1"/>
  <c r="AC14" i="1"/>
  <c r="P16" i="5" s="1"/>
  <c r="AD14" i="1"/>
  <c r="Q16" i="5" s="1"/>
  <c r="Z37" i="1"/>
  <c r="AD37" i="1"/>
  <c r="Y37" i="1"/>
  <c r="AA37" i="1"/>
  <c r="AB37" i="1"/>
  <c r="AC37" i="1"/>
  <c r="AB101" i="1"/>
  <c r="Y101" i="1"/>
  <c r="AC101" i="1"/>
  <c r="Z101" i="1"/>
  <c r="AD101" i="1"/>
  <c r="AA101" i="1"/>
  <c r="Y165" i="1"/>
  <c r="AC165" i="1"/>
  <c r="Z165" i="1"/>
  <c r="AD165" i="1"/>
  <c r="AA165" i="1"/>
  <c r="AB165" i="1"/>
  <c r="AB229" i="1"/>
  <c r="Y229" i="1"/>
  <c r="AC229" i="1"/>
  <c r="Z229" i="1"/>
  <c r="AD229" i="1"/>
  <c r="AA229" i="1"/>
  <c r="AB293" i="1"/>
  <c r="Z293" i="1"/>
  <c r="AD293" i="1"/>
  <c r="Y293" i="1"/>
  <c r="AA293" i="1"/>
  <c r="AC293" i="1"/>
  <c r="AA328" i="1"/>
  <c r="AB328" i="1"/>
  <c r="Y328" i="1"/>
  <c r="AC328" i="1"/>
  <c r="Z328" i="1"/>
  <c r="AD328" i="1"/>
  <c r="AA360" i="1"/>
  <c r="AB360" i="1"/>
  <c r="Y360" i="1"/>
  <c r="AC360" i="1"/>
  <c r="Z360" i="1"/>
  <c r="AD360" i="1"/>
  <c r="AA392" i="1"/>
  <c r="Y392" i="1"/>
  <c r="AC392" i="1"/>
  <c r="AB392" i="1"/>
  <c r="AD392" i="1"/>
  <c r="Z392" i="1"/>
  <c r="AB424" i="1"/>
  <c r="Y424" i="1"/>
  <c r="AC424" i="1"/>
  <c r="Z424" i="1"/>
  <c r="AD424" i="1"/>
  <c r="AA424" i="1"/>
  <c r="AB456" i="1"/>
  <c r="Y456" i="1"/>
  <c r="AC456" i="1"/>
  <c r="Z456" i="1"/>
  <c r="AD456" i="1"/>
  <c r="AA456" i="1"/>
  <c r="AB488" i="1"/>
  <c r="Y488" i="1"/>
  <c r="AC488" i="1"/>
  <c r="Z488" i="1"/>
  <c r="AD488" i="1"/>
  <c r="AA488" i="1"/>
  <c r="AB520" i="1"/>
  <c r="Y520" i="1"/>
  <c r="AC520" i="1"/>
  <c r="Z520" i="1"/>
  <c r="AD520" i="1"/>
  <c r="AA520" i="1"/>
  <c r="AB552" i="1"/>
  <c r="Y552" i="1"/>
  <c r="AC552" i="1"/>
  <c r="Z552" i="1"/>
  <c r="AD552" i="1"/>
  <c r="AA552" i="1"/>
  <c r="AB584" i="1"/>
  <c r="Z584" i="1"/>
  <c r="AD584" i="1"/>
  <c r="AC584" i="1"/>
  <c r="Y584" i="1"/>
  <c r="AA584" i="1"/>
  <c r="Z613" i="1"/>
  <c r="AD613" i="1"/>
  <c r="AA613" i="1"/>
  <c r="AB613" i="1"/>
  <c r="Y613" i="1"/>
  <c r="AC613" i="1"/>
  <c r="AB630" i="1"/>
  <c r="Y630" i="1"/>
  <c r="AC630" i="1"/>
  <c r="Z630" i="1"/>
  <c r="AD630" i="1"/>
  <c r="AA630" i="1"/>
  <c r="AB646" i="1"/>
  <c r="Y646" i="1"/>
  <c r="AC646" i="1"/>
  <c r="Z646" i="1"/>
  <c r="AD646" i="1"/>
  <c r="AA646" i="1"/>
  <c r="AB662" i="1"/>
  <c r="Y662" i="1"/>
  <c r="AC662" i="1"/>
  <c r="Z662" i="1"/>
  <c r="AD662" i="1"/>
  <c r="AA662" i="1"/>
  <c r="AB678" i="1"/>
  <c r="Y678" i="1"/>
  <c r="AC678" i="1"/>
  <c r="Z678" i="1"/>
  <c r="AD678" i="1"/>
  <c r="AA678" i="1"/>
  <c r="AB694" i="1"/>
  <c r="Y694" i="1"/>
  <c r="AC694" i="1"/>
  <c r="Z694" i="1"/>
  <c r="AD694" i="1"/>
  <c r="AA694" i="1"/>
  <c r="AB710" i="1"/>
  <c r="Y710" i="1"/>
  <c r="AC710" i="1"/>
  <c r="Z710" i="1"/>
  <c r="AD710" i="1"/>
  <c r="AA710" i="1"/>
  <c r="AB726" i="1"/>
  <c r="Y726" i="1"/>
  <c r="AC726" i="1"/>
  <c r="Z726" i="1"/>
  <c r="AD726" i="1"/>
  <c r="AA726" i="1"/>
  <c r="AB742" i="1"/>
  <c r="Z742" i="1"/>
  <c r="AD742" i="1"/>
  <c r="AC742" i="1"/>
  <c r="Y742" i="1"/>
  <c r="AA742" i="1"/>
  <c r="AA758" i="1"/>
  <c r="Z758" i="1"/>
  <c r="AB758" i="1"/>
  <c r="AD758" i="1"/>
  <c r="Y758" i="1"/>
  <c r="AC758" i="1"/>
  <c r="AA774" i="1"/>
  <c r="AD774" i="1"/>
  <c r="AB774" i="1"/>
  <c r="Y774" i="1"/>
  <c r="AC774" i="1"/>
  <c r="Z774" i="1"/>
  <c r="AA790" i="1"/>
  <c r="AB790" i="1"/>
  <c r="AD790" i="1"/>
  <c r="Y790" i="1"/>
  <c r="AC790" i="1"/>
  <c r="Z790" i="1"/>
  <c r="AA806" i="1"/>
  <c r="AD806" i="1"/>
  <c r="AB806" i="1"/>
  <c r="Z806" i="1"/>
  <c r="Y806" i="1"/>
  <c r="AC806" i="1"/>
  <c r="AA822" i="1"/>
  <c r="Z822" i="1"/>
  <c r="AB822" i="1"/>
  <c r="AD822" i="1"/>
  <c r="Y822" i="1"/>
  <c r="AC822" i="1"/>
  <c r="AA838" i="1"/>
  <c r="AD838" i="1"/>
  <c r="AB838" i="1"/>
  <c r="Z838" i="1"/>
  <c r="Y838" i="1"/>
  <c r="AC838" i="1"/>
  <c r="Y2" i="1"/>
  <c r="L4" i="5" s="1"/>
  <c r="AB2" i="1"/>
  <c r="O4" i="5" s="1"/>
  <c r="AC2" i="1"/>
  <c r="P4" i="5" s="1"/>
  <c r="Z2" i="1"/>
  <c r="M4" i="5" s="1"/>
  <c r="AD2" i="1"/>
  <c r="Q4" i="5" s="1"/>
  <c r="AA2" i="1"/>
  <c r="N4" i="5" s="1"/>
  <c r="Z41" i="1"/>
  <c r="AD41" i="1"/>
  <c r="AB41" i="1"/>
  <c r="AC41" i="1"/>
  <c r="Y41" i="1"/>
  <c r="AA41" i="1"/>
  <c r="AB233" i="1"/>
  <c r="Y233" i="1"/>
  <c r="AC233" i="1"/>
  <c r="Z233" i="1"/>
  <c r="AD233" i="1"/>
  <c r="AA233" i="1"/>
  <c r="Y361" i="1"/>
  <c r="AC361" i="1"/>
  <c r="Z361" i="1"/>
  <c r="AD361" i="1"/>
  <c r="AA361" i="1"/>
  <c r="AB361" i="1"/>
  <c r="Z57" i="1"/>
  <c r="AD57" i="1"/>
  <c r="AB57" i="1"/>
  <c r="AC57" i="1"/>
  <c r="Y57" i="1"/>
  <c r="AA57" i="1"/>
  <c r="AB121" i="1"/>
  <c r="AC121" i="1"/>
  <c r="Y121" i="1"/>
  <c r="AD121" i="1"/>
  <c r="Z121" i="1"/>
  <c r="AA121" i="1"/>
  <c r="Y185" i="1"/>
  <c r="AC185" i="1"/>
  <c r="Z185" i="1"/>
  <c r="AD185" i="1"/>
  <c r="AA185" i="1"/>
  <c r="AB185" i="1"/>
  <c r="AB249" i="1"/>
  <c r="Y249" i="1"/>
  <c r="AC249" i="1"/>
  <c r="Z249" i="1"/>
  <c r="AD249" i="1"/>
  <c r="AA249" i="1"/>
  <c r="Y305" i="1"/>
  <c r="AC305" i="1"/>
  <c r="Z305" i="1"/>
  <c r="AD305" i="1"/>
  <c r="AA305" i="1"/>
  <c r="AB305" i="1"/>
  <c r="Y337" i="1"/>
  <c r="AC337" i="1"/>
  <c r="Z337" i="1"/>
  <c r="AD337" i="1"/>
  <c r="AA337" i="1"/>
  <c r="AB337" i="1"/>
  <c r="Y369" i="1"/>
  <c r="AC369" i="1"/>
  <c r="Z369" i="1"/>
  <c r="AD369" i="1"/>
  <c r="AA369" i="1"/>
  <c r="AB369" i="1"/>
  <c r="Z401" i="1"/>
  <c r="AD401" i="1"/>
  <c r="AA401" i="1"/>
  <c r="AB401" i="1"/>
  <c r="Y401" i="1"/>
  <c r="AC401" i="1"/>
  <c r="Z433" i="1"/>
  <c r="AD433" i="1"/>
  <c r="AA433" i="1"/>
  <c r="AB433" i="1"/>
  <c r="Y433" i="1"/>
  <c r="AC433" i="1"/>
  <c r="Z465" i="1"/>
  <c r="AD465" i="1"/>
  <c r="AA465" i="1"/>
  <c r="AB465" i="1"/>
  <c r="Y465" i="1"/>
  <c r="AC465" i="1"/>
  <c r="Z497" i="1"/>
  <c r="AD497" i="1"/>
  <c r="AA497" i="1"/>
  <c r="AB497" i="1"/>
  <c r="Y497" i="1"/>
  <c r="AC497" i="1"/>
  <c r="Z529" i="1"/>
  <c r="AD529" i="1"/>
  <c r="AA529" i="1"/>
  <c r="AB529" i="1"/>
  <c r="Y529" i="1"/>
  <c r="AC529" i="1"/>
  <c r="Z561" i="1"/>
  <c r="AD561" i="1"/>
  <c r="AA561" i="1"/>
  <c r="AB561" i="1"/>
  <c r="Y561" i="1"/>
  <c r="AC561" i="1"/>
  <c r="Z593" i="1"/>
  <c r="AD593" i="1"/>
  <c r="AA593" i="1"/>
  <c r="AB593" i="1"/>
  <c r="AC593" i="1"/>
  <c r="Y593" i="1"/>
  <c r="Z619" i="1"/>
  <c r="AD619" i="1"/>
  <c r="AA619" i="1"/>
  <c r="AB619" i="1"/>
  <c r="Y619" i="1"/>
  <c r="AC619" i="1"/>
  <c r="Z635" i="1"/>
  <c r="AD635" i="1"/>
  <c r="AA635" i="1"/>
  <c r="AB635" i="1"/>
  <c r="Y635" i="1"/>
  <c r="AC635" i="1"/>
  <c r="Z651" i="1"/>
  <c r="AD651" i="1"/>
  <c r="AA651" i="1"/>
  <c r="AB651" i="1"/>
  <c r="Y651" i="1"/>
  <c r="AC651" i="1"/>
  <c r="Z667" i="1"/>
  <c r="AD667" i="1"/>
  <c r="AA667" i="1"/>
  <c r="AB667" i="1"/>
  <c r="Y667" i="1"/>
  <c r="AC667" i="1"/>
  <c r="Z683" i="1"/>
  <c r="AD683" i="1"/>
  <c r="AA683" i="1"/>
  <c r="AB683" i="1"/>
  <c r="Y683" i="1"/>
  <c r="AC683" i="1"/>
  <c r="Z699" i="1"/>
  <c r="AD699" i="1"/>
  <c r="AA699" i="1"/>
  <c r="AB699" i="1"/>
  <c r="Y699" i="1"/>
  <c r="AC699" i="1"/>
  <c r="Z715" i="1"/>
  <c r="AD715" i="1"/>
  <c r="AA715" i="1"/>
  <c r="AB715" i="1"/>
  <c r="Y715" i="1"/>
  <c r="AC715" i="1"/>
  <c r="Z731" i="1"/>
  <c r="AD731" i="1"/>
  <c r="AA731" i="1"/>
  <c r="AB731" i="1"/>
  <c r="Y731" i="1"/>
  <c r="AC731" i="1"/>
  <c r="Z747" i="1"/>
  <c r="AD747" i="1"/>
  <c r="AB747" i="1"/>
  <c r="Y747" i="1"/>
  <c r="AA747" i="1"/>
  <c r="AC747" i="1"/>
  <c r="Y763" i="1"/>
  <c r="AC763" i="1"/>
  <c r="AB763" i="1"/>
  <c r="Z763" i="1"/>
  <c r="AD763" i="1"/>
  <c r="AA763" i="1"/>
  <c r="Y779" i="1"/>
  <c r="AC779" i="1"/>
  <c r="Z779" i="1"/>
  <c r="AD779" i="1"/>
  <c r="AB779" i="1"/>
  <c r="AA779" i="1"/>
  <c r="Y795" i="1"/>
  <c r="AC795" i="1"/>
  <c r="AB795" i="1"/>
  <c r="Z795" i="1"/>
  <c r="AD795" i="1"/>
  <c r="AA795" i="1"/>
  <c r="Y811" i="1"/>
  <c r="AC811" i="1"/>
  <c r="Z811" i="1"/>
  <c r="AD811" i="1"/>
  <c r="AA811" i="1"/>
  <c r="AB811" i="1"/>
  <c r="Y827" i="1"/>
  <c r="AC827" i="1"/>
  <c r="AB827" i="1"/>
  <c r="Z827" i="1"/>
  <c r="AD827" i="1"/>
  <c r="AA827" i="1"/>
  <c r="Y843" i="1"/>
  <c r="AC843" i="1"/>
  <c r="Z843" i="1"/>
  <c r="AD843" i="1"/>
  <c r="AB843" i="1"/>
  <c r="AA843" i="1"/>
  <c r="Y29" i="1"/>
  <c r="AC29" i="1"/>
  <c r="Z29" i="1"/>
  <c r="AD29" i="1"/>
  <c r="AA29" i="1"/>
  <c r="AB29" i="1"/>
  <c r="AB93" i="1"/>
  <c r="Y93" i="1"/>
  <c r="AC93" i="1"/>
  <c r="Z93" i="1"/>
  <c r="AD93" i="1"/>
  <c r="AA93" i="1"/>
  <c r="Y157" i="1"/>
  <c r="AC157" i="1"/>
  <c r="Z157" i="1"/>
  <c r="AD157" i="1"/>
  <c r="AA157" i="1"/>
  <c r="AB157" i="1"/>
  <c r="AB221" i="1"/>
  <c r="Y221" i="1"/>
  <c r="AC221" i="1"/>
  <c r="Z221" i="1"/>
  <c r="AD221" i="1"/>
  <c r="AA221" i="1"/>
  <c r="AB285" i="1"/>
  <c r="Z285" i="1"/>
  <c r="AD285" i="1"/>
  <c r="Y285" i="1"/>
  <c r="AA285" i="1"/>
  <c r="AC285" i="1"/>
  <c r="AA324" i="1"/>
  <c r="AB324" i="1"/>
  <c r="Y324" i="1"/>
  <c r="AC324" i="1"/>
  <c r="Z324" i="1"/>
  <c r="AD324" i="1"/>
  <c r="AA356" i="1"/>
  <c r="AB356" i="1"/>
  <c r="Y356" i="1"/>
  <c r="AC356" i="1"/>
  <c r="Z356" i="1"/>
  <c r="AD356" i="1"/>
  <c r="AA388" i="1"/>
  <c r="Y388" i="1"/>
  <c r="AC388" i="1"/>
  <c r="AB388" i="1"/>
  <c r="AD388" i="1"/>
  <c r="Z388" i="1"/>
  <c r="AB420" i="1"/>
  <c r="Y420" i="1"/>
  <c r="AC420" i="1"/>
  <c r="Z420" i="1"/>
  <c r="AD420" i="1"/>
  <c r="AA420" i="1"/>
  <c r="AB452" i="1"/>
  <c r="Y452" i="1"/>
  <c r="AC452" i="1"/>
  <c r="Z452" i="1"/>
  <c r="AD452" i="1"/>
  <c r="AA452" i="1"/>
  <c r="AB484" i="1"/>
  <c r="Y484" i="1"/>
  <c r="AC484" i="1"/>
  <c r="Z484" i="1"/>
  <c r="AD484" i="1"/>
  <c r="AA484" i="1"/>
  <c r="AB516" i="1"/>
  <c r="Y516" i="1"/>
  <c r="AC516" i="1"/>
  <c r="Z516" i="1"/>
  <c r="AD516" i="1"/>
  <c r="AA516" i="1"/>
  <c r="AB548" i="1"/>
  <c r="Y548" i="1"/>
  <c r="AC548" i="1"/>
  <c r="Z548" i="1"/>
  <c r="AD548" i="1"/>
  <c r="AA548" i="1"/>
  <c r="AB580" i="1"/>
  <c r="Z580" i="1"/>
  <c r="AD580" i="1"/>
  <c r="AC580" i="1"/>
  <c r="Y580" i="1"/>
  <c r="AA580" i="1"/>
  <c r="Z611" i="1"/>
  <c r="AD611" i="1"/>
  <c r="AA611" i="1"/>
  <c r="AB611" i="1"/>
  <c r="Y611" i="1"/>
  <c r="AC611" i="1"/>
  <c r="AB628" i="1"/>
  <c r="Y628" i="1"/>
  <c r="AC628" i="1"/>
  <c r="Z628" i="1"/>
  <c r="AD628" i="1"/>
  <c r="AA628" i="1"/>
  <c r="AB644" i="1"/>
  <c r="Y644" i="1"/>
  <c r="AC644" i="1"/>
  <c r="Z644" i="1"/>
  <c r="AD644" i="1"/>
  <c r="AA644" i="1"/>
  <c r="AB660" i="1"/>
  <c r="Y660" i="1"/>
  <c r="AC660" i="1"/>
  <c r="Z660" i="1"/>
  <c r="AD660" i="1"/>
  <c r="AA660" i="1"/>
  <c r="AB676" i="1"/>
  <c r="Y676" i="1"/>
  <c r="AC676" i="1"/>
  <c r="Z676" i="1"/>
  <c r="AD676" i="1"/>
  <c r="AA676" i="1"/>
  <c r="AB692" i="1"/>
  <c r="Y692" i="1"/>
  <c r="AC692" i="1"/>
  <c r="Z692" i="1"/>
  <c r="AD692" i="1"/>
  <c r="AA692" i="1"/>
  <c r="AB708" i="1"/>
  <c r="Y708" i="1"/>
  <c r="AC708" i="1"/>
  <c r="Z708" i="1"/>
  <c r="AD708" i="1"/>
  <c r="AA708" i="1"/>
  <c r="AB724" i="1"/>
  <c r="Y724" i="1"/>
  <c r="AC724" i="1"/>
  <c r="Z724" i="1"/>
  <c r="AD724" i="1"/>
  <c r="AA724" i="1"/>
  <c r="AB740" i="1"/>
  <c r="Z740" i="1"/>
  <c r="AD740" i="1"/>
  <c r="AA740" i="1"/>
  <c r="Y740" i="1"/>
  <c r="AC740" i="1"/>
  <c r="AA756" i="1"/>
  <c r="AD756" i="1"/>
  <c r="AB756" i="1"/>
  <c r="Y756" i="1"/>
  <c r="AC756" i="1"/>
  <c r="Z756" i="1"/>
  <c r="AA772" i="1"/>
  <c r="AB772" i="1"/>
  <c r="AD772" i="1"/>
  <c r="Y772" i="1"/>
  <c r="AC772" i="1"/>
  <c r="Z772" i="1"/>
  <c r="AA788" i="1"/>
  <c r="AB788" i="1"/>
  <c r="AD788" i="1"/>
  <c r="Y788" i="1"/>
  <c r="AC788" i="1"/>
  <c r="Z788" i="1"/>
  <c r="AA804" i="1"/>
  <c r="AD804" i="1"/>
  <c r="AB804" i="1"/>
  <c r="Z804" i="1"/>
  <c r="Y804" i="1"/>
  <c r="AC804" i="1"/>
  <c r="AA820" i="1"/>
  <c r="AD820" i="1"/>
  <c r="AB820" i="1"/>
  <c r="Z820" i="1"/>
  <c r="Y820" i="1"/>
  <c r="AC820" i="1"/>
  <c r="AA836" i="1"/>
  <c r="Z836" i="1"/>
  <c r="AB836" i="1"/>
  <c r="AD836" i="1"/>
  <c r="Y836" i="1"/>
  <c r="AC836" i="1"/>
  <c r="AA852" i="1"/>
  <c r="AB852" i="1"/>
  <c r="Y852" i="1"/>
  <c r="AC852" i="1"/>
  <c r="Z852" i="1"/>
  <c r="AD852" i="1"/>
  <c r="AA65" i="1"/>
  <c r="AB65" i="1"/>
  <c r="Y65" i="1"/>
  <c r="AC65" i="1"/>
  <c r="Z65" i="1"/>
  <c r="AD65" i="1"/>
  <c r="Y129" i="1"/>
  <c r="AC129" i="1"/>
  <c r="Z129" i="1"/>
  <c r="AD129" i="1"/>
  <c r="AA129" i="1"/>
  <c r="AB129" i="1"/>
  <c r="Y193" i="1"/>
  <c r="AC193" i="1"/>
  <c r="Z193" i="1"/>
  <c r="AD193" i="1"/>
  <c r="AA193" i="1"/>
  <c r="AB193" i="1"/>
  <c r="AB257" i="1"/>
  <c r="Y257" i="1"/>
  <c r="AC257" i="1"/>
  <c r="Z257" i="1"/>
  <c r="AD257" i="1"/>
  <c r="AA257" i="1"/>
  <c r="Y309" i="1"/>
  <c r="AC309" i="1"/>
  <c r="Z309" i="1"/>
  <c r="AD309" i="1"/>
  <c r="AA309" i="1"/>
  <c r="AB309" i="1"/>
  <c r="Y341" i="1"/>
  <c r="AC341" i="1"/>
  <c r="Z341" i="1"/>
  <c r="AD341" i="1"/>
  <c r="AA341" i="1"/>
  <c r="AB341" i="1"/>
  <c r="Y373" i="1"/>
  <c r="AC373" i="1"/>
  <c r="Z373" i="1"/>
  <c r="AD373" i="1"/>
  <c r="AA373" i="1"/>
  <c r="AB373" i="1"/>
  <c r="Z405" i="1"/>
  <c r="AD405" i="1"/>
  <c r="AA405" i="1"/>
  <c r="AB405" i="1"/>
  <c r="Y405" i="1"/>
  <c r="AC405" i="1"/>
  <c r="Z437" i="1"/>
  <c r="AD437" i="1"/>
  <c r="AA437" i="1"/>
  <c r="AB437" i="1"/>
  <c r="Y437" i="1"/>
  <c r="AC437" i="1"/>
  <c r="Z469" i="1"/>
  <c r="AD469" i="1"/>
  <c r="AA469" i="1"/>
  <c r="AB469" i="1"/>
  <c r="Y469" i="1"/>
  <c r="AC469" i="1"/>
  <c r="Z501" i="1"/>
  <c r="AD501" i="1"/>
  <c r="AA501" i="1"/>
  <c r="AB501" i="1"/>
  <c r="Y501" i="1"/>
  <c r="AC501" i="1"/>
  <c r="Z533" i="1"/>
  <c r="AD533" i="1"/>
  <c r="AA533" i="1"/>
  <c r="AB533" i="1"/>
  <c r="Y533" i="1"/>
  <c r="AC533" i="1"/>
  <c r="Z565" i="1"/>
  <c r="AD565" i="1"/>
  <c r="AA565" i="1"/>
  <c r="AB565" i="1"/>
  <c r="Y565" i="1"/>
  <c r="AC565" i="1"/>
  <c r="Z597" i="1"/>
  <c r="AD597" i="1"/>
  <c r="AA597" i="1"/>
  <c r="AB597" i="1"/>
  <c r="Y597" i="1"/>
  <c r="AC597" i="1"/>
  <c r="Z621" i="1"/>
  <c r="AD621" i="1"/>
  <c r="AA621" i="1"/>
  <c r="AB621" i="1"/>
  <c r="Y621" i="1"/>
  <c r="AC621" i="1"/>
  <c r="Z637" i="1"/>
  <c r="AD637" i="1"/>
  <c r="AA637" i="1"/>
  <c r="AB637" i="1"/>
  <c r="Y637" i="1"/>
  <c r="AC637" i="1"/>
  <c r="Z653" i="1"/>
  <c r="AD653" i="1"/>
  <c r="AA653" i="1"/>
  <c r="AB653" i="1"/>
  <c r="Y653" i="1"/>
  <c r="AC653" i="1"/>
  <c r="Z669" i="1"/>
  <c r="AD669" i="1"/>
  <c r="AA669" i="1"/>
  <c r="AB669" i="1"/>
  <c r="Y669" i="1"/>
  <c r="AC669" i="1"/>
  <c r="Z685" i="1"/>
  <c r="AD685" i="1"/>
  <c r="AA685" i="1"/>
  <c r="AB685" i="1"/>
  <c r="Y685" i="1"/>
  <c r="AC685" i="1"/>
  <c r="Z701" i="1"/>
  <c r="AD701" i="1"/>
  <c r="AA701" i="1"/>
  <c r="AB701" i="1"/>
  <c r="Y701" i="1"/>
  <c r="AC701" i="1"/>
  <c r="Z717" i="1"/>
  <c r="AD717" i="1"/>
  <c r="AA717" i="1"/>
  <c r="AB717" i="1"/>
  <c r="Y717" i="1"/>
  <c r="AC717" i="1"/>
  <c r="Z733" i="1"/>
  <c r="AD733" i="1"/>
  <c r="AA733" i="1"/>
  <c r="AB733" i="1"/>
  <c r="Y733" i="1"/>
  <c r="AC733" i="1"/>
  <c r="Z749" i="1"/>
  <c r="AD749" i="1"/>
  <c r="AB749" i="1"/>
  <c r="AC749" i="1"/>
  <c r="AA749" i="1"/>
  <c r="Y749" i="1"/>
  <c r="Y765" i="1"/>
  <c r="AC765" i="1"/>
  <c r="AB765" i="1"/>
  <c r="Z765" i="1"/>
  <c r="AD765" i="1"/>
  <c r="AA765" i="1"/>
  <c r="Y781" i="1"/>
  <c r="AC781" i="1"/>
  <c r="Z781" i="1"/>
  <c r="AD781" i="1"/>
  <c r="AB781" i="1"/>
  <c r="AA781" i="1"/>
  <c r="Y797" i="1"/>
  <c r="AC797" i="1"/>
  <c r="Z797" i="1"/>
  <c r="AD797" i="1"/>
  <c r="AA797" i="1"/>
  <c r="AB797" i="1"/>
  <c r="Y813" i="1"/>
  <c r="AC813" i="1"/>
  <c r="AB813" i="1"/>
  <c r="Z813" i="1"/>
  <c r="AD813" i="1"/>
  <c r="AA813" i="1"/>
  <c r="Y829" i="1"/>
  <c r="AC829" i="1"/>
  <c r="AB829" i="1"/>
  <c r="Z829" i="1"/>
  <c r="AD829" i="1"/>
  <c r="AA829" i="1"/>
  <c r="Y845" i="1"/>
  <c r="AC845" i="1"/>
  <c r="AB845" i="1"/>
  <c r="Z845" i="1"/>
  <c r="AD845" i="1"/>
  <c r="AA845" i="1"/>
  <c r="Z292" i="1"/>
  <c r="AD292" i="1"/>
  <c r="AB292" i="1"/>
  <c r="Y292" i="1"/>
  <c r="AA292" i="1"/>
  <c r="AC292" i="1"/>
  <c r="Z276" i="1"/>
  <c r="AD276" i="1"/>
  <c r="AA276" i="1"/>
  <c r="AB276" i="1"/>
  <c r="Y276" i="1"/>
  <c r="AC276" i="1"/>
  <c r="Z260" i="1"/>
  <c r="AD260" i="1"/>
  <c r="AA260" i="1"/>
  <c r="AB260" i="1"/>
  <c r="Y260" i="1"/>
  <c r="AC260" i="1"/>
  <c r="Z244" i="1"/>
  <c r="AD244" i="1"/>
  <c r="AA244" i="1"/>
  <c r="AB244" i="1"/>
  <c r="Y244" i="1"/>
  <c r="AC244" i="1"/>
  <c r="Z228" i="1"/>
  <c r="AD228" i="1"/>
  <c r="AA228" i="1"/>
  <c r="AB228" i="1"/>
  <c r="Y228" i="1"/>
  <c r="AC228" i="1"/>
  <c r="AA212" i="1"/>
  <c r="Y212" i="1"/>
  <c r="AC212" i="1"/>
  <c r="Z212" i="1"/>
  <c r="AB212" i="1"/>
  <c r="AD212" i="1"/>
  <c r="AA196" i="1"/>
  <c r="AB196" i="1"/>
  <c r="Y196" i="1"/>
  <c r="AC196" i="1"/>
  <c r="Z196" i="1"/>
  <c r="AD196" i="1"/>
  <c r="AA180" i="1"/>
  <c r="AB180" i="1"/>
  <c r="Y180" i="1"/>
  <c r="AC180" i="1"/>
  <c r="Z180" i="1"/>
  <c r="AD180" i="1"/>
  <c r="AA164" i="1"/>
  <c r="AB164" i="1"/>
  <c r="Y164" i="1"/>
  <c r="AC164" i="1"/>
  <c r="Z164" i="1"/>
  <c r="AD164" i="1"/>
  <c r="AA148" i="1"/>
  <c r="AB148" i="1"/>
  <c r="Y148" i="1"/>
  <c r="AC148" i="1"/>
  <c r="Z148" i="1"/>
  <c r="AD148" i="1"/>
  <c r="AA132" i="1"/>
  <c r="AB132" i="1"/>
  <c r="Y132" i="1"/>
  <c r="AC132" i="1"/>
  <c r="Z132" i="1"/>
  <c r="AD132" i="1"/>
  <c r="Z116" i="1"/>
  <c r="AD116" i="1"/>
  <c r="AB116" i="1"/>
  <c r="AC116" i="1"/>
  <c r="Y116" i="1"/>
  <c r="AA116" i="1"/>
  <c r="Z100" i="1"/>
  <c r="AD100" i="1"/>
  <c r="AA100" i="1"/>
  <c r="AB100" i="1"/>
  <c r="Y100" i="1"/>
  <c r="AC100" i="1"/>
  <c r="Z84" i="1"/>
  <c r="AD84" i="1"/>
  <c r="AA84" i="1"/>
  <c r="AB84" i="1"/>
  <c r="Y84" i="1"/>
  <c r="AC84" i="1"/>
  <c r="Y68" i="1"/>
  <c r="AC68" i="1"/>
  <c r="Z68" i="1"/>
  <c r="AD68" i="1"/>
  <c r="AA68" i="1"/>
  <c r="AB68" i="1"/>
  <c r="AB52" i="1"/>
  <c r="Z52" i="1"/>
  <c r="AA52" i="1"/>
  <c r="AC52" i="1"/>
  <c r="AD52" i="1"/>
  <c r="Y52" i="1"/>
  <c r="AB36" i="1"/>
  <c r="Z36" i="1"/>
  <c r="AA36" i="1"/>
  <c r="AC36" i="1"/>
  <c r="Y36" i="1"/>
  <c r="AD36" i="1"/>
  <c r="AA20" i="1"/>
  <c r="N22" i="5" s="1"/>
  <c r="AB20" i="1"/>
  <c r="O22" i="5" s="1"/>
  <c r="AC20" i="1"/>
  <c r="P22" i="5" s="1"/>
  <c r="AD20" i="1"/>
  <c r="Q22" i="5" s="1"/>
  <c r="Y20" i="1"/>
  <c r="L22" i="5" s="1"/>
  <c r="Z20" i="1"/>
  <c r="M22" i="5" s="1"/>
  <c r="AA4" i="1"/>
  <c r="N6" i="5" s="1"/>
  <c r="AB4" i="1"/>
  <c r="O6" i="5" s="1"/>
  <c r="AC4" i="1"/>
  <c r="P6" i="5" s="1"/>
  <c r="AD4" i="1"/>
  <c r="Q6" i="5" s="1"/>
  <c r="Y4" i="1"/>
  <c r="L6" i="5" s="1"/>
  <c r="Z4" i="1"/>
  <c r="M6" i="5" s="1"/>
  <c r="Z595" i="1"/>
  <c r="AD595" i="1"/>
  <c r="AA595" i="1"/>
  <c r="AB595" i="1"/>
  <c r="Y595" i="1"/>
  <c r="AC595" i="1"/>
  <c r="Z579" i="1"/>
  <c r="AD579" i="1"/>
  <c r="AB579" i="1"/>
  <c r="AA579" i="1"/>
  <c r="AC579" i="1"/>
  <c r="Y579" i="1"/>
  <c r="Z563" i="1"/>
  <c r="AD563" i="1"/>
  <c r="AA563" i="1"/>
  <c r="AB563" i="1"/>
  <c r="Y563" i="1"/>
  <c r="AC563" i="1"/>
  <c r="Z547" i="1"/>
  <c r="AD547" i="1"/>
  <c r="AA547" i="1"/>
  <c r="AB547" i="1"/>
  <c r="Y547" i="1"/>
  <c r="AC547" i="1"/>
  <c r="Z531" i="1"/>
  <c r="AD531" i="1"/>
  <c r="AA531" i="1"/>
  <c r="AB531" i="1"/>
  <c r="Y531" i="1"/>
  <c r="AC531" i="1"/>
  <c r="Z515" i="1"/>
  <c r="AD515" i="1"/>
  <c r="AA515" i="1"/>
  <c r="AB515" i="1"/>
  <c r="Y515" i="1"/>
  <c r="AC515" i="1"/>
  <c r="Z499" i="1"/>
  <c r="AD499" i="1"/>
  <c r="AA499" i="1"/>
  <c r="AB499" i="1"/>
  <c r="Y499" i="1"/>
  <c r="AC499" i="1"/>
  <c r="Z483" i="1"/>
  <c r="AD483" i="1"/>
  <c r="AA483" i="1"/>
  <c r="AB483" i="1"/>
  <c r="Y483" i="1"/>
  <c r="AC483" i="1"/>
  <c r="Z467" i="1"/>
  <c r="AD467" i="1"/>
  <c r="AA467" i="1"/>
  <c r="AB467" i="1"/>
  <c r="Y467" i="1"/>
  <c r="AC467" i="1"/>
  <c r="Z451" i="1"/>
  <c r="AD451" i="1"/>
  <c r="AA451" i="1"/>
  <c r="AB451" i="1"/>
  <c r="Y451" i="1"/>
  <c r="AC451" i="1"/>
  <c r="Z435" i="1"/>
  <c r="AD435" i="1"/>
  <c r="AA435" i="1"/>
  <c r="AB435" i="1"/>
  <c r="Y435" i="1"/>
  <c r="AC435" i="1"/>
  <c r="Z419" i="1"/>
  <c r="AD419" i="1"/>
  <c r="AA419" i="1"/>
  <c r="AB419" i="1"/>
  <c r="Y419" i="1"/>
  <c r="AC419" i="1"/>
  <c r="Z403" i="1"/>
  <c r="AD403" i="1"/>
  <c r="AA403" i="1"/>
  <c r="AB403" i="1"/>
  <c r="Y403" i="1"/>
  <c r="AC403" i="1"/>
  <c r="Y387" i="1"/>
  <c r="AC387" i="1"/>
  <c r="AA387" i="1"/>
  <c r="Z387" i="1"/>
  <c r="AB387" i="1"/>
  <c r="AD387" i="1"/>
  <c r="Y371" i="1"/>
  <c r="AC371" i="1"/>
  <c r="Z371" i="1"/>
  <c r="AD371" i="1"/>
  <c r="AA371" i="1"/>
  <c r="AB371" i="1"/>
  <c r="Y355" i="1"/>
  <c r="AC355" i="1"/>
  <c r="Z355" i="1"/>
  <c r="AD355" i="1"/>
  <c r="AA355" i="1"/>
  <c r="AB355" i="1"/>
  <c r="Y339" i="1"/>
  <c r="AC339" i="1"/>
  <c r="Z339" i="1"/>
  <c r="AD339" i="1"/>
  <c r="AA339" i="1"/>
  <c r="AB339" i="1"/>
  <c r="Y323" i="1"/>
  <c r="AC323" i="1"/>
  <c r="Z323" i="1"/>
  <c r="AD323" i="1"/>
  <c r="AA323" i="1"/>
  <c r="AB323" i="1"/>
  <c r="Y307" i="1"/>
  <c r="AC307" i="1"/>
  <c r="Z307" i="1"/>
  <c r="AD307" i="1"/>
  <c r="AA307" i="1"/>
  <c r="AB307" i="1"/>
  <c r="AB291" i="1"/>
  <c r="Z291" i="1"/>
  <c r="AD291" i="1"/>
  <c r="AC291" i="1"/>
  <c r="Y291" i="1"/>
  <c r="AA291" i="1"/>
  <c r="AB275" i="1"/>
  <c r="Y275" i="1"/>
  <c r="AC275" i="1"/>
  <c r="Z275" i="1"/>
  <c r="AD275" i="1"/>
  <c r="AA275" i="1"/>
  <c r="AB259" i="1"/>
  <c r="Y259" i="1"/>
  <c r="AC259" i="1"/>
  <c r="Z259" i="1"/>
  <c r="AD259" i="1"/>
  <c r="AA259" i="1"/>
  <c r="AB243" i="1"/>
  <c r="Y243" i="1"/>
  <c r="AC243" i="1"/>
  <c r="Z243" i="1"/>
  <c r="AD243" i="1"/>
  <c r="AA243" i="1"/>
  <c r="AB227" i="1"/>
  <c r="Y227" i="1"/>
  <c r="AC227" i="1"/>
  <c r="Z227" i="1"/>
  <c r="AD227" i="1"/>
  <c r="AA227" i="1"/>
  <c r="Y211" i="1"/>
  <c r="AC211" i="1"/>
  <c r="AA211" i="1"/>
  <c r="AD211" i="1"/>
  <c r="Z211" i="1"/>
  <c r="AB211" i="1"/>
  <c r="Y195" i="1"/>
  <c r="AC195" i="1"/>
  <c r="Z195" i="1"/>
  <c r="AD195" i="1"/>
  <c r="AA195" i="1"/>
  <c r="AB195" i="1"/>
  <c r="Y179" i="1"/>
  <c r="AC179" i="1"/>
  <c r="Z179" i="1"/>
  <c r="AD179" i="1"/>
  <c r="AA179" i="1"/>
  <c r="AB179" i="1"/>
  <c r="Y163" i="1"/>
  <c r="AC163" i="1"/>
  <c r="Z163" i="1"/>
  <c r="AD163" i="1"/>
  <c r="AA163" i="1"/>
  <c r="AB163" i="1"/>
  <c r="Y147" i="1"/>
  <c r="AC147" i="1"/>
  <c r="Z147" i="1"/>
  <c r="AD147" i="1"/>
  <c r="AA147" i="1"/>
  <c r="AB147" i="1"/>
  <c r="Y131" i="1"/>
  <c r="AC131" i="1"/>
  <c r="Z131" i="1"/>
  <c r="AD131" i="1"/>
  <c r="AA131" i="1"/>
  <c r="AB131" i="1"/>
  <c r="AB115" i="1"/>
  <c r="Z115" i="1"/>
  <c r="AD115" i="1"/>
  <c r="AA115" i="1"/>
  <c r="AC115" i="1"/>
  <c r="Y115" i="1"/>
  <c r="AB99" i="1"/>
  <c r="Y99" i="1"/>
  <c r="AC99" i="1"/>
  <c r="Z99" i="1"/>
  <c r="AD99" i="1"/>
  <c r="AA99" i="1"/>
  <c r="AB83" i="1"/>
  <c r="Y83" i="1"/>
  <c r="AC83" i="1"/>
  <c r="Z83" i="1"/>
  <c r="AD83" i="1"/>
  <c r="AA83" i="1"/>
  <c r="AA67" i="1"/>
  <c r="AB67" i="1"/>
  <c r="Y67" i="1"/>
  <c r="AC67" i="1"/>
  <c r="AD67" i="1"/>
  <c r="Z67" i="1"/>
  <c r="Z51" i="1"/>
  <c r="AD51" i="1"/>
  <c r="AA51" i="1"/>
  <c r="AB51" i="1"/>
  <c r="AC51" i="1"/>
  <c r="Y51" i="1"/>
  <c r="Z35" i="1"/>
  <c r="AD35" i="1"/>
  <c r="AA35" i="1"/>
  <c r="AB35" i="1"/>
  <c r="AC35" i="1"/>
  <c r="Y35" i="1"/>
  <c r="Y19" i="1"/>
  <c r="L21" i="5" s="1"/>
  <c r="AC19" i="1"/>
  <c r="P21" i="5" s="1"/>
  <c r="Z19" i="1"/>
  <c r="M21" i="5" s="1"/>
  <c r="AD19" i="1"/>
  <c r="Q21" i="5" s="1"/>
  <c r="AA19" i="1"/>
  <c r="N21" i="5" s="1"/>
  <c r="AB19" i="1"/>
  <c r="O21" i="5" s="1"/>
  <c r="Y3" i="1"/>
  <c r="L5" i="5" s="1"/>
  <c r="AC3" i="1"/>
  <c r="P5" i="5" s="1"/>
  <c r="Z3" i="1"/>
  <c r="M5" i="5" s="1"/>
  <c r="AD3" i="1"/>
  <c r="Q5" i="5" s="1"/>
  <c r="AA3" i="1"/>
  <c r="N5" i="5" s="1"/>
  <c r="AB3" i="1"/>
  <c r="O5" i="5" s="1"/>
  <c r="AB602" i="1"/>
  <c r="Y602" i="1"/>
  <c r="AC602" i="1"/>
  <c r="Z602" i="1"/>
  <c r="AD602" i="1"/>
  <c r="AA602" i="1"/>
  <c r="AB586" i="1"/>
  <c r="Z586" i="1"/>
  <c r="AD586" i="1"/>
  <c r="Y586" i="1"/>
  <c r="AA586" i="1"/>
  <c r="AC586" i="1"/>
  <c r="AB570" i="1"/>
  <c r="Z570" i="1"/>
  <c r="AD570" i="1"/>
  <c r="Y570" i="1"/>
  <c r="AA570" i="1"/>
  <c r="AC570" i="1"/>
  <c r="AB554" i="1"/>
  <c r="Y554" i="1"/>
  <c r="AC554" i="1"/>
  <c r="Z554" i="1"/>
  <c r="AD554" i="1"/>
  <c r="AA554" i="1"/>
  <c r="AB538" i="1"/>
  <c r="Y538" i="1"/>
  <c r="AC538" i="1"/>
  <c r="Z538" i="1"/>
  <c r="AD538" i="1"/>
  <c r="AA538" i="1"/>
  <c r="AB522" i="1"/>
  <c r="Y522" i="1"/>
  <c r="AC522" i="1"/>
  <c r="Z522" i="1"/>
  <c r="AD522" i="1"/>
  <c r="AA522" i="1"/>
  <c r="AB506" i="1"/>
  <c r="Y506" i="1"/>
  <c r="AC506" i="1"/>
  <c r="Z506" i="1"/>
  <c r="AD506" i="1"/>
  <c r="AA506" i="1"/>
  <c r="AB490" i="1"/>
  <c r="Y490" i="1"/>
  <c r="AC490" i="1"/>
  <c r="Z490" i="1"/>
  <c r="AD490" i="1"/>
  <c r="AA490" i="1"/>
  <c r="AB474" i="1"/>
  <c r="Y474" i="1"/>
  <c r="AC474" i="1"/>
  <c r="Z474" i="1"/>
  <c r="AD474" i="1"/>
  <c r="AA474" i="1"/>
  <c r="AB458" i="1"/>
  <c r="Y458" i="1"/>
  <c r="AC458" i="1"/>
  <c r="Z458" i="1"/>
  <c r="AD458" i="1"/>
  <c r="AA458" i="1"/>
  <c r="AB442" i="1"/>
  <c r="Y442" i="1"/>
  <c r="AC442" i="1"/>
  <c r="Z442" i="1"/>
  <c r="AD442" i="1"/>
  <c r="AA442" i="1"/>
  <c r="AB426" i="1"/>
  <c r="Y426" i="1"/>
  <c r="AC426" i="1"/>
  <c r="Z426" i="1"/>
  <c r="AD426" i="1"/>
  <c r="AA426" i="1"/>
  <c r="AB410" i="1"/>
  <c r="Y410" i="1"/>
  <c r="AC410" i="1"/>
  <c r="Z410" i="1"/>
  <c r="AD410" i="1"/>
  <c r="AA410" i="1"/>
  <c r="AA394" i="1"/>
  <c r="Y394" i="1"/>
  <c r="AC394" i="1"/>
  <c r="Z394" i="1"/>
  <c r="AB394" i="1"/>
  <c r="AD394" i="1"/>
  <c r="AA378" i="1"/>
  <c r="AB378" i="1"/>
  <c r="Y378" i="1"/>
  <c r="AC378" i="1"/>
  <c r="Z378" i="1"/>
  <c r="AD378" i="1"/>
  <c r="AA362" i="1"/>
  <c r="AB362" i="1"/>
  <c r="Y362" i="1"/>
  <c r="AC362" i="1"/>
  <c r="Z362" i="1"/>
  <c r="AD362" i="1"/>
  <c r="AA346" i="1"/>
  <c r="AB346" i="1"/>
  <c r="Y346" i="1"/>
  <c r="AC346" i="1"/>
  <c r="Z346" i="1"/>
  <c r="AD346" i="1"/>
  <c r="AA330" i="1"/>
  <c r="AB330" i="1"/>
  <c r="Y330" i="1"/>
  <c r="AC330" i="1"/>
  <c r="Z330" i="1"/>
  <c r="AD330" i="1"/>
  <c r="AA314" i="1"/>
  <c r="AB314" i="1"/>
  <c r="Y314" i="1"/>
  <c r="AC314" i="1"/>
  <c r="Z314" i="1"/>
  <c r="AD314" i="1"/>
  <c r="Z298" i="1"/>
  <c r="AD298" i="1"/>
  <c r="AB298" i="1"/>
  <c r="AA298" i="1"/>
  <c r="AC298" i="1"/>
  <c r="Y298" i="1"/>
  <c r="Z282" i="1"/>
  <c r="AD282" i="1"/>
  <c r="AA282" i="1"/>
  <c r="AB282" i="1"/>
  <c r="AC282" i="1"/>
  <c r="Y282" i="1"/>
  <c r="Z266" i="1"/>
  <c r="AD266" i="1"/>
  <c r="AA266" i="1"/>
  <c r="AB266" i="1"/>
  <c r="AC266" i="1"/>
  <c r="Y266" i="1"/>
  <c r="Z250" i="1"/>
  <c r="AD250" i="1"/>
  <c r="AA250" i="1"/>
  <c r="AB250" i="1"/>
  <c r="AC250" i="1"/>
  <c r="Y250" i="1"/>
  <c r="Z234" i="1"/>
  <c r="AD234" i="1"/>
  <c r="AA234" i="1"/>
  <c r="AB234" i="1"/>
  <c r="AC234" i="1"/>
  <c r="Y234" i="1"/>
  <c r="Z218" i="1"/>
  <c r="AD218" i="1"/>
  <c r="AA218" i="1"/>
  <c r="AB218" i="1"/>
  <c r="AC218" i="1"/>
  <c r="Y218" i="1"/>
  <c r="AA202" i="1"/>
  <c r="AB202" i="1"/>
  <c r="Y202" i="1"/>
  <c r="AC202" i="1"/>
  <c r="Z202" i="1"/>
  <c r="AD202" i="1"/>
  <c r="AA186" i="1"/>
  <c r="AB186" i="1"/>
  <c r="Y186" i="1"/>
  <c r="AC186" i="1"/>
  <c r="Z186" i="1"/>
  <c r="AD186" i="1"/>
  <c r="AA170" i="1"/>
  <c r="AB170" i="1"/>
  <c r="Y170" i="1"/>
  <c r="AC170" i="1"/>
  <c r="Z170" i="1"/>
  <c r="AD170" i="1"/>
  <c r="AA154" i="1"/>
  <c r="AB154" i="1"/>
  <c r="Y154" i="1"/>
  <c r="AC154" i="1"/>
  <c r="Z154" i="1"/>
  <c r="AD154" i="1"/>
  <c r="AA138" i="1"/>
  <c r="AB138" i="1"/>
  <c r="Y138" i="1"/>
  <c r="AC138" i="1"/>
  <c r="Z138" i="1"/>
  <c r="AD138" i="1"/>
  <c r="AA122" i="1"/>
  <c r="AB122" i="1"/>
  <c r="Y122" i="1"/>
  <c r="AC122" i="1"/>
  <c r="Z122" i="1"/>
  <c r="AD122" i="1"/>
  <c r="Z106" i="1"/>
  <c r="AD106" i="1"/>
  <c r="AA106" i="1"/>
  <c r="AB106" i="1"/>
  <c r="Y106" i="1"/>
  <c r="AC106" i="1"/>
  <c r="Z90" i="1"/>
  <c r="AD90" i="1"/>
  <c r="AA90" i="1"/>
  <c r="AB90" i="1"/>
  <c r="Y90" i="1"/>
  <c r="AC90" i="1"/>
  <c r="Y74" i="1"/>
  <c r="AC74" i="1"/>
  <c r="AA74" i="1"/>
  <c r="AB74" i="1"/>
  <c r="AD74" i="1"/>
  <c r="Z74" i="1"/>
  <c r="AB58" i="1"/>
  <c r="AA58" i="1"/>
  <c r="AC58" i="1"/>
  <c r="Y58" i="1"/>
  <c r="AD58" i="1"/>
  <c r="Z58" i="1"/>
  <c r="AB42" i="1"/>
  <c r="AA42" i="1"/>
  <c r="AC42" i="1"/>
  <c r="Y42" i="1"/>
  <c r="AD42" i="1"/>
  <c r="Z42" i="1"/>
  <c r="AA26" i="1"/>
  <c r="AB26" i="1"/>
  <c r="Y26" i="1"/>
  <c r="Z26" i="1"/>
  <c r="AC26" i="1"/>
  <c r="AD26" i="1"/>
  <c r="AA10" i="1"/>
  <c r="N12" i="5" s="1"/>
  <c r="AB10" i="1"/>
  <c r="O12" i="5" s="1"/>
  <c r="Y10" i="1"/>
  <c r="L12" i="5" s="1"/>
  <c r="Z10" i="1"/>
  <c r="M12" i="5" s="1"/>
  <c r="AC10" i="1"/>
  <c r="P12" i="5" s="1"/>
  <c r="AD10" i="1"/>
  <c r="Q12" i="5" s="1"/>
  <c r="Z53" i="1"/>
  <c r="AD53" i="1"/>
  <c r="Y53" i="1"/>
  <c r="AA53" i="1"/>
  <c r="AB53" i="1"/>
  <c r="AC53" i="1"/>
  <c r="AB117" i="1"/>
  <c r="Z117" i="1"/>
  <c r="AD117" i="1"/>
  <c r="Y117" i="1"/>
  <c r="AA117" i="1"/>
  <c r="AC117" i="1"/>
  <c r="Y181" i="1"/>
  <c r="AC181" i="1"/>
  <c r="Z181" i="1"/>
  <c r="AD181" i="1"/>
  <c r="AA181" i="1"/>
  <c r="AB181" i="1"/>
  <c r="AB245" i="1"/>
  <c r="Y245" i="1"/>
  <c r="AC245" i="1"/>
  <c r="Z245" i="1"/>
  <c r="AD245" i="1"/>
  <c r="AA245" i="1"/>
  <c r="AA304" i="1"/>
  <c r="AB304" i="1"/>
  <c r="Y304" i="1"/>
  <c r="AC304" i="1"/>
  <c r="Z304" i="1"/>
  <c r="AD304" i="1"/>
  <c r="AA336" i="1"/>
  <c r="AB336" i="1"/>
  <c r="Y336" i="1"/>
  <c r="AC336" i="1"/>
  <c r="Z336" i="1"/>
  <c r="AD336" i="1"/>
  <c r="AA368" i="1"/>
  <c r="AB368" i="1"/>
  <c r="Y368" i="1"/>
  <c r="AC368" i="1"/>
  <c r="Z368" i="1"/>
  <c r="AD368" i="1"/>
  <c r="AB400" i="1"/>
  <c r="Y400" i="1"/>
  <c r="AC400" i="1"/>
  <c r="Z400" i="1"/>
  <c r="AD400" i="1"/>
  <c r="AA400" i="1"/>
  <c r="AB432" i="1"/>
  <c r="Y432" i="1"/>
  <c r="AC432" i="1"/>
  <c r="Z432" i="1"/>
  <c r="AD432" i="1"/>
  <c r="AA432" i="1"/>
  <c r="AB464" i="1"/>
  <c r="Y464" i="1"/>
  <c r="AC464" i="1"/>
  <c r="Z464" i="1"/>
  <c r="AD464" i="1"/>
  <c r="AA464" i="1"/>
  <c r="AB496" i="1"/>
  <c r="Y496" i="1"/>
  <c r="AC496" i="1"/>
  <c r="Z496" i="1"/>
  <c r="AD496" i="1"/>
  <c r="AA496" i="1"/>
  <c r="AB528" i="1"/>
  <c r="Y528" i="1"/>
  <c r="AC528" i="1"/>
  <c r="Z528" i="1"/>
  <c r="AD528" i="1"/>
  <c r="AA528" i="1"/>
  <c r="AB560" i="1"/>
  <c r="Y560" i="1"/>
  <c r="AC560" i="1"/>
  <c r="Z560" i="1"/>
  <c r="AD560" i="1"/>
  <c r="AA560" i="1"/>
  <c r="AB592" i="1"/>
  <c r="Y592" i="1"/>
  <c r="AC592" i="1"/>
  <c r="Z592" i="1"/>
  <c r="AD592" i="1"/>
  <c r="AA592" i="1"/>
  <c r="AB618" i="1"/>
  <c r="Y618" i="1"/>
  <c r="AC618" i="1"/>
  <c r="Z618" i="1"/>
  <c r="AD618" i="1"/>
  <c r="AA618" i="1"/>
  <c r="AB634" i="1"/>
  <c r="Y634" i="1"/>
  <c r="AC634" i="1"/>
  <c r="Z634" i="1"/>
  <c r="AD634" i="1"/>
  <c r="AA634" i="1"/>
  <c r="AB650" i="1"/>
  <c r="Y650" i="1"/>
  <c r="AC650" i="1"/>
  <c r="Z650" i="1"/>
  <c r="AD650" i="1"/>
  <c r="AA650" i="1"/>
  <c r="AB666" i="1"/>
  <c r="Y666" i="1"/>
  <c r="AC666" i="1"/>
  <c r="Z666" i="1"/>
  <c r="AD666" i="1"/>
  <c r="AA666" i="1"/>
  <c r="AB682" i="1"/>
  <c r="Y682" i="1"/>
  <c r="AC682" i="1"/>
  <c r="Z682" i="1"/>
  <c r="AD682" i="1"/>
  <c r="AA682" i="1"/>
  <c r="AB698" i="1"/>
  <c r="Y698" i="1"/>
  <c r="AC698" i="1"/>
  <c r="Z698" i="1"/>
  <c r="AD698" i="1"/>
  <c r="AA698" i="1"/>
  <c r="AB714" i="1"/>
  <c r="Y714" i="1"/>
  <c r="AC714" i="1"/>
  <c r="Z714" i="1"/>
  <c r="AD714" i="1"/>
  <c r="AA714" i="1"/>
  <c r="AB730" i="1"/>
  <c r="Y730" i="1"/>
  <c r="AC730" i="1"/>
  <c r="Z730" i="1"/>
  <c r="AD730" i="1"/>
  <c r="AA730" i="1"/>
  <c r="AB746" i="1"/>
  <c r="Z746" i="1"/>
  <c r="AD746" i="1"/>
  <c r="AC746" i="1"/>
  <c r="Y746" i="1"/>
  <c r="AA746" i="1"/>
  <c r="AA762" i="1"/>
  <c r="Z762" i="1"/>
  <c r="AB762" i="1"/>
  <c r="Y762" i="1"/>
  <c r="AC762" i="1"/>
  <c r="AD762" i="1"/>
  <c r="AA778" i="1"/>
  <c r="AD778" i="1"/>
  <c r="AB778" i="1"/>
  <c r="Y778" i="1"/>
  <c r="AC778" i="1"/>
  <c r="Z778" i="1"/>
  <c r="AA794" i="1"/>
  <c r="AB794" i="1"/>
  <c r="Z794" i="1"/>
  <c r="Y794" i="1"/>
  <c r="AC794" i="1"/>
  <c r="AD794" i="1"/>
  <c r="AA810" i="1"/>
  <c r="Z810" i="1"/>
  <c r="AB810" i="1"/>
  <c r="AD810" i="1"/>
  <c r="Y810" i="1"/>
  <c r="AC810" i="1"/>
  <c r="AA826" i="1"/>
  <c r="Z826" i="1"/>
  <c r="AB826" i="1"/>
  <c r="AD826" i="1"/>
  <c r="Y826" i="1"/>
  <c r="AC826" i="1"/>
  <c r="AA842" i="1"/>
  <c r="AD842" i="1"/>
  <c r="AB842" i="1"/>
  <c r="Z842" i="1"/>
  <c r="Y842" i="1"/>
  <c r="AC842" i="1"/>
  <c r="Y5" i="1"/>
  <c r="L7" i="5" s="1"/>
  <c r="AC5" i="1"/>
  <c r="P7" i="5" s="1"/>
  <c r="Z5" i="1"/>
  <c r="M7" i="5" s="1"/>
  <c r="AD5" i="1"/>
  <c r="Q7" i="5" s="1"/>
  <c r="AA5" i="1"/>
  <c r="N7" i="5" s="1"/>
  <c r="AB5" i="1"/>
  <c r="O7" i="5" s="1"/>
  <c r="J754" i="6"/>
  <c r="M754" i="6" s="1"/>
  <c r="J19" i="6"/>
  <c r="M19" i="6" s="1"/>
  <c r="J163" i="6"/>
  <c r="M163" i="6" s="1"/>
  <c r="J227" i="6"/>
  <c r="M227" i="6" s="1"/>
  <c r="J291" i="6"/>
  <c r="M291" i="6" s="1"/>
  <c r="J152" i="6"/>
  <c r="M152" i="6" s="1"/>
  <c r="J184" i="6"/>
  <c r="M184" i="6" s="1"/>
  <c r="J216" i="6"/>
  <c r="M216" i="6" s="1"/>
  <c r="J264" i="6"/>
  <c r="M264" i="6" s="1"/>
  <c r="J212" i="6"/>
  <c r="M212" i="6" s="1"/>
  <c r="J25" i="6"/>
  <c r="M25" i="6" s="1"/>
  <c r="J89" i="6"/>
  <c r="M89" i="6" s="1"/>
  <c r="J305" i="6"/>
  <c r="M305" i="6" s="1"/>
  <c r="J22" i="6"/>
  <c r="M22" i="6" s="1"/>
  <c r="J95" i="6"/>
  <c r="M95" i="6" s="1"/>
  <c r="J228" i="6"/>
  <c r="M228" i="6" s="1"/>
  <c r="J864" i="6"/>
  <c r="M864" i="6" s="1"/>
  <c r="J41" i="6"/>
  <c r="M41" i="6" s="1"/>
  <c r="J105" i="6"/>
  <c r="M105" i="6" s="1"/>
  <c r="J197" i="6"/>
  <c r="M197" i="6" s="1"/>
  <c r="J337" i="6"/>
  <c r="M337" i="6" s="1"/>
  <c r="J465" i="6"/>
  <c r="M465" i="6" s="1"/>
  <c r="J629" i="6"/>
  <c r="M629" i="6" s="1"/>
  <c r="J86" i="6"/>
  <c r="M86" i="6" s="1"/>
  <c r="J482" i="6"/>
  <c r="M482" i="6" s="1"/>
  <c r="J367" i="6"/>
  <c r="M367" i="6" s="1"/>
  <c r="J35" i="6"/>
  <c r="M35" i="6" s="1"/>
  <c r="J168" i="6"/>
  <c r="M168" i="6" s="1"/>
  <c r="J200" i="6"/>
  <c r="M200" i="6" s="1"/>
  <c r="J232" i="6"/>
  <c r="M232" i="6" s="1"/>
  <c r="J280" i="6"/>
  <c r="M280" i="6" s="1"/>
  <c r="J856" i="6"/>
  <c r="M856" i="6" s="1"/>
  <c r="J165" i="6"/>
  <c r="M165" i="6" s="1"/>
  <c r="J433" i="6"/>
  <c r="M433" i="6" s="1"/>
  <c r="J565" i="6"/>
  <c r="M565" i="6" s="1"/>
  <c r="J354" i="6"/>
  <c r="M354" i="6" s="1"/>
  <c r="J180" i="6"/>
  <c r="M180" i="6" s="1"/>
  <c r="J872" i="6"/>
  <c r="M872" i="6" s="1"/>
  <c r="J57" i="6"/>
  <c r="M57" i="6" s="1"/>
  <c r="J121" i="6"/>
  <c r="M121" i="6" s="1"/>
  <c r="J229" i="6"/>
  <c r="M229" i="6" s="1"/>
  <c r="J369" i="6"/>
  <c r="M369" i="6" s="1"/>
  <c r="J497" i="6"/>
  <c r="M497" i="6" s="1"/>
  <c r="J693" i="6"/>
  <c r="M693" i="6" s="1"/>
  <c r="J174" i="6"/>
  <c r="M174" i="6" s="1"/>
  <c r="J67" i="6"/>
  <c r="M67" i="6" s="1"/>
  <c r="J99" i="6"/>
  <c r="M99" i="6" s="1"/>
  <c r="J147" i="6"/>
  <c r="M147" i="6" s="1"/>
  <c r="J243" i="6"/>
  <c r="M243" i="6" s="1"/>
  <c r="J275" i="6"/>
  <c r="M275" i="6" s="1"/>
  <c r="J323" i="6"/>
  <c r="M323" i="6" s="1"/>
  <c r="J387" i="6"/>
  <c r="M387" i="6" s="1"/>
  <c r="J499" i="6"/>
  <c r="M499" i="6" s="1"/>
  <c r="J515" i="6"/>
  <c r="M515" i="6" s="1"/>
  <c r="J563" i="6"/>
  <c r="M563" i="6" s="1"/>
  <c r="J312" i="6"/>
  <c r="M312" i="6" s="1"/>
  <c r="J376" i="6"/>
  <c r="M376" i="6" s="1"/>
  <c r="J392" i="6"/>
  <c r="M392" i="6" s="1"/>
  <c r="J456" i="6"/>
  <c r="M456" i="6" s="1"/>
  <c r="J504" i="6"/>
  <c r="M504" i="6" s="1"/>
  <c r="J520" i="6"/>
  <c r="M520" i="6" s="1"/>
  <c r="J568" i="6"/>
  <c r="M568" i="6" s="1"/>
  <c r="J616" i="6"/>
  <c r="M616" i="6" s="1"/>
  <c r="J664" i="6"/>
  <c r="M664" i="6" s="1"/>
  <c r="J696" i="6"/>
  <c r="M696" i="6" s="1"/>
  <c r="J728" i="6"/>
  <c r="M728" i="6" s="1"/>
  <c r="J776" i="6"/>
  <c r="M776" i="6" s="1"/>
  <c r="J614" i="6"/>
  <c r="M614" i="6" s="1"/>
  <c r="J646" i="6"/>
  <c r="M646" i="6" s="1"/>
  <c r="J662" i="6"/>
  <c r="M662" i="6" s="1"/>
  <c r="J710" i="6"/>
  <c r="M710" i="6" s="1"/>
  <c r="J758" i="6"/>
  <c r="M758" i="6" s="1"/>
  <c r="J774" i="6"/>
  <c r="M774" i="6" s="1"/>
  <c r="J844" i="6"/>
  <c r="M844" i="6" s="1"/>
  <c r="J798" i="6"/>
  <c r="M798" i="6" s="1"/>
  <c r="J814" i="6"/>
  <c r="M814" i="6" s="1"/>
  <c r="J846" i="6"/>
  <c r="M846" i="6" s="1"/>
  <c r="J12" i="6"/>
  <c r="M12" i="6" s="1"/>
  <c r="J28" i="6"/>
  <c r="M28" i="6" s="1"/>
  <c r="J44" i="6"/>
  <c r="M44" i="6" s="1"/>
  <c r="J60" i="6"/>
  <c r="M60" i="6" s="1"/>
  <c r="J76" i="6"/>
  <c r="M76" i="6" s="1"/>
  <c r="J92" i="6"/>
  <c r="M92" i="6" s="1"/>
  <c r="J108" i="6"/>
  <c r="M108" i="6" s="1"/>
  <c r="J124" i="6"/>
  <c r="M124" i="6" s="1"/>
  <c r="J140" i="6"/>
  <c r="M140" i="6" s="1"/>
  <c r="J164" i="6"/>
  <c r="M164" i="6" s="1"/>
  <c r="J252" i="6"/>
  <c r="M252" i="6" s="1"/>
  <c r="J858" i="6"/>
  <c r="M858" i="6" s="1"/>
  <c r="J866" i="6"/>
  <c r="M866" i="6" s="1"/>
  <c r="J874" i="6"/>
  <c r="M874" i="6" s="1"/>
  <c r="J13" i="6"/>
  <c r="M13" i="6" s="1"/>
  <c r="J29" i="6"/>
  <c r="M29" i="6" s="1"/>
  <c r="J45" i="6"/>
  <c r="M45" i="6" s="1"/>
  <c r="J61" i="6"/>
  <c r="M61" i="6" s="1"/>
  <c r="J77" i="6"/>
  <c r="M77" i="6" s="1"/>
  <c r="J93" i="6"/>
  <c r="M93" i="6" s="1"/>
  <c r="J109" i="6"/>
  <c r="M109" i="6" s="1"/>
  <c r="J125" i="6"/>
  <c r="M125" i="6" s="1"/>
  <c r="J145" i="6"/>
  <c r="M145" i="6" s="1"/>
  <c r="J169" i="6"/>
  <c r="M169" i="6" s="1"/>
  <c r="J201" i="6"/>
  <c r="M201" i="6" s="1"/>
  <c r="J237" i="6"/>
  <c r="M237" i="6" s="1"/>
  <c r="J277" i="6"/>
  <c r="M277" i="6" s="1"/>
  <c r="J309" i="6"/>
  <c r="M309" i="6" s="1"/>
  <c r="J341" i="6"/>
  <c r="M341" i="6" s="1"/>
  <c r="J373" i="6"/>
  <c r="M373" i="6" s="1"/>
  <c r="J405" i="6"/>
  <c r="M405" i="6" s="1"/>
  <c r="J437" i="6"/>
  <c r="M437" i="6" s="1"/>
  <c r="J469" i="6"/>
  <c r="M469" i="6" s="1"/>
  <c r="J501" i="6"/>
  <c r="M501" i="6" s="1"/>
  <c r="J533" i="6"/>
  <c r="M533" i="6" s="1"/>
  <c r="J581" i="6"/>
  <c r="M581" i="6" s="1"/>
  <c r="J645" i="6"/>
  <c r="M645" i="6" s="1"/>
  <c r="J709" i="6"/>
  <c r="M709" i="6" s="1"/>
  <c r="J773" i="6"/>
  <c r="M773" i="6" s="1"/>
  <c r="J38" i="6"/>
  <c r="M38" i="6" s="1"/>
  <c r="J110" i="6"/>
  <c r="M110" i="6" s="1"/>
  <c r="J194" i="6"/>
  <c r="M194" i="6" s="1"/>
  <c r="J278" i="6"/>
  <c r="M278" i="6" s="1"/>
  <c r="J386" i="6"/>
  <c r="M386" i="6" s="1"/>
  <c r="J514" i="6"/>
  <c r="M514" i="6" s="1"/>
  <c r="J650" i="6"/>
  <c r="M650" i="6" s="1"/>
  <c r="J786" i="6"/>
  <c r="M786" i="6" s="1"/>
  <c r="J475" i="6"/>
  <c r="M475" i="6" s="1"/>
  <c r="J596" i="6"/>
  <c r="M596" i="6" s="1"/>
  <c r="J115" i="6"/>
  <c r="M115" i="6" s="1"/>
  <c r="J195" i="6"/>
  <c r="M195" i="6" s="1"/>
  <c r="J307" i="6"/>
  <c r="M307" i="6" s="1"/>
  <c r="J419" i="6"/>
  <c r="M419" i="6" s="1"/>
  <c r="J547" i="6"/>
  <c r="M547" i="6" s="1"/>
  <c r="J296" i="6"/>
  <c r="M296" i="6" s="1"/>
  <c r="J344" i="6"/>
  <c r="M344" i="6" s="1"/>
  <c r="J424" i="6"/>
  <c r="M424" i="6" s="1"/>
  <c r="J472" i="6"/>
  <c r="M472" i="6" s="1"/>
  <c r="J552" i="6"/>
  <c r="M552" i="6" s="1"/>
  <c r="J632" i="6"/>
  <c r="M632" i="6" s="1"/>
  <c r="J712" i="6"/>
  <c r="M712" i="6" s="1"/>
  <c r="J792" i="6"/>
  <c r="M792" i="6" s="1"/>
  <c r="J694" i="6"/>
  <c r="M694" i="6" s="1"/>
  <c r="J16" i="6"/>
  <c r="M16" i="6" s="1"/>
  <c r="J32" i="6"/>
  <c r="M32" i="6" s="1"/>
  <c r="J48" i="6"/>
  <c r="M48" i="6" s="1"/>
  <c r="J64" i="6"/>
  <c r="M64" i="6" s="1"/>
  <c r="J80" i="6"/>
  <c r="M80" i="6" s="1"/>
  <c r="J96" i="6"/>
  <c r="M96" i="6" s="1"/>
  <c r="J112" i="6"/>
  <c r="M112" i="6" s="1"/>
  <c r="J128" i="6"/>
  <c r="M128" i="6" s="1"/>
  <c r="J144" i="6"/>
  <c r="M144" i="6" s="1"/>
  <c r="J188" i="6"/>
  <c r="M188" i="6" s="1"/>
  <c r="J204" i="6"/>
  <c r="M204" i="6" s="1"/>
  <c r="J220" i="6"/>
  <c r="M220" i="6" s="1"/>
  <c r="J236" i="6"/>
  <c r="M236" i="6" s="1"/>
  <c r="J260" i="6"/>
  <c r="M260" i="6" s="1"/>
  <c r="J284" i="6"/>
  <c r="M284" i="6" s="1"/>
  <c r="J860" i="6"/>
  <c r="M860" i="6" s="1"/>
  <c r="J868" i="6"/>
  <c r="M868" i="6" s="1"/>
  <c r="J876" i="6"/>
  <c r="M876" i="6" s="1"/>
  <c r="J17" i="6"/>
  <c r="M17" i="6" s="1"/>
  <c r="J33" i="6"/>
  <c r="M33" i="6" s="1"/>
  <c r="J49" i="6"/>
  <c r="M49" i="6" s="1"/>
  <c r="J65" i="6"/>
  <c r="M65" i="6" s="1"/>
  <c r="J81" i="6"/>
  <c r="M81" i="6" s="1"/>
  <c r="J97" i="6"/>
  <c r="M97" i="6" s="1"/>
  <c r="J113" i="6"/>
  <c r="M113" i="6" s="1"/>
  <c r="J133" i="6"/>
  <c r="M133" i="6" s="1"/>
  <c r="J149" i="6"/>
  <c r="M149" i="6" s="1"/>
  <c r="J181" i="6"/>
  <c r="M181" i="6" s="1"/>
  <c r="J213" i="6"/>
  <c r="M213" i="6" s="1"/>
  <c r="J253" i="6"/>
  <c r="M253" i="6" s="1"/>
  <c r="J289" i="6"/>
  <c r="M289" i="6" s="1"/>
  <c r="J321" i="6"/>
  <c r="M321" i="6" s="1"/>
  <c r="J353" i="6"/>
  <c r="M353" i="6" s="1"/>
  <c r="J385" i="6"/>
  <c r="M385" i="6" s="1"/>
  <c r="J417" i="6"/>
  <c r="M417" i="6" s="1"/>
  <c r="J449" i="6"/>
  <c r="M449" i="6" s="1"/>
  <c r="J481" i="6"/>
  <c r="M481" i="6" s="1"/>
  <c r="J513" i="6"/>
  <c r="M513" i="6" s="1"/>
  <c r="J545" i="6"/>
  <c r="M545" i="6" s="1"/>
  <c r="J597" i="6"/>
  <c r="M597" i="6" s="1"/>
  <c r="J661" i="6"/>
  <c r="M661" i="6" s="1"/>
  <c r="J725" i="6"/>
  <c r="M725" i="6" s="1"/>
  <c r="J789" i="6"/>
  <c r="M789" i="6" s="1"/>
  <c r="J54" i="6"/>
  <c r="M54" i="6" s="1"/>
  <c r="J130" i="6"/>
  <c r="M130" i="6" s="1"/>
  <c r="J214" i="6"/>
  <c r="M214" i="6" s="1"/>
  <c r="J302" i="6"/>
  <c r="M302" i="6" s="1"/>
  <c r="J418" i="6"/>
  <c r="M418" i="6" s="1"/>
  <c r="J550" i="6"/>
  <c r="M550" i="6" s="1"/>
  <c r="J686" i="6"/>
  <c r="M686" i="6" s="1"/>
  <c r="J822" i="6"/>
  <c r="M822" i="6" s="1"/>
  <c r="J635" i="6"/>
  <c r="M635" i="6" s="1"/>
  <c r="J656" i="6"/>
  <c r="M656" i="6" s="1"/>
  <c r="J256" i="6"/>
  <c r="M256" i="6" s="1"/>
  <c r="J1562" i="6"/>
  <c r="M1562" i="6" s="1"/>
  <c r="J1373" i="6"/>
  <c r="M1373" i="6" s="1"/>
  <c r="J1208" i="6"/>
  <c r="M1208" i="6" s="1"/>
  <c r="J1127" i="6"/>
  <c r="M1127" i="6" s="1"/>
  <c r="J1082" i="6"/>
  <c r="M1082" i="6" s="1"/>
  <c r="J1056" i="6"/>
  <c r="M1056" i="6" s="1"/>
  <c r="J1033" i="6"/>
  <c r="M1033" i="6" s="1"/>
  <c r="J1010" i="6"/>
  <c r="M1010" i="6" s="1"/>
  <c r="J987" i="6"/>
  <c r="M987" i="6" s="1"/>
  <c r="J975" i="6"/>
  <c r="M975" i="6" s="1"/>
  <c r="J968" i="6"/>
  <c r="M968" i="6" s="1"/>
  <c r="J964" i="6"/>
  <c r="M964" i="6" s="1"/>
  <c r="J960" i="6"/>
  <c r="M960" i="6" s="1"/>
  <c r="J956" i="6"/>
  <c r="M956" i="6" s="1"/>
  <c r="J952" i="6"/>
  <c r="M952" i="6" s="1"/>
  <c r="J948" i="6"/>
  <c r="M948" i="6" s="1"/>
  <c r="J944" i="6"/>
  <c r="M944" i="6" s="1"/>
  <c r="J940" i="6"/>
  <c r="M940" i="6" s="1"/>
  <c r="J936" i="6"/>
  <c r="M936" i="6" s="1"/>
  <c r="J932" i="6"/>
  <c r="M932" i="6" s="1"/>
  <c r="J928" i="6"/>
  <c r="M928" i="6" s="1"/>
  <c r="J924" i="6"/>
  <c r="M924" i="6" s="1"/>
  <c r="J920" i="6"/>
  <c r="M920" i="6" s="1"/>
  <c r="J916" i="6"/>
  <c r="M916" i="6" s="1"/>
  <c r="J912" i="6"/>
  <c r="M912" i="6" s="1"/>
  <c r="J908" i="6"/>
  <c r="M908" i="6" s="1"/>
  <c r="J904" i="6"/>
  <c r="M904" i="6" s="1"/>
  <c r="J900" i="6"/>
  <c r="M900" i="6" s="1"/>
  <c r="J896" i="6"/>
  <c r="M896" i="6" s="1"/>
  <c r="J892" i="6"/>
  <c r="M892" i="6" s="1"/>
  <c r="J888" i="6"/>
  <c r="M888" i="6" s="1"/>
  <c r="J884" i="6"/>
  <c r="M884" i="6" s="1"/>
  <c r="J880" i="6"/>
  <c r="M880" i="6" s="1"/>
  <c r="J875" i="6"/>
  <c r="M875" i="6" s="1"/>
  <c r="J867" i="6"/>
  <c r="M867" i="6" s="1"/>
  <c r="J859" i="6"/>
  <c r="M859" i="6" s="1"/>
  <c r="J816" i="6"/>
  <c r="M816" i="6" s="1"/>
  <c r="J768" i="6"/>
  <c r="M768" i="6" s="1"/>
  <c r="J740" i="6"/>
  <c r="M740" i="6" s="1"/>
  <c r="J716" i="6"/>
  <c r="M716" i="6" s="1"/>
  <c r="J688" i="6"/>
  <c r="M688" i="6" s="1"/>
  <c r="J640" i="6"/>
  <c r="M640" i="6" s="1"/>
  <c r="J612" i="6"/>
  <c r="M612" i="6" s="1"/>
  <c r="J588" i="6"/>
  <c r="M588" i="6" s="1"/>
  <c r="J560" i="6"/>
  <c r="M560" i="6" s="1"/>
  <c r="J512" i="6"/>
  <c r="M512" i="6" s="1"/>
  <c r="J484" i="6"/>
  <c r="M484" i="6" s="1"/>
  <c r="J468" i="6"/>
  <c r="M468" i="6" s="1"/>
  <c r="J452" i="6"/>
  <c r="M452" i="6" s="1"/>
  <c r="J436" i="6"/>
  <c r="M436" i="6" s="1"/>
  <c r="J420" i="6"/>
  <c r="M420" i="6" s="1"/>
  <c r="J404" i="6"/>
  <c r="M404" i="6" s="1"/>
  <c r="J388" i="6"/>
  <c r="M388" i="6" s="1"/>
  <c r="J372" i="6"/>
  <c r="M372" i="6" s="1"/>
  <c r="J356" i="6"/>
  <c r="M356" i="6" s="1"/>
  <c r="J340" i="6"/>
  <c r="M340" i="6" s="1"/>
  <c r="J324" i="6"/>
  <c r="M324" i="6" s="1"/>
  <c r="J308" i="6"/>
  <c r="M308" i="6" s="1"/>
  <c r="J839" i="6"/>
  <c r="M839" i="6" s="1"/>
  <c r="J823" i="6"/>
  <c r="M823" i="6" s="1"/>
  <c r="J799" i="6"/>
  <c r="M799" i="6" s="1"/>
  <c r="J783" i="6"/>
  <c r="M783" i="6" s="1"/>
  <c r="J763" i="6"/>
  <c r="M763" i="6" s="1"/>
  <c r="J739" i="6"/>
  <c r="M739" i="6" s="1"/>
  <c r="J723" i="6"/>
  <c r="M723" i="6" s="1"/>
  <c r="J703" i="6"/>
  <c r="M703" i="6" s="1"/>
  <c r="J683" i="6"/>
  <c r="M683" i="6" s="1"/>
  <c r="J663" i="6"/>
  <c r="M663" i="6" s="1"/>
  <c r="J643" i="6"/>
  <c r="M643" i="6" s="1"/>
  <c r="J627" i="6"/>
  <c r="M627" i="6" s="1"/>
  <c r="J603" i="6"/>
  <c r="M603" i="6" s="1"/>
  <c r="J583" i="6"/>
  <c r="M583" i="6" s="1"/>
  <c r="J567" i="6"/>
  <c r="M567" i="6" s="1"/>
  <c r="J543" i="6"/>
  <c r="M543" i="6" s="1"/>
  <c r="J527" i="6"/>
  <c r="M527" i="6" s="1"/>
  <c r="J507" i="6"/>
  <c r="M507" i="6" s="1"/>
  <c r="J463" i="6"/>
  <c r="M463" i="6" s="1"/>
  <c r="J443" i="6"/>
  <c r="M443" i="6" s="1"/>
  <c r="J1457" i="6"/>
  <c r="M1457" i="6" s="1"/>
  <c r="J1701" i="6"/>
  <c r="M1701" i="6" s="1"/>
  <c r="J1517" i="6"/>
  <c r="M1517" i="6" s="1"/>
  <c r="J1328" i="6"/>
  <c r="M1328" i="6" s="1"/>
  <c r="J1185" i="6"/>
  <c r="M1185" i="6" s="1"/>
  <c r="J1116" i="6"/>
  <c r="M1116" i="6" s="1"/>
  <c r="J1070" i="6"/>
  <c r="M1070" i="6" s="1"/>
  <c r="J1047" i="6"/>
  <c r="M1047" i="6" s="1"/>
  <c r="J1024" i="6"/>
  <c r="M1024" i="6" s="1"/>
  <c r="J1001" i="6"/>
  <c r="M1001" i="6" s="1"/>
  <c r="J984" i="6"/>
  <c r="M984" i="6" s="1"/>
  <c r="J973" i="6"/>
  <c r="M973" i="6" s="1"/>
  <c r="J967" i="6"/>
  <c r="M967" i="6" s="1"/>
  <c r="J963" i="6"/>
  <c r="M963" i="6" s="1"/>
  <c r="J959" i="6"/>
  <c r="M959" i="6" s="1"/>
  <c r="J955" i="6"/>
  <c r="M955" i="6" s="1"/>
  <c r="J951" i="6"/>
  <c r="M951" i="6" s="1"/>
  <c r="J947" i="6"/>
  <c r="M947" i="6" s="1"/>
  <c r="J943" i="6"/>
  <c r="M943" i="6" s="1"/>
  <c r="J939" i="6"/>
  <c r="M939" i="6" s="1"/>
  <c r="J935" i="6"/>
  <c r="M935" i="6" s="1"/>
  <c r="J931" i="6"/>
  <c r="M931" i="6" s="1"/>
  <c r="J927" i="6"/>
  <c r="M927" i="6" s="1"/>
  <c r="J923" i="6"/>
  <c r="M923" i="6" s="1"/>
  <c r="J919" i="6"/>
  <c r="M919" i="6" s="1"/>
  <c r="J915" i="6"/>
  <c r="M915" i="6" s="1"/>
  <c r="J911" i="6"/>
  <c r="M911" i="6" s="1"/>
  <c r="J907" i="6"/>
  <c r="M907" i="6" s="1"/>
  <c r="J903" i="6"/>
  <c r="M903" i="6" s="1"/>
  <c r="J899" i="6"/>
  <c r="M899" i="6" s="1"/>
  <c r="J895" i="6"/>
  <c r="M895" i="6" s="1"/>
  <c r="J891" i="6"/>
  <c r="M891" i="6" s="1"/>
  <c r="J887" i="6"/>
  <c r="M887" i="6" s="1"/>
  <c r="J883" i="6"/>
  <c r="M883" i="6" s="1"/>
  <c r="J879" i="6"/>
  <c r="M879" i="6" s="1"/>
  <c r="J873" i="6"/>
  <c r="M873" i="6" s="1"/>
  <c r="J865" i="6"/>
  <c r="M865" i="6" s="1"/>
  <c r="J857" i="6"/>
  <c r="M857" i="6" s="1"/>
  <c r="J840" i="6"/>
  <c r="M840" i="6" s="1"/>
  <c r="J808" i="6"/>
  <c r="M808" i="6" s="1"/>
  <c r="J788" i="6"/>
  <c r="M788" i="6" s="1"/>
  <c r="J732" i="6"/>
  <c r="M732" i="6" s="1"/>
  <c r="J660" i="6"/>
  <c r="M660" i="6" s="1"/>
  <c r="J604" i="6"/>
  <c r="M604" i="6" s="1"/>
  <c r="J532" i="6"/>
  <c r="M532" i="6" s="1"/>
  <c r="J480" i="6"/>
  <c r="M480" i="6" s="1"/>
  <c r="J464" i="6"/>
  <c r="M464" i="6" s="1"/>
  <c r="J448" i="6"/>
  <c r="M448" i="6" s="1"/>
  <c r="J432" i="6"/>
  <c r="M432" i="6" s="1"/>
  <c r="J416" i="6"/>
  <c r="M416" i="6" s="1"/>
  <c r="J400" i="6"/>
  <c r="M400" i="6" s="1"/>
  <c r="J384" i="6"/>
  <c r="M384" i="6" s="1"/>
  <c r="J368" i="6"/>
  <c r="M368" i="6" s="1"/>
  <c r="J352" i="6"/>
  <c r="M352" i="6" s="1"/>
  <c r="J336" i="6"/>
  <c r="M336" i="6" s="1"/>
  <c r="J320" i="6"/>
  <c r="M320" i="6" s="1"/>
  <c r="J300" i="6"/>
  <c r="M300" i="6" s="1"/>
  <c r="J835" i="6"/>
  <c r="M835" i="6" s="1"/>
  <c r="J819" i="6"/>
  <c r="M819" i="6" s="1"/>
  <c r="J795" i="6"/>
  <c r="M795" i="6" s="1"/>
  <c r="J775" i="6"/>
  <c r="M775" i="6" s="1"/>
  <c r="J759" i="6"/>
  <c r="M759" i="6" s="1"/>
  <c r="J735" i="6"/>
  <c r="M735" i="6" s="1"/>
  <c r="J719" i="6"/>
  <c r="M719" i="6" s="1"/>
  <c r="J699" i="6"/>
  <c r="M699" i="6" s="1"/>
  <c r="J675" i="6"/>
  <c r="M675" i="6" s="1"/>
  <c r="J659" i="6"/>
  <c r="M659" i="6" s="1"/>
  <c r="J639" i="6"/>
  <c r="M639" i="6" s="1"/>
  <c r="J619" i="6"/>
  <c r="M619" i="6" s="1"/>
  <c r="J599" i="6"/>
  <c r="M599" i="6" s="1"/>
  <c r="J539" i="6"/>
  <c r="M539" i="6" s="1"/>
  <c r="J519" i="6"/>
  <c r="M519" i="6" s="1"/>
  <c r="J503" i="6"/>
  <c r="M503" i="6" s="1"/>
  <c r="J479" i="6"/>
  <c r="M479" i="6" s="1"/>
  <c r="J459" i="6"/>
  <c r="M459" i="6" s="1"/>
  <c r="J439" i="6"/>
  <c r="M439" i="6" s="1"/>
  <c r="J1270" i="6"/>
  <c r="M1270" i="6" s="1"/>
  <c r="J1654" i="6"/>
  <c r="M1654" i="6" s="1"/>
  <c r="J1472" i="6"/>
  <c r="M1472" i="6" s="1"/>
  <c r="J1281" i="6"/>
  <c r="M1281" i="6" s="1"/>
  <c r="J1149" i="6"/>
  <c r="M1149" i="6" s="1"/>
  <c r="J1104" i="6"/>
  <c r="M1104" i="6" s="1"/>
  <c r="J1066" i="6"/>
  <c r="M1066" i="6" s="1"/>
  <c r="J1044" i="6"/>
  <c r="M1044" i="6" s="1"/>
  <c r="J1021" i="6"/>
  <c r="M1021" i="6" s="1"/>
  <c r="J998" i="6"/>
  <c r="M998" i="6" s="1"/>
  <c r="J981" i="6"/>
  <c r="M981" i="6" s="1"/>
  <c r="J972" i="6"/>
  <c r="M972" i="6" s="1"/>
  <c r="J966" i="6"/>
  <c r="M966" i="6" s="1"/>
  <c r="J962" i="6"/>
  <c r="M962" i="6" s="1"/>
  <c r="J958" i="6"/>
  <c r="M958" i="6" s="1"/>
  <c r="J954" i="6"/>
  <c r="M954" i="6" s="1"/>
  <c r="J950" i="6"/>
  <c r="M950" i="6" s="1"/>
  <c r="J946" i="6"/>
  <c r="M946" i="6" s="1"/>
  <c r="J942" i="6"/>
  <c r="M942" i="6" s="1"/>
  <c r="J938" i="6"/>
  <c r="M938" i="6" s="1"/>
  <c r="J934" i="6"/>
  <c r="M934" i="6" s="1"/>
  <c r="J930" i="6"/>
  <c r="M930" i="6" s="1"/>
  <c r="J926" i="6"/>
  <c r="M926" i="6" s="1"/>
  <c r="J922" i="6"/>
  <c r="M922" i="6" s="1"/>
  <c r="J918" i="6"/>
  <c r="M918" i="6" s="1"/>
  <c r="J914" i="6"/>
  <c r="M914" i="6" s="1"/>
  <c r="J910" i="6"/>
  <c r="M910" i="6" s="1"/>
  <c r="J906" i="6"/>
  <c r="M906" i="6" s="1"/>
  <c r="J902" i="6"/>
  <c r="M902" i="6" s="1"/>
  <c r="J898" i="6"/>
  <c r="M898" i="6" s="1"/>
  <c r="J894" i="6"/>
  <c r="M894" i="6" s="1"/>
  <c r="J890" i="6"/>
  <c r="M890" i="6" s="1"/>
  <c r="J886" i="6"/>
  <c r="M886" i="6" s="1"/>
  <c r="J882" i="6"/>
  <c r="M882" i="6" s="1"/>
  <c r="J878" i="6"/>
  <c r="M878" i="6" s="1"/>
  <c r="J871" i="6"/>
  <c r="M871" i="6" s="1"/>
  <c r="J863" i="6"/>
  <c r="M863" i="6" s="1"/>
  <c r="J855" i="6"/>
  <c r="M855" i="6" s="1"/>
  <c r="J832" i="6"/>
  <c r="M832" i="6" s="1"/>
  <c r="J804" i="6"/>
  <c r="M804" i="6" s="1"/>
  <c r="J780" i="6"/>
  <c r="M780" i="6" s="1"/>
  <c r="J752" i="6"/>
  <c r="M752" i="6" s="1"/>
  <c r="J704" i="6"/>
  <c r="M704" i="6" s="1"/>
  <c r="J676" i="6"/>
  <c r="M676" i="6" s="1"/>
  <c r="J652" i="6"/>
  <c r="M652" i="6" s="1"/>
  <c r="J624" i="6"/>
  <c r="M624" i="6" s="1"/>
  <c r="J576" i="6"/>
  <c r="M576" i="6" s="1"/>
  <c r="J548" i="6"/>
  <c r="M548" i="6" s="1"/>
  <c r="J524" i="6"/>
  <c r="M524" i="6" s="1"/>
  <c r="J496" i="6"/>
  <c r="M496" i="6" s="1"/>
  <c r="J476" i="6"/>
  <c r="M476" i="6" s="1"/>
  <c r="J1090" i="6"/>
  <c r="M1090" i="6" s="1"/>
  <c r="J1139" i="6"/>
  <c r="M1139" i="6" s="1"/>
  <c r="J1012" i="6"/>
  <c r="M1012" i="6" s="1"/>
  <c r="J965" i="6"/>
  <c r="M965" i="6" s="1"/>
  <c r="J949" i="6"/>
  <c r="M949" i="6" s="1"/>
  <c r="J933" i="6"/>
  <c r="M933" i="6" s="1"/>
  <c r="J917" i="6"/>
  <c r="M917" i="6" s="1"/>
  <c r="J901" i="6"/>
  <c r="M901" i="6" s="1"/>
  <c r="J885" i="6"/>
  <c r="M885" i="6" s="1"/>
  <c r="J861" i="6"/>
  <c r="M861" i="6" s="1"/>
  <c r="J668" i="6"/>
  <c r="M668" i="6" s="1"/>
  <c r="J827" i="6"/>
  <c r="M827" i="6" s="1"/>
  <c r="J787" i="6"/>
  <c r="M787" i="6" s="1"/>
  <c r="J747" i="6"/>
  <c r="M747" i="6" s="1"/>
  <c r="J707" i="6"/>
  <c r="M707" i="6" s="1"/>
  <c r="J667" i="6"/>
  <c r="M667" i="6" s="1"/>
  <c r="J631" i="6"/>
  <c r="M631" i="6" s="1"/>
  <c r="J591" i="6"/>
  <c r="M591" i="6" s="1"/>
  <c r="J511" i="6"/>
  <c r="M511" i="6" s="1"/>
  <c r="J471" i="6"/>
  <c r="M471" i="6" s="1"/>
  <c r="J427" i="6"/>
  <c r="M427" i="6" s="1"/>
  <c r="J407" i="6"/>
  <c r="M407" i="6" s="1"/>
  <c r="J383" i="6"/>
  <c r="M383" i="6" s="1"/>
  <c r="J363" i="6"/>
  <c r="M363" i="6" s="1"/>
  <c r="J343" i="6"/>
  <c r="M343" i="6" s="1"/>
  <c r="J319" i="6"/>
  <c r="M319" i="6" s="1"/>
  <c r="J303" i="6"/>
  <c r="M303" i="6" s="1"/>
  <c r="J287" i="6"/>
  <c r="M287" i="6" s="1"/>
  <c r="J271" i="6"/>
  <c r="M271" i="6" s="1"/>
  <c r="J255" i="6"/>
  <c r="M255" i="6" s="1"/>
  <c r="J239" i="6"/>
  <c r="M239" i="6" s="1"/>
  <c r="J223" i="6"/>
  <c r="M223" i="6" s="1"/>
  <c r="J207" i="6"/>
  <c r="M207" i="6" s="1"/>
  <c r="J191" i="6"/>
  <c r="M191" i="6" s="1"/>
  <c r="J175" i="6"/>
  <c r="M175" i="6" s="1"/>
  <c r="J159" i="6"/>
  <c r="M159" i="6" s="1"/>
  <c r="J143" i="6"/>
  <c r="M143" i="6" s="1"/>
  <c r="J127" i="6"/>
  <c r="M127" i="6" s="1"/>
  <c r="J111" i="6"/>
  <c r="M111" i="6" s="1"/>
  <c r="J87" i="6"/>
  <c r="M87" i="6" s="1"/>
  <c r="J850" i="6"/>
  <c r="M850" i="6" s="1"/>
  <c r="J778" i="6"/>
  <c r="M778" i="6" s="1"/>
  <c r="J762" i="6"/>
  <c r="M762" i="6" s="1"/>
  <c r="J746" i="6"/>
  <c r="M746" i="6" s="1"/>
  <c r="J658" i="6"/>
  <c r="M658" i="6" s="1"/>
  <c r="J642" i="6"/>
  <c r="M642" i="6" s="1"/>
  <c r="J626" i="6"/>
  <c r="M626" i="6" s="1"/>
  <c r="J610" i="6"/>
  <c r="M610" i="6" s="1"/>
  <c r="J590" i="6"/>
  <c r="M590" i="6" s="1"/>
  <c r="J574" i="6"/>
  <c r="M574" i="6" s="1"/>
  <c r="J558" i="6"/>
  <c r="M558" i="6" s="1"/>
  <c r="J542" i="6"/>
  <c r="M542" i="6" s="1"/>
  <c r="J522" i="6"/>
  <c r="M522" i="6" s="1"/>
  <c r="J506" i="6"/>
  <c r="M506" i="6" s="1"/>
  <c r="J490" i="6"/>
  <c r="M490" i="6" s="1"/>
  <c r="J474" i="6"/>
  <c r="M474" i="6" s="1"/>
  <c r="J458" i="6"/>
  <c r="M458" i="6" s="1"/>
  <c r="J442" i="6"/>
  <c r="M442" i="6" s="1"/>
  <c r="J426" i="6"/>
  <c r="M426" i="6" s="1"/>
  <c r="J410" i="6"/>
  <c r="M410" i="6" s="1"/>
  <c r="J394" i="6"/>
  <c r="M394" i="6" s="1"/>
  <c r="J378" i="6"/>
  <c r="M378" i="6" s="1"/>
  <c r="J362" i="6"/>
  <c r="M362" i="6" s="1"/>
  <c r="J346" i="6"/>
  <c r="M346" i="6" s="1"/>
  <c r="J330" i="6"/>
  <c r="M330" i="6" s="1"/>
  <c r="J314" i="6"/>
  <c r="M314" i="6" s="1"/>
  <c r="J298" i="6"/>
  <c r="M298" i="6" s="1"/>
  <c r="J282" i="6"/>
  <c r="M282" i="6" s="1"/>
  <c r="J266" i="6"/>
  <c r="M266" i="6" s="1"/>
  <c r="J250" i="6"/>
  <c r="M250" i="6" s="1"/>
  <c r="J234" i="6"/>
  <c r="M234" i="6" s="1"/>
  <c r="J218" i="6"/>
  <c r="M218" i="6" s="1"/>
  <c r="J202" i="6"/>
  <c r="M202" i="6" s="1"/>
  <c r="J186" i="6"/>
  <c r="M186" i="6" s="1"/>
  <c r="J170" i="6"/>
  <c r="M170" i="6" s="1"/>
  <c r="J154" i="6"/>
  <c r="M154" i="6" s="1"/>
  <c r="J138" i="6"/>
  <c r="M138" i="6" s="1"/>
  <c r="J122" i="6"/>
  <c r="M122" i="6" s="1"/>
  <c r="J106" i="6"/>
  <c r="M106" i="6" s="1"/>
  <c r="J90" i="6"/>
  <c r="M90" i="6" s="1"/>
  <c r="J1608" i="6"/>
  <c r="M1608" i="6" s="1"/>
  <c r="J1094" i="6"/>
  <c r="M1094" i="6" s="1"/>
  <c r="J989" i="6"/>
  <c r="M989" i="6" s="1"/>
  <c r="J961" i="6"/>
  <c r="M961" i="6" s="1"/>
  <c r="J945" i="6"/>
  <c r="M945" i="6" s="1"/>
  <c r="J929" i="6"/>
  <c r="M929" i="6" s="1"/>
  <c r="J913" i="6"/>
  <c r="M913" i="6" s="1"/>
  <c r="J897" i="6"/>
  <c r="M897" i="6" s="1"/>
  <c r="J881" i="6"/>
  <c r="M881" i="6" s="1"/>
  <c r="J852" i="6"/>
  <c r="M852" i="6" s="1"/>
  <c r="J540" i="6"/>
  <c r="M540" i="6" s="1"/>
  <c r="J460" i="6"/>
  <c r="M460" i="6" s="1"/>
  <c r="J428" i="6"/>
  <c r="M428" i="6" s="1"/>
  <c r="J396" i="6"/>
  <c r="M396" i="6" s="1"/>
  <c r="J364" i="6"/>
  <c r="M364" i="6" s="1"/>
  <c r="J332" i="6"/>
  <c r="M332" i="6" s="1"/>
  <c r="J811" i="6"/>
  <c r="M811" i="6" s="1"/>
  <c r="J771" i="6"/>
  <c r="M771" i="6" s="1"/>
  <c r="J731" i="6"/>
  <c r="M731" i="6" s="1"/>
  <c r="J695" i="6"/>
  <c r="M695" i="6" s="1"/>
  <c r="J655" i="6"/>
  <c r="M655" i="6" s="1"/>
  <c r="J611" i="6"/>
  <c r="M611" i="6" s="1"/>
  <c r="J575" i="6"/>
  <c r="M575" i="6" s="1"/>
  <c r="J535" i="6"/>
  <c r="M535" i="6" s="1"/>
  <c r="J399" i="6"/>
  <c r="M399" i="6" s="1"/>
  <c r="J379" i="6"/>
  <c r="M379" i="6" s="1"/>
  <c r="J335" i="6"/>
  <c r="M335" i="6" s="1"/>
  <c r="J315" i="6"/>
  <c r="M315" i="6" s="1"/>
  <c r="J299" i="6"/>
  <c r="M299" i="6" s="1"/>
  <c r="J283" i="6"/>
  <c r="M283" i="6" s="1"/>
  <c r="J267" i="6"/>
  <c r="M267" i="6" s="1"/>
  <c r="J251" i="6"/>
  <c r="M251" i="6" s="1"/>
  <c r="J235" i="6"/>
  <c r="M235" i="6" s="1"/>
  <c r="J219" i="6"/>
  <c r="M219" i="6" s="1"/>
  <c r="J203" i="6"/>
  <c r="M203" i="6" s="1"/>
  <c r="J187" i="6"/>
  <c r="M187" i="6" s="1"/>
  <c r="J171" i="6"/>
  <c r="M171" i="6" s="1"/>
  <c r="J155" i="6"/>
  <c r="M155" i="6" s="1"/>
  <c r="J139" i="6"/>
  <c r="M139" i="6" s="1"/>
  <c r="J123" i="6"/>
  <c r="M123" i="6" s="1"/>
  <c r="J103" i="6"/>
  <c r="M103" i="6" s="1"/>
  <c r="J63" i="6"/>
  <c r="M63" i="6" s="1"/>
  <c r="J47" i="6"/>
  <c r="M47" i="6" s="1"/>
  <c r="J31" i="6"/>
  <c r="M31" i="6" s="1"/>
  <c r="J11" i="6"/>
  <c r="M11" i="6" s="1"/>
  <c r="J826" i="6"/>
  <c r="M826" i="6" s="1"/>
  <c r="J810" i="6"/>
  <c r="M810" i="6" s="1"/>
  <c r="J722" i="6"/>
  <c r="M722" i="6" s="1"/>
  <c r="J706" i="6"/>
  <c r="M706" i="6" s="1"/>
  <c r="J690" i="6"/>
  <c r="M690" i="6" s="1"/>
  <c r="J674" i="6"/>
  <c r="M674" i="6" s="1"/>
  <c r="J654" i="6"/>
  <c r="M654" i="6" s="1"/>
  <c r="J638" i="6"/>
  <c r="M638" i="6" s="1"/>
  <c r="J622" i="6"/>
  <c r="M622" i="6" s="1"/>
  <c r="J606" i="6"/>
  <c r="M606" i="6" s="1"/>
  <c r="J586" i="6"/>
  <c r="M586" i="6" s="1"/>
  <c r="J570" i="6"/>
  <c r="M570" i="6" s="1"/>
  <c r="J554" i="6"/>
  <c r="M554" i="6" s="1"/>
  <c r="J534" i="6"/>
  <c r="M534" i="6" s="1"/>
  <c r="J518" i="6"/>
  <c r="M518" i="6" s="1"/>
  <c r="J502" i="6"/>
  <c r="M502" i="6" s="1"/>
  <c r="J486" i="6"/>
  <c r="M486" i="6" s="1"/>
  <c r="J470" i="6"/>
  <c r="M470" i="6" s="1"/>
  <c r="J454" i="6"/>
  <c r="M454" i="6" s="1"/>
  <c r="J438" i="6"/>
  <c r="M438" i="6" s="1"/>
  <c r="J422" i="6"/>
  <c r="M422" i="6" s="1"/>
  <c r="J406" i="6"/>
  <c r="M406" i="6" s="1"/>
  <c r="J390" i="6"/>
  <c r="M390" i="6" s="1"/>
  <c r="J374" i="6"/>
  <c r="M374" i="6" s="1"/>
  <c r="J358" i="6"/>
  <c r="M358" i="6" s="1"/>
  <c r="J342" i="6"/>
  <c r="M342" i="6" s="1"/>
  <c r="J326" i="6"/>
  <c r="M326" i="6" s="1"/>
  <c r="J1425" i="6"/>
  <c r="M1425" i="6" s="1"/>
  <c r="J1059" i="6"/>
  <c r="M1059" i="6" s="1"/>
  <c r="J978" i="6"/>
  <c r="M978" i="6" s="1"/>
  <c r="J957" i="6"/>
  <c r="M957" i="6" s="1"/>
  <c r="J941" i="6"/>
  <c r="M941" i="6" s="1"/>
  <c r="J925" i="6"/>
  <c r="M925" i="6" s="1"/>
  <c r="J909" i="6"/>
  <c r="M909" i="6" s="1"/>
  <c r="J893" i="6"/>
  <c r="M893" i="6" s="1"/>
  <c r="J877" i="6"/>
  <c r="M877" i="6" s="1"/>
  <c r="J824" i="6"/>
  <c r="M824" i="6" s="1"/>
  <c r="J724" i="6"/>
  <c r="M724" i="6" s="1"/>
  <c r="J292" i="6"/>
  <c r="M292" i="6" s="1"/>
  <c r="J803" i="6"/>
  <c r="M803" i="6" s="1"/>
  <c r="J767" i="6"/>
  <c r="M767" i="6" s="1"/>
  <c r="J727" i="6"/>
  <c r="M727" i="6" s="1"/>
  <c r="J691" i="6"/>
  <c r="M691" i="6" s="1"/>
  <c r="J647" i="6"/>
  <c r="M647" i="6" s="1"/>
  <c r="J607" i="6"/>
  <c r="M607" i="6" s="1"/>
  <c r="J571" i="6"/>
  <c r="M571" i="6" s="1"/>
  <c r="J491" i="6"/>
  <c r="M491" i="6" s="1"/>
  <c r="J447" i="6"/>
  <c r="M447" i="6" s="1"/>
  <c r="J415" i="6"/>
  <c r="M415" i="6" s="1"/>
  <c r="J395" i="6"/>
  <c r="M395" i="6" s="1"/>
  <c r="J375" i="6"/>
  <c r="M375" i="6" s="1"/>
  <c r="J351" i="6"/>
  <c r="M351" i="6" s="1"/>
  <c r="J331" i="6"/>
  <c r="M331" i="6" s="1"/>
  <c r="J311" i="6"/>
  <c r="M311" i="6" s="1"/>
  <c r="J295" i="6"/>
  <c r="M295" i="6" s="1"/>
  <c r="J279" i="6"/>
  <c r="M279" i="6" s="1"/>
  <c r="J263" i="6"/>
  <c r="M263" i="6" s="1"/>
  <c r="J247" i="6"/>
  <c r="M247" i="6" s="1"/>
  <c r="J231" i="6"/>
  <c r="M231" i="6" s="1"/>
  <c r="J215" i="6"/>
  <c r="M215" i="6" s="1"/>
  <c r="J199" i="6"/>
  <c r="M199" i="6" s="1"/>
  <c r="J183" i="6"/>
  <c r="M183" i="6" s="1"/>
  <c r="J167" i="6"/>
  <c r="M167" i="6" s="1"/>
  <c r="J151" i="6"/>
  <c r="M151" i="6" s="1"/>
  <c r="J135" i="6"/>
  <c r="M135" i="6" s="1"/>
  <c r="J119" i="6"/>
  <c r="M119" i="6" s="1"/>
  <c r="J79" i="6"/>
  <c r="M79" i="6" s="1"/>
  <c r="J59" i="6"/>
  <c r="M59" i="6" s="1"/>
  <c r="J43" i="6"/>
  <c r="M43" i="6" s="1"/>
  <c r="J27" i="6"/>
  <c r="M27" i="6" s="1"/>
  <c r="J7" i="6"/>
  <c r="M7" i="6" s="1"/>
  <c r="J1237" i="6"/>
  <c r="M1237" i="6" s="1"/>
  <c r="J937" i="6"/>
  <c r="M937" i="6" s="1"/>
  <c r="J869" i="6"/>
  <c r="M869" i="6" s="1"/>
  <c r="J348" i="6"/>
  <c r="M348" i="6" s="1"/>
  <c r="J755" i="6"/>
  <c r="M755" i="6" s="1"/>
  <c r="J595" i="6"/>
  <c r="M595" i="6" s="1"/>
  <c r="J431" i="6"/>
  <c r="M431" i="6" s="1"/>
  <c r="J347" i="6"/>
  <c r="M347" i="6" s="1"/>
  <c r="J75" i="6"/>
  <c r="M75" i="6" s="1"/>
  <c r="J3" i="6"/>
  <c r="M3" i="6" s="1"/>
  <c r="J818" i="6"/>
  <c r="M818" i="6" s="1"/>
  <c r="J782" i="6"/>
  <c r="M782" i="6" s="1"/>
  <c r="J750" i="6"/>
  <c r="M750" i="6" s="1"/>
  <c r="J714" i="6"/>
  <c r="M714" i="6" s="1"/>
  <c r="J682" i="6"/>
  <c r="M682" i="6" s="1"/>
  <c r="J578" i="6"/>
  <c r="M578" i="6" s="1"/>
  <c r="J546" i="6"/>
  <c r="M546" i="6" s="1"/>
  <c r="J510" i="6"/>
  <c r="M510" i="6" s="1"/>
  <c r="J478" i="6"/>
  <c r="M478" i="6" s="1"/>
  <c r="J446" i="6"/>
  <c r="M446" i="6" s="1"/>
  <c r="J414" i="6"/>
  <c r="M414" i="6" s="1"/>
  <c r="J382" i="6"/>
  <c r="M382" i="6" s="1"/>
  <c r="J350" i="6"/>
  <c r="M350" i="6" s="1"/>
  <c r="J318" i="6"/>
  <c r="M318" i="6" s="1"/>
  <c r="J294" i="6"/>
  <c r="M294" i="6" s="1"/>
  <c r="J274" i="6"/>
  <c r="M274" i="6" s="1"/>
  <c r="J254" i="6"/>
  <c r="M254" i="6" s="1"/>
  <c r="J230" i="6"/>
  <c r="M230" i="6" s="1"/>
  <c r="J210" i="6"/>
  <c r="M210" i="6" s="1"/>
  <c r="J190" i="6"/>
  <c r="M190" i="6" s="1"/>
  <c r="J166" i="6"/>
  <c r="M166" i="6" s="1"/>
  <c r="J146" i="6"/>
  <c r="M146" i="6" s="1"/>
  <c r="J126" i="6"/>
  <c r="M126" i="6" s="1"/>
  <c r="J102" i="6"/>
  <c r="M102" i="6" s="1"/>
  <c r="J82" i="6"/>
  <c r="M82" i="6" s="1"/>
  <c r="J66" i="6"/>
  <c r="M66" i="6" s="1"/>
  <c r="J50" i="6"/>
  <c r="M50" i="6" s="1"/>
  <c r="J34" i="6"/>
  <c r="M34" i="6" s="1"/>
  <c r="J18" i="6"/>
  <c r="M18" i="6" s="1"/>
  <c r="J838" i="6"/>
  <c r="M838" i="6" s="1"/>
  <c r="J785" i="6"/>
  <c r="M785" i="6" s="1"/>
  <c r="J769" i="6"/>
  <c r="M769" i="6" s="1"/>
  <c r="J753" i="6"/>
  <c r="M753" i="6" s="1"/>
  <c r="J737" i="6"/>
  <c r="M737" i="6" s="1"/>
  <c r="J721" i="6"/>
  <c r="M721" i="6" s="1"/>
  <c r="J705" i="6"/>
  <c r="M705" i="6" s="1"/>
  <c r="J689" i="6"/>
  <c r="M689" i="6" s="1"/>
  <c r="J673" i="6"/>
  <c r="M673" i="6" s="1"/>
  <c r="J657" i="6"/>
  <c r="M657" i="6" s="1"/>
  <c r="J641" i="6"/>
  <c r="M641" i="6" s="1"/>
  <c r="J625" i="6"/>
  <c r="M625" i="6" s="1"/>
  <c r="J609" i="6"/>
  <c r="M609" i="6" s="1"/>
  <c r="J593" i="6"/>
  <c r="M593" i="6" s="1"/>
  <c r="J577" i="6"/>
  <c r="M577" i="6" s="1"/>
  <c r="J561" i="6"/>
  <c r="M561" i="6" s="1"/>
  <c r="J1034" i="6"/>
  <c r="M1034" i="6" s="1"/>
  <c r="J921" i="6"/>
  <c r="M921" i="6" s="1"/>
  <c r="J796" i="6"/>
  <c r="M796" i="6" s="1"/>
  <c r="J444" i="6"/>
  <c r="M444" i="6" s="1"/>
  <c r="J316" i="6"/>
  <c r="M316" i="6" s="1"/>
  <c r="J711" i="6"/>
  <c r="M711" i="6" s="1"/>
  <c r="J555" i="6"/>
  <c r="M555" i="6" s="1"/>
  <c r="J411" i="6"/>
  <c r="M411" i="6" s="1"/>
  <c r="J55" i="6"/>
  <c r="M55" i="6" s="1"/>
  <c r="J842" i="6"/>
  <c r="M842" i="6" s="1"/>
  <c r="J806" i="6"/>
  <c r="M806" i="6" s="1"/>
  <c r="J770" i="6"/>
  <c r="M770" i="6" s="1"/>
  <c r="J738" i="6"/>
  <c r="M738" i="6" s="1"/>
  <c r="J702" i="6"/>
  <c r="M702" i="6" s="1"/>
  <c r="J670" i="6"/>
  <c r="M670" i="6" s="1"/>
  <c r="J634" i="6"/>
  <c r="M634" i="6" s="1"/>
  <c r="J566" i="6"/>
  <c r="M566" i="6" s="1"/>
  <c r="J530" i="6"/>
  <c r="M530" i="6" s="1"/>
  <c r="J498" i="6"/>
  <c r="M498" i="6" s="1"/>
  <c r="J466" i="6"/>
  <c r="M466" i="6" s="1"/>
  <c r="J434" i="6"/>
  <c r="M434" i="6" s="1"/>
  <c r="J402" i="6"/>
  <c r="M402" i="6" s="1"/>
  <c r="J370" i="6"/>
  <c r="M370" i="6" s="1"/>
  <c r="J338" i="6"/>
  <c r="M338" i="6" s="1"/>
  <c r="J310" i="6"/>
  <c r="M310" i="6" s="1"/>
  <c r="J290" i="6"/>
  <c r="M290" i="6" s="1"/>
  <c r="J270" i="6"/>
  <c r="M270" i="6" s="1"/>
  <c r="J246" i="6"/>
  <c r="M246" i="6" s="1"/>
  <c r="J226" i="6"/>
  <c r="M226" i="6" s="1"/>
  <c r="J206" i="6"/>
  <c r="M206" i="6" s="1"/>
  <c r="J182" i="6"/>
  <c r="M182" i="6" s="1"/>
  <c r="J162" i="6"/>
  <c r="M162" i="6" s="1"/>
  <c r="J142" i="6"/>
  <c r="M142" i="6" s="1"/>
  <c r="J118" i="6"/>
  <c r="M118" i="6" s="1"/>
  <c r="J98" i="6"/>
  <c r="M98" i="6" s="1"/>
  <c r="J78" i="6"/>
  <c r="M78" i="6" s="1"/>
  <c r="J62" i="6"/>
  <c r="M62" i="6" s="1"/>
  <c r="J46" i="6"/>
  <c r="M46" i="6" s="1"/>
  <c r="J30" i="6"/>
  <c r="M30" i="6" s="1"/>
  <c r="J14" i="6"/>
  <c r="M14" i="6" s="1"/>
  <c r="J797" i="6"/>
  <c r="M797" i="6" s="1"/>
  <c r="J781" i="6"/>
  <c r="M781" i="6" s="1"/>
  <c r="J765" i="6"/>
  <c r="M765" i="6" s="1"/>
  <c r="J749" i="6"/>
  <c r="M749" i="6" s="1"/>
  <c r="J733" i="6"/>
  <c r="M733" i="6" s="1"/>
  <c r="J717" i="6"/>
  <c r="M717" i="6" s="1"/>
  <c r="J701" i="6"/>
  <c r="M701" i="6" s="1"/>
  <c r="J685" i="6"/>
  <c r="M685" i="6" s="1"/>
  <c r="J669" i="6"/>
  <c r="M669" i="6" s="1"/>
  <c r="J653" i="6"/>
  <c r="M653" i="6" s="1"/>
  <c r="J637" i="6"/>
  <c r="M637" i="6" s="1"/>
  <c r="J621" i="6"/>
  <c r="M621" i="6" s="1"/>
  <c r="J605" i="6"/>
  <c r="M605" i="6" s="1"/>
  <c r="J589" i="6"/>
  <c r="M589" i="6" s="1"/>
  <c r="J573" i="6"/>
  <c r="M573" i="6" s="1"/>
  <c r="J557" i="6"/>
  <c r="M557" i="6" s="1"/>
  <c r="J541" i="6"/>
  <c r="M541" i="6" s="1"/>
  <c r="J525" i="6"/>
  <c r="M525" i="6" s="1"/>
  <c r="J509" i="6"/>
  <c r="M509" i="6" s="1"/>
  <c r="J493" i="6"/>
  <c r="M493" i="6" s="1"/>
  <c r="J477" i="6"/>
  <c r="M477" i="6" s="1"/>
  <c r="J461" i="6"/>
  <c r="M461" i="6" s="1"/>
  <c r="J445" i="6"/>
  <c r="M445" i="6" s="1"/>
  <c r="J429" i="6"/>
  <c r="M429" i="6" s="1"/>
  <c r="J413" i="6"/>
  <c r="M413" i="6" s="1"/>
  <c r="J397" i="6"/>
  <c r="M397" i="6" s="1"/>
  <c r="J381" i="6"/>
  <c r="M381" i="6" s="1"/>
  <c r="J365" i="6"/>
  <c r="M365" i="6" s="1"/>
  <c r="J349" i="6"/>
  <c r="M349" i="6" s="1"/>
  <c r="J333" i="6"/>
  <c r="M333" i="6" s="1"/>
  <c r="J317" i="6"/>
  <c r="M317" i="6" s="1"/>
  <c r="J301" i="6"/>
  <c r="M301" i="6" s="1"/>
  <c r="J285" i="6"/>
  <c r="M285" i="6" s="1"/>
  <c r="J269" i="6"/>
  <c r="M269" i="6" s="1"/>
  <c r="J249" i="6"/>
  <c r="M249" i="6" s="1"/>
  <c r="J225" i="6"/>
  <c r="M225" i="6" s="1"/>
  <c r="J209" i="6"/>
  <c r="M209" i="6" s="1"/>
  <c r="J193" i="6"/>
  <c r="M193" i="6" s="1"/>
  <c r="J177" i="6"/>
  <c r="M177" i="6" s="1"/>
  <c r="J161" i="6"/>
  <c r="M161" i="6" s="1"/>
  <c r="J971" i="6"/>
  <c r="M971" i="6" s="1"/>
  <c r="J905" i="6"/>
  <c r="M905" i="6" s="1"/>
  <c r="J412" i="6"/>
  <c r="M412" i="6" s="1"/>
  <c r="J831" i="6"/>
  <c r="M831" i="6" s="1"/>
  <c r="J671" i="6"/>
  <c r="M671" i="6" s="1"/>
  <c r="J39" i="6"/>
  <c r="M39" i="6" s="1"/>
  <c r="J834" i="6"/>
  <c r="M834" i="6" s="1"/>
  <c r="J802" i="6"/>
  <c r="M802" i="6" s="1"/>
  <c r="J766" i="6"/>
  <c r="M766" i="6" s="1"/>
  <c r="J734" i="6"/>
  <c r="M734" i="6" s="1"/>
  <c r="J698" i="6"/>
  <c r="M698" i="6" s="1"/>
  <c r="J594" i="6"/>
  <c r="M594" i="6" s="1"/>
  <c r="J562" i="6"/>
  <c r="M562" i="6" s="1"/>
  <c r="J526" i="6"/>
  <c r="M526" i="6" s="1"/>
  <c r="J494" i="6"/>
  <c r="M494" i="6" s="1"/>
  <c r="J462" i="6"/>
  <c r="M462" i="6" s="1"/>
  <c r="J430" i="6"/>
  <c r="M430" i="6" s="1"/>
  <c r="J398" i="6"/>
  <c r="M398" i="6" s="1"/>
  <c r="J366" i="6"/>
  <c r="M366" i="6" s="1"/>
  <c r="J334" i="6"/>
  <c r="M334" i="6" s="1"/>
  <c r="J306" i="6"/>
  <c r="M306" i="6" s="1"/>
  <c r="J286" i="6"/>
  <c r="M286" i="6" s="1"/>
  <c r="J262" i="6"/>
  <c r="M262" i="6" s="1"/>
  <c r="J242" i="6"/>
  <c r="M242" i="6" s="1"/>
  <c r="J222" i="6"/>
  <c r="M222" i="6" s="1"/>
  <c r="J198" i="6"/>
  <c r="M198" i="6" s="1"/>
  <c r="J178" i="6"/>
  <c r="M178" i="6" s="1"/>
  <c r="J158" i="6"/>
  <c r="M158" i="6" s="1"/>
  <c r="J134" i="6"/>
  <c r="M134" i="6" s="1"/>
  <c r="J114" i="6"/>
  <c r="M114" i="6" s="1"/>
  <c r="J94" i="6"/>
  <c r="M94" i="6" s="1"/>
  <c r="J74" i="6"/>
  <c r="M74" i="6" s="1"/>
  <c r="J58" i="6"/>
  <c r="M58" i="6" s="1"/>
  <c r="J42" i="6"/>
  <c r="M42" i="6" s="1"/>
  <c r="J26" i="6"/>
  <c r="M26" i="6" s="1"/>
  <c r="J10" i="6"/>
  <c r="M10" i="6" s="1"/>
  <c r="J793" i="6"/>
  <c r="M793" i="6" s="1"/>
  <c r="J777" i="6"/>
  <c r="M777" i="6" s="1"/>
  <c r="J761" i="6"/>
  <c r="M761" i="6" s="1"/>
  <c r="J745" i="6"/>
  <c r="M745" i="6" s="1"/>
  <c r="J729" i="6"/>
  <c r="M729" i="6" s="1"/>
  <c r="J713" i="6"/>
  <c r="M713" i="6" s="1"/>
  <c r="J697" i="6"/>
  <c r="M697" i="6" s="1"/>
  <c r="J681" i="6"/>
  <c r="M681" i="6" s="1"/>
  <c r="J665" i="6"/>
  <c r="M665" i="6" s="1"/>
  <c r="J649" i="6"/>
  <c r="M649" i="6" s="1"/>
  <c r="J633" i="6"/>
  <c r="M633" i="6" s="1"/>
  <c r="J617" i="6"/>
  <c r="M617" i="6" s="1"/>
  <c r="J601" i="6"/>
  <c r="M601" i="6" s="1"/>
  <c r="J585" i="6"/>
  <c r="M585" i="6" s="1"/>
  <c r="J569" i="6"/>
  <c r="M569" i="6" s="1"/>
  <c r="J553" i="6"/>
  <c r="M553" i="6" s="1"/>
  <c r="J537" i="6"/>
  <c r="M537" i="6" s="1"/>
  <c r="J521" i="6"/>
  <c r="M521" i="6" s="1"/>
  <c r="J505" i="6"/>
  <c r="M505" i="6" s="1"/>
  <c r="J489" i="6"/>
  <c r="M489" i="6" s="1"/>
  <c r="J473" i="6"/>
  <c r="M473" i="6" s="1"/>
  <c r="J457" i="6"/>
  <c r="M457" i="6" s="1"/>
  <c r="J441" i="6"/>
  <c r="M441" i="6" s="1"/>
  <c r="J425" i="6"/>
  <c r="M425" i="6" s="1"/>
  <c r="J409" i="6"/>
  <c r="M409" i="6" s="1"/>
  <c r="J393" i="6"/>
  <c r="M393" i="6" s="1"/>
  <c r="J377" i="6"/>
  <c r="M377" i="6" s="1"/>
  <c r="J361" i="6"/>
  <c r="M361" i="6" s="1"/>
  <c r="J345" i="6"/>
  <c r="M345" i="6" s="1"/>
  <c r="J329" i="6"/>
  <c r="M329" i="6" s="1"/>
  <c r="J313" i="6"/>
  <c r="M313" i="6" s="1"/>
  <c r="J297" i="6"/>
  <c r="M297" i="6" s="1"/>
  <c r="J281" i="6"/>
  <c r="M281" i="6" s="1"/>
  <c r="J265" i="6"/>
  <c r="M265" i="6" s="1"/>
  <c r="J241" i="6"/>
  <c r="M241" i="6" s="1"/>
  <c r="J221" i="6"/>
  <c r="M221" i="6" s="1"/>
  <c r="J205" i="6"/>
  <c r="M205" i="6" s="1"/>
  <c r="J189" i="6"/>
  <c r="M189" i="6" s="1"/>
  <c r="J173" i="6"/>
  <c r="M173" i="6" s="1"/>
  <c r="J157" i="6"/>
  <c r="M157" i="6" s="1"/>
  <c r="J51" i="6"/>
  <c r="M51" i="6" s="1"/>
  <c r="J83" i="6"/>
  <c r="M83" i="6" s="1"/>
  <c r="J131" i="6"/>
  <c r="M131" i="6" s="1"/>
  <c r="J179" i="6"/>
  <c r="M179" i="6" s="1"/>
  <c r="J211" i="6"/>
  <c r="M211" i="6" s="1"/>
  <c r="J259" i="6"/>
  <c r="M259" i="6" s="1"/>
  <c r="J355" i="6"/>
  <c r="M355" i="6" s="1"/>
  <c r="J451" i="6"/>
  <c r="M451" i="6" s="1"/>
  <c r="J483" i="6"/>
  <c r="M483" i="6" s="1"/>
  <c r="J531" i="6"/>
  <c r="M531" i="6" s="1"/>
  <c r="J579" i="6"/>
  <c r="M579" i="6" s="1"/>
  <c r="J328" i="6"/>
  <c r="M328" i="6" s="1"/>
  <c r="J360" i="6"/>
  <c r="M360" i="6" s="1"/>
  <c r="J408" i="6"/>
  <c r="M408" i="6" s="1"/>
  <c r="J440" i="6"/>
  <c r="M440" i="6" s="1"/>
  <c r="J488" i="6"/>
  <c r="M488" i="6" s="1"/>
  <c r="J536" i="6"/>
  <c r="M536" i="6" s="1"/>
  <c r="J584" i="6"/>
  <c r="M584" i="6" s="1"/>
  <c r="J600" i="6"/>
  <c r="M600" i="6" s="1"/>
  <c r="J648" i="6"/>
  <c r="M648" i="6" s="1"/>
  <c r="J680" i="6"/>
  <c r="M680" i="6" s="1"/>
  <c r="J744" i="6"/>
  <c r="M744" i="6" s="1"/>
  <c r="J760" i="6"/>
  <c r="M760" i="6" s="1"/>
  <c r="J598" i="6"/>
  <c r="M598" i="6" s="1"/>
  <c r="J630" i="6"/>
  <c r="M630" i="6" s="1"/>
  <c r="J678" i="6"/>
  <c r="M678" i="6" s="1"/>
  <c r="J726" i="6"/>
  <c r="M726" i="6" s="1"/>
  <c r="J742" i="6"/>
  <c r="M742" i="6" s="1"/>
  <c r="J790" i="6"/>
  <c r="M790" i="6" s="1"/>
  <c r="J830" i="6"/>
  <c r="M830" i="6" s="1"/>
  <c r="J4" i="6"/>
  <c r="M4" i="6" s="1"/>
  <c r="J20" i="6"/>
  <c r="M20" i="6" s="1"/>
  <c r="J36" i="6"/>
  <c r="M36" i="6" s="1"/>
  <c r="J52" i="6"/>
  <c r="M52" i="6" s="1"/>
  <c r="J68" i="6"/>
  <c r="M68" i="6" s="1"/>
  <c r="J84" i="6"/>
  <c r="M84" i="6" s="1"/>
  <c r="J100" i="6"/>
  <c r="M100" i="6" s="1"/>
  <c r="J116" i="6"/>
  <c r="M116" i="6" s="1"/>
  <c r="J132" i="6"/>
  <c r="M132" i="6" s="1"/>
  <c r="J172" i="6"/>
  <c r="M172" i="6" s="1"/>
  <c r="J192" i="6"/>
  <c r="M192" i="6" s="1"/>
  <c r="J208" i="6"/>
  <c r="M208" i="6" s="1"/>
  <c r="J224" i="6"/>
  <c r="M224" i="6" s="1"/>
  <c r="J240" i="6"/>
  <c r="M240" i="6" s="1"/>
  <c r="J854" i="6"/>
  <c r="M854" i="6" s="1"/>
  <c r="J862" i="6"/>
  <c r="M862" i="6" s="1"/>
  <c r="J870" i="6"/>
  <c r="M870" i="6" s="1"/>
  <c r="J5" i="6"/>
  <c r="M5" i="6" s="1"/>
  <c r="J21" i="6"/>
  <c r="M21" i="6" s="1"/>
  <c r="J37" i="6"/>
  <c r="M37" i="6" s="1"/>
  <c r="J53" i="6"/>
  <c r="M53" i="6" s="1"/>
  <c r="J69" i="6"/>
  <c r="M69" i="6" s="1"/>
  <c r="J85" i="6"/>
  <c r="M85" i="6" s="1"/>
  <c r="J101" i="6"/>
  <c r="M101" i="6" s="1"/>
  <c r="J117" i="6"/>
  <c r="M117" i="6" s="1"/>
  <c r="J137" i="6"/>
  <c r="M137" i="6" s="1"/>
  <c r="J153" i="6"/>
  <c r="M153" i="6" s="1"/>
  <c r="J185" i="6"/>
  <c r="M185" i="6" s="1"/>
  <c r="J217" i="6"/>
  <c r="M217" i="6" s="1"/>
  <c r="J257" i="6"/>
  <c r="M257" i="6" s="1"/>
  <c r="J293" i="6"/>
  <c r="M293" i="6" s="1"/>
  <c r="J325" i="6"/>
  <c r="M325" i="6" s="1"/>
  <c r="J357" i="6"/>
  <c r="M357" i="6" s="1"/>
  <c r="J389" i="6"/>
  <c r="M389" i="6" s="1"/>
  <c r="J421" i="6"/>
  <c r="M421" i="6" s="1"/>
  <c r="J453" i="6"/>
  <c r="M453" i="6" s="1"/>
  <c r="J485" i="6"/>
  <c r="M485" i="6" s="1"/>
  <c r="J517" i="6"/>
  <c r="M517" i="6" s="1"/>
  <c r="J549" i="6"/>
  <c r="M549" i="6" s="1"/>
  <c r="J613" i="6"/>
  <c r="M613" i="6" s="1"/>
  <c r="J677" i="6"/>
  <c r="M677" i="6" s="1"/>
  <c r="J741" i="6"/>
  <c r="M741" i="6" s="1"/>
  <c r="J6" i="6"/>
  <c r="M6" i="6" s="1"/>
  <c r="J70" i="6"/>
  <c r="M70" i="6" s="1"/>
  <c r="J150" i="6"/>
  <c r="M150" i="6" s="1"/>
  <c r="J238" i="6"/>
  <c r="M238" i="6" s="1"/>
  <c r="J322" i="6"/>
  <c r="M322" i="6" s="1"/>
  <c r="J450" i="6"/>
  <c r="M450" i="6" s="1"/>
  <c r="J582" i="6"/>
  <c r="M582" i="6" s="1"/>
  <c r="J718" i="6"/>
  <c r="M718" i="6" s="1"/>
  <c r="J23" i="6"/>
  <c r="M23" i="6" s="1"/>
  <c r="J791" i="6"/>
  <c r="M791" i="6" s="1"/>
  <c r="J953" i="6"/>
  <c r="M953" i="6" s="1"/>
  <c r="J853" i="6"/>
  <c r="M853" i="6" s="1"/>
  <c r="J91" i="6"/>
  <c r="M91" i="6" s="1"/>
  <c r="J845" i="6"/>
  <c r="M845" i="6" s="1"/>
  <c r="J829" i="6"/>
  <c r="M829" i="6" s="1"/>
  <c r="J813" i="6"/>
  <c r="M813" i="6" s="1"/>
  <c r="J261" i="6"/>
  <c r="M261" i="6" s="1"/>
  <c r="J1702" i="6"/>
  <c r="M1702" i="6" s="1"/>
  <c r="J1690" i="6"/>
  <c r="M1690" i="6" s="1"/>
  <c r="J1676" i="6"/>
  <c r="M1676" i="6" s="1"/>
  <c r="J1664" i="6"/>
  <c r="M1664" i="6" s="1"/>
  <c r="J1651" i="6"/>
  <c r="M1651" i="6" s="1"/>
  <c r="J1638" i="6"/>
  <c r="M1638" i="6" s="1"/>
  <c r="J1626" i="6"/>
  <c r="M1626" i="6" s="1"/>
  <c r="J1612" i="6"/>
  <c r="M1612" i="6" s="1"/>
  <c r="J1600" i="6"/>
  <c r="M1600" i="6" s="1"/>
  <c r="J1586" i="6"/>
  <c r="M1586" i="6" s="1"/>
  <c r="J1573" i="6"/>
  <c r="M1573" i="6" s="1"/>
  <c r="J1560" i="6"/>
  <c r="M1560" i="6" s="1"/>
  <c r="J1547" i="6"/>
  <c r="M1547" i="6" s="1"/>
  <c r="J1534" i="6"/>
  <c r="M1534" i="6" s="1"/>
  <c r="J1521" i="6"/>
  <c r="M1521" i="6" s="1"/>
  <c r="J1507" i="6"/>
  <c r="M1507" i="6" s="1"/>
  <c r="J1493" i="6"/>
  <c r="M1493" i="6" s="1"/>
  <c r="J1481" i="6"/>
  <c r="M1481" i="6" s="1"/>
  <c r="J1467" i="6"/>
  <c r="M1467" i="6" s="1"/>
  <c r="J1455" i="6"/>
  <c r="M1455" i="6" s="1"/>
  <c r="J1441" i="6"/>
  <c r="M1441" i="6" s="1"/>
  <c r="J1429" i="6"/>
  <c r="M1429" i="6" s="1"/>
  <c r="J1415" i="6"/>
  <c r="M1415" i="6" s="1"/>
  <c r="J1406" i="6"/>
  <c r="M1406" i="6" s="1"/>
  <c r="J1396" i="6"/>
  <c r="M1396" i="6" s="1"/>
  <c r="J1384" i="6"/>
  <c r="M1384" i="6" s="1"/>
  <c r="J1370" i="6"/>
  <c r="M1370" i="6" s="1"/>
  <c r="J1358" i="6"/>
  <c r="M1358" i="6" s="1"/>
  <c r="J1346" i="6"/>
  <c r="M1346" i="6" s="1"/>
  <c r="J1334" i="6"/>
  <c r="M1334" i="6" s="1"/>
  <c r="J1320" i="6"/>
  <c r="M1320" i="6" s="1"/>
  <c r="J1306" i="6"/>
  <c r="M1306" i="6" s="1"/>
  <c r="J1294" i="6"/>
  <c r="M1294" i="6" s="1"/>
  <c r="J1282" i="6"/>
  <c r="M1282" i="6" s="1"/>
  <c r="J1264" i="6"/>
  <c r="M1264" i="6" s="1"/>
  <c r="J1249" i="6"/>
  <c r="M1249" i="6" s="1"/>
  <c r="J1234" i="6"/>
  <c r="M1234" i="6" s="1"/>
  <c r="J1216" i="6"/>
  <c r="M1216" i="6" s="1"/>
  <c r="J1200" i="6"/>
  <c r="M1200" i="6" s="1"/>
  <c r="J1192" i="6"/>
  <c r="M1192" i="6" s="1"/>
  <c r="J1186" i="6"/>
  <c r="M1186" i="6" s="1"/>
  <c r="J1174" i="6"/>
  <c r="M1174" i="6" s="1"/>
  <c r="J1160" i="6"/>
  <c r="M1160" i="6" s="1"/>
  <c r="J1148" i="6"/>
  <c r="M1148" i="6" s="1"/>
  <c r="J1134" i="6"/>
  <c r="M1134" i="6" s="1"/>
  <c r="J1121" i="6"/>
  <c r="M1121" i="6" s="1"/>
  <c r="J1109" i="6"/>
  <c r="M1109" i="6" s="1"/>
  <c r="J1095" i="6"/>
  <c r="M1095" i="6" s="1"/>
  <c r="J1083" i="6"/>
  <c r="M1083" i="6" s="1"/>
  <c r="J1071" i="6"/>
  <c r="M1071" i="6" s="1"/>
  <c r="J1057" i="6"/>
  <c r="M1057" i="6" s="1"/>
  <c r="J1045" i="6"/>
  <c r="M1045" i="6" s="1"/>
  <c r="J1031" i="6"/>
  <c r="M1031" i="6" s="1"/>
  <c r="J1019" i="6"/>
  <c r="M1019" i="6" s="1"/>
  <c r="J1005" i="6"/>
  <c r="M1005" i="6" s="1"/>
  <c r="J993" i="6"/>
  <c r="M993" i="6" s="1"/>
  <c r="J979" i="6"/>
  <c r="M979" i="6" s="1"/>
  <c r="J820" i="6"/>
  <c r="M820" i="6" s="1"/>
  <c r="J720" i="6"/>
  <c r="M720" i="6" s="1"/>
  <c r="J636" i="6"/>
  <c r="M636" i="6" s="1"/>
  <c r="J544" i="6"/>
  <c r="M544" i="6" s="1"/>
  <c r="J272" i="6"/>
  <c r="M272" i="6" s="1"/>
  <c r="J815" i="6"/>
  <c r="M815" i="6" s="1"/>
  <c r="J623" i="6"/>
  <c r="M623" i="6" s="1"/>
  <c r="J455" i="6"/>
  <c r="M455" i="6" s="1"/>
  <c r="J359" i="6"/>
  <c r="M359" i="6" s="1"/>
  <c r="J1700" i="6"/>
  <c r="M1700" i="6" s="1"/>
  <c r="J71" i="6"/>
  <c r="M71" i="6" s="1"/>
  <c r="J841" i="6"/>
  <c r="M841" i="6" s="1"/>
  <c r="J825" i="6"/>
  <c r="M825" i="6" s="1"/>
  <c r="J809" i="6"/>
  <c r="M809" i="6" s="1"/>
  <c r="J245" i="6"/>
  <c r="M245" i="6" s="1"/>
  <c r="J1699" i="6"/>
  <c r="M1699" i="6" s="1"/>
  <c r="J1687" i="6"/>
  <c r="M1687" i="6" s="1"/>
  <c r="J1673" i="6"/>
  <c r="M1673" i="6" s="1"/>
  <c r="J1661" i="6"/>
  <c r="M1661" i="6" s="1"/>
  <c r="J1648" i="6"/>
  <c r="M1648" i="6" s="1"/>
  <c r="J1635" i="6"/>
  <c r="M1635" i="6" s="1"/>
  <c r="J1622" i="6"/>
  <c r="M1622" i="6" s="1"/>
  <c r="J1609" i="6"/>
  <c r="M1609" i="6" s="1"/>
  <c r="J1597" i="6"/>
  <c r="M1597" i="6" s="1"/>
  <c r="J1583" i="6"/>
  <c r="M1583" i="6" s="1"/>
  <c r="J1569" i="6"/>
  <c r="M1569" i="6" s="1"/>
  <c r="J1557" i="6"/>
  <c r="M1557" i="6" s="1"/>
  <c r="J1544" i="6"/>
  <c r="M1544" i="6" s="1"/>
  <c r="J1530" i="6"/>
  <c r="M1530" i="6" s="1"/>
  <c r="J1518" i="6"/>
  <c r="M1518" i="6" s="1"/>
  <c r="J1502" i="6"/>
  <c r="M1502" i="6" s="1"/>
  <c r="J1490" i="6"/>
  <c r="M1490" i="6" s="1"/>
  <c r="J1478" i="6"/>
  <c r="M1478" i="6" s="1"/>
  <c r="J1464" i="6"/>
  <c r="M1464" i="6" s="1"/>
  <c r="J1452" i="6"/>
  <c r="M1452" i="6" s="1"/>
  <c r="J1438" i="6"/>
  <c r="M1438" i="6" s="1"/>
  <c r="J1426" i="6"/>
  <c r="M1426" i="6" s="1"/>
  <c r="J1412" i="6"/>
  <c r="M1412" i="6" s="1"/>
  <c r="J1405" i="6"/>
  <c r="M1405" i="6" s="1"/>
  <c r="J1393" i="6"/>
  <c r="M1393" i="6" s="1"/>
  <c r="J1381" i="6"/>
  <c r="M1381" i="6" s="1"/>
  <c r="J1367" i="6"/>
  <c r="M1367" i="6" s="1"/>
  <c r="J1355" i="6"/>
  <c r="M1355" i="6" s="1"/>
  <c r="J1343" i="6"/>
  <c r="M1343" i="6" s="1"/>
  <c r="J1329" i="6"/>
  <c r="M1329" i="6" s="1"/>
  <c r="J1315" i="6"/>
  <c r="M1315" i="6" s="1"/>
  <c r="J1303" i="6"/>
  <c r="M1303" i="6" s="1"/>
  <c r="J1291" i="6"/>
  <c r="M1291" i="6" s="1"/>
  <c r="J1279" i="6"/>
  <c r="M1279" i="6" s="1"/>
  <c r="J1260" i="6"/>
  <c r="M1260" i="6" s="1"/>
  <c r="J1245" i="6"/>
  <c r="M1245" i="6" s="1"/>
  <c r="J1231" i="6"/>
  <c r="M1231" i="6" s="1"/>
  <c r="J1211" i="6"/>
  <c r="M1211" i="6" s="1"/>
  <c r="J1198" i="6"/>
  <c r="M1198" i="6" s="1"/>
  <c r="J1191" i="6"/>
  <c r="M1191" i="6" s="1"/>
  <c r="J1183" i="6"/>
  <c r="M1183" i="6" s="1"/>
  <c r="J1169" i="6"/>
  <c r="M1169" i="6" s="1"/>
  <c r="J1157" i="6"/>
  <c r="M1157" i="6" s="1"/>
  <c r="J1143" i="6"/>
  <c r="M1143" i="6" s="1"/>
  <c r="J1131" i="6"/>
  <c r="M1131" i="6" s="1"/>
  <c r="J1118" i="6"/>
  <c r="M1118" i="6" s="1"/>
  <c r="J1105" i="6"/>
  <c r="M1105" i="6" s="1"/>
  <c r="J1092" i="6"/>
  <c r="M1092" i="6" s="1"/>
  <c r="J1080" i="6"/>
  <c r="M1080" i="6" s="1"/>
  <c r="J1068" i="6"/>
  <c r="M1068" i="6" s="1"/>
  <c r="J1054" i="6"/>
  <c r="M1054" i="6" s="1"/>
  <c r="J1042" i="6"/>
  <c r="M1042" i="6" s="1"/>
  <c r="J1028" i="6"/>
  <c r="M1028" i="6" s="1"/>
  <c r="J1016" i="6"/>
  <c r="M1016" i="6" s="1"/>
  <c r="J1002" i="6"/>
  <c r="M1002" i="6" s="1"/>
  <c r="J990" i="6"/>
  <c r="M990" i="6" s="1"/>
  <c r="J976" i="6"/>
  <c r="M976" i="6" s="1"/>
  <c r="J800" i="6"/>
  <c r="M800" i="6" s="1"/>
  <c r="J700" i="6"/>
  <c r="M700" i="6" s="1"/>
  <c r="J620" i="6"/>
  <c r="M620" i="6" s="1"/>
  <c r="J516" i="6"/>
  <c r="M516" i="6" s="1"/>
  <c r="J244" i="6"/>
  <c r="M244" i="6" s="1"/>
  <c r="J751" i="6"/>
  <c r="M751" i="6" s="1"/>
  <c r="J587" i="6"/>
  <c r="M587" i="6" s="1"/>
  <c r="J423" i="6"/>
  <c r="M423" i="6" s="1"/>
  <c r="J1697" i="6"/>
  <c r="M1697" i="6" s="1"/>
  <c r="J1685" i="6"/>
  <c r="M1685" i="6" s="1"/>
  <c r="J1674" i="6"/>
  <c r="M1674" i="6" s="1"/>
  <c r="J1662" i="6"/>
  <c r="M1662" i="6" s="1"/>
  <c r="J1650" i="6"/>
  <c r="M1650" i="6" s="1"/>
  <c r="J1639" i="6"/>
  <c r="M1639" i="6" s="1"/>
  <c r="J1628" i="6"/>
  <c r="M1628" i="6" s="1"/>
  <c r="J1617" i="6"/>
  <c r="M1617" i="6" s="1"/>
  <c r="J1604" i="6"/>
  <c r="M1604" i="6" s="1"/>
  <c r="J1594" i="6"/>
  <c r="M1594" i="6" s="1"/>
  <c r="J1581" i="6"/>
  <c r="M1581" i="6" s="1"/>
  <c r="J1570" i="6"/>
  <c r="M1570" i="6" s="1"/>
  <c r="J1558" i="6"/>
  <c r="M1558" i="6" s="1"/>
  <c r="J837" i="6"/>
  <c r="M837" i="6" s="1"/>
  <c r="J821" i="6"/>
  <c r="M821" i="6" s="1"/>
  <c r="J805" i="6"/>
  <c r="M805" i="6" s="1"/>
  <c r="J233" i="6"/>
  <c r="M233" i="6" s="1"/>
  <c r="J1696" i="6"/>
  <c r="M1696" i="6" s="1"/>
  <c r="J1682" i="6"/>
  <c r="M1682" i="6" s="1"/>
  <c r="J1670" i="6"/>
  <c r="M1670" i="6" s="1"/>
  <c r="J1658" i="6"/>
  <c r="M1658" i="6" s="1"/>
  <c r="J1644" i="6"/>
  <c r="M1644" i="6" s="1"/>
  <c r="J1632" i="6"/>
  <c r="M1632" i="6" s="1"/>
  <c r="J1619" i="6"/>
  <c r="M1619" i="6" s="1"/>
  <c r="J1606" i="6"/>
  <c r="M1606" i="6" s="1"/>
  <c r="J1592" i="6"/>
  <c r="M1592" i="6" s="1"/>
  <c r="J1580" i="6"/>
  <c r="M1580" i="6" s="1"/>
  <c r="J1566" i="6"/>
  <c r="M1566" i="6" s="1"/>
  <c r="J1553" i="6"/>
  <c r="M1553" i="6" s="1"/>
  <c r="J1540" i="6"/>
  <c r="M1540" i="6" s="1"/>
  <c r="J1527" i="6"/>
  <c r="M1527" i="6" s="1"/>
  <c r="J1513" i="6"/>
  <c r="M1513" i="6" s="1"/>
  <c r="J1499" i="6"/>
  <c r="M1499" i="6" s="1"/>
  <c r="J1487" i="6"/>
  <c r="M1487" i="6" s="1"/>
  <c r="J1473" i="6"/>
  <c r="M1473" i="6" s="1"/>
  <c r="J1461" i="6"/>
  <c r="M1461" i="6" s="1"/>
  <c r="J1449" i="6"/>
  <c r="M1449" i="6" s="1"/>
  <c r="J1435" i="6"/>
  <c r="M1435" i="6" s="1"/>
  <c r="J1423" i="6"/>
  <c r="M1423" i="6" s="1"/>
  <c r="J1409" i="6"/>
  <c r="M1409" i="6" s="1"/>
  <c r="J1402" i="6"/>
  <c r="M1402" i="6" s="1"/>
  <c r="J1390" i="6"/>
  <c r="M1390" i="6" s="1"/>
  <c r="J1378" i="6"/>
  <c r="M1378" i="6" s="1"/>
  <c r="J1364" i="6"/>
  <c r="M1364" i="6" s="1"/>
  <c r="J1352" i="6"/>
  <c r="M1352" i="6" s="1"/>
  <c r="J1340" i="6"/>
  <c r="M1340" i="6" s="1"/>
  <c r="J1326" i="6"/>
  <c r="M1326" i="6" s="1"/>
  <c r="J1312" i="6"/>
  <c r="M1312" i="6" s="1"/>
  <c r="J1300" i="6"/>
  <c r="M1300" i="6" s="1"/>
  <c r="J1288" i="6"/>
  <c r="M1288" i="6" s="1"/>
  <c r="J1274" i="6"/>
  <c r="M1274" i="6" s="1"/>
  <c r="J1257" i="6"/>
  <c r="M1257" i="6" s="1"/>
  <c r="J1242" i="6"/>
  <c r="M1242" i="6" s="1"/>
  <c r="J1226" i="6"/>
  <c r="M1226" i="6" s="1"/>
  <c r="J1206" i="6"/>
  <c r="M1206" i="6" s="1"/>
  <c r="J1196" i="6"/>
  <c r="M1196" i="6" s="1"/>
  <c r="J1190" i="6"/>
  <c r="M1190" i="6" s="1"/>
  <c r="J1180" i="6"/>
  <c r="M1180" i="6" s="1"/>
  <c r="J1166" i="6"/>
  <c r="M1166" i="6" s="1"/>
  <c r="J1154" i="6"/>
  <c r="M1154" i="6" s="1"/>
  <c r="J1140" i="6"/>
  <c r="M1140" i="6" s="1"/>
  <c r="J1128" i="6"/>
  <c r="M1128" i="6" s="1"/>
  <c r="J1115" i="6"/>
  <c r="M1115" i="6" s="1"/>
  <c r="J1102" i="6"/>
  <c r="M1102" i="6" s="1"/>
  <c r="J1089" i="6"/>
  <c r="M1089" i="6" s="1"/>
  <c r="J1077" i="6"/>
  <c r="M1077" i="6" s="1"/>
  <c r="J1065" i="6"/>
  <c r="M1065" i="6" s="1"/>
  <c r="J1051" i="6"/>
  <c r="M1051" i="6" s="1"/>
  <c r="J1039" i="6"/>
  <c r="M1039" i="6" s="1"/>
  <c r="J1025" i="6"/>
  <c r="M1025" i="6" s="1"/>
  <c r="J1013" i="6"/>
  <c r="M1013" i="6" s="1"/>
  <c r="J999" i="6"/>
  <c r="M999" i="6" s="1"/>
  <c r="J986" i="6"/>
  <c r="M986" i="6" s="1"/>
  <c r="J970" i="6"/>
  <c r="M970" i="6" s="1"/>
  <c r="J772" i="6"/>
  <c r="M772" i="6" s="1"/>
  <c r="J684" i="6"/>
  <c r="M684" i="6" s="1"/>
  <c r="J580" i="6"/>
  <c r="M580" i="6" s="1"/>
  <c r="J500" i="6"/>
  <c r="M500" i="6" s="1"/>
  <c r="J148" i="6"/>
  <c r="M148" i="6" s="1"/>
  <c r="J715" i="6"/>
  <c r="M715" i="6" s="1"/>
  <c r="J551" i="6"/>
  <c r="M551" i="6" s="1"/>
  <c r="J391" i="6"/>
  <c r="M391" i="6" s="1"/>
  <c r="J327" i="6"/>
  <c r="M327" i="6" s="1"/>
  <c r="J1694" i="6"/>
  <c r="M1694" i="6" s="1"/>
  <c r="J1683" i="6"/>
  <c r="M1683" i="6" s="1"/>
  <c r="J1671" i="6"/>
  <c r="M1671" i="6" s="1"/>
  <c r="J1659" i="6"/>
  <c r="M1659" i="6" s="1"/>
  <c r="J1647" i="6"/>
  <c r="M1647" i="6" s="1"/>
  <c r="J1637" i="6"/>
  <c r="M1637" i="6" s="1"/>
  <c r="J1625" i="6"/>
  <c r="M1625" i="6" s="1"/>
  <c r="J1614" i="6"/>
  <c r="M1614" i="6" s="1"/>
  <c r="J1601" i="6"/>
  <c r="M1601" i="6" s="1"/>
  <c r="J1590" i="6"/>
  <c r="M1590" i="6" s="1"/>
  <c r="J1578" i="6"/>
  <c r="M1578" i="6" s="1"/>
  <c r="J1567" i="6"/>
  <c r="M1567" i="6" s="1"/>
  <c r="J1555" i="6"/>
  <c r="M1555" i="6" s="1"/>
  <c r="J1543" i="6"/>
  <c r="M1543" i="6" s="1"/>
  <c r="J849" i="6"/>
  <c r="M849" i="6" s="1"/>
  <c r="J129" i="6"/>
  <c r="M129" i="6" s="1"/>
  <c r="J1655" i="6"/>
  <c r="M1655" i="6" s="1"/>
  <c r="J1603" i="6"/>
  <c r="M1603" i="6" s="1"/>
  <c r="J1550" i="6"/>
  <c r="M1550" i="6" s="1"/>
  <c r="J1496" i="6"/>
  <c r="M1496" i="6" s="1"/>
  <c r="J1444" i="6"/>
  <c r="M1444" i="6" s="1"/>
  <c r="J1399" i="6"/>
  <c r="M1399" i="6" s="1"/>
  <c r="J1349" i="6"/>
  <c r="M1349" i="6" s="1"/>
  <c r="J1297" i="6"/>
  <c r="M1297" i="6" s="1"/>
  <c r="J1239" i="6"/>
  <c r="M1239" i="6" s="1"/>
  <c r="J1189" i="6"/>
  <c r="M1189" i="6" s="1"/>
  <c r="J1137" i="6"/>
  <c r="M1137" i="6" s="1"/>
  <c r="J1086" i="6"/>
  <c r="M1086" i="6" s="1"/>
  <c r="J1036" i="6"/>
  <c r="M1036" i="6" s="1"/>
  <c r="J982" i="6"/>
  <c r="M982" i="6" s="1"/>
  <c r="J564" i="6"/>
  <c r="M564" i="6" s="1"/>
  <c r="J487" i="6"/>
  <c r="M487" i="6" s="1"/>
  <c r="J1689" i="6"/>
  <c r="M1689" i="6" s="1"/>
  <c r="J1666" i="6"/>
  <c r="M1666" i="6" s="1"/>
  <c r="J1642" i="6"/>
  <c r="M1642" i="6" s="1"/>
  <c r="J1620" i="6"/>
  <c r="M1620" i="6" s="1"/>
  <c r="J1595" i="6"/>
  <c r="M1595" i="6" s="1"/>
  <c r="J1572" i="6"/>
  <c r="M1572" i="6" s="1"/>
  <c r="J1549" i="6"/>
  <c r="M1549" i="6" s="1"/>
  <c r="J1535" i="6"/>
  <c r="M1535" i="6" s="1"/>
  <c r="J1524" i="6"/>
  <c r="M1524" i="6" s="1"/>
  <c r="J1511" i="6"/>
  <c r="M1511" i="6" s="1"/>
  <c r="J1501" i="6"/>
  <c r="M1501" i="6" s="1"/>
  <c r="J1488" i="6"/>
  <c r="M1488" i="6" s="1"/>
  <c r="J1477" i="6"/>
  <c r="M1477" i="6" s="1"/>
  <c r="J1465" i="6"/>
  <c r="M1465" i="6" s="1"/>
  <c r="J1454" i="6"/>
  <c r="M1454" i="6" s="1"/>
  <c r="J1442" i="6"/>
  <c r="M1442" i="6" s="1"/>
  <c r="J1430" i="6"/>
  <c r="M1430" i="6" s="1"/>
  <c r="J1418" i="6"/>
  <c r="M1418" i="6" s="1"/>
  <c r="J1407" i="6"/>
  <c r="M1407" i="6" s="1"/>
  <c r="J1394" i="6"/>
  <c r="M1394" i="6" s="1"/>
  <c r="J1382" i="6"/>
  <c r="M1382" i="6" s="1"/>
  <c r="J1371" i="6"/>
  <c r="M1371" i="6" s="1"/>
  <c r="J1359" i="6"/>
  <c r="M1359" i="6" s="1"/>
  <c r="J1347" i="6"/>
  <c r="M1347" i="6" s="1"/>
  <c r="J1335" i="6"/>
  <c r="M1335" i="6" s="1"/>
  <c r="J1324" i="6"/>
  <c r="M1324" i="6" s="1"/>
  <c r="J1313" i="6"/>
  <c r="M1313" i="6" s="1"/>
  <c r="J1302" i="6"/>
  <c r="M1302" i="6" s="1"/>
  <c r="J1289" i="6"/>
  <c r="M1289" i="6" s="1"/>
  <c r="J1277" i="6"/>
  <c r="M1277" i="6" s="1"/>
  <c r="J1267" i="6"/>
  <c r="M1267" i="6" s="1"/>
  <c r="J1258" i="6"/>
  <c r="M1258" i="6" s="1"/>
  <c r="J1247" i="6"/>
  <c r="M1247" i="6" s="1"/>
  <c r="J1235" i="6"/>
  <c r="M1235" i="6" s="1"/>
  <c r="J1224" i="6"/>
  <c r="M1224" i="6" s="1"/>
  <c r="J1215" i="6"/>
  <c r="M1215" i="6" s="1"/>
  <c r="J1204" i="6"/>
  <c r="M1204" i="6" s="1"/>
  <c r="J1195" i="6"/>
  <c r="M1195" i="6" s="1"/>
  <c r="J1181" i="6"/>
  <c r="M1181" i="6" s="1"/>
  <c r="J1170" i="6"/>
  <c r="M1170" i="6" s="1"/>
  <c r="J1158" i="6"/>
  <c r="M1158" i="6" s="1"/>
  <c r="J1146" i="6"/>
  <c r="M1146" i="6" s="1"/>
  <c r="J1135" i="6"/>
  <c r="M1135" i="6" s="1"/>
  <c r="J1123" i="6"/>
  <c r="M1123" i="6" s="1"/>
  <c r="J1111" i="6"/>
  <c r="M1111" i="6" s="1"/>
  <c r="J1100" i="6"/>
  <c r="M1100" i="6" s="1"/>
  <c r="J1087" i="6"/>
  <c r="M1087" i="6" s="1"/>
  <c r="J1075" i="6"/>
  <c r="M1075" i="6" s="1"/>
  <c r="J1064" i="6"/>
  <c r="M1064" i="6" s="1"/>
  <c r="J1052" i="6"/>
  <c r="M1052" i="6" s="1"/>
  <c r="J1040" i="6"/>
  <c r="M1040" i="6" s="1"/>
  <c r="J1030" i="6"/>
  <c r="M1030" i="6" s="1"/>
  <c r="J1017" i="6"/>
  <c r="M1017" i="6" s="1"/>
  <c r="J1006" i="6"/>
  <c r="M1006" i="6" s="1"/>
  <c r="J994" i="6"/>
  <c r="M994" i="6" s="1"/>
  <c r="J983" i="6"/>
  <c r="M983" i="6" s="1"/>
  <c r="J969" i="6"/>
  <c r="M969" i="6" s="1"/>
  <c r="J784" i="6"/>
  <c r="M784" i="6" s="1"/>
  <c r="J708" i="6"/>
  <c r="M708" i="6" s="1"/>
  <c r="J628" i="6"/>
  <c r="M628" i="6" s="1"/>
  <c r="J556" i="6"/>
  <c r="M556" i="6" s="1"/>
  <c r="J304" i="6"/>
  <c r="M304" i="6" s="1"/>
  <c r="J160" i="6"/>
  <c r="M160" i="6" s="1"/>
  <c r="J779" i="6"/>
  <c r="M779" i="6" s="1"/>
  <c r="J615" i="6"/>
  <c r="M615" i="6" s="1"/>
  <c r="J833" i="6"/>
  <c r="M833" i="6" s="1"/>
  <c r="J1693" i="6"/>
  <c r="M1693" i="6" s="1"/>
  <c r="J1641" i="6"/>
  <c r="M1641" i="6" s="1"/>
  <c r="J1589" i="6"/>
  <c r="M1589" i="6" s="1"/>
  <c r="J1537" i="6"/>
  <c r="M1537" i="6" s="1"/>
  <c r="J1484" i="6"/>
  <c r="M1484" i="6" s="1"/>
  <c r="J1432" i="6"/>
  <c r="M1432" i="6" s="1"/>
  <c r="J1387" i="6"/>
  <c r="M1387" i="6" s="1"/>
  <c r="J1337" i="6"/>
  <c r="M1337" i="6" s="1"/>
  <c r="J1285" i="6"/>
  <c r="M1285" i="6" s="1"/>
  <c r="J1223" i="6"/>
  <c r="M1223" i="6" s="1"/>
  <c r="J1177" i="6"/>
  <c r="M1177" i="6" s="1"/>
  <c r="J1125" i="6"/>
  <c r="M1125" i="6" s="1"/>
  <c r="J1074" i="6"/>
  <c r="M1074" i="6" s="1"/>
  <c r="J1022" i="6"/>
  <c r="M1022" i="6" s="1"/>
  <c r="J836" i="6"/>
  <c r="M836" i="6" s="1"/>
  <c r="J288" i="6"/>
  <c r="M288" i="6" s="1"/>
  <c r="J1680" i="6"/>
  <c r="M1680" i="6" s="1"/>
  <c r="J1656" i="6"/>
  <c r="M1656" i="6" s="1"/>
  <c r="J1634" i="6"/>
  <c r="M1634" i="6" s="1"/>
  <c r="J1611" i="6"/>
  <c r="M1611" i="6" s="1"/>
  <c r="J1587" i="6"/>
  <c r="M1587" i="6" s="1"/>
  <c r="J1564" i="6"/>
  <c r="M1564" i="6" s="1"/>
  <c r="J1546" i="6"/>
  <c r="M1546" i="6" s="1"/>
  <c r="J1532" i="6"/>
  <c r="M1532" i="6" s="1"/>
  <c r="J1519" i="6"/>
  <c r="M1519" i="6" s="1"/>
  <c r="J1508" i="6"/>
  <c r="M1508" i="6" s="1"/>
  <c r="J1498" i="6"/>
  <c r="M1498" i="6" s="1"/>
  <c r="J1485" i="6"/>
  <c r="M1485" i="6" s="1"/>
  <c r="J1474" i="6"/>
  <c r="M1474" i="6" s="1"/>
  <c r="J1462" i="6"/>
  <c r="M1462" i="6" s="1"/>
  <c r="J1451" i="6"/>
  <c r="M1451" i="6" s="1"/>
  <c r="J1439" i="6"/>
  <c r="M1439" i="6" s="1"/>
  <c r="J1427" i="6"/>
  <c r="M1427" i="6" s="1"/>
  <c r="J1416" i="6"/>
  <c r="M1416" i="6" s="1"/>
  <c r="J1404" i="6"/>
  <c r="M1404" i="6" s="1"/>
  <c r="J1391" i="6"/>
  <c r="M1391" i="6" s="1"/>
  <c r="J1380" i="6"/>
  <c r="M1380" i="6" s="1"/>
  <c r="J1368" i="6"/>
  <c r="M1368" i="6" s="1"/>
  <c r="J1356" i="6"/>
  <c r="M1356" i="6" s="1"/>
  <c r="J1344" i="6"/>
  <c r="M1344" i="6" s="1"/>
  <c r="J1332" i="6"/>
  <c r="M1332" i="6" s="1"/>
  <c r="J1321" i="6"/>
  <c r="M1321" i="6" s="1"/>
  <c r="J1311" i="6"/>
  <c r="M1311" i="6" s="1"/>
  <c r="J1298" i="6"/>
  <c r="M1298" i="6" s="1"/>
  <c r="J1286" i="6"/>
  <c r="M1286" i="6" s="1"/>
  <c r="J1275" i="6"/>
  <c r="M1275" i="6" s="1"/>
  <c r="J1266" i="6"/>
  <c r="M1266" i="6" s="1"/>
  <c r="J1255" i="6"/>
  <c r="M1255" i="6" s="1"/>
  <c r="J1243" i="6"/>
  <c r="M1243" i="6" s="1"/>
  <c r="J1232" i="6"/>
  <c r="M1232" i="6" s="1"/>
  <c r="J1222" i="6"/>
  <c r="M1222" i="6" s="1"/>
  <c r="J1213" i="6"/>
  <c r="M1213" i="6" s="1"/>
  <c r="J1201" i="6"/>
  <c r="M1201" i="6" s="1"/>
  <c r="J1193" i="6"/>
  <c r="M1193" i="6" s="1"/>
  <c r="J1179" i="6"/>
  <c r="M1179" i="6" s="1"/>
  <c r="J1168" i="6"/>
  <c r="M1168" i="6" s="1"/>
  <c r="J1155" i="6"/>
  <c r="M1155" i="6" s="1"/>
  <c r="J1144" i="6"/>
  <c r="M1144" i="6" s="1"/>
  <c r="J1133" i="6"/>
  <c r="M1133" i="6" s="1"/>
  <c r="J1120" i="6"/>
  <c r="M1120" i="6" s="1"/>
  <c r="J1108" i="6"/>
  <c r="M1108" i="6" s="1"/>
  <c r="J1096" i="6"/>
  <c r="M1096" i="6" s="1"/>
  <c r="J1084" i="6"/>
  <c r="M1084" i="6" s="1"/>
  <c r="J1072" i="6"/>
  <c r="M1072" i="6" s="1"/>
  <c r="J1062" i="6"/>
  <c r="M1062" i="6" s="1"/>
  <c r="J1049" i="6"/>
  <c r="M1049" i="6" s="1"/>
  <c r="J1038" i="6"/>
  <c r="M1038" i="6" s="1"/>
  <c r="J1027" i="6"/>
  <c r="M1027" i="6" s="1"/>
  <c r="J1015" i="6"/>
  <c r="M1015" i="6" s="1"/>
  <c r="J1003" i="6"/>
  <c r="M1003" i="6" s="1"/>
  <c r="J991" i="6"/>
  <c r="M991" i="6" s="1"/>
  <c r="J980" i="6"/>
  <c r="M980" i="6" s="1"/>
  <c r="J848" i="6"/>
  <c r="M848" i="6" s="1"/>
  <c r="J764" i="6"/>
  <c r="M764" i="6" s="1"/>
  <c r="J692" i="6"/>
  <c r="M692" i="6" s="1"/>
  <c r="J608" i="6"/>
  <c r="M608" i="6" s="1"/>
  <c r="J528" i="6"/>
  <c r="M528" i="6" s="1"/>
  <c r="J276" i="6"/>
  <c r="M276" i="6" s="1"/>
  <c r="J851" i="6"/>
  <c r="M851" i="6" s="1"/>
  <c r="J743" i="6"/>
  <c r="M743" i="6" s="1"/>
  <c r="J559" i="6"/>
  <c r="M559" i="6" s="1"/>
  <c r="J817" i="6"/>
  <c r="M817" i="6" s="1"/>
  <c r="J1679" i="6"/>
  <c r="M1679" i="6" s="1"/>
  <c r="J1629" i="6"/>
  <c r="M1629" i="6" s="1"/>
  <c r="J1576" i="6"/>
  <c r="M1576" i="6" s="1"/>
  <c r="J1523" i="6"/>
  <c r="M1523" i="6" s="1"/>
  <c r="J1470" i="6"/>
  <c r="M1470" i="6" s="1"/>
  <c r="J1420" i="6"/>
  <c r="M1420" i="6" s="1"/>
  <c r="J1375" i="6"/>
  <c r="M1375" i="6" s="1"/>
  <c r="J1323" i="6"/>
  <c r="M1323" i="6" s="1"/>
  <c r="J1269" i="6"/>
  <c r="M1269" i="6" s="1"/>
  <c r="J1203" i="6"/>
  <c r="M1203" i="6" s="1"/>
  <c r="J1163" i="6"/>
  <c r="M1163" i="6" s="1"/>
  <c r="J1112" i="6"/>
  <c r="M1112" i="6" s="1"/>
  <c r="J1060" i="6"/>
  <c r="M1060" i="6" s="1"/>
  <c r="J1008" i="6"/>
  <c r="M1008" i="6" s="1"/>
  <c r="J748" i="6"/>
  <c r="M748" i="6" s="1"/>
  <c r="J847" i="6"/>
  <c r="M847" i="6" s="1"/>
  <c r="J1703" i="6"/>
  <c r="M1703" i="6" s="1"/>
  <c r="J1677" i="6"/>
  <c r="M1677" i="6" s="1"/>
  <c r="J1653" i="6"/>
  <c r="M1653" i="6" s="1"/>
  <c r="J1631" i="6"/>
  <c r="M1631" i="6" s="1"/>
  <c r="J1607" i="6"/>
  <c r="M1607" i="6" s="1"/>
  <c r="J1584" i="6"/>
  <c r="M1584" i="6" s="1"/>
  <c r="J1561" i="6"/>
  <c r="M1561" i="6" s="1"/>
  <c r="J1541" i="6"/>
  <c r="M1541" i="6" s="1"/>
  <c r="J1529" i="6"/>
  <c r="M1529" i="6" s="1"/>
  <c r="J1516" i="6"/>
  <c r="M1516" i="6" s="1"/>
  <c r="J1506" i="6"/>
  <c r="M1506" i="6" s="1"/>
  <c r="J1495" i="6"/>
  <c r="M1495" i="6" s="1"/>
  <c r="J1482" i="6"/>
  <c r="M1482" i="6" s="1"/>
  <c r="J1471" i="6"/>
  <c r="M1471" i="6" s="1"/>
  <c r="J1460" i="6"/>
  <c r="M1460" i="6" s="1"/>
  <c r="J1447" i="6"/>
  <c r="M1447" i="6" s="1"/>
  <c r="J1436" i="6"/>
  <c r="M1436" i="6" s="1"/>
  <c r="J1424" i="6"/>
  <c r="M1424" i="6" s="1"/>
  <c r="J1414" i="6"/>
  <c r="M1414" i="6" s="1"/>
  <c r="J1401" i="6"/>
  <c r="M1401" i="6" s="1"/>
  <c r="J1389" i="6"/>
  <c r="M1389" i="6" s="1"/>
  <c r="J1376" i="6"/>
  <c r="M1376" i="6" s="1"/>
  <c r="J1366" i="6"/>
  <c r="M1366" i="6" s="1"/>
  <c r="J1353" i="6"/>
  <c r="M1353" i="6" s="1"/>
  <c r="J1341" i="6"/>
  <c r="M1341" i="6" s="1"/>
  <c r="J1330" i="6"/>
  <c r="M1330" i="6" s="1"/>
  <c r="J1319" i="6"/>
  <c r="M1319" i="6" s="1"/>
  <c r="J1308" i="6"/>
  <c r="M1308" i="6" s="1"/>
  <c r="J1296" i="6"/>
  <c r="M1296" i="6" s="1"/>
  <c r="J1283" i="6"/>
  <c r="M1283" i="6" s="1"/>
  <c r="J1273" i="6"/>
  <c r="M1273" i="6" s="1"/>
  <c r="J1263" i="6"/>
  <c r="M1263" i="6" s="1"/>
  <c r="J1252" i="6"/>
  <c r="M1252" i="6" s="1"/>
  <c r="J1240" i="6"/>
  <c r="M1240" i="6" s="1"/>
  <c r="J1230" i="6"/>
  <c r="M1230" i="6" s="1"/>
  <c r="J1220" i="6"/>
  <c r="M1220" i="6" s="1"/>
  <c r="J1210" i="6"/>
  <c r="M1210" i="6" s="1"/>
  <c r="J1199" i="6"/>
  <c r="M1199" i="6" s="1"/>
  <c r="J1187" i="6"/>
  <c r="M1187" i="6" s="1"/>
  <c r="J1176" i="6"/>
  <c r="M1176" i="6" s="1"/>
  <c r="J1164" i="6"/>
  <c r="M1164" i="6" s="1"/>
  <c r="J1153" i="6"/>
  <c r="M1153" i="6" s="1"/>
  <c r="J1141" i="6"/>
  <c r="M1141" i="6" s="1"/>
  <c r="J1129" i="6"/>
  <c r="M1129" i="6" s="1"/>
  <c r="J1117" i="6"/>
  <c r="M1117" i="6" s="1"/>
  <c r="J1106" i="6"/>
  <c r="M1106" i="6" s="1"/>
  <c r="J1093" i="6"/>
  <c r="M1093" i="6" s="1"/>
  <c r="J1081" i="6"/>
  <c r="M1081" i="6" s="1"/>
  <c r="J1069" i="6"/>
  <c r="M1069" i="6" s="1"/>
  <c r="J1058" i="6"/>
  <c r="M1058" i="6" s="1"/>
  <c r="J1046" i="6"/>
  <c r="M1046" i="6" s="1"/>
  <c r="J1035" i="6"/>
  <c r="M1035" i="6" s="1"/>
  <c r="J1023" i="6"/>
  <c r="M1023" i="6" s="1"/>
  <c r="J1011" i="6"/>
  <c r="M1011" i="6" s="1"/>
  <c r="J1000" i="6"/>
  <c r="M1000" i="6" s="1"/>
  <c r="J988" i="6"/>
  <c r="M988" i="6" s="1"/>
  <c r="J977" i="6"/>
  <c r="M977" i="6" s="1"/>
  <c r="J756" i="6"/>
  <c r="M756" i="6" s="1"/>
  <c r="J672" i="6"/>
  <c r="M672" i="6" s="1"/>
  <c r="J592" i="6"/>
  <c r="M592" i="6" s="1"/>
  <c r="J508" i="6"/>
  <c r="M508" i="6" s="1"/>
  <c r="J801" i="6"/>
  <c r="M801" i="6" s="1"/>
  <c r="J1510" i="6"/>
  <c r="M1510" i="6" s="1"/>
  <c r="J1309" i="6"/>
  <c r="M1309" i="6" s="1"/>
  <c r="J1099" i="6"/>
  <c r="M1099" i="6" s="1"/>
  <c r="J679" i="6"/>
  <c r="M679" i="6" s="1"/>
  <c r="J1623" i="6"/>
  <c r="M1623" i="6" s="1"/>
  <c r="J1538" i="6"/>
  <c r="M1538" i="6" s="1"/>
  <c r="J1491" i="6"/>
  <c r="M1491" i="6" s="1"/>
  <c r="J1445" i="6"/>
  <c r="M1445" i="6" s="1"/>
  <c r="J1397" i="6"/>
  <c r="M1397" i="6" s="1"/>
  <c r="J1350" i="6"/>
  <c r="M1350" i="6" s="1"/>
  <c r="J1304" i="6"/>
  <c r="M1304" i="6" s="1"/>
  <c r="J1261" i="6"/>
  <c r="M1261" i="6" s="1"/>
  <c r="J1218" i="6"/>
  <c r="M1218" i="6" s="1"/>
  <c r="J1173" i="6"/>
  <c r="M1173" i="6" s="1"/>
  <c r="J1126" i="6"/>
  <c r="M1126" i="6" s="1"/>
  <c r="J1078" i="6"/>
  <c r="M1078" i="6" s="1"/>
  <c r="J1032" i="6"/>
  <c r="M1032" i="6" s="1"/>
  <c r="J985" i="6"/>
  <c r="M985" i="6" s="1"/>
  <c r="J644" i="6"/>
  <c r="M644" i="6" s="1"/>
  <c r="J176" i="6"/>
  <c r="M176" i="6" s="1"/>
  <c r="J651" i="6"/>
  <c r="M651" i="6" s="1"/>
  <c r="J794" i="6"/>
  <c r="M794" i="6" s="1"/>
  <c r="J538" i="6"/>
  <c r="M538" i="6" s="1"/>
  <c r="J1698" i="6"/>
  <c r="M1698" i="6" s="1"/>
  <c r="J1686" i="6"/>
  <c r="M1686" i="6" s="1"/>
  <c r="J1675" i="6"/>
  <c r="M1675" i="6" s="1"/>
  <c r="J1663" i="6"/>
  <c r="M1663" i="6" s="1"/>
  <c r="J1652" i="6"/>
  <c r="M1652" i="6" s="1"/>
  <c r="J1640" i="6"/>
  <c r="M1640" i="6" s="1"/>
  <c r="J1627" i="6"/>
  <c r="M1627" i="6" s="1"/>
  <c r="J1616" i="6"/>
  <c r="M1616" i="6" s="1"/>
  <c r="J1605" i="6"/>
  <c r="M1605" i="6" s="1"/>
  <c r="J1593" i="6"/>
  <c r="M1593" i="6" s="1"/>
  <c r="J1582" i="6"/>
  <c r="M1582" i="6" s="1"/>
  <c r="J1571" i="6"/>
  <c r="M1571" i="6" s="1"/>
  <c r="J1559" i="6"/>
  <c r="M1559" i="6" s="1"/>
  <c r="J1548" i="6"/>
  <c r="M1548" i="6" s="1"/>
  <c r="J1536" i="6"/>
  <c r="M1536" i="6" s="1"/>
  <c r="J1525" i="6"/>
  <c r="M1525" i="6" s="1"/>
  <c r="J1514" i="6"/>
  <c r="M1514" i="6" s="1"/>
  <c r="J1503" i="6"/>
  <c r="M1503" i="6" s="1"/>
  <c r="J1492" i="6"/>
  <c r="M1492" i="6" s="1"/>
  <c r="J1479" i="6"/>
  <c r="M1479" i="6" s="1"/>
  <c r="J1469" i="6"/>
  <c r="M1469" i="6" s="1"/>
  <c r="J1456" i="6"/>
  <c r="M1456" i="6" s="1"/>
  <c r="J1446" i="6"/>
  <c r="M1446" i="6" s="1"/>
  <c r="J1434" i="6"/>
  <c r="M1434" i="6" s="1"/>
  <c r="J1421" i="6"/>
  <c r="M1421" i="6" s="1"/>
  <c r="J1411" i="6"/>
  <c r="M1411" i="6" s="1"/>
  <c r="J1395" i="6"/>
  <c r="M1395" i="6" s="1"/>
  <c r="J1383" i="6"/>
  <c r="M1383" i="6" s="1"/>
  <c r="J1372" i="6"/>
  <c r="M1372" i="6" s="1"/>
  <c r="J1360" i="6"/>
  <c r="M1360" i="6" s="1"/>
  <c r="J1348" i="6"/>
  <c r="M1348" i="6" s="1"/>
  <c r="J1336" i="6"/>
  <c r="M1336" i="6" s="1"/>
  <c r="J1325" i="6"/>
  <c r="M1325" i="6" s="1"/>
  <c r="J1314" i="6"/>
  <c r="M1314" i="6" s="1"/>
  <c r="J1301" i="6"/>
  <c r="M1301" i="6" s="1"/>
  <c r="J1290" i="6"/>
  <c r="M1290" i="6" s="1"/>
  <c r="J1278" i="6"/>
  <c r="M1278" i="6" s="1"/>
  <c r="J1268" i="6"/>
  <c r="M1268" i="6" s="1"/>
  <c r="J1256" i="6"/>
  <c r="M1256" i="6" s="1"/>
  <c r="J1246" i="6"/>
  <c r="M1246" i="6" s="1"/>
  <c r="J1236" i="6"/>
  <c r="M1236" i="6" s="1"/>
  <c r="J1225" i="6"/>
  <c r="M1225" i="6" s="1"/>
  <c r="J1214" i="6"/>
  <c r="M1214" i="6" s="1"/>
  <c r="J1205" i="6"/>
  <c r="M1205" i="6" s="1"/>
  <c r="J1182" i="6"/>
  <c r="M1182" i="6" s="1"/>
  <c r="J1171" i="6"/>
  <c r="M1171" i="6" s="1"/>
  <c r="J1159" i="6"/>
  <c r="M1159" i="6" s="1"/>
  <c r="J1147" i="6"/>
  <c r="M1147" i="6" s="1"/>
  <c r="J1136" i="6"/>
  <c r="M1136" i="6" s="1"/>
  <c r="J1124" i="6"/>
  <c r="M1124" i="6" s="1"/>
  <c r="J1113" i="6"/>
  <c r="M1113" i="6" s="1"/>
  <c r="J1101" i="6"/>
  <c r="M1101" i="6" s="1"/>
  <c r="J1091" i="6"/>
  <c r="M1091" i="6" s="1"/>
  <c r="J1079" i="6"/>
  <c r="M1079" i="6" s="1"/>
  <c r="J1667" i="6"/>
  <c r="M1667" i="6" s="1"/>
  <c r="J1458" i="6"/>
  <c r="M1458" i="6" s="1"/>
  <c r="J1253" i="6"/>
  <c r="M1253" i="6" s="1"/>
  <c r="J1048" i="6"/>
  <c r="M1048" i="6" s="1"/>
  <c r="J1691" i="6"/>
  <c r="M1691" i="6" s="1"/>
  <c r="J1599" i="6"/>
  <c r="M1599" i="6" s="1"/>
  <c r="J1526" i="6"/>
  <c r="M1526" i="6" s="1"/>
  <c r="J1480" i="6"/>
  <c r="M1480" i="6" s="1"/>
  <c r="J1433" i="6"/>
  <c r="M1433" i="6" s="1"/>
  <c r="J1385" i="6"/>
  <c r="M1385" i="6" s="1"/>
  <c r="J1339" i="6"/>
  <c r="M1339" i="6" s="1"/>
  <c r="J1293" i="6"/>
  <c r="M1293" i="6" s="1"/>
  <c r="J1250" i="6"/>
  <c r="M1250" i="6" s="1"/>
  <c r="J1207" i="6"/>
  <c r="M1207" i="6" s="1"/>
  <c r="J1161" i="6"/>
  <c r="M1161" i="6" s="1"/>
  <c r="J1114" i="6"/>
  <c r="M1114" i="6" s="1"/>
  <c r="J1067" i="6"/>
  <c r="M1067" i="6" s="1"/>
  <c r="J1020" i="6"/>
  <c r="M1020" i="6" s="1"/>
  <c r="J974" i="6"/>
  <c r="M974" i="6" s="1"/>
  <c r="J572" i="6"/>
  <c r="M572" i="6" s="1"/>
  <c r="J843" i="6"/>
  <c r="M843" i="6" s="1"/>
  <c r="J523" i="6"/>
  <c r="M523" i="6" s="1"/>
  <c r="J730" i="6"/>
  <c r="M730" i="6" s="1"/>
  <c r="J1705" i="6"/>
  <c r="M1705" i="6" s="1"/>
  <c r="J1695" i="6"/>
  <c r="M1695" i="6" s="1"/>
  <c r="J1684" i="6"/>
  <c r="M1684" i="6" s="1"/>
  <c r="J1672" i="6"/>
  <c r="M1672" i="6" s="1"/>
  <c r="J1660" i="6"/>
  <c r="M1660" i="6" s="1"/>
  <c r="J1649" i="6"/>
  <c r="M1649" i="6" s="1"/>
  <c r="J1636" i="6"/>
  <c r="M1636" i="6" s="1"/>
  <c r="J1624" i="6"/>
  <c r="M1624" i="6" s="1"/>
  <c r="J1613" i="6"/>
  <c r="M1613" i="6" s="1"/>
  <c r="J1602" i="6"/>
  <c r="M1602" i="6" s="1"/>
  <c r="J1591" i="6"/>
  <c r="M1591" i="6" s="1"/>
  <c r="J1579" i="6"/>
  <c r="M1579" i="6" s="1"/>
  <c r="J1568" i="6"/>
  <c r="M1568" i="6" s="1"/>
  <c r="J1556" i="6"/>
  <c r="M1556" i="6" s="1"/>
  <c r="J1545" i="6"/>
  <c r="M1545" i="6" s="1"/>
  <c r="J1533" i="6"/>
  <c r="M1533" i="6" s="1"/>
  <c r="J1522" i="6"/>
  <c r="M1522" i="6" s="1"/>
  <c r="J1512" i="6"/>
  <c r="M1512" i="6" s="1"/>
  <c r="J1500" i="6"/>
  <c r="M1500" i="6" s="1"/>
  <c r="J1489" i="6"/>
  <c r="M1489" i="6" s="1"/>
  <c r="J1476" i="6"/>
  <c r="M1476" i="6" s="1"/>
  <c r="J1466" i="6"/>
  <c r="M1466" i="6" s="1"/>
  <c r="J1453" i="6"/>
  <c r="M1453" i="6" s="1"/>
  <c r="J1443" i="6"/>
  <c r="M1443" i="6" s="1"/>
  <c r="J1431" i="6"/>
  <c r="M1431" i="6" s="1"/>
  <c r="J1419" i="6"/>
  <c r="M1419" i="6" s="1"/>
  <c r="J1403" i="6"/>
  <c r="M1403" i="6" s="1"/>
  <c r="J1392" i="6"/>
  <c r="M1392" i="6" s="1"/>
  <c r="J1379" i="6"/>
  <c r="M1379" i="6" s="1"/>
  <c r="J1369" i="6"/>
  <c r="M1369" i="6" s="1"/>
  <c r="J1357" i="6"/>
  <c r="M1357" i="6" s="1"/>
  <c r="J1345" i="6"/>
  <c r="M1345" i="6" s="1"/>
  <c r="J1333" i="6"/>
  <c r="M1333" i="6" s="1"/>
  <c r="J1322" i="6"/>
  <c r="M1322" i="6" s="1"/>
  <c r="J1310" i="6"/>
  <c r="M1310" i="6" s="1"/>
  <c r="J1299" i="6"/>
  <c r="M1299" i="6" s="1"/>
  <c r="J1287" i="6"/>
  <c r="M1287" i="6" s="1"/>
  <c r="J1276" i="6"/>
  <c r="M1276" i="6" s="1"/>
  <c r="J1265" i="6"/>
  <c r="M1265" i="6" s="1"/>
  <c r="J1254" i="6"/>
  <c r="M1254" i="6" s="1"/>
  <c r="J1244" i="6"/>
  <c r="M1244" i="6" s="1"/>
  <c r="J1233" i="6"/>
  <c r="M1233" i="6" s="1"/>
  <c r="J1221" i="6"/>
  <c r="M1221" i="6" s="1"/>
  <c r="J1212" i="6"/>
  <c r="M1212" i="6" s="1"/>
  <c r="J1202" i="6"/>
  <c r="M1202" i="6" s="1"/>
  <c r="J1178" i="6"/>
  <c r="M1178" i="6" s="1"/>
  <c r="J1167" i="6"/>
  <c r="M1167" i="6" s="1"/>
  <c r="J1156" i="6"/>
  <c r="M1156" i="6" s="1"/>
  <c r="J1145" i="6"/>
  <c r="M1145" i="6" s="1"/>
  <c r="J1132" i="6"/>
  <c r="M1132" i="6" s="1"/>
  <c r="J1122" i="6"/>
  <c r="M1122" i="6" s="1"/>
  <c r="J1110" i="6"/>
  <c r="M1110" i="6" s="1"/>
  <c r="J1098" i="6"/>
  <c r="M1098" i="6" s="1"/>
  <c r="J1088" i="6"/>
  <c r="M1088" i="6" s="1"/>
  <c r="J1076" i="6"/>
  <c r="M1076" i="6" s="1"/>
  <c r="J1063" i="6"/>
  <c r="M1063" i="6" s="1"/>
  <c r="J1053" i="6"/>
  <c r="M1053" i="6" s="1"/>
  <c r="J1041" i="6"/>
  <c r="M1041" i="6" s="1"/>
  <c r="J1029" i="6"/>
  <c r="M1029" i="6" s="1"/>
  <c r="J1018" i="6"/>
  <c r="M1018" i="6" s="1"/>
  <c r="J1007" i="6"/>
  <c r="M1007" i="6" s="1"/>
  <c r="J995" i="6"/>
  <c r="M995" i="6" s="1"/>
  <c r="J1615" i="6"/>
  <c r="M1615" i="6" s="1"/>
  <c r="J1408" i="6"/>
  <c r="M1408" i="6" s="1"/>
  <c r="J1194" i="6"/>
  <c r="M1194" i="6" s="1"/>
  <c r="J996" i="6"/>
  <c r="M996" i="6" s="1"/>
  <c r="J1668" i="6"/>
  <c r="M1668" i="6" s="1"/>
  <c r="J1575" i="6"/>
  <c r="M1575" i="6" s="1"/>
  <c r="J1515" i="6"/>
  <c r="M1515" i="6" s="1"/>
  <c r="J1468" i="6"/>
  <c r="M1468" i="6" s="1"/>
  <c r="J1422" i="6"/>
  <c r="M1422" i="6" s="1"/>
  <c r="J1374" i="6"/>
  <c r="M1374" i="6" s="1"/>
  <c r="J1327" i="6"/>
  <c r="M1327" i="6" s="1"/>
  <c r="J1280" i="6"/>
  <c r="M1280" i="6" s="1"/>
  <c r="J1238" i="6"/>
  <c r="M1238" i="6" s="1"/>
  <c r="J1197" i="6"/>
  <c r="M1197" i="6" s="1"/>
  <c r="J1150" i="6"/>
  <c r="M1150" i="6" s="1"/>
  <c r="J1103" i="6"/>
  <c r="M1103" i="6" s="1"/>
  <c r="J1055" i="6"/>
  <c r="M1055" i="6" s="1"/>
  <c r="J1009" i="6"/>
  <c r="M1009" i="6" s="1"/>
  <c r="J492" i="6"/>
  <c r="M492" i="6" s="1"/>
  <c r="J807" i="6"/>
  <c r="M807" i="6" s="1"/>
  <c r="J495" i="6"/>
  <c r="M495" i="6" s="1"/>
  <c r="J666" i="6"/>
  <c r="M666" i="6" s="1"/>
  <c r="J1704" i="6"/>
  <c r="M1704" i="6" s="1"/>
  <c r="J1692" i="6"/>
  <c r="M1692" i="6" s="1"/>
  <c r="J1681" i="6"/>
  <c r="M1681" i="6" s="1"/>
  <c r="J1669" i="6"/>
  <c r="M1669" i="6" s="1"/>
  <c r="J1657" i="6"/>
  <c r="M1657" i="6" s="1"/>
  <c r="J1646" i="6"/>
  <c r="M1646" i="6" s="1"/>
  <c r="J1633" i="6"/>
  <c r="M1633" i="6" s="1"/>
  <c r="J1621" i="6"/>
  <c r="M1621" i="6" s="1"/>
  <c r="J1610" i="6"/>
  <c r="M1610" i="6" s="1"/>
  <c r="J1598" i="6"/>
  <c r="M1598" i="6" s="1"/>
  <c r="J1588" i="6"/>
  <c r="M1588" i="6" s="1"/>
  <c r="J1577" i="6"/>
  <c r="M1577" i="6" s="1"/>
  <c r="J1565" i="6"/>
  <c r="M1565" i="6" s="1"/>
  <c r="J1554" i="6"/>
  <c r="M1554" i="6" s="1"/>
  <c r="J1542" i="6"/>
  <c r="M1542" i="6" s="1"/>
  <c r="J1531" i="6"/>
  <c r="M1531" i="6" s="1"/>
  <c r="J1520" i="6"/>
  <c r="M1520" i="6" s="1"/>
  <c r="J1509" i="6"/>
  <c r="M1509" i="6" s="1"/>
  <c r="J1497" i="6"/>
  <c r="M1497" i="6" s="1"/>
  <c r="J1486" i="6"/>
  <c r="M1486" i="6" s="1"/>
  <c r="J1475" i="6"/>
  <c r="M1475" i="6" s="1"/>
  <c r="J1463" i="6"/>
  <c r="M1463" i="6" s="1"/>
  <c r="J1450" i="6"/>
  <c r="M1450" i="6" s="1"/>
  <c r="J1440" i="6"/>
  <c r="M1440" i="6" s="1"/>
  <c r="J1428" i="6"/>
  <c r="M1428" i="6" s="1"/>
  <c r="J1417" i="6"/>
  <c r="M1417" i="6" s="1"/>
  <c r="J1400" i="6"/>
  <c r="M1400" i="6" s="1"/>
  <c r="J1388" i="6"/>
  <c r="M1388" i="6" s="1"/>
  <c r="J1377" i="6"/>
  <c r="M1377" i="6" s="1"/>
  <c r="J1365" i="6"/>
  <c r="M1365" i="6" s="1"/>
  <c r="J1354" i="6"/>
  <c r="M1354" i="6" s="1"/>
  <c r="J1342" i="6"/>
  <c r="M1342" i="6" s="1"/>
  <c r="J1331" i="6"/>
  <c r="M1331" i="6" s="1"/>
  <c r="J1318" i="6"/>
  <c r="M1318" i="6" s="1"/>
  <c r="J1307" i="6"/>
  <c r="M1307" i="6" s="1"/>
  <c r="J1295" i="6"/>
  <c r="M1295" i="6" s="1"/>
  <c r="J1284" i="6"/>
  <c r="M1284" i="6" s="1"/>
  <c r="J1272" i="6"/>
  <c r="M1272" i="6" s="1"/>
  <c r="J1262" i="6"/>
  <c r="M1262" i="6" s="1"/>
  <c r="J1251" i="6"/>
  <c r="M1251" i="6" s="1"/>
  <c r="J1241" i="6"/>
  <c r="M1241" i="6" s="1"/>
  <c r="J1229" i="6"/>
  <c r="M1229" i="6" s="1"/>
  <c r="J1219" i="6"/>
  <c r="M1219" i="6" s="1"/>
  <c r="J1209" i="6"/>
  <c r="M1209" i="6" s="1"/>
  <c r="J1188" i="6"/>
  <c r="M1188" i="6" s="1"/>
  <c r="J1175" i="6"/>
  <c r="M1175" i="6" s="1"/>
  <c r="J1165" i="6"/>
  <c r="M1165" i="6" s="1"/>
  <c r="J1152" i="6"/>
  <c r="M1152" i="6" s="1"/>
  <c r="J1142" i="6"/>
  <c r="M1142" i="6" s="1"/>
  <c r="J1130" i="6"/>
  <c r="M1130" i="6" s="1"/>
  <c r="J1119" i="6"/>
  <c r="M1119" i="6" s="1"/>
  <c r="J1107" i="6"/>
  <c r="M1107" i="6" s="1"/>
  <c r="J1097" i="6"/>
  <c r="M1097" i="6" s="1"/>
  <c r="J1085" i="6"/>
  <c r="M1085" i="6" s="1"/>
  <c r="J1073" i="6"/>
  <c r="M1073" i="6" s="1"/>
  <c r="J1061" i="6"/>
  <c r="M1061" i="6" s="1"/>
  <c r="J1050" i="6"/>
  <c r="M1050" i="6" s="1"/>
  <c r="J1037" i="6"/>
  <c r="M1037" i="6" s="1"/>
  <c r="J1026" i="6"/>
  <c r="M1026" i="6" s="1"/>
  <c r="J1014" i="6"/>
  <c r="M1014" i="6" s="1"/>
  <c r="J1004" i="6"/>
  <c r="M1004" i="6" s="1"/>
  <c r="J992" i="6"/>
  <c r="M992" i="6" s="1"/>
  <c r="J339" i="6"/>
  <c r="M339" i="6" s="1"/>
  <c r="N918" i="6" s="1"/>
  <c r="O918" i="6" s="1"/>
  <c r="P918" i="6" s="1"/>
  <c r="J371" i="6"/>
  <c r="M371" i="6" s="1"/>
  <c r="J812" i="6"/>
  <c r="M812" i="6" s="1"/>
  <c r="J1248" i="6"/>
  <c r="M1248" i="6" s="1"/>
  <c r="J1292" i="6"/>
  <c r="M1292" i="6" s="1"/>
  <c r="J1338" i="6"/>
  <c r="M1338" i="6" s="1"/>
  <c r="J1386" i="6"/>
  <c r="M1386" i="6" s="1"/>
  <c r="J1437" i="6"/>
  <c r="M1437" i="6" s="1"/>
  <c r="J1483" i="6"/>
  <c r="M1483" i="6" s="1"/>
  <c r="J1528" i="6"/>
  <c r="M1528" i="6" s="1"/>
  <c r="J1574" i="6"/>
  <c r="M1574" i="6" s="1"/>
  <c r="J1618" i="6"/>
  <c r="M1618" i="6" s="1"/>
  <c r="J1665" i="6"/>
  <c r="M1665" i="6" s="1"/>
  <c r="J602" i="6"/>
  <c r="M602" i="6" s="1"/>
  <c r="J736" i="6"/>
  <c r="M736" i="6" s="1"/>
  <c r="J1138" i="6"/>
  <c r="M1138" i="6" s="1"/>
  <c r="J1316" i="6"/>
  <c r="M1316" i="6" s="1"/>
  <c r="J1504" i="6"/>
  <c r="M1504" i="6" s="1"/>
  <c r="J1151" i="6"/>
  <c r="M1151" i="6" s="1"/>
  <c r="J1162" i="6"/>
  <c r="M1162" i="6" s="1"/>
  <c r="J1217" i="6"/>
  <c r="M1217" i="6" s="1"/>
  <c r="J1259" i="6"/>
  <c r="M1259" i="6" s="1"/>
  <c r="J1305" i="6"/>
  <c r="M1305" i="6" s="1"/>
  <c r="J1351" i="6"/>
  <c r="M1351" i="6" s="1"/>
  <c r="J1398" i="6"/>
  <c r="M1398" i="6" s="1"/>
  <c r="J1448" i="6"/>
  <c r="M1448" i="6" s="1"/>
  <c r="J1494" i="6"/>
  <c r="M1494" i="6" s="1"/>
  <c r="J1539" i="6"/>
  <c r="M1539" i="6" s="1"/>
  <c r="J1585" i="6"/>
  <c r="M1585" i="6" s="1"/>
  <c r="J1630" i="6"/>
  <c r="M1630" i="6" s="1"/>
  <c r="J1678" i="6"/>
  <c r="M1678" i="6" s="1"/>
  <c r="J403" i="6"/>
  <c r="M403" i="6" s="1"/>
  <c r="J997" i="6"/>
  <c r="M997" i="6" s="1"/>
  <c r="J1184" i="6"/>
  <c r="M1184" i="6" s="1"/>
  <c r="J1362" i="6"/>
  <c r="M1362" i="6" s="1"/>
  <c r="J1552" i="6"/>
  <c r="M1552" i="6" s="1"/>
  <c r="J1361" i="6"/>
  <c r="M1361" i="6" s="1"/>
  <c r="J1172" i="6"/>
  <c r="M1172" i="6" s="1"/>
  <c r="J1228" i="6"/>
  <c r="M1228" i="6" s="1"/>
  <c r="J1271" i="6"/>
  <c r="M1271" i="6" s="1"/>
  <c r="J1317" i="6"/>
  <c r="M1317" i="6" s="1"/>
  <c r="J1363" i="6"/>
  <c r="M1363" i="6" s="1"/>
  <c r="J1413" i="6"/>
  <c r="M1413" i="6" s="1"/>
  <c r="J1459" i="6"/>
  <c r="M1459" i="6" s="1"/>
  <c r="J1505" i="6"/>
  <c r="M1505" i="6" s="1"/>
  <c r="J1551" i="6"/>
  <c r="M1551" i="6" s="1"/>
  <c r="J1596" i="6"/>
  <c r="M1596" i="6" s="1"/>
  <c r="J1643" i="6"/>
  <c r="M1643" i="6" s="1"/>
  <c r="J1688" i="6"/>
  <c r="M1688" i="6" s="1"/>
  <c r="J687" i="6"/>
  <c r="M687" i="6" s="1"/>
  <c r="J1043" i="6"/>
  <c r="M1043" i="6" s="1"/>
  <c r="J1227" i="6"/>
  <c r="M1227" i="6" s="1"/>
  <c r="J1410" i="6"/>
  <c r="M1410" i="6" s="1"/>
  <c r="J1645" i="6"/>
  <c r="M1645" i="6" s="1"/>
  <c r="J1563" i="6"/>
  <c r="M1563" i="6" s="1"/>
  <c r="J435" i="6"/>
  <c r="M435" i="6" s="1"/>
  <c r="J467" i="6"/>
  <c r="M467" i="6" s="1"/>
  <c r="N316" i="6" s="1"/>
  <c r="O316" i="6" s="1"/>
  <c r="P316" i="6" s="1"/>
  <c r="J828" i="6"/>
  <c r="M828" i="6" s="1"/>
  <c r="J15" i="6"/>
  <c r="M15" i="6" s="1"/>
  <c r="N875" i="6" s="1"/>
  <c r="O875" i="6" s="1"/>
  <c r="P875" i="6" s="1"/>
  <c r="J107" i="6"/>
  <c r="M107" i="6" s="1"/>
  <c r="N1001" i="6"/>
  <c r="O1001" i="6" s="1"/>
  <c r="P1001" i="6" s="1"/>
  <c r="N1015" i="6"/>
  <c r="O1015" i="6" s="1"/>
  <c r="P1015" i="6" s="1"/>
  <c r="N477" i="6"/>
  <c r="O477" i="6" s="1"/>
  <c r="P477" i="6" s="1"/>
  <c r="N696" i="6"/>
  <c r="O696" i="6" s="1"/>
  <c r="P696" i="6" s="1"/>
  <c r="N24" i="6"/>
  <c r="O24" i="6" s="1"/>
  <c r="P24" i="6" s="1"/>
  <c r="N1094" i="6"/>
  <c r="O1094" i="6" s="1"/>
  <c r="P1094" i="6" s="1"/>
  <c r="N1381" i="6"/>
  <c r="O1381" i="6" s="1"/>
  <c r="P1381" i="6" s="1"/>
  <c r="N135" i="6"/>
  <c r="O135" i="6" s="1"/>
  <c r="P135" i="6" s="1"/>
  <c r="N1212" i="6"/>
  <c r="O1212" i="6" s="1"/>
  <c r="P1212" i="6" s="1"/>
  <c r="N99" i="6"/>
  <c r="O99" i="6" s="1"/>
  <c r="P99" i="6" s="1"/>
  <c r="N1219" i="6"/>
  <c r="O1219" i="6" s="1"/>
  <c r="P1219" i="6" s="1"/>
  <c r="N127" i="6"/>
  <c r="O127" i="6" s="1"/>
  <c r="P127" i="6" s="1"/>
  <c r="N414" i="6"/>
  <c r="O414" i="6" s="1"/>
  <c r="P414" i="6" s="1"/>
  <c r="N793" i="6"/>
  <c r="O793" i="6" s="1"/>
  <c r="P793" i="6" s="1"/>
  <c r="N281" i="6"/>
  <c r="O281" i="6" s="1"/>
  <c r="P281" i="6" s="1"/>
  <c r="N676" i="6"/>
  <c r="O676" i="6" s="1"/>
  <c r="P676" i="6" s="1"/>
  <c r="N276" i="6"/>
  <c r="O276" i="6" s="1"/>
  <c r="P276" i="6" s="1"/>
  <c r="N20" i="6"/>
  <c r="O20" i="6" s="1"/>
  <c r="P20" i="6" s="1"/>
  <c r="L4" i="2"/>
  <c r="L5" i="2" s="1"/>
  <c r="L6" i="2" s="1"/>
  <c r="L7" i="2" s="1"/>
  <c r="L8" i="2" s="1"/>
  <c r="L9" i="2" s="1"/>
  <c r="L10" i="2" s="1"/>
  <c r="L11" i="2" s="1"/>
  <c r="L12" i="2" s="1"/>
  <c r="L13" i="2" s="1"/>
  <c r="L14" i="2" s="1"/>
  <c r="L15" i="2" s="1"/>
  <c r="L16" i="2" s="1"/>
  <c r="L17" i="2" s="1"/>
  <c r="L18" i="2" s="1"/>
  <c r="L19" i="2" s="1"/>
  <c r="L20" i="2" s="1"/>
  <c r="L21" i="2" s="1"/>
  <c r="L22" i="2" s="1"/>
  <c r="O2" i="2"/>
  <c r="M8" i="5" l="1"/>
  <c r="O17" i="5"/>
  <c r="P17" i="5"/>
  <c r="M18" i="5"/>
  <c r="O18" i="5"/>
  <c r="Q19" i="5"/>
  <c r="Q11" i="5"/>
  <c r="L8" i="5"/>
  <c r="N17" i="5"/>
  <c r="L17" i="5"/>
  <c r="L18" i="5"/>
  <c r="N18" i="5"/>
  <c r="M19" i="5"/>
  <c r="M11" i="5"/>
  <c r="Q8" i="5"/>
  <c r="O8" i="5"/>
  <c r="Q17" i="5"/>
  <c r="Q18" i="5"/>
  <c r="O19" i="5"/>
  <c r="P19" i="5"/>
  <c r="O11" i="5"/>
  <c r="P11" i="5"/>
  <c r="P8" i="5"/>
  <c r="N8" i="5"/>
  <c r="M17" i="5"/>
  <c r="P18" i="5"/>
  <c r="N19" i="5"/>
  <c r="L19" i="5"/>
  <c r="N11" i="5"/>
  <c r="L11" i="5"/>
  <c r="N84" i="6"/>
  <c r="O84" i="6" s="1"/>
  <c r="P84" i="6" s="1"/>
  <c r="N340" i="6"/>
  <c r="O340" i="6" s="1"/>
  <c r="P340" i="6" s="1"/>
  <c r="N804" i="6"/>
  <c r="O804" i="6" s="1"/>
  <c r="P804" i="6" s="1"/>
  <c r="N409" i="6"/>
  <c r="O409" i="6" s="1"/>
  <c r="P409" i="6" s="1"/>
  <c r="N30" i="6"/>
  <c r="O30" i="6" s="1"/>
  <c r="P30" i="6" s="1"/>
  <c r="N542" i="6"/>
  <c r="O542" i="6" s="1"/>
  <c r="P542" i="6" s="1"/>
  <c r="N639" i="6"/>
  <c r="O639" i="6" s="1"/>
  <c r="P639" i="6" s="1"/>
  <c r="N1347" i="6"/>
  <c r="O1347" i="6" s="1"/>
  <c r="P1347" i="6" s="1"/>
  <c r="N611" i="6"/>
  <c r="O611" i="6" s="1"/>
  <c r="P611" i="6" s="1"/>
  <c r="N1340" i="6"/>
  <c r="O1340" i="6" s="1"/>
  <c r="P1340" i="6" s="1"/>
  <c r="N775" i="6"/>
  <c r="O775" i="6" s="1"/>
  <c r="P775" i="6" s="1"/>
  <c r="N1557" i="6"/>
  <c r="O1557" i="6" s="1"/>
  <c r="P1557" i="6" s="1"/>
  <c r="N347" i="6"/>
  <c r="O347" i="6" s="1"/>
  <c r="P347" i="6" s="1"/>
  <c r="N184" i="6"/>
  <c r="O184" i="6" s="1"/>
  <c r="P184" i="6" s="1"/>
  <c r="N872" i="6"/>
  <c r="O872" i="6" s="1"/>
  <c r="P872" i="6" s="1"/>
  <c r="N797" i="6"/>
  <c r="O797" i="6" s="1"/>
  <c r="P797" i="6" s="1"/>
  <c r="N1527" i="6"/>
  <c r="O1527" i="6" s="1"/>
  <c r="P1527" i="6" s="1"/>
  <c r="N1513" i="6"/>
  <c r="O1513" i="6" s="1"/>
  <c r="P1513" i="6" s="1"/>
  <c r="N420" i="6"/>
  <c r="O420" i="6" s="1"/>
  <c r="P420" i="6" s="1"/>
  <c r="N158" i="6"/>
  <c r="O158" i="6" s="1"/>
  <c r="P158" i="6" s="1"/>
  <c r="N148" i="6"/>
  <c r="O148" i="6" s="1"/>
  <c r="P148" i="6" s="1"/>
  <c r="N25" i="6"/>
  <c r="O25" i="6" s="1"/>
  <c r="P25" i="6" s="1"/>
  <c r="N537" i="6"/>
  <c r="O537" i="6" s="1"/>
  <c r="P537" i="6" s="1"/>
  <c r="N670" i="6"/>
  <c r="O670" i="6" s="1"/>
  <c r="P670" i="6" s="1"/>
  <c r="N963" i="6"/>
  <c r="O963" i="6" s="1"/>
  <c r="P963" i="6" s="1"/>
  <c r="N1475" i="6"/>
  <c r="O1475" i="6" s="1"/>
  <c r="P1475" i="6" s="1"/>
  <c r="N956" i="6"/>
  <c r="O956" i="6" s="1"/>
  <c r="P956" i="6" s="1"/>
  <c r="N1468" i="6"/>
  <c r="O1468" i="6" s="1"/>
  <c r="P1468" i="6" s="1"/>
  <c r="N1045" i="6"/>
  <c r="O1045" i="6" s="1"/>
  <c r="P1045" i="6" s="1"/>
  <c r="N443" i="6"/>
  <c r="O443" i="6" s="1"/>
  <c r="P443" i="6" s="1"/>
  <c r="N1402" i="6"/>
  <c r="O1402" i="6" s="1"/>
  <c r="P1402" i="6" s="1"/>
  <c r="N360" i="6"/>
  <c r="O360" i="6" s="1"/>
  <c r="P360" i="6" s="1"/>
  <c r="N141" i="6"/>
  <c r="O141" i="6" s="1"/>
  <c r="P141" i="6" s="1"/>
  <c r="N242" i="6"/>
  <c r="O242" i="6" s="1"/>
  <c r="P242" i="6" s="1"/>
  <c r="N1008" i="6"/>
  <c r="O1008" i="6" s="1"/>
  <c r="P1008" i="6" s="1"/>
  <c r="N212" i="6"/>
  <c r="O212" i="6" s="1"/>
  <c r="P212" i="6" s="1"/>
  <c r="N548" i="6"/>
  <c r="O548" i="6" s="1"/>
  <c r="P548" i="6" s="1"/>
  <c r="N153" i="6"/>
  <c r="O153" i="6" s="1"/>
  <c r="P153" i="6" s="1"/>
  <c r="N665" i="6"/>
  <c r="O665" i="6" s="1"/>
  <c r="P665" i="6" s="1"/>
  <c r="N286" i="6"/>
  <c r="O286" i="6" s="1"/>
  <c r="P286" i="6" s="1"/>
  <c r="N798" i="6"/>
  <c r="O798" i="6" s="1"/>
  <c r="P798" i="6" s="1"/>
  <c r="N1091" i="6"/>
  <c r="O1091" i="6" s="1"/>
  <c r="P1091" i="6" s="1"/>
  <c r="N1603" i="6"/>
  <c r="O1603" i="6" s="1"/>
  <c r="P1603" i="6" s="1"/>
  <c r="N1084" i="6"/>
  <c r="O1084" i="6" s="1"/>
  <c r="P1084" i="6" s="1"/>
  <c r="N1596" i="6"/>
  <c r="O1596" i="6" s="1"/>
  <c r="P1596" i="6" s="1"/>
  <c r="N1221" i="6"/>
  <c r="O1221" i="6" s="1"/>
  <c r="P1221" i="6" s="1"/>
  <c r="N1426" i="6"/>
  <c r="O1426" i="6" s="1"/>
  <c r="P1426" i="6" s="1"/>
  <c r="N1070" i="6"/>
  <c r="O1070" i="6" s="1"/>
  <c r="P1070" i="6" s="1"/>
  <c r="N536" i="6"/>
  <c r="O536" i="6" s="1"/>
  <c r="P536" i="6" s="1"/>
  <c r="N301" i="6"/>
  <c r="O301" i="6" s="1"/>
  <c r="P301" i="6" s="1"/>
  <c r="N722" i="6"/>
  <c r="O722" i="6" s="1"/>
  <c r="P722" i="6" s="1"/>
  <c r="N1520" i="6"/>
  <c r="O1520" i="6" s="1"/>
  <c r="P1520" i="6" s="1"/>
  <c r="N613" i="6"/>
  <c r="O613" i="6" s="1"/>
  <c r="P613" i="6" s="1"/>
  <c r="N828" i="6"/>
  <c r="O828" i="6" s="1"/>
  <c r="P828" i="6" s="1"/>
  <c r="N694" i="6"/>
  <c r="O694" i="6" s="1"/>
  <c r="P694" i="6" s="1"/>
  <c r="N893" i="6"/>
  <c r="O893" i="6" s="1"/>
  <c r="P893" i="6" s="1"/>
  <c r="N829" i="6"/>
  <c r="O829" i="6" s="1"/>
  <c r="P829" i="6" s="1"/>
  <c r="N765" i="6"/>
  <c r="O765" i="6" s="1"/>
  <c r="P765" i="6" s="1"/>
  <c r="N701" i="6"/>
  <c r="O701" i="6" s="1"/>
  <c r="P701" i="6" s="1"/>
  <c r="N637" i="6"/>
  <c r="O637" i="6" s="1"/>
  <c r="P637" i="6" s="1"/>
  <c r="N573" i="6"/>
  <c r="O573" i="6" s="1"/>
  <c r="P573" i="6" s="1"/>
  <c r="N509" i="6"/>
  <c r="O509" i="6" s="1"/>
  <c r="P509" i="6" s="1"/>
  <c r="N445" i="6"/>
  <c r="O445" i="6" s="1"/>
  <c r="P445" i="6" s="1"/>
  <c r="N381" i="6"/>
  <c r="O381" i="6" s="1"/>
  <c r="P381" i="6" s="1"/>
  <c r="N317" i="6"/>
  <c r="O317" i="6" s="1"/>
  <c r="P317" i="6" s="1"/>
  <c r="N253" i="6"/>
  <c r="O253" i="6" s="1"/>
  <c r="P253" i="6" s="1"/>
  <c r="N189" i="6"/>
  <c r="O189" i="6" s="1"/>
  <c r="P189" i="6" s="1"/>
  <c r="N125" i="6"/>
  <c r="O125" i="6" s="1"/>
  <c r="P125" i="6" s="1"/>
  <c r="N61" i="6"/>
  <c r="O61" i="6" s="1"/>
  <c r="P61" i="6" s="1"/>
  <c r="N904" i="6"/>
  <c r="O904" i="6" s="1"/>
  <c r="P904" i="6" s="1"/>
  <c r="N840" i="6"/>
  <c r="O840" i="6" s="1"/>
  <c r="P840" i="6" s="1"/>
  <c r="N776" i="6"/>
  <c r="O776" i="6" s="1"/>
  <c r="P776" i="6" s="1"/>
  <c r="N712" i="6"/>
  <c r="O712" i="6" s="1"/>
  <c r="P712" i="6" s="1"/>
  <c r="N648" i="6"/>
  <c r="O648" i="6" s="1"/>
  <c r="P648" i="6" s="1"/>
  <c r="N584" i="6"/>
  <c r="O584" i="6" s="1"/>
  <c r="P584" i="6" s="1"/>
  <c r="N520" i="6"/>
  <c r="O520" i="6" s="1"/>
  <c r="P520" i="6" s="1"/>
  <c r="N456" i="6"/>
  <c r="O456" i="6" s="1"/>
  <c r="P456" i="6" s="1"/>
  <c r="N392" i="6"/>
  <c r="O392" i="6" s="1"/>
  <c r="P392" i="6" s="1"/>
  <c r="N328" i="6"/>
  <c r="O328" i="6" s="1"/>
  <c r="P328" i="6" s="1"/>
  <c r="N264" i="6"/>
  <c r="O264" i="6" s="1"/>
  <c r="P264" i="6" s="1"/>
  <c r="N200" i="6"/>
  <c r="O200" i="6" s="1"/>
  <c r="P200" i="6" s="1"/>
  <c r="N136" i="6"/>
  <c r="O136" i="6" s="1"/>
  <c r="P136" i="6" s="1"/>
  <c r="N72" i="6"/>
  <c r="O72" i="6" s="1"/>
  <c r="P72" i="6" s="1"/>
  <c r="N8" i="6"/>
  <c r="O8" i="6" s="1"/>
  <c r="P8" i="6" s="1"/>
  <c r="N1454" i="6"/>
  <c r="O1454" i="6" s="1"/>
  <c r="P1454" i="6" s="1"/>
  <c r="N1198" i="6"/>
  <c r="O1198" i="6" s="1"/>
  <c r="P1198" i="6" s="1"/>
  <c r="N942" i="6"/>
  <c r="O942" i="6" s="1"/>
  <c r="P942" i="6" s="1"/>
  <c r="N43" i="6"/>
  <c r="O43" i="6" s="1"/>
  <c r="P43" i="6" s="1"/>
  <c r="N1466" i="6"/>
  <c r="O1466" i="6" s="1"/>
  <c r="P1466" i="6" s="1"/>
  <c r="N1210" i="6"/>
  <c r="O1210" i="6" s="1"/>
  <c r="P1210" i="6" s="1"/>
  <c r="N954" i="6"/>
  <c r="O954" i="6" s="1"/>
  <c r="P954" i="6" s="1"/>
  <c r="N91" i="6"/>
  <c r="O91" i="6" s="1"/>
  <c r="P91" i="6" s="1"/>
  <c r="N1478" i="6"/>
  <c r="O1478" i="6" s="1"/>
  <c r="P1478" i="6" s="1"/>
  <c r="N1222" i="6"/>
  <c r="O1222" i="6" s="1"/>
  <c r="P1222" i="6" s="1"/>
  <c r="N966" i="6"/>
  <c r="O966" i="6" s="1"/>
  <c r="P966" i="6" s="1"/>
  <c r="N139" i="6"/>
  <c r="O139" i="6" s="1"/>
  <c r="P139" i="6" s="1"/>
  <c r="N1490" i="6"/>
  <c r="O1490" i="6" s="1"/>
  <c r="P1490" i="6" s="1"/>
  <c r="N1234" i="6"/>
  <c r="O1234" i="6" s="1"/>
  <c r="P1234" i="6" s="1"/>
  <c r="N978" i="6"/>
  <c r="O978" i="6" s="1"/>
  <c r="P978" i="6" s="1"/>
  <c r="N187" i="6"/>
  <c r="O187" i="6" s="1"/>
  <c r="P187" i="6" s="1"/>
  <c r="N1653" i="6"/>
  <c r="O1653" i="6" s="1"/>
  <c r="P1653" i="6" s="1"/>
  <c r="N1589" i="6"/>
  <c r="O1589" i="6" s="1"/>
  <c r="P1589" i="6" s="1"/>
  <c r="N1525" i="6"/>
  <c r="O1525" i="6" s="1"/>
  <c r="P1525" i="6" s="1"/>
  <c r="N1461" i="6"/>
  <c r="O1461" i="6" s="1"/>
  <c r="P1461" i="6" s="1"/>
  <c r="N1397" i="6"/>
  <c r="O1397" i="6" s="1"/>
  <c r="P1397" i="6" s="1"/>
  <c r="N1333" i="6"/>
  <c r="O1333" i="6" s="1"/>
  <c r="P1333" i="6" s="1"/>
  <c r="N1269" i="6"/>
  <c r="O1269" i="6" s="1"/>
  <c r="P1269" i="6" s="1"/>
  <c r="N1205" i="6"/>
  <c r="O1205" i="6" s="1"/>
  <c r="P1205" i="6" s="1"/>
  <c r="N1141" i="6"/>
  <c r="O1141" i="6" s="1"/>
  <c r="P1141" i="6" s="1"/>
  <c r="N1077" i="6"/>
  <c r="O1077" i="6" s="1"/>
  <c r="P1077" i="6" s="1"/>
  <c r="N1013" i="6"/>
  <c r="O1013" i="6" s="1"/>
  <c r="P1013" i="6" s="1"/>
  <c r="N949" i="6"/>
  <c r="O949" i="6" s="1"/>
  <c r="P949" i="6" s="1"/>
  <c r="N839" i="6"/>
  <c r="O839" i="6" s="1"/>
  <c r="P839" i="6" s="1"/>
  <c r="N583" i="6"/>
  <c r="O583" i="6" s="1"/>
  <c r="P583" i="6" s="1"/>
  <c r="N327" i="6"/>
  <c r="O327" i="6" s="1"/>
  <c r="P327" i="6" s="1"/>
  <c r="N71" i="6"/>
  <c r="O71" i="6" s="1"/>
  <c r="P71" i="6" s="1"/>
  <c r="N1570" i="6"/>
  <c r="O1570" i="6" s="1"/>
  <c r="P1570" i="6" s="1"/>
  <c r="N1314" i="6"/>
  <c r="O1314" i="6" s="1"/>
  <c r="P1314" i="6" s="1"/>
  <c r="N1058" i="6"/>
  <c r="O1058" i="6" s="1"/>
  <c r="P1058" i="6" s="1"/>
  <c r="N507" i="6"/>
  <c r="O507" i="6" s="1"/>
  <c r="P507" i="6" s="1"/>
  <c r="N1673" i="6"/>
  <c r="O1673" i="6" s="1"/>
  <c r="P1673" i="6" s="1"/>
  <c r="N1609" i="6"/>
  <c r="O1609" i="6" s="1"/>
  <c r="P1609" i="6" s="1"/>
  <c r="N1545" i="6"/>
  <c r="O1545" i="6" s="1"/>
  <c r="P1545" i="6" s="1"/>
  <c r="N1481" i="6"/>
  <c r="O1481" i="6" s="1"/>
  <c r="P1481" i="6" s="1"/>
  <c r="N1417" i="6"/>
  <c r="O1417" i="6" s="1"/>
  <c r="P1417" i="6" s="1"/>
  <c r="N1353" i="6"/>
  <c r="O1353" i="6" s="1"/>
  <c r="P1353" i="6" s="1"/>
  <c r="N1289" i="6"/>
  <c r="O1289" i="6" s="1"/>
  <c r="P1289" i="6" s="1"/>
  <c r="N1225" i="6"/>
  <c r="O1225" i="6" s="1"/>
  <c r="P1225" i="6" s="1"/>
  <c r="N1161" i="6"/>
  <c r="O1161" i="6" s="1"/>
  <c r="P1161" i="6" s="1"/>
  <c r="N1097" i="6"/>
  <c r="O1097" i="6" s="1"/>
  <c r="P1097" i="6" s="1"/>
  <c r="N1033" i="6"/>
  <c r="O1033" i="6" s="1"/>
  <c r="P1033" i="6" s="1"/>
  <c r="N969" i="6"/>
  <c r="O969" i="6" s="1"/>
  <c r="P969" i="6" s="1"/>
  <c r="N903" i="6"/>
  <c r="O903" i="6" s="1"/>
  <c r="P903" i="6" s="1"/>
  <c r="N663" i="6"/>
  <c r="O663" i="6" s="1"/>
  <c r="P663" i="6" s="1"/>
  <c r="N407" i="6"/>
  <c r="O407" i="6" s="1"/>
  <c r="P407" i="6" s="1"/>
  <c r="N151" i="6"/>
  <c r="O151" i="6" s="1"/>
  <c r="P151" i="6" s="1"/>
  <c r="N1680" i="6"/>
  <c r="O1680" i="6" s="1"/>
  <c r="P1680" i="6" s="1"/>
  <c r="N1616" i="6"/>
  <c r="O1616" i="6" s="1"/>
  <c r="P1616" i="6" s="1"/>
  <c r="N1552" i="6"/>
  <c r="O1552" i="6" s="1"/>
  <c r="P1552" i="6" s="1"/>
  <c r="N1488" i="6"/>
  <c r="O1488" i="6" s="1"/>
  <c r="P1488" i="6" s="1"/>
  <c r="N1424" i="6"/>
  <c r="O1424" i="6" s="1"/>
  <c r="P1424" i="6" s="1"/>
  <c r="N1360" i="6"/>
  <c r="O1360" i="6" s="1"/>
  <c r="P1360" i="6" s="1"/>
  <c r="N1296" i="6"/>
  <c r="O1296" i="6" s="1"/>
  <c r="P1296" i="6" s="1"/>
  <c r="N1232" i="6"/>
  <c r="O1232" i="6" s="1"/>
  <c r="P1232" i="6" s="1"/>
  <c r="N1168" i="6"/>
  <c r="O1168" i="6" s="1"/>
  <c r="P1168" i="6" s="1"/>
  <c r="N1104" i="6"/>
  <c r="O1104" i="6" s="1"/>
  <c r="P1104" i="6" s="1"/>
  <c r="N1040" i="6"/>
  <c r="O1040" i="6" s="1"/>
  <c r="P1040" i="6" s="1"/>
  <c r="N976" i="6"/>
  <c r="O976" i="6" s="1"/>
  <c r="P976" i="6" s="1"/>
  <c r="N912" i="6"/>
  <c r="O912" i="6" s="1"/>
  <c r="P912" i="6" s="1"/>
  <c r="N691" i="6"/>
  <c r="O691" i="6" s="1"/>
  <c r="P691" i="6" s="1"/>
  <c r="N435" i="6"/>
  <c r="O435" i="6" s="1"/>
  <c r="P435" i="6" s="1"/>
  <c r="N179" i="6"/>
  <c r="O179" i="6" s="1"/>
  <c r="P179" i="6" s="1"/>
  <c r="N1687" i="6"/>
  <c r="O1687" i="6" s="1"/>
  <c r="P1687" i="6" s="1"/>
  <c r="N1623" i="6"/>
  <c r="O1623" i="6" s="1"/>
  <c r="P1623" i="6" s="1"/>
  <c r="N1559" i="6"/>
  <c r="O1559" i="6" s="1"/>
  <c r="P1559" i="6" s="1"/>
  <c r="N1495" i="6"/>
  <c r="O1495" i="6" s="1"/>
  <c r="P1495" i="6" s="1"/>
  <c r="N1431" i="6"/>
  <c r="O1431" i="6" s="1"/>
  <c r="P1431" i="6" s="1"/>
  <c r="N1367" i="6"/>
  <c r="O1367" i="6" s="1"/>
  <c r="P1367" i="6" s="1"/>
  <c r="N1303" i="6"/>
  <c r="O1303" i="6" s="1"/>
  <c r="P1303" i="6" s="1"/>
  <c r="N1239" i="6"/>
  <c r="O1239" i="6" s="1"/>
  <c r="P1239" i="6" s="1"/>
  <c r="N1175" i="6"/>
  <c r="O1175" i="6" s="1"/>
  <c r="P1175" i="6" s="1"/>
  <c r="N1111" i="6"/>
  <c r="O1111" i="6" s="1"/>
  <c r="P1111" i="6" s="1"/>
  <c r="N1047" i="6"/>
  <c r="O1047" i="6" s="1"/>
  <c r="P1047" i="6" s="1"/>
  <c r="N983" i="6"/>
  <c r="O983" i="6" s="1"/>
  <c r="P983" i="6" s="1"/>
  <c r="N919" i="6"/>
  <c r="O919" i="6" s="1"/>
  <c r="P919" i="6" s="1"/>
  <c r="N719" i="6"/>
  <c r="O719" i="6" s="1"/>
  <c r="P719" i="6" s="1"/>
  <c r="N463" i="6"/>
  <c r="O463" i="6" s="1"/>
  <c r="P463" i="6" s="1"/>
  <c r="N207" i="6"/>
  <c r="O207" i="6" s="1"/>
  <c r="P207" i="6" s="1"/>
  <c r="N882" i="6"/>
  <c r="O882" i="6" s="1"/>
  <c r="P882" i="6" s="1"/>
  <c r="N818" i="6"/>
  <c r="O818" i="6" s="1"/>
  <c r="P818" i="6" s="1"/>
  <c r="N754" i="6"/>
  <c r="O754" i="6" s="1"/>
  <c r="P754" i="6" s="1"/>
  <c r="N690" i="6"/>
  <c r="O690" i="6" s="1"/>
  <c r="P690" i="6" s="1"/>
  <c r="N626" i="6"/>
  <c r="O626" i="6" s="1"/>
  <c r="P626" i="6" s="1"/>
  <c r="N562" i="6"/>
  <c r="O562" i="6" s="1"/>
  <c r="P562" i="6" s="1"/>
  <c r="N498" i="6"/>
  <c r="O498" i="6" s="1"/>
  <c r="P498" i="6" s="1"/>
  <c r="N434" i="6"/>
  <c r="O434" i="6" s="1"/>
  <c r="P434" i="6" s="1"/>
  <c r="N370" i="6"/>
  <c r="O370" i="6" s="1"/>
  <c r="P370" i="6" s="1"/>
  <c r="N659" i="6"/>
  <c r="O659" i="6" s="1"/>
  <c r="P659" i="6" s="1"/>
  <c r="N496" i="6"/>
  <c r="O496" i="6" s="1"/>
  <c r="P496" i="6" s="1"/>
  <c r="N1540" i="6"/>
  <c r="O1540" i="6" s="1"/>
  <c r="P1540" i="6" s="1"/>
  <c r="N1499" i="6"/>
  <c r="O1499" i="6" s="1"/>
  <c r="P1499" i="6" s="1"/>
  <c r="N543" i="6"/>
  <c r="O543" i="6" s="1"/>
  <c r="P543" i="6" s="1"/>
  <c r="N502" i="6"/>
  <c r="O502" i="6" s="1"/>
  <c r="P502" i="6" s="1"/>
  <c r="N881" i="6"/>
  <c r="O881" i="6" s="1"/>
  <c r="P881" i="6" s="1"/>
  <c r="N369" i="6"/>
  <c r="O369" i="6" s="1"/>
  <c r="P369" i="6" s="1"/>
  <c r="N33" i="6"/>
  <c r="O33" i="6" s="1"/>
  <c r="P33" i="6" s="1"/>
  <c r="N780" i="6"/>
  <c r="O780" i="6" s="1"/>
  <c r="P780" i="6" s="1"/>
  <c r="N652" i="6"/>
  <c r="O652" i="6" s="1"/>
  <c r="P652" i="6" s="1"/>
  <c r="N524" i="6"/>
  <c r="O524" i="6" s="1"/>
  <c r="P524" i="6" s="1"/>
  <c r="N396" i="6"/>
  <c r="O396" i="6" s="1"/>
  <c r="P396" i="6" s="1"/>
  <c r="N268" i="6"/>
  <c r="O268" i="6" s="1"/>
  <c r="P268" i="6" s="1"/>
  <c r="N140" i="6"/>
  <c r="O140" i="6" s="1"/>
  <c r="P140" i="6" s="1"/>
  <c r="N12" i="6"/>
  <c r="O12" i="6" s="1"/>
  <c r="P12" i="6" s="1"/>
  <c r="N1214" i="6"/>
  <c r="O1214" i="6" s="1"/>
  <c r="P1214" i="6" s="1"/>
  <c r="N107" i="6"/>
  <c r="O107" i="6" s="1"/>
  <c r="P107" i="6" s="1"/>
  <c r="N1226" i="6"/>
  <c r="O1226" i="6" s="1"/>
  <c r="P1226" i="6" s="1"/>
  <c r="N155" i="6"/>
  <c r="O155" i="6" s="1"/>
  <c r="P155" i="6" s="1"/>
  <c r="N1238" i="6"/>
  <c r="O1238" i="6" s="1"/>
  <c r="P1238" i="6" s="1"/>
  <c r="N203" i="6"/>
  <c r="O203" i="6" s="1"/>
  <c r="P203" i="6" s="1"/>
  <c r="N1250" i="6"/>
  <c r="O1250" i="6" s="1"/>
  <c r="P1250" i="6" s="1"/>
  <c r="N251" i="6"/>
  <c r="O251" i="6" s="1"/>
  <c r="P251" i="6" s="1"/>
  <c r="N1593" i="6"/>
  <c r="O1593" i="6" s="1"/>
  <c r="P1593" i="6" s="1"/>
  <c r="N1465" i="6"/>
  <c r="O1465" i="6" s="1"/>
  <c r="P1465" i="6" s="1"/>
  <c r="N1337" i="6"/>
  <c r="O1337" i="6" s="1"/>
  <c r="P1337" i="6" s="1"/>
  <c r="N1209" i="6"/>
  <c r="O1209" i="6" s="1"/>
  <c r="P1209" i="6" s="1"/>
  <c r="N1081" i="6"/>
  <c r="O1081" i="6" s="1"/>
  <c r="P1081" i="6" s="1"/>
  <c r="N953" i="6"/>
  <c r="O953" i="6" s="1"/>
  <c r="P953" i="6" s="1"/>
  <c r="N599" i="6"/>
  <c r="O599" i="6" s="1"/>
  <c r="P599" i="6" s="1"/>
  <c r="N87" i="6"/>
  <c r="O87" i="6" s="1"/>
  <c r="P87" i="6" s="1"/>
  <c r="N1600" i="6"/>
  <c r="O1600" i="6" s="1"/>
  <c r="P1600" i="6" s="1"/>
  <c r="N1472" i="6"/>
  <c r="O1472" i="6" s="1"/>
  <c r="P1472" i="6" s="1"/>
  <c r="N1344" i="6"/>
  <c r="O1344" i="6" s="1"/>
  <c r="P1344" i="6" s="1"/>
  <c r="N1216" i="6"/>
  <c r="O1216" i="6" s="1"/>
  <c r="P1216" i="6" s="1"/>
  <c r="N1088" i="6"/>
  <c r="O1088" i="6" s="1"/>
  <c r="P1088" i="6" s="1"/>
  <c r="N960" i="6"/>
  <c r="O960" i="6" s="1"/>
  <c r="P960" i="6" s="1"/>
  <c r="N627" i="6"/>
  <c r="O627" i="6" s="1"/>
  <c r="P627" i="6" s="1"/>
  <c r="N115" i="6"/>
  <c r="O115" i="6" s="1"/>
  <c r="P115" i="6" s="1"/>
  <c r="N1607" i="6"/>
  <c r="O1607" i="6" s="1"/>
  <c r="P1607" i="6" s="1"/>
  <c r="N1479" i="6"/>
  <c r="O1479" i="6" s="1"/>
  <c r="P1479" i="6" s="1"/>
  <c r="N1351" i="6"/>
  <c r="O1351" i="6" s="1"/>
  <c r="P1351" i="6" s="1"/>
  <c r="N1223" i="6"/>
  <c r="O1223" i="6" s="1"/>
  <c r="P1223" i="6" s="1"/>
  <c r="N1095" i="6"/>
  <c r="O1095" i="6" s="1"/>
  <c r="P1095" i="6" s="1"/>
  <c r="N967" i="6"/>
  <c r="O967" i="6" s="1"/>
  <c r="P967" i="6" s="1"/>
  <c r="N655" i="6"/>
  <c r="O655" i="6" s="1"/>
  <c r="P655" i="6" s="1"/>
  <c r="N143" i="6"/>
  <c r="O143" i="6" s="1"/>
  <c r="P143" i="6" s="1"/>
  <c r="N802" i="6"/>
  <c r="O802" i="6" s="1"/>
  <c r="P802" i="6" s="1"/>
  <c r="N674" i="6"/>
  <c r="O674" i="6" s="1"/>
  <c r="P674" i="6" s="1"/>
  <c r="N546" i="6"/>
  <c r="O546" i="6" s="1"/>
  <c r="P546" i="6" s="1"/>
  <c r="N418" i="6"/>
  <c r="O418" i="6" s="1"/>
  <c r="P418" i="6" s="1"/>
  <c r="N306" i="6"/>
  <c r="O306" i="6" s="1"/>
  <c r="P306" i="6" s="1"/>
  <c r="N226" i="6"/>
  <c r="O226" i="6" s="1"/>
  <c r="P226" i="6" s="1"/>
  <c r="N146" i="6"/>
  <c r="O146" i="6" s="1"/>
  <c r="P146" i="6" s="1"/>
  <c r="N50" i="6"/>
  <c r="O50" i="6" s="1"/>
  <c r="P50" i="6" s="1"/>
  <c r="N861" i="6"/>
  <c r="O861" i="6" s="1"/>
  <c r="P861" i="6" s="1"/>
  <c r="N781" i="6"/>
  <c r="O781" i="6" s="1"/>
  <c r="P781" i="6" s="1"/>
  <c r="N685" i="6"/>
  <c r="O685" i="6" s="1"/>
  <c r="P685" i="6" s="1"/>
  <c r="N605" i="6"/>
  <c r="O605" i="6" s="1"/>
  <c r="P605" i="6" s="1"/>
  <c r="N525" i="6"/>
  <c r="O525" i="6" s="1"/>
  <c r="P525" i="6" s="1"/>
  <c r="N429" i="6"/>
  <c r="O429" i="6" s="1"/>
  <c r="P429" i="6" s="1"/>
  <c r="N349" i="6"/>
  <c r="O349" i="6" s="1"/>
  <c r="P349" i="6" s="1"/>
  <c r="N269" i="6"/>
  <c r="O269" i="6" s="1"/>
  <c r="P269" i="6" s="1"/>
  <c r="N173" i="6"/>
  <c r="O173" i="6" s="1"/>
  <c r="P173" i="6" s="1"/>
  <c r="N93" i="6"/>
  <c r="O93" i="6" s="1"/>
  <c r="P93" i="6" s="1"/>
  <c r="N13" i="6"/>
  <c r="O13" i="6" s="1"/>
  <c r="P13" i="6" s="1"/>
  <c r="N824" i="6"/>
  <c r="O824" i="6" s="1"/>
  <c r="P824" i="6" s="1"/>
  <c r="N744" i="6"/>
  <c r="O744" i="6" s="1"/>
  <c r="P744" i="6" s="1"/>
  <c r="N664" i="6"/>
  <c r="O664" i="6" s="1"/>
  <c r="P664" i="6" s="1"/>
  <c r="N568" i="6"/>
  <c r="O568" i="6" s="1"/>
  <c r="P568" i="6" s="1"/>
  <c r="N488" i="6"/>
  <c r="O488" i="6" s="1"/>
  <c r="P488" i="6" s="1"/>
  <c r="N408" i="6"/>
  <c r="O408" i="6" s="1"/>
  <c r="P408" i="6" s="1"/>
  <c r="N312" i="6"/>
  <c r="O312" i="6" s="1"/>
  <c r="P312" i="6" s="1"/>
  <c r="N232" i="6"/>
  <c r="O232" i="6" s="1"/>
  <c r="P232" i="6" s="1"/>
  <c r="N152" i="6"/>
  <c r="O152" i="6" s="1"/>
  <c r="P152" i="6" s="1"/>
  <c r="N56" i="6"/>
  <c r="O56" i="6" s="1"/>
  <c r="P56" i="6" s="1"/>
  <c r="N1582" i="6"/>
  <c r="O1582" i="6" s="1"/>
  <c r="P1582" i="6" s="1"/>
  <c r="N1262" i="6"/>
  <c r="O1262" i="6" s="1"/>
  <c r="P1262" i="6" s="1"/>
  <c r="N811" i="6"/>
  <c r="O811" i="6" s="1"/>
  <c r="P811" i="6" s="1"/>
  <c r="N1594" i="6"/>
  <c r="O1594" i="6" s="1"/>
  <c r="P1594" i="6" s="1"/>
  <c r="N1274" i="6"/>
  <c r="O1274" i="6" s="1"/>
  <c r="P1274" i="6" s="1"/>
  <c r="N859" i="6"/>
  <c r="O859" i="6" s="1"/>
  <c r="P859" i="6" s="1"/>
  <c r="N1606" i="6"/>
  <c r="O1606" i="6" s="1"/>
  <c r="P1606" i="6" s="1"/>
  <c r="N1286" i="6"/>
  <c r="O1286" i="6" s="1"/>
  <c r="P1286" i="6" s="1"/>
  <c r="N899" i="6"/>
  <c r="O899" i="6" s="1"/>
  <c r="P899" i="6" s="1"/>
  <c r="N1618" i="6"/>
  <c r="O1618" i="6" s="1"/>
  <c r="P1618" i="6" s="1"/>
  <c r="N1298" i="6"/>
  <c r="O1298" i="6" s="1"/>
  <c r="P1298" i="6" s="1"/>
  <c r="N914" i="6"/>
  <c r="O914" i="6" s="1"/>
  <c r="P914" i="6" s="1"/>
  <c r="N1685" i="6"/>
  <c r="O1685" i="6" s="1"/>
  <c r="P1685" i="6" s="1"/>
  <c r="N1605" i="6"/>
  <c r="O1605" i="6" s="1"/>
  <c r="P1605" i="6" s="1"/>
  <c r="N1509" i="6"/>
  <c r="O1509" i="6" s="1"/>
  <c r="P1509" i="6" s="1"/>
  <c r="N1429" i="6"/>
  <c r="O1429" i="6" s="1"/>
  <c r="P1429" i="6" s="1"/>
  <c r="N1349" i="6"/>
  <c r="O1349" i="6" s="1"/>
  <c r="P1349" i="6" s="1"/>
  <c r="N1253" i="6"/>
  <c r="O1253" i="6" s="1"/>
  <c r="P1253" i="6" s="1"/>
  <c r="N1173" i="6"/>
  <c r="O1173" i="6" s="1"/>
  <c r="P1173" i="6" s="1"/>
  <c r="N1093" i="6"/>
  <c r="O1093" i="6" s="1"/>
  <c r="P1093" i="6" s="1"/>
  <c r="N997" i="6"/>
  <c r="O997" i="6" s="1"/>
  <c r="P997" i="6" s="1"/>
  <c r="N917" i="6"/>
  <c r="O917" i="6" s="1"/>
  <c r="P917" i="6" s="1"/>
  <c r="N647" i="6"/>
  <c r="O647" i="6" s="1"/>
  <c r="P647" i="6" s="1"/>
  <c r="N263" i="6"/>
  <c r="O263" i="6" s="1"/>
  <c r="P263" i="6" s="1"/>
  <c r="N1692" i="6"/>
  <c r="O1692" i="6" s="1"/>
  <c r="P1692" i="6" s="1"/>
  <c r="N1628" i="6"/>
  <c r="O1628" i="6" s="1"/>
  <c r="P1628" i="6" s="1"/>
  <c r="N1564" i="6"/>
  <c r="O1564" i="6" s="1"/>
  <c r="P1564" i="6" s="1"/>
  <c r="N1500" i="6"/>
  <c r="O1500" i="6" s="1"/>
  <c r="P1500" i="6" s="1"/>
  <c r="N1436" i="6"/>
  <c r="O1436" i="6" s="1"/>
  <c r="P1436" i="6" s="1"/>
  <c r="N1372" i="6"/>
  <c r="O1372" i="6" s="1"/>
  <c r="P1372" i="6" s="1"/>
  <c r="N1308" i="6"/>
  <c r="O1308" i="6" s="1"/>
  <c r="P1308" i="6" s="1"/>
  <c r="N1244" i="6"/>
  <c r="O1244" i="6" s="1"/>
  <c r="P1244" i="6" s="1"/>
  <c r="N1180" i="6"/>
  <c r="O1180" i="6" s="1"/>
  <c r="P1180" i="6" s="1"/>
  <c r="N1116" i="6"/>
  <c r="O1116" i="6" s="1"/>
  <c r="P1116" i="6" s="1"/>
  <c r="N1052" i="6"/>
  <c r="O1052" i="6" s="1"/>
  <c r="P1052" i="6" s="1"/>
  <c r="N988" i="6"/>
  <c r="O988" i="6" s="1"/>
  <c r="P988" i="6" s="1"/>
  <c r="N924" i="6"/>
  <c r="O924" i="6" s="1"/>
  <c r="P924" i="6" s="1"/>
  <c r="N739" i="6"/>
  <c r="O739" i="6" s="1"/>
  <c r="P739" i="6" s="1"/>
  <c r="N483" i="6"/>
  <c r="O483" i="6" s="1"/>
  <c r="P483" i="6" s="1"/>
  <c r="N227" i="6"/>
  <c r="O227" i="6" s="1"/>
  <c r="P227" i="6" s="1"/>
  <c r="N1699" i="6"/>
  <c r="O1699" i="6" s="1"/>
  <c r="P1699" i="6" s="1"/>
  <c r="N1635" i="6"/>
  <c r="O1635" i="6" s="1"/>
  <c r="P1635" i="6" s="1"/>
  <c r="N1571" i="6"/>
  <c r="O1571" i="6" s="1"/>
  <c r="P1571" i="6" s="1"/>
  <c r="N1507" i="6"/>
  <c r="O1507" i="6" s="1"/>
  <c r="P1507" i="6" s="1"/>
  <c r="N1443" i="6"/>
  <c r="O1443" i="6" s="1"/>
  <c r="P1443" i="6" s="1"/>
  <c r="N1379" i="6"/>
  <c r="O1379" i="6" s="1"/>
  <c r="P1379" i="6" s="1"/>
  <c r="N1315" i="6"/>
  <c r="O1315" i="6" s="1"/>
  <c r="P1315" i="6" s="1"/>
  <c r="N1251" i="6"/>
  <c r="O1251" i="6" s="1"/>
  <c r="P1251" i="6" s="1"/>
  <c r="N1187" i="6"/>
  <c r="O1187" i="6" s="1"/>
  <c r="P1187" i="6" s="1"/>
  <c r="N1123" i="6"/>
  <c r="O1123" i="6" s="1"/>
  <c r="P1123" i="6" s="1"/>
  <c r="N1059" i="6"/>
  <c r="O1059" i="6" s="1"/>
  <c r="P1059" i="6" s="1"/>
  <c r="N995" i="6"/>
  <c r="O995" i="6" s="1"/>
  <c r="P995" i="6" s="1"/>
  <c r="N931" i="6"/>
  <c r="O931" i="6" s="1"/>
  <c r="P931" i="6" s="1"/>
  <c r="N767" i="6"/>
  <c r="O767" i="6" s="1"/>
  <c r="P767" i="6" s="1"/>
  <c r="N511" i="6"/>
  <c r="O511" i="6" s="1"/>
  <c r="P511" i="6" s="1"/>
  <c r="N255" i="6"/>
  <c r="O255" i="6" s="1"/>
  <c r="P255" i="6" s="1"/>
  <c r="N894" i="6"/>
  <c r="O894" i="6" s="1"/>
  <c r="P894" i="6" s="1"/>
  <c r="N830" i="6"/>
  <c r="O830" i="6" s="1"/>
  <c r="P830" i="6" s="1"/>
  <c r="N766" i="6"/>
  <c r="O766" i="6" s="1"/>
  <c r="P766" i="6" s="1"/>
  <c r="N702" i="6"/>
  <c r="O702" i="6" s="1"/>
  <c r="P702" i="6" s="1"/>
  <c r="N638" i="6"/>
  <c r="O638" i="6" s="1"/>
  <c r="P638" i="6" s="1"/>
  <c r="N574" i="6"/>
  <c r="O574" i="6" s="1"/>
  <c r="P574" i="6" s="1"/>
  <c r="N510" i="6"/>
  <c r="O510" i="6" s="1"/>
  <c r="P510" i="6" s="1"/>
  <c r="N446" i="6"/>
  <c r="O446" i="6" s="1"/>
  <c r="P446" i="6" s="1"/>
  <c r="N382" i="6"/>
  <c r="O382" i="6" s="1"/>
  <c r="P382" i="6" s="1"/>
  <c r="N318" i="6"/>
  <c r="O318" i="6" s="1"/>
  <c r="P318" i="6" s="1"/>
  <c r="N254" i="6"/>
  <c r="O254" i="6" s="1"/>
  <c r="P254" i="6" s="1"/>
  <c r="N190" i="6"/>
  <c r="O190" i="6" s="1"/>
  <c r="P190" i="6" s="1"/>
  <c r="N126" i="6"/>
  <c r="O126" i="6" s="1"/>
  <c r="P126" i="6" s="1"/>
  <c r="N62" i="6"/>
  <c r="O62" i="6" s="1"/>
  <c r="P62" i="6" s="1"/>
  <c r="N889" i="6"/>
  <c r="O889" i="6" s="1"/>
  <c r="P889" i="6" s="1"/>
  <c r="N825" i="6"/>
  <c r="O825" i="6" s="1"/>
  <c r="P825" i="6" s="1"/>
  <c r="N761" i="6"/>
  <c r="O761" i="6" s="1"/>
  <c r="P761" i="6" s="1"/>
  <c r="N697" i="6"/>
  <c r="O697" i="6" s="1"/>
  <c r="P697" i="6" s="1"/>
  <c r="N633" i="6"/>
  <c r="O633" i="6" s="1"/>
  <c r="P633" i="6" s="1"/>
  <c r="N569" i="6"/>
  <c r="O569" i="6" s="1"/>
  <c r="P569" i="6" s="1"/>
  <c r="N505" i="6"/>
  <c r="O505" i="6" s="1"/>
  <c r="P505" i="6" s="1"/>
  <c r="N441" i="6"/>
  <c r="O441" i="6" s="1"/>
  <c r="P441" i="6" s="1"/>
  <c r="N377" i="6"/>
  <c r="O377" i="6" s="1"/>
  <c r="P377" i="6" s="1"/>
  <c r="N313" i="6"/>
  <c r="O313" i="6" s="1"/>
  <c r="P313" i="6" s="1"/>
  <c r="N249" i="6"/>
  <c r="O249" i="6" s="1"/>
  <c r="P249" i="6" s="1"/>
  <c r="N185" i="6"/>
  <c r="O185" i="6" s="1"/>
  <c r="P185" i="6" s="1"/>
  <c r="N121" i="6"/>
  <c r="O121" i="6" s="1"/>
  <c r="P121" i="6" s="1"/>
  <c r="N57" i="6"/>
  <c r="O57" i="6" s="1"/>
  <c r="P57" i="6" s="1"/>
  <c r="N900" i="6"/>
  <c r="O900" i="6" s="1"/>
  <c r="P900" i="6" s="1"/>
  <c r="N836" i="6"/>
  <c r="O836" i="6" s="1"/>
  <c r="P836" i="6" s="1"/>
  <c r="N772" i="6"/>
  <c r="O772" i="6" s="1"/>
  <c r="P772" i="6" s="1"/>
  <c r="N708" i="6"/>
  <c r="O708" i="6" s="1"/>
  <c r="P708" i="6" s="1"/>
  <c r="N644" i="6"/>
  <c r="O644" i="6" s="1"/>
  <c r="P644" i="6" s="1"/>
  <c r="N580" i="6"/>
  <c r="O580" i="6" s="1"/>
  <c r="P580" i="6" s="1"/>
  <c r="N516" i="6"/>
  <c r="O516" i="6" s="1"/>
  <c r="P516" i="6" s="1"/>
  <c r="N452" i="6"/>
  <c r="O452" i="6" s="1"/>
  <c r="P452" i="6" s="1"/>
  <c r="N388" i="6"/>
  <c r="O388" i="6" s="1"/>
  <c r="P388" i="6" s="1"/>
  <c r="N1359" i="6"/>
  <c r="O1359" i="6" s="1"/>
  <c r="P1359" i="6" s="1"/>
  <c r="N160" i="6"/>
  <c r="O160" i="6" s="1"/>
  <c r="P160" i="6" s="1"/>
  <c r="N1188" i="6"/>
  <c r="O1188" i="6" s="1"/>
  <c r="P1188" i="6" s="1"/>
  <c r="N1419" i="6"/>
  <c r="O1419" i="6" s="1"/>
  <c r="P1419" i="6" s="1"/>
  <c r="N223" i="6"/>
  <c r="O223" i="6" s="1"/>
  <c r="P223" i="6" s="1"/>
  <c r="N438" i="6"/>
  <c r="O438" i="6" s="1"/>
  <c r="P438" i="6" s="1"/>
  <c r="N817" i="6"/>
  <c r="O817" i="6" s="1"/>
  <c r="P817" i="6" s="1"/>
  <c r="N305" i="6"/>
  <c r="O305" i="6" s="1"/>
  <c r="P305" i="6" s="1"/>
  <c r="N908" i="6"/>
  <c r="O908" i="6" s="1"/>
  <c r="P908" i="6" s="1"/>
  <c r="N764" i="6"/>
  <c r="O764" i="6" s="1"/>
  <c r="P764" i="6" s="1"/>
  <c r="N636" i="6"/>
  <c r="O636" i="6" s="1"/>
  <c r="P636" i="6" s="1"/>
  <c r="N508" i="6"/>
  <c r="O508" i="6" s="1"/>
  <c r="P508" i="6" s="1"/>
  <c r="N380" i="6"/>
  <c r="O380" i="6" s="1"/>
  <c r="P380" i="6" s="1"/>
  <c r="N252" i="6"/>
  <c r="O252" i="6" s="1"/>
  <c r="P252" i="6" s="1"/>
  <c r="N124" i="6"/>
  <c r="O124" i="6" s="1"/>
  <c r="P124" i="6" s="1"/>
  <c r="N1662" i="6"/>
  <c r="O1662" i="6" s="1"/>
  <c r="P1662" i="6" s="1"/>
  <c r="N1150" i="6"/>
  <c r="O1150" i="6" s="1"/>
  <c r="P1150" i="6" s="1"/>
  <c r="N1674" i="6"/>
  <c r="O1674" i="6" s="1"/>
  <c r="P1674" i="6" s="1"/>
  <c r="N1162" i="6"/>
  <c r="O1162" i="6" s="1"/>
  <c r="P1162" i="6" s="1"/>
  <c r="N1686" i="6"/>
  <c r="O1686" i="6" s="1"/>
  <c r="P1686" i="6" s="1"/>
  <c r="N1174" i="6"/>
  <c r="O1174" i="6" s="1"/>
  <c r="P1174" i="6" s="1"/>
  <c r="N1698" i="6"/>
  <c r="O1698" i="6" s="1"/>
  <c r="P1698" i="6" s="1"/>
  <c r="N1186" i="6"/>
  <c r="O1186" i="6" s="1"/>
  <c r="P1186" i="6" s="1"/>
  <c r="N1705" i="6"/>
  <c r="O1705" i="6" s="1"/>
  <c r="P1705" i="6" s="1"/>
  <c r="N1577" i="6"/>
  <c r="O1577" i="6" s="1"/>
  <c r="P1577" i="6" s="1"/>
  <c r="N1449" i="6"/>
  <c r="O1449" i="6" s="1"/>
  <c r="P1449" i="6" s="1"/>
  <c r="N1321" i="6"/>
  <c r="O1321" i="6" s="1"/>
  <c r="P1321" i="6" s="1"/>
  <c r="N1193" i="6"/>
  <c r="O1193" i="6" s="1"/>
  <c r="P1193" i="6" s="1"/>
  <c r="N1065" i="6"/>
  <c r="O1065" i="6" s="1"/>
  <c r="P1065" i="6" s="1"/>
  <c r="N937" i="6"/>
  <c r="O937" i="6" s="1"/>
  <c r="P937" i="6" s="1"/>
  <c r="N535" i="6"/>
  <c r="O535" i="6" s="1"/>
  <c r="P535" i="6" s="1"/>
  <c r="N23" i="6"/>
  <c r="O23" i="6" s="1"/>
  <c r="P23" i="6" s="1"/>
  <c r="N1584" i="6"/>
  <c r="O1584" i="6" s="1"/>
  <c r="P1584" i="6" s="1"/>
  <c r="N1456" i="6"/>
  <c r="O1456" i="6" s="1"/>
  <c r="P1456" i="6" s="1"/>
  <c r="N1328" i="6"/>
  <c r="O1328" i="6" s="1"/>
  <c r="P1328" i="6" s="1"/>
  <c r="N1200" i="6"/>
  <c r="O1200" i="6" s="1"/>
  <c r="P1200" i="6" s="1"/>
  <c r="N1072" i="6"/>
  <c r="O1072" i="6" s="1"/>
  <c r="P1072" i="6" s="1"/>
  <c r="N944" i="6"/>
  <c r="O944" i="6" s="1"/>
  <c r="P944" i="6" s="1"/>
  <c r="N563" i="6"/>
  <c r="O563" i="6" s="1"/>
  <c r="P563" i="6" s="1"/>
  <c r="N51" i="6"/>
  <c r="O51" i="6" s="1"/>
  <c r="P51" i="6" s="1"/>
  <c r="N1591" i="6"/>
  <c r="O1591" i="6" s="1"/>
  <c r="P1591" i="6" s="1"/>
  <c r="N1463" i="6"/>
  <c r="O1463" i="6" s="1"/>
  <c r="P1463" i="6" s="1"/>
  <c r="N1335" i="6"/>
  <c r="O1335" i="6" s="1"/>
  <c r="P1335" i="6" s="1"/>
  <c r="N1207" i="6"/>
  <c r="O1207" i="6" s="1"/>
  <c r="P1207" i="6" s="1"/>
  <c r="N1079" i="6"/>
  <c r="O1079" i="6" s="1"/>
  <c r="P1079" i="6" s="1"/>
  <c r="N951" i="6"/>
  <c r="O951" i="6" s="1"/>
  <c r="P951" i="6" s="1"/>
  <c r="N591" i="6"/>
  <c r="O591" i="6" s="1"/>
  <c r="P591" i="6" s="1"/>
  <c r="N79" i="6"/>
  <c r="O79" i="6" s="1"/>
  <c r="P79" i="6" s="1"/>
  <c r="N786" i="6"/>
  <c r="O786" i="6" s="1"/>
  <c r="P786" i="6" s="1"/>
  <c r="N658" i="6"/>
  <c r="O658" i="6" s="1"/>
  <c r="P658" i="6" s="1"/>
  <c r="N530" i="6"/>
  <c r="O530" i="6" s="1"/>
  <c r="P530" i="6" s="1"/>
  <c r="N402" i="6"/>
  <c r="O402" i="6" s="1"/>
  <c r="P402" i="6" s="1"/>
  <c r="N290" i="6"/>
  <c r="O290" i="6" s="1"/>
  <c r="P290" i="6" s="1"/>
  <c r="N210" i="6"/>
  <c r="O210" i="6" s="1"/>
  <c r="P210" i="6" s="1"/>
  <c r="N114" i="6"/>
  <c r="O114" i="6" s="1"/>
  <c r="P114" i="6" s="1"/>
  <c r="N34" i="6"/>
  <c r="O34" i="6" s="1"/>
  <c r="P34" i="6" s="1"/>
  <c r="N845" i="6"/>
  <c r="O845" i="6" s="1"/>
  <c r="P845" i="6" s="1"/>
  <c r="N749" i="6"/>
  <c r="O749" i="6" s="1"/>
  <c r="P749" i="6" s="1"/>
  <c r="N669" i="6"/>
  <c r="O669" i="6" s="1"/>
  <c r="P669" i="6" s="1"/>
  <c r="N589" i="6"/>
  <c r="O589" i="6" s="1"/>
  <c r="P589" i="6" s="1"/>
  <c r="N493" i="6"/>
  <c r="O493" i="6" s="1"/>
  <c r="P493" i="6" s="1"/>
  <c r="N413" i="6"/>
  <c r="O413" i="6" s="1"/>
  <c r="P413" i="6" s="1"/>
  <c r="N333" i="6"/>
  <c r="O333" i="6" s="1"/>
  <c r="P333" i="6" s="1"/>
  <c r="N237" i="6"/>
  <c r="O237" i="6" s="1"/>
  <c r="P237" i="6" s="1"/>
  <c r="N157" i="6"/>
  <c r="O157" i="6" s="1"/>
  <c r="P157" i="6" s="1"/>
  <c r="N77" i="6"/>
  <c r="O77" i="6" s="1"/>
  <c r="P77" i="6" s="1"/>
  <c r="N888" i="6"/>
  <c r="O888" i="6" s="1"/>
  <c r="P888" i="6" s="1"/>
  <c r="N808" i="6"/>
  <c r="O808" i="6" s="1"/>
  <c r="P808" i="6" s="1"/>
  <c r="N728" i="6"/>
  <c r="O728" i="6" s="1"/>
  <c r="P728" i="6" s="1"/>
  <c r="N632" i="6"/>
  <c r="O632" i="6" s="1"/>
  <c r="P632" i="6" s="1"/>
  <c r="N552" i="6"/>
  <c r="O552" i="6" s="1"/>
  <c r="P552" i="6" s="1"/>
  <c r="N472" i="6"/>
  <c r="O472" i="6" s="1"/>
  <c r="P472" i="6" s="1"/>
  <c r="N376" i="6"/>
  <c r="O376" i="6" s="1"/>
  <c r="P376" i="6" s="1"/>
  <c r="N296" i="6"/>
  <c r="O296" i="6" s="1"/>
  <c r="P296" i="6" s="1"/>
  <c r="N216" i="6"/>
  <c r="O216" i="6" s="1"/>
  <c r="P216" i="6" s="1"/>
  <c r="N120" i="6"/>
  <c r="O120" i="6" s="1"/>
  <c r="P120" i="6" s="1"/>
  <c r="N40" i="6"/>
  <c r="O40" i="6" s="1"/>
  <c r="P40" i="6" s="1"/>
  <c r="N1518" i="6"/>
  <c r="O1518" i="6" s="1"/>
  <c r="P1518" i="6" s="1"/>
  <c r="N1134" i="6"/>
  <c r="O1134" i="6" s="1"/>
  <c r="P1134" i="6" s="1"/>
  <c r="N555" i="6"/>
  <c r="O555" i="6" s="1"/>
  <c r="P555" i="6" s="1"/>
  <c r="N1530" i="6"/>
  <c r="O1530" i="6" s="1"/>
  <c r="P1530" i="6" s="1"/>
  <c r="N1146" i="6"/>
  <c r="O1146" i="6" s="1"/>
  <c r="P1146" i="6" s="1"/>
  <c r="N603" i="6"/>
  <c r="O603" i="6" s="1"/>
  <c r="P603" i="6" s="1"/>
  <c r="N1542" i="6"/>
  <c r="O1542" i="6" s="1"/>
  <c r="P1542" i="6" s="1"/>
  <c r="N1158" i="6"/>
  <c r="O1158" i="6" s="1"/>
  <c r="P1158" i="6" s="1"/>
  <c r="N651" i="6"/>
  <c r="O651" i="6" s="1"/>
  <c r="P651" i="6" s="1"/>
  <c r="N1554" i="6"/>
  <c r="O1554" i="6" s="1"/>
  <c r="P1554" i="6" s="1"/>
  <c r="N1170" i="6"/>
  <c r="O1170" i="6" s="1"/>
  <c r="P1170" i="6" s="1"/>
  <c r="N699" i="6"/>
  <c r="O699" i="6" s="1"/>
  <c r="P699" i="6" s="1"/>
  <c r="N1669" i="6"/>
  <c r="O1669" i="6" s="1"/>
  <c r="P1669" i="6" s="1"/>
  <c r="N1573" i="6"/>
  <c r="O1573" i="6" s="1"/>
  <c r="P1573" i="6" s="1"/>
  <c r="N1493" i="6"/>
  <c r="O1493" i="6" s="1"/>
  <c r="P1493" i="6" s="1"/>
  <c r="N1413" i="6"/>
  <c r="O1413" i="6" s="1"/>
  <c r="P1413" i="6" s="1"/>
  <c r="N1317" i="6"/>
  <c r="O1317" i="6" s="1"/>
  <c r="P1317" i="6" s="1"/>
  <c r="N1237" i="6"/>
  <c r="O1237" i="6" s="1"/>
  <c r="P1237" i="6" s="1"/>
  <c r="N1157" i="6"/>
  <c r="O1157" i="6" s="1"/>
  <c r="P1157" i="6" s="1"/>
  <c r="N1061" i="6"/>
  <c r="O1061" i="6" s="1"/>
  <c r="P1061" i="6" s="1"/>
  <c r="N981" i="6"/>
  <c r="O981" i="6" s="1"/>
  <c r="P981" i="6" s="1"/>
  <c r="N898" i="6"/>
  <c r="O898" i="6" s="1"/>
  <c r="P898" i="6" s="1"/>
  <c r="N519" i="6"/>
  <c r="O519" i="6" s="1"/>
  <c r="P519" i="6" s="1"/>
  <c r="N199" i="6"/>
  <c r="O199" i="6" s="1"/>
  <c r="P199" i="6" s="1"/>
  <c r="N1676" i="6"/>
  <c r="O1676" i="6" s="1"/>
  <c r="P1676" i="6" s="1"/>
  <c r="N1612" i="6"/>
  <c r="O1612" i="6" s="1"/>
  <c r="P1612" i="6" s="1"/>
  <c r="N1548" i="6"/>
  <c r="O1548" i="6" s="1"/>
  <c r="P1548" i="6" s="1"/>
  <c r="N1484" i="6"/>
  <c r="O1484" i="6" s="1"/>
  <c r="P1484" i="6" s="1"/>
  <c r="N1420" i="6"/>
  <c r="O1420" i="6" s="1"/>
  <c r="P1420" i="6" s="1"/>
  <c r="N1356" i="6"/>
  <c r="O1356" i="6" s="1"/>
  <c r="P1356" i="6" s="1"/>
  <c r="N1292" i="6"/>
  <c r="O1292" i="6" s="1"/>
  <c r="P1292" i="6" s="1"/>
  <c r="N1228" i="6"/>
  <c r="O1228" i="6" s="1"/>
  <c r="P1228" i="6" s="1"/>
  <c r="N1164" i="6"/>
  <c r="O1164" i="6" s="1"/>
  <c r="P1164" i="6" s="1"/>
  <c r="N1100" i="6"/>
  <c r="O1100" i="6" s="1"/>
  <c r="P1100" i="6" s="1"/>
  <c r="N1036" i="6"/>
  <c r="O1036" i="6" s="1"/>
  <c r="P1036" i="6" s="1"/>
  <c r="N972" i="6"/>
  <c r="O972" i="6" s="1"/>
  <c r="P972" i="6" s="1"/>
  <c r="N907" i="6"/>
  <c r="O907" i="6" s="1"/>
  <c r="P907" i="6" s="1"/>
  <c r="N675" i="6"/>
  <c r="O675" i="6" s="1"/>
  <c r="P675" i="6" s="1"/>
  <c r="N419" i="6"/>
  <c r="O419" i="6" s="1"/>
  <c r="P419" i="6" s="1"/>
  <c r="N163" i="6"/>
  <c r="O163" i="6" s="1"/>
  <c r="P163" i="6" s="1"/>
  <c r="N1683" i="6"/>
  <c r="O1683" i="6" s="1"/>
  <c r="P1683" i="6" s="1"/>
  <c r="N1619" i="6"/>
  <c r="O1619" i="6" s="1"/>
  <c r="P1619" i="6" s="1"/>
  <c r="N1555" i="6"/>
  <c r="O1555" i="6" s="1"/>
  <c r="P1555" i="6" s="1"/>
  <c r="N1491" i="6"/>
  <c r="O1491" i="6" s="1"/>
  <c r="P1491" i="6" s="1"/>
  <c r="N1427" i="6"/>
  <c r="O1427" i="6" s="1"/>
  <c r="P1427" i="6" s="1"/>
  <c r="N1363" i="6"/>
  <c r="O1363" i="6" s="1"/>
  <c r="P1363" i="6" s="1"/>
  <c r="N1299" i="6"/>
  <c r="O1299" i="6" s="1"/>
  <c r="P1299" i="6" s="1"/>
  <c r="N1235" i="6"/>
  <c r="O1235" i="6" s="1"/>
  <c r="P1235" i="6" s="1"/>
  <c r="N1171" i="6"/>
  <c r="O1171" i="6" s="1"/>
  <c r="P1171" i="6" s="1"/>
  <c r="N1107" i="6"/>
  <c r="O1107" i="6" s="1"/>
  <c r="P1107" i="6" s="1"/>
  <c r="N1043" i="6"/>
  <c r="O1043" i="6" s="1"/>
  <c r="P1043" i="6" s="1"/>
  <c r="N979" i="6"/>
  <c r="O979" i="6" s="1"/>
  <c r="P979" i="6" s="1"/>
  <c r="N915" i="6"/>
  <c r="O915" i="6" s="1"/>
  <c r="P915" i="6" s="1"/>
  <c r="N703" i="6"/>
  <c r="O703" i="6" s="1"/>
  <c r="P703" i="6" s="1"/>
  <c r="N447" i="6"/>
  <c r="O447" i="6" s="1"/>
  <c r="P447" i="6" s="1"/>
  <c r="N191" i="6"/>
  <c r="O191" i="6" s="1"/>
  <c r="P191" i="6" s="1"/>
  <c r="N878" i="6"/>
  <c r="O878" i="6" s="1"/>
  <c r="P878" i="6" s="1"/>
  <c r="N814" i="6"/>
  <c r="O814" i="6" s="1"/>
  <c r="P814" i="6" s="1"/>
  <c r="N750" i="6"/>
  <c r="O750" i="6" s="1"/>
  <c r="P750" i="6" s="1"/>
  <c r="N686" i="6"/>
  <c r="O686" i="6" s="1"/>
  <c r="P686" i="6" s="1"/>
  <c r="N622" i="6"/>
  <c r="O622" i="6" s="1"/>
  <c r="P622" i="6" s="1"/>
  <c r="N558" i="6"/>
  <c r="O558" i="6" s="1"/>
  <c r="P558" i="6" s="1"/>
  <c r="N494" i="6"/>
  <c r="O494" i="6" s="1"/>
  <c r="P494" i="6" s="1"/>
  <c r="N430" i="6"/>
  <c r="O430" i="6" s="1"/>
  <c r="P430" i="6" s="1"/>
  <c r="N366" i="6"/>
  <c r="O366" i="6" s="1"/>
  <c r="P366" i="6" s="1"/>
  <c r="N302" i="6"/>
  <c r="O302" i="6" s="1"/>
  <c r="P302" i="6" s="1"/>
  <c r="N238" i="6"/>
  <c r="O238" i="6" s="1"/>
  <c r="P238" i="6" s="1"/>
  <c r="N174" i="6"/>
  <c r="O174" i="6" s="1"/>
  <c r="P174" i="6" s="1"/>
  <c r="N110" i="6"/>
  <c r="O110" i="6" s="1"/>
  <c r="P110" i="6" s="1"/>
  <c r="N46" i="6"/>
  <c r="O46" i="6" s="1"/>
  <c r="P46" i="6" s="1"/>
  <c r="N873" i="6"/>
  <c r="O873" i="6" s="1"/>
  <c r="P873" i="6" s="1"/>
  <c r="N809" i="6"/>
  <c r="O809" i="6" s="1"/>
  <c r="P809" i="6" s="1"/>
  <c r="N745" i="6"/>
  <c r="O745" i="6" s="1"/>
  <c r="P745" i="6" s="1"/>
  <c r="N681" i="6"/>
  <c r="O681" i="6" s="1"/>
  <c r="P681" i="6" s="1"/>
  <c r="N617" i="6"/>
  <c r="O617" i="6" s="1"/>
  <c r="P617" i="6" s="1"/>
  <c r="N553" i="6"/>
  <c r="O553" i="6" s="1"/>
  <c r="P553" i="6" s="1"/>
  <c r="N489" i="6"/>
  <c r="O489" i="6" s="1"/>
  <c r="P489" i="6" s="1"/>
  <c r="N425" i="6"/>
  <c r="O425" i="6" s="1"/>
  <c r="P425" i="6" s="1"/>
  <c r="N361" i="6"/>
  <c r="O361" i="6" s="1"/>
  <c r="P361" i="6" s="1"/>
  <c r="N297" i="6"/>
  <c r="O297" i="6" s="1"/>
  <c r="P297" i="6" s="1"/>
  <c r="N233" i="6"/>
  <c r="O233" i="6" s="1"/>
  <c r="P233" i="6" s="1"/>
  <c r="N169" i="6"/>
  <c r="O169" i="6" s="1"/>
  <c r="P169" i="6" s="1"/>
  <c r="N105" i="6"/>
  <c r="O105" i="6" s="1"/>
  <c r="P105" i="6" s="1"/>
  <c r="N41" i="6"/>
  <c r="O41" i="6" s="1"/>
  <c r="P41" i="6" s="1"/>
  <c r="N884" i="6"/>
  <c r="O884" i="6" s="1"/>
  <c r="P884" i="6" s="1"/>
  <c r="N820" i="6"/>
  <c r="O820" i="6" s="1"/>
  <c r="P820" i="6" s="1"/>
  <c r="N756" i="6"/>
  <c r="O756" i="6" s="1"/>
  <c r="P756" i="6" s="1"/>
  <c r="N692" i="6"/>
  <c r="O692" i="6" s="1"/>
  <c r="P692" i="6" s="1"/>
  <c r="N628" i="6"/>
  <c r="O628" i="6" s="1"/>
  <c r="P628" i="6" s="1"/>
  <c r="N564" i="6"/>
  <c r="O564" i="6" s="1"/>
  <c r="P564" i="6" s="1"/>
  <c r="N500" i="6"/>
  <c r="O500" i="6" s="1"/>
  <c r="P500" i="6" s="1"/>
  <c r="N436" i="6"/>
  <c r="O436" i="6" s="1"/>
  <c r="P436" i="6" s="1"/>
  <c r="N4" i="6"/>
  <c r="O4" i="6" s="1"/>
  <c r="P4" i="6" s="1"/>
  <c r="N74" i="6"/>
  <c r="O74" i="6" s="1"/>
  <c r="P74" i="6" s="1"/>
  <c r="N1330" i="6"/>
  <c r="O1330" i="6" s="1"/>
  <c r="P1330" i="6" s="1"/>
  <c r="N515" i="6"/>
  <c r="O515" i="6" s="1"/>
  <c r="P515" i="6" s="1"/>
  <c r="N1163" i="6"/>
  <c r="O1163" i="6" s="1"/>
  <c r="P1163" i="6" s="1"/>
  <c r="N758" i="6"/>
  <c r="O758" i="6" s="1"/>
  <c r="P758" i="6" s="1"/>
  <c r="N246" i="6"/>
  <c r="O246" i="6" s="1"/>
  <c r="P246" i="6" s="1"/>
  <c r="N625" i="6"/>
  <c r="O625" i="6" s="1"/>
  <c r="P625" i="6" s="1"/>
  <c r="N113" i="6"/>
  <c r="O113" i="6" s="1"/>
  <c r="P113" i="6" s="1"/>
  <c r="N844" i="6"/>
  <c r="O844" i="6" s="1"/>
  <c r="P844" i="6" s="1"/>
  <c r="N716" i="6"/>
  <c r="O716" i="6" s="1"/>
  <c r="P716" i="6" s="1"/>
  <c r="N588" i="6"/>
  <c r="O588" i="6" s="1"/>
  <c r="P588" i="6" s="1"/>
  <c r="N460" i="6"/>
  <c r="O460" i="6" s="1"/>
  <c r="P460" i="6" s="1"/>
  <c r="N332" i="6"/>
  <c r="O332" i="6" s="1"/>
  <c r="P332" i="6" s="1"/>
  <c r="N204" i="6"/>
  <c r="O204" i="6" s="1"/>
  <c r="P204" i="6" s="1"/>
  <c r="N76" i="6"/>
  <c r="O76" i="6" s="1"/>
  <c r="P76" i="6" s="1"/>
  <c r="N1470" i="6"/>
  <c r="O1470" i="6" s="1"/>
  <c r="P1470" i="6" s="1"/>
  <c r="N958" i="6"/>
  <c r="O958" i="6" s="1"/>
  <c r="P958" i="6" s="1"/>
  <c r="N1482" i="6"/>
  <c r="O1482" i="6" s="1"/>
  <c r="P1482" i="6" s="1"/>
  <c r="N970" i="6"/>
  <c r="O970" i="6" s="1"/>
  <c r="P970" i="6" s="1"/>
  <c r="N1494" i="6"/>
  <c r="O1494" i="6" s="1"/>
  <c r="P1494" i="6" s="1"/>
  <c r="N982" i="6"/>
  <c r="O982" i="6" s="1"/>
  <c r="P982" i="6" s="1"/>
  <c r="N1506" i="6"/>
  <c r="O1506" i="6" s="1"/>
  <c r="P1506" i="6" s="1"/>
  <c r="N994" i="6"/>
  <c r="O994" i="6" s="1"/>
  <c r="P994" i="6" s="1"/>
  <c r="N1657" i="6"/>
  <c r="O1657" i="6" s="1"/>
  <c r="P1657" i="6" s="1"/>
  <c r="N1529" i="6"/>
  <c r="O1529" i="6" s="1"/>
  <c r="P1529" i="6" s="1"/>
  <c r="N1401" i="6"/>
  <c r="O1401" i="6" s="1"/>
  <c r="P1401" i="6" s="1"/>
  <c r="N1273" i="6"/>
  <c r="O1273" i="6" s="1"/>
  <c r="P1273" i="6" s="1"/>
  <c r="N1145" i="6"/>
  <c r="O1145" i="6" s="1"/>
  <c r="P1145" i="6" s="1"/>
  <c r="N1017" i="6"/>
  <c r="O1017" i="6" s="1"/>
  <c r="P1017" i="6" s="1"/>
  <c r="N855" i="6"/>
  <c r="O855" i="6" s="1"/>
  <c r="P855" i="6" s="1"/>
  <c r="N343" i="6"/>
  <c r="O343" i="6" s="1"/>
  <c r="P343" i="6" s="1"/>
  <c r="N1664" i="6"/>
  <c r="O1664" i="6" s="1"/>
  <c r="P1664" i="6" s="1"/>
  <c r="N1536" i="6"/>
  <c r="O1536" i="6" s="1"/>
  <c r="P1536" i="6" s="1"/>
  <c r="N1408" i="6"/>
  <c r="O1408" i="6" s="1"/>
  <c r="P1408" i="6" s="1"/>
  <c r="N1280" i="6"/>
  <c r="O1280" i="6" s="1"/>
  <c r="P1280" i="6" s="1"/>
  <c r="N1152" i="6"/>
  <c r="O1152" i="6" s="1"/>
  <c r="P1152" i="6" s="1"/>
  <c r="N1024" i="6"/>
  <c r="O1024" i="6" s="1"/>
  <c r="P1024" i="6" s="1"/>
  <c r="N883" i="6"/>
  <c r="O883" i="6" s="1"/>
  <c r="P883" i="6" s="1"/>
  <c r="N371" i="6"/>
  <c r="O371" i="6" s="1"/>
  <c r="P371" i="6" s="1"/>
  <c r="N1671" i="6"/>
  <c r="O1671" i="6" s="1"/>
  <c r="P1671" i="6" s="1"/>
  <c r="N1543" i="6"/>
  <c r="O1543" i="6" s="1"/>
  <c r="P1543" i="6" s="1"/>
  <c r="N1415" i="6"/>
  <c r="O1415" i="6" s="1"/>
  <c r="P1415" i="6" s="1"/>
  <c r="N1287" i="6"/>
  <c r="O1287" i="6" s="1"/>
  <c r="P1287" i="6" s="1"/>
  <c r="N1159" i="6"/>
  <c r="O1159" i="6" s="1"/>
  <c r="P1159" i="6" s="1"/>
  <c r="N1031" i="6"/>
  <c r="O1031" i="6" s="1"/>
  <c r="P1031" i="6" s="1"/>
  <c r="N901" i="6"/>
  <c r="O901" i="6" s="1"/>
  <c r="P901" i="6" s="1"/>
  <c r="N399" i="6"/>
  <c r="O399" i="6" s="1"/>
  <c r="P399" i="6" s="1"/>
  <c r="N866" i="6"/>
  <c r="O866" i="6" s="1"/>
  <c r="P866" i="6" s="1"/>
  <c r="N738" i="6"/>
  <c r="O738" i="6" s="1"/>
  <c r="P738" i="6" s="1"/>
  <c r="N610" i="6"/>
  <c r="O610" i="6" s="1"/>
  <c r="P610" i="6" s="1"/>
  <c r="N482" i="6"/>
  <c r="O482" i="6" s="1"/>
  <c r="P482" i="6" s="1"/>
  <c r="N354" i="6"/>
  <c r="O354" i="6" s="1"/>
  <c r="P354" i="6" s="1"/>
  <c r="N274" i="6"/>
  <c r="O274" i="6" s="1"/>
  <c r="P274" i="6" s="1"/>
  <c r="N178" i="6"/>
  <c r="O178" i="6" s="1"/>
  <c r="P178" i="6" s="1"/>
  <c r="N98" i="6"/>
  <c r="O98" i="6" s="1"/>
  <c r="P98" i="6" s="1"/>
  <c r="N18" i="6"/>
  <c r="O18" i="6" s="1"/>
  <c r="P18" i="6" s="1"/>
  <c r="N813" i="6"/>
  <c r="O813" i="6" s="1"/>
  <c r="P813" i="6" s="1"/>
  <c r="N733" i="6"/>
  <c r="O733" i="6" s="1"/>
  <c r="P733" i="6" s="1"/>
  <c r="N653" i="6"/>
  <c r="O653" i="6" s="1"/>
  <c r="P653" i="6" s="1"/>
  <c r="N557" i="6"/>
  <c r="O557" i="6" s="1"/>
  <c r="P557" i="6" s="1"/>
  <c r="N100" i="6"/>
  <c r="O100" i="6" s="1"/>
  <c r="P100" i="6" s="1"/>
  <c r="N228" i="6"/>
  <c r="O228" i="6" s="1"/>
  <c r="P228" i="6" s="1"/>
  <c r="N356" i="6"/>
  <c r="O356" i="6" s="1"/>
  <c r="P356" i="6" s="1"/>
  <c r="N468" i="6"/>
  <c r="O468" i="6" s="1"/>
  <c r="P468" i="6" s="1"/>
  <c r="N596" i="6"/>
  <c r="O596" i="6" s="1"/>
  <c r="P596" i="6" s="1"/>
  <c r="N724" i="6"/>
  <c r="O724" i="6" s="1"/>
  <c r="P724" i="6" s="1"/>
  <c r="N852" i="6"/>
  <c r="O852" i="6" s="1"/>
  <c r="P852" i="6" s="1"/>
  <c r="N73" i="6"/>
  <c r="O73" i="6" s="1"/>
  <c r="P73" i="6" s="1"/>
  <c r="N201" i="6"/>
  <c r="O201" i="6" s="1"/>
  <c r="P201" i="6" s="1"/>
  <c r="N329" i="6"/>
  <c r="O329" i="6" s="1"/>
  <c r="P329" i="6" s="1"/>
  <c r="N457" i="6"/>
  <c r="O457" i="6" s="1"/>
  <c r="P457" i="6" s="1"/>
  <c r="N585" i="6"/>
  <c r="O585" i="6" s="1"/>
  <c r="P585" i="6" s="1"/>
  <c r="N713" i="6"/>
  <c r="O713" i="6" s="1"/>
  <c r="P713" i="6" s="1"/>
  <c r="N841" i="6"/>
  <c r="O841" i="6" s="1"/>
  <c r="P841" i="6" s="1"/>
  <c r="N78" i="6"/>
  <c r="O78" i="6" s="1"/>
  <c r="P78" i="6" s="1"/>
  <c r="N206" i="6"/>
  <c r="O206" i="6" s="1"/>
  <c r="P206" i="6" s="1"/>
  <c r="N334" i="6"/>
  <c r="O334" i="6" s="1"/>
  <c r="P334" i="6" s="1"/>
  <c r="N462" i="6"/>
  <c r="O462" i="6" s="1"/>
  <c r="P462" i="6" s="1"/>
  <c r="N590" i="6"/>
  <c r="O590" i="6" s="1"/>
  <c r="P590" i="6" s="1"/>
  <c r="N718" i="6"/>
  <c r="O718" i="6" s="1"/>
  <c r="P718" i="6" s="1"/>
  <c r="N846" i="6"/>
  <c r="O846" i="6" s="1"/>
  <c r="P846" i="6" s="1"/>
  <c r="N319" i="6"/>
  <c r="O319" i="6" s="1"/>
  <c r="P319" i="6" s="1"/>
  <c r="N831" i="6"/>
  <c r="O831" i="6" s="1"/>
  <c r="P831" i="6" s="1"/>
  <c r="N1011" i="6"/>
  <c r="O1011" i="6" s="1"/>
  <c r="P1011" i="6" s="1"/>
  <c r="N1139" i="6"/>
  <c r="O1139" i="6" s="1"/>
  <c r="P1139" i="6" s="1"/>
  <c r="N1267" i="6"/>
  <c r="O1267" i="6" s="1"/>
  <c r="P1267" i="6" s="1"/>
  <c r="N1395" i="6"/>
  <c r="O1395" i="6" s="1"/>
  <c r="P1395" i="6" s="1"/>
  <c r="N1523" i="6"/>
  <c r="O1523" i="6" s="1"/>
  <c r="P1523" i="6" s="1"/>
  <c r="N1651" i="6"/>
  <c r="O1651" i="6" s="1"/>
  <c r="P1651" i="6" s="1"/>
  <c r="N291" i="6"/>
  <c r="O291" i="6" s="1"/>
  <c r="P291" i="6" s="1"/>
  <c r="N803" i="6"/>
  <c r="O803" i="6" s="1"/>
  <c r="P803" i="6" s="1"/>
  <c r="N1004" i="6"/>
  <c r="O1004" i="6" s="1"/>
  <c r="P1004" i="6" s="1"/>
  <c r="N1132" i="6"/>
  <c r="O1132" i="6" s="1"/>
  <c r="P1132" i="6" s="1"/>
  <c r="N1260" i="6"/>
  <c r="O1260" i="6" s="1"/>
  <c r="P1260" i="6" s="1"/>
  <c r="N1388" i="6"/>
  <c r="O1388" i="6" s="1"/>
  <c r="P1388" i="6" s="1"/>
  <c r="N1516" i="6"/>
  <c r="O1516" i="6" s="1"/>
  <c r="P1516" i="6" s="1"/>
  <c r="N1644" i="6"/>
  <c r="O1644" i="6" s="1"/>
  <c r="P1644" i="6" s="1"/>
  <c r="N391" i="6"/>
  <c r="O391" i="6" s="1"/>
  <c r="P391" i="6" s="1"/>
  <c r="N933" i="6"/>
  <c r="O933" i="6" s="1"/>
  <c r="P933" i="6" s="1"/>
  <c r="N1109" i="6"/>
  <c r="O1109" i="6" s="1"/>
  <c r="P1109" i="6" s="1"/>
  <c r="N1285" i="6"/>
  <c r="O1285" i="6" s="1"/>
  <c r="P1285" i="6" s="1"/>
  <c r="N1445" i="6"/>
  <c r="O1445" i="6" s="1"/>
  <c r="P1445" i="6" s="1"/>
  <c r="N1621" i="6"/>
  <c r="O1621" i="6" s="1"/>
  <c r="P1621" i="6" s="1"/>
  <c r="N1042" i="6"/>
  <c r="O1042" i="6" s="1"/>
  <c r="P1042" i="6" s="1"/>
  <c r="N1682" i="6"/>
  <c r="O1682" i="6" s="1"/>
  <c r="P1682" i="6" s="1"/>
  <c r="N1350" i="6"/>
  <c r="O1350" i="6" s="1"/>
  <c r="P1350" i="6" s="1"/>
  <c r="N1018" i="6"/>
  <c r="O1018" i="6" s="1"/>
  <c r="P1018" i="6" s="1"/>
  <c r="N1658" i="6"/>
  <c r="O1658" i="6" s="1"/>
  <c r="P1658" i="6" s="1"/>
  <c r="N1326" i="6"/>
  <c r="O1326" i="6" s="1"/>
  <c r="P1326" i="6" s="1"/>
  <c r="N88" i="6"/>
  <c r="O88" i="6" s="1"/>
  <c r="P88" i="6" s="1"/>
  <c r="N248" i="6"/>
  <c r="O248" i="6" s="1"/>
  <c r="P248" i="6" s="1"/>
  <c r="N424" i="6"/>
  <c r="O424" i="6" s="1"/>
  <c r="P424" i="6" s="1"/>
  <c r="N600" i="6"/>
  <c r="O600" i="6" s="1"/>
  <c r="P600" i="6" s="1"/>
  <c r="N760" i="6"/>
  <c r="O760" i="6" s="1"/>
  <c r="P760" i="6" s="1"/>
  <c r="N29" i="6"/>
  <c r="O29" i="6" s="1"/>
  <c r="P29" i="6" s="1"/>
  <c r="N205" i="6"/>
  <c r="O205" i="6" s="1"/>
  <c r="P205" i="6" s="1"/>
  <c r="N365" i="6"/>
  <c r="O365" i="6" s="1"/>
  <c r="P365" i="6" s="1"/>
  <c r="N541" i="6"/>
  <c r="O541" i="6" s="1"/>
  <c r="P541" i="6" s="1"/>
  <c r="N877" i="6"/>
  <c r="O877" i="6" s="1"/>
  <c r="P877" i="6" s="1"/>
  <c r="N338" i="6"/>
  <c r="O338" i="6" s="1"/>
  <c r="P338" i="6" s="1"/>
  <c r="N850" i="6"/>
  <c r="O850" i="6" s="1"/>
  <c r="P850" i="6" s="1"/>
  <c r="N1143" i="6"/>
  <c r="O1143" i="6" s="1"/>
  <c r="P1143" i="6" s="1"/>
  <c r="N1655" i="6"/>
  <c r="O1655" i="6" s="1"/>
  <c r="P1655" i="6" s="1"/>
  <c r="N1136" i="6"/>
  <c r="O1136" i="6" s="1"/>
  <c r="P1136" i="6" s="1"/>
  <c r="N1648" i="6"/>
  <c r="O1648" i="6" s="1"/>
  <c r="P1648" i="6" s="1"/>
  <c r="N1129" i="6"/>
  <c r="O1129" i="6" s="1"/>
  <c r="P1129" i="6" s="1"/>
  <c r="N1641" i="6"/>
  <c r="O1641" i="6" s="1"/>
  <c r="P1641" i="6" s="1"/>
  <c r="N1430" i="6"/>
  <c r="O1430" i="6" s="1"/>
  <c r="P1430" i="6" s="1"/>
  <c r="N1406" i="6"/>
  <c r="O1406" i="6" s="1"/>
  <c r="P1406" i="6" s="1"/>
  <c r="N444" i="6"/>
  <c r="O444" i="6" s="1"/>
  <c r="P444" i="6" s="1"/>
  <c r="N97" i="6"/>
  <c r="O97" i="6" s="1"/>
  <c r="P97" i="6" s="1"/>
  <c r="N1067" i="6"/>
  <c r="O1067" i="6" s="1"/>
  <c r="P1067" i="6" s="1"/>
  <c r="N379" i="6"/>
  <c r="O379" i="6" s="1"/>
  <c r="P379" i="6" s="1"/>
  <c r="N36" i="6"/>
  <c r="O36" i="6" s="1"/>
  <c r="P36" i="6" s="1"/>
  <c r="N164" i="6"/>
  <c r="O164" i="6" s="1"/>
  <c r="P164" i="6" s="1"/>
  <c r="N292" i="6"/>
  <c r="O292" i="6" s="1"/>
  <c r="P292" i="6" s="1"/>
  <c r="N52" i="6"/>
  <c r="O52" i="6" s="1"/>
  <c r="P52" i="6" s="1"/>
  <c r="N116" i="6"/>
  <c r="O116" i="6" s="1"/>
  <c r="P116" i="6" s="1"/>
  <c r="N180" i="6"/>
  <c r="O180" i="6" s="1"/>
  <c r="P180" i="6" s="1"/>
  <c r="N244" i="6"/>
  <c r="O244" i="6" s="1"/>
  <c r="P244" i="6" s="1"/>
  <c r="N308" i="6"/>
  <c r="O308" i="6" s="1"/>
  <c r="P308" i="6" s="1"/>
  <c r="N372" i="6"/>
  <c r="O372" i="6" s="1"/>
  <c r="P372" i="6" s="1"/>
  <c r="N484" i="6"/>
  <c r="O484" i="6" s="1"/>
  <c r="P484" i="6" s="1"/>
  <c r="N612" i="6"/>
  <c r="O612" i="6" s="1"/>
  <c r="P612" i="6" s="1"/>
  <c r="N740" i="6"/>
  <c r="O740" i="6" s="1"/>
  <c r="P740" i="6" s="1"/>
  <c r="N868" i="6"/>
  <c r="O868" i="6" s="1"/>
  <c r="P868" i="6" s="1"/>
  <c r="N89" i="6"/>
  <c r="O89" i="6" s="1"/>
  <c r="P89" i="6" s="1"/>
  <c r="N217" i="6"/>
  <c r="O217" i="6" s="1"/>
  <c r="P217" i="6" s="1"/>
  <c r="N345" i="6"/>
  <c r="O345" i="6" s="1"/>
  <c r="P345" i="6" s="1"/>
  <c r="N473" i="6"/>
  <c r="O473" i="6" s="1"/>
  <c r="P473" i="6" s="1"/>
  <c r="N601" i="6"/>
  <c r="O601" i="6" s="1"/>
  <c r="P601" i="6" s="1"/>
  <c r="N729" i="6"/>
  <c r="O729" i="6" s="1"/>
  <c r="P729" i="6" s="1"/>
  <c r="N857" i="6"/>
  <c r="O857" i="6" s="1"/>
  <c r="P857" i="6" s="1"/>
  <c r="N94" i="6"/>
  <c r="O94" i="6" s="1"/>
  <c r="P94" i="6" s="1"/>
  <c r="N222" i="6"/>
  <c r="O222" i="6" s="1"/>
  <c r="P222" i="6" s="1"/>
  <c r="N350" i="6"/>
  <c r="O350" i="6" s="1"/>
  <c r="P350" i="6" s="1"/>
  <c r="N478" i="6"/>
  <c r="O478" i="6" s="1"/>
  <c r="P478" i="6" s="1"/>
  <c r="N606" i="6"/>
  <c r="O606" i="6" s="1"/>
  <c r="P606" i="6" s="1"/>
  <c r="N734" i="6"/>
  <c r="O734" i="6" s="1"/>
  <c r="P734" i="6" s="1"/>
  <c r="N862" i="6"/>
  <c r="O862" i="6" s="1"/>
  <c r="P862" i="6" s="1"/>
  <c r="N383" i="6"/>
  <c r="O383" i="6" s="1"/>
  <c r="P383" i="6" s="1"/>
  <c r="N895" i="6"/>
  <c r="O895" i="6" s="1"/>
  <c r="P895" i="6" s="1"/>
  <c r="N1027" i="6"/>
  <c r="O1027" i="6" s="1"/>
  <c r="P1027" i="6" s="1"/>
  <c r="N1155" i="6"/>
  <c r="O1155" i="6" s="1"/>
  <c r="P1155" i="6" s="1"/>
  <c r="N1283" i="6"/>
  <c r="O1283" i="6" s="1"/>
  <c r="P1283" i="6" s="1"/>
  <c r="N1411" i="6"/>
  <c r="O1411" i="6" s="1"/>
  <c r="P1411" i="6" s="1"/>
  <c r="N1539" i="6"/>
  <c r="O1539" i="6" s="1"/>
  <c r="P1539" i="6" s="1"/>
  <c r="N1667" i="6"/>
  <c r="O1667" i="6" s="1"/>
  <c r="P1667" i="6" s="1"/>
  <c r="N355" i="6"/>
  <c r="O355" i="6" s="1"/>
  <c r="P355" i="6" s="1"/>
  <c r="N867" i="6"/>
  <c r="O867" i="6" s="1"/>
  <c r="P867" i="6" s="1"/>
  <c r="N1020" i="6"/>
  <c r="O1020" i="6" s="1"/>
  <c r="P1020" i="6" s="1"/>
  <c r="N1148" i="6"/>
  <c r="O1148" i="6" s="1"/>
  <c r="P1148" i="6" s="1"/>
  <c r="N1276" i="6"/>
  <c r="O1276" i="6" s="1"/>
  <c r="P1276" i="6" s="1"/>
  <c r="N1404" i="6"/>
  <c r="O1404" i="6" s="1"/>
  <c r="P1404" i="6" s="1"/>
  <c r="N1532" i="6"/>
  <c r="O1532" i="6" s="1"/>
  <c r="P1532" i="6" s="1"/>
  <c r="N1660" i="6"/>
  <c r="O1660" i="6" s="1"/>
  <c r="P1660" i="6" s="1"/>
  <c r="N455" i="6"/>
  <c r="O455" i="6" s="1"/>
  <c r="P455" i="6" s="1"/>
  <c r="N965" i="6"/>
  <c r="O965" i="6" s="1"/>
  <c r="P965" i="6" s="1"/>
  <c r="N1125" i="6"/>
  <c r="O1125" i="6" s="1"/>
  <c r="P1125" i="6" s="1"/>
  <c r="N1301" i="6"/>
  <c r="O1301" i="6" s="1"/>
  <c r="P1301" i="6" s="1"/>
  <c r="N1477" i="6"/>
  <c r="O1477" i="6" s="1"/>
  <c r="P1477" i="6" s="1"/>
  <c r="N1637" i="6"/>
  <c r="O1637" i="6" s="1"/>
  <c r="P1637" i="6" s="1"/>
  <c r="N1106" i="6"/>
  <c r="O1106" i="6" s="1"/>
  <c r="P1106" i="6" s="1"/>
  <c r="N395" i="6"/>
  <c r="O395" i="6" s="1"/>
  <c r="P395" i="6" s="1"/>
  <c r="N1414" i="6"/>
  <c r="O1414" i="6" s="1"/>
  <c r="P1414" i="6" s="1"/>
  <c r="N1082" i="6"/>
  <c r="O1082" i="6" s="1"/>
  <c r="P1082" i="6" s="1"/>
  <c r="N299" i="6"/>
  <c r="O299" i="6" s="1"/>
  <c r="P299" i="6" s="1"/>
  <c r="N1390" i="6"/>
  <c r="O1390" i="6" s="1"/>
  <c r="P1390" i="6" s="1"/>
  <c r="N104" i="6"/>
  <c r="O104" i="6" s="1"/>
  <c r="P104" i="6" s="1"/>
  <c r="N280" i="6"/>
  <c r="O280" i="6" s="1"/>
  <c r="P280" i="6" s="1"/>
  <c r="N440" i="6"/>
  <c r="O440" i="6" s="1"/>
  <c r="P440" i="6" s="1"/>
  <c r="N616" i="6"/>
  <c r="O616" i="6" s="1"/>
  <c r="P616" i="6" s="1"/>
  <c r="N792" i="6"/>
  <c r="O792" i="6" s="1"/>
  <c r="P792" i="6" s="1"/>
  <c r="N45" i="6"/>
  <c r="O45" i="6" s="1"/>
  <c r="P45" i="6" s="1"/>
  <c r="N221" i="6"/>
  <c r="O221" i="6" s="1"/>
  <c r="P221" i="6" s="1"/>
  <c r="N397" i="6"/>
  <c r="O397" i="6" s="1"/>
  <c r="P397" i="6" s="1"/>
  <c r="N621" i="6"/>
  <c r="O621" i="6" s="1"/>
  <c r="P621" i="6" s="1"/>
  <c r="N82" i="6"/>
  <c r="O82" i="6" s="1"/>
  <c r="P82" i="6" s="1"/>
  <c r="N466" i="6"/>
  <c r="O466" i="6" s="1"/>
  <c r="P466" i="6" s="1"/>
  <c r="N335" i="6"/>
  <c r="O335" i="6" s="1"/>
  <c r="P335" i="6" s="1"/>
  <c r="N1271" i="6"/>
  <c r="O1271" i="6" s="1"/>
  <c r="P1271" i="6" s="1"/>
  <c r="N307" i="6"/>
  <c r="O307" i="6" s="1"/>
  <c r="P307" i="6" s="1"/>
  <c r="N1264" i="6"/>
  <c r="O1264" i="6" s="1"/>
  <c r="P1264" i="6" s="1"/>
  <c r="N279" i="6"/>
  <c r="O279" i="6" s="1"/>
  <c r="P279" i="6" s="1"/>
  <c r="N1257" i="6"/>
  <c r="O1257" i="6" s="1"/>
  <c r="P1257" i="6" s="1"/>
  <c r="N930" i="6"/>
  <c r="O930" i="6" s="1"/>
  <c r="P930" i="6" s="1"/>
  <c r="N905" i="6"/>
  <c r="O905" i="6" s="1"/>
  <c r="P905" i="6" s="1"/>
  <c r="N60" i="6"/>
  <c r="O60" i="6" s="1"/>
  <c r="P60" i="6" s="1"/>
  <c r="N572" i="6"/>
  <c r="O572" i="6" s="1"/>
  <c r="P572" i="6" s="1"/>
  <c r="N561" i="6"/>
  <c r="O561" i="6" s="1"/>
  <c r="P561" i="6" s="1"/>
  <c r="N195" i="6"/>
  <c r="O195" i="6" s="1"/>
  <c r="P195" i="6" s="1"/>
  <c r="N68" i="6"/>
  <c r="O68" i="6" s="1"/>
  <c r="P68" i="6" s="1"/>
  <c r="N132" i="6"/>
  <c r="O132" i="6" s="1"/>
  <c r="P132" i="6" s="1"/>
  <c r="N196" i="6"/>
  <c r="O196" i="6" s="1"/>
  <c r="P196" i="6" s="1"/>
  <c r="N260" i="6"/>
  <c r="O260" i="6" s="1"/>
  <c r="P260" i="6" s="1"/>
  <c r="N324" i="6"/>
  <c r="O324" i="6" s="1"/>
  <c r="P324" i="6" s="1"/>
  <c r="N404" i="6"/>
  <c r="O404" i="6" s="1"/>
  <c r="P404" i="6" s="1"/>
  <c r="N532" i="6"/>
  <c r="O532" i="6" s="1"/>
  <c r="P532" i="6" s="1"/>
  <c r="N660" i="6"/>
  <c r="O660" i="6" s="1"/>
  <c r="P660" i="6" s="1"/>
  <c r="N788" i="6"/>
  <c r="O788" i="6" s="1"/>
  <c r="P788" i="6" s="1"/>
  <c r="N9" i="6"/>
  <c r="O9" i="6" s="1"/>
  <c r="P9" i="6" s="1"/>
  <c r="N137" i="6"/>
  <c r="O137" i="6" s="1"/>
  <c r="P137" i="6" s="1"/>
  <c r="N265" i="6"/>
  <c r="O265" i="6" s="1"/>
  <c r="P265" i="6" s="1"/>
  <c r="N393" i="6"/>
  <c r="O393" i="6" s="1"/>
  <c r="P393" i="6" s="1"/>
  <c r="N521" i="6"/>
  <c r="O521" i="6" s="1"/>
  <c r="P521" i="6" s="1"/>
  <c r="N649" i="6"/>
  <c r="O649" i="6" s="1"/>
  <c r="P649" i="6" s="1"/>
  <c r="N777" i="6"/>
  <c r="O777" i="6" s="1"/>
  <c r="P777" i="6" s="1"/>
  <c r="N14" i="6"/>
  <c r="O14" i="6" s="1"/>
  <c r="P14" i="6" s="1"/>
  <c r="N142" i="6"/>
  <c r="O142" i="6" s="1"/>
  <c r="P142" i="6" s="1"/>
  <c r="N270" i="6"/>
  <c r="O270" i="6" s="1"/>
  <c r="P270" i="6" s="1"/>
  <c r="N398" i="6"/>
  <c r="O398" i="6" s="1"/>
  <c r="P398" i="6" s="1"/>
  <c r="N526" i="6"/>
  <c r="O526" i="6" s="1"/>
  <c r="P526" i="6" s="1"/>
  <c r="N654" i="6"/>
  <c r="O654" i="6" s="1"/>
  <c r="P654" i="6" s="1"/>
  <c r="N782" i="6"/>
  <c r="O782" i="6" s="1"/>
  <c r="P782" i="6" s="1"/>
  <c r="N63" i="6"/>
  <c r="O63" i="6" s="1"/>
  <c r="P63" i="6" s="1"/>
  <c r="N575" i="6"/>
  <c r="O575" i="6" s="1"/>
  <c r="P575" i="6" s="1"/>
  <c r="N947" i="6"/>
  <c r="O947" i="6" s="1"/>
  <c r="P947" i="6" s="1"/>
  <c r="N1075" i="6"/>
  <c r="O1075" i="6" s="1"/>
  <c r="P1075" i="6" s="1"/>
  <c r="N1203" i="6"/>
  <c r="O1203" i="6" s="1"/>
  <c r="P1203" i="6" s="1"/>
  <c r="N1331" i="6"/>
  <c r="O1331" i="6" s="1"/>
  <c r="P1331" i="6" s="1"/>
  <c r="N1459" i="6"/>
  <c r="O1459" i="6" s="1"/>
  <c r="P1459" i="6" s="1"/>
  <c r="N1587" i="6"/>
  <c r="O1587" i="6" s="1"/>
  <c r="P1587" i="6" s="1"/>
  <c r="N35" i="6"/>
  <c r="O35" i="6" s="1"/>
  <c r="P35" i="6" s="1"/>
  <c r="N547" i="6"/>
  <c r="O547" i="6" s="1"/>
  <c r="P547" i="6" s="1"/>
  <c r="N940" i="6"/>
  <c r="O940" i="6" s="1"/>
  <c r="P940" i="6" s="1"/>
  <c r="N1068" i="6"/>
  <c r="O1068" i="6" s="1"/>
  <c r="P1068" i="6" s="1"/>
  <c r="N1196" i="6"/>
  <c r="O1196" i="6" s="1"/>
  <c r="P1196" i="6" s="1"/>
  <c r="N1324" i="6"/>
  <c r="O1324" i="6" s="1"/>
  <c r="P1324" i="6" s="1"/>
  <c r="N1452" i="6"/>
  <c r="O1452" i="6" s="1"/>
  <c r="P1452" i="6" s="1"/>
  <c r="N1580" i="6"/>
  <c r="O1580" i="6" s="1"/>
  <c r="P1580" i="6" s="1"/>
  <c r="N7" i="6"/>
  <c r="O7" i="6" s="1"/>
  <c r="P7" i="6" s="1"/>
  <c r="N711" i="6"/>
  <c r="O711" i="6" s="1"/>
  <c r="P711" i="6" s="1"/>
  <c r="N1029" i="6"/>
  <c r="O1029" i="6" s="1"/>
  <c r="P1029" i="6" s="1"/>
  <c r="N1189" i="6"/>
  <c r="O1189" i="6" s="1"/>
  <c r="P1189" i="6" s="1"/>
  <c r="N1365" i="6"/>
  <c r="O1365" i="6" s="1"/>
  <c r="P1365" i="6" s="1"/>
  <c r="N1541" i="6"/>
  <c r="O1541" i="6" s="1"/>
  <c r="P1541" i="6" s="1"/>
  <c r="N1701" i="6"/>
  <c r="O1701" i="6" s="1"/>
  <c r="P1701" i="6" s="1"/>
  <c r="N1362" i="6"/>
  <c r="O1362" i="6" s="1"/>
  <c r="P1362" i="6" s="1"/>
  <c r="N1030" i="6"/>
  <c r="O1030" i="6" s="1"/>
  <c r="P1030" i="6" s="1"/>
  <c r="N1670" i="6"/>
  <c r="O1670" i="6" s="1"/>
  <c r="P1670" i="6" s="1"/>
  <c r="N1338" i="6"/>
  <c r="O1338" i="6" s="1"/>
  <c r="P1338" i="6" s="1"/>
  <c r="N1006" i="6"/>
  <c r="O1006" i="6" s="1"/>
  <c r="P1006" i="6" s="1"/>
  <c r="N1646" i="6"/>
  <c r="O1646" i="6" s="1"/>
  <c r="P1646" i="6" s="1"/>
  <c r="N168" i="6"/>
  <c r="O168" i="6" s="1"/>
  <c r="P168" i="6" s="1"/>
  <c r="N344" i="6"/>
  <c r="O344" i="6" s="1"/>
  <c r="P344" i="6" s="1"/>
  <c r="N504" i="6"/>
  <c r="O504" i="6" s="1"/>
  <c r="P504" i="6" s="1"/>
  <c r="N680" i="6"/>
  <c r="O680" i="6" s="1"/>
  <c r="P680" i="6" s="1"/>
  <c r="N856" i="6"/>
  <c r="O856" i="6" s="1"/>
  <c r="P856" i="6" s="1"/>
  <c r="N109" i="6"/>
  <c r="O109" i="6" s="1"/>
  <c r="P109" i="6" s="1"/>
  <c r="N285" i="6"/>
  <c r="O285" i="6" s="1"/>
  <c r="P285" i="6" s="1"/>
  <c r="N461" i="6"/>
  <c r="O461" i="6" s="1"/>
  <c r="P461" i="6" s="1"/>
  <c r="N717" i="6"/>
  <c r="O717" i="6" s="1"/>
  <c r="P717" i="6" s="1"/>
  <c r="N162" i="6"/>
  <c r="O162" i="6" s="1"/>
  <c r="P162" i="6" s="1"/>
  <c r="N594" i="6"/>
  <c r="O594" i="6" s="1"/>
  <c r="P594" i="6" s="1"/>
  <c r="N847" i="6"/>
  <c r="O847" i="6" s="1"/>
  <c r="P847" i="6" s="1"/>
  <c r="N1399" i="6"/>
  <c r="O1399" i="6" s="1"/>
  <c r="P1399" i="6" s="1"/>
  <c r="N819" i="6"/>
  <c r="O819" i="6" s="1"/>
  <c r="P819" i="6" s="1"/>
  <c r="N1392" i="6"/>
  <c r="O1392" i="6" s="1"/>
  <c r="P1392" i="6" s="1"/>
  <c r="N791" i="6"/>
  <c r="O791" i="6" s="1"/>
  <c r="P791" i="6" s="1"/>
  <c r="N1385" i="6"/>
  <c r="O1385" i="6" s="1"/>
  <c r="P1385" i="6" s="1"/>
  <c r="N1442" i="6"/>
  <c r="O1442" i="6" s="1"/>
  <c r="P1442" i="6" s="1"/>
  <c r="N1418" i="6"/>
  <c r="O1418" i="6" s="1"/>
  <c r="P1418" i="6" s="1"/>
  <c r="N188" i="6"/>
  <c r="O188" i="6" s="1"/>
  <c r="P188" i="6" s="1"/>
  <c r="N700" i="6"/>
  <c r="O700" i="6" s="1"/>
  <c r="P700" i="6" s="1"/>
  <c r="N182" i="6"/>
  <c r="O182" i="6" s="1"/>
  <c r="P182" i="6" s="1"/>
  <c r="N1533" i="6"/>
  <c r="O1533" i="6" s="1"/>
  <c r="P1533" i="6" s="1"/>
  <c r="N235" i="6"/>
  <c r="O235" i="6" s="1"/>
  <c r="P235" i="6" s="1"/>
  <c r="N1312" i="6"/>
  <c r="O1312" i="6" s="1"/>
  <c r="P1312" i="6" s="1"/>
  <c r="N631" i="6"/>
  <c r="O631" i="6" s="1"/>
  <c r="P631" i="6" s="1"/>
  <c r="N459" i="6"/>
  <c r="O459" i="6" s="1"/>
  <c r="P459" i="6" s="1"/>
  <c r="N1046" i="6"/>
  <c r="O1046" i="6" s="1"/>
  <c r="P1046" i="6" s="1"/>
  <c r="N1302" i="6"/>
  <c r="O1302" i="6" s="1"/>
  <c r="P1302" i="6" s="1"/>
  <c r="N1558" i="6"/>
  <c r="O1558" i="6" s="1"/>
  <c r="P1558" i="6" s="1"/>
  <c r="N411" i="6"/>
  <c r="O411" i="6" s="1"/>
  <c r="P411" i="6" s="1"/>
  <c r="N1034" i="6"/>
  <c r="O1034" i="6" s="1"/>
  <c r="P1034" i="6" s="1"/>
  <c r="N1290" i="6"/>
  <c r="O1290" i="6" s="1"/>
  <c r="P1290" i="6" s="1"/>
  <c r="N1546" i="6"/>
  <c r="O1546" i="6" s="1"/>
  <c r="P1546" i="6" s="1"/>
  <c r="N363" i="6"/>
  <c r="O363" i="6" s="1"/>
  <c r="P363" i="6" s="1"/>
  <c r="N1022" i="6"/>
  <c r="O1022" i="6" s="1"/>
  <c r="P1022" i="6" s="1"/>
  <c r="N1278" i="6"/>
  <c r="O1278" i="6" s="1"/>
  <c r="P1278" i="6" s="1"/>
  <c r="N1534" i="6"/>
  <c r="O1534" i="6" s="1"/>
  <c r="P1534" i="6" s="1"/>
  <c r="N28" i="6"/>
  <c r="O28" i="6" s="1"/>
  <c r="P28" i="6" s="1"/>
  <c r="N92" i="6"/>
  <c r="O92" i="6" s="1"/>
  <c r="P92" i="6" s="1"/>
  <c r="N156" i="6"/>
  <c r="O156" i="6" s="1"/>
  <c r="P156" i="6" s="1"/>
  <c r="N220" i="6"/>
  <c r="O220" i="6" s="1"/>
  <c r="P220" i="6" s="1"/>
  <c r="N284" i="6"/>
  <c r="O284" i="6" s="1"/>
  <c r="P284" i="6" s="1"/>
  <c r="N348" i="6"/>
  <c r="O348" i="6" s="1"/>
  <c r="P348" i="6" s="1"/>
  <c r="N412" i="6"/>
  <c r="O412" i="6" s="1"/>
  <c r="P412" i="6" s="1"/>
  <c r="N476" i="6"/>
  <c r="O476" i="6" s="1"/>
  <c r="P476" i="6" s="1"/>
  <c r="N540" i="6"/>
  <c r="O540" i="6" s="1"/>
  <c r="P540" i="6" s="1"/>
  <c r="N604" i="6"/>
  <c r="O604" i="6" s="1"/>
  <c r="P604" i="6" s="1"/>
  <c r="N668" i="6"/>
  <c r="O668" i="6" s="1"/>
  <c r="P668" i="6" s="1"/>
  <c r="N732" i="6"/>
  <c r="O732" i="6" s="1"/>
  <c r="P732" i="6" s="1"/>
  <c r="N796" i="6"/>
  <c r="O796" i="6" s="1"/>
  <c r="P796" i="6" s="1"/>
  <c r="N876" i="6"/>
  <c r="O876" i="6" s="1"/>
  <c r="P876" i="6" s="1"/>
  <c r="N49" i="6"/>
  <c r="O49" i="6" s="1"/>
  <c r="P49" i="6" s="1"/>
  <c r="N177" i="6"/>
  <c r="O177" i="6" s="1"/>
  <c r="P177" i="6" s="1"/>
  <c r="N433" i="6"/>
  <c r="O433" i="6" s="1"/>
  <c r="P433" i="6" s="1"/>
  <c r="N689" i="6"/>
  <c r="O689" i="6" s="1"/>
  <c r="P689" i="6" s="1"/>
  <c r="N54" i="6"/>
  <c r="O54" i="6" s="1"/>
  <c r="P54" i="6" s="1"/>
  <c r="N310" i="6"/>
  <c r="O310" i="6" s="1"/>
  <c r="P310" i="6" s="1"/>
  <c r="N566" i="6"/>
  <c r="O566" i="6" s="1"/>
  <c r="P566" i="6" s="1"/>
  <c r="N822" i="6"/>
  <c r="O822" i="6" s="1"/>
  <c r="P822" i="6" s="1"/>
  <c r="N906" i="6"/>
  <c r="O906" i="6" s="1"/>
  <c r="P906" i="6" s="1"/>
  <c r="N1243" i="6"/>
  <c r="O1243" i="6" s="1"/>
  <c r="P1243" i="6" s="1"/>
  <c r="N1579" i="6"/>
  <c r="O1579" i="6" s="1"/>
  <c r="P1579" i="6" s="1"/>
  <c r="N897" i="6"/>
  <c r="O897" i="6" s="1"/>
  <c r="P897" i="6" s="1"/>
  <c r="N679" i="6"/>
  <c r="O679" i="6" s="1"/>
  <c r="P679" i="6" s="1"/>
  <c r="N1638" i="6"/>
  <c r="O1638" i="6" s="1"/>
  <c r="P1638" i="6" s="1"/>
  <c r="N848" i="6"/>
  <c r="O848" i="6" s="1"/>
  <c r="P848" i="6" s="1"/>
  <c r="N554" i="6"/>
  <c r="O554" i="6" s="1"/>
  <c r="P554" i="6" s="1"/>
  <c r="N1352" i="6"/>
  <c r="O1352" i="6" s="1"/>
  <c r="P1352" i="6" s="1"/>
  <c r="N66" i="6"/>
  <c r="O66" i="6" s="1"/>
  <c r="P66" i="6" s="1"/>
  <c r="N130" i="6"/>
  <c r="O130" i="6" s="1"/>
  <c r="P130" i="6" s="1"/>
  <c r="N194" i="6"/>
  <c r="O194" i="6" s="1"/>
  <c r="P194" i="6" s="1"/>
  <c r="N258" i="6"/>
  <c r="O258" i="6" s="1"/>
  <c r="P258" i="6" s="1"/>
  <c r="N322" i="6"/>
  <c r="O322" i="6" s="1"/>
  <c r="P322" i="6" s="1"/>
  <c r="N386" i="6"/>
  <c r="O386" i="6" s="1"/>
  <c r="P386" i="6" s="1"/>
  <c r="N450" i="6"/>
  <c r="O450" i="6" s="1"/>
  <c r="P450" i="6" s="1"/>
  <c r="N514" i="6"/>
  <c r="O514" i="6" s="1"/>
  <c r="P514" i="6" s="1"/>
  <c r="N578" i="6"/>
  <c r="O578" i="6" s="1"/>
  <c r="P578" i="6" s="1"/>
  <c r="N642" i="6"/>
  <c r="O642" i="6" s="1"/>
  <c r="P642" i="6" s="1"/>
  <c r="N706" i="6"/>
  <c r="O706" i="6" s="1"/>
  <c r="P706" i="6" s="1"/>
  <c r="N770" i="6"/>
  <c r="O770" i="6" s="1"/>
  <c r="P770" i="6" s="1"/>
  <c r="N834" i="6"/>
  <c r="O834" i="6" s="1"/>
  <c r="P834" i="6" s="1"/>
  <c r="N15" i="6"/>
  <c r="O15" i="6" s="1"/>
  <c r="P15" i="6" s="1"/>
  <c r="N271" i="6"/>
  <c r="O271" i="6" s="1"/>
  <c r="P271" i="6" s="1"/>
  <c r="N527" i="6"/>
  <c r="O527" i="6" s="1"/>
  <c r="P527" i="6" s="1"/>
  <c r="N783" i="6"/>
  <c r="O783" i="6" s="1"/>
  <c r="P783" i="6" s="1"/>
  <c r="N935" i="6"/>
  <c r="O935" i="6" s="1"/>
  <c r="P935" i="6" s="1"/>
  <c r="N999" i="6"/>
  <c r="O999" i="6" s="1"/>
  <c r="P999" i="6" s="1"/>
  <c r="N1063" i="6"/>
  <c r="O1063" i="6" s="1"/>
  <c r="P1063" i="6" s="1"/>
  <c r="N1127" i="6"/>
  <c r="O1127" i="6" s="1"/>
  <c r="P1127" i="6" s="1"/>
  <c r="N1191" i="6"/>
  <c r="O1191" i="6" s="1"/>
  <c r="P1191" i="6" s="1"/>
  <c r="N1255" i="6"/>
  <c r="O1255" i="6" s="1"/>
  <c r="P1255" i="6" s="1"/>
  <c r="N1319" i="6"/>
  <c r="O1319" i="6" s="1"/>
  <c r="P1319" i="6" s="1"/>
  <c r="N1383" i="6"/>
  <c r="O1383" i="6" s="1"/>
  <c r="P1383" i="6" s="1"/>
  <c r="N1447" i="6"/>
  <c r="O1447" i="6" s="1"/>
  <c r="P1447" i="6" s="1"/>
  <c r="N1511" i="6"/>
  <c r="O1511" i="6" s="1"/>
  <c r="P1511" i="6" s="1"/>
  <c r="N1575" i="6"/>
  <c r="O1575" i="6" s="1"/>
  <c r="P1575" i="6" s="1"/>
  <c r="N1639" i="6"/>
  <c r="O1639" i="6" s="1"/>
  <c r="P1639" i="6" s="1"/>
  <c r="N1703" i="6"/>
  <c r="O1703" i="6" s="1"/>
  <c r="P1703" i="6" s="1"/>
  <c r="N243" i="6"/>
  <c r="O243" i="6" s="1"/>
  <c r="P243" i="6" s="1"/>
  <c r="N499" i="6"/>
  <c r="O499" i="6" s="1"/>
  <c r="P499" i="6" s="1"/>
  <c r="N755" i="6"/>
  <c r="O755" i="6" s="1"/>
  <c r="P755" i="6" s="1"/>
  <c r="N928" i="6"/>
  <c r="O928" i="6" s="1"/>
  <c r="P928" i="6" s="1"/>
  <c r="N992" i="6"/>
  <c r="O992" i="6" s="1"/>
  <c r="P992" i="6" s="1"/>
  <c r="N1056" i="6"/>
  <c r="O1056" i="6" s="1"/>
  <c r="P1056" i="6" s="1"/>
  <c r="N1120" i="6"/>
  <c r="O1120" i="6" s="1"/>
  <c r="P1120" i="6" s="1"/>
  <c r="N1184" i="6"/>
  <c r="O1184" i="6" s="1"/>
  <c r="P1184" i="6" s="1"/>
  <c r="N1248" i="6"/>
  <c r="O1248" i="6" s="1"/>
  <c r="P1248" i="6" s="1"/>
  <c r="N1376" i="6"/>
  <c r="O1376" i="6" s="1"/>
  <c r="P1376" i="6" s="1"/>
  <c r="N1440" i="6"/>
  <c r="O1440" i="6" s="1"/>
  <c r="P1440" i="6" s="1"/>
  <c r="N1504" i="6"/>
  <c r="O1504" i="6" s="1"/>
  <c r="P1504" i="6" s="1"/>
  <c r="N1568" i="6"/>
  <c r="O1568" i="6" s="1"/>
  <c r="P1568" i="6" s="1"/>
  <c r="N1632" i="6"/>
  <c r="O1632" i="6" s="1"/>
  <c r="P1632" i="6" s="1"/>
  <c r="N1696" i="6"/>
  <c r="O1696" i="6" s="1"/>
  <c r="P1696" i="6" s="1"/>
  <c r="N215" i="6"/>
  <c r="O215" i="6" s="1"/>
  <c r="P215" i="6" s="1"/>
  <c r="N471" i="6"/>
  <c r="O471" i="6" s="1"/>
  <c r="P471" i="6" s="1"/>
  <c r="N727" i="6"/>
  <c r="O727" i="6" s="1"/>
  <c r="P727" i="6" s="1"/>
  <c r="N921" i="6"/>
  <c r="O921" i="6" s="1"/>
  <c r="P921" i="6" s="1"/>
  <c r="N985" i="6"/>
  <c r="O985" i="6" s="1"/>
  <c r="P985" i="6" s="1"/>
  <c r="N1049" i="6"/>
  <c r="O1049" i="6" s="1"/>
  <c r="P1049" i="6" s="1"/>
  <c r="N1113" i="6"/>
  <c r="O1113" i="6" s="1"/>
  <c r="P1113" i="6" s="1"/>
  <c r="N1177" i="6"/>
  <c r="O1177" i="6" s="1"/>
  <c r="P1177" i="6" s="1"/>
  <c r="N1241" i="6"/>
  <c r="O1241" i="6" s="1"/>
  <c r="P1241" i="6" s="1"/>
  <c r="N1305" i="6"/>
  <c r="O1305" i="6" s="1"/>
  <c r="P1305" i="6" s="1"/>
  <c r="N1369" i="6"/>
  <c r="O1369" i="6" s="1"/>
  <c r="P1369" i="6" s="1"/>
  <c r="N1433" i="6"/>
  <c r="O1433" i="6" s="1"/>
  <c r="P1433" i="6" s="1"/>
  <c r="N1497" i="6"/>
  <c r="O1497" i="6" s="1"/>
  <c r="P1497" i="6" s="1"/>
  <c r="N1561" i="6"/>
  <c r="O1561" i="6" s="1"/>
  <c r="P1561" i="6" s="1"/>
  <c r="N1625" i="6"/>
  <c r="O1625" i="6" s="1"/>
  <c r="P1625" i="6" s="1"/>
  <c r="N1689" i="6"/>
  <c r="O1689" i="6" s="1"/>
  <c r="P1689" i="6" s="1"/>
  <c r="N763" i="6"/>
  <c r="O763" i="6" s="1"/>
  <c r="P763" i="6" s="1"/>
  <c r="N1122" i="6"/>
  <c r="O1122" i="6" s="1"/>
  <c r="P1122" i="6" s="1"/>
  <c r="N1378" i="6"/>
  <c r="O1378" i="6" s="1"/>
  <c r="P1378" i="6" s="1"/>
  <c r="N1634" i="6"/>
  <c r="O1634" i="6" s="1"/>
  <c r="P1634" i="6" s="1"/>
  <c r="N715" i="6"/>
  <c r="O715" i="6" s="1"/>
  <c r="P715" i="6" s="1"/>
  <c r="N1110" i="6"/>
  <c r="O1110" i="6" s="1"/>
  <c r="P1110" i="6" s="1"/>
  <c r="N1366" i="6"/>
  <c r="O1366" i="6" s="1"/>
  <c r="P1366" i="6" s="1"/>
  <c r="N1622" i="6"/>
  <c r="O1622" i="6" s="1"/>
  <c r="P1622" i="6" s="1"/>
  <c r="N667" i="6"/>
  <c r="O667" i="6" s="1"/>
  <c r="P667" i="6" s="1"/>
  <c r="N1098" i="6"/>
  <c r="O1098" i="6" s="1"/>
  <c r="P1098" i="6" s="1"/>
  <c r="N1354" i="6"/>
  <c r="O1354" i="6" s="1"/>
  <c r="P1354" i="6" s="1"/>
  <c r="N1610" i="6"/>
  <c r="O1610" i="6" s="1"/>
  <c r="P1610" i="6" s="1"/>
  <c r="N619" i="6"/>
  <c r="O619" i="6" s="1"/>
  <c r="P619" i="6" s="1"/>
  <c r="N1086" i="6"/>
  <c r="O1086" i="6" s="1"/>
  <c r="P1086" i="6" s="1"/>
  <c r="N1342" i="6"/>
  <c r="O1342" i="6" s="1"/>
  <c r="P1342" i="6" s="1"/>
  <c r="N1598" i="6"/>
  <c r="O1598" i="6" s="1"/>
  <c r="P1598" i="6" s="1"/>
  <c r="N44" i="6"/>
  <c r="O44" i="6" s="1"/>
  <c r="P44" i="6" s="1"/>
  <c r="N108" i="6"/>
  <c r="O108" i="6" s="1"/>
  <c r="P108" i="6" s="1"/>
  <c r="N172" i="6"/>
  <c r="O172" i="6" s="1"/>
  <c r="P172" i="6" s="1"/>
  <c r="N236" i="6"/>
  <c r="O236" i="6" s="1"/>
  <c r="P236" i="6" s="1"/>
  <c r="N300" i="6"/>
  <c r="O300" i="6" s="1"/>
  <c r="P300" i="6" s="1"/>
  <c r="N364" i="6"/>
  <c r="O364" i="6" s="1"/>
  <c r="P364" i="6" s="1"/>
  <c r="N428" i="6"/>
  <c r="O428" i="6" s="1"/>
  <c r="P428" i="6" s="1"/>
  <c r="N492" i="6"/>
  <c r="O492" i="6" s="1"/>
  <c r="P492" i="6" s="1"/>
  <c r="N556" i="6"/>
  <c r="O556" i="6" s="1"/>
  <c r="P556" i="6" s="1"/>
  <c r="N620" i="6"/>
  <c r="O620" i="6" s="1"/>
  <c r="P620" i="6" s="1"/>
  <c r="N684" i="6"/>
  <c r="O684" i="6" s="1"/>
  <c r="P684" i="6" s="1"/>
  <c r="N748" i="6"/>
  <c r="O748" i="6" s="1"/>
  <c r="P748" i="6" s="1"/>
  <c r="N812" i="6"/>
  <c r="O812" i="6" s="1"/>
  <c r="P812" i="6" s="1"/>
  <c r="N892" i="6"/>
  <c r="O892" i="6" s="1"/>
  <c r="P892" i="6" s="1"/>
  <c r="N65" i="6"/>
  <c r="O65" i="6" s="1"/>
  <c r="P65" i="6" s="1"/>
  <c r="N241" i="6"/>
  <c r="O241" i="6" s="1"/>
  <c r="P241" i="6" s="1"/>
  <c r="N497" i="6"/>
  <c r="O497" i="6" s="1"/>
  <c r="P497" i="6" s="1"/>
  <c r="N753" i="6"/>
  <c r="O753" i="6" s="1"/>
  <c r="P753" i="6" s="1"/>
  <c r="N118" i="6"/>
  <c r="O118" i="6" s="1"/>
  <c r="P118" i="6" s="1"/>
  <c r="N374" i="6"/>
  <c r="O374" i="6" s="1"/>
  <c r="P374" i="6" s="1"/>
  <c r="N630" i="6"/>
  <c r="O630" i="6" s="1"/>
  <c r="P630" i="6" s="1"/>
  <c r="N886" i="6"/>
  <c r="O886" i="6" s="1"/>
  <c r="P886" i="6" s="1"/>
  <c r="N987" i="6"/>
  <c r="O987" i="6" s="1"/>
  <c r="P987" i="6" s="1"/>
  <c r="N1323" i="6"/>
  <c r="O1323" i="6" s="1"/>
  <c r="P1323" i="6" s="1"/>
  <c r="N1675" i="6"/>
  <c r="O1675" i="6" s="1"/>
  <c r="P1675" i="6" s="1"/>
  <c r="N996" i="6"/>
  <c r="O996" i="6" s="1"/>
  <c r="P996" i="6" s="1"/>
  <c r="N1181" i="6"/>
  <c r="O1181" i="6" s="1"/>
  <c r="P1181" i="6" s="1"/>
  <c r="N974" i="6"/>
  <c r="O974" i="6" s="1"/>
  <c r="P974" i="6" s="1"/>
  <c r="N277" i="6"/>
  <c r="O277" i="6" s="1"/>
  <c r="P277" i="6" s="1"/>
  <c r="N687" i="6"/>
  <c r="O687" i="6" s="1"/>
  <c r="P687" i="6" s="1"/>
  <c r="N161" i="6"/>
  <c r="O161" i="6" s="1"/>
  <c r="P161" i="6" s="1"/>
  <c r="N225" i="6"/>
  <c r="O225" i="6" s="1"/>
  <c r="P225" i="6" s="1"/>
  <c r="N289" i="6"/>
  <c r="O289" i="6" s="1"/>
  <c r="P289" i="6" s="1"/>
  <c r="N353" i="6"/>
  <c r="O353" i="6" s="1"/>
  <c r="P353" i="6" s="1"/>
  <c r="N417" i="6"/>
  <c r="O417" i="6" s="1"/>
  <c r="P417" i="6" s="1"/>
  <c r="N481" i="6"/>
  <c r="O481" i="6" s="1"/>
  <c r="P481" i="6" s="1"/>
  <c r="N545" i="6"/>
  <c r="O545" i="6" s="1"/>
  <c r="P545" i="6" s="1"/>
  <c r="N609" i="6"/>
  <c r="O609" i="6" s="1"/>
  <c r="P609" i="6" s="1"/>
  <c r="N673" i="6"/>
  <c r="O673" i="6" s="1"/>
  <c r="P673" i="6" s="1"/>
  <c r="N737" i="6"/>
  <c r="O737" i="6" s="1"/>
  <c r="P737" i="6" s="1"/>
  <c r="N801" i="6"/>
  <c r="O801" i="6" s="1"/>
  <c r="P801" i="6" s="1"/>
  <c r="N865" i="6"/>
  <c r="O865" i="6" s="1"/>
  <c r="P865" i="6" s="1"/>
  <c r="N38" i="6"/>
  <c r="O38" i="6" s="1"/>
  <c r="P38" i="6" s="1"/>
  <c r="N102" i="6"/>
  <c r="O102" i="6" s="1"/>
  <c r="P102" i="6" s="1"/>
  <c r="N166" i="6"/>
  <c r="O166" i="6" s="1"/>
  <c r="P166" i="6" s="1"/>
  <c r="N230" i="6"/>
  <c r="O230" i="6" s="1"/>
  <c r="P230" i="6" s="1"/>
  <c r="N294" i="6"/>
  <c r="O294" i="6" s="1"/>
  <c r="P294" i="6" s="1"/>
  <c r="N358" i="6"/>
  <c r="O358" i="6" s="1"/>
  <c r="P358" i="6" s="1"/>
  <c r="N422" i="6"/>
  <c r="O422" i="6" s="1"/>
  <c r="P422" i="6" s="1"/>
  <c r="N486" i="6"/>
  <c r="O486" i="6" s="1"/>
  <c r="P486" i="6" s="1"/>
  <c r="N550" i="6"/>
  <c r="O550" i="6" s="1"/>
  <c r="P550" i="6" s="1"/>
  <c r="N614" i="6"/>
  <c r="O614" i="6" s="1"/>
  <c r="P614" i="6" s="1"/>
  <c r="N678" i="6"/>
  <c r="O678" i="6" s="1"/>
  <c r="P678" i="6" s="1"/>
  <c r="N742" i="6"/>
  <c r="O742" i="6" s="1"/>
  <c r="P742" i="6" s="1"/>
  <c r="N806" i="6"/>
  <c r="O806" i="6" s="1"/>
  <c r="P806" i="6" s="1"/>
  <c r="N870" i="6"/>
  <c r="O870" i="6" s="1"/>
  <c r="P870" i="6" s="1"/>
  <c r="N159" i="6"/>
  <c r="O159" i="6" s="1"/>
  <c r="P159" i="6" s="1"/>
  <c r="N479" i="6"/>
  <c r="O479" i="6" s="1"/>
  <c r="P479" i="6" s="1"/>
  <c r="N799" i="6"/>
  <c r="O799" i="6" s="1"/>
  <c r="P799" i="6" s="1"/>
  <c r="N971" i="6"/>
  <c r="O971" i="6" s="1"/>
  <c r="P971" i="6" s="1"/>
  <c r="N1051" i="6"/>
  <c r="O1051" i="6" s="1"/>
  <c r="P1051" i="6" s="1"/>
  <c r="N1131" i="6"/>
  <c r="O1131" i="6" s="1"/>
  <c r="P1131" i="6" s="1"/>
  <c r="N1227" i="6"/>
  <c r="O1227" i="6" s="1"/>
  <c r="P1227" i="6" s="1"/>
  <c r="N1307" i="6"/>
  <c r="O1307" i="6" s="1"/>
  <c r="P1307" i="6" s="1"/>
  <c r="N1387" i="6"/>
  <c r="O1387" i="6" s="1"/>
  <c r="P1387" i="6" s="1"/>
  <c r="N1483" i="6"/>
  <c r="O1483" i="6" s="1"/>
  <c r="P1483" i="6" s="1"/>
  <c r="N1563" i="6"/>
  <c r="O1563" i="6" s="1"/>
  <c r="P1563" i="6" s="1"/>
  <c r="N1643" i="6"/>
  <c r="O1643" i="6" s="1"/>
  <c r="P1643" i="6" s="1"/>
  <c r="N131" i="6"/>
  <c r="O131" i="6" s="1"/>
  <c r="P131" i="6" s="1"/>
  <c r="N451" i="6"/>
  <c r="O451" i="6" s="1"/>
  <c r="P451" i="6" s="1"/>
  <c r="N771" i="6"/>
  <c r="O771" i="6" s="1"/>
  <c r="P771" i="6" s="1"/>
  <c r="N964" i="6"/>
  <c r="O964" i="6" s="1"/>
  <c r="P964" i="6" s="1"/>
  <c r="N1108" i="6"/>
  <c r="O1108" i="6" s="1"/>
  <c r="P1108" i="6" s="1"/>
  <c r="N1444" i="6"/>
  <c r="O1444" i="6" s="1"/>
  <c r="P1444" i="6" s="1"/>
  <c r="N359" i="6"/>
  <c r="O359" i="6" s="1"/>
  <c r="P359" i="6" s="1"/>
  <c r="N1101" i="6"/>
  <c r="O1101" i="6" s="1"/>
  <c r="P1101" i="6" s="1"/>
  <c r="N1437" i="6"/>
  <c r="O1437" i="6" s="1"/>
  <c r="P1437" i="6" s="1"/>
  <c r="N1010" i="6"/>
  <c r="O1010" i="6" s="1"/>
  <c r="P1010" i="6" s="1"/>
  <c r="N1318" i="6"/>
  <c r="O1318" i="6" s="1"/>
  <c r="P1318" i="6" s="1"/>
  <c r="N1626" i="6"/>
  <c r="O1626" i="6" s="1"/>
  <c r="P1626" i="6" s="1"/>
  <c r="N80" i="6"/>
  <c r="O80" i="6" s="1"/>
  <c r="P80" i="6" s="1"/>
  <c r="N416" i="6"/>
  <c r="O416" i="6" s="1"/>
  <c r="P416" i="6" s="1"/>
  <c r="N752" i="6"/>
  <c r="O752" i="6" s="1"/>
  <c r="P752" i="6" s="1"/>
  <c r="N197" i="6"/>
  <c r="O197" i="6" s="1"/>
  <c r="P197" i="6" s="1"/>
  <c r="N533" i="6"/>
  <c r="O533" i="6" s="1"/>
  <c r="P533" i="6" s="1"/>
  <c r="N869" i="6"/>
  <c r="O869" i="6" s="1"/>
  <c r="P869" i="6" s="1"/>
  <c r="N426" i="6"/>
  <c r="O426" i="6" s="1"/>
  <c r="P426" i="6" s="1"/>
  <c r="N175" i="6"/>
  <c r="O175" i="6" s="1"/>
  <c r="P175" i="6" s="1"/>
  <c r="N1231" i="6"/>
  <c r="O1231" i="6" s="1"/>
  <c r="P1231" i="6" s="1"/>
  <c r="N147" i="6"/>
  <c r="O147" i="6" s="1"/>
  <c r="P147" i="6" s="1"/>
  <c r="N1224" i="6"/>
  <c r="O1224" i="6" s="1"/>
  <c r="P1224" i="6" s="1"/>
  <c r="N119" i="6"/>
  <c r="O119" i="6" s="1"/>
  <c r="P119" i="6" s="1"/>
  <c r="N1473" i="6"/>
  <c r="O1473" i="6" s="1"/>
  <c r="P1473" i="6" s="1"/>
  <c r="N1160" i="6"/>
  <c r="O1160" i="6" s="1"/>
  <c r="P1160" i="6" s="1"/>
  <c r="N1032" i="6"/>
  <c r="O1032" i="6" s="1"/>
  <c r="P1032" i="6" s="1"/>
  <c r="N902" i="6"/>
  <c r="O902" i="6" s="1"/>
  <c r="P902" i="6" s="1"/>
  <c r="N403" i="6"/>
  <c r="O403" i="6" s="1"/>
  <c r="P403" i="6" s="1"/>
  <c r="N1679" i="6"/>
  <c r="O1679" i="6" s="1"/>
  <c r="P1679" i="6" s="1"/>
  <c r="N1551" i="6"/>
  <c r="O1551" i="6" s="1"/>
  <c r="P1551" i="6" s="1"/>
  <c r="N1423" i="6"/>
  <c r="O1423" i="6" s="1"/>
  <c r="P1423" i="6" s="1"/>
  <c r="N1295" i="6"/>
  <c r="O1295" i="6" s="1"/>
  <c r="P1295" i="6" s="1"/>
  <c r="N1167" i="6"/>
  <c r="O1167" i="6" s="1"/>
  <c r="P1167" i="6" s="1"/>
  <c r="N1039" i="6"/>
  <c r="O1039" i="6" s="1"/>
  <c r="P1039" i="6" s="1"/>
  <c r="N911" i="6"/>
  <c r="O911" i="6" s="1"/>
  <c r="P911" i="6" s="1"/>
  <c r="N431" i="6"/>
  <c r="O431" i="6" s="1"/>
  <c r="P431" i="6" s="1"/>
  <c r="N874" i="6"/>
  <c r="O874" i="6" s="1"/>
  <c r="P874" i="6" s="1"/>
  <c r="N746" i="6"/>
  <c r="O746" i="6" s="1"/>
  <c r="P746" i="6" s="1"/>
  <c r="N618" i="6"/>
  <c r="O618" i="6" s="1"/>
  <c r="P618" i="6" s="1"/>
  <c r="N490" i="6"/>
  <c r="O490" i="6" s="1"/>
  <c r="P490" i="6" s="1"/>
  <c r="N362" i="6"/>
  <c r="O362" i="6" s="1"/>
  <c r="P362" i="6" s="1"/>
  <c r="N234" i="6"/>
  <c r="O234" i="6" s="1"/>
  <c r="P234" i="6" s="1"/>
  <c r="N106" i="6"/>
  <c r="O106" i="6" s="1"/>
  <c r="P106" i="6" s="1"/>
  <c r="N26" i="6"/>
  <c r="O26" i="6" s="1"/>
  <c r="P26" i="6" s="1"/>
  <c r="N837" i="6"/>
  <c r="O837" i="6" s="1"/>
  <c r="P837" i="6" s="1"/>
  <c r="N741" i="6"/>
  <c r="O741" i="6" s="1"/>
  <c r="P741" i="6" s="1"/>
  <c r="N661" i="6"/>
  <c r="O661" i="6" s="1"/>
  <c r="P661" i="6" s="1"/>
  <c r="N581" i="6"/>
  <c r="O581" i="6" s="1"/>
  <c r="P581" i="6" s="1"/>
  <c r="N485" i="6"/>
  <c r="O485" i="6" s="1"/>
  <c r="P485" i="6" s="1"/>
  <c r="N405" i="6"/>
  <c r="O405" i="6" s="1"/>
  <c r="P405" i="6" s="1"/>
  <c r="N325" i="6"/>
  <c r="O325" i="6" s="1"/>
  <c r="P325" i="6" s="1"/>
  <c r="N229" i="6"/>
  <c r="O229" i="6" s="1"/>
  <c r="P229" i="6" s="1"/>
  <c r="N149" i="6"/>
  <c r="O149" i="6" s="1"/>
  <c r="P149" i="6" s="1"/>
  <c r="N69" i="6"/>
  <c r="O69" i="6" s="1"/>
  <c r="P69" i="6" s="1"/>
  <c r="N880" i="6"/>
  <c r="O880" i="6" s="1"/>
  <c r="P880" i="6" s="1"/>
  <c r="N800" i="6"/>
  <c r="O800" i="6" s="1"/>
  <c r="P800" i="6" s="1"/>
  <c r="N720" i="6"/>
  <c r="O720" i="6" s="1"/>
  <c r="P720" i="6" s="1"/>
  <c r="N624" i="6"/>
  <c r="O624" i="6" s="1"/>
  <c r="P624" i="6" s="1"/>
  <c r="N544" i="6"/>
  <c r="O544" i="6" s="1"/>
  <c r="P544" i="6" s="1"/>
  <c r="N464" i="6"/>
  <c r="O464" i="6" s="1"/>
  <c r="P464" i="6" s="1"/>
  <c r="N368" i="6"/>
  <c r="O368" i="6" s="1"/>
  <c r="P368" i="6" s="1"/>
  <c r="N288" i="6"/>
  <c r="O288" i="6" s="1"/>
  <c r="P288" i="6" s="1"/>
  <c r="N208" i="6"/>
  <c r="O208" i="6" s="1"/>
  <c r="P208" i="6" s="1"/>
  <c r="N112" i="6"/>
  <c r="O112" i="6" s="1"/>
  <c r="P112" i="6" s="1"/>
  <c r="N32" i="6"/>
  <c r="O32" i="6" s="1"/>
  <c r="P32" i="6" s="1"/>
  <c r="N1486" i="6"/>
  <c r="O1486" i="6" s="1"/>
  <c r="P1486" i="6" s="1"/>
  <c r="N1102" i="6"/>
  <c r="O1102" i="6" s="1"/>
  <c r="P1102" i="6" s="1"/>
  <c r="N427" i="6"/>
  <c r="O427" i="6" s="1"/>
  <c r="P427" i="6" s="1"/>
  <c r="N1498" i="6"/>
  <c r="O1498" i="6" s="1"/>
  <c r="P1498" i="6" s="1"/>
  <c r="N1114" i="6"/>
  <c r="O1114" i="6" s="1"/>
  <c r="P1114" i="6" s="1"/>
  <c r="N475" i="6"/>
  <c r="O475" i="6" s="1"/>
  <c r="P475" i="6" s="1"/>
  <c r="N1510" i="6"/>
  <c r="O1510" i="6" s="1"/>
  <c r="P1510" i="6" s="1"/>
  <c r="N1126" i="6"/>
  <c r="O1126" i="6" s="1"/>
  <c r="P1126" i="6" s="1"/>
  <c r="N523" i="6"/>
  <c r="O523" i="6" s="1"/>
  <c r="P523" i="6" s="1"/>
  <c r="N1522" i="6"/>
  <c r="O1522" i="6" s="1"/>
  <c r="P1522" i="6" s="1"/>
  <c r="N1138" i="6"/>
  <c r="O1138" i="6" s="1"/>
  <c r="P1138" i="6" s="1"/>
  <c r="N571" i="6"/>
  <c r="O571" i="6" s="1"/>
  <c r="P571" i="6" s="1"/>
  <c r="N1661" i="6"/>
  <c r="O1661" i="6" s="1"/>
  <c r="P1661" i="6" s="1"/>
  <c r="N1565" i="6"/>
  <c r="O1565" i="6" s="1"/>
  <c r="P1565" i="6" s="1"/>
  <c r="N1485" i="6"/>
  <c r="O1485" i="6" s="1"/>
  <c r="P1485" i="6" s="1"/>
  <c r="N1405" i="6"/>
  <c r="O1405" i="6" s="1"/>
  <c r="P1405" i="6" s="1"/>
  <c r="N1309" i="6"/>
  <c r="O1309" i="6" s="1"/>
  <c r="P1309" i="6" s="1"/>
  <c r="N1229" i="6"/>
  <c r="O1229" i="6" s="1"/>
  <c r="P1229" i="6" s="1"/>
  <c r="N1149" i="6"/>
  <c r="O1149" i="6" s="1"/>
  <c r="P1149" i="6" s="1"/>
  <c r="N1053" i="6"/>
  <c r="O1053" i="6" s="1"/>
  <c r="P1053" i="6" s="1"/>
  <c r="N973" i="6"/>
  <c r="O973" i="6" s="1"/>
  <c r="P973" i="6" s="1"/>
  <c r="N871" i="6"/>
  <c r="O871" i="6" s="1"/>
  <c r="P871" i="6" s="1"/>
  <c r="N487" i="6"/>
  <c r="O487" i="6" s="1"/>
  <c r="P487" i="6" s="1"/>
  <c r="N167" i="6"/>
  <c r="O167" i="6" s="1"/>
  <c r="P167" i="6" s="1"/>
  <c r="N1668" i="6"/>
  <c r="O1668" i="6" s="1"/>
  <c r="P1668" i="6" s="1"/>
  <c r="N1572" i="6"/>
  <c r="O1572" i="6" s="1"/>
  <c r="P1572" i="6" s="1"/>
  <c r="N1492" i="6"/>
  <c r="O1492" i="6" s="1"/>
  <c r="P1492" i="6" s="1"/>
  <c r="N1412" i="6"/>
  <c r="O1412" i="6" s="1"/>
  <c r="P1412" i="6" s="1"/>
  <c r="N1316" i="6"/>
  <c r="O1316" i="6" s="1"/>
  <c r="P1316" i="6" s="1"/>
  <c r="N1236" i="6"/>
  <c r="O1236" i="6" s="1"/>
  <c r="P1236" i="6" s="1"/>
  <c r="N1156" i="6"/>
  <c r="O1156" i="6" s="1"/>
  <c r="P1156" i="6" s="1"/>
  <c r="N1060" i="6"/>
  <c r="O1060" i="6" s="1"/>
  <c r="P1060" i="6" s="1"/>
  <c r="N980" i="6"/>
  <c r="O980" i="6" s="1"/>
  <c r="P980" i="6" s="1"/>
  <c r="N1016" i="6"/>
  <c r="O1016" i="6" s="1"/>
  <c r="P1016" i="6" s="1"/>
  <c r="N851" i="6"/>
  <c r="O851" i="6" s="1"/>
  <c r="P851" i="6" s="1"/>
  <c r="N339" i="6"/>
  <c r="O339" i="6" s="1"/>
  <c r="P339" i="6" s="1"/>
  <c r="N1663" i="6"/>
  <c r="O1663" i="6" s="1"/>
  <c r="P1663" i="6" s="1"/>
  <c r="N1535" i="6"/>
  <c r="O1535" i="6" s="1"/>
  <c r="P1535" i="6" s="1"/>
  <c r="N1407" i="6"/>
  <c r="O1407" i="6" s="1"/>
  <c r="P1407" i="6" s="1"/>
  <c r="N1279" i="6"/>
  <c r="O1279" i="6" s="1"/>
  <c r="P1279" i="6" s="1"/>
  <c r="N1151" i="6"/>
  <c r="O1151" i="6" s="1"/>
  <c r="P1151" i="6" s="1"/>
  <c r="N1023" i="6"/>
  <c r="O1023" i="6" s="1"/>
  <c r="P1023" i="6" s="1"/>
  <c r="N879" i="6"/>
  <c r="O879" i="6" s="1"/>
  <c r="P879" i="6" s="1"/>
  <c r="N367" i="6"/>
  <c r="O367" i="6" s="1"/>
  <c r="P367" i="6" s="1"/>
  <c r="N858" i="6"/>
  <c r="O858" i="6" s="1"/>
  <c r="P858" i="6" s="1"/>
  <c r="N730" i="6"/>
  <c r="O730" i="6" s="1"/>
  <c r="P730" i="6" s="1"/>
  <c r="N602" i="6"/>
  <c r="O602" i="6" s="1"/>
  <c r="P602" i="6" s="1"/>
  <c r="N474" i="6"/>
  <c r="O474" i="6" s="1"/>
  <c r="P474" i="6" s="1"/>
  <c r="N346" i="6"/>
  <c r="O346" i="6" s="1"/>
  <c r="P346" i="6" s="1"/>
  <c r="N218" i="6"/>
  <c r="O218" i="6" s="1"/>
  <c r="P218" i="6" s="1"/>
  <c r="N90" i="6"/>
  <c r="O90" i="6" s="1"/>
  <c r="P90" i="6" s="1"/>
  <c r="N10" i="6"/>
  <c r="O10" i="6" s="1"/>
  <c r="P10" i="6" s="1"/>
  <c r="N805" i="6"/>
  <c r="O805" i="6" s="1"/>
  <c r="P805" i="6" s="1"/>
  <c r="N725" i="6"/>
  <c r="O725" i="6" s="1"/>
  <c r="P725" i="6" s="1"/>
  <c r="N645" i="6"/>
  <c r="O645" i="6" s="1"/>
  <c r="P645" i="6" s="1"/>
  <c r="N549" i="6"/>
  <c r="O549" i="6" s="1"/>
  <c r="P549" i="6" s="1"/>
  <c r="N469" i="6"/>
  <c r="O469" i="6" s="1"/>
  <c r="P469" i="6" s="1"/>
  <c r="N389" i="6"/>
  <c r="O389" i="6" s="1"/>
  <c r="P389" i="6" s="1"/>
  <c r="N293" i="6"/>
  <c r="O293" i="6" s="1"/>
  <c r="P293" i="6" s="1"/>
  <c r="N213" i="6"/>
  <c r="O213" i="6" s="1"/>
  <c r="P213" i="6" s="1"/>
  <c r="N133" i="6"/>
  <c r="O133" i="6" s="1"/>
  <c r="P133" i="6" s="1"/>
  <c r="N37" i="6"/>
  <c r="O37" i="6" s="1"/>
  <c r="P37" i="6" s="1"/>
  <c r="N864" i="6"/>
  <c r="O864" i="6" s="1"/>
  <c r="P864" i="6" s="1"/>
  <c r="N784" i="6"/>
  <c r="O784" i="6" s="1"/>
  <c r="P784" i="6" s="1"/>
  <c r="N688" i="6"/>
  <c r="O688" i="6" s="1"/>
  <c r="P688" i="6" s="1"/>
  <c r="N608" i="6"/>
  <c r="O608" i="6" s="1"/>
  <c r="P608" i="6" s="1"/>
  <c r="N528" i="6"/>
  <c r="O528" i="6" s="1"/>
  <c r="P528" i="6" s="1"/>
  <c r="N432" i="6"/>
  <c r="O432" i="6" s="1"/>
  <c r="P432" i="6" s="1"/>
  <c r="N352" i="6"/>
  <c r="O352" i="6" s="1"/>
  <c r="P352" i="6" s="1"/>
  <c r="N272" i="6"/>
  <c r="O272" i="6" s="1"/>
  <c r="P272" i="6" s="1"/>
  <c r="N176" i="6"/>
  <c r="O176" i="6" s="1"/>
  <c r="P176" i="6" s="1"/>
  <c r="N96" i="6"/>
  <c r="O96" i="6" s="1"/>
  <c r="P96" i="6" s="1"/>
  <c r="N16" i="6"/>
  <c r="O16" i="6" s="1"/>
  <c r="P16" i="6" s="1"/>
  <c r="N1358" i="6"/>
  <c r="O1358" i="6" s="1"/>
  <c r="P1358" i="6" s="1"/>
  <c r="N1038" i="6"/>
  <c r="O1038" i="6" s="1"/>
  <c r="P1038" i="6" s="1"/>
  <c r="N171" i="6"/>
  <c r="O171" i="6" s="1"/>
  <c r="P171" i="6" s="1"/>
  <c r="N1370" i="6"/>
  <c r="O1370" i="6" s="1"/>
  <c r="P1370" i="6" s="1"/>
  <c r="N1050" i="6"/>
  <c r="O1050" i="6" s="1"/>
  <c r="P1050" i="6" s="1"/>
  <c r="N219" i="6"/>
  <c r="O219" i="6" s="1"/>
  <c r="P219" i="6" s="1"/>
  <c r="N1382" i="6"/>
  <c r="O1382" i="6" s="1"/>
  <c r="P1382" i="6" s="1"/>
  <c r="N1062" i="6"/>
  <c r="O1062" i="6" s="1"/>
  <c r="P1062" i="6" s="1"/>
  <c r="N267" i="6"/>
  <c r="O267" i="6" s="1"/>
  <c r="P267" i="6" s="1"/>
  <c r="N1394" i="6"/>
  <c r="O1394" i="6" s="1"/>
  <c r="P1394" i="6" s="1"/>
  <c r="N1074" i="6"/>
  <c r="O1074" i="6" s="1"/>
  <c r="P1074" i="6" s="1"/>
  <c r="N315" i="6"/>
  <c r="O315" i="6" s="1"/>
  <c r="P315" i="6" s="1"/>
  <c r="N1629" i="6"/>
  <c r="O1629" i="6" s="1"/>
  <c r="P1629" i="6" s="1"/>
  <c r="N1549" i="6"/>
  <c r="O1549" i="6" s="1"/>
  <c r="P1549" i="6" s="1"/>
  <c r="N1469" i="6"/>
  <c r="O1469" i="6" s="1"/>
  <c r="P1469" i="6" s="1"/>
  <c r="N1373" i="6"/>
  <c r="O1373" i="6" s="1"/>
  <c r="P1373" i="6" s="1"/>
  <c r="N1293" i="6"/>
  <c r="O1293" i="6" s="1"/>
  <c r="P1293" i="6" s="1"/>
  <c r="N1213" i="6"/>
  <c r="O1213" i="6" s="1"/>
  <c r="P1213" i="6" s="1"/>
  <c r="N1117" i="6"/>
  <c r="O1117" i="6" s="1"/>
  <c r="P1117" i="6" s="1"/>
  <c r="N1037" i="6"/>
  <c r="O1037" i="6" s="1"/>
  <c r="P1037" i="6" s="1"/>
  <c r="N957" i="6"/>
  <c r="O957" i="6" s="1"/>
  <c r="P957" i="6" s="1"/>
  <c r="N743" i="6"/>
  <c r="O743" i="6" s="1"/>
  <c r="P743" i="6" s="1"/>
  <c r="N423" i="6"/>
  <c r="O423" i="6" s="1"/>
  <c r="P423" i="6" s="1"/>
  <c r="N103" i="6"/>
  <c r="O103" i="6" s="1"/>
  <c r="P103" i="6" s="1"/>
  <c r="N1636" i="6"/>
  <c r="O1636" i="6" s="1"/>
  <c r="P1636" i="6" s="1"/>
  <c r="N1556" i="6"/>
  <c r="O1556" i="6" s="1"/>
  <c r="P1556" i="6" s="1"/>
  <c r="N1476" i="6"/>
  <c r="O1476" i="6" s="1"/>
  <c r="P1476" i="6" s="1"/>
  <c r="N1380" i="6"/>
  <c r="O1380" i="6" s="1"/>
  <c r="P1380" i="6" s="1"/>
  <c r="N1300" i="6"/>
  <c r="O1300" i="6" s="1"/>
  <c r="P1300" i="6" s="1"/>
  <c r="N1220" i="6"/>
  <c r="O1220" i="6" s="1"/>
  <c r="P1220" i="6" s="1"/>
  <c r="N1124" i="6"/>
  <c r="O1124" i="6" s="1"/>
  <c r="P1124" i="6" s="1"/>
  <c r="N1044" i="6"/>
  <c r="O1044" i="6" s="1"/>
  <c r="P1044" i="6" s="1"/>
  <c r="N1080" i="6"/>
  <c r="O1080" i="6" s="1"/>
  <c r="P1080" i="6" s="1"/>
  <c r="N952" i="6"/>
  <c r="O952" i="6" s="1"/>
  <c r="P952" i="6" s="1"/>
  <c r="N595" i="6"/>
  <c r="O595" i="6" s="1"/>
  <c r="P595" i="6" s="1"/>
  <c r="N83" i="6"/>
  <c r="O83" i="6" s="1"/>
  <c r="P83" i="6" s="1"/>
  <c r="N1599" i="6"/>
  <c r="O1599" i="6" s="1"/>
  <c r="P1599" i="6" s="1"/>
  <c r="N1471" i="6"/>
  <c r="O1471" i="6" s="1"/>
  <c r="P1471" i="6" s="1"/>
  <c r="N1343" i="6"/>
  <c r="O1343" i="6" s="1"/>
  <c r="P1343" i="6" s="1"/>
  <c r="N1215" i="6"/>
  <c r="O1215" i="6" s="1"/>
  <c r="P1215" i="6" s="1"/>
  <c r="N1087" i="6"/>
  <c r="O1087" i="6" s="1"/>
  <c r="P1087" i="6" s="1"/>
  <c r="N959" i="6"/>
  <c r="O959" i="6" s="1"/>
  <c r="P959" i="6" s="1"/>
  <c r="N623" i="6"/>
  <c r="O623" i="6" s="1"/>
  <c r="P623" i="6" s="1"/>
  <c r="N111" i="6"/>
  <c r="O111" i="6" s="1"/>
  <c r="P111" i="6" s="1"/>
  <c r="N794" i="6"/>
  <c r="O794" i="6" s="1"/>
  <c r="P794" i="6" s="1"/>
  <c r="N666" i="6"/>
  <c r="O666" i="6" s="1"/>
  <c r="P666" i="6" s="1"/>
  <c r="N538" i="6"/>
  <c r="O538" i="6" s="1"/>
  <c r="P538" i="6" s="1"/>
  <c r="N410" i="6"/>
  <c r="O410" i="6" s="1"/>
  <c r="P410" i="6" s="1"/>
  <c r="N282" i="6"/>
  <c r="O282" i="6" s="1"/>
  <c r="P282" i="6" s="1"/>
  <c r="N154" i="6"/>
  <c r="O154" i="6" s="1"/>
  <c r="P154" i="6" s="1"/>
  <c r="N42" i="6"/>
  <c r="O42" i="6" s="1"/>
  <c r="P42" i="6" s="1"/>
  <c r="N853" i="6"/>
  <c r="O853" i="6" s="1"/>
  <c r="P853" i="6" s="1"/>
  <c r="N773" i="6"/>
  <c r="O773" i="6" s="1"/>
  <c r="P773" i="6" s="1"/>
  <c r="N677" i="6"/>
  <c r="O677" i="6" s="1"/>
  <c r="P677" i="6" s="1"/>
  <c r="N597" i="6"/>
  <c r="O597" i="6" s="1"/>
  <c r="P597" i="6" s="1"/>
  <c r="N517" i="6"/>
  <c r="O517" i="6" s="1"/>
  <c r="P517" i="6" s="1"/>
  <c r="N421" i="6"/>
  <c r="O421" i="6" s="1"/>
  <c r="P421" i="6" s="1"/>
  <c r="N341" i="6"/>
  <c r="O341" i="6" s="1"/>
  <c r="P341" i="6" s="1"/>
  <c r="N261" i="6"/>
  <c r="O261" i="6" s="1"/>
  <c r="P261" i="6" s="1"/>
  <c r="N165" i="6"/>
  <c r="O165" i="6" s="1"/>
  <c r="P165" i="6" s="1"/>
  <c r="N85" i="6"/>
  <c r="O85" i="6" s="1"/>
  <c r="P85" i="6" s="1"/>
  <c r="N5" i="6"/>
  <c r="O5" i="6" s="1"/>
  <c r="P5" i="6" s="1"/>
  <c r="N816" i="6"/>
  <c r="O816" i="6" s="1"/>
  <c r="P816" i="6" s="1"/>
  <c r="N736" i="6"/>
  <c r="O736" i="6" s="1"/>
  <c r="P736" i="6" s="1"/>
  <c r="N656" i="6"/>
  <c r="O656" i="6" s="1"/>
  <c r="P656" i="6" s="1"/>
  <c r="N560" i="6"/>
  <c r="O560" i="6" s="1"/>
  <c r="P560" i="6" s="1"/>
  <c r="N480" i="6"/>
  <c r="O480" i="6" s="1"/>
  <c r="P480" i="6" s="1"/>
  <c r="N400" i="6"/>
  <c r="O400" i="6" s="1"/>
  <c r="P400" i="6" s="1"/>
  <c r="N304" i="6"/>
  <c r="O304" i="6" s="1"/>
  <c r="P304" i="6" s="1"/>
  <c r="N224" i="6"/>
  <c r="O224" i="6" s="1"/>
  <c r="P224" i="6" s="1"/>
  <c r="N144" i="6"/>
  <c r="O144" i="6" s="1"/>
  <c r="P144" i="6" s="1"/>
  <c r="N48" i="6"/>
  <c r="O48" i="6" s="1"/>
  <c r="P48" i="6" s="1"/>
  <c r="N1550" i="6"/>
  <c r="O1550" i="6" s="1"/>
  <c r="P1550" i="6" s="1"/>
  <c r="N1230" i="6"/>
  <c r="O1230" i="6" s="1"/>
  <c r="P1230" i="6" s="1"/>
  <c r="N683" i="6"/>
  <c r="O683" i="6" s="1"/>
  <c r="P683" i="6" s="1"/>
  <c r="N1562" i="6"/>
  <c r="O1562" i="6" s="1"/>
  <c r="P1562" i="6" s="1"/>
  <c r="N1242" i="6"/>
  <c r="O1242" i="6" s="1"/>
  <c r="P1242" i="6" s="1"/>
  <c r="N731" i="6"/>
  <c r="O731" i="6" s="1"/>
  <c r="P731" i="6" s="1"/>
  <c r="N1574" i="6"/>
  <c r="O1574" i="6" s="1"/>
  <c r="P1574" i="6" s="1"/>
  <c r="N1254" i="6"/>
  <c r="O1254" i="6" s="1"/>
  <c r="P1254" i="6" s="1"/>
  <c r="N779" i="6"/>
  <c r="O779" i="6" s="1"/>
  <c r="P779" i="6" s="1"/>
  <c r="N1586" i="6"/>
  <c r="O1586" i="6" s="1"/>
  <c r="P1586" i="6" s="1"/>
  <c r="N1266" i="6"/>
  <c r="O1266" i="6" s="1"/>
  <c r="P1266" i="6" s="1"/>
  <c r="N827" i="6"/>
  <c r="O827" i="6" s="1"/>
  <c r="P827" i="6" s="1"/>
  <c r="N1677" i="6"/>
  <c r="O1677" i="6" s="1"/>
  <c r="P1677" i="6" s="1"/>
  <c r="N1597" i="6"/>
  <c r="O1597" i="6" s="1"/>
  <c r="P1597" i="6" s="1"/>
  <c r="N1501" i="6"/>
  <c r="O1501" i="6" s="1"/>
  <c r="P1501" i="6" s="1"/>
  <c r="N1421" i="6"/>
  <c r="O1421" i="6" s="1"/>
  <c r="P1421" i="6" s="1"/>
  <c r="N1341" i="6"/>
  <c r="O1341" i="6" s="1"/>
  <c r="P1341" i="6" s="1"/>
  <c r="N1245" i="6"/>
  <c r="O1245" i="6" s="1"/>
  <c r="P1245" i="6" s="1"/>
  <c r="N1165" i="6"/>
  <c r="O1165" i="6" s="1"/>
  <c r="P1165" i="6" s="1"/>
  <c r="N1085" i="6"/>
  <c r="O1085" i="6" s="1"/>
  <c r="P1085" i="6" s="1"/>
  <c r="N989" i="6"/>
  <c r="O989" i="6" s="1"/>
  <c r="P989" i="6" s="1"/>
  <c r="N909" i="6"/>
  <c r="O909" i="6" s="1"/>
  <c r="P909" i="6" s="1"/>
  <c r="N615" i="6"/>
  <c r="O615" i="6" s="1"/>
  <c r="P615" i="6" s="1"/>
  <c r="N231" i="6"/>
  <c r="O231" i="6" s="1"/>
  <c r="P231" i="6" s="1"/>
  <c r="N1684" i="6"/>
  <c r="O1684" i="6" s="1"/>
  <c r="P1684" i="6" s="1"/>
  <c r="N1604" i="6"/>
  <c r="O1604" i="6" s="1"/>
  <c r="P1604" i="6" s="1"/>
  <c r="N1508" i="6"/>
  <c r="O1508" i="6" s="1"/>
  <c r="P1508" i="6" s="1"/>
  <c r="N1428" i="6"/>
  <c r="O1428" i="6" s="1"/>
  <c r="P1428" i="6" s="1"/>
  <c r="N1348" i="6"/>
  <c r="O1348" i="6" s="1"/>
  <c r="P1348" i="6" s="1"/>
  <c r="N1252" i="6"/>
  <c r="O1252" i="6" s="1"/>
  <c r="P1252" i="6" s="1"/>
  <c r="N1172" i="6"/>
  <c r="O1172" i="6" s="1"/>
  <c r="P1172" i="6" s="1"/>
  <c r="N1502" i="6"/>
  <c r="O1502" i="6" s="1"/>
  <c r="P1502" i="6" s="1"/>
  <c r="N129" i="6"/>
  <c r="O129" i="6" s="1"/>
  <c r="P129" i="6" s="1"/>
  <c r="N193" i="6"/>
  <c r="O193" i="6" s="1"/>
  <c r="P193" i="6" s="1"/>
  <c r="N257" i="6"/>
  <c r="O257" i="6" s="1"/>
  <c r="P257" i="6" s="1"/>
  <c r="N321" i="6"/>
  <c r="O321" i="6" s="1"/>
  <c r="P321" i="6" s="1"/>
  <c r="N385" i="6"/>
  <c r="O385" i="6" s="1"/>
  <c r="P385" i="6" s="1"/>
  <c r="N449" i="6"/>
  <c r="O449" i="6" s="1"/>
  <c r="P449" i="6" s="1"/>
  <c r="N513" i="6"/>
  <c r="O513" i="6" s="1"/>
  <c r="P513" i="6" s="1"/>
  <c r="N577" i="6"/>
  <c r="O577" i="6" s="1"/>
  <c r="P577" i="6" s="1"/>
  <c r="N641" i="6"/>
  <c r="O641" i="6" s="1"/>
  <c r="P641" i="6" s="1"/>
  <c r="N705" i="6"/>
  <c r="O705" i="6" s="1"/>
  <c r="P705" i="6" s="1"/>
  <c r="N769" i="6"/>
  <c r="O769" i="6" s="1"/>
  <c r="P769" i="6" s="1"/>
  <c r="N833" i="6"/>
  <c r="O833" i="6" s="1"/>
  <c r="P833" i="6" s="1"/>
  <c r="N6" i="6"/>
  <c r="O6" i="6" s="1"/>
  <c r="P6" i="6" s="1"/>
  <c r="N70" i="6"/>
  <c r="O70" i="6" s="1"/>
  <c r="P70" i="6" s="1"/>
  <c r="N134" i="6"/>
  <c r="O134" i="6" s="1"/>
  <c r="P134" i="6" s="1"/>
  <c r="N198" i="6"/>
  <c r="O198" i="6" s="1"/>
  <c r="P198" i="6" s="1"/>
  <c r="N262" i="6"/>
  <c r="O262" i="6" s="1"/>
  <c r="P262" i="6" s="1"/>
  <c r="N326" i="6"/>
  <c r="O326" i="6" s="1"/>
  <c r="P326" i="6" s="1"/>
  <c r="N390" i="6"/>
  <c r="O390" i="6" s="1"/>
  <c r="P390" i="6" s="1"/>
  <c r="N454" i="6"/>
  <c r="O454" i="6" s="1"/>
  <c r="P454" i="6" s="1"/>
  <c r="N518" i="6"/>
  <c r="O518" i="6" s="1"/>
  <c r="P518" i="6" s="1"/>
  <c r="N582" i="6"/>
  <c r="O582" i="6" s="1"/>
  <c r="P582" i="6" s="1"/>
  <c r="N646" i="6"/>
  <c r="O646" i="6" s="1"/>
  <c r="P646" i="6" s="1"/>
  <c r="N710" i="6"/>
  <c r="O710" i="6" s="1"/>
  <c r="P710" i="6" s="1"/>
  <c r="N774" i="6"/>
  <c r="O774" i="6" s="1"/>
  <c r="P774" i="6" s="1"/>
  <c r="N838" i="6"/>
  <c r="O838" i="6" s="1"/>
  <c r="P838" i="6" s="1"/>
  <c r="N31" i="6"/>
  <c r="O31" i="6" s="1"/>
  <c r="P31" i="6" s="1"/>
  <c r="N287" i="6"/>
  <c r="O287" i="6" s="1"/>
  <c r="P287" i="6" s="1"/>
  <c r="N671" i="6"/>
  <c r="O671" i="6" s="1"/>
  <c r="P671" i="6" s="1"/>
  <c r="N923" i="6"/>
  <c r="O923" i="6" s="1"/>
  <c r="P923" i="6" s="1"/>
  <c r="N1003" i="6"/>
  <c r="O1003" i="6" s="1"/>
  <c r="P1003" i="6" s="1"/>
  <c r="N1099" i="6"/>
  <c r="O1099" i="6" s="1"/>
  <c r="P1099" i="6" s="1"/>
  <c r="N1179" i="6"/>
  <c r="O1179" i="6" s="1"/>
  <c r="P1179" i="6" s="1"/>
  <c r="N1259" i="6"/>
  <c r="O1259" i="6" s="1"/>
  <c r="P1259" i="6" s="1"/>
  <c r="N1355" i="6"/>
  <c r="O1355" i="6" s="1"/>
  <c r="P1355" i="6" s="1"/>
  <c r="N1435" i="6"/>
  <c r="O1435" i="6" s="1"/>
  <c r="P1435" i="6" s="1"/>
  <c r="N1515" i="6"/>
  <c r="O1515" i="6" s="1"/>
  <c r="P1515" i="6" s="1"/>
  <c r="N1611" i="6"/>
  <c r="O1611" i="6" s="1"/>
  <c r="P1611" i="6" s="1"/>
  <c r="N1691" i="6"/>
  <c r="O1691" i="6" s="1"/>
  <c r="P1691" i="6" s="1"/>
  <c r="N259" i="6"/>
  <c r="O259" i="6" s="1"/>
  <c r="P259" i="6" s="1"/>
  <c r="N643" i="6"/>
  <c r="O643" i="6" s="1"/>
  <c r="P643" i="6" s="1"/>
  <c r="N916" i="6"/>
  <c r="O916" i="6" s="1"/>
  <c r="P916" i="6" s="1"/>
  <c r="N1028" i="6"/>
  <c r="O1028" i="6" s="1"/>
  <c r="P1028" i="6" s="1"/>
  <c r="N1284" i="6"/>
  <c r="O1284" i="6" s="1"/>
  <c r="P1284" i="6" s="1"/>
  <c r="N1620" i="6"/>
  <c r="O1620" i="6" s="1"/>
  <c r="P1620" i="6" s="1"/>
  <c r="N925" i="6"/>
  <c r="O925" i="6" s="1"/>
  <c r="P925" i="6" s="1"/>
  <c r="N1277" i="6"/>
  <c r="O1277" i="6" s="1"/>
  <c r="P1277" i="6" s="1"/>
  <c r="N1613" i="6"/>
  <c r="O1613" i="6" s="1"/>
  <c r="P1613" i="6" s="1"/>
  <c r="N1650" i="6"/>
  <c r="O1650" i="6" s="1"/>
  <c r="P1650" i="6" s="1"/>
  <c r="N986" i="6"/>
  <c r="O986" i="6" s="1"/>
  <c r="P986" i="6" s="1"/>
  <c r="N1294" i="6"/>
  <c r="O1294" i="6" s="1"/>
  <c r="P1294" i="6" s="1"/>
  <c r="N240" i="6"/>
  <c r="O240" i="6" s="1"/>
  <c r="P240" i="6" s="1"/>
  <c r="N592" i="6"/>
  <c r="O592" i="6" s="1"/>
  <c r="P592" i="6" s="1"/>
  <c r="N21" i="6"/>
  <c r="O21" i="6" s="1"/>
  <c r="P21" i="6" s="1"/>
  <c r="N357" i="6"/>
  <c r="O357" i="6" s="1"/>
  <c r="P357" i="6" s="1"/>
  <c r="N709" i="6"/>
  <c r="O709" i="6" s="1"/>
  <c r="P709" i="6" s="1"/>
  <c r="N170" i="6"/>
  <c r="O170" i="6" s="1"/>
  <c r="P170" i="6" s="1"/>
  <c r="N682" i="6"/>
  <c r="O682" i="6" s="1"/>
  <c r="P682" i="6" s="1"/>
  <c r="N975" i="6"/>
  <c r="O975" i="6" s="1"/>
  <c r="P975" i="6" s="1"/>
  <c r="N1487" i="6"/>
  <c r="O1487" i="6" s="1"/>
  <c r="P1487" i="6" s="1"/>
  <c r="N968" i="6"/>
  <c r="O968" i="6" s="1"/>
  <c r="P968" i="6" s="1"/>
  <c r="N1480" i="6"/>
  <c r="O1480" i="6" s="1"/>
  <c r="P1480" i="6" s="1"/>
  <c r="N961" i="6"/>
  <c r="O961" i="6" s="1"/>
  <c r="P961" i="6" s="1"/>
  <c r="N331" i="6"/>
  <c r="O331" i="6" s="1"/>
  <c r="P331" i="6" s="1"/>
  <c r="N860" i="6"/>
  <c r="O860" i="6" s="1"/>
  <c r="P860" i="6" s="1"/>
  <c r="N17" i="6"/>
  <c r="O17" i="6" s="1"/>
  <c r="P17" i="6" s="1"/>
  <c r="N81" i="6"/>
  <c r="O81" i="6" s="1"/>
  <c r="P81" i="6" s="1"/>
  <c r="N145" i="6"/>
  <c r="O145" i="6" s="1"/>
  <c r="P145" i="6" s="1"/>
  <c r="N209" i="6"/>
  <c r="O209" i="6" s="1"/>
  <c r="P209" i="6" s="1"/>
  <c r="N273" i="6"/>
  <c r="O273" i="6" s="1"/>
  <c r="P273" i="6" s="1"/>
  <c r="N337" i="6"/>
  <c r="O337" i="6" s="1"/>
  <c r="P337" i="6" s="1"/>
  <c r="N401" i="6"/>
  <c r="O401" i="6" s="1"/>
  <c r="P401" i="6" s="1"/>
  <c r="N465" i="6"/>
  <c r="O465" i="6" s="1"/>
  <c r="P465" i="6" s="1"/>
  <c r="N529" i="6"/>
  <c r="O529" i="6" s="1"/>
  <c r="P529" i="6" s="1"/>
  <c r="N593" i="6"/>
  <c r="O593" i="6" s="1"/>
  <c r="P593" i="6" s="1"/>
  <c r="N657" i="6"/>
  <c r="O657" i="6" s="1"/>
  <c r="P657" i="6" s="1"/>
  <c r="N721" i="6"/>
  <c r="O721" i="6" s="1"/>
  <c r="P721" i="6" s="1"/>
  <c r="N785" i="6"/>
  <c r="O785" i="6" s="1"/>
  <c r="P785" i="6" s="1"/>
  <c r="N849" i="6"/>
  <c r="O849" i="6" s="1"/>
  <c r="P849" i="6" s="1"/>
  <c r="N22" i="6"/>
  <c r="O22" i="6" s="1"/>
  <c r="P22" i="6" s="1"/>
  <c r="N86" i="6"/>
  <c r="O86" i="6" s="1"/>
  <c r="P86" i="6" s="1"/>
  <c r="N150" i="6"/>
  <c r="O150" i="6" s="1"/>
  <c r="P150" i="6" s="1"/>
  <c r="N214" i="6"/>
  <c r="O214" i="6" s="1"/>
  <c r="P214" i="6" s="1"/>
  <c r="N278" i="6"/>
  <c r="O278" i="6" s="1"/>
  <c r="P278" i="6" s="1"/>
  <c r="N342" i="6"/>
  <c r="O342" i="6" s="1"/>
  <c r="P342" i="6" s="1"/>
  <c r="N406" i="6"/>
  <c r="O406" i="6" s="1"/>
  <c r="P406" i="6" s="1"/>
  <c r="N470" i="6"/>
  <c r="O470" i="6" s="1"/>
  <c r="P470" i="6" s="1"/>
  <c r="N534" i="6"/>
  <c r="O534" i="6" s="1"/>
  <c r="P534" i="6" s="1"/>
  <c r="N598" i="6"/>
  <c r="O598" i="6" s="1"/>
  <c r="P598" i="6" s="1"/>
  <c r="N662" i="6"/>
  <c r="O662" i="6" s="1"/>
  <c r="P662" i="6" s="1"/>
  <c r="N726" i="6"/>
  <c r="O726" i="6" s="1"/>
  <c r="P726" i="6" s="1"/>
  <c r="N790" i="6"/>
  <c r="O790" i="6" s="1"/>
  <c r="P790" i="6" s="1"/>
  <c r="N854" i="6"/>
  <c r="O854" i="6" s="1"/>
  <c r="P854" i="6" s="1"/>
  <c r="N95" i="6"/>
  <c r="O95" i="6" s="1"/>
  <c r="P95" i="6" s="1"/>
  <c r="N415" i="6"/>
  <c r="O415" i="6" s="1"/>
  <c r="P415" i="6" s="1"/>
  <c r="N735" i="6"/>
  <c r="O735" i="6" s="1"/>
  <c r="P735" i="6" s="1"/>
  <c r="N939" i="6"/>
  <c r="O939" i="6" s="1"/>
  <c r="P939" i="6" s="1"/>
  <c r="N1035" i="6"/>
  <c r="O1035" i="6" s="1"/>
  <c r="P1035" i="6" s="1"/>
  <c r="N1115" i="6"/>
  <c r="O1115" i="6" s="1"/>
  <c r="P1115" i="6" s="1"/>
  <c r="N1195" i="6"/>
  <c r="O1195" i="6" s="1"/>
  <c r="P1195" i="6" s="1"/>
  <c r="N1291" i="6"/>
  <c r="O1291" i="6" s="1"/>
  <c r="P1291" i="6" s="1"/>
  <c r="N1371" i="6"/>
  <c r="O1371" i="6" s="1"/>
  <c r="P1371" i="6" s="1"/>
  <c r="N1451" i="6"/>
  <c r="O1451" i="6" s="1"/>
  <c r="P1451" i="6" s="1"/>
  <c r="N1547" i="6"/>
  <c r="O1547" i="6" s="1"/>
  <c r="P1547" i="6" s="1"/>
  <c r="N1627" i="6"/>
  <c r="O1627" i="6" s="1"/>
  <c r="P1627" i="6" s="1"/>
  <c r="N3" i="6"/>
  <c r="O3" i="6" s="1"/>
  <c r="P3" i="6" s="1"/>
  <c r="N387" i="6"/>
  <c r="O387" i="6" s="1"/>
  <c r="P387" i="6" s="1"/>
  <c r="N707" i="6"/>
  <c r="O707" i="6" s="1"/>
  <c r="P707" i="6" s="1"/>
  <c r="N932" i="6"/>
  <c r="O932" i="6" s="1"/>
  <c r="P932" i="6" s="1"/>
  <c r="N1092" i="6"/>
  <c r="O1092" i="6" s="1"/>
  <c r="P1092" i="6" s="1"/>
  <c r="N1364" i="6"/>
  <c r="O1364" i="6" s="1"/>
  <c r="P1364" i="6" s="1"/>
  <c r="N1700" i="6"/>
  <c r="O1700" i="6" s="1"/>
  <c r="P1700" i="6" s="1"/>
  <c r="N1021" i="6"/>
  <c r="O1021" i="6" s="1"/>
  <c r="P1021" i="6" s="1"/>
  <c r="N1357" i="6"/>
  <c r="O1357" i="6" s="1"/>
  <c r="P1357" i="6" s="1"/>
  <c r="N1693" i="6"/>
  <c r="O1693" i="6" s="1"/>
  <c r="P1693" i="6" s="1"/>
  <c r="N998" i="6"/>
  <c r="O998" i="6" s="1"/>
  <c r="P998" i="6" s="1"/>
  <c r="N1306" i="6"/>
  <c r="O1306" i="6" s="1"/>
  <c r="P1306" i="6" s="1"/>
  <c r="N1614" i="6"/>
  <c r="O1614" i="6" s="1"/>
  <c r="P1614" i="6" s="1"/>
  <c r="N336" i="6"/>
  <c r="O336" i="6" s="1"/>
  <c r="P336" i="6" s="1"/>
  <c r="N672" i="6"/>
  <c r="O672" i="6" s="1"/>
  <c r="P672" i="6" s="1"/>
  <c r="N101" i="6"/>
  <c r="O101" i="6" s="1"/>
  <c r="P101" i="6" s="1"/>
  <c r="N453" i="6"/>
  <c r="O453" i="6" s="1"/>
  <c r="P453" i="6" s="1"/>
  <c r="N789" i="6"/>
  <c r="O789" i="6" s="1"/>
  <c r="P789" i="6" s="1"/>
  <c r="N298" i="6"/>
  <c r="O298" i="6" s="1"/>
  <c r="P298" i="6" s="1"/>
  <c r="N810" i="6"/>
  <c r="O810" i="6" s="1"/>
  <c r="P810" i="6" s="1"/>
  <c r="N1103" i="6"/>
  <c r="O1103" i="6" s="1"/>
  <c r="P1103" i="6" s="1"/>
  <c r="N1615" i="6"/>
  <c r="O1615" i="6" s="1"/>
  <c r="P1615" i="6" s="1"/>
  <c r="N1096" i="6"/>
  <c r="O1096" i="6" s="1"/>
  <c r="P1096" i="6" s="1"/>
  <c r="N1608" i="6"/>
  <c r="O1608" i="6" s="1"/>
  <c r="P1608" i="6" s="1"/>
  <c r="N1217" i="6"/>
  <c r="O1217" i="6" s="1"/>
  <c r="P1217" i="6" s="1"/>
  <c r="N283" i="6"/>
  <c r="O283" i="6" s="1"/>
  <c r="P283" i="6" s="1"/>
  <c r="N1208" i="6"/>
  <c r="O1208" i="6" s="1"/>
  <c r="P1208" i="6" s="1"/>
  <c r="N1336" i="6"/>
  <c r="O1336" i="6" s="1"/>
  <c r="P1336" i="6" s="1"/>
  <c r="N1464" i="6"/>
  <c r="O1464" i="6" s="1"/>
  <c r="P1464" i="6" s="1"/>
  <c r="N1592" i="6"/>
  <c r="O1592" i="6" s="1"/>
  <c r="P1592" i="6" s="1"/>
  <c r="N55" i="6"/>
  <c r="O55" i="6" s="1"/>
  <c r="P55" i="6" s="1"/>
  <c r="N567" i="6"/>
  <c r="O567" i="6" s="1"/>
  <c r="P567" i="6" s="1"/>
  <c r="N945" i="6"/>
  <c r="O945" i="6" s="1"/>
  <c r="P945" i="6" s="1"/>
  <c r="N1153" i="6"/>
  <c r="O1153" i="6" s="1"/>
  <c r="P1153" i="6" s="1"/>
  <c r="N1409" i="6"/>
  <c r="O1409" i="6" s="1"/>
  <c r="P1409" i="6" s="1"/>
  <c r="N1665" i="6"/>
  <c r="O1665" i="6" s="1"/>
  <c r="P1665" i="6" s="1"/>
  <c r="N1538" i="6"/>
  <c r="O1538" i="6" s="1"/>
  <c r="P1538" i="6" s="1"/>
  <c r="N1526" i="6"/>
  <c r="O1526" i="6" s="1"/>
  <c r="P1526" i="6" s="1"/>
  <c r="N1514" i="6"/>
  <c r="O1514" i="6" s="1"/>
  <c r="P1514" i="6" s="1"/>
  <c r="N1630" i="6"/>
  <c r="O1630" i="6" s="1"/>
  <c r="P1630" i="6" s="1"/>
  <c r="N1374" i="6"/>
  <c r="O1374" i="6" s="1"/>
  <c r="P1374" i="6" s="1"/>
  <c r="N1118" i="6"/>
  <c r="O1118" i="6" s="1"/>
  <c r="P1118" i="6" s="1"/>
  <c r="N747" i="6"/>
  <c r="O747" i="6" s="1"/>
  <c r="P747" i="6" s="1"/>
  <c r="N1642" i="6"/>
  <c r="O1642" i="6" s="1"/>
  <c r="P1642" i="6" s="1"/>
  <c r="N1386" i="6"/>
  <c r="O1386" i="6" s="1"/>
  <c r="P1386" i="6" s="1"/>
  <c r="N1130" i="6"/>
  <c r="O1130" i="6" s="1"/>
  <c r="P1130" i="6" s="1"/>
  <c r="N795" i="6"/>
  <c r="O795" i="6" s="1"/>
  <c r="P795" i="6" s="1"/>
  <c r="N1654" i="6"/>
  <c r="O1654" i="6" s="1"/>
  <c r="P1654" i="6" s="1"/>
  <c r="N1398" i="6"/>
  <c r="O1398" i="6" s="1"/>
  <c r="P1398" i="6" s="1"/>
  <c r="N1142" i="6"/>
  <c r="O1142" i="6" s="1"/>
  <c r="P1142" i="6" s="1"/>
  <c r="N843" i="6"/>
  <c r="O843" i="6" s="1"/>
  <c r="P843" i="6" s="1"/>
  <c r="N1666" i="6"/>
  <c r="O1666" i="6" s="1"/>
  <c r="P1666" i="6" s="1"/>
  <c r="N1410" i="6"/>
  <c r="O1410" i="6" s="1"/>
  <c r="P1410" i="6" s="1"/>
  <c r="N1154" i="6"/>
  <c r="O1154" i="6" s="1"/>
  <c r="P1154" i="6" s="1"/>
  <c r="N891" i="6"/>
  <c r="O891" i="6" s="1"/>
  <c r="P891" i="6" s="1"/>
  <c r="N1697" i="6"/>
  <c r="O1697" i="6" s="1"/>
  <c r="P1697" i="6" s="1"/>
  <c r="N1633" i="6"/>
  <c r="O1633" i="6" s="1"/>
  <c r="P1633" i="6" s="1"/>
  <c r="N1569" i="6"/>
  <c r="O1569" i="6" s="1"/>
  <c r="P1569" i="6" s="1"/>
  <c r="N1505" i="6"/>
  <c r="O1505" i="6" s="1"/>
  <c r="P1505" i="6" s="1"/>
  <c r="N1441" i="6"/>
  <c r="O1441" i="6" s="1"/>
  <c r="P1441" i="6" s="1"/>
  <c r="N1377" i="6"/>
  <c r="O1377" i="6" s="1"/>
  <c r="P1377" i="6" s="1"/>
  <c r="N1313" i="6"/>
  <c r="O1313" i="6" s="1"/>
  <c r="P1313" i="6" s="1"/>
  <c r="N1249" i="6"/>
  <c r="O1249" i="6" s="1"/>
  <c r="P1249" i="6" s="1"/>
  <c r="N1185" i="6"/>
  <c r="O1185" i="6" s="1"/>
  <c r="P1185" i="6" s="1"/>
  <c r="N1121" i="6"/>
  <c r="O1121" i="6" s="1"/>
  <c r="P1121" i="6" s="1"/>
  <c r="N1057" i="6"/>
  <c r="O1057" i="6" s="1"/>
  <c r="P1057" i="6" s="1"/>
  <c r="N993" i="6"/>
  <c r="O993" i="6" s="1"/>
  <c r="P993" i="6" s="1"/>
  <c r="N929" i="6"/>
  <c r="O929" i="6" s="1"/>
  <c r="P929" i="6" s="1"/>
  <c r="N759" i="6"/>
  <c r="O759" i="6" s="1"/>
  <c r="P759" i="6" s="1"/>
  <c r="N503" i="6"/>
  <c r="O503" i="6" s="1"/>
  <c r="P503" i="6" s="1"/>
  <c r="N247" i="6"/>
  <c r="O247" i="6" s="1"/>
  <c r="P247" i="6" s="1"/>
  <c r="N1704" i="6"/>
  <c r="O1704" i="6" s="1"/>
  <c r="P1704" i="6" s="1"/>
  <c r="N1640" i="6"/>
  <c r="O1640" i="6" s="1"/>
  <c r="P1640" i="6" s="1"/>
  <c r="N1576" i="6"/>
  <c r="O1576" i="6" s="1"/>
  <c r="P1576" i="6" s="1"/>
  <c r="N1512" i="6"/>
  <c r="O1512" i="6" s="1"/>
  <c r="P1512" i="6" s="1"/>
  <c r="N1448" i="6"/>
  <c r="O1448" i="6" s="1"/>
  <c r="P1448" i="6" s="1"/>
  <c r="N1384" i="6"/>
  <c r="O1384" i="6" s="1"/>
  <c r="P1384" i="6" s="1"/>
  <c r="N1320" i="6"/>
  <c r="O1320" i="6" s="1"/>
  <c r="P1320" i="6" s="1"/>
  <c r="N1256" i="6"/>
  <c r="O1256" i="6" s="1"/>
  <c r="P1256" i="6" s="1"/>
  <c r="N1192" i="6"/>
  <c r="O1192" i="6" s="1"/>
  <c r="P1192" i="6" s="1"/>
  <c r="N1128" i="6"/>
  <c r="O1128" i="6" s="1"/>
  <c r="P1128" i="6" s="1"/>
  <c r="N1064" i="6"/>
  <c r="O1064" i="6" s="1"/>
  <c r="P1064" i="6" s="1"/>
  <c r="N1000" i="6"/>
  <c r="O1000" i="6" s="1"/>
  <c r="P1000" i="6" s="1"/>
  <c r="N936" i="6"/>
  <c r="O936" i="6" s="1"/>
  <c r="P936" i="6" s="1"/>
  <c r="N787" i="6"/>
  <c r="O787" i="6" s="1"/>
  <c r="P787" i="6" s="1"/>
  <c r="N531" i="6"/>
  <c r="O531" i="6" s="1"/>
  <c r="P531" i="6" s="1"/>
  <c r="N275" i="6"/>
  <c r="O275" i="6" s="1"/>
  <c r="P275" i="6" s="1"/>
  <c r="N19" i="6"/>
  <c r="O19" i="6" s="1"/>
  <c r="P19" i="6" s="1"/>
  <c r="N1647" i="6"/>
  <c r="O1647" i="6" s="1"/>
  <c r="P1647" i="6" s="1"/>
  <c r="N1583" i="6"/>
  <c r="O1583" i="6" s="1"/>
  <c r="P1583" i="6" s="1"/>
  <c r="N1519" i="6"/>
  <c r="O1519" i="6" s="1"/>
  <c r="P1519" i="6" s="1"/>
  <c r="N1455" i="6"/>
  <c r="O1455" i="6" s="1"/>
  <c r="P1455" i="6" s="1"/>
  <c r="N1391" i="6"/>
  <c r="O1391" i="6" s="1"/>
  <c r="P1391" i="6" s="1"/>
  <c r="N1327" i="6"/>
  <c r="O1327" i="6" s="1"/>
  <c r="P1327" i="6" s="1"/>
  <c r="N1263" i="6"/>
  <c r="O1263" i="6" s="1"/>
  <c r="P1263" i="6" s="1"/>
  <c r="N1199" i="6"/>
  <c r="O1199" i="6" s="1"/>
  <c r="P1199" i="6" s="1"/>
  <c r="N1135" i="6"/>
  <c r="O1135" i="6" s="1"/>
  <c r="P1135" i="6" s="1"/>
  <c r="N1071" i="6"/>
  <c r="O1071" i="6" s="1"/>
  <c r="P1071" i="6" s="1"/>
  <c r="N1007" i="6"/>
  <c r="O1007" i="6" s="1"/>
  <c r="P1007" i="6" s="1"/>
  <c r="N943" i="6"/>
  <c r="O943" i="6" s="1"/>
  <c r="P943" i="6" s="1"/>
  <c r="N815" i="6"/>
  <c r="O815" i="6" s="1"/>
  <c r="P815" i="6" s="1"/>
  <c r="N559" i="6"/>
  <c r="O559" i="6" s="1"/>
  <c r="P559" i="6" s="1"/>
  <c r="N303" i="6"/>
  <c r="O303" i="6" s="1"/>
  <c r="P303" i="6" s="1"/>
  <c r="N47" i="6"/>
  <c r="O47" i="6" s="1"/>
  <c r="P47" i="6" s="1"/>
  <c r="N842" i="6"/>
  <c r="O842" i="6" s="1"/>
  <c r="P842" i="6" s="1"/>
  <c r="N778" i="6"/>
  <c r="O778" i="6" s="1"/>
  <c r="P778" i="6" s="1"/>
  <c r="N714" i="6"/>
  <c r="O714" i="6" s="1"/>
  <c r="P714" i="6" s="1"/>
  <c r="N650" i="6"/>
  <c r="O650" i="6" s="1"/>
  <c r="P650" i="6" s="1"/>
  <c r="N586" i="6"/>
  <c r="O586" i="6" s="1"/>
  <c r="P586" i="6" s="1"/>
  <c r="N522" i="6"/>
  <c r="O522" i="6" s="1"/>
  <c r="P522" i="6" s="1"/>
  <c r="N458" i="6"/>
  <c r="O458" i="6" s="1"/>
  <c r="P458" i="6" s="1"/>
  <c r="N394" i="6"/>
  <c r="O394" i="6" s="1"/>
  <c r="P394" i="6" s="1"/>
  <c r="N330" i="6"/>
  <c r="O330" i="6" s="1"/>
  <c r="P330" i="6" s="1"/>
  <c r="N266" i="6"/>
  <c r="O266" i="6" s="1"/>
  <c r="P266" i="6" s="1"/>
  <c r="N202" i="6"/>
  <c r="O202" i="6" s="1"/>
  <c r="P202" i="6" s="1"/>
  <c r="N138" i="6"/>
  <c r="O138" i="6" s="1"/>
  <c r="P138" i="6" s="1"/>
  <c r="N768" i="6"/>
  <c r="O768" i="6" s="1"/>
  <c r="P768" i="6" s="1"/>
  <c r="N704" i="6"/>
  <c r="O704" i="6" s="1"/>
  <c r="P704" i="6" s="1"/>
  <c r="N640" i="6"/>
  <c r="O640" i="6" s="1"/>
  <c r="P640" i="6" s="1"/>
  <c r="N576" i="6"/>
  <c r="O576" i="6" s="1"/>
  <c r="P576" i="6" s="1"/>
  <c r="N512" i="6"/>
  <c r="O512" i="6" s="1"/>
  <c r="P512" i="6" s="1"/>
  <c r="N448" i="6"/>
  <c r="O448" i="6" s="1"/>
  <c r="P448" i="6" s="1"/>
  <c r="N384" i="6"/>
  <c r="O384" i="6" s="1"/>
  <c r="P384" i="6" s="1"/>
  <c r="N320" i="6"/>
  <c r="O320" i="6" s="1"/>
  <c r="P320" i="6" s="1"/>
  <c r="N256" i="6"/>
  <c r="O256" i="6" s="1"/>
  <c r="P256" i="6" s="1"/>
  <c r="N192" i="6"/>
  <c r="O192" i="6" s="1"/>
  <c r="P192" i="6" s="1"/>
  <c r="N128" i="6"/>
  <c r="O128" i="6" s="1"/>
  <c r="P128" i="6" s="1"/>
  <c r="N64" i="6"/>
  <c r="O64" i="6" s="1"/>
  <c r="P64" i="6" s="1"/>
  <c r="N1678" i="6"/>
  <c r="O1678" i="6" s="1"/>
  <c r="P1678" i="6" s="1"/>
  <c r="N1422" i="6"/>
  <c r="O1422" i="6" s="1"/>
  <c r="P1422" i="6" s="1"/>
  <c r="N1166" i="6"/>
  <c r="O1166" i="6" s="1"/>
  <c r="P1166" i="6" s="1"/>
  <c r="N910" i="6"/>
  <c r="O910" i="6" s="1"/>
  <c r="P910" i="6" s="1"/>
  <c r="N1690" i="6"/>
  <c r="O1690" i="6" s="1"/>
  <c r="P1690" i="6" s="1"/>
  <c r="N1434" i="6"/>
  <c r="O1434" i="6" s="1"/>
  <c r="P1434" i="6" s="1"/>
  <c r="N1178" i="6"/>
  <c r="O1178" i="6" s="1"/>
  <c r="P1178" i="6" s="1"/>
  <c r="N922" i="6"/>
  <c r="O922" i="6" s="1"/>
  <c r="P922" i="6" s="1"/>
  <c r="N1702" i="6"/>
  <c r="O1702" i="6" s="1"/>
  <c r="P1702" i="6" s="1"/>
  <c r="N1446" i="6"/>
  <c r="O1446" i="6" s="1"/>
  <c r="P1446" i="6" s="1"/>
  <c r="N1190" i="6"/>
  <c r="O1190" i="6" s="1"/>
  <c r="P1190" i="6" s="1"/>
  <c r="N934" i="6"/>
  <c r="O934" i="6" s="1"/>
  <c r="P934" i="6" s="1"/>
  <c r="N11" i="6"/>
  <c r="O11" i="6" s="1"/>
  <c r="P11" i="6" s="1"/>
  <c r="N1458" i="6"/>
  <c r="O1458" i="6" s="1"/>
  <c r="P1458" i="6" s="1"/>
  <c r="N1202" i="6"/>
  <c r="O1202" i="6" s="1"/>
  <c r="P1202" i="6" s="1"/>
  <c r="N946" i="6"/>
  <c r="O946" i="6" s="1"/>
  <c r="P946" i="6" s="1"/>
  <c r="N59" i="6"/>
  <c r="O59" i="6" s="1"/>
  <c r="P59" i="6" s="1"/>
  <c r="N1645" i="6"/>
  <c r="O1645" i="6" s="1"/>
  <c r="P1645" i="6" s="1"/>
  <c r="N1581" i="6"/>
  <c r="O1581" i="6" s="1"/>
  <c r="P1581" i="6" s="1"/>
  <c r="N1517" i="6"/>
  <c r="O1517" i="6" s="1"/>
  <c r="P1517" i="6" s="1"/>
  <c r="N1453" i="6"/>
  <c r="O1453" i="6" s="1"/>
  <c r="P1453" i="6" s="1"/>
  <c r="N1389" i="6"/>
  <c r="O1389" i="6" s="1"/>
  <c r="P1389" i="6" s="1"/>
  <c r="N1325" i="6"/>
  <c r="O1325" i="6" s="1"/>
  <c r="P1325" i="6" s="1"/>
  <c r="N1261" i="6"/>
  <c r="O1261" i="6" s="1"/>
  <c r="P1261" i="6" s="1"/>
  <c r="N1197" i="6"/>
  <c r="O1197" i="6" s="1"/>
  <c r="P1197" i="6" s="1"/>
  <c r="N1133" i="6"/>
  <c r="O1133" i="6" s="1"/>
  <c r="P1133" i="6" s="1"/>
  <c r="N1069" i="6"/>
  <c r="O1069" i="6" s="1"/>
  <c r="P1069" i="6" s="1"/>
  <c r="N1005" i="6"/>
  <c r="O1005" i="6" s="1"/>
  <c r="P1005" i="6" s="1"/>
  <c r="N941" i="6"/>
  <c r="O941" i="6" s="1"/>
  <c r="P941" i="6" s="1"/>
  <c r="N807" i="6"/>
  <c r="O807" i="6" s="1"/>
  <c r="P807" i="6" s="1"/>
  <c r="N551" i="6"/>
  <c r="O551" i="6" s="1"/>
  <c r="P551" i="6" s="1"/>
  <c r="N295" i="6"/>
  <c r="O295" i="6" s="1"/>
  <c r="P295" i="6" s="1"/>
  <c r="N39" i="6"/>
  <c r="O39" i="6" s="1"/>
  <c r="P39" i="6" s="1"/>
  <c r="N1652" i="6"/>
  <c r="O1652" i="6" s="1"/>
  <c r="P1652" i="6" s="1"/>
  <c r="N1588" i="6"/>
  <c r="O1588" i="6" s="1"/>
  <c r="P1588" i="6" s="1"/>
  <c r="N1524" i="6"/>
  <c r="O1524" i="6" s="1"/>
  <c r="P1524" i="6" s="1"/>
  <c r="N1460" i="6"/>
  <c r="O1460" i="6" s="1"/>
  <c r="P1460" i="6" s="1"/>
  <c r="N1396" i="6"/>
  <c r="O1396" i="6" s="1"/>
  <c r="P1396" i="6" s="1"/>
  <c r="N1332" i="6"/>
  <c r="O1332" i="6" s="1"/>
  <c r="P1332" i="6" s="1"/>
  <c r="N1268" i="6"/>
  <c r="O1268" i="6" s="1"/>
  <c r="P1268" i="6" s="1"/>
  <c r="N1204" i="6"/>
  <c r="O1204" i="6" s="1"/>
  <c r="P1204" i="6" s="1"/>
  <c r="N1140" i="6"/>
  <c r="O1140" i="6" s="1"/>
  <c r="P1140" i="6" s="1"/>
  <c r="N1076" i="6"/>
  <c r="O1076" i="6" s="1"/>
  <c r="P1076" i="6" s="1"/>
  <c r="N1012" i="6"/>
  <c r="O1012" i="6" s="1"/>
  <c r="P1012" i="6" s="1"/>
  <c r="N948" i="6"/>
  <c r="O948" i="6" s="1"/>
  <c r="P948" i="6" s="1"/>
  <c r="N835" i="6"/>
  <c r="O835" i="6" s="1"/>
  <c r="P835" i="6" s="1"/>
  <c r="N579" i="6"/>
  <c r="O579" i="6" s="1"/>
  <c r="P579" i="6" s="1"/>
  <c r="N323" i="6"/>
  <c r="O323" i="6" s="1"/>
  <c r="P323" i="6" s="1"/>
  <c r="N67" i="6"/>
  <c r="O67" i="6" s="1"/>
  <c r="P67" i="6" s="1"/>
  <c r="N1659" i="6"/>
  <c r="O1659" i="6" s="1"/>
  <c r="P1659" i="6" s="1"/>
  <c r="N1595" i="6"/>
  <c r="O1595" i="6" s="1"/>
  <c r="P1595" i="6" s="1"/>
  <c r="N1531" i="6"/>
  <c r="O1531" i="6" s="1"/>
  <c r="P1531" i="6" s="1"/>
  <c r="N1467" i="6"/>
  <c r="O1467" i="6" s="1"/>
  <c r="P1467" i="6" s="1"/>
  <c r="N1403" i="6"/>
  <c r="O1403" i="6" s="1"/>
  <c r="P1403" i="6" s="1"/>
  <c r="N1339" i="6"/>
  <c r="O1339" i="6" s="1"/>
  <c r="P1339" i="6" s="1"/>
  <c r="N1275" i="6"/>
  <c r="O1275" i="6" s="1"/>
  <c r="P1275" i="6" s="1"/>
  <c r="N1211" i="6"/>
  <c r="O1211" i="6" s="1"/>
  <c r="P1211" i="6" s="1"/>
  <c r="N1147" i="6"/>
  <c r="O1147" i="6" s="1"/>
  <c r="P1147" i="6" s="1"/>
  <c r="N1083" i="6"/>
  <c r="O1083" i="6" s="1"/>
  <c r="P1083" i="6" s="1"/>
  <c r="N1019" i="6"/>
  <c r="O1019" i="6" s="1"/>
  <c r="P1019" i="6" s="1"/>
  <c r="N955" i="6"/>
  <c r="O955" i="6" s="1"/>
  <c r="P955" i="6" s="1"/>
  <c r="N863" i="6"/>
  <c r="O863" i="6" s="1"/>
  <c r="P863" i="6" s="1"/>
  <c r="N607" i="6"/>
  <c r="O607" i="6" s="1"/>
  <c r="P607" i="6" s="1"/>
  <c r="N351" i="6"/>
  <c r="O351" i="6" s="1"/>
  <c r="P351" i="6" s="1"/>
  <c r="N1694" i="6"/>
  <c r="O1694" i="6" s="1"/>
  <c r="P1694" i="6" s="1"/>
  <c r="N1438" i="6"/>
  <c r="O1438" i="6" s="1"/>
  <c r="P1438" i="6" s="1"/>
  <c r="N1182" i="6"/>
  <c r="O1182" i="6" s="1"/>
  <c r="P1182" i="6" s="1"/>
  <c r="N926" i="6"/>
  <c r="O926" i="6" s="1"/>
  <c r="P926" i="6" s="1"/>
  <c r="N2" i="6"/>
  <c r="O2" i="6" s="1"/>
  <c r="P2" i="6" s="1"/>
  <c r="N1450" i="6"/>
  <c r="O1450" i="6" s="1"/>
  <c r="P1450" i="6" s="1"/>
  <c r="N1194" i="6"/>
  <c r="O1194" i="6" s="1"/>
  <c r="P1194" i="6" s="1"/>
  <c r="N938" i="6"/>
  <c r="O938" i="6" s="1"/>
  <c r="P938" i="6" s="1"/>
  <c r="N27" i="6"/>
  <c r="O27" i="6" s="1"/>
  <c r="P27" i="6" s="1"/>
  <c r="N1462" i="6"/>
  <c r="O1462" i="6" s="1"/>
  <c r="P1462" i="6" s="1"/>
  <c r="N1206" i="6"/>
  <c r="O1206" i="6" s="1"/>
  <c r="P1206" i="6" s="1"/>
  <c r="N950" i="6"/>
  <c r="O950" i="6" s="1"/>
  <c r="P950" i="6" s="1"/>
  <c r="N75" i="6"/>
  <c r="O75" i="6" s="1"/>
  <c r="P75" i="6" s="1"/>
  <c r="N1474" i="6"/>
  <c r="O1474" i="6" s="1"/>
  <c r="P1474" i="6" s="1"/>
  <c r="N1218" i="6"/>
  <c r="O1218" i="6" s="1"/>
  <c r="P1218" i="6" s="1"/>
  <c r="N962" i="6"/>
  <c r="O962" i="6" s="1"/>
  <c r="P962" i="6" s="1"/>
  <c r="N123" i="6"/>
  <c r="O123" i="6" s="1"/>
  <c r="P123" i="6" s="1"/>
  <c r="N1649" i="6"/>
  <c r="O1649" i="6" s="1"/>
  <c r="P1649" i="6" s="1"/>
  <c r="N1585" i="6"/>
  <c r="O1585" i="6" s="1"/>
  <c r="P1585" i="6" s="1"/>
  <c r="N1521" i="6"/>
  <c r="O1521" i="6" s="1"/>
  <c r="P1521" i="6" s="1"/>
  <c r="N1457" i="6"/>
  <c r="O1457" i="6" s="1"/>
  <c r="P1457" i="6" s="1"/>
  <c r="N1393" i="6"/>
  <c r="O1393" i="6" s="1"/>
  <c r="P1393" i="6" s="1"/>
  <c r="N1329" i="6"/>
  <c r="O1329" i="6" s="1"/>
  <c r="P1329" i="6" s="1"/>
  <c r="N1265" i="6"/>
  <c r="O1265" i="6" s="1"/>
  <c r="P1265" i="6" s="1"/>
  <c r="N1201" i="6"/>
  <c r="O1201" i="6" s="1"/>
  <c r="P1201" i="6" s="1"/>
  <c r="N1137" i="6"/>
  <c r="O1137" i="6" s="1"/>
  <c r="P1137" i="6" s="1"/>
  <c r="N1073" i="6"/>
  <c r="O1073" i="6" s="1"/>
  <c r="P1073" i="6" s="1"/>
  <c r="N1009" i="6"/>
  <c r="O1009" i="6" s="1"/>
  <c r="P1009" i="6" s="1"/>
  <c r="N1144" i="6"/>
  <c r="O1144" i="6" s="1"/>
  <c r="P1144" i="6" s="1"/>
  <c r="N1272" i="6"/>
  <c r="O1272" i="6" s="1"/>
  <c r="P1272" i="6" s="1"/>
  <c r="N1400" i="6"/>
  <c r="O1400" i="6" s="1"/>
  <c r="P1400" i="6" s="1"/>
  <c r="N1528" i="6"/>
  <c r="O1528" i="6" s="1"/>
  <c r="P1528" i="6" s="1"/>
  <c r="N1656" i="6"/>
  <c r="O1656" i="6" s="1"/>
  <c r="P1656" i="6" s="1"/>
  <c r="N311" i="6"/>
  <c r="O311" i="6" s="1"/>
  <c r="P311" i="6" s="1"/>
  <c r="N823" i="6"/>
  <c r="O823" i="6" s="1"/>
  <c r="P823" i="6" s="1"/>
  <c r="N1025" i="6"/>
  <c r="O1025" i="6" s="1"/>
  <c r="P1025" i="6" s="1"/>
  <c r="N1281" i="6"/>
  <c r="O1281" i="6" s="1"/>
  <c r="P1281" i="6" s="1"/>
  <c r="N1537" i="6"/>
  <c r="O1537" i="6" s="1"/>
  <c r="P1537" i="6" s="1"/>
  <c r="N1026" i="6"/>
  <c r="O1026" i="6" s="1"/>
  <c r="P1026" i="6" s="1"/>
  <c r="N1014" i="6"/>
  <c r="O1014" i="6" s="1"/>
  <c r="P1014" i="6" s="1"/>
  <c r="N1002" i="6"/>
  <c r="O1002" i="6" s="1"/>
  <c r="P1002" i="6" s="1"/>
  <c r="N990" i="6"/>
  <c r="O990" i="6" s="1"/>
  <c r="P990" i="6" s="1"/>
  <c r="N1288" i="6"/>
  <c r="O1288" i="6" s="1"/>
  <c r="P1288" i="6" s="1"/>
  <c r="N1416" i="6"/>
  <c r="O1416" i="6" s="1"/>
  <c r="P1416" i="6" s="1"/>
  <c r="N1544" i="6"/>
  <c r="O1544" i="6" s="1"/>
  <c r="P1544" i="6" s="1"/>
  <c r="N1672" i="6"/>
  <c r="O1672" i="6" s="1"/>
  <c r="P1672" i="6" s="1"/>
  <c r="N375" i="6"/>
  <c r="O375" i="6" s="1"/>
  <c r="P375" i="6" s="1"/>
  <c r="N887" i="6"/>
  <c r="O887" i="6" s="1"/>
  <c r="P887" i="6" s="1"/>
  <c r="N1089" i="6"/>
  <c r="O1089" i="6" s="1"/>
  <c r="P1089" i="6" s="1"/>
  <c r="N1345" i="6"/>
  <c r="O1345" i="6" s="1"/>
  <c r="P1345" i="6" s="1"/>
  <c r="N1601" i="6"/>
  <c r="O1601" i="6" s="1"/>
  <c r="P1601" i="6" s="1"/>
  <c r="N1282" i="6"/>
  <c r="O1282" i="6" s="1"/>
  <c r="P1282" i="6" s="1"/>
  <c r="N1270" i="6"/>
  <c r="O1270" i="6" s="1"/>
  <c r="P1270" i="6" s="1"/>
  <c r="N1258" i="6"/>
  <c r="O1258" i="6" s="1"/>
  <c r="P1258" i="6" s="1"/>
  <c r="N1246" i="6"/>
  <c r="O1246" i="6" s="1"/>
  <c r="P1246" i="6" s="1"/>
  <c r="N1566" i="6"/>
  <c r="O1566" i="6" s="1"/>
  <c r="P1566" i="6" s="1"/>
  <c r="N832" i="6"/>
  <c r="O832" i="6" s="1"/>
  <c r="P832" i="6" s="1"/>
  <c r="N896" i="6"/>
  <c r="O896" i="6" s="1"/>
  <c r="P896" i="6" s="1"/>
  <c r="N53" i="6"/>
  <c r="O53" i="6" s="1"/>
  <c r="P53" i="6" s="1"/>
  <c r="N117" i="6"/>
  <c r="O117" i="6" s="1"/>
  <c r="P117" i="6" s="1"/>
  <c r="N181" i="6"/>
  <c r="O181" i="6" s="1"/>
  <c r="P181" i="6" s="1"/>
  <c r="N245" i="6"/>
  <c r="O245" i="6" s="1"/>
  <c r="P245" i="6" s="1"/>
  <c r="N309" i="6"/>
  <c r="O309" i="6" s="1"/>
  <c r="P309" i="6" s="1"/>
  <c r="N373" i="6"/>
  <c r="O373" i="6" s="1"/>
  <c r="P373" i="6" s="1"/>
  <c r="N437" i="6"/>
  <c r="O437" i="6" s="1"/>
  <c r="P437" i="6" s="1"/>
  <c r="N501" i="6"/>
  <c r="O501" i="6" s="1"/>
  <c r="P501" i="6" s="1"/>
  <c r="N565" i="6"/>
  <c r="O565" i="6" s="1"/>
  <c r="P565" i="6" s="1"/>
  <c r="N629" i="6"/>
  <c r="O629" i="6" s="1"/>
  <c r="P629" i="6" s="1"/>
  <c r="N693" i="6"/>
  <c r="O693" i="6" s="1"/>
  <c r="P693" i="6" s="1"/>
  <c r="N757" i="6"/>
  <c r="O757" i="6" s="1"/>
  <c r="P757" i="6" s="1"/>
  <c r="N821" i="6"/>
  <c r="O821" i="6" s="1"/>
  <c r="P821" i="6" s="1"/>
  <c r="N885" i="6"/>
  <c r="O885" i="6" s="1"/>
  <c r="P885" i="6" s="1"/>
  <c r="N58" i="6"/>
  <c r="O58" i="6" s="1"/>
  <c r="P58" i="6" s="1"/>
  <c r="N122" i="6"/>
  <c r="O122" i="6" s="1"/>
  <c r="P122" i="6" s="1"/>
  <c r="N186" i="6"/>
  <c r="O186" i="6" s="1"/>
  <c r="P186" i="6" s="1"/>
  <c r="N250" i="6"/>
  <c r="O250" i="6" s="1"/>
  <c r="P250" i="6" s="1"/>
  <c r="N314" i="6"/>
  <c r="O314" i="6" s="1"/>
  <c r="P314" i="6" s="1"/>
  <c r="N378" i="6"/>
  <c r="O378" i="6" s="1"/>
  <c r="P378" i="6" s="1"/>
  <c r="N442" i="6"/>
  <c r="O442" i="6" s="1"/>
  <c r="P442" i="6" s="1"/>
  <c r="N506" i="6"/>
  <c r="O506" i="6" s="1"/>
  <c r="P506" i="6" s="1"/>
  <c r="N570" i="6"/>
  <c r="O570" i="6" s="1"/>
  <c r="P570" i="6" s="1"/>
  <c r="N634" i="6"/>
  <c r="O634" i="6" s="1"/>
  <c r="P634" i="6" s="1"/>
  <c r="N698" i="6"/>
  <c r="O698" i="6" s="1"/>
  <c r="P698" i="6" s="1"/>
  <c r="N762" i="6"/>
  <c r="O762" i="6" s="1"/>
  <c r="P762" i="6" s="1"/>
  <c r="N826" i="6"/>
  <c r="O826" i="6" s="1"/>
  <c r="P826" i="6" s="1"/>
  <c r="N890" i="6"/>
  <c r="O890" i="6" s="1"/>
  <c r="P890" i="6" s="1"/>
  <c r="N239" i="6"/>
  <c r="O239" i="6" s="1"/>
  <c r="P239" i="6" s="1"/>
  <c r="N495" i="6"/>
  <c r="O495" i="6" s="1"/>
  <c r="P495" i="6" s="1"/>
  <c r="N751" i="6"/>
  <c r="O751" i="6" s="1"/>
  <c r="P751" i="6" s="1"/>
  <c r="N927" i="6"/>
  <c r="O927" i="6" s="1"/>
  <c r="P927" i="6" s="1"/>
  <c r="N991" i="6"/>
  <c r="O991" i="6" s="1"/>
  <c r="P991" i="6" s="1"/>
  <c r="N1055" i="6"/>
  <c r="O1055" i="6" s="1"/>
  <c r="P1055" i="6" s="1"/>
  <c r="N1119" i="6"/>
  <c r="O1119" i="6" s="1"/>
  <c r="P1119" i="6" s="1"/>
  <c r="N1183" i="6"/>
  <c r="O1183" i="6" s="1"/>
  <c r="P1183" i="6" s="1"/>
  <c r="N1247" i="6"/>
  <c r="O1247" i="6" s="1"/>
  <c r="P1247" i="6" s="1"/>
  <c r="N1311" i="6"/>
  <c r="O1311" i="6" s="1"/>
  <c r="P1311" i="6" s="1"/>
  <c r="N1375" i="6"/>
  <c r="O1375" i="6" s="1"/>
  <c r="P1375" i="6" s="1"/>
  <c r="N1439" i="6"/>
  <c r="O1439" i="6" s="1"/>
  <c r="P1439" i="6" s="1"/>
  <c r="N1503" i="6"/>
  <c r="O1503" i="6" s="1"/>
  <c r="P1503" i="6" s="1"/>
  <c r="N1567" i="6"/>
  <c r="O1567" i="6" s="1"/>
  <c r="P1567" i="6" s="1"/>
  <c r="N1631" i="6"/>
  <c r="O1631" i="6" s="1"/>
  <c r="P1631" i="6" s="1"/>
  <c r="N1695" i="6"/>
  <c r="O1695" i="6" s="1"/>
  <c r="P1695" i="6" s="1"/>
  <c r="N211" i="6"/>
  <c r="O211" i="6" s="1"/>
  <c r="P211" i="6" s="1"/>
  <c r="N467" i="6"/>
  <c r="O467" i="6" s="1"/>
  <c r="P467" i="6" s="1"/>
  <c r="N723" i="6"/>
  <c r="O723" i="6" s="1"/>
  <c r="P723" i="6" s="1"/>
  <c r="N920" i="6"/>
  <c r="O920" i="6" s="1"/>
  <c r="P920" i="6" s="1"/>
  <c r="N984" i="6"/>
  <c r="O984" i="6" s="1"/>
  <c r="P984" i="6" s="1"/>
  <c r="N1048" i="6"/>
  <c r="O1048" i="6" s="1"/>
  <c r="P1048" i="6" s="1"/>
  <c r="N1112" i="6"/>
  <c r="O1112" i="6" s="1"/>
  <c r="P1112" i="6" s="1"/>
  <c r="N1176" i="6"/>
  <c r="O1176" i="6" s="1"/>
  <c r="P1176" i="6" s="1"/>
  <c r="N1240" i="6"/>
  <c r="O1240" i="6" s="1"/>
  <c r="P1240" i="6" s="1"/>
  <c r="N1304" i="6"/>
  <c r="O1304" i="6" s="1"/>
  <c r="P1304" i="6" s="1"/>
  <c r="N1368" i="6"/>
  <c r="O1368" i="6" s="1"/>
  <c r="P1368" i="6" s="1"/>
  <c r="N1432" i="6"/>
  <c r="O1432" i="6" s="1"/>
  <c r="P1432" i="6" s="1"/>
  <c r="N1496" i="6"/>
  <c r="O1496" i="6" s="1"/>
  <c r="P1496" i="6" s="1"/>
  <c r="N1560" i="6"/>
  <c r="O1560" i="6" s="1"/>
  <c r="P1560" i="6" s="1"/>
  <c r="N1624" i="6"/>
  <c r="O1624" i="6" s="1"/>
  <c r="P1624" i="6" s="1"/>
  <c r="N1688" i="6"/>
  <c r="O1688" i="6" s="1"/>
  <c r="P1688" i="6" s="1"/>
  <c r="N183" i="6"/>
  <c r="O183" i="6" s="1"/>
  <c r="P183" i="6" s="1"/>
  <c r="N439" i="6"/>
  <c r="O439" i="6" s="1"/>
  <c r="P439" i="6" s="1"/>
  <c r="N695" i="6"/>
  <c r="O695" i="6" s="1"/>
  <c r="P695" i="6" s="1"/>
  <c r="N913" i="6"/>
  <c r="O913" i="6" s="1"/>
  <c r="P913" i="6" s="1"/>
  <c r="N977" i="6"/>
  <c r="O977" i="6" s="1"/>
  <c r="P977" i="6" s="1"/>
  <c r="N1041" i="6"/>
  <c r="O1041" i="6" s="1"/>
  <c r="P1041" i="6" s="1"/>
  <c r="N1105" i="6"/>
  <c r="O1105" i="6" s="1"/>
  <c r="P1105" i="6" s="1"/>
  <c r="N1169" i="6"/>
  <c r="O1169" i="6" s="1"/>
  <c r="P1169" i="6" s="1"/>
  <c r="N1233" i="6"/>
  <c r="O1233" i="6" s="1"/>
  <c r="P1233" i="6" s="1"/>
  <c r="N1297" i="6"/>
  <c r="O1297" i="6" s="1"/>
  <c r="P1297" i="6" s="1"/>
  <c r="N1361" i="6"/>
  <c r="O1361" i="6" s="1"/>
  <c r="P1361" i="6" s="1"/>
  <c r="N1425" i="6"/>
  <c r="O1425" i="6" s="1"/>
  <c r="P1425" i="6" s="1"/>
  <c r="N1489" i="6"/>
  <c r="O1489" i="6" s="1"/>
  <c r="P1489" i="6" s="1"/>
  <c r="N1553" i="6"/>
  <c r="O1553" i="6" s="1"/>
  <c r="P1553" i="6" s="1"/>
  <c r="N1617" i="6"/>
  <c r="O1617" i="6" s="1"/>
  <c r="P1617" i="6" s="1"/>
  <c r="N1681" i="6"/>
  <c r="O1681" i="6" s="1"/>
  <c r="P1681" i="6" s="1"/>
  <c r="N635" i="6"/>
  <c r="O635" i="6" s="1"/>
  <c r="P635" i="6" s="1"/>
  <c r="N1090" i="6"/>
  <c r="O1090" i="6" s="1"/>
  <c r="P1090" i="6" s="1"/>
  <c r="N1346" i="6"/>
  <c r="O1346" i="6" s="1"/>
  <c r="P1346" i="6" s="1"/>
  <c r="N1602" i="6"/>
  <c r="O1602" i="6" s="1"/>
  <c r="P1602" i="6" s="1"/>
  <c r="N587" i="6"/>
  <c r="O587" i="6" s="1"/>
  <c r="P587" i="6" s="1"/>
  <c r="N1078" i="6"/>
  <c r="O1078" i="6" s="1"/>
  <c r="P1078" i="6" s="1"/>
  <c r="N1334" i="6"/>
  <c r="O1334" i="6" s="1"/>
  <c r="P1334" i="6" s="1"/>
  <c r="N1590" i="6"/>
  <c r="O1590" i="6" s="1"/>
  <c r="P1590" i="6" s="1"/>
  <c r="N539" i="6"/>
  <c r="O539" i="6" s="1"/>
  <c r="P539" i="6" s="1"/>
  <c r="N1066" i="6"/>
  <c r="O1066" i="6" s="1"/>
  <c r="P1066" i="6" s="1"/>
  <c r="N1322" i="6"/>
  <c r="O1322" i="6" s="1"/>
  <c r="P1322" i="6" s="1"/>
  <c r="N1578" i="6"/>
  <c r="O1578" i="6" s="1"/>
  <c r="P1578" i="6" s="1"/>
  <c r="N491" i="6"/>
  <c r="O491" i="6" s="1"/>
  <c r="P491" i="6" s="1"/>
  <c r="N1054" i="6"/>
  <c r="O1054" i="6" s="1"/>
  <c r="P1054" i="6" s="1"/>
  <c r="N1310" i="6"/>
  <c r="O1310" i="6" s="1"/>
  <c r="P1310" i="6" s="1"/>
  <c r="O7" i="2"/>
  <c r="B17" i="4" s="1"/>
  <c r="O3" i="2"/>
  <c r="B10" i="4" s="1"/>
  <c r="O11" i="2"/>
  <c r="B14" i="4" s="1"/>
  <c r="B32" i="4" s="1"/>
  <c r="O6" i="2"/>
  <c r="B16" i="4" s="1"/>
  <c r="D16" i="4" s="1"/>
  <c r="D34" i="4" s="1"/>
  <c r="O21" i="2"/>
  <c r="B15" i="4"/>
  <c r="O16" i="2"/>
  <c r="B24" i="4" s="1"/>
  <c r="O9" i="2"/>
  <c r="B19" i="4" s="1"/>
  <c r="C10" i="4"/>
  <c r="C28" i="4" s="1"/>
  <c r="F10" i="4"/>
  <c r="F28" i="4" s="1"/>
  <c r="G10" i="4" a="1"/>
  <c r="G10" i="4" s="1"/>
  <c r="G28" i="4" s="1"/>
  <c r="B28" i="4"/>
  <c r="D10" i="4"/>
  <c r="D28" i="4" s="1"/>
  <c r="E10" i="4"/>
  <c r="E28" i="4" s="1"/>
  <c r="O14" i="2"/>
  <c r="B22" i="4" s="1"/>
  <c r="O5" i="2"/>
  <c r="B12" i="4" s="1"/>
  <c r="O8" i="2"/>
  <c r="B18" i="4" s="1"/>
  <c r="C17" i="4"/>
  <c r="C35" i="4" s="1"/>
  <c r="F17" i="4"/>
  <c r="F35" i="4" s="1"/>
  <c r="G17" i="4" a="1"/>
  <c r="G17" i="4" s="1"/>
  <c r="G35" i="4" s="1"/>
  <c r="B35" i="4"/>
  <c r="D17" i="4"/>
  <c r="D35" i="4" s="1"/>
  <c r="E17" i="4"/>
  <c r="E35" i="4" s="1"/>
  <c r="O18" i="2"/>
  <c r="B27" i="4" s="1"/>
  <c r="B45" i="4" s="1"/>
  <c r="O13" i="2"/>
  <c r="B21" i="4" s="1"/>
  <c r="O12" i="2"/>
  <c r="B20" i="4" s="1"/>
  <c r="O19" i="2"/>
  <c r="O15" i="2"/>
  <c r="B23" i="4" s="1"/>
  <c r="B26" i="4"/>
  <c r="B44" i="4" s="1"/>
  <c r="O10" i="2"/>
  <c r="B13" i="4" s="1"/>
  <c r="O20" i="2"/>
  <c r="O4" i="2"/>
  <c r="B11" i="4" s="1"/>
  <c r="P1" i="6" l="1"/>
  <c r="F14" i="4"/>
  <c r="F32" i="4" s="1"/>
  <c r="E14" i="4"/>
  <c r="E32" i="4" s="1"/>
  <c r="G14" i="4" a="1"/>
  <c r="G14" i="4" s="1"/>
  <c r="G32" i="4" s="1"/>
  <c r="D14" i="4"/>
  <c r="D32" i="4" s="1"/>
  <c r="C14" i="4"/>
  <c r="C32" i="4" s="1"/>
  <c r="F16" i="4"/>
  <c r="F34" i="4" s="1"/>
  <c r="B34" i="4"/>
  <c r="G16" i="4" a="1"/>
  <c r="G16" i="4" s="1"/>
  <c r="G34" i="4" s="1"/>
  <c r="C16" i="4"/>
  <c r="C34" i="4" s="1"/>
  <c r="E16" i="4"/>
  <c r="E34" i="4" s="1"/>
  <c r="C22" i="4"/>
  <c r="C40" i="4" s="1"/>
  <c r="E22" i="4"/>
  <c r="E40" i="4" s="1"/>
  <c r="F22" i="4"/>
  <c r="F40" i="4" s="1"/>
  <c r="B40" i="4"/>
  <c r="D22" i="4"/>
  <c r="D40" i="4" s="1"/>
  <c r="G22" i="4" a="1"/>
  <c r="G22" i="4" s="1"/>
  <c r="G40" i="4" s="1"/>
  <c r="C18" i="4"/>
  <c r="C36" i="4" s="1"/>
  <c r="E18" i="4"/>
  <c r="E36" i="4" s="1"/>
  <c r="G18" i="4" a="1"/>
  <c r="G18" i="4" s="1"/>
  <c r="G36" i="4" s="1"/>
  <c r="F18" i="4"/>
  <c r="F36" i="4" s="1"/>
  <c r="B36" i="4"/>
  <c r="D18" i="4"/>
  <c r="D36" i="4" s="1"/>
  <c r="C13" i="4"/>
  <c r="C31" i="4" s="1"/>
  <c r="F13" i="4"/>
  <c r="F31" i="4" s="1"/>
  <c r="B31" i="4"/>
  <c r="D13" i="4"/>
  <c r="D31" i="4" s="1"/>
  <c r="G13" i="4" a="1"/>
  <c r="G13" i="4" s="1"/>
  <c r="G31" i="4" s="1"/>
  <c r="E13" i="4"/>
  <c r="E31" i="4" s="1"/>
  <c r="C20" i="4"/>
  <c r="C38" i="4" s="1"/>
  <c r="G20" i="4" a="1"/>
  <c r="G20" i="4" s="1"/>
  <c r="G38" i="4" s="1"/>
  <c r="B38" i="4"/>
  <c r="D20" i="4"/>
  <c r="D38" i="4" s="1"/>
  <c r="E20" i="4"/>
  <c r="E38" i="4" s="1"/>
  <c r="F20" i="4"/>
  <c r="F38" i="4" s="1"/>
  <c r="C12" i="4"/>
  <c r="C30" i="4" s="1"/>
  <c r="G12" i="4" a="1"/>
  <c r="G12" i="4" s="1"/>
  <c r="G30" i="4" s="1"/>
  <c r="B30" i="4"/>
  <c r="D12" i="4"/>
  <c r="D30" i="4" s="1"/>
  <c r="E12" i="4"/>
  <c r="E30" i="4" s="1"/>
  <c r="F12" i="4"/>
  <c r="F30" i="4" s="1"/>
  <c r="C19" i="4"/>
  <c r="C37" i="4" s="1"/>
  <c r="B37" i="4"/>
  <c r="D19" i="4"/>
  <c r="D37" i="4" s="1"/>
  <c r="E19" i="4"/>
  <c r="E37" i="4" s="1"/>
  <c r="F19" i="4"/>
  <c r="F37" i="4" s="1"/>
  <c r="G19" i="4" a="1"/>
  <c r="G19" i="4" s="1"/>
  <c r="G37" i="4" s="1"/>
  <c r="C15" i="4"/>
  <c r="C33" i="4" s="1"/>
  <c r="B33" i="4"/>
  <c r="D15" i="4"/>
  <c r="D33" i="4" s="1"/>
  <c r="E15" i="4"/>
  <c r="E33" i="4" s="1"/>
  <c r="G15" i="4" a="1"/>
  <c r="G15" i="4" s="1"/>
  <c r="G33" i="4" s="1"/>
  <c r="F15" i="4"/>
  <c r="F33" i="4" s="1"/>
  <c r="C21" i="4"/>
  <c r="C39" i="4" s="1"/>
  <c r="F21" i="4"/>
  <c r="F39" i="4" s="1"/>
  <c r="B39" i="4"/>
  <c r="D21" i="4"/>
  <c r="D39" i="4" s="1"/>
  <c r="G21" i="4" a="1"/>
  <c r="G21" i="4" s="1"/>
  <c r="G39" i="4" s="1"/>
  <c r="E21" i="4"/>
  <c r="E39" i="4" s="1"/>
  <c r="C24" i="4"/>
  <c r="C42" i="4" s="1"/>
  <c r="B42" i="4"/>
  <c r="D24" i="4"/>
  <c r="D42" i="4" s="1"/>
  <c r="E24" i="4"/>
  <c r="E42" i="4" s="1"/>
  <c r="G24" i="4" a="1"/>
  <c r="G24" i="4" s="1"/>
  <c r="G42" i="4" s="1"/>
  <c r="F24" i="4"/>
  <c r="F42" i="4" s="1"/>
  <c r="C11" i="4"/>
  <c r="C29" i="4" s="1"/>
  <c r="B29" i="4"/>
  <c r="D11" i="4"/>
  <c r="D29" i="4" s="1"/>
  <c r="E11" i="4"/>
  <c r="E29" i="4" s="1"/>
  <c r="F11" i="4"/>
  <c r="F29" i="4" s="1"/>
  <c r="G11" i="4" a="1"/>
  <c r="G11" i="4" s="1"/>
  <c r="G29" i="4" s="1"/>
  <c r="C23" i="4"/>
  <c r="C41" i="4" s="1"/>
  <c r="B41" i="4"/>
  <c r="D23" i="4"/>
  <c r="D41" i="4" s="1"/>
  <c r="G23" i="4" a="1"/>
  <c r="G23" i="4" s="1"/>
  <c r="G41" i="4" s="1"/>
  <c r="E23" i="4"/>
  <c r="E41" i="4" s="1"/>
  <c r="F23" i="4"/>
  <c r="F41" i="4" s="1"/>
</calcChain>
</file>

<file path=xl/sharedStrings.xml><?xml version="1.0" encoding="utf-8"?>
<sst xmlns="http://schemas.openxmlformats.org/spreadsheetml/2006/main" count="18054" uniqueCount="571">
  <si>
    <t>Year</t>
  </si>
  <si>
    <t>Round</t>
  </si>
  <si>
    <t>Stadium</t>
  </si>
  <si>
    <t>City</t>
  </si>
  <si>
    <t>HomeTeam</t>
  </si>
  <si>
    <t>HomeGoals</t>
  </si>
  <si>
    <t>AwayGoals</t>
  </si>
  <si>
    <t>AwayTeam</t>
  </si>
  <si>
    <t>Observation</t>
  </si>
  <si>
    <t>Group 1</t>
  </si>
  <si>
    <t>Pocitos</t>
  </si>
  <si>
    <t xml:space="preserve">Montevideo </t>
  </si>
  <si>
    <t>France</t>
  </si>
  <si>
    <t>Mexico</t>
  </si>
  <si>
    <t xml:space="preserve"> </t>
  </si>
  <si>
    <t>Group 4</t>
  </si>
  <si>
    <t>Parque Central</t>
  </si>
  <si>
    <t>USA</t>
  </si>
  <si>
    <t>Belgium</t>
  </si>
  <si>
    <t>Group 2</t>
  </si>
  <si>
    <t>Yugoslavia</t>
  </si>
  <si>
    <t>Brazil</t>
  </si>
  <si>
    <t>Group 3</t>
  </si>
  <si>
    <t>Romania</t>
  </si>
  <si>
    <t>Peru</t>
  </si>
  <si>
    <t>Argentina</t>
  </si>
  <si>
    <t>Chile</t>
  </si>
  <si>
    <t>Bolivia</t>
  </si>
  <si>
    <t>Paraguay</t>
  </si>
  <si>
    <t>Estadio Centenario</t>
  </si>
  <si>
    <t>Uruguay</t>
  </si>
  <si>
    <t>Semi-finals</t>
  </si>
  <si>
    <t>Final</t>
  </si>
  <si>
    <t>Preliminary round</t>
  </si>
  <si>
    <t>Stadio Benito Mussolini</t>
  </si>
  <si>
    <t xml:space="preserve">Turin </t>
  </si>
  <si>
    <t>Austria</t>
  </si>
  <si>
    <t xml:space="preserve">Austria win after extra time </t>
  </si>
  <si>
    <t>Giorgio Ascarelli</t>
  </si>
  <si>
    <t xml:space="preserve">Naples </t>
  </si>
  <si>
    <t>Hungary</t>
  </si>
  <si>
    <t>Egypt</t>
  </si>
  <si>
    <t>San Siro</t>
  </si>
  <si>
    <t xml:space="preserve">Milan </t>
  </si>
  <si>
    <t>Switzerland</t>
  </si>
  <si>
    <t>Netherlands</t>
  </si>
  <si>
    <t>Littorale</t>
  </si>
  <si>
    <t xml:space="preserve">Bologna </t>
  </si>
  <si>
    <t>Sweden</t>
  </si>
  <si>
    <t>Giovanni Berta</t>
  </si>
  <si>
    <t xml:space="preserve">Florence </t>
  </si>
  <si>
    <t>Germany</t>
  </si>
  <si>
    <t>Luigi Ferraris</t>
  </si>
  <si>
    <t xml:space="preserve">Genoa </t>
  </si>
  <si>
    <t>Spain</t>
  </si>
  <si>
    <t>Nazionale PNF</t>
  </si>
  <si>
    <t xml:space="preserve">Rome </t>
  </si>
  <si>
    <t>Italy</t>
  </si>
  <si>
    <t>Littorio</t>
  </si>
  <si>
    <t xml:space="preserve">Trieste </t>
  </si>
  <si>
    <t>Czechoslovakia</t>
  </si>
  <si>
    <t>Quarter-finals</t>
  </si>
  <si>
    <t>Match for third place</t>
  </si>
  <si>
    <t xml:space="preserve">Italy win after extra time </t>
  </si>
  <si>
    <t>First round</t>
  </si>
  <si>
    <t>Parc des Princes</t>
  </si>
  <si>
    <t xml:space="preserve">Paris </t>
  </si>
  <si>
    <t>Velodrome Municipale</t>
  </si>
  <si>
    <t xml:space="preserve">Reims </t>
  </si>
  <si>
    <t>Dutch East Indies</t>
  </si>
  <si>
    <t>Stade Olympique</t>
  </si>
  <si>
    <t xml:space="preserve">Colombes </t>
  </si>
  <si>
    <t>Stade Municipal</t>
  </si>
  <si>
    <t xml:space="preserve">Toulouse </t>
  </si>
  <si>
    <t>Cuba</t>
  </si>
  <si>
    <t>Stade Vï¿½lodrome</t>
  </si>
  <si>
    <t xml:space="preserve">Marseilles </t>
  </si>
  <si>
    <t>Norway</t>
  </si>
  <si>
    <t>Stade de la Meinau</t>
  </si>
  <si>
    <t xml:space="preserve">Strasbourg </t>
  </si>
  <si>
    <t>Poland</t>
  </si>
  <si>
    <t xml:space="preserve">Brazil win after extra time </t>
  </si>
  <si>
    <t>Cavee Verte</t>
  </si>
  <si>
    <t xml:space="preserve">Le Havre </t>
  </si>
  <si>
    <t xml:space="preserve">Czechoslovakia win after extra time </t>
  </si>
  <si>
    <t>Stade du Parc Lescure</t>
  </si>
  <si>
    <t xml:space="preserve">Bordeaux </t>
  </si>
  <si>
    <t>Victor Boucquey</t>
  </si>
  <si>
    <t xml:space="preserve">Lille </t>
  </si>
  <si>
    <t>Fort Carree</t>
  </si>
  <si>
    <t xml:space="preserve">Antibes </t>
  </si>
  <si>
    <t>Maracanï¿½ - Estï¿½dio Jornalista Mï¿½rio Filho</t>
  </si>
  <si>
    <t xml:space="preserve">Rio De Janeiro </t>
  </si>
  <si>
    <t>England</t>
  </si>
  <si>
    <t>Durival de Brito</t>
  </si>
  <si>
    <t xml:space="preserve">Curitiba </t>
  </si>
  <si>
    <t>Pacaembu</t>
  </si>
  <si>
    <t xml:space="preserve">Sao Paulo </t>
  </si>
  <si>
    <t>Independencia</t>
  </si>
  <si>
    <t xml:space="preserve">Belo Horizonte </t>
  </si>
  <si>
    <t>Eucaliptos</t>
  </si>
  <si>
    <t xml:space="preserve">Porto Alegre </t>
  </si>
  <si>
    <t>Ilha do Retiro</t>
  </si>
  <si>
    <t xml:space="preserve">Recife </t>
  </si>
  <si>
    <t>Group 6</t>
  </si>
  <si>
    <t>Wankdorf Stadium</t>
  </si>
  <si>
    <t xml:space="preserve">Berne </t>
  </si>
  <si>
    <t>Hardturm</t>
  </si>
  <si>
    <t xml:space="preserve">Zurich </t>
  </si>
  <si>
    <t>Scotland</t>
  </si>
  <si>
    <t>Charmilles</t>
  </si>
  <si>
    <t xml:space="preserve">Geneva </t>
  </si>
  <si>
    <t>La Pontaise</t>
  </si>
  <si>
    <t xml:space="preserve">Lausanne </t>
  </si>
  <si>
    <t>Germany FR</t>
  </si>
  <si>
    <t>Turkey</t>
  </si>
  <si>
    <t>Korea Republic</t>
  </si>
  <si>
    <t>St. Jakob</t>
  </si>
  <si>
    <t xml:space="preserve">Basel </t>
  </si>
  <si>
    <t>Comunale di Cornaredo</t>
  </si>
  <si>
    <t xml:space="preserve">Lugano </t>
  </si>
  <si>
    <t xml:space="preserve">Hungary win after extra time </t>
  </si>
  <si>
    <t>Rasunda Stadium</t>
  </si>
  <si>
    <t xml:space="preserve">Solna </t>
  </si>
  <si>
    <t>Nya Ullevi</t>
  </si>
  <si>
    <t xml:space="preserve">Gothenburg </t>
  </si>
  <si>
    <t>Soviet Union</t>
  </si>
  <si>
    <t>Malmo Stadion</t>
  </si>
  <si>
    <t xml:space="preserve">Malmï¿½ </t>
  </si>
  <si>
    <t>Jarnvallen</t>
  </si>
  <si>
    <t xml:space="preserve">Sandviken </t>
  </si>
  <si>
    <t>Wales</t>
  </si>
  <si>
    <t>Idrottsparken</t>
  </si>
  <si>
    <t xml:space="preserve">Norrkï¿½Ping </t>
  </si>
  <si>
    <t>Arosvallen</t>
  </si>
  <si>
    <t xml:space="preserve">Vasteras </t>
  </si>
  <si>
    <t>Rimnersvallen</t>
  </si>
  <si>
    <t xml:space="preserve">Udevalla </t>
  </si>
  <si>
    <t>Orjans Vall</t>
  </si>
  <si>
    <t xml:space="preserve">Halmstad </t>
  </si>
  <si>
    <t>Ryavallen</t>
  </si>
  <si>
    <t xml:space="preserve">Boras </t>
  </si>
  <si>
    <t>Olympia Stadium</t>
  </si>
  <si>
    <t xml:space="preserve">Helsingborg </t>
  </si>
  <si>
    <t>Tunavallen</t>
  </si>
  <si>
    <t xml:space="preserve">Eskilstuna </t>
  </si>
  <si>
    <t>Eyravallen</t>
  </si>
  <si>
    <t xml:space="preserve">Orebro </t>
  </si>
  <si>
    <t xml:space="preserve">Northern Ireland win after extra time </t>
  </si>
  <si>
    <t>Carlos Dittborn</t>
  </si>
  <si>
    <t xml:space="preserve">Arica </t>
  </si>
  <si>
    <t>Colombia</t>
  </si>
  <si>
    <t>Estadio Sausalito</t>
  </si>
  <si>
    <t xml:space="preserve">Vina Del Mar </t>
  </si>
  <si>
    <t>Estadio El Teniente-Codelco</t>
  </si>
  <si>
    <t xml:space="preserve">Rancagua </t>
  </si>
  <si>
    <t>Bulgaria</t>
  </si>
  <si>
    <t>Nacional</t>
  </si>
  <si>
    <t xml:space="preserve">Santiago De Chile </t>
  </si>
  <si>
    <t>Wembley Stadium</t>
  </si>
  <si>
    <t xml:space="preserve">London </t>
  </si>
  <si>
    <t>Hillsborough</t>
  </si>
  <si>
    <t xml:space="preserve">Sheffield </t>
  </si>
  <si>
    <t>Goodison Park</t>
  </si>
  <si>
    <t xml:space="preserve">Liverpool </t>
  </si>
  <si>
    <t>Ayresome Park</t>
  </si>
  <si>
    <t xml:space="preserve">Middlesbrough </t>
  </si>
  <si>
    <t>Korea DPR</t>
  </si>
  <si>
    <t>Old Trafford Stadium</t>
  </si>
  <si>
    <t xml:space="preserve">Manchester </t>
  </si>
  <si>
    <t>Portugal</t>
  </si>
  <si>
    <t>Villa Park</t>
  </si>
  <si>
    <t xml:space="preserve">Birmingham </t>
  </si>
  <si>
    <t>Roker Park Ground</t>
  </si>
  <si>
    <t xml:space="preserve">Sunderland </t>
  </si>
  <si>
    <t>White City</t>
  </si>
  <si>
    <t xml:space="preserve">England win after extra time </t>
  </si>
  <si>
    <t>Estadio Azteca</t>
  </si>
  <si>
    <t xml:space="preserve">Mexico City </t>
  </si>
  <si>
    <t>Cuauhtemoc</t>
  </si>
  <si>
    <t xml:space="preserve">Puebla </t>
  </si>
  <si>
    <t>Israel</t>
  </si>
  <si>
    <t>Nou Camp - Estadio Leï¿½n</t>
  </si>
  <si>
    <t xml:space="preserve">Leon </t>
  </si>
  <si>
    <t>Jalisco</t>
  </si>
  <si>
    <t xml:space="preserve">Guadalajara </t>
  </si>
  <si>
    <t>Luis Dosal</t>
  </si>
  <si>
    <t xml:space="preserve">Toluca </t>
  </si>
  <si>
    <t>Morocco</t>
  </si>
  <si>
    <t>El Salvador</t>
  </si>
  <si>
    <t xml:space="preserve">Germany FR win after extra time </t>
  </si>
  <si>
    <t xml:space="preserve">Uruguay win after extra time </t>
  </si>
  <si>
    <t>Waldstadion</t>
  </si>
  <si>
    <t xml:space="preserve">Frankfurt/Main </t>
  </si>
  <si>
    <t>Olympiastadion</t>
  </si>
  <si>
    <t xml:space="preserve">Berlin West </t>
  </si>
  <si>
    <t>Volksparkstadion</t>
  </si>
  <si>
    <t xml:space="preserve">Hamburg </t>
  </si>
  <si>
    <t>German DR</t>
  </si>
  <si>
    <t>Australia</t>
  </si>
  <si>
    <t>Westfalenstadion</t>
  </si>
  <si>
    <t xml:space="preserve">Dortmund </t>
  </si>
  <si>
    <t>Zaire</t>
  </si>
  <si>
    <t>Niedersachsenstadion</t>
  </si>
  <si>
    <t xml:space="preserve">Hanover </t>
  </si>
  <si>
    <t>Rheinstadion</t>
  </si>
  <si>
    <t xml:space="preserve">Dï¿½Sseldorf </t>
  </si>
  <si>
    <t xml:space="preserve">Munich </t>
  </si>
  <si>
    <t>Haiti</t>
  </si>
  <si>
    <t>Neckarstadion</t>
  </si>
  <si>
    <t xml:space="preserve">Stuttgart </t>
  </si>
  <si>
    <t>Parkstadion</t>
  </si>
  <si>
    <t xml:space="preserve">Gelsenkirchen </t>
  </si>
  <si>
    <t>Group B</t>
  </si>
  <si>
    <t>Group A</t>
  </si>
  <si>
    <t>El Monumental - Estadio Monumental Antonio Vespuci</t>
  </si>
  <si>
    <t xml:space="preserve">Buenos Aires </t>
  </si>
  <si>
    <t>Estadio Josï¿½ Marï¿½a Minella</t>
  </si>
  <si>
    <t xml:space="preserve">Mar Del Plata </t>
  </si>
  <si>
    <t>Arroyito - Estadio Dr. Lisandro de la Torre</t>
  </si>
  <si>
    <t xml:space="preserve">Rosario </t>
  </si>
  <si>
    <t>Tunisia</t>
  </si>
  <si>
    <t>Jose Amalfitani</t>
  </si>
  <si>
    <t>Estadio Olï¿½mpico Chateau Carreras</t>
  </si>
  <si>
    <t xml:space="preserve">Cordoba </t>
  </si>
  <si>
    <t>San Martin</t>
  </si>
  <si>
    <t xml:space="preserve">Mendoza </t>
  </si>
  <si>
    <t>IR Iran</t>
  </si>
  <si>
    <t>Iran</t>
  </si>
  <si>
    <t xml:space="preserve">Argentina win after extra time </t>
  </si>
  <si>
    <t>Camp Nou</t>
  </si>
  <si>
    <t xml:space="preserve">Barcelona </t>
  </si>
  <si>
    <t>Estadio Municipal de Balaï¿½dos</t>
  </si>
  <si>
    <t xml:space="preserve">Vigo </t>
  </si>
  <si>
    <t>Ramon Sanchez Pizjuan</t>
  </si>
  <si>
    <t xml:space="preserve">Seville </t>
  </si>
  <si>
    <t>Riazor</t>
  </si>
  <si>
    <t xml:space="preserve">La Coruï¿½A </t>
  </si>
  <si>
    <t>Cameroon</t>
  </si>
  <si>
    <t>Nuevo Estadio</t>
  </si>
  <si>
    <t xml:space="preserve">Elche </t>
  </si>
  <si>
    <t>La Rosaleda</t>
  </si>
  <si>
    <t xml:space="preserve">Malaga </t>
  </si>
  <si>
    <t>New Zealand</t>
  </si>
  <si>
    <t>El Molinon</t>
  </si>
  <si>
    <t xml:space="preserve">Gijon </t>
  </si>
  <si>
    <t>Algeria</t>
  </si>
  <si>
    <t>San Mames</t>
  </si>
  <si>
    <t xml:space="preserve">Bilbao </t>
  </si>
  <si>
    <t>Group 5</t>
  </si>
  <si>
    <t>Luis Casanova</t>
  </si>
  <si>
    <t xml:space="preserve">Valencia </t>
  </si>
  <si>
    <t>Honduras</t>
  </si>
  <si>
    <t>Carlos Tartiere</t>
  </si>
  <si>
    <t xml:space="preserve">Oviedo </t>
  </si>
  <si>
    <t>Jose Zorrilla</t>
  </si>
  <si>
    <t xml:space="preserve">Valladolid </t>
  </si>
  <si>
    <t>Kuwait</t>
  </si>
  <si>
    <t>La Romareda</t>
  </si>
  <si>
    <t xml:space="preserve">Zaragoza </t>
  </si>
  <si>
    <t>Jose Rico Perez</t>
  </si>
  <si>
    <t xml:space="preserve">Alicante </t>
  </si>
  <si>
    <t>Benito Villamarin</t>
  </si>
  <si>
    <t>Vicente Calderon</t>
  </si>
  <si>
    <t xml:space="preserve">Madrid </t>
  </si>
  <si>
    <t>Sarria</t>
  </si>
  <si>
    <t>Santiago Bernabeu</t>
  </si>
  <si>
    <t xml:space="preserve"> win on penalties (5 - 4) </t>
  </si>
  <si>
    <t>Group C</t>
  </si>
  <si>
    <t>Canada</t>
  </si>
  <si>
    <t>Group D</t>
  </si>
  <si>
    <t>Estadio Irapuato</t>
  </si>
  <si>
    <t xml:space="preserve">Irapuato </t>
  </si>
  <si>
    <t>Estadio Olï¿½mpico Universitario</t>
  </si>
  <si>
    <t>Group F</t>
  </si>
  <si>
    <t>Estadio Universitario</t>
  </si>
  <si>
    <t xml:space="preserve">Monterrey </t>
  </si>
  <si>
    <t>Tres de Marzo</t>
  </si>
  <si>
    <t>Tecnologico</t>
  </si>
  <si>
    <t>Bombonera - Estadio Nemesio Diez</t>
  </si>
  <si>
    <t>Iraq</t>
  </si>
  <si>
    <t>Group E</t>
  </si>
  <si>
    <t>Neza</t>
  </si>
  <si>
    <t xml:space="preserve">Nezahualcoyotl </t>
  </si>
  <si>
    <t>Denmark</t>
  </si>
  <si>
    <t>Estadio Corregidora</t>
  </si>
  <si>
    <t xml:space="preserve">Queretaro </t>
  </si>
  <si>
    <t>Round of 16</t>
  </si>
  <si>
    <t xml:space="preserve">Belgium win after extra time </t>
  </si>
  <si>
    <t xml:space="preserve">France win on penalties (3 - 4) </t>
  </si>
  <si>
    <t xml:space="preserve">Germany FR win on penalties (4 - 1) </t>
  </si>
  <si>
    <t xml:space="preserve">Belgium win on penalties (4 - 5) </t>
  </si>
  <si>
    <t xml:space="preserve">France win after extra time </t>
  </si>
  <si>
    <t>Giuseppe Meazza</t>
  </si>
  <si>
    <t>Stadio San Nicola</t>
  </si>
  <si>
    <t xml:space="preserve">Bari </t>
  </si>
  <si>
    <t>Renato Dall Ara</t>
  </si>
  <si>
    <t>United Arab Emirates</t>
  </si>
  <si>
    <t>Stadio Olimpico</t>
  </si>
  <si>
    <t>Comunale</t>
  </si>
  <si>
    <t>Stadio delle Alpi</t>
  </si>
  <si>
    <t>Costa Rica</t>
  </si>
  <si>
    <t>Sant Elia</t>
  </si>
  <si>
    <t xml:space="preserve">Cagliari </t>
  </si>
  <si>
    <t>Republic of Ireland</t>
  </si>
  <si>
    <t>Marc Antonio Bentegodi</t>
  </si>
  <si>
    <t xml:space="preserve">Verona </t>
  </si>
  <si>
    <t>Della Favorita</t>
  </si>
  <si>
    <t xml:space="preserve">Palermo </t>
  </si>
  <si>
    <t>Dacia Arena</t>
  </si>
  <si>
    <t xml:space="preserve">Udine </t>
  </si>
  <si>
    <t>San Paolo</t>
  </si>
  <si>
    <t>Friuli</t>
  </si>
  <si>
    <t xml:space="preserve">Cameroon win after extra time </t>
  </si>
  <si>
    <t xml:space="preserve">Republic of Ireland win on penalties (5 - 4) </t>
  </si>
  <si>
    <t xml:space="preserve">Yugoslavia win after extra time </t>
  </si>
  <si>
    <t xml:space="preserve"> win on penalties (2 - 3) </t>
  </si>
  <si>
    <t xml:space="preserve"> win on penalties (3 - 4) </t>
  </si>
  <si>
    <t xml:space="preserve"> win on penalties (4 - 3) </t>
  </si>
  <si>
    <t>Cotton Bowl</t>
  </si>
  <si>
    <t xml:space="preserve">Dallas </t>
  </si>
  <si>
    <t>Soldier Field</t>
  </si>
  <si>
    <t xml:space="preserve">Chicago </t>
  </si>
  <si>
    <t>Pontiac Silverdome</t>
  </si>
  <si>
    <t xml:space="preserve">Detroit </t>
  </si>
  <si>
    <t>Giants Stadium</t>
  </si>
  <si>
    <t xml:space="preserve">New York/New Jersey </t>
  </si>
  <si>
    <t>Rose Bowl</t>
  </si>
  <si>
    <t xml:space="preserve">Los Angeles </t>
  </si>
  <si>
    <t>Citrus Bowl</t>
  </si>
  <si>
    <t xml:space="preserve">Orlando </t>
  </si>
  <si>
    <t>RFK Stadium</t>
  </si>
  <si>
    <t xml:space="preserve">Washington Dc </t>
  </si>
  <si>
    <t>Saudi Arabia</t>
  </si>
  <si>
    <t>Stanford Stadium</t>
  </si>
  <si>
    <t xml:space="preserve">San Francisco </t>
  </si>
  <si>
    <t>Russia</t>
  </si>
  <si>
    <t>Foxboro Stadium</t>
  </si>
  <si>
    <t xml:space="preserve">Boston </t>
  </si>
  <si>
    <t>Greece</t>
  </si>
  <si>
    <t>Nigeria</t>
  </si>
  <si>
    <t xml:space="preserve">Bulgaria win on penalties (1 - 3) </t>
  </si>
  <si>
    <t xml:space="preserve">Sweden win on penalties (4 - 5) </t>
  </si>
  <si>
    <t xml:space="preserve">Brazil win on penalties (3 - 2) </t>
  </si>
  <si>
    <t>Stade de France</t>
  </si>
  <si>
    <t xml:space="preserve">Saint-Denis </t>
  </si>
  <si>
    <t>La Mosson</t>
  </si>
  <si>
    <t xml:space="preserve">Montpellier </t>
  </si>
  <si>
    <t>Stade Felix Bollaert</t>
  </si>
  <si>
    <t xml:space="preserve">Lens </t>
  </si>
  <si>
    <t>South Africa</t>
  </si>
  <si>
    <t>La Beaujoire</t>
  </si>
  <si>
    <t xml:space="preserve">Nantes </t>
  </si>
  <si>
    <t>Stade de Gerland</t>
  </si>
  <si>
    <t xml:space="preserve">Lyon </t>
  </si>
  <si>
    <t>Group H</t>
  </si>
  <si>
    <t>Japan</t>
  </si>
  <si>
    <t>Stade Geoffroy Guichard</t>
  </si>
  <si>
    <t xml:space="preserve">Saint-Etienne </t>
  </si>
  <si>
    <t>Jamaica</t>
  </si>
  <si>
    <t>Croatia</t>
  </si>
  <si>
    <t>Group G</t>
  </si>
  <si>
    <t xml:space="preserve">Argentina win on penalties (4 - 3) </t>
  </si>
  <si>
    <t xml:space="preserve">Brazil win on penalties (4 - 2) </t>
  </si>
  <si>
    <t>Seoul World Cup Stadium</t>
  </si>
  <si>
    <t xml:space="preserve">Seoul </t>
  </si>
  <si>
    <t>Senegal</t>
  </si>
  <si>
    <t>Munsu Football Stadium</t>
  </si>
  <si>
    <t xml:space="preserve">Ulsan </t>
  </si>
  <si>
    <t>Niigata Stadium Big Swan</t>
  </si>
  <si>
    <t xml:space="preserve">Niigata </t>
  </si>
  <si>
    <t>Sapporo Dome</t>
  </si>
  <si>
    <t xml:space="preserve">Sapporo </t>
  </si>
  <si>
    <t>Kashima Stadium</t>
  </si>
  <si>
    <t xml:space="preserve">Ibaraki </t>
  </si>
  <si>
    <t>Busan Asiad Main Stadium</t>
  </si>
  <si>
    <t xml:space="preserve">Busan </t>
  </si>
  <si>
    <t>Saitama Stadium 2002</t>
  </si>
  <si>
    <t xml:space="preserve">Saitama </t>
  </si>
  <si>
    <t>Gwangju World Cup Stadium</t>
  </si>
  <si>
    <t xml:space="preserve">Gwangju </t>
  </si>
  <si>
    <t>Slovenia</t>
  </si>
  <si>
    <t>Ecuador</t>
  </si>
  <si>
    <t>China PR</t>
  </si>
  <si>
    <t>Kobe Wing Stadium</t>
  </si>
  <si>
    <t xml:space="preserve">Kobe </t>
  </si>
  <si>
    <t>Suwon World Cup Stadium</t>
  </si>
  <si>
    <t xml:space="preserve">Suwon </t>
  </si>
  <si>
    <t>Daegu World Cup Stadium</t>
  </si>
  <si>
    <t xml:space="preserve">Daegu </t>
  </si>
  <si>
    <t>Jeonju World Cup Stadium</t>
  </si>
  <si>
    <t xml:space="preserve">Jeonju </t>
  </si>
  <si>
    <t>Jeju World Cup Stadium</t>
  </si>
  <si>
    <t xml:space="preserve">Jeju </t>
  </si>
  <si>
    <t>Incheon Football Stadium</t>
  </si>
  <si>
    <t xml:space="preserve">Incheon </t>
  </si>
  <si>
    <t>International Stadium Yokohama</t>
  </si>
  <si>
    <t xml:space="preserve">Yokohama </t>
  </si>
  <si>
    <t>Miyagi Stadium</t>
  </si>
  <si>
    <t xml:space="preserve">Rifu </t>
  </si>
  <si>
    <t>Oita Stadium Big Eye</t>
  </si>
  <si>
    <t xml:space="preserve">Oita </t>
  </si>
  <si>
    <t>Shizuoka Stadium Ecopa</t>
  </si>
  <si>
    <t xml:space="preserve">Shizuoka </t>
  </si>
  <si>
    <t>Osaka Nagai Stadium</t>
  </si>
  <si>
    <t xml:space="preserve">Osaka </t>
  </si>
  <si>
    <t>Daejeon World Cup Stadium</t>
  </si>
  <si>
    <t xml:space="preserve">Daejeon </t>
  </si>
  <si>
    <t xml:space="preserve">Spain win on penalties (3 - 2) </t>
  </si>
  <si>
    <t xml:space="preserve">Win on Golden Goal </t>
  </si>
  <si>
    <t xml:space="preserve">Korea Republic win on penalties (3 - 5) </t>
  </si>
  <si>
    <t>Third place</t>
  </si>
  <si>
    <t>FIFA World Cup Stadium, Munich</t>
  </si>
  <si>
    <t>FIFA World Cup Stadium, Gelsenkirchen</t>
  </si>
  <si>
    <t>FIFA World Cup Stadium, Frankfurt</t>
  </si>
  <si>
    <t>FIFA World Cup Stadium, Dortmund</t>
  </si>
  <si>
    <t>Trinidad and Tobago</t>
  </si>
  <si>
    <t>FIFA World Cup Stadium, Hamburg</t>
  </si>
  <si>
    <t>Cï¿½te d'Ivoire</t>
  </si>
  <si>
    <t>Zentralstadion</t>
  </si>
  <si>
    <t xml:space="preserve">Leipzig </t>
  </si>
  <si>
    <t>Serbia and Montenegro</t>
  </si>
  <si>
    <t>Franken-Stadion</t>
  </si>
  <si>
    <t xml:space="preserve">Nuremberg </t>
  </si>
  <si>
    <t>FIFA World Cup Stadium, Cologne</t>
  </si>
  <si>
    <t xml:space="preserve">Cologne </t>
  </si>
  <si>
    <t>Angola</t>
  </si>
  <si>
    <t>Fritz-Walter-Stadion</t>
  </si>
  <si>
    <t xml:space="preserve">Kaiserslautern </t>
  </si>
  <si>
    <t>Czech Republic</t>
  </si>
  <si>
    <t>FIFA World Cup Stadium, Hanover</t>
  </si>
  <si>
    <t>Ghana</t>
  </si>
  <si>
    <t>Togo</t>
  </si>
  <si>
    <t>Gottlieb-Daimler-Stadion</t>
  </si>
  <si>
    <t xml:space="preserve">Berlin </t>
  </si>
  <si>
    <t>Ukraine</t>
  </si>
  <si>
    <t xml:space="preserve">Ukraine win on penalties (0 - 3) </t>
  </si>
  <si>
    <t xml:space="preserve">Germany win on penalties (4 - 2) </t>
  </si>
  <si>
    <t xml:space="preserve">Portugal win on penalties (1 - 3) </t>
  </si>
  <si>
    <t xml:space="preserve">Italy win on penalties (5 - 3) </t>
  </si>
  <si>
    <t>Soccer City Stadium</t>
  </si>
  <si>
    <t xml:space="preserve">Johannesburg </t>
  </si>
  <si>
    <t>Cape Town Stadium</t>
  </si>
  <si>
    <t xml:space="preserve">Cape Town </t>
  </si>
  <si>
    <t>Port Elizabeth Stadium</t>
  </si>
  <si>
    <t xml:space="preserve">Nelson Mandela Bay/Port Elizabeth </t>
  </si>
  <si>
    <t>Ellis Park Stadium</t>
  </si>
  <si>
    <t>Royal Bafokeng Sports Palace</t>
  </si>
  <si>
    <t xml:space="preserve">Phokeng </t>
  </si>
  <si>
    <t>Peter Mokaba Stadium</t>
  </si>
  <si>
    <t xml:space="preserve">Polokwane </t>
  </si>
  <si>
    <t>Loftus Versfeld Stadium</t>
  </si>
  <si>
    <t xml:space="preserve">Tshwane/Pretoria </t>
  </si>
  <si>
    <t>Serbia</t>
  </si>
  <si>
    <t>Durban Stadium</t>
  </si>
  <si>
    <t xml:space="preserve">Durban </t>
  </si>
  <si>
    <t>Free State Stadium</t>
  </si>
  <si>
    <t xml:space="preserve">Mangaung/Bloemfontein </t>
  </si>
  <si>
    <t>Slovakia</t>
  </si>
  <si>
    <t>Mbombela Stadium</t>
  </si>
  <si>
    <t xml:space="preserve">Nelspruit </t>
  </si>
  <si>
    <t xml:space="preserve">Ghana win after extra time </t>
  </si>
  <si>
    <t xml:space="preserve">Paraguay win on penalties (5 - 3) </t>
  </si>
  <si>
    <t xml:space="preserve">Uruguay win on penalties (4 - 2) </t>
  </si>
  <si>
    <t xml:space="preserve">Spain win after extra time </t>
  </si>
  <si>
    <t>Arena de Sao Paulo</t>
  </si>
  <si>
    <t>Estadio das Dunas</t>
  </si>
  <si>
    <t xml:space="preserve">Natal </t>
  </si>
  <si>
    <t>Arena Fonte Nova</t>
  </si>
  <si>
    <t xml:space="preserve">Salvador </t>
  </si>
  <si>
    <t>Arena Pantanal</t>
  </si>
  <si>
    <t xml:space="preserve">Cuiaba </t>
  </si>
  <si>
    <t>Estadio Mineirao</t>
  </si>
  <si>
    <t>Estadio Castelao</t>
  </si>
  <si>
    <t xml:space="preserve">Fortaleza </t>
  </si>
  <si>
    <t>Arena Amazonia</t>
  </si>
  <si>
    <t xml:space="preserve">Manaus </t>
  </si>
  <si>
    <t>Arena Pernambuco</t>
  </si>
  <si>
    <t>Estadio Nacional</t>
  </si>
  <si>
    <t xml:space="preserve">Brasilia </t>
  </si>
  <si>
    <t>Estadio Beira-Rio</t>
  </si>
  <si>
    <t>Estadio do Maracana</t>
  </si>
  <si>
    <t>Bosnia and Herzegovina</t>
  </si>
  <si>
    <t>Arena da Baixada</t>
  </si>
  <si>
    <t xml:space="preserve">Germany win after extra time </t>
  </si>
  <si>
    <t>Play-off for third place</t>
  </si>
  <si>
    <t xml:space="preserve">Argentina win on penalties (2 - 4) </t>
  </si>
  <si>
    <t xml:space="preserve">Netherlands win on penalties (4 - 3) </t>
  </si>
  <si>
    <t xml:space="preserve">Costa Rica win on penalties (5 - 3) </t>
  </si>
  <si>
    <t>Korea/Japan</t>
  </si>
  <si>
    <t>MatchesPlayed</t>
  </si>
  <si>
    <t>QualifiedTeams</t>
  </si>
  <si>
    <t>GoalsScored</t>
  </si>
  <si>
    <t>Fourth</t>
  </si>
  <si>
    <t>Third</t>
  </si>
  <si>
    <t>Runners-Up</t>
  </si>
  <si>
    <t>Winner</t>
  </si>
  <si>
    <t>Country</t>
  </si>
  <si>
    <t>Time</t>
  </si>
  <si>
    <t>Date</t>
  </si>
  <si>
    <t xml:space="preserve"> 15:00 </t>
  </si>
  <si>
    <t xml:space="preserve"> 12:45 </t>
  </si>
  <si>
    <t xml:space="preserve"> 14:50 </t>
  </si>
  <si>
    <t xml:space="preserve"> 16:00 </t>
  </si>
  <si>
    <t xml:space="preserve"> 14:45 </t>
  </si>
  <si>
    <t xml:space="preserve"> 14:30 </t>
  </si>
  <si>
    <t xml:space="preserve"> 12:50 </t>
  </si>
  <si>
    <t xml:space="preserve"> 13:00 </t>
  </si>
  <si>
    <t xml:space="preserve"> 14:15 </t>
  </si>
  <si>
    <t xml:space="preserve"> 16:30 </t>
  </si>
  <si>
    <t xml:space="preserve"> 18:00 </t>
  </si>
  <si>
    <t xml:space="preserve"> 17:30 </t>
  </si>
  <si>
    <t xml:space="preserve"> 17:00 </t>
  </si>
  <si>
    <t xml:space="preserve"> 18:30 </t>
  </si>
  <si>
    <t xml:space="preserve"> 15:30 </t>
  </si>
  <si>
    <t xml:space="preserve"> 15:40 </t>
  </si>
  <si>
    <t xml:space="preserve"> 18:10 </t>
  </si>
  <si>
    <t xml:space="preserve"> 17:50 </t>
  </si>
  <si>
    <t xml:space="preserve"> 16:50 </t>
  </si>
  <si>
    <t xml:space="preserve"> 17:10 </t>
  </si>
  <si>
    <t xml:space="preserve"> 14:00 </t>
  </si>
  <si>
    <t xml:space="preserve"> 19:00 </t>
  </si>
  <si>
    <t xml:space="preserve"> 19:30 </t>
  </si>
  <si>
    <t xml:space="preserve"> 12:00 </t>
  </si>
  <si>
    <t xml:space="preserve"> 13:45 </t>
  </si>
  <si>
    <t xml:space="preserve"> 16:45 </t>
  </si>
  <si>
    <t xml:space="preserve"> 19:15 </t>
  </si>
  <si>
    <t xml:space="preserve"> 15:10 </t>
  </si>
  <si>
    <t xml:space="preserve"> 20:00 </t>
  </si>
  <si>
    <t xml:space="preserve"> 17:15 </t>
  </si>
  <si>
    <t xml:space="preserve"> 21:00 </t>
  </si>
  <si>
    <t xml:space="preserve"> 17:45 </t>
  </si>
  <si>
    <t xml:space="preserve"> 11:30 </t>
  </si>
  <si>
    <t xml:space="preserve"> 12:30 </t>
  </si>
  <si>
    <t xml:space="preserve"> 13:30 </t>
  </si>
  <si>
    <t xml:space="preserve"> 20:30 </t>
  </si>
  <si>
    <t xml:space="preserve"> 22:00 </t>
  </si>
  <si>
    <t>Northern Ireland</t>
  </si>
  <si>
    <t>Team</t>
  </si>
  <si>
    <t>Team G</t>
  </si>
  <si>
    <t>Opponent G</t>
  </si>
  <si>
    <t>Opponent</t>
  </si>
  <si>
    <t>Game #</t>
  </si>
  <si>
    <t xml:space="preserve">Host nations </t>
  </si>
  <si>
    <t>Countries</t>
  </si>
  <si>
    <t xml:space="preserve">Germany </t>
  </si>
  <si>
    <t>Hosting</t>
  </si>
  <si>
    <t xml:space="preserve">Winner </t>
  </si>
  <si>
    <t>Runner up</t>
  </si>
  <si>
    <t>Third_place</t>
  </si>
  <si>
    <t>Latest year</t>
  </si>
  <si>
    <t>World cup competition</t>
  </si>
  <si>
    <t>Column1</t>
  </si>
  <si>
    <t>Group_details</t>
  </si>
  <si>
    <t>Rounds</t>
  </si>
  <si>
    <t>Hometeam</t>
  </si>
  <si>
    <t>Away team</t>
  </si>
  <si>
    <t>Homescore</t>
  </si>
  <si>
    <t>Away score</t>
  </si>
  <si>
    <t>Column2</t>
  </si>
  <si>
    <t>Crotia</t>
  </si>
  <si>
    <t>Host</t>
  </si>
  <si>
    <t>Home team</t>
  </si>
  <si>
    <t>Details</t>
  </si>
  <si>
    <t>Runners_up</t>
  </si>
  <si>
    <t>Teams</t>
  </si>
  <si>
    <t>Matches</t>
  </si>
  <si>
    <t>Host Nation</t>
  </si>
  <si>
    <t>H. score</t>
  </si>
  <si>
    <t>A. Score</t>
  </si>
  <si>
    <t>Goals_scored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</si>
</sst>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Ita&quot;General"/>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sz val="9"/>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0" tint="-4.9989318521683403E-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xf numFmtId="15" fontId="18" fillId="0" borderId="0" xfId="0" applyNumberFormat="1" applyFont="1"/>
    <xf numFmtId="0" fontId="18" fillId="33" borderId="10" xfId="0" applyFont="1" applyFill="1" applyBorder="1"/>
    <xf numFmtId="0" fontId="19" fillId="0" borderId="0" xfId="0" applyFont="1"/>
    <xf numFmtId="164" fontId="18" fillId="0" borderId="0" xfId="0" applyNumberFormat="1" applyFont="1"/>
    <xf numFmtId="0" fontId="0" fillId="0" borderId="0" xfId="0" applyFont="1"/>
    <xf numFmtId="0" fontId="18" fillId="0" borderId="0" xfId="0" applyFont="1" applyAlignment="1">
      <alignment horizontal="center"/>
    </xf>
    <xf numFmtId="0" fontId="20" fillId="0" borderId="0" xfId="0" applyFont="1"/>
    <xf numFmtId="0" fontId="19" fillId="34" borderId="11" xfId="0" applyFont="1"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8">
    <dxf>
      <border>
        <left style="thin">
          <color theme="0" tint="-0.14996795556505021"/>
        </left>
        <right style="thin">
          <color theme="0" tint="-0.14996795556505021"/>
        </right>
        <top style="thin">
          <color theme="0" tint="-0.14996795556505021"/>
        </top>
        <bottom style="thin">
          <color theme="0" tint="-0.14996795556505021"/>
        </bottom>
        <vertical/>
        <horizontal/>
      </border>
    </dxf>
    <dxf>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20" formatCode="dd\-mmm\-yy"/>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95000"/>
                    <a:lumOff val="5000"/>
                  </a:schemeClr>
                </a:solidFill>
                <a:latin typeface="+mn-lt"/>
                <a:ea typeface="+mn-ea"/>
                <a:cs typeface="+mn-cs"/>
              </a:defRPr>
            </a:pPr>
            <a:r>
              <a:rPr lang="en-US" b="1">
                <a:solidFill>
                  <a:schemeClr val="tx1">
                    <a:lumMod val="95000"/>
                    <a:lumOff val="5000"/>
                  </a:schemeClr>
                </a:solidFill>
              </a:rPr>
              <a:t>Host</a:t>
            </a:r>
            <a:r>
              <a:rPr lang="en-US" b="1" baseline="0">
                <a:solidFill>
                  <a:schemeClr val="tx1">
                    <a:lumMod val="95000"/>
                    <a:lumOff val="5000"/>
                  </a:schemeClr>
                </a:solidFill>
              </a:rPr>
              <a:t> nations vs. Year won</a:t>
            </a:r>
            <a:endParaRPr lang="en-US" b="1">
              <a:solidFill>
                <a:schemeClr val="tx1">
                  <a:lumMod val="95000"/>
                  <a:lumOff val="5000"/>
                </a:schemeClr>
              </a:solidFill>
            </a:endParaRPr>
          </a:p>
        </c:rich>
      </c:tx>
      <c:layout>
        <c:manualLayout>
          <c:xMode val="edge"/>
          <c:yMode val="edge"/>
          <c:x val="0.34838183803871897"/>
          <c:y val="2.585624510337684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95000"/>
                  <a:lumOff val="5000"/>
                </a:schemeClr>
              </a:solidFill>
              <a:latin typeface="+mn-lt"/>
              <a:ea typeface="+mn-ea"/>
              <a:cs typeface="+mn-cs"/>
            </a:defRPr>
          </a:pPr>
          <a:endParaRPr lang="en-KE"/>
        </a:p>
      </c:txPr>
    </c:title>
    <c:autoTitleDeleted val="0"/>
    <c:plotArea>
      <c:layout/>
      <c:barChart>
        <c:barDir val="col"/>
        <c:grouping val="clustered"/>
        <c:varyColors val="0"/>
        <c:ser>
          <c:idx val="0"/>
          <c:order val="0"/>
          <c:spPr>
            <a:solidFill>
              <a:schemeClr val="accent1">
                <a:lumMod val="20000"/>
                <a:lumOff val="80000"/>
              </a:schemeClr>
            </a:solidFill>
            <a:ln>
              <a:solidFill>
                <a:schemeClr val="accent1">
                  <a:lumMod val="50000"/>
                </a:schemeClr>
              </a:solidFill>
            </a:ln>
            <a:effectLst/>
          </c:spPr>
          <c:invertIfNegative val="0"/>
          <c:dLbls>
            <c:dLbl>
              <c:idx val="0"/>
              <c:tx>
                <c:rich>
                  <a:bodyPr/>
                  <a:lstStyle/>
                  <a:p>
                    <a:fld id="{07700FC4-4F05-49BB-B661-70F9BAE938F4}"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7838-46DE-A803-6AADA588315A}"/>
                </c:ext>
              </c:extLst>
            </c:dLbl>
            <c:dLbl>
              <c:idx val="1"/>
              <c:tx>
                <c:rich>
                  <a:bodyPr/>
                  <a:lstStyle/>
                  <a:p>
                    <a:fld id="{D8A8C3C0-E91C-421C-89EF-BE0D20959E5A}" type="CELLRANGE">
                      <a:rPr lang="en-KE"/>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7838-46DE-A803-6AADA588315A}"/>
                </c:ext>
              </c:extLst>
            </c:dLbl>
            <c:dLbl>
              <c:idx val="2"/>
              <c:tx>
                <c:rich>
                  <a:bodyPr/>
                  <a:lstStyle/>
                  <a:p>
                    <a:fld id="{E88351B7-D9EF-4DA9-825B-D7D30181BA83}" type="CELLRANGE">
                      <a:rPr lang="en-KE"/>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7838-46DE-A803-6AADA588315A}"/>
                </c:ext>
              </c:extLst>
            </c:dLbl>
            <c:dLbl>
              <c:idx val="3"/>
              <c:tx>
                <c:rich>
                  <a:bodyPr/>
                  <a:lstStyle/>
                  <a:p>
                    <a:fld id="{DD506676-58AA-4791-B3AA-976C9E0F8A39}" type="CELLRANGE">
                      <a:rPr lang="en-KE"/>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838-46DE-A803-6AADA588315A}"/>
                </c:ext>
              </c:extLst>
            </c:dLbl>
            <c:dLbl>
              <c:idx val="4"/>
              <c:tx>
                <c:rich>
                  <a:bodyPr/>
                  <a:lstStyle/>
                  <a:p>
                    <a:fld id="{BBF9A02E-9A86-4CA3-B96C-D917BB2680DA}" type="CELLRANGE">
                      <a:rPr lang="en-KE"/>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838-46DE-A803-6AADA588315A}"/>
                </c:ext>
              </c:extLst>
            </c:dLbl>
            <c:dLbl>
              <c:idx val="5"/>
              <c:tx>
                <c:rich>
                  <a:bodyPr/>
                  <a:lstStyle/>
                  <a:p>
                    <a:fld id="{4E330ED8-090F-4A09-A0FB-9E262C17E3D7}" type="CELLRANGE">
                      <a:rPr lang="en-KE"/>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838-46DE-A803-6AADA588315A}"/>
                </c:ext>
              </c:extLst>
            </c:dLbl>
            <c:dLbl>
              <c:idx val="6"/>
              <c:tx>
                <c:rich>
                  <a:bodyPr/>
                  <a:lstStyle/>
                  <a:p>
                    <a:fld id="{4314B751-360B-4DFD-98B4-3154260E6114}" type="CELLRANGE">
                      <a:rPr lang="en-KE"/>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7838-46DE-A803-6AADA588315A}"/>
                </c:ext>
              </c:extLst>
            </c:dLbl>
            <c:dLbl>
              <c:idx val="7"/>
              <c:tx>
                <c:rich>
                  <a:bodyPr/>
                  <a:lstStyle/>
                  <a:p>
                    <a:fld id="{2C7062B9-58BA-4792-BC6F-D6DF952DC909}" type="CELLRANGE">
                      <a:rPr lang="en-KE"/>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838-46DE-A803-6AADA588315A}"/>
                </c:ext>
              </c:extLst>
            </c:dLbl>
            <c:dLbl>
              <c:idx val="8"/>
              <c:tx>
                <c:rich>
                  <a:bodyPr/>
                  <a:lstStyle/>
                  <a:p>
                    <a:fld id="{335970D6-1398-4C96-AB09-51602BE17F4B}" type="CELLRANGE">
                      <a:rPr lang="en-KE"/>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7838-46DE-A803-6AADA588315A}"/>
                </c:ext>
              </c:extLst>
            </c:dLbl>
            <c:dLbl>
              <c:idx val="9"/>
              <c:tx>
                <c:rich>
                  <a:bodyPr/>
                  <a:lstStyle/>
                  <a:p>
                    <a:fld id="{8CCA64AF-3677-447E-B554-C42C2DDFE741}" type="CELLRANGE">
                      <a:rPr lang="en-KE"/>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7838-46DE-A803-6AADA588315A}"/>
                </c:ext>
              </c:extLst>
            </c:dLbl>
            <c:dLbl>
              <c:idx val="10"/>
              <c:tx>
                <c:rich>
                  <a:bodyPr/>
                  <a:lstStyle/>
                  <a:p>
                    <a:fld id="{59BCA205-EE9D-4450-9D91-DA737CED45E2}" type="CELLRANGE">
                      <a:rPr lang="en-KE"/>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7838-46DE-A803-6AADA588315A}"/>
                </c:ext>
              </c:extLst>
            </c:dLbl>
            <c:dLbl>
              <c:idx val="11"/>
              <c:tx>
                <c:rich>
                  <a:bodyPr/>
                  <a:lstStyle/>
                  <a:p>
                    <a:fld id="{0E3AE45B-12D1-449E-B646-4BEEF032E7AE}" type="CELLRANGE">
                      <a:rPr lang="en-KE"/>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7838-46DE-A803-6AADA588315A}"/>
                </c:ext>
              </c:extLst>
            </c:dLbl>
            <c:dLbl>
              <c:idx val="12"/>
              <c:tx>
                <c:rich>
                  <a:bodyPr/>
                  <a:lstStyle/>
                  <a:p>
                    <a:fld id="{F0E9FEB6-BEB4-4B22-9266-FF776D80DBAA}" type="CELLRANGE">
                      <a:rPr lang="en-KE"/>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7838-46DE-A803-6AADA588315A}"/>
                </c:ext>
              </c:extLst>
            </c:dLbl>
            <c:dLbl>
              <c:idx val="13"/>
              <c:tx>
                <c:rich>
                  <a:bodyPr/>
                  <a:lstStyle/>
                  <a:p>
                    <a:fld id="{F1EDEA42-15D1-4656-979A-5B61F180F421}" type="CELLRANGE">
                      <a:rPr lang="en-KE"/>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7838-46DE-A803-6AADA588315A}"/>
                </c:ext>
              </c:extLst>
            </c:dLbl>
            <c:dLbl>
              <c:idx val="14"/>
              <c:tx>
                <c:rich>
                  <a:bodyPr/>
                  <a:lstStyle/>
                  <a:p>
                    <a:fld id="{616348C8-9826-4166-BF93-3A30E076132E}" type="CELLRANGE">
                      <a:rPr lang="en-KE"/>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7838-46DE-A803-6AADA58831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50000"/>
                      </a:schemeClr>
                    </a:solidFill>
                    <a:latin typeface="+mn-lt"/>
                    <a:ea typeface="+mn-ea"/>
                    <a:cs typeface="+mn-cs"/>
                  </a:defRPr>
                </a:pPr>
                <a:endParaRPr lang="en-KE"/>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Analysis!$B$28:$B$42</c:f>
              <c:strCache>
                <c:ptCount val="15"/>
                <c:pt idx="0">
                  <c:v>Ita</c:v>
                </c:pt>
                <c:pt idx="1">
                  <c:v>Fra</c:v>
                </c:pt>
                <c:pt idx="2">
                  <c:v>Bra</c:v>
                </c:pt>
                <c:pt idx="3">
                  <c:v>Mex</c:v>
                </c:pt>
                <c:pt idx="4">
                  <c:v>Ger</c:v>
                </c:pt>
                <c:pt idx="5">
                  <c:v>Uru</c:v>
                </c:pt>
                <c:pt idx="6">
                  <c:v>Swi</c:v>
                </c:pt>
                <c:pt idx="7">
                  <c:v>Swe</c:v>
                </c:pt>
                <c:pt idx="8">
                  <c:v>Chi</c:v>
                </c:pt>
                <c:pt idx="9">
                  <c:v>Eng</c:v>
                </c:pt>
                <c:pt idx="10">
                  <c:v>Arg</c:v>
                </c:pt>
                <c:pt idx="11">
                  <c:v>Spa</c:v>
                </c:pt>
                <c:pt idx="12">
                  <c:v>USA</c:v>
                </c:pt>
                <c:pt idx="13">
                  <c:v>Kor</c:v>
                </c:pt>
                <c:pt idx="14">
                  <c:v>Sou</c:v>
                </c:pt>
              </c:strCache>
            </c:strRef>
          </c:cat>
          <c:val>
            <c:numRef>
              <c:f>Analysis!$C$28:$C$42</c:f>
              <c:numCache>
                <c:formatCode>General</c:formatCode>
                <c:ptCount val="15"/>
                <c:pt idx="0">
                  <c:v>2</c:v>
                </c:pt>
                <c:pt idx="1">
                  <c:v>2</c:v>
                </c:pt>
                <c:pt idx="2">
                  <c:v>2</c:v>
                </c:pt>
                <c:pt idx="3">
                  <c:v>2</c:v>
                </c:pt>
                <c:pt idx="4">
                  <c:v>2</c:v>
                </c:pt>
                <c:pt idx="5">
                  <c:v>1</c:v>
                </c:pt>
                <c:pt idx="6">
                  <c:v>1</c:v>
                </c:pt>
                <c:pt idx="7">
                  <c:v>1</c:v>
                </c:pt>
                <c:pt idx="8">
                  <c:v>1</c:v>
                </c:pt>
                <c:pt idx="9">
                  <c:v>1</c:v>
                </c:pt>
                <c:pt idx="10">
                  <c:v>1</c:v>
                </c:pt>
                <c:pt idx="11">
                  <c:v>1</c:v>
                </c:pt>
                <c:pt idx="12">
                  <c:v>1</c:v>
                </c:pt>
                <c:pt idx="13">
                  <c:v>1</c:v>
                </c:pt>
                <c:pt idx="14">
                  <c:v>1</c:v>
                </c:pt>
              </c:numCache>
            </c:numRef>
          </c:val>
          <c:extLst>
            <c:ext xmlns:c15="http://schemas.microsoft.com/office/drawing/2012/chart" uri="{02D57815-91ED-43cb-92C2-25804820EDAC}">
              <c15:datalabelsRange>
                <c15:f>(Analysis!$G$10:$G$24,Analysis!$D$10:$D$24)</c15:f>
                <c15:dlblRangeCache>
                  <c:ptCount val="30"/>
                  <c:pt idx="0">
                    <c:v>2006</c:v>
                  </c:pt>
                  <c:pt idx="1">
                    <c:v>2018</c:v>
                  </c:pt>
                  <c:pt idx="2">
                    <c:v>2002</c:v>
                  </c:pt>
                  <c:pt idx="4">
                    <c:v>2014</c:v>
                  </c:pt>
                  <c:pt idx="5">
                    <c:v>1950</c:v>
                  </c:pt>
                  <c:pt idx="9">
                    <c:v>1966</c:v>
                  </c:pt>
                  <c:pt idx="10">
                    <c:v>1986</c:v>
                  </c:pt>
                  <c:pt idx="11">
                    <c:v>2010</c:v>
                  </c:pt>
                  <c:pt idx="15">
                    <c:v>4</c:v>
                  </c:pt>
                  <c:pt idx="16">
                    <c:v>2</c:v>
                  </c:pt>
                  <c:pt idx="17">
                    <c:v>5</c:v>
                  </c:pt>
                  <c:pt idx="18">
                    <c:v>#N/A</c:v>
                  </c:pt>
                  <c:pt idx="19">
                    <c:v>2</c:v>
                  </c:pt>
                  <c:pt idx="20">
                    <c:v>2</c:v>
                  </c:pt>
                  <c:pt idx="21">
                    <c:v>#N/A</c:v>
                  </c:pt>
                  <c:pt idx="22">
                    <c:v>#N/A</c:v>
                  </c:pt>
                  <c:pt idx="23">
                    <c:v>#N/A</c:v>
                  </c:pt>
                  <c:pt idx="24">
                    <c:v>1</c:v>
                  </c:pt>
                  <c:pt idx="25">
                    <c:v>2</c:v>
                  </c:pt>
                  <c:pt idx="26">
                    <c:v>1</c:v>
                  </c:pt>
                  <c:pt idx="27">
                    <c:v>#N/A</c:v>
                  </c:pt>
                  <c:pt idx="28">
                    <c:v>#N/A</c:v>
                  </c:pt>
                  <c:pt idx="29">
                    <c:v>#N/A</c:v>
                  </c:pt>
                </c15:dlblRangeCache>
              </c15:datalabelsRange>
            </c:ext>
            <c:ext xmlns:c16="http://schemas.microsoft.com/office/drawing/2014/chart" uri="{C3380CC4-5D6E-409C-BE32-E72D297353CC}">
              <c16:uniqueId val="{0000000F-7838-46DE-A803-6AADA588315A}"/>
            </c:ext>
          </c:extLst>
        </c:ser>
        <c:dLbls>
          <c:showLegendKey val="0"/>
          <c:showVal val="0"/>
          <c:showCatName val="0"/>
          <c:showSerName val="0"/>
          <c:showPercent val="0"/>
          <c:showBubbleSize val="0"/>
        </c:dLbls>
        <c:gapWidth val="31"/>
        <c:overlap val="-27"/>
        <c:axId val="1017691103"/>
        <c:axId val="1017684447"/>
      </c:barChart>
      <c:catAx>
        <c:axId val="1017691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017684447"/>
        <c:crosses val="autoZero"/>
        <c:auto val="1"/>
        <c:lblAlgn val="ctr"/>
        <c:lblOffset val="100"/>
        <c:noMultiLvlLbl val="0"/>
      </c:catAx>
      <c:valAx>
        <c:axId val="1017684447"/>
        <c:scaling>
          <c:orientation val="minMax"/>
          <c:max val="2"/>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017691103"/>
        <c:crosses val="autoZero"/>
        <c:crossBetween val="between"/>
        <c:majorUnit val="1"/>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K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WorldCupMatches!$AD$1" inc="42" max="100" min="1" page="20"/>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19050</xdr:rowOff>
    </xdr:from>
    <xdr:to>
      <xdr:col>21</xdr:col>
      <xdr:colOff>9524</xdr:colOff>
      <xdr:row>1</xdr:row>
      <xdr:rowOff>114300</xdr:rowOff>
    </xdr:to>
    <xdr:sp macro="" textlink="">
      <xdr:nvSpPr>
        <xdr:cNvPr id="2" name="TextBox 1">
          <a:extLst>
            <a:ext uri="{FF2B5EF4-FFF2-40B4-BE49-F238E27FC236}">
              <a16:creationId xmlns:a16="http://schemas.microsoft.com/office/drawing/2014/main" id="{67BBD8A6-60DE-3996-520D-E936AB657E19}"/>
            </a:ext>
          </a:extLst>
        </xdr:cNvPr>
        <xdr:cNvSpPr txBox="1"/>
      </xdr:nvSpPr>
      <xdr:spPr>
        <a:xfrm>
          <a:off x="628650" y="19050"/>
          <a:ext cx="12182474"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accent6">
                  <a:lumMod val="50000"/>
                </a:schemeClr>
              </a:solidFill>
            </a:rPr>
            <a:t>WORLD CUP SUMMARY 1930 - 2014</a:t>
          </a:r>
          <a:endParaRPr lang="en-KE" sz="1800" b="1">
            <a:solidFill>
              <a:schemeClr val="accent6">
                <a:lumMod val="50000"/>
              </a:schemeClr>
            </a:solidFill>
          </a:endParaRPr>
        </a:p>
      </xdr:txBody>
    </xdr:sp>
    <xdr:clientData/>
  </xdr:twoCellAnchor>
  <xdr:twoCellAnchor editAs="oneCell">
    <xdr:from>
      <xdr:col>0</xdr:col>
      <xdr:colOff>9525</xdr:colOff>
      <xdr:row>0</xdr:row>
      <xdr:rowOff>0</xdr:rowOff>
    </xdr:from>
    <xdr:to>
      <xdr:col>0</xdr:col>
      <xdr:colOff>600075</xdr:colOff>
      <xdr:row>8</xdr:row>
      <xdr:rowOff>10576</xdr:rowOff>
    </xdr:to>
    <xdr:pic>
      <xdr:nvPicPr>
        <xdr:cNvPr id="3" name="Picture 2" descr="Fifa World Cup Trophy - World Cup Trophy 2018 Png PNG Image | Transparent  PNG Free Download on SeekPNG">
          <a:extLst>
            <a:ext uri="{FF2B5EF4-FFF2-40B4-BE49-F238E27FC236}">
              <a16:creationId xmlns:a16="http://schemas.microsoft.com/office/drawing/2014/main" id="{EE773230-19DA-B73C-60B4-DA068050C0A2}"/>
            </a:ext>
          </a:extLst>
        </xdr:cNvPr>
        <xdr:cNvPicPr>
          <a:picLocks noChangeAspect="1" noChangeArrowheads="1"/>
        </xdr:cNvPicPr>
      </xdr:nvPicPr>
      <xdr:blipFill rotWithShape="1">
        <a:blip xmlns:r="http://schemas.openxmlformats.org/officeDocument/2006/relationships" r:embed="rId1" cstate="print">
          <a:extLst>
            <a:ext uri="{BEBA8EAE-BF5A-486C-A8C5-ECC9F3942E4B}">
              <a14:imgProps xmlns:a14="http://schemas.microsoft.com/office/drawing/2010/main">
                <a14:imgLayer r:embed="rId2">
                  <a14:imgEffect>
                    <a14:backgroundRemoval t="3619" b="93899" l="10000" r="90000">
                      <a14:foregroundMark x1="58293" y1="85109" x2="58293" y2="85109"/>
                      <a14:foregroundMark x1="57195" y1="94002" x2="57195" y2="94002"/>
                      <a14:foregroundMark x1="51098" y1="85109" x2="51098" y2="85109"/>
                      <a14:foregroundMark x1="57195" y1="6929" x2="57195" y2="6929"/>
                    </a14:backgroundRemoval>
                  </a14:imgEffect>
                </a14:imgLayer>
              </a14:imgProps>
            </a:ext>
            <a:ext uri="{28A0092B-C50C-407E-A947-70E740481C1C}">
              <a14:useLocalDpi xmlns:a14="http://schemas.microsoft.com/office/drawing/2010/main" val="0"/>
            </a:ext>
          </a:extLst>
        </a:blip>
        <a:srcRect l="28388" t="3889" r="28284" b="3149"/>
        <a:stretch/>
      </xdr:blipFill>
      <xdr:spPr bwMode="auto">
        <a:xfrm>
          <a:off x="9525" y="0"/>
          <a:ext cx="590550" cy="13059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19050</xdr:colOff>
      <xdr:row>5</xdr:row>
      <xdr:rowOff>1</xdr:rowOff>
    </xdr:from>
    <xdr:to>
      <xdr:col>2</xdr:col>
      <xdr:colOff>314325</xdr:colOff>
      <xdr:row>7</xdr:row>
      <xdr:rowOff>114301</xdr:rowOff>
    </xdr:to>
    <xdr:sp macro="" textlink="">
      <xdr:nvSpPr>
        <xdr:cNvPr id="6" name="TextBox 5">
          <a:extLst>
            <a:ext uri="{FF2B5EF4-FFF2-40B4-BE49-F238E27FC236}">
              <a16:creationId xmlns:a16="http://schemas.microsoft.com/office/drawing/2014/main" id="{5D8C2802-DC69-61A4-412A-993D40C79BAD}"/>
            </a:ext>
          </a:extLst>
        </xdr:cNvPr>
        <xdr:cNvSpPr txBox="1"/>
      </xdr:nvSpPr>
      <xdr:spPr>
        <a:xfrm>
          <a:off x="628650" y="809626"/>
          <a:ext cx="904875"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i="0" u="none" strike="noStrike">
              <a:solidFill>
                <a:srgbClr val="000000"/>
              </a:solidFill>
              <a:latin typeface="Calibri"/>
              <a:ea typeface="+mn-ea"/>
              <a:cs typeface="Calibri"/>
            </a:rPr>
            <a:t>Host Nations</a:t>
          </a:r>
          <a:endParaRPr lang="en-KE" sz="1100" b="1" i="0" u="none" strike="noStrike">
            <a:solidFill>
              <a:srgbClr val="000000"/>
            </a:solidFill>
            <a:latin typeface="Calibri"/>
            <a:ea typeface="+mn-ea"/>
            <a:cs typeface="Calibri"/>
          </a:endParaRPr>
        </a:p>
      </xdr:txBody>
    </xdr:sp>
    <xdr:clientData/>
  </xdr:twoCellAnchor>
  <xdr:twoCellAnchor editAs="absolute">
    <xdr:from>
      <xdr:col>2</xdr:col>
      <xdr:colOff>381000</xdr:colOff>
      <xdr:row>1</xdr:row>
      <xdr:rowOff>152400</xdr:rowOff>
    </xdr:from>
    <xdr:to>
      <xdr:col>3</xdr:col>
      <xdr:colOff>504825</xdr:colOff>
      <xdr:row>4</xdr:row>
      <xdr:rowOff>123825</xdr:rowOff>
    </xdr:to>
    <xdr:sp macro="" textlink="Analysis!C4">
      <xdr:nvSpPr>
        <xdr:cNvPr id="7" name="TextBox 6">
          <a:extLst>
            <a:ext uri="{FF2B5EF4-FFF2-40B4-BE49-F238E27FC236}">
              <a16:creationId xmlns:a16="http://schemas.microsoft.com/office/drawing/2014/main" id="{0D102889-593A-4252-9D58-C790A33DDDF8}"/>
            </a:ext>
          </a:extLst>
        </xdr:cNvPr>
        <xdr:cNvSpPr txBox="1"/>
      </xdr:nvSpPr>
      <xdr:spPr>
        <a:xfrm>
          <a:off x="1600200" y="314325"/>
          <a:ext cx="733425" cy="45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96D05B0-8109-4B38-9263-E1C86625888C}" type="TxLink">
            <a:rPr lang="en-US" sz="1800" b="0" i="0" u="none" strike="noStrike">
              <a:solidFill>
                <a:srgbClr val="000000"/>
              </a:solidFill>
              <a:latin typeface="Calibri"/>
              <a:cs typeface="Calibri"/>
            </a:rPr>
            <a:pPr algn="ctr"/>
            <a:t>21</a:t>
          </a:fld>
          <a:endParaRPr lang="en-KE" sz="2400"/>
        </a:p>
      </xdr:txBody>
    </xdr:sp>
    <xdr:clientData/>
  </xdr:twoCellAnchor>
  <xdr:twoCellAnchor editAs="absolute">
    <xdr:from>
      <xdr:col>1</xdr:col>
      <xdr:colOff>19050</xdr:colOff>
      <xdr:row>1</xdr:row>
      <xdr:rowOff>152400</xdr:rowOff>
    </xdr:from>
    <xdr:to>
      <xdr:col>2</xdr:col>
      <xdr:colOff>323850</xdr:colOff>
      <xdr:row>4</xdr:row>
      <xdr:rowOff>123824</xdr:rowOff>
    </xdr:to>
    <xdr:sp macro="" textlink="Analysis!B4">
      <xdr:nvSpPr>
        <xdr:cNvPr id="8" name="TextBox 7">
          <a:extLst>
            <a:ext uri="{FF2B5EF4-FFF2-40B4-BE49-F238E27FC236}">
              <a16:creationId xmlns:a16="http://schemas.microsoft.com/office/drawing/2014/main" id="{09F4A5C5-AA33-43C1-A915-1C383D3FBF97}"/>
            </a:ext>
          </a:extLst>
        </xdr:cNvPr>
        <xdr:cNvSpPr txBox="1"/>
      </xdr:nvSpPr>
      <xdr:spPr>
        <a:xfrm>
          <a:off x="628650" y="314325"/>
          <a:ext cx="914400" cy="4571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69DB9B6-1AD1-4556-9744-AEB4B234CF5C}" type="TxLink">
            <a:rPr lang="en-US" sz="1050" b="1" i="0" u="none" strike="noStrike">
              <a:solidFill>
                <a:srgbClr val="000000"/>
              </a:solidFill>
              <a:latin typeface="Calibri"/>
              <a:cs typeface="Calibri"/>
            </a:rPr>
            <a:pPr/>
            <a:t>World cup competition</a:t>
          </a:fld>
          <a:endParaRPr lang="en-KE" sz="1200" b="1"/>
        </a:p>
      </xdr:txBody>
    </xdr:sp>
    <xdr:clientData/>
  </xdr:twoCellAnchor>
  <xdr:twoCellAnchor editAs="absolute">
    <xdr:from>
      <xdr:col>2</xdr:col>
      <xdr:colOff>381000</xdr:colOff>
      <xdr:row>5</xdr:row>
      <xdr:rowOff>0</xdr:rowOff>
    </xdr:from>
    <xdr:to>
      <xdr:col>3</xdr:col>
      <xdr:colOff>504825</xdr:colOff>
      <xdr:row>7</xdr:row>
      <xdr:rowOff>114300</xdr:rowOff>
    </xdr:to>
    <xdr:sp macro="" textlink="Analysis!C6">
      <xdr:nvSpPr>
        <xdr:cNvPr id="9" name="TextBox 8">
          <a:extLst>
            <a:ext uri="{FF2B5EF4-FFF2-40B4-BE49-F238E27FC236}">
              <a16:creationId xmlns:a16="http://schemas.microsoft.com/office/drawing/2014/main" id="{13341CD5-FDA1-4841-823B-E8EE60922592}"/>
            </a:ext>
          </a:extLst>
        </xdr:cNvPr>
        <xdr:cNvSpPr txBox="1"/>
      </xdr:nvSpPr>
      <xdr:spPr>
        <a:xfrm>
          <a:off x="1600200" y="809625"/>
          <a:ext cx="733425"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1F4A0A7-BAB9-4985-AF0E-54AA109B808C}" type="TxLink">
            <a:rPr lang="en-US" sz="1800" b="0" i="0" u="none" strike="noStrike">
              <a:solidFill>
                <a:srgbClr val="000000"/>
              </a:solidFill>
              <a:latin typeface="Calibri"/>
              <a:ea typeface="+mn-ea"/>
              <a:cs typeface="Calibri"/>
            </a:rPr>
            <a:pPr marL="0" indent="0" algn="ctr"/>
            <a:t>15</a:t>
          </a:fld>
          <a:endParaRPr lang="en-KE" sz="1800" b="0" i="0" u="none" strike="noStrike">
            <a:solidFill>
              <a:srgbClr val="000000"/>
            </a:solidFill>
            <a:latin typeface="Calibri"/>
            <a:ea typeface="+mn-ea"/>
            <a:cs typeface="Calibri"/>
          </a:endParaRPr>
        </a:p>
      </xdr:txBody>
    </xdr:sp>
    <xdr:clientData/>
  </xdr:twoCellAnchor>
  <xdr:twoCellAnchor editAs="absolute">
    <xdr:from>
      <xdr:col>0</xdr:col>
      <xdr:colOff>66675</xdr:colOff>
      <xdr:row>8</xdr:row>
      <xdr:rowOff>47625</xdr:rowOff>
    </xdr:from>
    <xdr:to>
      <xdr:col>8</xdr:col>
      <xdr:colOff>171450</xdr:colOff>
      <xdr:row>22</xdr:row>
      <xdr:rowOff>19050</xdr:rowOff>
    </xdr:to>
    <xdr:graphicFrame macro="">
      <xdr:nvGraphicFramePr>
        <xdr:cNvPr id="4" name="Chart 3">
          <a:extLst>
            <a:ext uri="{FF2B5EF4-FFF2-40B4-BE49-F238E27FC236}">
              <a16:creationId xmlns:a16="http://schemas.microsoft.com/office/drawing/2014/main" id="{7DB33E3F-B1AE-43A8-BF19-5C88DDCF93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323850</xdr:colOff>
      <xdr:row>1</xdr:row>
      <xdr:rowOff>142875</xdr:rowOff>
    </xdr:from>
    <xdr:to>
      <xdr:col>8</xdr:col>
      <xdr:colOff>171450</xdr:colOff>
      <xdr:row>4</xdr:row>
      <xdr:rowOff>85725</xdr:rowOff>
    </xdr:to>
    <xdr:sp macro="" textlink="'unique_countries_by year'!P1">
      <xdr:nvSpPr>
        <xdr:cNvPr id="10" name="TextBox 9">
          <a:extLst>
            <a:ext uri="{FF2B5EF4-FFF2-40B4-BE49-F238E27FC236}">
              <a16:creationId xmlns:a16="http://schemas.microsoft.com/office/drawing/2014/main" id="{F73B1D44-EDA3-43F3-9814-2348C36315B5}"/>
            </a:ext>
          </a:extLst>
        </xdr:cNvPr>
        <xdr:cNvSpPr txBox="1"/>
      </xdr:nvSpPr>
      <xdr:spPr>
        <a:xfrm>
          <a:off x="3371850" y="304800"/>
          <a:ext cx="16002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E0A297F-79F1-4A47-9711-8B0D5EC858D5}" type="TxLink">
            <a:rPr lang="en-US" sz="1800" b="0" i="0" u="none" strike="noStrike">
              <a:solidFill>
                <a:srgbClr val="000000"/>
              </a:solidFill>
              <a:latin typeface="Calibri"/>
              <a:ea typeface="+mn-ea"/>
              <a:cs typeface="Calibri"/>
            </a:rPr>
            <a:pPr marL="0" indent="0" algn="ctr"/>
            <a:t>83 Nations</a:t>
          </a:fld>
          <a:endParaRPr lang="en-KE" sz="1800" b="0" i="0" u="none" strike="noStrike">
            <a:solidFill>
              <a:srgbClr val="000000"/>
            </a:solidFill>
            <a:latin typeface="Calibri"/>
            <a:ea typeface="+mn-ea"/>
            <a:cs typeface="Calibri"/>
          </a:endParaRPr>
        </a:p>
      </xdr:txBody>
    </xdr:sp>
    <xdr:clientData/>
  </xdr:twoCellAnchor>
  <xdr:twoCellAnchor editAs="absolute">
    <xdr:from>
      <xdr:col>3</xdr:col>
      <xdr:colOff>571500</xdr:colOff>
      <xdr:row>1</xdr:row>
      <xdr:rowOff>152401</xdr:rowOff>
    </xdr:from>
    <xdr:to>
      <xdr:col>5</xdr:col>
      <xdr:colOff>266700</xdr:colOff>
      <xdr:row>4</xdr:row>
      <xdr:rowOff>104776</xdr:rowOff>
    </xdr:to>
    <xdr:sp macro="" textlink="">
      <xdr:nvSpPr>
        <xdr:cNvPr id="11" name="TextBox 10">
          <a:extLst>
            <a:ext uri="{FF2B5EF4-FFF2-40B4-BE49-F238E27FC236}">
              <a16:creationId xmlns:a16="http://schemas.microsoft.com/office/drawing/2014/main" id="{87530369-23A7-4673-B47E-A8F055D9B258}"/>
            </a:ext>
          </a:extLst>
        </xdr:cNvPr>
        <xdr:cNvSpPr txBox="1"/>
      </xdr:nvSpPr>
      <xdr:spPr>
        <a:xfrm>
          <a:off x="2400300" y="314326"/>
          <a:ext cx="9144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50" b="1" i="0" u="none" strike="noStrike">
              <a:solidFill>
                <a:srgbClr val="000000"/>
              </a:solidFill>
              <a:latin typeface="Calibri"/>
              <a:ea typeface="+mn-ea"/>
              <a:cs typeface="Calibri"/>
            </a:rPr>
            <a:t>Participants</a:t>
          </a:r>
        </a:p>
      </xdr:txBody>
    </xdr:sp>
    <xdr:clientData/>
  </xdr:twoCellAnchor>
  <xdr:twoCellAnchor editAs="absolute">
    <xdr:from>
      <xdr:col>3</xdr:col>
      <xdr:colOff>571500</xdr:colOff>
      <xdr:row>5</xdr:row>
      <xdr:rowOff>1</xdr:rowOff>
    </xdr:from>
    <xdr:to>
      <xdr:col>5</xdr:col>
      <xdr:colOff>266700</xdr:colOff>
      <xdr:row>7</xdr:row>
      <xdr:rowOff>114301</xdr:rowOff>
    </xdr:to>
    <xdr:sp macro="" textlink="">
      <xdr:nvSpPr>
        <xdr:cNvPr id="12" name="TextBox 11">
          <a:extLst>
            <a:ext uri="{FF2B5EF4-FFF2-40B4-BE49-F238E27FC236}">
              <a16:creationId xmlns:a16="http://schemas.microsoft.com/office/drawing/2014/main" id="{76628800-2865-4386-ADD4-72D1748CE25C}"/>
            </a:ext>
          </a:extLst>
        </xdr:cNvPr>
        <xdr:cNvSpPr txBox="1"/>
      </xdr:nvSpPr>
      <xdr:spPr>
        <a:xfrm>
          <a:off x="2400300" y="809626"/>
          <a:ext cx="9144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50" b="1" i="0" u="none" strike="noStrike">
              <a:solidFill>
                <a:srgbClr val="000000"/>
              </a:solidFill>
              <a:latin typeface="Calibri"/>
              <a:ea typeface="+mn-ea"/>
              <a:cs typeface="Calibri"/>
            </a:rPr>
            <a:t>Champions</a:t>
          </a:r>
        </a:p>
      </xdr:txBody>
    </xdr:sp>
    <xdr:clientData/>
  </xdr:twoCellAnchor>
  <xdr:twoCellAnchor editAs="absolute">
    <xdr:from>
      <xdr:col>5</xdr:col>
      <xdr:colOff>323850</xdr:colOff>
      <xdr:row>5</xdr:row>
      <xdr:rowOff>0</xdr:rowOff>
    </xdr:from>
    <xdr:to>
      <xdr:col>8</xdr:col>
      <xdr:colOff>180975</xdr:colOff>
      <xdr:row>7</xdr:row>
      <xdr:rowOff>104775</xdr:rowOff>
    </xdr:to>
    <xdr:sp macro="" textlink="Analysis!D26">
      <xdr:nvSpPr>
        <xdr:cNvPr id="13" name="TextBox 12">
          <a:extLst>
            <a:ext uri="{FF2B5EF4-FFF2-40B4-BE49-F238E27FC236}">
              <a16:creationId xmlns:a16="http://schemas.microsoft.com/office/drawing/2014/main" id="{1730A381-1BB3-4697-BDCB-84C8C4B9FDEA}"/>
            </a:ext>
          </a:extLst>
        </xdr:cNvPr>
        <xdr:cNvSpPr txBox="1"/>
      </xdr:nvSpPr>
      <xdr:spPr>
        <a:xfrm>
          <a:off x="3371850" y="809625"/>
          <a:ext cx="1609725"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E8D0E0A-E4E0-4474-B6FE-0EA4A5FB505E}" type="TxLink">
            <a:rPr lang="en-US" sz="1200" b="1" i="0" u="none" strike="noStrike">
              <a:solidFill>
                <a:srgbClr val="000000"/>
              </a:solidFill>
              <a:latin typeface="Calibri"/>
              <a:ea typeface="+mn-ea"/>
              <a:cs typeface="Calibri"/>
            </a:rPr>
            <a:pPr marL="0" indent="0" algn="ctr"/>
            <a:t>8 different countries</a:t>
          </a:fld>
          <a:endParaRPr lang="en-KE" sz="1200" b="1" i="0" u="none" strike="noStrike">
            <a:solidFill>
              <a:srgbClr val="000000"/>
            </a:solidFill>
            <a:latin typeface="Calibri"/>
            <a:ea typeface="+mn-ea"/>
            <a:cs typeface="Calibri"/>
          </a:endParaRPr>
        </a:p>
      </xdr:txBody>
    </xdr:sp>
    <xdr:clientData/>
  </xdr:twoCellAnchor>
  <mc:AlternateContent xmlns:mc="http://schemas.openxmlformats.org/markup-compatibility/2006">
    <mc:Choice xmlns:a14="http://schemas.microsoft.com/office/drawing/2010/main" Requires="a14">
      <xdr:twoCellAnchor editAs="absolute">
        <xdr:from>
          <xdr:col>10</xdr:col>
          <xdr:colOff>142876</xdr:colOff>
          <xdr:row>1</xdr:row>
          <xdr:rowOff>123825</xdr:rowOff>
        </xdr:from>
        <xdr:to>
          <xdr:col>10</xdr:col>
          <xdr:colOff>333376</xdr:colOff>
          <xdr:row>21</xdr:row>
          <xdr:rowOff>152400</xdr:rowOff>
        </xdr:to>
        <xdr:sp macro="" textlink="">
          <xdr:nvSpPr>
            <xdr:cNvPr id="1026" name="Scroll Bar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11</xdr:col>
      <xdr:colOff>23495</xdr:colOff>
      <xdr:row>22</xdr:row>
      <xdr:rowOff>88900</xdr:rowOff>
    </xdr:from>
    <xdr:to>
      <xdr:col>12</xdr:col>
      <xdr:colOff>190500</xdr:colOff>
      <xdr:row>23</xdr:row>
      <xdr:rowOff>123824</xdr:rowOff>
    </xdr:to>
    <xdr:sp macro="" textlink="WorldCups!P1">
      <xdr:nvSpPr>
        <xdr:cNvPr id="15" name="TextBox 14">
          <a:extLst>
            <a:ext uri="{FF2B5EF4-FFF2-40B4-BE49-F238E27FC236}">
              <a16:creationId xmlns:a16="http://schemas.microsoft.com/office/drawing/2014/main" id="{4DE20728-B80C-4025-B236-463F44A7C6FF}"/>
            </a:ext>
          </a:extLst>
        </xdr:cNvPr>
        <xdr:cNvSpPr txBox="1"/>
      </xdr:nvSpPr>
      <xdr:spPr>
        <a:xfrm>
          <a:off x="5909945" y="3651250"/>
          <a:ext cx="1014730" cy="196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8FA6FA9-029B-47EB-83AE-AAB1F03BB069}" type="TxLink">
            <a:rPr lang="en-US" sz="1050" b="1" i="1" u="none" strike="noStrike">
              <a:solidFill>
                <a:srgbClr val="000000"/>
              </a:solidFill>
              <a:latin typeface="Calibri"/>
              <a:cs typeface="Calibri"/>
            </a:rPr>
            <a:t>Host Nation</a:t>
          </a:fld>
          <a:endParaRPr lang="en-KE" sz="1200" b="1" i="1"/>
        </a:p>
      </xdr:txBody>
    </xdr:sp>
    <xdr:clientData/>
  </xdr:twoCellAnchor>
  <xdr:twoCellAnchor>
    <xdr:from>
      <xdr:col>12</xdr:col>
      <xdr:colOff>255270</xdr:colOff>
      <xdr:row>22</xdr:row>
      <xdr:rowOff>88901</xdr:rowOff>
    </xdr:from>
    <xdr:to>
      <xdr:col>14</xdr:col>
      <xdr:colOff>276225</xdr:colOff>
      <xdr:row>23</xdr:row>
      <xdr:rowOff>85725</xdr:rowOff>
    </xdr:to>
    <xdr:sp macro="" textlink="WorldCups!R1">
      <xdr:nvSpPr>
        <xdr:cNvPr id="16" name="TextBox 15">
          <a:extLst>
            <a:ext uri="{FF2B5EF4-FFF2-40B4-BE49-F238E27FC236}">
              <a16:creationId xmlns:a16="http://schemas.microsoft.com/office/drawing/2014/main" id="{4B20B6D6-BBA1-4048-9213-E3F5A3AE1430}"/>
            </a:ext>
          </a:extLst>
        </xdr:cNvPr>
        <xdr:cNvSpPr txBox="1"/>
      </xdr:nvSpPr>
      <xdr:spPr>
        <a:xfrm>
          <a:off x="6989445" y="3651251"/>
          <a:ext cx="982980" cy="1587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F8E0E22-68D2-40A2-A112-07D0EF5CF8B4}" type="TxLink">
            <a:rPr lang="en-US" sz="1050" b="1" i="1" u="none" strike="noStrike">
              <a:solidFill>
                <a:srgbClr val="000000"/>
              </a:solidFill>
              <a:latin typeface="Calibri"/>
              <a:cs typeface="Calibri"/>
            </a:rPr>
            <a:pPr algn="ctr"/>
            <a:t>Sweden</a:t>
          </a:fld>
          <a:endParaRPr lang="en-KE" sz="1200" b="1" i="1"/>
        </a:p>
      </xdr:txBody>
    </xdr:sp>
    <xdr:clientData/>
  </xdr:twoCellAnchor>
  <xdr:twoCellAnchor>
    <xdr:from>
      <xdr:col>11</xdr:col>
      <xdr:colOff>16510</xdr:colOff>
      <xdr:row>24</xdr:row>
      <xdr:rowOff>12699</xdr:rowOff>
    </xdr:from>
    <xdr:to>
      <xdr:col>12</xdr:col>
      <xdr:colOff>183515</xdr:colOff>
      <xdr:row>25</xdr:row>
      <xdr:rowOff>47623</xdr:rowOff>
    </xdr:to>
    <xdr:sp macro="" textlink="WorldCups!P2">
      <xdr:nvSpPr>
        <xdr:cNvPr id="17" name="TextBox 16">
          <a:extLst>
            <a:ext uri="{FF2B5EF4-FFF2-40B4-BE49-F238E27FC236}">
              <a16:creationId xmlns:a16="http://schemas.microsoft.com/office/drawing/2014/main" id="{2889807E-B98B-465F-B50D-821AEFACA435}"/>
            </a:ext>
          </a:extLst>
        </xdr:cNvPr>
        <xdr:cNvSpPr txBox="1"/>
      </xdr:nvSpPr>
      <xdr:spPr>
        <a:xfrm>
          <a:off x="5902960" y="3898899"/>
          <a:ext cx="1014730" cy="196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E88EC8C-CB3C-4B25-927A-AFE2740B89EB}" type="TxLink">
            <a:rPr lang="en-US" sz="1050" b="1" i="1" u="none" strike="noStrike">
              <a:solidFill>
                <a:srgbClr val="000000"/>
              </a:solidFill>
              <a:latin typeface="Calibri"/>
              <a:cs typeface="Calibri"/>
            </a:rPr>
            <a:t>Teams</a:t>
          </a:fld>
          <a:endParaRPr lang="en-KE" sz="1200" b="1" i="1"/>
        </a:p>
      </xdr:txBody>
    </xdr:sp>
    <xdr:clientData/>
  </xdr:twoCellAnchor>
  <xdr:twoCellAnchor>
    <xdr:from>
      <xdr:col>11</xdr:col>
      <xdr:colOff>9524</xdr:colOff>
      <xdr:row>25</xdr:row>
      <xdr:rowOff>98423</xdr:rowOff>
    </xdr:from>
    <xdr:to>
      <xdr:col>12</xdr:col>
      <xdr:colOff>176530</xdr:colOff>
      <xdr:row>26</xdr:row>
      <xdr:rowOff>129703</xdr:rowOff>
    </xdr:to>
    <xdr:sp macro="" textlink="WorldCups!P3">
      <xdr:nvSpPr>
        <xdr:cNvPr id="18" name="TextBox 17">
          <a:extLst>
            <a:ext uri="{FF2B5EF4-FFF2-40B4-BE49-F238E27FC236}">
              <a16:creationId xmlns:a16="http://schemas.microsoft.com/office/drawing/2014/main" id="{D1E1507D-3AB7-403E-AE52-2CB393632C9E}"/>
            </a:ext>
          </a:extLst>
        </xdr:cNvPr>
        <xdr:cNvSpPr txBox="1"/>
      </xdr:nvSpPr>
      <xdr:spPr>
        <a:xfrm>
          <a:off x="5895974" y="4146548"/>
          <a:ext cx="1014731" cy="1932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E2D2D5F-1A05-47E2-BDEB-1CCA02361258}" type="TxLink">
            <a:rPr lang="en-US" sz="1050" b="1" i="1" u="none" strike="noStrike">
              <a:solidFill>
                <a:srgbClr val="000000"/>
              </a:solidFill>
              <a:latin typeface="Calibri"/>
              <a:cs typeface="Calibri"/>
            </a:rPr>
            <a:t>Matches</a:t>
          </a:fld>
          <a:endParaRPr lang="en-KE" sz="1200" b="1" i="1"/>
        </a:p>
      </xdr:txBody>
    </xdr:sp>
    <xdr:clientData/>
  </xdr:twoCellAnchor>
  <xdr:twoCellAnchor>
    <xdr:from>
      <xdr:col>11</xdr:col>
      <xdr:colOff>30479</xdr:colOff>
      <xdr:row>27</xdr:row>
      <xdr:rowOff>19050</xdr:rowOff>
    </xdr:from>
    <xdr:to>
      <xdr:col>12</xdr:col>
      <xdr:colOff>190500</xdr:colOff>
      <xdr:row>28</xdr:row>
      <xdr:rowOff>47625</xdr:rowOff>
    </xdr:to>
    <xdr:sp macro="" textlink="WorldCups!P4">
      <xdr:nvSpPr>
        <xdr:cNvPr id="19" name="TextBox 18">
          <a:extLst>
            <a:ext uri="{FF2B5EF4-FFF2-40B4-BE49-F238E27FC236}">
              <a16:creationId xmlns:a16="http://schemas.microsoft.com/office/drawing/2014/main" id="{1421D36A-3BA8-41E8-9CFD-C1D8A7CAB393}"/>
            </a:ext>
          </a:extLst>
        </xdr:cNvPr>
        <xdr:cNvSpPr txBox="1"/>
      </xdr:nvSpPr>
      <xdr:spPr>
        <a:xfrm>
          <a:off x="5916929" y="4391025"/>
          <a:ext cx="1007746"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C1D12C5-FF59-4593-9C7D-92579CCBCBB4}" type="TxLink">
            <a:rPr lang="en-US" sz="1050" b="1" i="1" u="none" strike="noStrike">
              <a:solidFill>
                <a:srgbClr val="000000"/>
              </a:solidFill>
              <a:latin typeface="Calibri"/>
              <a:cs typeface="Calibri"/>
            </a:rPr>
            <a:t>Goals_scored</a:t>
          </a:fld>
          <a:endParaRPr lang="en-KE" sz="1200" b="1" i="1"/>
        </a:p>
      </xdr:txBody>
    </xdr:sp>
    <xdr:clientData/>
  </xdr:twoCellAnchor>
  <xdr:twoCellAnchor>
    <xdr:from>
      <xdr:col>15</xdr:col>
      <xdr:colOff>9524</xdr:colOff>
      <xdr:row>22</xdr:row>
      <xdr:rowOff>69851</xdr:rowOff>
    </xdr:from>
    <xdr:to>
      <xdr:col>15</xdr:col>
      <xdr:colOff>885825</xdr:colOff>
      <xdr:row>24</xdr:row>
      <xdr:rowOff>63643</xdr:rowOff>
    </xdr:to>
    <xdr:sp macro="" textlink="WorldCups!P5">
      <xdr:nvSpPr>
        <xdr:cNvPr id="20" name="TextBox 19">
          <a:extLst>
            <a:ext uri="{FF2B5EF4-FFF2-40B4-BE49-F238E27FC236}">
              <a16:creationId xmlns:a16="http://schemas.microsoft.com/office/drawing/2014/main" id="{7B83180A-84A5-4E02-BC7A-B980EA0299DE}"/>
            </a:ext>
          </a:extLst>
        </xdr:cNvPr>
        <xdr:cNvSpPr txBox="1"/>
      </xdr:nvSpPr>
      <xdr:spPr>
        <a:xfrm>
          <a:off x="9048749" y="3632201"/>
          <a:ext cx="876301" cy="3176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2F8033D-4BCC-48DE-8A7A-2B252BA1D4D9}" type="TxLink">
            <a:rPr lang="en-US" sz="1200" b="1" i="0" u="none" strike="noStrike">
              <a:solidFill>
                <a:schemeClr val="accent6">
                  <a:lumMod val="50000"/>
                </a:schemeClr>
              </a:solidFill>
              <a:latin typeface="Calibri"/>
              <a:cs typeface="Calibri"/>
            </a:rPr>
            <a:t>Winner</a:t>
          </a:fld>
          <a:endParaRPr lang="en-KE" sz="1600" b="1">
            <a:solidFill>
              <a:schemeClr val="accent6">
                <a:lumMod val="50000"/>
              </a:schemeClr>
            </a:solidFill>
          </a:endParaRPr>
        </a:p>
      </xdr:txBody>
    </xdr:sp>
    <xdr:clientData/>
  </xdr:twoCellAnchor>
  <xdr:twoCellAnchor>
    <xdr:from>
      <xdr:col>15</xdr:col>
      <xdr:colOff>9524</xdr:colOff>
      <xdr:row>24</xdr:row>
      <xdr:rowOff>90592</xdr:rowOff>
    </xdr:from>
    <xdr:to>
      <xdr:col>15</xdr:col>
      <xdr:colOff>882014</xdr:colOff>
      <xdr:row>26</xdr:row>
      <xdr:rowOff>63314</xdr:rowOff>
    </xdr:to>
    <xdr:sp macro="" textlink="WorldCups!P6">
      <xdr:nvSpPr>
        <xdr:cNvPr id="21" name="TextBox 20">
          <a:extLst>
            <a:ext uri="{FF2B5EF4-FFF2-40B4-BE49-F238E27FC236}">
              <a16:creationId xmlns:a16="http://schemas.microsoft.com/office/drawing/2014/main" id="{29A48C07-EEC8-4D15-8F35-6795C0B2B3D0}"/>
            </a:ext>
          </a:extLst>
        </xdr:cNvPr>
        <xdr:cNvSpPr txBox="1"/>
      </xdr:nvSpPr>
      <xdr:spPr>
        <a:xfrm>
          <a:off x="9048749" y="3976792"/>
          <a:ext cx="872490" cy="296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0E1788B-2B31-4BBD-B758-69CE5BBB04AC}" type="TxLink">
            <a:rPr lang="en-US" sz="1050" b="1" i="0" u="none" strike="noStrike">
              <a:solidFill>
                <a:schemeClr val="accent6">
                  <a:lumMod val="75000"/>
                </a:schemeClr>
              </a:solidFill>
              <a:latin typeface="Calibri"/>
              <a:cs typeface="Calibri"/>
            </a:rPr>
            <a:t>Runners_up</a:t>
          </a:fld>
          <a:endParaRPr lang="en-KE" sz="1200" b="1">
            <a:solidFill>
              <a:schemeClr val="accent6">
                <a:lumMod val="75000"/>
              </a:schemeClr>
            </a:solidFill>
          </a:endParaRPr>
        </a:p>
      </xdr:txBody>
    </xdr:sp>
    <xdr:clientData/>
  </xdr:twoCellAnchor>
  <xdr:twoCellAnchor>
    <xdr:from>
      <xdr:col>15</xdr:col>
      <xdr:colOff>9524</xdr:colOff>
      <xdr:row>26</xdr:row>
      <xdr:rowOff>90262</xdr:rowOff>
    </xdr:from>
    <xdr:to>
      <xdr:col>15</xdr:col>
      <xdr:colOff>885825</xdr:colOff>
      <xdr:row>28</xdr:row>
      <xdr:rowOff>47625</xdr:rowOff>
    </xdr:to>
    <xdr:sp macro="" textlink="WorldCups!P7">
      <xdr:nvSpPr>
        <xdr:cNvPr id="22" name="TextBox 21">
          <a:extLst>
            <a:ext uri="{FF2B5EF4-FFF2-40B4-BE49-F238E27FC236}">
              <a16:creationId xmlns:a16="http://schemas.microsoft.com/office/drawing/2014/main" id="{C9E26D43-5579-4F5B-B442-D24B89BE2514}"/>
            </a:ext>
          </a:extLst>
        </xdr:cNvPr>
        <xdr:cNvSpPr txBox="1"/>
      </xdr:nvSpPr>
      <xdr:spPr>
        <a:xfrm>
          <a:off x="9048749" y="4300312"/>
          <a:ext cx="876301" cy="2812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BC4652B-CD1C-49F6-8D91-74C52D066557}" type="TxLink">
            <a:rPr lang="en-US" sz="1000" b="1" i="0" u="none" strike="noStrike">
              <a:solidFill>
                <a:schemeClr val="accent6">
                  <a:lumMod val="60000"/>
                  <a:lumOff val="40000"/>
                </a:schemeClr>
              </a:solidFill>
              <a:latin typeface="Calibri"/>
              <a:cs typeface="Calibri"/>
            </a:rPr>
            <a:t>Third place</a:t>
          </a:fld>
          <a:endParaRPr lang="en-KE" sz="1100" b="1">
            <a:solidFill>
              <a:schemeClr val="accent6">
                <a:lumMod val="60000"/>
                <a:lumOff val="40000"/>
              </a:schemeClr>
            </a:solidFill>
          </a:endParaRPr>
        </a:p>
      </xdr:txBody>
    </xdr:sp>
    <xdr:clientData/>
  </xdr:twoCellAnchor>
  <xdr:twoCellAnchor>
    <xdr:from>
      <xdr:col>12</xdr:col>
      <xdr:colOff>255270</xdr:colOff>
      <xdr:row>24</xdr:row>
      <xdr:rowOff>11642</xdr:rowOff>
    </xdr:from>
    <xdr:to>
      <xdr:col>14</xdr:col>
      <xdr:colOff>278130</xdr:colOff>
      <xdr:row>25</xdr:row>
      <xdr:rowOff>10054</xdr:rowOff>
    </xdr:to>
    <xdr:sp macro="" textlink="WorldCups!R2">
      <xdr:nvSpPr>
        <xdr:cNvPr id="23" name="TextBox 22">
          <a:extLst>
            <a:ext uri="{FF2B5EF4-FFF2-40B4-BE49-F238E27FC236}">
              <a16:creationId xmlns:a16="http://schemas.microsoft.com/office/drawing/2014/main" id="{46ED5FC4-C168-49CC-BFEA-06826524FC80}"/>
            </a:ext>
          </a:extLst>
        </xdr:cNvPr>
        <xdr:cNvSpPr txBox="1"/>
      </xdr:nvSpPr>
      <xdr:spPr>
        <a:xfrm>
          <a:off x="6989445" y="3897842"/>
          <a:ext cx="984885" cy="1603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5886C4-732F-427C-A88B-844393DAEF1B}" type="TxLink">
            <a:rPr lang="en-US" sz="1050" b="1" i="1" u="none" strike="noStrike">
              <a:solidFill>
                <a:srgbClr val="000000"/>
              </a:solidFill>
              <a:latin typeface="Calibri"/>
              <a:cs typeface="Calibri"/>
            </a:rPr>
            <a:pPr algn="ctr"/>
            <a:t>16</a:t>
          </a:fld>
          <a:endParaRPr lang="en-KE" sz="1200" b="1" i="1"/>
        </a:p>
      </xdr:txBody>
    </xdr:sp>
    <xdr:clientData/>
  </xdr:twoCellAnchor>
  <xdr:twoCellAnchor>
    <xdr:from>
      <xdr:col>12</xdr:col>
      <xdr:colOff>255270</xdr:colOff>
      <xdr:row>25</xdr:row>
      <xdr:rowOff>88371</xdr:rowOff>
    </xdr:from>
    <xdr:to>
      <xdr:col>14</xdr:col>
      <xdr:colOff>264795</xdr:colOff>
      <xdr:row>26</xdr:row>
      <xdr:rowOff>94720</xdr:rowOff>
    </xdr:to>
    <xdr:sp macro="" textlink="WorldCups!R3">
      <xdr:nvSpPr>
        <xdr:cNvPr id="24" name="TextBox 23">
          <a:extLst>
            <a:ext uri="{FF2B5EF4-FFF2-40B4-BE49-F238E27FC236}">
              <a16:creationId xmlns:a16="http://schemas.microsoft.com/office/drawing/2014/main" id="{299DF8FA-DE03-47BE-B35F-602D5CAA1615}"/>
            </a:ext>
          </a:extLst>
        </xdr:cNvPr>
        <xdr:cNvSpPr txBox="1"/>
      </xdr:nvSpPr>
      <xdr:spPr>
        <a:xfrm>
          <a:off x="6989445" y="4136496"/>
          <a:ext cx="971550" cy="1682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08B823A-EA9A-4D6C-BDED-72D1584A2D51}" type="TxLink">
            <a:rPr lang="en-US" sz="1050" b="1" i="1" u="none" strike="noStrike">
              <a:solidFill>
                <a:srgbClr val="000000"/>
              </a:solidFill>
              <a:latin typeface="Calibri"/>
              <a:cs typeface="Calibri"/>
            </a:rPr>
            <a:pPr algn="ctr"/>
            <a:t>35</a:t>
          </a:fld>
          <a:endParaRPr lang="en-KE" sz="1200" b="1" i="1"/>
        </a:p>
      </xdr:txBody>
    </xdr:sp>
    <xdr:clientData/>
  </xdr:twoCellAnchor>
  <xdr:twoCellAnchor>
    <xdr:from>
      <xdr:col>12</xdr:col>
      <xdr:colOff>255270</xdr:colOff>
      <xdr:row>27</xdr:row>
      <xdr:rowOff>11112</xdr:rowOff>
    </xdr:from>
    <xdr:to>
      <xdr:col>14</xdr:col>
      <xdr:colOff>266700</xdr:colOff>
      <xdr:row>28</xdr:row>
      <xdr:rowOff>47624</xdr:rowOff>
    </xdr:to>
    <xdr:sp macro="" textlink="WorldCups!R4">
      <xdr:nvSpPr>
        <xdr:cNvPr id="25" name="TextBox 24">
          <a:extLst>
            <a:ext uri="{FF2B5EF4-FFF2-40B4-BE49-F238E27FC236}">
              <a16:creationId xmlns:a16="http://schemas.microsoft.com/office/drawing/2014/main" id="{0374564C-898D-4105-9D00-7DF9B3686E97}"/>
            </a:ext>
          </a:extLst>
        </xdr:cNvPr>
        <xdr:cNvSpPr txBox="1"/>
      </xdr:nvSpPr>
      <xdr:spPr>
        <a:xfrm>
          <a:off x="6989445" y="4383087"/>
          <a:ext cx="973455" cy="1984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D3E987A-AF7A-45DE-998B-88485A984E46}" type="TxLink">
            <a:rPr lang="en-US" sz="1050" b="1" i="1" u="none" strike="noStrike">
              <a:solidFill>
                <a:srgbClr val="000000"/>
              </a:solidFill>
              <a:latin typeface="Calibri"/>
              <a:cs typeface="Calibri"/>
            </a:rPr>
            <a:pPr algn="ctr"/>
            <a:t>126</a:t>
          </a:fld>
          <a:endParaRPr lang="en-KE" sz="1200" b="1" i="1"/>
        </a:p>
      </xdr:txBody>
    </xdr:sp>
    <xdr:clientData/>
  </xdr:twoCellAnchor>
  <xdr:twoCellAnchor>
    <xdr:from>
      <xdr:col>15</xdr:col>
      <xdr:colOff>933450</xdr:colOff>
      <xdr:row>22</xdr:row>
      <xdr:rowOff>66676</xdr:rowOff>
    </xdr:from>
    <xdr:to>
      <xdr:col>16</xdr:col>
      <xdr:colOff>95250</xdr:colOff>
      <xdr:row>24</xdr:row>
      <xdr:rowOff>38100</xdr:rowOff>
    </xdr:to>
    <xdr:sp macro="" textlink="WorldCups!R5">
      <xdr:nvSpPr>
        <xdr:cNvPr id="26" name="TextBox 25">
          <a:extLst>
            <a:ext uri="{FF2B5EF4-FFF2-40B4-BE49-F238E27FC236}">
              <a16:creationId xmlns:a16="http://schemas.microsoft.com/office/drawing/2014/main" id="{3F12FAFB-4174-400E-A69A-6B2B4F90B227}"/>
            </a:ext>
          </a:extLst>
        </xdr:cNvPr>
        <xdr:cNvSpPr txBox="1"/>
      </xdr:nvSpPr>
      <xdr:spPr>
        <a:xfrm>
          <a:off x="9972675" y="3629026"/>
          <a:ext cx="1143000" cy="2952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EF8ACA8-1EDF-4BB4-8849-E18AF902EF59}" type="TxLink">
            <a:rPr lang="en-US" sz="1200" b="1" i="0" u="none" strike="noStrike">
              <a:solidFill>
                <a:schemeClr val="accent6">
                  <a:lumMod val="50000"/>
                </a:schemeClr>
              </a:solidFill>
              <a:latin typeface="Calibri"/>
              <a:cs typeface="Calibri"/>
            </a:rPr>
            <a:t>Brazil</a:t>
          </a:fld>
          <a:endParaRPr lang="en-KE" sz="1600" b="1">
            <a:solidFill>
              <a:schemeClr val="accent6">
                <a:lumMod val="50000"/>
              </a:schemeClr>
            </a:solidFill>
          </a:endParaRPr>
        </a:p>
      </xdr:txBody>
    </xdr:sp>
    <xdr:clientData/>
  </xdr:twoCellAnchor>
  <xdr:twoCellAnchor>
    <xdr:from>
      <xdr:col>15</xdr:col>
      <xdr:colOff>933450</xdr:colOff>
      <xdr:row>24</xdr:row>
      <xdr:rowOff>76201</xdr:rowOff>
    </xdr:from>
    <xdr:to>
      <xdr:col>16</xdr:col>
      <xdr:colOff>85725</xdr:colOff>
      <xdr:row>26</xdr:row>
      <xdr:rowOff>38100</xdr:rowOff>
    </xdr:to>
    <xdr:sp macro="" textlink="WorldCups!R6">
      <xdr:nvSpPr>
        <xdr:cNvPr id="27" name="TextBox 26">
          <a:extLst>
            <a:ext uri="{FF2B5EF4-FFF2-40B4-BE49-F238E27FC236}">
              <a16:creationId xmlns:a16="http://schemas.microsoft.com/office/drawing/2014/main" id="{E411B42A-ED40-496D-825B-08FBF3908E28}"/>
            </a:ext>
          </a:extLst>
        </xdr:cNvPr>
        <xdr:cNvSpPr txBox="1"/>
      </xdr:nvSpPr>
      <xdr:spPr>
        <a:xfrm>
          <a:off x="9972675" y="3962401"/>
          <a:ext cx="1133475" cy="2857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9509020-621F-4688-AC47-EC615948E5C0}" type="TxLink">
            <a:rPr lang="en-US" sz="1050" b="1" i="0" u="none" strike="noStrike">
              <a:solidFill>
                <a:schemeClr val="accent6">
                  <a:lumMod val="75000"/>
                </a:schemeClr>
              </a:solidFill>
              <a:latin typeface="Calibri"/>
              <a:cs typeface="Calibri"/>
            </a:rPr>
            <a:t>Sweden</a:t>
          </a:fld>
          <a:endParaRPr lang="en-KE" sz="1200" b="1">
            <a:solidFill>
              <a:schemeClr val="accent6">
                <a:lumMod val="75000"/>
              </a:schemeClr>
            </a:solidFill>
          </a:endParaRPr>
        </a:p>
      </xdr:txBody>
    </xdr:sp>
    <xdr:clientData/>
  </xdr:twoCellAnchor>
  <xdr:twoCellAnchor>
    <xdr:from>
      <xdr:col>15</xdr:col>
      <xdr:colOff>933450</xdr:colOff>
      <xdr:row>26</xdr:row>
      <xdr:rowOff>76201</xdr:rowOff>
    </xdr:from>
    <xdr:to>
      <xdr:col>16</xdr:col>
      <xdr:colOff>85725</xdr:colOff>
      <xdr:row>28</xdr:row>
      <xdr:rowOff>38101</xdr:rowOff>
    </xdr:to>
    <xdr:sp macro="" textlink="WorldCups!R7">
      <xdr:nvSpPr>
        <xdr:cNvPr id="28" name="TextBox 27">
          <a:extLst>
            <a:ext uri="{FF2B5EF4-FFF2-40B4-BE49-F238E27FC236}">
              <a16:creationId xmlns:a16="http://schemas.microsoft.com/office/drawing/2014/main" id="{513DA241-3347-4442-B802-41D77880F066}"/>
            </a:ext>
          </a:extLst>
        </xdr:cNvPr>
        <xdr:cNvSpPr txBox="1"/>
      </xdr:nvSpPr>
      <xdr:spPr>
        <a:xfrm>
          <a:off x="9972675" y="4286251"/>
          <a:ext cx="113347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91F8BC0-08E3-4435-A0C9-AF5CB4CD57B1}" type="TxLink">
            <a:rPr lang="en-US" sz="1000" b="1" i="0" u="none" strike="noStrike">
              <a:solidFill>
                <a:schemeClr val="accent6">
                  <a:lumMod val="60000"/>
                  <a:lumOff val="40000"/>
                </a:schemeClr>
              </a:solidFill>
              <a:latin typeface="Calibri"/>
              <a:cs typeface="Calibri"/>
            </a:rPr>
            <a:t>France</a:t>
          </a:fld>
          <a:endParaRPr lang="en-KE" sz="1100" b="1">
            <a:solidFill>
              <a:schemeClr val="accent6">
                <a:lumMod val="60000"/>
                <a:lumOff val="40000"/>
              </a:schemeClr>
            </a:solidFill>
          </a:endParaRPr>
        </a:p>
      </xdr:txBody>
    </xdr:sp>
    <xdr:clientData/>
  </xdr:twoCellAnchor>
  <xdr:twoCellAnchor>
    <xdr:from>
      <xdr:col>1</xdr:col>
      <xdr:colOff>38100</xdr:colOff>
      <xdr:row>0</xdr:row>
      <xdr:rowOff>28575</xdr:rowOff>
    </xdr:from>
    <xdr:to>
      <xdr:col>2</xdr:col>
      <xdr:colOff>114299</xdr:colOff>
      <xdr:row>1</xdr:row>
      <xdr:rowOff>85725</xdr:rowOff>
    </xdr:to>
    <xdr:sp macro="[0]!reveal" textlink="">
      <xdr:nvSpPr>
        <xdr:cNvPr id="29" name="Rectangle: Rounded Corners 28">
          <a:extLst>
            <a:ext uri="{FF2B5EF4-FFF2-40B4-BE49-F238E27FC236}">
              <a16:creationId xmlns:a16="http://schemas.microsoft.com/office/drawing/2014/main" id="{415CA7FE-98E3-08B2-632D-621F0D53D777}"/>
            </a:ext>
          </a:extLst>
        </xdr:cNvPr>
        <xdr:cNvSpPr/>
      </xdr:nvSpPr>
      <xdr:spPr>
        <a:xfrm>
          <a:off x="647700" y="28575"/>
          <a:ext cx="685799"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 Help</a:t>
          </a:r>
          <a:endParaRPr lang="en-KE" sz="1100"/>
        </a:p>
      </xdr:txBody>
    </xdr:sp>
    <xdr:clientData/>
  </xdr:twoCellAnchor>
  <xdr:twoCellAnchor>
    <xdr:from>
      <xdr:col>8</xdr:col>
      <xdr:colOff>247650</xdr:colOff>
      <xdr:row>23</xdr:row>
      <xdr:rowOff>123825</xdr:rowOff>
    </xdr:from>
    <xdr:to>
      <xdr:col>10</xdr:col>
      <xdr:colOff>57150</xdr:colOff>
      <xdr:row>25</xdr:row>
      <xdr:rowOff>28575</xdr:rowOff>
    </xdr:to>
    <xdr:sp macro="" textlink="">
      <xdr:nvSpPr>
        <xdr:cNvPr id="31" name="Rectangle: Rounded Corners 30">
          <a:extLst>
            <a:ext uri="{FF2B5EF4-FFF2-40B4-BE49-F238E27FC236}">
              <a16:creationId xmlns:a16="http://schemas.microsoft.com/office/drawing/2014/main" id="{B2EC31ED-D7EA-4213-A97E-7FEB5D9D95A3}"/>
            </a:ext>
          </a:extLst>
        </xdr:cNvPr>
        <xdr:cNvSpPr/>
      </xdr:nvSpPr>
      <xdr:spPr>
        <a:xfrm>
          <a:off x="5048250" y="3848100"/>
          <a:ext cx="523875" cy="228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Years</a:t>
          </a:r>
          <a:endParaRPr lang="en-KE" sz="1100"/>
        </a:p>
      </xdr:txBody>
    </xdr:sp>
    <xdr:clientData/>
  </xdr:twoCellAnchor>
  <xdr:twoCellAnchor>
    <xdr:from>
      <xdr:col>9</xdr:col>
      <xdr:colOff>133350</xdr:colOff>
      <xdr:row>20</xdr:row>
      <xdr:rowOff>76200</xdr:rowOff>
    </xdr:from>
    <xdr:to>
      <xdr:col>9</xdr:col>
      <xdr:colOff>242888</xdr:colOff>
      <xdr:row>23</xdr:row>
      <xdr:rowOff>123825</xdr:rowOff>
    </xdr:to>
    <xdr:cxnSp macro="">
      <xdr:nvCxnSpPr>
        <xdr:cNvPr id="33" name="Connector: Curved 32">
          <a:extLst>
            <a:ext uri="{FF2B5EF4-FFF2-40B4-BE49-F238E27FC236}">
              <a16:creationId xmlns:a16="http://schemas.microsoft.com/office/drawing/2014/main" id="{104BFFA4-DE65-D604-FD0C-53D7D4193E37}"/>
            </a:ext>
          </a:extLst>
        </xdr:cNvPr>
        <xdr:cNvCxnSpPr>
          <a:stCxn id="31" idx="0"/>
        </xdr:cNvCxnSpPr>
      </xdr:nvCxnSpPr>
      <xdr:spPr>
        <a:xfrm rot="16200000" flipV="1">
          <a:off x="4988719" y="3526631"/>
          <a:ext cx="533400" cy="109538"/>
        </a:xfrm>
        <a:prstGeom prst="curved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1</xdr:row>
      <xdr:rowOff>161922</xdr:rowOff>
    </xdr:from>
    <xdr:to>
      <xdr:col>13</xdr:col>
      <xdr:colOff>114300</xdr:colOff>
      <xdr:row>21</xdr:row>
      <xdr:rowOff>95250</xdr:rowOff>
    </xdr:to>
    <xdr:sp macro="" textlink="">
      <xdr:nvSpPr>
        <xdr:cNvPr id="38" name="details" hidden="1">
          <a:extLst>
            <a:ext uri="{FF2B5EF4-FFF2-40B4-BE49-F238E27FC236}">
              <a16:creationId xmlns:a16="http://schemas.microsoft.com/office/drawing/2014/main" id="{5E967168-E38D-5D29-B7C1-0E0607FA4B2A}"/>
            </a:ext>
          </a:extLst>
        </xdr:cNvPr>
        <xdr:cNvSpPr txBox="1"/>
      </xdr:nvSpPr>
      <xdr:spPr>
        <a:xfrm>
          <a:off x="0" y="323847"/>
          <a:ext cx="7324725" cy="3171828"/>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pPr algn="ctr"/>
          <a:r>
            <a:rPr lang="en-US" sz="1100" b="1" i="1"/>
            <a:t>This is a simple analysis summary for</a:t>
          </a:r>
          <a:r>
            <a:rPr lang="en-US" sz="1100" b="1" i="1" baseline="0"/>
            <a:t> </a:t>
          </a:r>
          <a:r>
            <a:rPr lang="en-US" sz="1100" b="1" i="1"/>
            <a:t> the world competion</a:t>
          </a:r>
          <a:r>
            <a:rPr lang="en-US" sz="1100" b="1" i="1" baseline="0"/>
            <a:t> from 1930 - 2014</a:t>
          </a:r>
        </a:p>
        <a:p>
          <a:endParaRPr lang="en-US" sz="1100" i="1" baseline="0"/>
        </a:p>
        <a:p>
          <a:r>
            <a:rPr lang="en-US" sz="1100" i="1" baseline="0"/>
            <a:t>1.double click on the year to review how each team faired from the group/prelimary stages to the finals</a:t>
          </a:r>
        </a:p>
        <a:p>
          <a:endParaRPr lang="en-US" sz="1100" i="1" baseline="0"/>
        </a:p>
        <a:p>
          <a:r>
            <a:rPr lang="en-US" sz="1100" i="1" baseline="0"/>
            <a:t>2.Between 1930 and 1938 less than 20 nations participated, use the scroll bar to see the nations in instances where we have more 20 nations.</a:t>
          </a:r>
        </a:p>
        <a:p>
          <a:endParaRPr lang="en-US" sz="1100" i="1" baseline="0"/>
        </a:p>
        <a:p>
          <a:r>
            <a:rPr lang="en-US" sz="1100" i="1" baseline="0"/>
            <a:t>3.The vertical bar chart shows the various host nations, the number of times they have hosted the competion, also shows the latest year the nation won the competition</a:t>
          </a:r>
        </a:p>
        <a:p>
          <a:endParaRPr lang="en-US" sz="1100" i="1" baseline="0"/>
        </a:p>
        <a:p>
          <a:r>
            <a:rPr lang="en-US" sz="1100" i="1" baseline="0"/>
            <a:t>4. The summary above the bar chart is a simple statistics of the number of host nations , number of times the competition has been held , participants and count of winners from the all nations that have ever partcipated</a:t>
          </a:r>
        </a:p>
        <a:p>
          <a:endParaRPr lang="en-US" sz="1100" i="1" baseline="0"/>
        </a:p>
        <a:p>
          <a:r>
            <a:rPr lang="en-US" sz="1100" i="1" baseline="0"/>
            <a:t>5. The summary below the score details drills into the year that competion was held, captures stats such as goals scored, participants and total number of matches played, it also shows the host nation, Winner, runners_up and 3rd  place</a:t>
          </a:r>
        </a:p>
        <a:p>
          <a:endParaRPr lang="en-US" sz="1100" i="1" baseline="0"/>
        </a:p>
      </xdr:txBody>
    </xdr:sp>
    <xdr:clientData/>
  </xdr:twoCellAnchor>
  <xdr:twoCellAnchor>
    <xdr:from>
      <xdr:col>9</xdr:col>
      <xdr:colOff>57150</xdr:colOff>
      <xdr:row>26</xdr:row>
      <xdr:rowOff>133350</xdr:rowOff>
    </xdr:from>
    <xdr:to>
      <xdr:col>11</xdr:col>
      <xdr:colOff>28575</xdr:colOff>
      <xdr:row>27</xdr:row>
      <xdr:rowOff>142875</xdr:rowOff>
    </xdr:to>
    <xdr:sp macro="" textlink="">
      <xdr:nvSpPr>
        <xdr:cNvPr id="39" name="Rectangle: Rounded Corners 38">
          <a:extLst>
            <a:ext uri="{FF2B5EF4-FFF2-40B4-BE49-F238E27FC236}">
              <a16:creationId xmlns:a16="http://schemas.microsoft.com/office/drawing/2014/main" id="{8749CA7D-8DE1-4384-9F06-832502EA44A5}"/>
            </a:ext>
          </a:extLst>
        </xdr:cNvPr>
        <xdr:cNvSpPr/>
      </xdr:nvSpPr>
      <xdr:spPr>
        <a:xfrm>
          <a:off x="5124450" y="4343400"/>
          <a:ext cx="790575" cy="171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Scroll bar</a:t>
          </a:r>
          <a:endParaRPr lang="en-KE" sz="1100"/>
        </a:p>
      </xdr:txBody>
    </xdr:sp>
    <xdr:clientData/>
  </xdr:twoCellAnchor>
  <xdr:twoCellAnchor>
    <xdr:from>
      <xdr:col>10</xdr:col>
      <xdr:colOff>114300</xdr:colOff>
      <xdr:row>21</xdr:row>
      <xdr:rowOff>133351</xdr:rowOff>
    </xdr:from>
    <xdr:to>
      <xdr:col>10</xdr:col>
      <xdr:colOff>219077</xdr:colOff>
      <xdr:row>26</xdr:row>
      <xdr:rowOff>152401</xdr:rowOff>
    </xdr:to>
    <xdr:cxnSp macro="">
      <xdr:nvCxnSpPr>
        <xdr:cNvPr id="40" name="Connector: Curved 39">
          <a:extLst>
            <a:ext uri="{FF2B5EF4-FFF2-40B4-BE49-F238E27FC236}">
              <a16:creationId xmlns:a16="http://schemas.microsoft.com/office/drawing/2014/main" id="{411027D3-3363-4DD6-A2BA-495BBE79FDD1}"/>
            </a:ext>
          </a:extLst>
        </xdr:cNvPr>
        <xdr:cNvCxnSpPr/>
      </xdr:nvCxnSpPr>
      <xdr:spPr>
        <a:xfrm rot="5400000" flipH="1" flipV="1">
          <a:off x="5267326" y="3895725"/>
          <a:ext cx="828675" cy="104777"/>
        </a:xfrm>
        <a:prstGeom prst="curved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4049F1-262F-4AA6-9AC0-A5E243127F39}" name="Table2" displayName="Table2" ref="A1:M853" totalsRowShown="0" headerRowDxfId="37" dataDxfId="36">
  <autoFilter ref="A1:M853" xr:uid="{00000000-0009-0000-0000-000000000000}"/>
  <tableColumns count="13">
    <tableColumn id="1" xr3:uid="{804885B1-80C7-466A-9887-4676E33DE6D5}" name="Year" dataDxfId="35"/>
    <tableColumn id="2" xr3:uid="{282DB22A-395C-4AFD-AEFE-838157613196}" name="Date" dataDxfId="34"/>
    <tableColumn id="3" xr3:uid="{A74A24F0-94D8-4764-834A-CD9615EA9725}" name="Time" dataDxfId="33"/>
    <tableColumn id="4" xr3:uid="{0C873C94-8574-464E-A35F-9A5519991633}" name="Round" dataDxfId="32"/>
    <tableColumn id="5" xr3:uid="{2B57FA75-6162-4CDD-8CED-5C86FECC1799}" name="Stadium" dataDxfId="31"/>
    <tableColumn id="6" xr3:uid="{DA433B06-8419-4E1A-B247-31640E3DF3DC}" name="City" dataDxfId="30"/>
    <tableColumn id="7" xr3:uid="{6A499C9A-4CB3-4BBE-BB51-4940E37FA83C}" name="Country" dataDxfId="29">
      <calculatedColumnFormula>VLOOKUP(A2,WorldCups!$A$2:$B$23,2,FALSE)</calculatedColumnFormula>
    </tableColumn>
    <tableColumn id="8" xr3:uid="{1F12FDD4-677F-48F7-A44A-BE5536CC858F}" name="HomeTeam" dataDxfId="28"/>
    <tableColumn id="9" xr3:uid="{D5A31D20-ADA8-4837-AB0D-E8A6F1F54E8E}" name="HomeGoals" dataDxfId="27"/>
    <tableColumn id="10" xr3:uid="{D14324CC-82DE-4FFB-A4B6-CF0F9EDD45AB}" name="AwayGoals" dataDxfId="26"/>
    <tableColumn id="11" xr3:uid="{0F405C65-4CFF-453C-BD3E-58EE9DF20B4C}" name="AwayTeam" dataDxfId="25"/>
    <tableColumn id="12" xr3:uid="{21B27F95-B3A7-441C-9C69-7A779675F7F4}" name="Observation" dataDxfId="24"/>
    <tableColumn id="13" xr3:uid="{D2E265E1-E7E2-4A6F-A2C4-3D83DA23F7AD}" name="Group_details" dataDxfId="12">
      <calculatedColumnFormula>IF(ISNUMBER(SEARCH("Group",Table2[[#This Row],[Round]])),"Group stages",Table2[[#This Row],[Round]])</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DF6AE6-8BD4-45F6-A9A4-6C65B482A26A}" name="WorldCups" displayName="WorldCups" ref="A1:I23" totalsRowShown="0" headerRowDxfId="23" dataDxfId="22">
  <autoFilter ref="A1:I23" xr:uid="{8ADF6AE6-8BD4-45F6-A9A4-6C65B482A26A}"/>
  <tableColumns count="9">
    <tableColumn id="1" xr3:uid="{4FF6F266-7F74-49DB-AC94-81A03DD48A58}" name="Year" dataDxfId="21"/>
    <tableColumn id="2" xr3:uid="{E9B83B8A-16ED-48F3-86FA-E6DCB442A07E}" name="Country" dataDxfId="20"/>
    <tableColumn id="3" xr3:uid="{97EDFBEA-BB2F-4E0D-A291-51ACF077CEB3}" name="Winner" dataDxfId="19"/>
    <tableColumn id="4" xr3:uid="{ED2D7B05-DCF4-4C84-89A8-174BF5BC66EA}" name="Runners-Up" dataDxfId="18"/>
    <tableColumn id="5" xr3:uid="{783CF251-2D4D-49D7-A4CC-82F809F20DDE}" name="Third" dataDxfId="17"/>
    <tableColumn id="6" xr3:uid="{A916AD5A-994C-454D-A070-F0035E8471EC}" name="Fourth" dataDxfId="16"/>
    <tableColumn id="7" xr3:uid="{6EEC42DA-5E8B-4D84-B7C9-3CC6661F57F6}" name="GoalsScored" dataDxfId="15"/>
    <tableColumn id="8" xr3:uid="{C89B2DFA-B64F-4621-886A-AADEF677B661}" name="QualifiedTeams" dataDxfId="14"/>
    <tableColumn id="9" xr3:uid="{BDC9F2DF-9735-4BFA-8677-4D9BBE16D83A}" name="MatchesPlayed"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B749C9-3DFB-48CD-8975-366B2987AD46}" name="Table4" displayName="Table4" ref="L2:M23" totalsRowShown="0">
  <autoFilter ref="L2:M23" xr:uid="{F5B749C9-3DFB-48CD-8975-366B2987AD46}"/>
  <tableColumns count="2">
    <tableColumn id="1" xr3:uid="{FFD29B62-E846-4560-B1D5-9F355D94EE55}" name="Column1"/>
    <tableColumn id="2" xr3:uid="{6532836B-15CA-411D-B2C7-EDE1013A7931}" name="Column2" dataDxfId="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095D813-645E-4CE3-81D7-92A620840C7C}" name="Table3" displayName="Table3" ref="A1:G853" totalsRowShown="0" headerRowDxfId="4" dataDxfId="3">
  <autoFilter ref="A1:G853" xr:uid="{A095D813-645E-4CE3-81D7-92A620840C7C}"/>
  <tableColumns count="7">
    <tableColumn id="1" xr3:uid="{DC249AE5-D424-4F40-858F-E5EEE607CB87}" name="Year" dataDxfId="11">
      <calculatedColumnFormula>WorldCupMatches!O2</calculatedColumnFormula>
    </tableColumn>
    <tableColumn id="2" xr3:uid="{10C72A41-007B-4856-A91F-573D7EDE9231}" name="Hometeam" dataDxfId="10">
      <calculatedColumnFormula>WorldCupMatches!P2</calculatedColumnFormula>
    </tableColumn>
    <tableColumn id="3" xr3:uid="{DC3C5FBA-7BDE-4449-AF5E-D350873B93DA}" name="Homescore" dataDxfId="9">
      <calculatedColumnFormula>WorldCupMatches!Q2</calculatedColumnFormula>
    </tableColumn>
    <tableColumn id="4" xr3:uid="{DDFE1F65-9880-47D8-911E-0FF64A071D61}" name="Away score" dataDxfId="8">
      <calculatedColumnFormula>WorldCupMatches!R2</calculatedColumnFormula>
    </tableColumn>
    <tableColumn id="5" xr3:uid="{B9CB4F27-B1BC-4064-AE39-C5462E9A9AEC}" name="Away team" dataDxfId="7">
      <calculatedColumnFormula>WorldCupMatches!S2</calculatedColumnFormula>
    </tableColumn>
    <tableColumn id="6" xr3:uid="{15723310-D641-4874-9DCB-79737D7A34E8}" name="Observation" dataDxfId="6">
      <calculatedColumnFormula>WorldCupMatches!T2</calculatedColumnFormula>
    </tableColumn>
    <tableColumn id="7" xr3:uid="{C142AE4F-1890-43F8-A35F-42581A5E02AF}" name="Rounds" dataDxfId="5">
      <calculatedColumnFormula>WorldCupMatches!U2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2530A-C8E0-40C6-92FB-AA4E0B6D3F59}">
  <sheetPr codeName="Sheet6"/>
  <dimension ref="J3:Q23"/>
  <sheetViews>
    <sheetView showGridLines="0" tabSelected="1" workbookViewId="0">
      <selection activeCell="E27" sqref="E27"/>
    </sheetView>
  </sheetViews>
  <sheetFormatPr defaultRowHeight="12.75" x14ac:dyDescent="0.2"/>
  <cols>
    <col min="1" max="7" width="9.140625" style="4"/>
    <col min="8" max="8" width="8" style="4" customWidth="1"/>
    <col min="9" max="9" width="4" style="4" customWidth="1"/>
    <col min="10" max="10" width="6.7109375" style="4" customWidth="1"/>
    <col min="11" max="11" width="5.5703125" style="4" customWidth="1"/>
    <col min="12" max="12" width="14.140625" style="4" bestFit="1" customWidth="1"/>
    <col min="13" max="13" width="7.140625" style="4" bestFit="1" customWidth="1"/>
    <col min="14" max="14" width="7.28515625" style="4" bestFit="1" customWidth="1"/>
    <col min="15" max="15" width="20.140625" style="4" bestFit="1" customWidth="1"/>
    <col min="16" max="16" width="29.7109375" style="4" bestFit="1" customWidth="1"/>
    <col min="17" max="17" width="17.42578125" style="4" bestFit="1" customWidth="1"/>
    <col min="18" max="16384" width="9.140625" style="4"/>
  </cols>
  <sheetData>
    <row r="3" spans="10:17" x14ac:dyDescent="0.2">
      <c r="J3" s="7">
        <v>1930</v>
      </c>
      <c r="L3" s="9" t="s">
        <v>562</v>
      </c>
      <c r="M3" s="9" t="s">
        <v>568</v>
      </c>
      <c r="N3" s="9" t="s">
        <v>569</v>
      </c>
      <c r="O3" s="9" t="s">
        <v>556</v>
      </c>
      <c r="P3" s="9" t="s">
        <v>563</v>
      </c>
      <c r="Q3" s="9" t="s">
        <v>554</v>
      </c>
    </row>
    <row r="4" spans="10:17" x14ac:dyDescent="0.2">
      <c r="J4" s="7">
        <v>1934</v>
      </c>
      <c r="L4" s="8" t="str">
        <f>INDEX(WorldCupMatches!$Y$2:$AD$853,WorldCupMatches!$AD$1+ROWS(WorldCupMatches!$X$2:X2)-1,COLUMNS(Summary!$K$4:K4))</f>
        <v>Sweden</v>
      </c>
      <c r="M4" s="8">
        <f>INDEX(WorldCupMatches!$Y$2:$AD$853,WorldCupMatches!$AD$1+ROWS(WorldCupMatches!$X$2:Y2)-1,COLUMNS(Summary!$K$4:L4))</f>
        <v>3</v>
      </c>
      <c r="N4" s="8">
        <f>INDEX(WorldCupMatches!$Y$2:$AD$853,WorldCupMatches!$AD$1+ROWS(WorldCupMatches!$X$2:Z2)-1,COLUMNS(Summary!$K$4:M4))</f>
        <v>0</v>
      </c>
      <c r="O4" s="8" t="str">
        <f>INDEX(WorldCupMatches!$Y$2:$AD$853,WorldCupMatches!$AD$1+ROWS(WorldCupMatches!$X$2:AA2)-1,COLUMNS(Summary!$K$4:N4))</f>
        <v>Mexico</v>
      </c>
      <c r="P4" s="8" t="str">
        <f>INDEX(WorldCupMatches!$Y$2:$AD$853,WorldCupMatches!$AD$1+ROWS(WorldCupMatches!$X$2:AB2)-1,COLUMNS(Summary!$K$4:O4))</f>
        <v xml:space="preserve"> </v>
      </c>
      <c r="Q4" s="8" t="str">
        <f>INDEX(WorldCupMatches!$Y$2:$AD$853,WorldCupMatches!$AD$1+ROWS(WorldCupMatches!$X$2:AC2)-1,COLUMNS(Summary!$K$4:P4))</f>
        <v>Group stages</v>
      </c>
    </row>
    <row r="5" spans="10:17" x14ac:dyDescent="0.2">
      <c r="J5" s="7">
        <v>1938</v>
      </c>
      <c r="L5" s="8" t="str">
        <f>INDEX(WorldCupMatches!$Y$2:$AD$853,WorldCupMatches!$AD$1+ROWS(WorldCupMatches!$X$2:X3)-1,COLUMNS(Summary!$K$4:K5))</f>
        <v>Soviet Union</v>
      </c>
      <c r="M5" s="8">
        <f>INDEX(WorldCupMatches!$Y$2:$AD$853,WorldCupMatches!$AD$1+ROWS(WorldCupMatches!$X$2:Y3)-1,COLUMNS(Summary!$K$4:L5))</f>
        <v>2</v>
      </c>
      <c r="N5" s="8">
        <f>INDEX(WorldCupMatches!$Y$2:$AD$853,WorldCupMatches!$AD$1+ROWS(WorldCupMatches!$X$2:Z3)-1,COLUMNS(Summary!$K$4:M5))</f>
        <v>2</v>
      </c>
      <c r="O5" s="8" t="str">
        <f>INDEX(WorldCupMatches!$Y$2:$AD$853,WorldCupMatches!$AD$1+ROWS(WorldCupMatches!$X$2:AA3)-1,COLUMNS(Summary!$K$4:N5))</f>
        <v>England</v>
      </c>
      <c r="P5" s="8" t="str">
        <f>INDEX(WorldCupMatches!$Y$2:$AD$853,WorldCupMatches!$AD$1+ROWS(WorldCupMatches!$X$2:AB3)-1,COLUMNS(Summary!$K$4:O5))</f>
        <v xml:space="preserve"> </v>
      </c>
      <c r="Q5" s="8" t="str">
        <f>INDEX(WorldCupMatches!$Y$2:$AD$853,WorldCupMatches!$AD$1+ROWS(WorldCupMatches!$X$2:AC3)-1,COLUMNS(Summary!$K$4:P5))</f>
        <v>Group stages</v>
      </c>
    </row>
    <row r="6" spans="10:17" x14ac:dyDescent="0.2">
      <c r="J6" s="7">
        <v>1950</v>
      </c>
      <c r="L6" s="8" t="str">
        <f>INDEX(WorldCupMatches!$Y$2:$AD$853,WorldCupMatches!$AD$1+ROWS(WorldCupMatches!$X$2:X4)-1,COLUMNS(Summary!$K$4:K6))</f>
        <v>Argentina</v>
      </c>
      <c r="M6" s="8">
        <f>INDEX(WorldCupMatches!$Y$2:$AD$853,WorldCupMatches!$AD$1+ROWS(WorldCupMatches!$X$2:Y4)-1,COLUMNS(Summary!$K$4:L6))</f>
        <v>1</v>
      </c>
      <c r="N6" s="8">
        <f>INDEX(WorldCupMatches!$Y$2:$AD$853,WorldCupMatches!$AD$1+ROWS(WorldCupMatches!$X$2:Z4)-1,COLUMNS(Summary!$K$4:M6))</f>
        <v>3</v>
      </c>
      <c r="O6" s="8" t="str">
        <f>INDEX(WorldCupMatches!$Y$2:$AD$853,WorldCupMatches!$AD$1+ROWS(WorldCupMatches!$X$2:AA4)-1,COLUMNS(Summary!$K$4:N6))</f>
        <v>Germany FR</v>
      </c>
      <c r="P6" s="8" t="str">
        <f>INDEX(WorldCupMatches!$Y$2:$AD$853,WorldCupMatches!$AD$1+ROWS(WorldCupMatches!$X$2:AB4)-1,COLUMNS(Summary!$K$4:O6))</f>
        <v xml:space="preserve"> </v>
      </c>
      <c r="Q6" s="8" t="str">
        <f>INDEX(WorldCupMatches!$Y$2:$AD$853,WorldCupMatches!$AD$1+ROWS(WorldCupMatches!$X$2:AC4)-1,COLUMNS(Summary!$K$4:P6))</f>
        <v>Group stages</v>
      </c>
    </row>
    <row r="7" spans="10:17" x14ac:dyDescent="0.2">
      <c r="J7" s="7">
        <v>1954</v>
      </c>
      <c r="L7" s="8" t="str">
        <f>INDEX(WorldCupMatches!$Y$2:$AD$853,WorldCupMatches!$AD$1+ROWS(WorldCupMatches!$X$2:X5)-1,COLUMNS(Summary!$K$4:K7))</f>
        <v>Hungary</v>
      </c>
      <c r="M7" s="8">
        <f>INDEX(WorldCupMatches!$Y$2:$AD$853,WorldCupMatches!$AD$1+ROWS(WorldCupMatches!$X$2:Y5)-1,COLUMNS(Summary!$K$4:L7))</f>
        <v>1</v>
      </c>
      <c r="N7" s="8">
        <f>INDEX(WorldCupMatches!$Y$2:$AD$853,WorldCupMatches!$AD$1+ROWS(WorldCupMatches!$X$2:Z5)-1,COLUMNS(Summary!$K$4:M7))</f>
        <v>1</v>
      </c>
      <c r="O7" s="8" t="str">
        <f>INDEX(WorldCupMatches!$Y$2:$AD$853,WorldCupMatches!$AD$1+ROWS(WorldCupMatches!$X$2:AA5)-1,COLUMNS(Summary!$K$4:N7))</f>
        <v>Wales</v>
      </c>
      <c r="P7" s="8" t="str">
        <f>INDEX(WorldCupMatches!$Y$2:$AD$853,WorldCupMatches!$AD$1+ROWS(WorldCupMatches!$X$2:AB5)-1,COLUMNS(Summary!$K$4:O7))</f>
        <v xml:space="preserve"> </v>
      </c>
      <c r="Q7" s="8" t="str">
        <f>INDEX(WorldCupMatches!$Y$2:$AD$853,WorldCupMatches!$AD$1+ROWS(WorldCupMatches!$X$2:AC5)-1,COLUMNS(Summary!$K$4:P7))</f>
        <v>Group stages</v>
      </c>
    </row>
    <row r="8" spans="10:17" x14ac:dyDescent="0.2">
      <c r="J8" s="7">
        <v>1958</v>
      </c>
      <c r="L8" s="8" t="str">
        <f>INDEX(WorldCupMatches!$Y$2:$AD$853,WorldCupMatches!$AD$1+ROWS(WorldCupMatches!$X$2:X6)-1,COLUMNS(Summary!$K$4:K8))</f>
        <v>France</v>
      </c>
      <c r="M8" s="8">
        <f>INDEX(WorldCupMatches!$Y$2:$AD$853,WorldCupMatches!$AD$1+ROWS(WorldCupMatches!$X$2:Y6)-1,COLUMNS(Summary!$K$4:L8))</f>
        <v>7</v>
      </c>
      <c r="N8" s="8">
        <f>INDEX(WorldCupMatches!$Y$2:$AD$853,WorldCupMatches!$AD$1+ROWS(WorldCupMatches!$X$2:Z6)-1,COLUMNS(Summary!$K$4:M8))</f>
        <v>3</v>
      </c>
      <c r="O8" s="8" t="str">
        <f>INDEX(WorldCupMatches!$Y$2:$AD$853,WorldCupMatches!$AD$1+ROWS(WorldCupMatches!$X$2:AA6)-1,COLUMNS(Summary!$K$4:N8))</f>
        <v>Paraguay</v>
      </c>
      <c r="P8" s="8" t="str">
        <f>INDEX(WorldCupMatches!$Y$2:$AD$853,WorldCupMatches!$AD$1+ROWS(WorldCupMatches!$X$2:AB6)-1,COLUMNS(Summary!$K$4:O8))</f>
        <v xml:space="preserve"> </v>
      </c>
      <c r="Q8" s="8" t="str">
        <f>INDEX(WorldCupMatches!$Y$2:$AD$853,WorldCupMatches!$AD$1+ROWS(WorldCupMatches!$X$2:AC6)-1,COLUMNS(Summary!$K$4:P8))</f>
        <v>Group stages</v>
      </c>
    </row>
    <row r="9" spans="10:17" x14ac:dyDescent="0.2">
      <c r="J9" s="7">
        <v>1962</v>
      </c>
      <c r="L9" s="8" t="str">
        <f>INDEX(WorldCupMatches!$Y$2:$AD$853,WorldCupMatches!$AD$1+ROWS(WorldCupMatches!$X$2:X7)-1,COLUMNS(Summary!$K$4:K9))</f>
        <v>Yugoslavia</v>
      </c>
      <c r="M9" s="8">
        <f>INDEX(WorldCupMatches!$Y$2:$AD$853,WorldCupMatches!$AD$1+ROWS(WorldCupMatches!$X$2:Y7)-1,COLUMNS(Summary!$K$4:L9))</f>
        <v>1</v>
      </c>
      <c r="N9" s="8">
        <f>INDEX(WorldCupMatches!$Y$2:$AD$853,WorldCupMatches!$AD$1+ROWS(WorldCupMatches!$X$2:Z7)-1,COLUMNS(Summary!$K$4:M9))</f>
        <v>1</v>
      </c>
      <c r="O9" s="8" t="str">
        <f>INDEX(WorldCupMatches!$Y$2:$AD$853,WorldCupMatches!$AD$1+ROWS(WorldCupMatches!$X$2:AA7)-1,COLUMNS(Summary!$K$4:N9))</f>
        <v>Scotland</v>
      </c>
      <c r="P9" s="8" t="str">
        <f>INDEX(WorldCupMatches!$Y$2:$AD$853,WorldCupMatches!$AD$1+ROWS(WorldCupMatches!$X$2:AB7)-1,COLUMNS(Summary!$K$4:O9))</f>
        <v xml:space="preserve"> </v>
      </c>
      <c r="Q9" s="8" t="str">
        <f>INDEX(WorldCupMatches!$Y$2:$AD$853,WorldCupMatches!$AD$1+ROWS(WorldCupMatches!$X$2:AC7)-1,COLUMNS(Summary!$K$4:P9))</f>
        <v>Group stages</v>
      </c>
    </row>
    <row r="10" spans="10:17" x14ac:dyDescent="0.2">
      <c r="J10" s="7">
        <v>1966</v>
      </c>
      <c r="L10" s="8" t="str">
        <f>INDEX(WorldCupMatches!$Y$2:$AD$853,WorldCupMatches!$AD$1+ROWS(WorldCupMatches!$X$2:X8)-1,COLUMNS(Summary!$K$4:K10))</f>
        <v>Brazil</v>
      </c>
      <c r="M10" s="8">
        <f>INDEX(WorldCupMatches!$Y$2:$AD$853,WorldCupMatches!$AD$1+ROWS(WorldCupMatches!$X$2:Y8)-1,COLUMNS(Summary!$K$4:L10))</f>
        <v>3</v>
      </c>
      <c r="N10" s="8">
        <f>INDEX(WorldCupMatches!$Y$2:$AD$853,WorldCupMatches!$AD$1+ROWS(WorldCupMatches!$X$2:Z8)-1,COLUMNS(Summary!$K$4:M10))</f>
        <v>0</v>
      </c>
      <c r="O10" s="8" t="str">
        <f>INDEX(WorldCupMatches!$Y$2:$AD$853,WorldCupMatches!$AD$1+ROWS(WorldCupMatches!$X$2:AA8)-1,COLUMNS(Summary!$K$4:N10))</f>
        <v>Austria</v>
      </c>
      <c r="P10" s="8" t="str">
        <f>INDEX(WorldCupMatches!$Y$2:$AD$853,WorldCupMatches!$AD$1+ROWS(WorldCupMatches!$X$2:AB8)-1,COLUMNS(Summary!$K$4:O10))</f>
        <v xml:space="preserve"> </v>
      </c>
      <c r="Q10" s="8" t="str">
        <f>INDEX(WorldCupMatches!$Y$2:$AD$853,WorldCupMatches!$AD$1+ROWS(WorldCupMatches!$X$2:AC8)-1,COLUMNS(Summary!$K$4:P10))</f>
        <v>Group stages</v>
      </c>
    </row>
    <row r="11" spans="10:17" x14ac:dyDescent="0.2">
      <c r="J11" s="7">
        <v>1970</v>
      </c>
      <c r="L11" s="8" t="str">
        <f>INDEX(WorldCupMatches!$Y$2:$AD$853,WorldCupMatches!$AD$1+ROWS(WorldCupMatches!$X$2:X9)-1,COLUMNS(Summary!$K$4:K11))</f>
        <v>Northern Ireland</v>
      </c>
      <c r="M11" s="8">
        <f>INDEX(WorldCupMatches!$Y$2:$AD$853,WorldCupMatches!$AD$1+ROWS(WorldCupMatches!$X$2:Y9)-1,COLUMNS(Summary!$K$4:L11))</f>
        <v>1</v>
      </c>
      <c r="N11" s="8">
        <f>INDEX(WorldCupMatches!$Y$2:$AD$853,WorldCupMatches!$AD$1+ROWS(WorldCupMatches!$X$2:Z9)-1,COLUMNS(Summary!$K$4:M11))</f>
        <v>0</v>
      </c>
      <c r="O11" s="8" t="str">
        <f>INDEX(WorldCupMatches!$Y$2:$AD$853,WorldCupMatches!$AD$1+ROWS(WorldCupMatches!$X$2:AA9)-1,COLUMNS(Summary!$K$4:N11))</f>
        <v>Czechoslovakia</v>
      </c>
      <c r="P11" s="8" t="str">
        <f>INDEX(WorldCupMatches!$Y$2:$AD$853,WorldCupMatches!$AD$1+ROWS(WorldCupMatches!$X$2:AB9)-1,COLUMNS(Summary!$K$4:O11))</f>
        <v xml:space="preserve"> </v>
      </c>
      <c r="Q11" s="8" t="str">
        <f>INDEX(WorldCupMatches!$Y$2:$AD$853,WorldCupMatches!$AD$1+ROWS(WorldCupMatches!$X$2:AC9)-1,COLUMNS(Summary!$K$4:P11))</f>
        <v>Group stages</v>
      </c>
    </row>
    <row r="12" spans="10:17" x14ac:dyDescent="0.2">
      <c r="J12" s="7">
        <v>1974</v>
      </c>
      <c r="L12" s="8" t="str">
        <f>INDEX(WorldCupMatches!$Y$2:$AD$853,WorldCupMatches!$AD$1+ROWS(WorldCupMatches!$X$2:X10)-1,COLUMNS(Summary!$K$4:K12))</f>
        <v>Brazil</v>
      </c>
      <c r="M12" s="8">
        <f>INDEX(WorldCupMatches!$Y$2:$AD$853,WorldCupMatches!$AD$1+ROWS(WorldCupMatches!$X$2:Y10)-1,COLUMNS(Summary!$K$4:L12))</f>
        <v>0</v>
      </c>
      <c r="N12" s="8">
        <f>INDEX(WorldCupMatches!$Y$2:$AD$853,WorldCupMatches!$AD$1+ROWS(WorldCupMatches!$X$2:Z10)-1,COLUMNS(Summary!$K$4:M12))</f>
        <v>0</v>
      </c>
      <c r="O12" s="8" t="str">
        <f>INDEX(WorldCupMatches!$Y$2:$AD$853,WorldCupMatches!$AD$1+ROWS(WorldCupMatches!$X$2:AA10)-1,COLUMNS(Summary!$K$4:N12))</f>
        <v>England</v>
      </c>
      <c r="P12" s="8" t="str">
        <f>INDEX(WorldCupMatches!$Y$2:$AD$853,WorldCupMatches!$AD$1+ROWS(WorldCupMatches!$X$2:AB10)-1,COLUMNS(Summary!$K$4:O12))</f>
        <v xml:space="preserve"> </v>
      </c>
      <c r="Q12" s="8" t="str">
        <f>INDEX(WorldCupMatches!$Y$2:$AD$853,WorldCupMatches!$AD$1+ROWS(WorldCupMatches!$X$2:AC10)-1,COLUMNS(Summary!$K$4:P12))</f>
        <v>Group stages</v>
      </c>
    </row>
    <row r="13" spans="10:17" x14ac:dyDescent="0.2">
      <c r="J13" s="7">
        <v>1978</v>
      </c>
      <c r="L13" s="8" t="str">
        <f>INDEX(WorldCupMatches!$Y$2:$AD$853,WorldCupMatches!$AD$1+ROWS(WorldCupMatches!$X$2:X11)-1,COLUMNS(Summary!$K$4:K13))</f>
        <v>Mexico</v>
      </c>
      <c r="M13" s="8">
        <f>INDEX(WorldCupMatches!$Y$2:$AD$853,WorldCupMatches!$AD$1+ROWS(WorldCupMatches!$X$2:Y11)-1,COLUMNS(Summary!$K$4:L13))</f>
        <v>1</v>
      </c>
      <c r="N13" s="8">
        <f>INDEX(WorldCupMatches!$Y$2:$AD$853,WorldCupMatches!$AD$1+ROWS(WorldCupMatches!$X$2:Z11)-1,COLUMNS(Summary!$K$4:M13))</f>
        <v>1</v>
      </c>
      <c r="O13" s="8" t="str">
        <f>INDEX(WorldCupMatches!$Y$2:$AD$853,WorldCupMatches!$AD$1+ROWS(WorldCupMatches!$X$2:AA11)-1,COLUMNS(Summary!$K$4:N13))</f>
        <v>Wales</v>
      </c>
      <c r="P13" s="8" t="str">
        <f>INDEX(WorldCupMatches!$Y$2:$AD$853,WorldCupMatches!$AD$1+ROWS(WorldCupMatches!$X$2:AB11)-1,COLUMNS(Summary!$K$4:O13))</f>
        <v xml:space="preserve"> </v>
      </c>
      <c r="Q13" s="8" t="str">
        <f>INDEX(WorldCupMatches!$Y$2:$AD$853,WorldCupMatches!$AD$1+ROWS(WorldCupMatches!$X$2:AC11)-1,COLUMNS(Summary!$K$4:P13))</f>
        <v>Group stages</v>
      </c>
    </row>
    <row r="14" spans="10:17" x14ac:dyDescent="0.2">
      <c r="J14" s="7">
        <v>1982</v>
      </c>
      <c r="L14" s="8" t="str">
        <f>INDEX(WorldCupMatches!$Y$2:$AD$853,WorldCupMatches!$AD$1+ROWS(WorldCupMatches!$X$2:X12)-1,COLUMNS(Summary!$K$4:K14))</f>
        <v>Paraguay</v>
      </c>
      <c r="M14" s="8">
        <f>INDEX(WorldCupMatches!$Y$2:$AD$853,WorldCupMatches!$AD$1+ROWS(WorldCupMatches!$X$2:Y12)-1,COLUMNS(Summary!$K$4:L14))</f>
        <v>3</v>
      </c>
      <c r="N14" s="8">
        <f>INDEX(WorldCupMatches!$Y$2:$AD$853,WorldCupMatches!$AD$1+ROWS(WorldCupMatches!$X$2:Z12)-1,COLUMNS(Summary!$K$4:M14))</f>
        <v>2</v>
      </c>
      <c r="O14" s="8" t="str">
        <f>INDEX(WorldCupMatches!$Y$2:$AD$853,WorldCupMatches!$AD$1+ROWS(WorldCupMatches!$X$2:AA12)-1,COLUMNS(Summary!$K$4:N14))</f>
        <v>Scotland</v>
      </c>
      <c r="P14" s="8" t="str">
        <f>INDEX(WorldCupMatches!$Y$2:$AD$853,WorldCupMatches!$AD$1+ROWS(WorldCupMatches!$X$2:AB12)-1,COLUMNS(Summary!$K$4:O14))</f>
        <v xml:space="preserve"> </v>
      </c>
      <c r="Q14" s="8" t="str">
        <f>INDEX(WorldCupMatches!$Y$2:$AD$853,WorldCupMatches!$AD$1+ROWS(WorldCupMatches!$X$2:AC12)-1,COLUMNS(Summary!$K$4:P14))</f>
        <v>Group stages</v>
      </c>
    </row>
    <row r="15" spans="10:17" x14ac:dyDescent="0.2">
      <c r="J15" s="7">
        <v>1986</v>
      </c>
      <c r="L15" s="8" t="str">
        <f>INDEX(WorldCupMatches!$Y$2:$AD$853,WorldCupMatches!$AD$1+ROWS(WorldCupMatches!$X$2:X13)-1,COLUMNS(Summary!$K$4:K15))</f>
        <v>Yugoslavia</v>
      </c>
      <c r="M15" s="8">
        <f>INDEX(WorldCupMatches!$Y$2:$AD$853,WorldCupMatches!$AD$1+ROWS(WorldCupMatches!$X$2:Y13)-1,COLUMNS(Summary!$K$4:L15))</f>
        <v>3</v>
      </c>
      <c r="N15" s="8">
        <f>INDEX(WorldCupMatches!$Y$2:$AD$853,WorldCupMatches!$AD$1+ROWS(WorldCupMatches!$X$2:Z13)-1,COLUMNS(Summary!$K$4:M15))</f>
        <v>2</v>
      </c>
      <c r="O15" s="8" t="str">
        <f>INDEX(WorldCupMatches!$Y$2:$AD$853,WorldCupMatches!$AD$1+ROWS(WorldCupMatches!$X$2:AA13)-1,COLUMNS(Summary!$K$4:N15))</f>
        <v>France</v>
      </c>
      <c r="P15" s="8" t="str">
        <f>INDEX(WorldCupMatches!$Y$2:$AD$853,WorldCupMatches!$AD$1+ROWS(WorldCupMatches!$X$2:AB13)-1,COLUMNS(Summary!$K$4:O15))</f>
        <v xml:space="preserve"> </v>
      </c>
      <c r="Q15" s="8" t="str">
        <f>INDEX(WorldCupMatches!$Y$2:$AD$853,WorldCupMatches!$AD$1+ROWS(WorldCupMatches!$X$2:AC13)-1,COLUMNS(Summary!$K$4:P15))</f>
        <v>Group stages</v>
      </c>
    </row>
    <row r="16" spans="10:17" x14ac:dyDescent="0.2">
      <c r="J16" s="7">
        <v>1990</v>
      </c>
      <c r="L16" s="8" t="str">
        <f>INDEX(WorldCupMatches!$Y$2:$AD$853,WorldCupMatches!$AD$1+ROWS(WorldCupMatches!$X$2:X14)-1,COLUMNS(Summary!$K$4:K16))</f>
        <v>Soviet Union</v>
      </c>
      <c r="M16" s="8">
        <f>INDEX(WorldCupMatches!$Y$2:$AD$853,WorldCupMatches!$AD$1+ROWS(WorldCupMatches!$X$2:Y14)-1,COLUMNS(Summary!$K$4:L16))</f>
        <v>2</v>
      </c>
      <c r="N16" s="8">
        <f>INDEX(WorldCupMatches!$Y$2:$AD$853,WorldCupMatches!$AD$1+ROWS(WorldCupMatches!$X$2:Z14)-1,COLUMNS(Summary!$K$4:M16))</f>
        <v>0</v>
      </c>
      <c r="O16" s="8" t="str">
        <f>INDEX(WorldCupMatches!$Y$2:$AD$853,WorldCupMatches!$AD$1+ROWS(WorldCupMatches!$X$2:AA14)-1,COLUMNS(Summary!$K$4:N16))</f>
        <v>Austria</v>
      </c>
      <c r="P16" s="8" t="str">
        <f>INDEX(WorldCupMatches!$Y$2:$AD$853,WorldCupMatches!$AD$1+ROWS(WorldCupMatches!$X$2:AB14)-1,COLUMNS(Summary!$K$4:O16))</f>
        <v xml:space="preserve"> </v>
      </c>
      <c r="Q16" s="8" t="str">
        <f>INDEX(WorldCupMatches!$Y$2:$AD$853,WorldCupMatches!$AD$1+ROWS(WorldCupMatches!$X$2:AC14)-1,COLUMNS(Summary!$K$4:P16))</f>
        <v>Group stages</v>
      </c>
    </row>
    <row r="17" spans="10:17" x14ac:dyDescent="0.2">
      <c r="J17" s="7">
        <v>1994</v>
      </c>
      <c r="L17" s="8" t="str">
        <f>INDEX(WorldCupMatches!$Y$2:$AD$853,WorldCupMatches!$AD$1+ROWS(WorldCupMatches!$X$2:X15)-1,COLUMNS(Summary!$K$4:K17))</f>
        <v>Germany FR</v>
      </c>
      <c r="M17" s="8">
        <f>INDEX(WorldCupMatches!$Y$2:$AD$853,WorldCupMatches!$AD$1+ROWS(WorldCupMatches!$X$2:Y15)-1,COLUMNS(Summary!$K$4:L17))</f>
        <v>2</v>
      </c>
      <c r="N17" s="8">
        <f>INDEX(WorldCupMatches!$Y$2:$AD$853,WorldCupMatches!$AD$1+ROWS(WorldCupMatches!$X$2:Z15)-1,COLUMNS(Summary!$K$4:M17))</f>
        <v>2</v>
      </c>
      <c r="O17" s="8" t="str">
        <f>INDEX(WorldCupMatches!$Y$2:$AD$853,WorldCupMatches!$AD$1+ROWS(WorldCupMatches!$X$2:AA15)-1,COLUMNS(Summary!$K$4:N17))</f>
        <v>Czechoslovakia</v>
      </c>
      <c r="P17" s="8" t="str">
        <f>INDEX(WorldCupMatches!$Y$2:$AD$853,WorldCupMatches!$AD$1+ROWS(WorldCupMatches!$X$2:AB15)-1,COLUMNS(Summary!$K$4:O17))</f>
        <v xml:space="preserve"> </v>
      </c>
      <c r="Q17" s="8" t="str">
        <f>INDEX(WorldCupMatches!$Y$2:$AD$853,WorldCupMatches!$AD$1+ROWS(WorldCupMatches!$X$2:AC15)-1,COLUMNS(Summary!$K$4:P17))</f>
        <v>Group stages</v>
      </c>
    </row>
    <row r="18" spans="10:17" x14ac:dyDescent="0.2">
      <c r="J18" s="7">
        <v>1998</v>
      </c>
      <c r="L18" s="8" t="str">
        <f>INDEX(WorldCupMatches!$Y$2:$AD$853,WorldCupMatches!$AD$1+ROWS(WorldCupMatches!$X$2:X16)-1,COLUMNS(Summary!$K$4:K18))</f>
        <v>Argentina</v>
      </c>
      <c r="M18" s="8">
        <f>INDEX(WorldCupMatches!$Y$2:$AD$853,WorldCupMatches!$AD$1+ROWS(WorldCupMatches!$X$2:Y16)-1,COLUMNS(Summary!$K$4:L18))</f>
        <v>3</v>
      </c>
      <c r="N18" s="8">
        <f>INDEX(WorldCupMatches!$Y$2:$AD$853,WorldCupMatches!$AD$1+ROWS(WorldCupMatches!$X$2:Z16)-1,COLUMNS(Summary!$K$4:M18))</f>
        <v>1</v>
      </c>
      <c r="O18" s="8" t="str">
        <f>INDEX(WorldCupMatches!$Y$2:$AD$853,WorldCupMatches!$AD$1+ROWS(WorldCupMatches!$X$2:AA16)-1,COLUMNS(Summary!$K$4:N18))</f>
        <v>Northern Ireland</v>
      </c>
      <c r="P18" s="8" t="str">
        <f>INDEX(WorldCupMatches!$Y$2:$AD$853,WorldCupMatches!$AD$1+ROWS(WorldCupMatches!$X$2:AB16)-1,COLUMNS(Summary!$K$4:O18))</f>
        <v xml:space="preserve"> </v>
      </c>
      <c r="Q18" s="8" t="str">
        <f>INDEX(WorldCupMatches!$Y$2:$AD$853,WorldCupMatches!$AD$1+ROWS(WorldCupMatches!$X$2:AC16)-1,COLUMNS(Summary!$K$4:P18))</f>
        <v>Group stages</v>
      </c>
    </row>
    <row r="19" spans="10:17" x14ac:dyDescent="0.2">
      <c r="J19" s="7">
        <v>2002</v>
      </c>
      <c r="L19" s="8" t="str">
        <f>INDEX(WorldCupMatches!$Y$2:$AD$853,WorldCupMatches!$AD$1+ROWS(WorldCupMatches!$X$2:X17)-1,COLUMNS(Summary!$K$4:K19))</f>
        <v>Sweden</v>
      </c>
      <c r="M19" s="8">
        <f>INDEX(WorldCupMatches!$Y$2:$AD$853,WorldCupMatches!$AD$1+ROWS(WorldCupMatches!$X$2:Y17)-1,COLUMNS(Summary!$K$4:L19))</f>
        <v>2</v>
      </c>
      <c r="N19" s="8">
        <f>INDEX(WorldCupMatches!$Y$2:$AD$853,WorldCupMatches!$AD$1+ROWS(WorldCupMatches!$X$2:Z17)-1,COLUMNS(Summary!$K$4:M19))</f>
        <v>1</v>
      </c>
      <c r="O19" s="8" t="str">
        <f>INDEX(WorldCupMatches!$Y$2:$AD$853,WorldCupMatches!$AD$1+ROWS(WorldCupMatches!$X$2:AA17)-1,COLUMNS(Summary!$K$4:N19))</f>
        <v>Hungary</v>
      </c>
      <c r="P19" s="8" t="str">
        <f>INDEX(WorldCupMatches!$Y$2:$AD$853,WorldCupMatches!$AD$1+ROWS(WorldCupMatches!$X$2:AB17)-1,COLUMNS(Summary!$K$4:O19))</f>
        <v xml:space="preserve"> </v>
      </c>
      <c r="Q19" s="8" t="str">
        <f>INDEX(WorldCupMatches!$Y$2:$AD$853,WorldCupMatches!$AD$1+ROWS(WorldCupMatches!$X$2:AC17)-1,COLUMNS(Summary!$K$4:P19))</f>
        <v>Group stages</v>
      </c>
    </row>
    <row r="20" spans="10:17" x14ac:dyDescent="0.2">
      <c r="J20" s="7">
        <v>2006</v>
      </c>
      <c r="L20" s="8" t="str">
        <f>INDEX(WorldCupMatches!$Y$2:$AD$853,WorldCupMatches!$AD$1+ROWS(WorldCupMatches!$X$2:X18)-1,COLUMNS(Summary!$K$4:K20))</f>
        <v>Sweden</v>
      </c>
      <c r="M20" s="8">
        <f>INDEX(WorldCupMatches!$Y$2:$AD$853,WorldCupMatches!$AD$1+ROWS(WorldCupMatches!$X$2:Y18)-1,COLUMNS(Summary!$K$4:L20))</f>
        <v>0</v>
      </c>
      <c r="N20" s="8">
        <f>INDEX(WorldCupMatches!$Y$2:$AD$853,WorldCupMatches!$AD$1+ROWS(WorldCupMatches!$X$2:Z18)-1,COLUMNS(Summary!$K$4:M20))</f>
        <v>0</v>
      </c>
      <c r="O20" s="8" t="str">
        <f>INDEX(WorldCupMatches!$Y$2:$AD$853,WorldCupMatches!$AD$1+ROWS(WorldCupMatches!$X$2:AA18)-1,COLUMNS(Summary!$K$4:N20))</f>
        <v>Wales</v>
      </c>
      <c r="P20" s="8" t="str">
        <f>INDEX(WorldCupMatches!$Y$2:$AD$853,WorldCupMatches!$AD$1+ROWS(WorldCupMatches!$X$2:AB18)-1,COLUMNS(Summary!$K$4:O20))</f>
        <v xml:space="preserve"> </v>
      </c>
      <c r="Q20" s="8" t="str">
        <f>INDEX(WorldCupMatches!$Y$2:$AD$853,WorldCupMatches!$AD$1+ROWS(WorldCupMatches!$X$2:AC18)-1,COLUMNS(Summary!$K$4:P20))</f>
        <v>Group stages</v>
      </c>
    </row>
    <row r="21" spans="10:17" x14ac:dyDescent="0.2">
      <c r="J21" s="7">
        <v>2010</v>
      </c>
      <c r="L21" s="8" t="str">
        <f>INDEX(WorldCupMatches!$Y$2:$AD$853,WorldCupMatches!$AD$1+ROWS(WorldCupMatches!$X$2:X19)-1,COLUMNS(Summary!$K$4:K21))</f>
        <v>Brazil</v>
      </c>
      <c r="M21" s="8">
        <f>INDEX(WorldCupMatches!$Y$2:$AD$853,WorldCupMatches!$AD$1+ROWS(WorldCupMatches!$X$2:Y19)-1,COLUMNS(Summary!$K$4:L21))</f>
        <v>2</v>
      </c>
      <c r="N21" s="8">
        <f>INDEX(WorldCupMatches!$Y$2:$AD$853,WorldCupMatches!$AD$1+ROWS(WorldCupMatches!$X$2:Z19)-1,COLUMNS(Summary!$K$4:M21))</f>
        <v>0</v>
      </c>
      <c r="O21" s="8" t="str">
        <f>INDEX(WorldCupMatches!$Y$2:$AD$853,WorldCupMatches!$AD$1+ROWS(WorldCupMatches!$X$2:AA19)-1,COLUMNS(Summary!$K$4:N21))</f>
        <v>Soviet Union</v>
      </c>
      <c r="P21" s="8" t="str">
        <f>INDEX(WorldCupMatches!$Y$2:$AD$853,WorldCupMatches!$AD$1+ROWS(WorldCupMatches!$X$2:AB19)-1,COLUMNS(Summary!$K$4:O21))</f>
        <v xml:space="preserve"> </v>
      </c>
      <c r="Q21" s="8" t="str">
        <f>INDEX(WorldCupMatches!$Y$2:$AD$853,WorldCupMatches!$AD$1+ROWS(WorldCupMatches!$X$2:AC19)-1,COLUMNS(Summary!$K$4:P21))</f>
        <v>Group stages</v>
      </c>
    </row>
    <row r="22" spans="10:17" x14ac:dyDescent="0.2">
      <c r="J22" s="7">
        <v>2014</v>
      </c>
      <c r="L22" s="8" t="str">
        <f>INDEX(WorldCupMatches!$Y$2:$AD$853,WorldCupMatches!$AD$1+ROWS(WorldCupMatches!$X$2:X20)-1,COLUMNS(Summary!$K$4:K22))</f>
        <v>Germany FR</v>
      </c>
      <c r="M22" s="8">
        <f>INDEX(WorldCupMatches!$Y$2:$AD$853,WorldCupMatches!$AD$1+ROWS(WorldCupMatches!$X$2:Y20)-1,COLUMNS(Summary!$K$4:L22))</f>
        <v>2</v>
      </c>
      <c r="N22" s="8">
        <f>INDEX(WorldCupMatches!$Y$2:$AD$853,WorldCupMatches!$AD$1+ROWS(WorldCupMatches!$X$2:Z20)-1,COLUMNS(Summary!$K$4:M22))</f>
        <v>2</v>
      </c>
      <c r="O22" s="8" t="str">
        <f>INDEX(WorldCupMatches!$Y$2:$AD$853,WorldCupMatches!$AD$1+ROWS(WorldCupMatches!$X$2:AA20)-1,COLUMNS(Summary!$K$4:N22))</f>
        <v>Northern Ireland</v>
      </c>
      <c r="P22" s="8" t="str">
        <f>INDEX(WorldCupMatches!$Y$2:$AD$853,WorldCupMatches!$AD$1+ROWS(WorldCupMatches!$X$2:AB20)-1,COLUMNS(Summary!$K$4:O22))</f>
        <v xml:space="preserve"> </v>
      </c>
      <c r="Q22" s="8" t="str">
        <f>INDEX(WorldCupMatches!$Y$2:$AD$853,WorldCupMatches!$AD$1+ROWS(WorldCupMatches!$X$2:AC20)-1,COLUMNS(Summary!$K$4:P22))</f>
        <v>Group stages</v>
      </c>
    </row>
    <row r="23" spans="10:17" x14ac:dyDescent="0.2">
      <c r="J23" s="7"/>
    </row>
  </sheetData>
  <conditionalFormatting sqref="J3:J23">
    <cfRule type="notContainsBlanks" dxfId="1" priority="3">
      <formula>LEN(TRIM(J3))&gt;0</formula>
    </cfRule>
  </conditionalFormatting>
  <conditionalFormatting sqref="L4:Q22">
    <cfRule type="notContainsBlanks" dxfId="0" priority="1">
      <formula>LEN(TRIM(L4))&gt;0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Scroll Bar 2">
              <controlPr defaultSize="0" autoPict="0">
                <anchor>
                  <from>
                    <xdr:col>10</xdr:col>
                    <xdr:colOff>142875</xdr:colOff>
                    <xdr:row>1</xdr:row>
                    <xdr:rowOff>123825</xdr:rowOff>
                  </from>
                  <to>
                    <xdr:col>10</xdr:col>
                    <xdr:colOff>333375</xdr:colOff>
                    <xdr:row>21</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853"/>
  <sheetViews>
    <sheetView topLeftCell="R1" workbookViewId="0">
      <selection activeCell="V1" sqref="V1"/>
    </sheetView>
  </sheetViews>
  <sheetFormatPr defaultRowHeight="12.75" x14ac:dyDescent="0.2"/>
  <cols>
    <col min="1" max="1" width="6.7109375" style="1" customWidth="1"/>
    <col min="2" max="2" width="18.28515625" style="1" bestFit="1" customWidth="1"/>
    <col min="3" max="3" width="18.28515625" style="1" customWidth="1"/>
    <col min="4" max="4" width="19.5703125" style="1" bestFit="1" customWidth="1"/>
    <col min="5" max="5" width="46.28515625" style="1" bestFit="1" customWidth="1"/>
    <col min="6" max="6" width="30.7109375" style="1" bestFit="1" customWidth="1"/>
    <col min="7" max="7" width="30.7109375" style="1" customWidth="1"/>
    <col min="8" max="8" width="20.5703125" style="1" bestFit="1" customWidth="1"/>
    <col min="9" max="9" width="12" style="1" customWidth="1"/>
    <col min="10" max="10" width="11.5703125" style="1" customWidth="1"/>
    <col min="11" max="11" width="20.5703125" style="1" bestFit="1" customWidth="1"/>
    <col min="12" max="12" width="35.7109375" style="1" bestFit="1" customWidth="1"/>
    <col min="13" max="13" width="19.140625" style="1" bestFit="1" customWidth="1"/>
    <col min="14" max="14" width="20.140625" style="1" bestFit="1" customWidth="1"/>
    <col min="15" max="15" width="5" style="1" bestFit="1" customWidth="1"/>
    <col min="16" max="16" width="20.140625" style="1" bestFit="1" customWidth="1"/>
    <col min="17" max="17" width="3" style="1" bestFit="1" customWidth="1"/>
    <col min="18" max="18" width="2" style="1" bestFit="1" customWidth="1"/>
    <col min="19" max="19" width="20.140625" style="1" bestFit="1" customWidth="1"/>
    <col min="20" max="20" width="35.7109375" style="1" bestFit="1" customWidth="1"/>
    <col min="21" max="21" width="19.140625" style="1" bestFit="1" customWidth="1"/>
    <col min="22" max="24" width="9.140625" style="1"/>
    <col min="25" max="25" width="13.28515625" style="1" bestFit="1" customWidth="1"/>
    <col min="26" max="26" width="5.85546875" style="1" customWidth="1"/>
    <col min="27" max="27" width="7.28515625" style="1" customWidth="1"/>
    <col min="28" max="29" width="9.140625" style="1"/>
    <col min="30" max="30" width="18" style="1" bestFit="1" customWidth="1"/>
    <col min="31" max="16384" width="9.140625" style="1"/>
  </cols>
  <sheetData>
    <row r="1" spans="1:30" x14ac:dyDescent="0.2">
      <c r="A1" s="1" t="s">
        <v>0</v>
      </c>
      <c r="B1" s="1" t="s">
        <v>499</v>
      </c>
      <c r="C1" s="1" t="s">
        <v>498</v>
      </c>
      <c r="D1" s="1" t="s">
        <v>1</v>
      </c>
      <c r="E1" s="1" t="s">
        <v>2</v>
      </c>
      <c r="F1" s="1" t="s">
        <v>3</v>
      </c>
      <c r="G1" s="1" t="s">
        <v>497</v>
      </c>
      <c r="H1" s="1" t="s">
        <v>4</v>
      </c>
      <c r="I1" s="1" t="s">
        <v>5</v>
      </c>
      <c r="J1" s="1" t="s">
        <v>6</v>
      </c>
      <c r="K1" s="1" t="s">
        <v>7</v>
      </c>
      <c r="L1" s="1" t="s">
        <v>8</v>
      </c>
      <c r="M1" s="1" t="s">
        <v>553</v>
      </c>
      <c r="V1" s="1">
        <v>1958</v>
      </c>
      <c r="AD1" s="1">
        <v>1</v>
      </c>
    </row>
    <row r="2" spans="1:30" x14ac:dyDescent="0.2">
      <c r="A2" s="1">
        <v>1930</v>
      </c>
      <c r="B2" s="2">
        <v>11152</v>
      </c>
      <c r="C2" s="1" t="s">
        <v>500</v>
      </c>
      <c r="D2" s="1" t="s">
        <v>9</v>
      </c>
      <c r="E2" s="1" t="s">
        <v>10</v>
      </c>
      <c r="F2" s="1" t="s">
        <v>11</v>
      </c>
      <c r="G2" s="6" t="str">
        <f>VLOOKUP(A2,WorldCups!$A$2:$B$23,2,FALSE)</f>
        <v>Uruguay</v>
      </c>
      <c r="H2" s="1" t="s">
        <v>12</v>
      </c>
      <c r="I2" s="1">
        <v>4</v>
      </c>
      <c r="J2" s="1">
        <v>1</v>
      </c>
      <c r="K2" s="1" t="s">
        <v>13</v>
      </c>
      <c r="L2" s="1" t="s">
        <v>14</v>
      </c>
      <c r="M2" s="1" t="str">
        <f>IF(ISNUMBER(SEARCH("Group",Table2[[#This Row],[Round]])),"Group stages",Table2[[#This Row],[Round]])</f>
        <v>Group stages</v>
      </c>
      <c r="O2" s="1">
        <f>Table2[[#This Row],[Year]]</f>
        <v>1930</v>
      </c>
      <c r="P2" s="1" t="str">
        <f>INDEX(Table2[[HomeTeam]:[Group_details]],ROWS($N$2:N2),COLUMNS($N$2:N2))</f>
        <v>France</v>
      </c>
      <c r="Q2" s="1">
        <f>INDEX(Table2[[HomeTeam]:[Group_details]],ROWS($N$2:O2),COLUMNS($N$2:O2))</f>
        <v>4</v>
      </c>
      <c r="R2" s="1">
        <f>INDEX(Table2[[HomeTeam]:[Group_details]],ROWS($N$2:P2),COLUMNS($N$2:P2))</f>
        <v>1</v>
      </c>
      <c r="S2" s="1" t="str">
        <f>INDEX(Table2[[HomeTeam]:[Group_details]],ROWS($N$2:Q2),COLUMNS($N$2:Q2))</f>
        <v>Mexico</v>
      </c>
      <c r="T2" s="1" t="str">
        <f>INDEX(Table2[[HomeTeam]:[Group_details]],ROWS($N$2:R2),COLUMNS($N$2:R2))</f>
        <v xml:space="preserve"> </v>
      </c>
      <c r="U2" s="1" t="str">
        <f>INDEX(Table2[[HomeTeam]:[Group_details]],ROWS($N$2:S2),COLUMNS($N$2:S2))</f>
        <v>Group stages</v>
      </c>
      <c r="V2" s="1" t="b">
        <f>IF(O2=$V$1,TRUE)</f>
        <v>0</v>
      </c>
      <c r="W2" s="1" t="str">
        <f>IF(V2=TRUE,ROWS($V$2:V2),"")</f>
        <v/>
      </c>
      <c r="X2" s="1">
        <f>IFERROR(SMALL($W$2:$W$853,ROWS($W$2:W2)),"")</f>
        <v>102</v>
      </c>
      <c r="Y2" s="1" t="str">
        <f>IF($X2&lt;&gt;"",INDEX($P$2:$U$853,MATCH($X2,$W$2:$W$853,0),COLUMNS($X$2:X2)),"")</f>
        <v>Sweden</v>
      </c>
      <c r="Z2" s="1">
        <f>IF($X2&lt;&gt;"",INDEX($P$2:$U$853,MATCH($X2,$W$2:$W$853,0),COLUMNS($X$2:Y2)),"")</f>
        <v>3</v>
      </c>
      <c r="AA2" s="1">
        <f>IF($X2&lt;&gt;"",INDEX($P$2:$U$853,MATCH($X2,$W$2:$W$853,0),COLUMNS($X$2:Z2)),"")</f>
        <v>0</v>
      </c>
      <c r="AB2" s="1" t="str">
        <f>IF($X2&lt;&gt;"",INDEX($P$2:$U$853,MATCH($X2,$W$2:$W$853,0),COLUMNS($X$2:AA2)),"")</f>
        <v>Mexico</v>
      </c>
      <c r="AC2" s="1" t="str">
        <f>IF($X2&lt;&gt;"",INDEX($P$2:$U$853,MATCH($X2,$W$2:$W$853,0),COLUMNS($X$2:AB2)),"")</f>
        <v xml:space="preserve"> </v>
      </c>
      <c r="AD2" s="1" t="str">
        <f>IF($X2&lt;&gt;"",INDEX($P$2:$U$853,MATCH($X2,$W$2:$W$853,0),COLUMNS($X$2:AC2)),"")</f>
        <v>Group stages</v>
      </c>
    </row>
    <row r="3" spans="1:30" x14ac:dyDescent="0.2">
      <c r="A3" s="1">
        <v>1930</v>
      </c>
      <c r="B3" s="2">
        <v>11152</v>
      </c>
      <c r="C3" s="1" t="s">
        <v>500</v>
      </c>
      <c r="D3" s="1" t="s">
        <v>15</v>
      </c>
      <c r="E3" s="1" t="s">
        <v>16</v>
      </c>
      <c r="F3" s="1" t="s">
        <v>11</v>
      </c>
      <c r="G3" s="6" t="str">
        <f>VLOOKUP(A3,WorldCups!$A$2:$B$23,2,FALSE)</f>
        <v>Uruguay</v>
      </c>
      <c r="H3" s="1" t="s">
        <v>17</v>
      </c>
      <c r="I3" s="1">
        <v>3</v>
      </c>
      <c r="J3" s="1">
        <v>0</v>
      </c>
      <c r="K3" s="1" t="s">
        <v>18</v>
      </c>
      <c r="L3" s="1" t="s">
        <v>14</v>
      </c>
      <c r="M3" s="1" t="str">
        <f>IF(ISNUMBER(SEARCH("Group",Table2[[#This Row],[Round]])),"Group stages",Table2[[#This Row],[Round]])</f>
        <v>Group stages</v>
      </c>
      <c r="O3" s="1">
        <f>Table2[[#This Row],[Year]]</f>
        <v>1930</v>
      </c>
      <c r="P3" s="1" t="str">
        <f>INDEX(Table2[[HomeTeam]:[Group_details]],ROWS($N$2:N3),COLUMNS($N$2:N3))</f>
        <v>USA</v>
      </c>
      <c r="Q3" s="1">
        <f>INDEX(Table2[[HomeTeam]:[Group_details]],ROWS($N$2:O3),COLUMNS($N$2:O3))</f>
        <v>3</v>
      </c>
      <c r="R3" s="1">
        <f>INDEX(Table2[[HomeTeam]:[Group_details]],ROWS($N$2:P3),COLUMNS($N$2:P3))</f>
        <v>0</v>
      </c>
      <c r="S3" s="1" t="str">
        <f>INDEX(Table2[[HomeTeam]:[Group_details]],ROWS($N$2:Q3),COLUMNS($N$2:Q3))</f>
        <v>Belgium</v>
      </c>
      <c r="T3" s="1" t="str">
        <f>INDEX(Table2[[HomeTeam]:[Group_details]],ROWS($N$2:R3),COLUMNS($N$2:R3))</f>
        <v xml:space="preserve"> </v>
      </c>
      <c r="U3" s="1" t="str">
        <f>INDEX(Table2[[HomeTeam]:[Group_details]],ROWS($N$2:S3),COLUMNS($N$2:S3))</f>
        <v>Group stages</v>
      </c>
      <c r="V3" s="1" t="b">
        <f t="shared" ref="V3:V66" si="0">IF(O3=$V$1,TRUE)</f>
        <v>0</v>
      </c>
      <c r="W3" s="1" t="str">
        <f>IF(V3=TRUE,ROWS($V$2:V3),"")</f>
        <v/>
      </c>
      <c r="X3" s="1">
        <f>IFERROR(SMALL($W$2:$W$853,ROWS($W$2:W3)),"")</f>
        <v>103</v>
      </c>
      <c r="Y3" s="1" t="str">
        <f>IF($X3&lt;&gt;"",INDEX($P$2:$U$853,MATCH($X3,$W$2:$W$853,0),COLUMNS($X$2:X3)),"")</f>
        <v>Soviet Union</v>
      </c>
      <c r="Z3" s="1">
        <f>IF($X3&lt;&gt;"",INDEX($P$2:$U$853,MATCH($X3,$W$2:$W$853,0),COLUMNS($X$2:Y3)),"")</f>
        <v>2</v>
      </c>
      <c r="AA3" s="1">
        <f>IF($X3&lt;&gt;"",INDEX($P$2:$U$853,MATCH($X3,$W$2:$W$853,0),COLUMNS($X$2:Z3)),"")</f>
        <v>2</v>
      </c>
      <c r="AB3" s="1" t="str">
        <f>IF($X3&lt;&gt;"",INDEX($P$2:$U$853,MATCH($X3,$W$2:$W$853,0),COLUMNS($X$2:AA3)),"")</f>
        <v>England</v>
      </c>
      <c r="AC3" s="1" t="str">
        <f>IF($X3&lt;&gt;"",INDEX($P$2:$U$853,MATCH($X3,$W$2:$W$853,0),COLUMNS($X$2:AB3)),"")</f>
        <v xml:space="preserve"> </v>
      </c>
      <c r="AD3" s="1" t="str">
        <f>IF($X3&lt;&gt;"",INDEX($P$2:$U$853,MATCH($X3,$W$2:$W$853,0),COLUMNS($X$2:AC3)),"")</f>
        <v>Group stages</v>
      </c>
    </row>
    <row r="4" spans="1:30" x14ac:dyDescent="0.2">
      <c r="A4" s="1">
        <v>1930</v>
      </c>
      <c r="B4" s="2">
        <v>11153</v>
      </c>
      <c r="C4" s="1" t="s">
        <v>501</v>
      </c>
      <c r="D4" s="1" t="s">
        <v>19</v>
      </c>
      <c r="E4" s="1" t="s">
        <v>16</v>
      </c>
      <c r="F4" s="1" t="s">
        <v>11</v>
      </c>
      <c r="G4" s="6" t="str">
        <f>VLOOKUP(A4,WorldCups!$A$2:$B$23,2,FALSE)</f>
        <v>Uruguay</v>
      </c>
      <c r="H4" s="1" t="s">
        <v>20</v>
      </c>
      <c r="I4" s="1">
        <v>2</v>
      </c>
      <c r="J4" s="1">
        <v>1</v>
      </c>
      <c r="K4" s="1" t="s">
        <v>21</v>
      </c>
      <c r="L4" s="1" t="s">
        <v>14</v>
      </c>
      <c r="M4" s="1" t="str">
        <f>IF(ISNUMBER(SEARCH("Group",Table2[[#This Row],[Round]])),"Group stages",Table2[[#This Row],[Round]])</f>
        <v>Group stages</v>
      </c>
      <c r="O4" s="1">
        <f>Table2[[#This Row],[Year]]</f>
        <v>1930</v>
      </c>
      <c r="P4" s="1" t="str">
        <f>INDEX(Table2[[HomeTeam]:[Group_details]],ROWS($N$2:N4),COLUMNS($N$2:N4))</f>
        <v>Yugoslavia</v>
      </c>
      <c r="Q4" s="1">
        <f>INDEX(Table2[[HomeTeam]:[Group_details]],ROWS($N$2:O4),COLUMNS($N$2:O4))</f>
        <v>2</v>
      </c>
      <c r="R4" s="1">
        <f>INDEX(Table2[[HomeTeam]:[Group_details]],ROWS($N$2:P4),COLUMNS($N$2:P4))</f>
        <v>1</v>
      </c>
      <c r="S4" s="1" t="str">
        <f>INDEX(Table2[[HomeTeam]:[Group_details]],ROWS($N$2:Q4),COLUMNS($N$2:Q4))</f>
        <v>Brazil</v>
      </c>
      <c r="T4" s="1" t="str">
        <f>INDEX(Table2[[HomeTeam]:[Group_details]],ROWS($N$2:R4),COLUMNS($N$2:R4))</f>
        <v xml:space="preserve"> </v>
      </c>
      <c r="U4" s="1" t="str">
        <f>INDEX(Table2[[HomeTeam]:[Group_details]],ROWS($N$2:S4),COLUMNS($N$2:S4))</f>
        <v>Group stages</v>
      </c>
      <c r="V4" s="1" t="b">
        <f t="shared" si="0"/>
        <v>0</v>
      </c>
      <c r="W4" s="1" t="str">
        <f>IF(V4=TRUE,ROWS($V$2:V4),"")</f>
        <v/>
      </c>
      <c r="X4" s="1">
        <f>IFERROR(SMALL($W$2:$W$853,ROWS($W$2:W4)),"")</f>
        <v>104</v>
      </c>
      <c r="Y4" s="1" t="str">
        <f>IF($X4&lt;&gt;"",INDEX($P$2:$U$853,MATCH($X4,$W$2:$W$853,0),COLUMNS($X$2:X4)),"")</f>
        <v>Argentina</v>
      </c>
      <c r="Z4" s="1">
        <f>IF($X4&lt;&gt;"",INDEX($P$2:$U$853,MATCH($X4,$W$2:$W$853,0),COLUMNS($X$2:Y4)),"")</f>
        <v>1</v>
      </c>
      <c r="AA4" s="1">
        <f>IF($X4&lt;&gt;"",INDEX($P$2:$U$853,MATCH($X4,$W$2:$W$853,0),COLUMNS($X$2:Z4)),"")</f>
        <v>3</v>
      </c>
      <c r="AB4" s="1" t="str">
        <f>IF($X4&lt;&gt;"",INDEX($P$2:$U$853,MATCH($X4,$W$2:$W$853,0),COLUMNS($X$2:AA4)),"")</f>
        <v>Germany FR</v>
      </c>
      <c r="AC4" s="1" t="str">
        <f>IF($X4&lt;&gt;"",INDEX($P$2:$U$853,MATCH($X4,$W$2:$W$853,0),COLUMNS($X$2:AB4)),"")</f>
        <v xml:space="preserve"> </v>
      </c>
      <c r="AD4" s="1" t="str">
        <f>IF($X4&lt;&gt;"",INDEX($P$2:$U$853,MATCH($X4,$W$2:$W$853,0),COLUMNS($X$2:AC4)),"")</f>
        <v>Group stages</v>
      </c>
    </row>
    <row r="5" spans="1:30" x14ac:dyDescent="0.2">
      <c r="A5" s="1">
        <v>1930</v>
      </c>
      <c r="B5" s="2">
        <v>11153</v>
      </c>
      <c r="C5" s="1" t="s">
        <v>502</v>
      </c>
      <c r="D5" s="1" t="s">
        <v>22</v>
      </c>
      <c r="E5" s="1" t="s">
        <v>10</v>
      </c>
      <c r="F5" s="1" t="s">
        <v>11</v>
      </c>
      <c r="G5" s="6" t="str">
        <f>VLOOKUP(A5,WorldCups!$A$2:$B$23,2,FALSE)</f>
        <v>Uruguay</v>
      </c>
      <c r="H5" s="1" t="s">
        <v>23</v>
      </c>
      <c r="I5" s="1">
        <v>3</v>
      </c>
      <c r="J5" s="1">
        <v>1</v>
      </c>
      <c r="K5" s="1" t="s">
        <v>24</v>
      </c>
      <c r="L5" s="1" t="s">
        <v>14</v>
      </c>
      <c r="M5" s="1" t="str">
        <f>IF(ISNUMBER(SEARCH("Group",Table2[[#This Row],[Round]])),"Group stages",Table2[[#This Row],[Round]])</f>
        <v>Group stages</v>
      </c>
      <c r="O5" s="1">
        <f>Table2[[#This Row],[Year]]</f>
        <v>1930</v>
      </c>
      <c r="P5" s="1" t="str">
        <f>INDEX(Table2[[HomeTeam]:[Group_details]],ROWS($N$2:N5),COLUMNS($N$2:N5))</f>
        <v>Romania</v>
      </c>
      <c r="Q5" s="1">
        <f>INDEX(Table2[[HomeTeam]:[Group_details]],ROWS($N$2:O5),COLUMNS($N$2:O5))</f>
        <v>3</v>
      </c>
      <c r="R5" s="1">
        <f>INDEX(Table2[[HomeTeam]:[Group_details]],ROWS($N$2:P5),COLUMNS($N$2:P5))</f>
        <v>1</v>
      </c>
      <c r="S5" s="1" t="str">
        <f>INDEX(Table2[[HomeTeam]:[Group_details]],ROWS($N$2:Q5),COLUMNS($N$2:Q5))</f>
        <v>Peru</v>
      </c>
      <c r="T5" s="1" t="str">
        <f>INDEX(Table2[[HomeTeam]:[Group_details]],ROWS($N$2:R5),COLUMNS($N$2:R5))</f>
        <v xml:space="preserve"> </v>
      </c>
      <c r="U5" s="1" t="str">
        <f>INDEX(Table2[[HomeTeam]:[Group_details]],ROWS($N$2:S5),COLUMNS($N$2:S5))</f>
        <v>Group stages</v>
      </c>
      <c r="V5" s="1" t="b">
        <f t="shared" si="0"/>
        <v>0</v>
      </c>
      <c r="W5" s="1" t="str">
        <f>IF(V5=TRUE,ROWS($V$2:V5),"")</f>
        <v/>
      </c>
      <c r="X5" s="1">
        <f>IFERROR(SMALL($W$2:$W$853,ROWS($W$2:W5)),"")</f>
        <v>105</v>
      </c>
      <c r="Y5" s="1" t="str">
        <f>IF($X5&lt;&gt;"",INDEX($P$2:$U$853,MATCH($X5,$W$2:$W$853,0),COLUMNS($X$2:X5)),"")</f>
        <v>Hungary</v>
      </c>
      <c r="Z5" s="1">
        <f>IF($X5&lt;&gt;"",INDEX($P$2:$U$853,MATCH($X5,$W$2:$W$853,0),COLUMNS($X$2:Y5)),"")</f>
        <v>1</v>
      </c>
      <c r="AA5" s="1">
        <f>IF($X5&lt;&gt;"",INDEX($P$2:$U$853,MATCH($X5,$W$2:$W$853,0),COLUMNS($X$2:Z5)),"")</f>
        <v>1</v>
      </c>
      <c r="AB5" s="1" t="str">
        <f>IF($X5&lt;&gt;"",INDEX($P$2:$U$853,MATCH($X5,$W$2:$W$853,0),COLUMNS($X$2:AA5)),"")</f>
        <v>Wales</v>
      </c>
      <c r="AC5" s="1" t="str">
        <f>IF($X5&lt;&gt;"",INDEX($P$2:$U$853,MATCH($X5,$W$2:$W$853,0),COLUMNS($X$2:AB5)),"")</f>
        <v xml:space="preserve"> </v>
      </c>
      <c r="AD5" s="1" t="str">
        <f>IF($X5&lt;&gt;"",INDEX($P$2:$U$853,MATCH($X5,$W$2:$W$853,0),COLUMNS($X$2:AC5)),"")</f>
        <v>Group stages</v>
      </c>
    </row>
    <row r="6" spans="1:30" x14ac:dyDescent="0.2">
      <c r="A6" s="1">
        <v>1930</v>
      </c>
      <c r="B6" s="2">
        <v>11154</v>
      </c>
      <c r="C6" s="1" t="s">
        <v>503</v>
      </c>
      <c r="D6" s="1" t="s">
        <v>9</v>
      </c>
      <c r="E6" s="1" t="s">
        <v>16</v>
      </c>
      <c r="F6" s="1" t="s">
        <v>11</v>
      </c>
      <c r="G6" s="6" t="str">
        <f>VLOOKUP(A6,WorldCups!$A$2:$B$23,2,FALSE)</f>
        <v>Uruguay</v>
      </c>
      <c r="H6" s="1" t="s">
        <v>25</v>
      </c>
      <c r="I6" s="1">
        <v>1</v>
      </c>
      <c r="J6" s="1">
        <v>0</v>
      </c>
      <c r="K6" s="1" t="s">
        <v>12</v>
      </c>
      <c r="L6" s="1" t="s">
        <v>14</v>
      </c>
      <c r="M6" s="1" t="str">
        <f>IF(ISNUMBER(SEARCH("Group",Table2[[#This Row],[Round]])),"Group stages",Table2[[#This Row],[Round]])</f>
        <v>Group stages</v>
      </c>
      <c r="O6" s="1">
        <f>Table2[[#This Row],[Year]]</f>
        <v>1930</v>
      </c>
      <c r="P6" s="1" t="str">
        <f>INDEX(Table2[[HomeTeam]:[Group_details]],ROWS($N$2:N6),COLUMNS($N$2:N6))</f>
        <v>Argentina</v>
      </c>
      <c r="Q6" s="1">
        <f>INDEX(Table2[[HomeTeam]:[Group_details]],ROWS($N$2:O6),COLUMNS($N$2:O6))</f>
        <v>1</v>
      </c>
      <c r="R6" s="1">
        <f>INDEX(Table2[[HomeTeam]:[Group_details]],ROWS($N$2:P6),COLUMNS($N$2:P6))</f>
        <v>0</v>
      </c>
      <c r="S6" s="1" t="str">
        <f>INDEX(Table2[[HomeTeam]:[Group_details]],ROWS($N$2:Q6),COLUMNS($N$2:Q6))</f>
        <v>France</v>
      </c>
      <c r="T6" s="1" t="str">
        <f>INDEX(Table2[[HomeTeam]:[Group_details]],ROWS($N$2:R6),COLUMNS($N$2:R6))</f>
        <v xml:space="preserve"> </v>
      </c>
      <c r="U6" s="1" t="str">
        <f>INDEX(Table2[[HomeTeam]:[Group_details]],ROWS($N$2:S6),COLUMNS($N$2:S6))</f>
        <v>Group stages</v>
      </c>
      <c r="V6" s="1" t="b">
        <f t="shared" si="0"/>
        <v>0</v>
      </c>
      <c r="W6" s="1" t="str">
        <f>IF(V6=TRUE,ROWS($V$2:V6),"")</f>
        <v/>
      </c>
      <c r="X6" s="1">
        <f>IFERROR(SMALL($W$2:$W$853,ROWS($W$2:W6)),"")</f>
        <v>106</v>
      </c>
      <c r="Y6" s="1" t="str">
        <f>IF($X6&lt;&gt;"",INDEX($P$2:$U$853,MATCH($X6,$W$2:$W$853,0),COLUMNS($X$2:X6)),"")</f>
        <v>France</v>
      </c>
      <c r="Z6" s="1">
        <f>IF($X6&lt;&gt;"",INDEX($P$2:$U$853,MATCH($X6,$W$2:$W$853,0),COLUMNS($X$2:Y6)),"")</f>
        <v>7</v>
      </c>
      <c r="AA6" s="1">
        <f>IF($X6&lt;&gt;"",INDEX($P$2:$U$853,MATCH($X6,$W$2:$W$853,0),COLUMNS($X$2:Z6)),"")</f>
        <v>3</v>
      </c>
      <c r="AB6" s="1" t="str">
        <f>IF($X6&lt;&gt;"",INDEX($P$2:$U$853,MATCH($X6,$W$2:$W$853,0),COLUMNS($X$2:AA6)),"")</f>
        <v>Paraguay</v>
      </c>
      <c r="AC6" s="1" t="str">
        <f>IF($X6&lt;&gt;"",INDEX($P$2:$U$853,MATCH($X6,$W$2:$W$853,0),COLUMNS($X$2:AB6)),"")</f>
        <v xml:space="preserve"> </v>
      </c>
      <c r="AD6" s="1" t="str">
        <f>IF($X6&lt;&gt;"",INDEX($P$2:$U$853,MATCH($X6,$W$2:$W$853,0),COLUMNS($X$2:AC6)),"")</f>
        <v>Group stages</v>
      </c>
    </row>
    <row r="7" spans="1:30" x14ac:dyDescent="0.2">
      <c r="A7" s="1">
        <v>1930</v>
      </c>
      <c r="B7" s="2">
        <v>11155</v>
      </c>
      <c r="C7" s="1" t="s">
        <v>504</v>
      </c>
      <c r="D7" s="1" t="s">
        <v>9</v>
      </c>
      <c r="E7" s="1" t="s">
        <v>16</v>
      </c>
      <c r="F7" s="1" t="s">
        <v>11</v>
      </c>
      <c r="G7" s="6" t="str">
        <f>VLOOKUP(A7,WorldCups!$A$2:$B$23,2,FALSE)</f>
        <v>Uruguay</v>
      </c>
      <c r="H7" s="1" t="s">
        <v>26</v>
      </c>
      <c r="I7" s="1">
        <v>3</v>
      </c>
      <c r="J7" s="1">
        <v>0</v>
      </c>
      <c r="K7" s="1" t="s">
        <v>13</v>
      </c>
      <c r="L7" s="1" t="s">
        <v>14</v>
      </c>
      <c r="M7" s="1" t="str">
        <f>IF(ISNUMBER(SEARCH("Group",Table2[[#This Row],[Round]])),"Group stages",Table2[[#This Row],[Round]])</f>
        <v>Group stages</v>
      </c>
      <c r="O7" s="1">
        <f>Table2[[#This Row],[Year]]</f>
        <v>1930</v>
      </c>
      <c r="P7" s="1" t="str">
        <f>INDEX(Table2[[HomeTeam]:[Group_details]],ROWS($N$2:N7),COLUMNS($N$2:N7))</f>
        <v>Chile</v>
      </c>
      <c r="Q7" s="1">
        <f>INDEX(Table2[[HomeTeam]:[Group_details]],ROWS($N$2:O7),COLUMNS($N$2:O7))</f>
        <v>3</v>
      </c>
      <c r="R7" s="1">
        <f>INDEX(Table2[[HomeTeam]:[Group_details]],ROWS($N$2:P7),COLUMNS($N$2:P7))</f>
        <v>0</v>
      </c>
      <c r="S7" s="1" t="str">
        <f>INDEX(Table2[[HomeTeam]:[Group_details]],ROWS($N$2:Q7),COLUMNS($N$2:Q7))</f>
        <v>Mexico</v>
      </c>
      <c r="T7" s="1" t="str">
        <f>INDEX(Table2[[HomeTeam]:[Group_details]],ROWS($N$2:R7),COLUMNS($N$2:R7))</f>
        <v xml:space="preserve"> </v>
      </c>
      <c r="U7" s="1" t="str">
        <f>INDEX(Table2[[HomeTeam]:[Group_details]],ROWS($N$2:S7),COLUMNS($N$2:S7))</f>
        <v>Group stages</v>
      </c>
      <c r="V7" s="1" t="b">
        <f t="shared" si="0"/>
        <v>0</v>
      </c>
      <c r="W7" s="1" t="str">
        <f>IF(V7=TRUE,ROWS($V$2:V7),"")</f>
        <v/>
      </c>
      <c r="X7" s="1">
        <f>IFERROR(SMALL($W$2:$W$853,ROWS($W$2:W7)),"")</f>
        <v>107</v>
      </c>
      <c r="Y7" s="1" t="str">
        <f>IF($X7&lt;&gt;"",INDEX($P$2:$U$853,MATCH($X7,$W$2:$W$853,0),COLUMNS($X$2:X7)),"")</f>
        <v>Yugoslavia</v>
      </c>
      <c r="Z7" s="1">
        <f>IF($X7&lt;&gt;"",INDEX($P$2:$U$853,MATCH($X7,$W$2:$W$853,0),COLUMNS($X$2:Y7)),"")</f>
        <v>1</v>
      </c>
      <c r="AA7" s="1">
        <f>IF($X7&lt;&gt;"",INDEX($P$2:$U$853,MATCH($X7,$W$2:$W$853,0),COLUMNS($X$2:Z7)),"")</f>
        <v>1</v>
      </c>
      <c r="AB7" s="1" t="str">
        <f>IF($X7&lt;&gt;"",INDEX($P$2:$U$853,MATCH($X7,$W$2:$W$853,0),COLUMNS($X$2:AA7)),"")</f>
        <v>Scotland</v>
      </c>
      <c r="AC7" s="1" t="str">
        <f>IF($X7&lt;&gt;"",INDEX($P$2:$U$853,MATCH($X7,$W$2:$W$853,0),COLUMNS($X$2:AB7)),"")</f>
        <v xml:space="preserve"> </v>
      </c>
      <c r="AD7" s="1" t="str">
        <f>IF($X7&lt;&gt;"",INDEX($P$2:$U$853,MATCH($X7,$W$2:$W$853,0),COLUMNS($X$2:AC7)),"")</f>
        <v>Group stages</v>
      </c>
    </row>
    <row r="8" spans="1:30" x14ac:dyDescent="0.2">
      <c r="A8" s="1">
        <v>1930</v>
      </c>
      <c r="B8" s="2">
        <v>11156</v>
      </c>
      <c r="C8" s="1" t="s">
        <v>501</v>
      </c>
      <c r="D8" s="1" t="s">
        <v>19</v>
      </c>
      <c r="E8" s="1" t="s">
        <v>16</v>
      </c>
      <c r="F8" s="1" t="s">
        <v>11</v>
      </c>
      <c r="G8" s="6" t="str">
        <f>VLOOKUP(A8,WorldCups!$A$2:$B$23,2,FALSE)</f>
        <v>Uruguay</v>
      </c>
      <c r="H8" s="1" t="s">
        <v>20</v>
      </c>
      <c r="I8" s="1">
        <v>4</v>
      </c>
      <c r="J8" s="1">
        <v>0</v>
      </c>
      <c r="K8" s="1" t="s">
        <v>27</v>
      </c>
      <c r="L8" s="1" t="s">
        <v>14</v>
      </c>
      <c r="M8" s="1" t="str">
        <f>IF(ISNUMBER(SEARCH("Group",Table2[[#This Row],[Round]])),"Group stages",Table2[[#This Row],[Round]])</f>
        <v>Group stages</v>
      </c>
      <c r="O8" s="1">
        <f>Table2[[#This Row],[Year]]</f>
        <v>1930</v>
      </c>
      <c r="P8" s="1" t="str">
        <f>INDEX(Table2[[HomeTeam]:[Group_details]],ROWS($N$2:N8),COLUMNS($N$2:N8))</f>
        <v>Yugoslavia</v>
      </c>
      <c r="Q8" s="1">
        <f>INDEX(Table2[[HomeTeam]:[Group_details]],ROWS($N$2:O8),COLUMNS($N$2:O8))</f>
        <v>4</v>
      </c>
      <c r="R8" s="1">
        <f>INDEX(Table2[[HomeTeam]:[Group_details]],ROWS($N$2:P8),COLUMNS($N$2:P8))</f>
        <v>0</v>
      </c>
      <c r="S8" s="1" t="str">
        <f>INDEX(Table2[[HomeTeam]:[Group_details]],ROWS($N$2:Q8),COLUMNS($N$2:Q8))</f>
        <v>Bolivia</v>
      </c>
      <c r="T8" s="1" t="str">
        <f>INDEX(Table2[[HomeTeam]:[Group_details]],ROWS($N$2:R8),COLUMNS($N$2:R8))</f>
        <v xml:space="preserve"> </v>
      </c>
      <c r="U8" s="1" t="str">
        <f>INDEX(Table2[[HomeTeam]:[Group_details]],ROWS($N$2:S8),COLUMNS($N$2:S8))</f>
        <v>Group stages</v>
      </c>
      <c r="V8" s="1" t="b">
        <f t="shared" si="0"/>
        <v>0</v>
      </c>
      <c r="W8" s="1" t="str">
        <f>IF(V8=TRUE,ROWS($V$2:V8),"")</f>
        <v/>
      </c>
      <c r="X8" s="1">
        <f>IFERROR(SMALL($W$2:$W$853,ROWS($W$2:W8)),"")</f>
        <v>108</v>
      </c>
      <c r="Y8" s="1" t="str">
        <f>IF($X8&lt;&gt;"",INDEX($P$2:$U$853,MATCH($X8,$W$2:$W$853,0),COLUMNS($X$2:X8)),"")</f>
        <v>Brazil</v>
      </c>
      <c r="Z8" s="1">
        <f>IF($X8&lt;&gt;"",INDEX($P$2:$U$853,MATCH($X8,$W$2:$W$853,0),COLUMNS($X$2:Y8)),"")</f>
        <v>3</v>
      </c>
      <c r="AA8" s="1">
        <f>IF($X8&lt;&gt;"",INDEX($P$2:$U$853,MATCH($X8,$W$2:$W$853,0),COLUMNS($X$2:Z8)),"")</f>
        <v>0</v>
      </c>
      <c r="AB8" s="1" t="str">
        <f>IF($X8&lt;&gt;"",INDEX($P$2:$U$853,MATCH($X8,$W$2:$W$853,0),COLUMNS($X$2:AA8)),"")</f>
        <v>Austria</v>
      </c>
      <c r="AC8" s="1" t="str">
        <f>IF($X8&lt;&gt;"",INDEX($P$2:$U$853,MATCH($X8,$W$2:$W$853,0),COLUMNS($X$2:AB8)),"")</f>
        <v xml:space="preserve"> </v>
      </c>
      <c r="AD8" s="1" t="str">
        <f>IF($X8&lt;&gt;"",INDEX($P$2:$U$853,MATCH($X8,$W$2:$W$853,0),COLUMNS($X$2:AC8)),"")</f>
        <v>Group stages</v>
      </c>
    </row>
    <row r="9" spans="1:30" x14ac:dyDescent="0.2">
      <c r="A9" s="1">
        <v>1930</v>
      </c>
      <c r="B9" s="2">
        <v>11156</v>
      </c>
      <c r="C9" s="1" t="s">
        <v>504</v>
      </c>
      <c r="D9" s="1" t="s">
        <v>15</v>
      </c>
      <c r="E9" s="1" t="s">
        <v>16</v>
      </c>
      <c r="F9" s="1" t="s">
        <v>11</v>
      </c>
      <c r="G9" s="6" t="str">
        <f>VLOOKUP(A9,WorldCups!$A$2:$B$23,2,FALSE)</f>
        <v>Uruguay</v>
      </c>
      <c r="H9" s="1" t="s">
        <v>17</v>
      </c>
      <c r="I9" s="1">
        <v>3</v>
      </c>
      <c r="J9" s="1">
        <v>0</v>
      </c>
      <c r="K9" s="1" t="s">
        <v>28</v>
      </c>
      <c r="L9" s="1" t="s">
        <v>14</v>
      </c>
      <c r="M9" s="1" t="str">
        <f>IF(ISNUMBER(SEARCH("Group",Table2[[#This Row],[Round]])),"Group stages",Table2[[#This Row],[Round]])</f>
        <v>Group stages</v>
      </c>
      <c r="O9" s="1">
        <f>Table2[[#This Row],[Year]]</f>
        <v>1930</v>
      </c>
      <c r="P9" s="1" t="str">
        <f>INDEX(Table2[[HomeTeam]:[Group_details]],ROWS($N$2:N9),COLUMNS($N$2:N9))</f>
        <v>USA</v>
      </c>
      <c r="Q9" s="1">
        <f>INDEX(Table2[[HomeTeam]:[Group_details]],ROWS($N$2:O9),COLUMNS($N$2:O9))</f>
        <v>3</v>
      </c>
      <c r="R9" s="1">
        <f>INDEX(Table2[[HomeTeam]:[Group_details]],ROWS($N$2:P9),COLUMNS($N$2:P9))</f>
        <v>0</v>
      </c>
      <c r="S9" s="1" t="str">
        <f>INDEX(Table2[[HomeTeam]:[Group_details]],ROWS($N$2:Q9),COLUMNS($N$2:Q9))</f>
        <v>Paraguay</v>
      </c>
      <c r="T9" s="1" t="str">
        <f>INDEX(Table2[[HomeTeam]:[Group_details]],ROWS($N$2:R9),COLUMNS($N$2:R9))</f>
        <v xml:space="preserve"> </v>
      </c>
      <c r="U9" s="1" t="str">
        <f>INDEX(Table2[[HomeTeam]:[Group_details]],ROWS($N$2:S9),COLUMNS($N$2:S9))</f>
        <v>Group stages</v>
      </c>
      <c r="V9" s="1" t="b">
        <f t="shared" si="0"/>
        <v>0</v>
      </c>
      <c r="W9" s="1" t="str">
        <f>IF(V9=TRUE,ROWS($V$2:V9),"")</f>
        <v/>
      </c>
      <c r="X9" s="1">
        <f>IFERROR(SMALL($W$2:$W$853,ROWS($W$2:W9)),"")</f>
        <v>109</v>
      </c>
      <c r="Y9" s="1" t="str">
        <f>IF($X9&lt;&gt;"",INDEX($P$2:$U$853,MATCH($X9,$W$2:$W$853,0),COLUMNS($X$2:X9)),"")</f>
        <v>Northern Ireland</v>
      </c>
      <c r="Z9" s="1">
        <f>IF($X9&lt;&gt;"",INDEX($P$2:$U$853,MATCH($X9,$W$2:$W$853,0),COLUMNS($X$2:Y9)),"")</f>
        <v>1</v>
      </c>
      <c r="AA9" s="1">
        <f>IF($X9&lt;&gt;"",INDEX($P$2:$U$853,MATCH($X9,$W$2:$W$853,0),COLUMNS($X$2:Z9)),"")</f>
        <v>0</v>
      </c>
      <c r="AB9" s="1" t="str">
        <f>IF($X9&lt;&gt;"",INDEX($P$2:$U$853,MATCH($X9,$W$2:$W$853,0),COLUMNS($X$2:AA9)),"")</f>
        <v>Czechoslovakia</v>
      </c>
      <c r="AC9" s="1" t="str">
        <f>IF($X9&lt;&gt;"",INDEX($P$2:$U$853,MATCH($X9,$W$2:$W$853,0),COLUMNS($X$2:AB9)),"")</f>
        <v xml:space="preserve"> </v>
      </c>
      <c r="AD9" s="1" t="str">
        <f>IF($X9&lt;&gt;"",INDEX($P$2:$U$853,MATCH($X9,$W$2:$W$853,0),COLUMNS($X$2:AC9)),"")</f>
        <v>Group stages</v>
      </c>
    </row>
    <row r="10" spans="1:30" x14ac:dyDescent="0.2">
      <c r="A10" s="1">
        <v>1930</v>
      </c>
      <c r="B10" s="2">
        <v>11157</v>
      </c>
      <c r="C10" s="1" t="s">
        <v>505</v>
      </c>
      <c r="D10" s="1" t="s">
        <v>22</v>
      </c>
      <c r="E10" s="1" t="s">
        <v>29</v>
      </c>
      <c r="F10" s="1" t="s">
        <v>11</v>
      </c>
      <c r="G10" s="6" t="str">
        <f>VLOOKUP(A10,WorldCups!$A$2:$B$23,2,FALSE)</f>
        <v>Uruguay</v>
      </c>
      <c r="H10" s="1" t="s">
        <v>30</v>
      </c>
      <c r="I10" s="1">
        <v>1</v>
      </c>
      <c r="J10" s="1">
        <v>0</v>
      </c>
      <c r="K10" s="1" t="s">
        <v>24</v>
      </c>
      <c r="L10" s="1" t="s">
        <v>14</v>
      </c>
      <c r="M10" s="1" t="str">
        <f>IF(ISNUMBER(SEARCH("Group",Table2[[#This Row],[Round]])),"Group stages",Table2[[#This Row],[Round]])</f>
        <v>Group stages</v>
      </c>
      <c r="O10" s="1">
        <f>Table2[[#This Row],[Year]]</f>
        <v>1930</v>
      </c>
      <c r="P10" s="1" t="str">
        <f>INDEX(Table2[[HomeTeam]:[Group_details]],ROWS($N$2:N10),COLUMNS($N$2:N10))</f>
        <v>Uruguay</v>
      </c>
      <c r="Q10" s="1">
        <f>INDEX(Table2[[HomeTeam]:[Group_details]],ROWS($N$2:O10),COLUMNS($N$2:O10))</f>
        <v>1</v>
      </c>
      <c r="R10" s="1">
        <f>INDEX(Table2[[HomeTeam]:[Group_details]],ROWS($N$2:P10),COLUMNS($N$2:P10))</f>
        <v>0</v>
      </c>
      <c r="S10" s="1" t="str">
        <f>INDEX(Table2[[HomeTeam]:[Group_details]],ROWS($N$2:Q10),COLUMNS($N$2:Q10))</f>
        <v>Peru</v>
      </c>
      <c r="T10" s="1" t="str">
        <f>INDEX(Table2[[HomeTeam]:[Group_details]],ROWS($N$2:R10),COLUMNS($N$2:R10))</f>
        <v xml:space="preserve"> </v>
      </c>
      <c r="U10" s="1" t="str">
        <f>INDEX(Table2[[HomeTeam]:[Group_details]],ROWS($N$2:S10),COLUMNS($N$2:S10))</f>
        <v>Group stages</v>
      </c>
      <c r="V10" s="1" t="b">
        <f t="shared" si="0"/>
        <v>0</v>
      </c>
      <c r="W10" s="1" t="str">
        <f>IF(V10=TRUE,ROWS($V$2:V10),"")</f>
        <v/>
      </c>
      <c r="X10" s="1">
        <f>IFERROR(SMALL($W$2:$W$853,ROWS($W$2:W10)),"")</f>
        <v>110</v>
      </c>
      <c r="Y10" s="1" t="str">
        <f>IF($X10&lt;&gt;"",INDEX($P$2:$U$853,MATCH($X10,$W$2:$W$853,0),COLUMNS($X$2:X10)),"")</f>
        <v>Brazil</v>
      </c>
      <c r="Z10" s="1">
        <f>IF($X10&lt;&gt;"",INDEX($P$2:$U$853,MATCH($X10,$W$2:$W$853,0),COLUMNS($X$2:Y10)),"")</f>
        <v>0</v>
      </c>
      <c r="AA10" s="1">
        <f>IF($X10&lt;&gt;"",INDEX($P$2:$U$853,MATCH($X10,$W$2:$W$853,0),COLUMNS($X$2:Z10)),"")</f>
        <v>0</v>
      </c>
      <c r="AB10" s="1" t="str">
        <f>IF($X10&lt;&gt;"",INDEX($P$2:$U$853,MATCH($X10,$W$2:$W$853,0),COLUMNS($X$2:AA10)),"")</f>
        <v>England</v>
      </c>
      <c r="AC10" s="1" t="str">
        <f>IF($X10&lt;&gt;"",INDEX($P$2:$U$853,MATCH($X10,$W$2:$W$853,0),COLUMNS($X$2:AB10)),"")</f>
        <v xml:space="preserve"> </v>
      </c>
      <c r="AD10" s="1" t="str">
        <f>IF($X10&lt;&gt;"",INDEX($P$2:$U$853,MATCH($X10,$W$2:$W$853,0),COLUMNS($X$2:AC10)),"")</f>
        <v>Group stages</v>
      </c>
    </row>
    <row r="11" spans="1:30" x14ac:dyDescent="0.2">
      <c r="A11" s="1">
        <v>1930</v>
      </c>
      <c r="B11" s="2">
        <v>11158</v>
      </c>
      <c r="C11" s="1" t="s">
        <v>506</v>
      </c>
      <c r="D11" s="1" t="s">
        <v>9</v>
      </c>
      <c r="E11" s="1" t="s">
        <v>29</v>
      </c>
      <c r="F11" s="1" t="s">
        <v>11</v>
      </c>
      <c r="G11" s="6" t="str">
        <f>VLOOKUP(A11,WorldCups!$A$2:$B$23,2,FALSE)</f>
        <v>Uruguay</v>
      </c>
      <c r="H11" s="1" t="s">
        <v>26</v>
      </c>
      <c r="I11" s="1">
        <v>1</v>
      </c>
      <c r="J11" s="1">
        <v>0</v>
      </c>
      <c r="K11" s="1" t="s">
        <v>12</v>
      </c>
      <c r="L11" s="1" t="s">
        <v>14</v>
      </c>
      <c r="M11" s="1" t="str">
        <f>IF(ISNUMBER(SEARCH("Group",Table2[[#This Row],[Round]])),"Group stages",Table2[[#This Row],[Round]])</f>
        <v>Group stages</v>
      </c>
      <c r="O11" s="1">
        <f>Table2[[#This Row],[Year]]</f>
        <v>1930</v>
      </c>
      <c r="P11" s="1" t="str">
        <f>INDEX(Table2[[HomeTeam]:[Group_details]],ROWS($N$2:N11),COLUMNS($N$2:N11))</f>
        <v>Chile</v>
      </c>
      <c r="Q11" s="1">
        <f>INDEX(Table2[[HomeTeam]:[Group_details]],ROWS($N$2:O11),COLUMNS($N$2:O11))</f>
        <v>1</v>
      </c>
      <c r="R11" s="1">
        <f>INDEX(Table2[[HomeTeam]:[Group_details]],ROWS($N$2:P11),COLUMNS($N$2:P11))</f>
        <v>0</v>
      </c>
      <c r="S11" s="1" t="str">
        <f>INDEX(Table2[[HomeTeam]:[Group_details]],ROWS($N$2:Q11),COLUMNS($N$2:Q11))</f>
        <v>France</v>
      </c>
      <c r="T11" s="1" t="str">
        <f>INDEX(Table2[[HomeTeam]:[Group_details]],ROWS($N$2:R11),COLUMNS($N$2:R11))</f>
        <v xml:space="preserve"> </v>
      </c>
      <c r="U11" s="1" t="str">
        <f>INDEX(Table2[[HomeTeam]:[Group_details]],ROWS($N$2:S11),COLUMNS($N$2:S11))</f>
        <v>Group stages</v>
      </c>
      <c r="V11" s="1" t="b">
        <f t="shared" si="0"/>
        <v>0</v>
      </c>
      <c r="W11" s="1" t="str">
        <f>IF(V11=TRUE,ROWS($V$2:V11),"")</f>
        <v/>
      </c>
      <c r="X11" s="1">
        <f>IFERROR(SMALL($W$2:$W$853,ROWS($W$2:W11)),"")</f>
        <v>111</v>
      </c>
      <c r="Y11" s="1" t="str">
        <f>IF($X11&lt;&gt;"",INDEX($P$2:$U$853,MATCH($X11,$W$2:$W$853,0),COLUMNS($X$2:X11)),"")</f>
        <v>Mexico</v>
      </c>
      <c r="Z11" s="1">
        <f>IF($X11&lt;&gt;"",INDEX($P$2:$U$853,MATCH($X11,$W$2:$W$853,0),COLUMNS($X$2:Y11)),"")</f>
        <v>1</v>
      </c>
      <c r="AA11" s="1">
        <f>IF($X11&lt;&gt;"",INDEX($P$2:$U$853,MATCH($X11,$W$2:$W$853,0),COLUMNS($X$2:Z11)),"")</f>
        <v>1</v>
      </c>
      <c r="AB11" s="1" t="str">
        <f>IF($X11&lt;&gt;"",INDEX($P$2:$U$853,MATCH($X11,$W$2:$W$853,0),COLUMNS($X$2:AA11)),"")</f>
        <v>Wales</v>
      </c>
      <c r="AC11" s="1" t="str">
        <f>IF($X11&lt;&gt;"",INDEX($P$2:$U$853,MATCH($X11,$W$2:$W$853,0),COLUMNS($X$2:AB11)),"")</f>
        <v xml:space="preserve"> </v>
      </c>
      <c r="AD11" s="1" t="str">
        <f>IF($X11&lt;&gt;"",INDEX($P$2:$U$853,MATCH($X11,$W$2:$W$853,0),COLUMNS($X$2:AC11)),"")</f>
        <v>Group stages</v>
      </c>
    </row>
    <row r="12" spans="1:30" x14ac:dyDescent="0.2">
      <c r="A12" s="1">
        <v>1930</v>
      </c>
      <c r="B12" s="2">
        <v>11158</v>
      </c>
      <c r="C12" s="1" t="s">
        <v>500</v>
      </c>
      <c r="D12" s="1" t="s">
        <v>9</v>
      </c>
      <c r="E12" s="1" t="s">
        <v>29</v>
      </c>
      <c r="F12" s="1" t="s">
        <v>11</v>
      </c>
      <c r="G12" s="6" t="str">
        <f>VLOOKUP(A12,WorldCups!$A$2:$B$23,2,FALSE)</f>
        <v>Uruguay</v>
      </c>
      <c r="H12" s="1" t="s">
        <v>25</v>
      </c>
      <c r="I12" s="1">
        <v>6</v>
      </c>
      <c r="J12" s="1">
        <v>3</v>
      </c>
      <c r="K12" s="1" t="s">
        <v>13</v>
      </c>
      <c r="L12" s="1" t="s">
        <v>14</v>
      </c>
      <c r="M12" s="1" t="str">
        <f>IF(ISNUMBER(SEARCH("Group",Table2[[#This Row],[Round]])),"Group stages",Table2[[#This Row],[Round]])</f>
        <v>Group stages</v>
      </c>
      <c r="O12" s="1">
        <f>Table2[[#This Row],[Year]]</f>
        <v>1930</v>
      </c>
      <c r="P12" s="1" t="str">
        <f>INDEX(Table2[[HomeTeam]:[Group_details]],ROWS($N$2:N12),COLUMNS($N$2:N12))</f>
        <v>Argentina</v>
      </c>
      <c r="Q12" s="1">
        <f>INDEX(Table2[[HomeTeam]:[Group_details]],ROWS($N$2:O12),COLUMNS($N$2:O12))</f>
        <v>6</v>
      </c>
      <c r="R12" s="1">
        <f>INDEX(Table2[[HomeTeam]:[Group_details]],ROWS($N$2:P12),COLUMNS($N$2:P12))</f>
        <v>3</v>
      </c>
      <c r="S12" s="1" t="str">
        <f>INDEX(Table2[[HomeTeam]:[Group_details]],ROWS($N$2:Q12),COLUMNS($N$2:Q12))</f>
        <v>Mexico</v>
      </c>
      <c r="T12" s="1" t="str">
        <f>INDEX(Table2[[HomeTeam]:[Group_details]],ROWS($N$2:R12),COLUMNS($N$2:R12))</f>
        <v xml:space="preserve"> </v>
      </c>
      <c r="U12" s="1" t="str">
        <f>INDEX(Table2[[HomeTeam]:[Group_details]],ROWS($N$2:S12),COLUMNS($N$2:S12))</f>
        <v>Group stages</v>
      </c>
      <c r="V12" s="1" t="b">
        <f t="shared" si="0"/>
        <v>0</v>
      </c>
      <c r="W12" s="1" t="str">
        <f>IF(V12=TRUE,ROWS($V$2:V12),"")</f>
        <v/>
      </c>
      <c r="X12" s="1">
        <f>IFERROR(SMALL($W$2:$W$853,ROWS($W$2:W12)),"")</f>
        <v>112</v>
      </c>
      <c r="Y12" s="1" t="str">
        <f>IF($X12&lt;&gt;"",INDEX($P$2:$U$853,MATCH($X12,$W$2:$W$853,0),COLUMNS($X$2:X12)),"")</f>
        <v>Paraguay</v>
      </c>
      <c r="Z12" s="1">
        <f>IF($X12&lt;&gt;"",INDEX($P$2:$U$853,MATCH($X12,$W$2:$W$853,0),COLUMNS($X$2:Y12)),"")</f>
        <v>3</v>
      </c>
      <c r="AA12" s="1">
        <f>IF($X12&lt;&gt;"",INDEX($P$2:$U$853,MATCH($X12,$W$2:$W$853,0),COLUMNS($X$2:Z12)),"")</f>
        <v>2</v>
      </c>
      <c r="AB12" s="1" t="str">
        <f>IF($X12&lt;&gt;"",INDEX($P$2:$U$853,MATCH($X12,$W$2:$W$853,0),COLUMNS($X$2:AA12)),"")</f>
        <v>Scotland</v>
      </c>
      <c r="AC12" s="1" t="str">
        <f>IF($X12&lt;&gt;"",INDEX($P$2:$U$853,MATCH($X12,$W$2:$W$853,0),COLUMNS($X$2:AB12)),"")</f>
        <v xml:space="preserve"> </v>
      </c>
      <c r="AD12" s="1" t="str">
        <f>IF($X12&lt;&gt;"",INDEX($P$2:$U$853,MATCH($X12,$W$2:$W$853,0),COLUMNS($X$2:AC12)),"")</f>
        <v>Group stages</v>
      </c>
    </row>
    <row r="13" spans="1:30" x14ac:dyDescent="0.2">
      <c r="A13" s="1">
        <v>1930</v>
      </c>
      <c r="B13" s="2">
        <v>11159</v>
      </c>
      <c r="C13" s="1" t="s">
        <v>507</v>
      </c>
      <c r="D13" s="1" t="s">
        <v>19</v>
      </c>
      <c r="E13" s="1" t="s">
        <v>29</v>
      </c>
      <c r="F13" s="1" t="s">
        <v>11</v>
      </c>
      <c r="G13" s="6" t="str">
        <f>VLOOKUP(A13,WorldCups!$A$2:$B$23,2,FALSE)</f>
        <v>Uruguay</v>
      </c>
      <c r="H13" s="1" t="s">
        <v>21</v>
      </c>
      <c r="I13" s="1">
        <v>4</v>
      </c>
      <c r="J13" s="1">
        <v>0</v>
      </c>
      <c r="K13" s="1" t="s">
        <v>27</v>
      </c>
      <c r="L13" s="1" t="s">
        <v>14</v>
      </c>
      <c r="M13" s="1" t="str">
        <f>IF(ISNUMBER(SEARCH("Group",Table2[[#This Row],[Round]])),"Group stages",Table2[[#This Row],[Round]])</f>
        <v>Group stages</v>
      </c>
      <c r="O13" s="1">
        <f>Table2[[#This Row],[Year]]</f>
        <v>1930</v>
      </c>
      <c r="P13" s="1" t="str">
        <f>INDEX(Table2[[HomeTeam]:[Group_details]],ROWS($N$2:N13),COLUMNS($N$2:N13))</f>
        <v>Brazil</v>
      </c>
      <c r="Q13" s="1">
        <f>INDEX(Table2[[HomeTeam]:[Group_details]],ROWS($N$2:O13),COLUMNS($N$2:O13))</f>
        <v>4</v>
      </c>
      <c r="R13" s="1">
        <f>INDEX(Table2[[HomeTeam]:[Group_details]],ROWS($N$2:P13),COLUMNS($N$2:P13))</f>
        <v>0</v>
      </c>
      <c r="S13" s="1" t="str">
        <f>INDEX(Table2[[HomeTeam]:[Group_details]],ROWS($N$2:Q13),COLUMNS($N$2:Q13))</f>
        <v>Bolivia</v>
      </c>
      <c r="T13" s="1" t="str">
        <f>INDEX(Table2[[HomeTeam]:[Group_details]],ROWS($N$2:R13),COLUMNS($N$2:R13))</f>
        <v xml:space="preserve"> </v>
      </c>
      <c r="U13" s="1" t="str">
        <f>INDEX(Table2[[HomeTeam]:[Group_details]],ROWS($N$2:S13),COLUMNS($N$2:S13))</f>
        <v>Group stages</v>
      </c>
      <c r="V13" s="1" t="b">
        <f t="shared" si="0"/>
        <v>0</v>
      </c>
      <c r="W13" s="1" t="str">
        <f>IF(V13=TRUE,ROWS($V$2:V13),"")</f>
        <v/>
      </c>
      <c r="X13" s="1">
        <f>IFERROR(SMALL($W$2:$W$853,ROWS($W$2:W13)),"")</f>
        <v>113</v>
      </c>
      <c r="Y13" s="1" t="str">
        <f>IF($X13&lt;&gt;"",INDEX($P$2:$U$853,MATCH($X13,$W$2:$W$853,0),COLUMNS($X$2:X13)),"")</f>
        <v>Yugoslavia</v>
      </c>
      <c r="Z13" s="1">
        <f>IF($X13&lt;&gt;"",INDEX($P$2:$U$853,MATCH($X13,$W$2:$W$853,0),COLUMNS($X$2:Y13)),"")</f>
        <v>3</v>
      </c>
      <c r="AA13" s="1">
        <f>IF($X13&lt;&gt;"",INDEX($P$2:$U$853,MATCH($X13,$W$2:$W$853,0),COLUMNS($X$2:Z13)),"")</f>
        <v>2</v>
      </c>
      <c r="AB13" s="1" t="str">
        <f>IF($X13&lt;&gt;"",INDEX($P$2:$U$853,MATCH($X13,$W$2:$W$853,0),COLUMNS($X$2:AA13)),"")</f>
        <v>France</v>
      </c>
      <c r="AC13" s="1" t="str">
        <f>IF($X13&lt;&gt;"",INDEX($P$2:$U$853,MATCH($X13,$W$2:$W$853,0),COLUMNS($X$2:AB13)),"")</f>
        <v xml:space="preserve"> </v>
      </c>
      <c r="AD13" s="1" t="str">
        <f>IF($X13&lt;&gt;"",INDEX($P$2:$U$853,MATCH($X13,$W$2:$W$853,0),COLUMNS($X$2:AC13)),"")</f>
        <v>Group stages</v>
      </c>
    </row>
    <row r="14" spans="1:30" x14ac:dyDescent="0.2">
      <c r="A14" s="1">
        <v>1930</v>
      </c>
      <c r="B14" s="2">
        <v>11159</v>
      </c>
      <c r="C14" s="1" t="s">
        <v>500</v>
      </c>
      <c r="D14" s="1" t="s">
        <v>15</v>
      </c>
      <c r="E14" s="1" t="s">
        <v>29</v>
      </c>
      <c r="F14" s="1" t="s">
        <v>11</v>
      </c>
      <c r="G14" s="6" t="str">
        <f>VLOOKUP(A14,WorldCups!$A$2:$B$23,2,FALSE)</f>
        <v>Uruguay</v>
      </c>
      <c r="H14" s="1" t="s">
        <v>28</v>
      </c>
      <c r="I14" s="1">
        <v>1</v>
      </c>
      <c r="J14" s="1">
        <v>0</v>
      </c>
      <c r="K14" s="1" t="s">
        <v>18</v>
      </c>
      <c r="L14" s="1" t="s">
        <v>14</v>
      </c>
      <c r="M14" s="1" t="str">
        <f>IF(ISNUMBER(SEARCH("Group",Table2[[#This Row],[Round]])),"Group stages",Table2[[#This Row],[Round]])</f>
        <v>Group stages</v>
      </c>
      <c r="O14" s="1">
        <f>Table2[[#This Row],[Year]]</f>
        <v>1930</v>
      </c>
      <c r="P14" s="1" t="str">
        <f>INDEX(Table2[[HomeTeam]:[Group_details]],ROWS($N$2:N14),COLUMNS($N$2:N14))</f>
        <v>Paraguay</v>
      </c>
      <c r="Q14" s="1">
        <f>INDEX(Table2[[HomeTeam]:[Group_details]],ROWS($N$2:O14),COLUMNS($N$2:O14))</f>
        <v>1</v>
      </c>
      <c r="R14" s="1">
        <f>INDEX(Table2[[HomeTeam]:[Group_details]],ROWS($N$2:P14),COLUMNS($N$2:P14))</f>
        <v>0</v>
      </c>
      <c r="S14" s="1" t="str">
        <f>INDEX(Table2[[HomeTeam]:[Group_details]],ROWS($N$2:Q14),COLUMNS($N$2:Q14))</f>
        <v>Belgium</v>
      </c>
      <c r="T14" s="1" t="str">
        <f>INDEX(Table2[[HomeTeam]:[Group_details]],ROWS($N$2:R14),COLUMNS($N$2:R14))</f>
        <v xml:space="preserve"> </v>
      </c>
      <c r="U14" s="1" t="str">
        <f>INDEX(Table2[[HomeTeam]:[Group_details]],ROWS($N$2:S14),COLUMNS($N$2:S14))</f>
        <v>Group stages</v>
      </c>
      <c r="V14" s="1" t="b">
        <f t="shared" si="0"/>
        <v>0</v>
      </c>
      <c r="W14" s="1" t="str">
        <f>IF(V14=TRUE,ROWS($V$2:V14),"")</f>
        <v/>
      </c>
      <c r="X14" s="1">
        <f>IFERROR(SMALL($W$2:$W$853,ROWS($W$2:W14)),"")</f>
        <v>114</v>
      </c>
      <c r="Y14" s="1" t="str">
        <f>IF($X14&lt;&gt;"",INDEX($P$2:$U$853,MATCH($X14,$W$2:$W$853,0),COLUMNS($X$2:X14)),"")</f>
        <v>Soviet Union</v>
      </c>
      <c r="Z14" s="1">
        <f>IF($X14&lt;&gt;"",INDEX($P$2:$U$853,MATCH($X14,$W$2:$W$853,0),COLUMNS($X$2:Y14)),"")</f>
        <v>2</v>
      </c>
      <c r="AA14" s="1">
        <f>IF($X14&lt;&gt;"",INDEX($P$2:$U$853,MATCH($X14,$W$2:$W$853,0),COLUMNS($X$2:Z14)),"")</f>
        <v>0</v>
      </c>
      <c r="AB14" s="1" t="str">
        <f>IF($X14&lt;&gt;"",INDEX($P$2:$U$853,MATCH($X14,$W$2:$W$853,0),COLUMNS($X$2:AA14)),"")</f>
        <v>Austria</v>
      </c>
      <c r="AC14" s="1" t="str">
        <f>IF($X14&lt;&gt;"",INDEX($P$2:$U$853,MATCH($X14,$W$2:$W$853,0),COLUMNS($X$2:AB14)),"")</f>
        <v xml:space="preserve"> </v>
      </c>
      <c r="AD14" s="1" t="str">
        <f>IF($X14&lt;&gt;"",INDEX($P$2:$U$853,MATCH($X14,$W$2:$W$853,0),COLUMNS($X$2:AC14)),"")</f>
        <v>Group stages</v>
      </c>
    </row>
    <row r="15" spans="1:30" x14ac:dyDescent="0.2">
      <c r="A15" s="1">
        <v>1930</v>
      </c>
      <c r="B15" s="2">
        <v>11160</v>
      </c>
      <c r="C15" s="1" t="s">
        <v>502</v>
      </c>
      <c r="D15" s="1" t="s">
        <v>22</v>
      </c>
      <c r="E15" s="1" t="s">
        <v>29</v>
      </c>
      <c r="F15" s="1" t="s">
        <v>11</v>
      </c>
      <c r="G15" s="6" t="str">
        <f>VLOOKUP(A15,WorldCups!$A$2:$B$23,2,FALSE)</f>
        <v>Uruguay</v>
      </c>
      <c r="H15" s="1" t="s">
        <v>30</v>
      </c>
      <c r="I15" s="1">
        <v>4</v>
      </c>
      <c r="J15" s="1">
        <v>0</v>
      </c>
      <c r="K15" s="1" t="s">
        <v>23</v>
      </c>
      <c r="L15" s="1" t="s">
        <v>14</v>
      </c>
      <c r="M15" s="1" t="str">
        <f>IF(ISNUMBER(SEARCH("Group",Table2[[#This Row],[Round]])),"Group stages",Table2[[#This Row],[Round]])</f>
        <v>Group stages</v>
      </c>
      <c r="O15" s="1">
        <f>Table2[[#This Row],[Year]]</f>
        <v>1930</v>
      </c>
      <c r="P15" s="1" t="str">
        <f>INDEX(Table2[[HomeTeam]:[Group_details]],ROWS($N$2:N15),COLUMNS($N$2:N15))</f>
        <v>Uruguay</v>
      </c>
      <c r="Q15" s="1">
        <f>INDEX(Table2[[HomeTeam]:[Group_details]],ROWS($N$2:O15),COLUMNS($N$2:O15))</f>
        <v>4</v>
      </c>
      <c r="R15" s="1">
        <f>INDEX(Table2[[HomeTeam]:[Group_details]],ROWS($N$2:P15),COLUMNS($N$2:P15))</f>
        <v>0</v>
      </c>
      <c r="S15" s="1" t="str">
        <f>INDEX(Table2[[HomeTeam]:[Group_details]],ROWS($N$2:Q15),COLUMNS($N$2:Q15))</f>
        <v>Romania</v>
      </c>
      <c r="T15" s="1" t="str">
        <f>INDEX(Table2[[HomeTeam]:[Group_details]],ROWS($N$2:R15),COLUMNS($N$2:R15))</f>
        <v xml:space="preserve"> </v>
      </c>
      <c r="U15" s="1" t="str">
        <f>INDEX(Table2[[HomeTeam]:[Group_details]],ROWS($N$2:S15),COLUMNS($N$2:S15))</f>
        <v>Group stages</v>
      </c>
      <c r="V15" s="1" t="b">
        <f t="shared" si="0"/>
        <v>0</v>
      </c>
      <c r="W15" s="1" t="str">
        <f>IF(V15=TRUE,ROWS($V$2:V15),"")</f>
        <v/>
      </c>
      <c r="X15" s="1">
        <f>IFERROR(SMALL($W$2:$W$853,ROWS($W$2:W15)),"")</f>
        <v>115</v>
      </c>
      <c r="Y15" s="1" t="str">
        <f>IF($X15&lt;&gt;"",INDEX($P$2:$U$853,MATCH($X15,$W$2:$W$853,0),COLUMNS($X$2:X15)),"")</f>
        <v>Germany FR</v>
      </c>
      <c r="Z15" s="1">
        <f>IF($X15&lt;&gt;"",INDEX($P$2:$U$853,MATCH($X15,$W$2:$W$853,0),COLUMNS($X$2:Y15)),"")</f>
        <v>2</v>
      </c>
      <c r="AA15" s="1">
        <f>IF($X15&lt;&gt;"",INDEX($P$2:$U$853,MATCH($X15,$W$2:$W$853,0),COLUMNS($X$2:Z15)),"")</f>
        <v>2</v>
      </c>
      <c r="AB15" s="1" t="str">
        <f>IF($X15&lt;&gt;"",INDEX($P$2:$U$853,MATCH($X15,$W$2:$W$853,0),COLUMNS($X$2:AA15)),"")</f>
        <v>Czechoslovakia</v>
      </c>
      <c r="AC15" s="1" t="str">
        <f>IF($X15&lt;&gt;"",INDEX($P$2:$U$853,MATCH($X15,$W$2:$W$853,0),COLUMNS($X$2:AB15)),"")</f>
        <v xml:space="preserve"> </v>
      </c>
      <c r="AD15" s="1" t="str">
        <f>IF($X15&lt;&gt;"",INDEX($P$2:$U$853,MATCH($X15,$W$2:$W$853,0),COLUMNS($X$2:AC15)),"")</f>
        <v>Group stages</v>
      </c>
    </row>
    <row r="16" spans="1:30" x14ac:dyDescent="0.2">
      <c r="A16" s="1">
        <v>1930</v>
      </c>
      <c r="B16" s="2">
        <v>11161</v>
      </c>
      <c r="C16" s="1" t="s">
        <v>504</v>
      </c>
      <c r="D16" s="1" t="s">
        <v>9</v>
      </c>
      <c r="E16" s="1" t="s">
        <v>29</v>
      </c>
      <c r="F16" s="1" t="s">
        <v>11</v>
      </c>
      <c r="G16" s="6" t="str">
        <f>VLOOKUP(A16,WorldCups!$A$2:$B$23,2,FALSE)</f>
        <v>Uruguay</v>
      </c>
      <c r="H16" s="1" t="s">
        <v>25</v>
      </c>
      <c r="I16" s="1">
        <v>3</v>
      </c>
      <c r="J16" s="1">
        <v>1</v>
      </c>
      <c r="K16" s="1" t="s">
        <v>26</v>
      </c>
      <c r="L16" s="1" t="s">
        <v>14</v>
      </c>
      <c r="M16" s="1" t="str">
        <f>IF(ISNUMBER(SEARCH("Group",Table2[[#This Row],[Round]])),"Group stages",Table2[[#This Row],[Round]])</f>
        <v>Group stages</v>
      </c>
      <c r="O16" s="1">
        <f>Table2[[#This Row],[Year]]</f>
        <v>1930</v>
      </c>
      <c r="P16" s="1" t="str">
        <f>INDEX(Table2[[HomeTeam]:[Group_details]],ROWS($N$2:N16),COLUMNS($N$2:N16))</f>
        <v>Argentina</v>
      </c>
      <c r="Q16" s="1">
        <f>INDEX(Table2[[HomeTeam]:[Group_details]],ROWS($N$2:O16),COLUMNS($N$2:O16))</f>
        <v>3</v>
      </c>
      <c r="R16" s="1">
        <f>INDEX(Table2[[HomeTeam]:[Group_details]],ROWS($N$2:P16),COLUMNS($N$2:P16))</f>
        <v>1</v>
      </c>
      <c r="S16" s="1" t="str">
        <f>INDEX(Table2[[HomeTeam]:[Group_details]],ROWS($N$2:Q16),COLUMNS($N$2:Q16))</f>
        <v>Chile</v>
      </c>
      <c r="T16" s="1" t="str">
        <f>INDEX(Table2[[HomeTeam]:[Group_details]],ROWS($N$2:R16),COLUMNS($N$2:R16))</f>
        <v xml:space="preserve"> </v>
      </c>
      <c r="U16" s="1" t="str">
        <f>INDEX(Table2[[HomeTeam]:[Group_details]],ROWS($N$2:S16),COLUMNS($N$2:S16))</f>
        <v>Group stages</v>
      </c>
      <c r="V16" s="1" t="b">
        <f t="shared" si="0"/>
        <v>0</v>
      </c>
      <c r="W16" s="1" t="str">
        <f>IF(V16=TRUE,ROWS($V$2:V16),"")</f>
        <v/>
      </c>
      <c r="X16" s="1">
        <f>IFERROR(SMALL($W$2:$W$853,ROWS($W$2:W16)),"")</f>
        <v>116</v>
      </c>
      <c r="Y16" s="1" t="str">
        <f>IF($X16&lt;&gt;"",INDEX($P$2:$U$853,MATCH($X16,$W$2:$W$853,0),COLUMNS($X$2:X16)),"")</f>
        <v>Argentina</v>
      </c>
      <c r="Z16" s="1">
        <f>IF($X16&lt;&gt;"",INDEX($P$2:$U$853,MATCH($X16,$W$2:$W$853,0),COLUMNS($X$2:Y16)),"")</f>
        <v>3</v>
      </c>
      <c r="AA16" s="1">
        <f>IF($X16&lt;&gt;"",INDEX($P$2:$U$853,MATCH($X16,$W$2:$W$853,0),COLUMNS($X$2:Z16)),"")</f>
        <v>1</v>
      </c>
      <c r="AB16" s="1" t="str">
        <f>IF($X16&lt;&gt;"",INDEX($P$2:$U$853,MATCH($X16,$W$2:$W$853,0),COLUMNS($X$2:AA16)),"")</f>
        <v>Northern Ireland</v>
      </c>
      <c r="AC16" s="1" t="str">
        <f>IF($X16&lt;&gt;"",INDEX($P$2:$U$853,MATCH($X16,$W$2:$W$853,0),COLUMNS($X$2:AB16)),"")</f>
        <v xml:space="preserve"> </v>
      </c>
      <c r="AD16" s="1" t="str">
        <f>IF($X16&lt;&gt;"",INDEX($P$2:$U$853,MATCH($X16,$W$2:$W$853,0),COLUMNS($X$2:AC16)),"")</f>
        <v>Group stages</v>
      </c>
    </row>
    <row r="17" spans="1:30" x14ac:dyDescent="0.2">
      <c r="A17" s="1">
        <v>1930</v>
      </c>
      <c r="B17" s="2">
        <v>11165</v>
      </c>
      <c r="C17" s="1" t="s">
        <v>504</v>
      </c>
      <c r="D17" s="1" t="s">
        <v>31</v>
      </c>
      <c r="E17" s="1" t="s">
        <v>29</v>
      </c>
      <c r="F17" s="1" t="s">
        <v>11</v>
      </c>
      <c r="G17" s="6" t="str">
        <f>VLOOKUP(A17,WorldCups!$A$2:$B$23,2,FALSE)</f>
        <v>Uruguay</v>
      </c>
      <c r="H17" s="1" t="s">
        <v>25</v>
      </c>
      <c r="I17" s="1">
        <v>6</v>
      </c>
      <c r="J17" s="1">
        <v>1</v>
      </c>
      <c r="K17" s="1" t="s">
        <v>17</v>
      </c>
      <c r="L17" s="1" t="s">
        <v>14</v>
      </c>
      <c r="M17" s="1" t="str">
        <f>IF(ISNUMBER(SEARCH("Group",Table2[[#This Row],[Round]])),"Group stages",Table2[[#This Row],[Round]])</f>
        <v>Semi-finals</v>
      </c>
      <c r="O17" s="1">
        <f>Table2[[#This Row],[Year]]</f>
        <v>1930</v>
      </c>
      <c r="P17" s="1" t="str">
        <f>INDEX(Table2[[HomeTeam]:[Group_details]],ROWS($N$2:N17),COLUMNS($N$2:N17))</f>
        <v>Argentina</v>
      </c>
      <c r="Q17" s="1">
        <f>INDEX(Table2[[HomeTeam]:[Group_details]],ROWS($N$2:O17),COLUMNS($N$2:O17))</f>
        <v>6</v>
      </c>
      <c r="R17" s="1">
        <f>INDEX(Table2[[HomeTeam]:[Group_details]],ROWS($N$2:P17),COLUMNS($N$2:P17))</f>
        <v>1</v>
      </c>
      <c r="S17" s="1" t="str">
        <f>INDEX(Table2[[HomeTeam]:[Group_details]],ROWS($N$2:Q17),COLUMNS($N$2:Q17))</f>
        <v>USA</v>
      </c>
      <c r="T17" s="1" t="str">
        <f>INDEX(Table2[[HomeTeam]:[Group_details]],ROWS($N$2:R17),COLUMNS($N$2:R17))</f>
        <v xml:space="preserve"> </v>
      </c>
      <c r="U17" s="1" t="str">
        <f>INDEX(Table2[[HomeTeam]:[Group_details]],ROWS($N$2:S17),COLUMNS($N$2:S17))</f>
        <v>Semi-finals</v>
      </c>
      <c r="V17" s="1" t="b">
        <f t="shared" si="0"/>
        <v>0</v>
      </c>
      <c r="W17" s="1" t="str">
        <f>IF(V17=TRUE,ROWS($V$2:V17),"")</f>
        <v/>
      </c>
      <c r="X17" s="1">
        <f>IFERROR(SMALL($W$2:$W$853,ROWS($W$2:W17)),"")</f>
        <v>117</v>
      </c>
      <c r="Y17" s="1" t="str">
        <f>IF($X17&lt;&gt;"",INDEX($P$2:$U$853,MATCH($X17,$W$2:$W$853,0),COLUMNS($X$2:X17)),"")</f>
        <v>Sweden</v>
      </c>
      <c r="Z17" s="1">
        <f>IF($X17&lt;&gt;"",INDEX($P$2:$U$853,MATCH($X17,$W$2:$W$853,0),COLUMNS($X$2:Y17)),"")</f>
        <v>2</v>
      </c>
      <c r="AA17" s="1">
        <f>IF($X17&lt;&gt;"",INDEX($P$2:$U$853,MATCH($X17,$W$2:$W$853,0),COLUMNS($X$2:Z17)),"")</f>
        <v>1</v>
      </c>
      <c r="AB17" s="1" t="str">
        <f>IF($X17&lt;&gt;"",INDEX($P$2:$U$853,MATCH($X17,$W$2:$W$853,0),COLUMNS($X$2:AA17)),"")</f>
        <v>Hungary</v>
      </c>
      <c r="AC17" s="1" t="str">
        <f>IF($X17&lt;&gt;"",INDEX($P$2:$U$853,MATCH($X17,$W$2:$W$853,0),COLUMNS($X$2:AB17)),"")</f>
        <v xml:space="preserve"> </v>
      </c>
      <c r="AD17" s="1" t="str">
        <f>IF($X17&lt;&gt;"",INDEX($P$2:$U$853,MATCH($X17,$W$2:$W$853,0),COLUMNS($X$2:AC17)),"")</f>
        <v>Group stages</v>
      </c>
    </row>
    <row r="18" spans="1:30" x14ac:dyDescent="0.2">
      <c r="A18" s="1">
        <v>1930</v>
      </c>
      <c r="B18" s="2">
        <v>11166</v>
      </c>
      <c r="C18" s="1" t="s">
        <v>504</v>
      </c>
      <c r="D18" s="1" t="s">
        <v>31</v>
      </c>
      <c r="E18" s="1" t="s">
        <v>29</v>
      </c>
      <c r="F18" s="1" t="s">
        <v>11</v>
      </c>
      <c r="G18" s="6" t="str">
        <f>VLOOKUP(A18,WorldCups!$A$2:$B$23,2,FALSE)</f>
        <v>Uruguay</v>
      </c>
      <c r="H18" s="1" t="s">
        <v>30</v>
      </c>
      <c r="I18" s="1">
        <v>6</v>
      </c>
      <c r="J18" s="1">
        <v>1</v>
      </c>
      <c r="K18" s="1" t="s">
        <v>20</v>
      </c>
      <c r="L18" s="1" t="s">
        <v>14</v>
      </c>
      <c r="M18" s="1" t="str">
        <f>IF(ISNUMBER(SEARCH("Group",Table2[[#This Row],[Round]])),"Group stages",Table2[[#This Row],[Round]])</f>
        <v>Semi-finals</v>
      </c>
      <c r="O18" s="1">
        <f>Table2[[#This Row],[Year]]</f>
        <v>1930</v>
      </c>
      <c r="P18" s="1" t="str">
        <f>INDEX(Table2[[HomeTeam]:[Group_details]],ROWS($N$2:N18),COLUMNS($N$2:N18))</f>
        <v>Uruguay</v>
      </c>
      <c r="Q18" s="1">
        <f>INDEX(Table2[[HomeTeam]:[Group_details]],ROWS($N$2:O18),COLUMNS($N$2:O18))</f>
        <v>6</v>
      </c>
      <c r="R18" s="1">
        <f>INDEX(Table2[[HomeTeam]:[Group_details]],ROWS($N$2:P18),COLUMNS($N$2:P18))</f>
        <v>1</v>
      </c>
      <c r="S18" s="1" t="str">
        <f>INDEX(Table2[[HomeTeam]:[Group_details]],ROWS($N$2:Q18),COLUMNS($N$2:Q18))</f>
        <v>Yugoslavia</v>
      </c>
      <c r="T18" s="1" t="str">
        <f>INDEX(Table2[[HomeTeam]:[Group_details]],ROWS($N$2:R18),COLUMNS($N$2:R18))</f>
        <v xml:space="preserve"> </v>
      </c>
      <c r="U18" s="1" t="str">
        <f>INDEX(Table2[[HomeTeam]:[Group_details]],ROWS($N$2:S18),COLUMNS($N$2:S18))</f>
        <v>Semi-finals</v>
      </c>
      <c r="V18" s="1" t="b">
        <f t="shared" si="0"/>
        <v>0</v>
      </c>
      <c r="W18" s="1" t="str">
        <f>IF(V18=TRUE,ROWS($V$2:V18),"")</f>
        <v/>
      </c>
      <c r="X18" s="1">
        <f>IFERROR(SMALL($W$2:$W$853,ROWS($W$2:W18)),"")</f>
        <v>118</v>
      </c>
      <c r="Y18" s="1" t="str">
        <f>IF($X18&lt;&gt;"",INDEX($P$2:$U$853,MATCH($X18,$W$2:$W$853,0),COLUMNS($X$2:X18)),"")</f>
        <v>Sweden</v>
      </c>
      <c r="Z18" s="1">
        <f>IF($X18&lt;&gt;"",INDEX($P$2:$U$853,MATCH($X18,$W$2:$W$853,0),COLUMNS($X$2:Y18)),"")</f>
        <v>0</v>
      </c>
      <c r="AA18" s="1">
        <f>IF($X18&lt;&gt;"",INDEX($P$2:$U$853,MATCH($X18,$W$2:$W$853,0),COLUMNS($X$2:Z18)),"")</f>
        <v>0</v>
      </c>
      <c r="AB18" s="1" t="str">
        <f>IF($X18&lt;&gt;"",INDEX($P$2:$U$853,MATCH($X18,$W$2:$W$853,0),COLUMNS($X$2:AA18)),"")</f>
        <v>Wales</v>
      </c>
      <c r="AC18" s="1" t="str">
        <f>IF($X18&lt;&gt;"",INDEX($P$2:$U$853,MATCH($X18,$W$2:$W$853,0),COLUMNS($X$2:AB18)),"")</f>
        <v xml:space="preserve"> </v>
      </c>
      <c r="AD18" s="1" t="str">
        <f>IF($X18&lt;&gt;"",INDEX($P$2:$U$853,MATCH($X18,$W$2:$W$853,0),COLUMNS($X$2:AC18)),"")</f>
        <v>Group stages</v>
      </c>
    </row>
    <row r="19" spans="1:30" x14ac:dyDescent="0.2">
      <c r="A19" s="1">
        <v>1930</v>
      </c>
      <c r="B19" s="2">
        <v>11169</v>
      </c>
      <c r="C19" s="1" t="s">
        <v>508</v>
      </c>
      <c r="D19" s="1" t="s">
        <v>32</v>
      </c>
      <c r="E19" s="1" t="s">
        <v>29</v>
      </c>
      <c r="F19" s="1" t="s">
        <v>11</v>
      </c>
      <c r="G19" s="6" t="str">
        <f>VLOOKUP(A19,WorldCups!$A$2:$B$23,2,FALSE)</f>
        <v>Uruguay</v>
      </c>
      <c r="H19" s="1" t="s">
        <v>30</v>
      </c>
      <c r="I19" s="1">
        <v>4</v>
      </c>
      <c r="J19" s="1">
        <v>2</v>
      </c>
      <c r="K19" s="1" t="s">
        <v>25</v>
      </c>
      <c r="L19" s="1" t="s">
        <v>14</v>
      </c>
      <c r="M19" s="1" t="str">
        <f>IF(ISNUMBER(SEARCH("Group",Table2[[#This Row],[Round]])),"Group stages",Table2[[#This Row],[Round]])</f>
        <v>Final</v>
      </c>
      <c r="O19" s="1">
        <f>Table2[[#This Row],[Year]]</f>
        <v>1930</v>
      </c>
      <c r="P19" s="1" t="str">
        <f>INDEX(Table2[[HomeTeam]:[Group_details]],ROWS($N$2:N19),COLUMNS($N$2:N19))</f>
        <v>Uruguay</v>
      </c>
      <c r="Q19" s="1">
        <f>INDEX(Table2[[HomeTeam]:[Group_details]],ROWS($N$2:O19),COLUMNS($N$2:O19))</f>
        <v>4</v>
      </c>
      <c r="R19" s="1">
        <f>INDEX(Table2[[HomeTeam]:[Group_details]],ROWS($N$2:P19),COLUMNS($N$2:P19))</f>
        <v>2</v>
      </c>
      <c r="S19" s="1" t="str">
        <f>INDEX(Table2[[HomeTeam]:[Group_details]],ROWS($N$2:Q19),COLUMNS($N$2:Q19))</f>
        <v>Argentina</v>
      </c>
      <c r="T19" s="1" t="str">
        <f>INDEX(Table2[[HomeTeam]:[Group_details]],ROWS($N$2:R19),COLUMNS($N$2:R19))</f>
        <v xml:space="preserve"> </v>
      </c>
      <c r="U19" s="1" t="str">
        <f>INDEX(Table2[[HomeTeam]:[Group_details]],ROWS($N$2:S19),COLUMNS($N$2:S19))</f>
        <v>Final</v>
      </c>
      <c r="V19" s="1" t="b">
        <f t="shared" si="0"/>
        <v>0</v>
      </c>
      <c r="W19" s="1" t="str">
        <f>IF(V19=TRUE,ROWS($V$2:V19),"")</f>
        <v/>
      </c>
      <c r="X19" s="1">
        <f>IFERROR(SMALL($W$2:$W$853,ROWS($W$2:W19)),"")</f>
        <v>119</v>
      </c>
      <c r="Y19" s="1" t="str">
        <f>IF($X19&lt;&gt;"",INDEX($P$2:$U$853,MATCH($X19,$W$2:$W$853,0),COLUMNS($X$2:X19)),"")</f>
        <v>Brazil</v>
      </c>
      <c r="Z19" s="1">
        <f>IF($X19&lt;&gt;"",INDEX($P$2:$U$853,MATCH($X19,$W$2:$W$853,0),COLUMNS($X$2:Y19)),"")</f>
        <v>2</v>
      </c>
      <c r="AA19" s="1">
        <f>IF($X19&lt;&gt;"",INDEX($P$2:$U$853,MATCH($X19,$W$2:$W$853,0),COLUMNS($X$2:Z19)),"")</f>
        <v>0</v>
      </c>
      <c r="AB19" s="1" t="str">
        <f>IF($X19&lt;&gt;"",INDEX($P$2:$U$853,MATCH($X19,$W$2:$W$853,0),COLUMNS($X$2:AA19)),"")</f>
        <v>Soviet Union</v>
      </c>
      <c r="AC19" s="1" t="str">
        <f>IF($X19&lt;&gt;"",INDEX($P$2:$U$853,MATCH($X19,$W$2:$W$853,0),COLUMNS($X$2:AB19)),"")</f>
        <v xml:space="preserve"> </v>
      </c>
      <c r="AD19" s="1" t="str">
        <f>IF($X19&lt;&gt;"",INDEX($P$2:$U$853,MATCH($X19,$W$2:$W$853,0),COLUMNS($X$2:AC19)),"")</f>
        <v>Group stages</v>
      </c>
    </row>
    <row r="20" spans="1:30" x14ac:dyDescent="0.2">
      <c r="A20" s="1">
        <v>1934</v>
      </c>
      <c r="B20" s="2">
        <v>12566</v>
      </c>
      <c r="C20" s="1" t="s">
        <v>509</v>
      </c>
      <c r="D20" s="1" t="s">
        <v>33</v>
      </c>
      <c r="E20" s="1" t="s">
        <v>34</v>
      </c>
      <c r="F20" s="1" t="s">
        <v>35</v>
      </c>
      <c r="G20" s="6" t="str">
        <f>VLOOKUP(A20,WorldCups!$A$2:$B$23,2,FALSE)</f>
        <v>Italy</v>
      </c>
      <c r="H20" s="1" t="s">
        <v>36</v>
      </c>
      <c r="I20" s="1">
        <v>3</v>
      </c>
      <c r="J20" s="1">
        <v>2</v>
      </c>
      <c r="K20" s="1" t="s">
        <v>12</v>
      </c>
      <c r="L20" s="1" t="s">
        <v>37</v>
      </c>
      <c r="M20" s="1" t="str">
        <f>IF(ISNUMBER(SEARCH("Group",Table2[[#This Row],[Round]])),"Group stages",Table2[[#This Row],[Round]])</f>
        <v>Preliminary round</v>
      </c>
      <c r="O20" s="1">
        <f>Table2[[#This Row],[Year]]</f>
        <v>1934</v>
      </c>
      <c r="P20" s="1" t="str">
        <f>INDEX(Table2[[HomeTeam]:[Group_details]],ROWS($N$2:N20),COLUMNS($N$2:N20))</f>
        <v>Austria</v>
      </c>
      <c r="Q20" s="1">
        <f>INDEX(Table2[[HomeTeam]:[Group_details]],ROWS($N$2:O20),COLUMNS($N$2:O20))</f>
        <v>3</v>
      </c>
      <c r="R20" s="1">
        <f>INDEX(Table2[[HomeTeam]:[Group_details]],ROWS($N$2:P20),COLUMNS($N$2:P20))</f>
        <v>2</v>
      </c>
      <c r="S20" s="1" t="str">
        <f>INDEX(Table2[[HomeTeam]:[Group_details]],ROWS($N$2:Q20),COLUMNS($N$2:Q20))</f>
        <v>France</v>
      </c>
      <c r="T20" s="1" t="str">
        <f>INDEX(Table2[[HomeTeam]:[Group_details]],ROWS($N$2:R20),COLUMNS($N$2:R20))</f>
        <v xml:space="preserve">Austria win after extra time </v>
      </c>
      <c r="U20" s="1" t="str">
        <f>INDEX(Table2[[HomeTeam]:[Group_details]],ROWS($N$2:S20),COLUMNS($N$2:S20))</f>
        <v>Preliminary round</v>
      </c>
      <c r="V20" s="1" t="b">
        <f t="shared" si="0"/>
        <v>0</v>
      </c>
      <c r="W20" s="1" t="str">
        <f>IF(V20=TRUE,ROWS($V$2:V20),"")</f>
        <v/>
      </c>
      <c r="X20" s="1">
        <f>IFERROR(SMALL($W$2:$W$853,ROWS($W$2:W20)),"")</f>
        <v>120</v>
      </c>
      <c r="Y20" s="1" t="str">
        <f>IF($X20&lt;&gt;"",INDEX($P$2:$U$853,MATCH($X20,$W$2:$W$853,0),COLUMNS($X$2:X20)),"")</f>
        <v>Germany FR</v>
      </c>
      <c r="Z20" s="1">
        <f>IF($X20&lt;&gt;"",INDEX($P$2:$U$853,MATCH($X20,$W$2:$W$853,0),COLUMNS($X$2:Y20)),"")</f>
        <v>2</v>
      </c>
      <c r="AA20" s="1">
        <f>IF($X20&lt;&gt;"",INDEX($P$2:$U$853,MATCH($X20,$W$2:$W$853,0),COLUMNS($X$2:Z20)),"")</f>
        <v>2</v>
      </c>
      <c r="AB20" s="1" t="str">
        <f>IF($X20&lt;&gt;"",INDEX($P$2:$U$853,MATCH($X20,$W$2:$W$853,0),COLUMNS($X$2:AA20)),"")</f>
        <v>Northern Ireland</v>
      </c>
      <c r="AC20" s="1" t="str">
        <f>IF($X20&lt;&gt;"",INDEX($P$2:$U$853,MATCH($X20,$W$2:$W$853,0),COLUMNS($X$2:AB20)),"")</f>
        <v xml:space="preserve"> </v>
      </c>
      <c r="AD20" s="1" t="str">
        <f>IF($X20&lt;&gt;"",INDEX($P$2:$U$853,MATCH($X20,$W$2:$W$853,0),COLUMNS($X$2:AC20)),"")</f>
        <v>Group stages</v>
      </c>
    </row>
    <row r="21" spans="1:30" x14ac:dyDescent="0.2">
      <c r="A21" s="1">
        <v>1934</v>
      </c>
      <c r="B21" s="2">
        <v>12566</v>
      </c>
      <c r="C21" s="1" t="s">
        <v>509</v>
      </c>
      <c r="D21" s="1" t="s">
        <v>33</v>
      </c>
      <c r="E21" s="1" t="s">
        <v>38</v>
      </c>
      <c r="F21" s="1" t="s">
        <v>39</v>
      </c>
      <c r="G21" s="6" t="str">
        <f>VLOOKUP(A21,WorldCups!$A$2:$B$23,2,FALSE)</f>
        <v>Italy</v>
      </c>
      <c r="H21" s="1" t="s">
        <v>40</v>
      </c>
      <c r="I21" s="1">
        <v>4</v>
      </c>
      <c r="J21" s="1">
        <v>2</v>
      </c>
      <c r="K21" s="1" t="s">
        <v>41</v>
      </c>
      <c r="L21" s="1" t="s">
        <v>14</v>
      </c>
      <c r="M21" s="1" t="str">
        <f>IF(ISNUMBER(SEARCH("Group",Table2[[#This Row],[Round]])),"Group stages",Table2[[#This Row],[Round]])</f>
        <v>Preliminary round</v>
      </c>
      <c r="O21" s="1">
        <f>Table2[[#This Row],[Year]]</f>
        <v>1934</v>
      </c>
      <c r="P21" s="1" t="str">
        <f>INDEX(Table2[[HomeTeam]:[Group_details]],ROWS($N$2:N21),COLUMNS($N$2:N21))</f>
        <v>Hungary</v>
      </c>
      <c r="Q21" s="1">
        <f>INDEX(Table2[[HomeTeam]:[Group_details]],ROWS($N$2:O21),COLUMNS($N$2:O21))</f>
        <v>4</v>
      </c>
      <c r="R21" s="1">
        <f>INDEX(Table2[[HomeTeam]:[Group_details]],ROWS($N$2:P21),COLUMNS($N$2:P21))</f>
        <v>2</v>
      </c>
      <c r="S21" s="1" t="str">
        <f>INDEX(Table2[[HomeTeam]:[Group_details]],ROWS($N$2:Q21),COLUMNS($N$2:Q21))</f>
        <v>Egypt</v>
      </c>
      <c r="T21" s="1" t="str">
        <f>INDEX(Table2[[HomeTeam]:[Group_details]],ROWS($N$2:R21),COLUMNS($N$2:R21))</f>
        <v xml:space="preserve"> </v>
      </c>
      <c r="U21" s="1" t="str">
        <f>INDEX(Table2[[HomeTeam]:[Group_details]],ROWS($N$2:S21),COLUMNS($N$2:S21))</f>
        <v>Preliminary round</v>
      </c>
      <c r="V21" s="1" t="b">
        <f t="shared" si="0"/>
        <v>0</v>
      </c>
      <c r="W21" s="1" t="str">
        <f>IF(V21=TRUE,ROWS($V$2:V21),"")</f>
        <v/>
      </c>
      <c r="X21" s="1">
        <f>IFERROR(SMALL($W$2:$W$853,ROWS($W$2:W21)),"")</f>
        <v>121</v>
      </c>
      <c r="Y21" s="1" t="str">
        <f>IF($X21&lt;&gt;"",INDEX($P$2:$U$853,MATCH($X21,$W$2:$W$853,0),COLUMNS($X$2:X21)),"")</f>
        <v>Hungary</v>
      </c>
      <c r="Z21" s="1">
        <f>IF($X21&lt;&gt;"",INDEX($P$2:$U$853,MATCH($X21,$W$2:$W$853,0),COLUMNS($X$2:Y21)),"")</f>
        <v>4</v>
      </c>
      <c r="AA21" s="1">
        <f>IF($X21&lt;&gt;"",INDEX($P$2:$U$853,MATCH($X21,$W$2:$W$853,0),COLUMNS($X$2:Z21)),"")</f>
        <v>0</v>
      </c>
      <c r="AB21" s="1" t="str">
        <f>IF($X21&lt;&gt;"",INDEX($P$2:$U$853,MATCH($X21,$W$2:$W$853,0),COLUMNS($X$2:AA21)),"")</f>
        <v>Mexico</v>
      </c>
      <c r="AC21" s="1" t="str">
        <f>IF($X21&lt;&gt;"",INDEX($P$2:$U$853,MATCH($X21,$W$2:$W$853,0),COLUMNS($X$2:AB21)),"")</f>
        <v xml:space="preserve"> </v>
      </c>
      <c r="AD21" s="1" t="str">
        <f>IF($X21&lt;&gt;"",INDEX($P$2:$U$853,MATCH($X21,$W$2:$W$853,0),COLUMNS($X$2:AC21)),"")</f>
        <v>Group stages</v>
      </c>
    </row>
    <row r="22" spans="1:30" x14ac:dyDescent="0.2">
      <c r="A22" s="1">
        <v>1934</v>
      </c>
      <c r="B22" s="2">
        <v>12566</v>
      </c>
      <c r="C22" s="1" t="s">
        <v>509</v>
      </c>
      <c r="D22" s="1" t="s">
        <v>33</v>
      </c>
      <c r="E22" s="1" t="s">
        <v>42</v>
      </c>
      <c r="F22" s="1" t="s">
        <v>43</v>
      </c>
      <c r="G22" s="6" t="str">
        <f>VLOOKUP(A22,WorldCups!$A$2:$B$23,2,FALSE)</f>
        <v>Italy</v>
      </c>
      <c r="H22" s="1" t="s">
        <v>44</v>
      </c>
      <c r="I22" s="1">
        <v>3</v>
      </c>
      <c r="J22" s="1">
        <v>2</v>
      </c>
      <c r="K22" s="1" t="s">
        <v>45</v>
      </c>
      <c r="L22" s="1" t="s">
        <v>14</v>
      </c>
      <c r="M22" s="1" t="str">
        <f>IF(ISNUMBER(SEARCH("Group",Table2[[#This Row],[Round]])),"Group stages",Table2[[#This Row],[Round]])</f>
        <v>Preliminary round</v>
      </c>
      <c r="O22" s="1">
        <f>Table2[[#This Row],[Year]]</f>
        <v>1934</v>
      </c>
      <c r="P22" s="1" t="str">
        <f>INDEX(Table2[[HomeTeam]:[Group_details]],ROWS($N$2:N22),COLUMNS($N$2:N22))</f>
        <v>Switzerland</v>
      </c>
      <c r="Q22" s="1">
        <f>INDEX(Table2[[HomeTeam]:[Group_details]],ROWS($N$2:O22),COLUMNS($N$2:O22))</f>
        <v>3</v>
      </c>
      <c r="R22" s="1">
        <f>INDEX(Table2[[HomeTeam]:[Group_details]],ROWS($N$2:P22),COLUMNS($N$2:P22))</f>
        <v>2</v>
      </c>
      <c r="S22" s="1" t="str">
        <f>INDEX(Table2[[HomeTeam]:[Group_details]],ROWS($N$2:Q22),COLUMNS($N$2:Q22))</f>
        <v>Netherlands</v>
      </c>
      <c r="T22" s="1" t="str">
        <f>INDEX(Table2[[HomeTeam]:[Group_details]],ROWS($N$2:R22),COLUMNS($N$2:R22))</f>
        <v xml:space="preserve"> </v>
      </c>
      <c r="U22" s="1" t="str">
        <f>INDEX(Table2[[HomeTeam]:[Group_details]],ROWS($N$2:S22),COLUMNS($N$2:S22))</f>
        <v>Preliminary round</v>
      </c>
      <c r="V22" s="1" t="b">
        <f t="shared" si="0"/>
        <v>0</v>
      </c>
      <c r="W22" s="1" t="str">
        <f>IF(V22=TRUE,ROWS($V$2:V22),"")</f>
        <v/>
      </c>
      <c r="X22" s="1">
        <f>IFERROR(SMALL($W$2:$W$853,ROWS($W$2:W22)),"")</f>
        <v>122</v>
      </c>
      <c r="Y22" s="1" t="str">
        <f>IF($X22&lt;&gt;"",INDEX($P$2:$U$853,MATCH($X22,$W$2:$W$853,0),COLUMNS($X$2:X22)),"")</f>
        <v>Paraguay</v>
      </c>
      <c r="Z22" s="1">
        <f>IF($X22&lt;&gt;"",INDEX($P$2:$U$853,MATCH($X22,$W$2:$W$853,0),COLUMNS($X$2:Y22)),"")</f>
        <v>3</v>
      </c>
      <c r="AA22" s="1">
        <f>IF($X22&lt;&gt;"",INDEX($P$2:$U$853,MATCH($X22,$W$2:$W$853,0),COLUMNS($X$2:Z22)),"")</f>
        <v>3</v>
      </c>
      <c r="AB22" s="1" t="str">
        <f>IF($X22&lt;&gt;"",INDEX($P$2:$U$853,MATCH($X22,$W$2:$W$853,0),COLUMNS($X$2:AA22)),"")</f>
        <v>Yugoslavia</v>
      </c>
      <c r="AC22" s="1" t="str">
        <f>IF($X22&lt;&gt;"",INDEX($P$2:$U$853,MATCH($X22,$W$2:$W$853,0),COLUMNS($X$2:AB22)),"")</f>
        <v xml:space="preserve"> </v>
      </c>
      <c r="AD22" s="1" t="str">
        <f>IF($X22&lt;&gt;"",INDEX($P$2:$U$853,MATCH($X22,$W$2:$W$853,0),COLUMNS($X$2:AC22)),"")</f>
        <v>Group stages</v>
      </c>
    </row>
    <row r="23" spans="1:30" x14ac:dyDescent="0.2">
      <c r="A23" s="1">
        <v>1934</v>
      </c>
      <c r="B23" s="2">
        <v>12566</v>
      </c>
      <c r="C23" s="1" t="s">
        <v>509</v>
      </c>
      <c r="D23" s="1" t="s">
        <v>33</v>
      </c>
      <c r="E23" s="1" t="s">
        <v>46</v>
      </c>
      <c r="F23" s="1" t="s">
        <v>47</v>
      </c>
      <c r="G23" s="6" t="str">
        <f>VLOOKUP(A23,WorldCups!$A$2:$B$23,2,FALSE)</f>
        <v>Italy</v>
      </c>
      <c r="H23" s="1" t="s">
        <v>48</v>
      </c>
      <c r="I23" s="1">
        <v>3</v>
      </c>
      <c r="J23" s="1">
        <v>2</v>
      </c>
      <c r="K23" s="1" t="s">
        <v>25</v>
      </c>
      <c r="L23" s="1" t="s">
        <v>14</v>
      </c>
      <c r="M23" s="1" t="str">
        <f>IF(ISNUMBER(SEARCH("Group",Table2[[#This Row],[Round]])),"Group stages",Table2[[#This Row],[Round]])</f>
        <v>Preliminary round</v>
      </c>
      <c r="O23" s="1">
        <f>Table2[[#This Row],[Year]]</f>
        <v>1934</v>
      </c>
      <c r="P23" s="1" t="str">
        <f>INDEX(Table2[[HomeTeam]:[Group_details]],ROWS($N$2:N23),COLUMNS($N$2:N23))</f>
        <v>Sweden</v>
      </c>
      <c r="Q23" s="1">
        <f>INDEX(Table2[[HomeTeam]:[Group_details]],ROWS($N$2:O23),COLUMNS($N$2:O23))</f>
        <v>3</v>
      </c>
      <c r="R23" s="1">
        <f>INDEX(Table2[[HomeTeam]:[Group_details]],ROWS($N$2:P23),COLUMNS($N$2:P23))</f>
        <v>2</v>
      </c>
      <c r="S23" s="1" t="str">
        <f>INDEX(Table2[[HomeTeam]:[Group_details]],ROWS($N$2:Q23),COLUMNS($N$2:Q23))</f>
        <v>Argentina</v>
      </c>
      <c r="T23" s="1" t="str">
        <f>INDEX(Table2[[HomeTeam]:[Group_details]],ROWS($N$2:R23),COLUMNS($N$2:R23))</f>
        <v xml:space="preserve"> </v>
      </c>
      <c r="U23" s="1" t="str">
        <f>INDEX(Table2[[HomeTeam]:[Group_details]],ROWS($N$2:S23),COLUMNS($N$2:S23))</f>
        <v>Preliminary round</v>
      </c>
      <c r="V23" s="1" t="b">
        <f t="shared" si="0"/>
        <v>0</v>
      </c>
      <c r="W23" s="1" t="str">
        <f>IF(V23=TRUE,ROWS($V$2:V23),"")</f>
        <v/>
      </c>
      <c r="X23" s="1">
        <f>IFERROR(SMALL($W$2:$W$853,ROWS($W$2:W23)),"")</f>
        <v>123</v>
      </c>
      <c r="Y23" s="1" t="str">
        <f>IF($X23&lt;&gt;"",INDEX($P$2:$U$853,MATCH($X23,$W$2:$W$853,0),COLUMNS($X$2:X23)),"")</f>
        <v>France</v>
      </c>
      <c r="Z23" s="1">
        <f>IF($X23&lt;&gt;"",INDEX($P$2:$U$853,MATCH($X23,$W$2:$W$853,0),COLUMNS($X$2:Y23)),"")</f>
        <v>2</v>
      </c>
      <c r="AA23" s="1">
        <f>IF($X23&lt;&gt;"",INDEX($P$2:$U$853,MATCH($X23,$W$2:$W$853,0),COLUMNS($X$2:Z23)),"")</f>
        <v>1</v>
      </c>
      <c r="AB23" s="1" t="str">
        <f>IF($X23&lt;&gt;"",INDEX($P$2:$U$853,MATCH($X23,$W$2:$W$853,0),COLUMNS($X$2:AA23)),"")</f>
        <v>Scotland</v>
      </c>
      <c r="AC23" s="1" t="str">
        <f>IF($X23&lt;&gt;"",INDEX($P$2:$U$853,MATCH($X23,$W$2:$W$853,0),COLUMNS($X$2:AB23)),"")</f>
        <v xml:space="preserve"> </v>
      </c>
      <c r="AD23" s="1" t="str">
        <f>IF($X23&lt;&gt;"",INDEX($P$2:$U$853,MATCH($X23,$W$2:$W$853,0),COLUMNS($X$2:AC23)),"")</f>
        <v>Group stages</v>
      </c>
    </row>
    <row r="24" spans="1:30" x14ac:dyDescent="0.2">
      <c r="A24" s="1">
        <v>1934</v>
      </c>
      <c r="B24" s="2">
        <v>12566</v>
      </c>
      <c r="C24" s="1" t="s">
        <v>509</v>
      </c>
      <c r="D24" s="1" t="s">
        <v>33</v>
      </c>
      <c r="E24" s="1" t="s">
        <v>49</v>
      </c>
      <c r="F24" s="1" t="s">
        <v>50</v>
      </c>
      <c r="G24" s="6" t="str">
        <f>VLOOKUP(A24,WorldCups!$A$2:$B$23,2,FALSE)</f>
        <v>Italy</v>
      </c>
      <c r="H24" s="1" t="s">
        <v>51</v>
      </c>
      <c r="I24" s="1">
        <v>5</v>
      </c>
      <c r="J24" s="1">
        <v>2</v>
      </c>
      <c r="K24" s="1" t="s">
        <v>18</v>
      </c>
      <c r="L24" s="1" t="s">
        <v>14</v>
      </c>
      <c r="M24" s="1" t="str">
        <f>IF(ISNUMBER(SEARCH("Group",Table2[[#This Row],[Round]])),"Group stages",Table2[[#This Row],[Round]])</f>
        <v>Preliminary round</v>
      </c>
      <c r="O24" s="1">
        <f>Table2[[#This Row],[Year]]</f>
        <v>1934</v>
      </c>
      <c r="P24" s="1" t="str">
        <f>INDEX(Table2[[HomeTeam]:[Group_details]],ROWS($N$2:N24),COLUMNS($N$2:N24))</f>
        <v>Germany</v>
      </c>
      <c r="Q24" s="1">
        <f>INDEX(Table2[[HomeTeam]:[Group_details]],ROWS($N$2:O24),COLUMNS($N$2:O24))</f>
        <v>5</v>
      </c>
      <c r="R24" s="1">
        <f>INDEX(Table2[[HomeTeam]:[Group_details]],ROWS($N$2:P24),COLUMNS($N$2:P24))</f>
        <v>2</v>
      </c>
      <c r="S24" s="1" t="str">
        <f>INDEX(Table2[[HomeTeam]:[Group_details]],ROWS($N$2:Q24),COLUMNS($N$2:Q24))</f>
        <v>Belgium</v>
      </c>
      <c r="T24" s="1" t="str">
        <f>INDEX(Table2[[HomeTeam]:[Group_details]],ROWS($N$2:R24),COLUMNS($N$2:R24))</f>
        <v xml:space="preserve"> </v>
      </c>
      <c r="U24" s="1" t="str">
        <f>INDEX(Table2[[HomeTeam]:[Group_details]],ROWS($N$2:S24),COLUMNS($N$2:S24))</f>
        <v>Preliminary round</v>
      </c>
      <c r="V24" s="1" t="b">
        <f t="shared" si="0"/>
        <v>0</v>
      </c>
      <c r="W24" s="1" t="str">
        <f>IF(V24=TRUE,ROWS($V$2:V24),"")</f>
        <v/>
      </c>
      <c r="X24" s="1">
        <f>IFERROR(SMALL($W$2:$W$853,ROWS($W$2:W24)),"")</f>
        <v>124</v>
      </c>
      <c r="Y24" s="1" t="str">
        <f>IF($X24&lt;&gt;"",INDEX($P$2:$U$853,MATCH($X24,$W$2:$W$853,0),COLUMNS($X$2:X24)),"")</f>
        <v>England</v>
      </c>
      <c r="Z24" s="1">
        <f>IF($X24&lt;&gt;"",INDEX($P$2:$U$853,MATCH($X24,$W$2:$W$853,0),COLUMNS($X$2:Y24)),"")</f>
        <v>2</v>
      </c>
      <c r="AA24" s="1">
        <f>IF($X24&lt;&gt;"",INDEX($P$2:$U$853,MATCH($X24,$W$2:$W$853,0),COLUMNS($X$2:Z24)),"")</f>
        <v>2</v>
      </c>
      <c r="AB24" s="1" t="str">
        <f>IF($X24&lt;&gt;"",INDEX($P$2:$U$853,MATCH($X24,$W$2:$W$853,0),COLUMNS($X$2:AA24)),"")</f>
        <v>Austria</v>
      </c>
      <c r="AC24" s="1" t="str">
        <f>IF($X24&lt;&gt;"",INDEX($P$2:$U$853,MATCH($X24,$W$2:$W$853,0),COLUMNS($X$2:AB24)),"")</f>
        <v xml:space="preserve"> </v>
      </c>
      <c r="AD24" s="1" t="str">
        <f>IF($X24&lt;&gt;"",INDEX($P$2:$U$853,MATCH($X24,$W$2:$W$853,0),COLUMNS($X$2:AC24)),"")</f>
        <v>Group stages</v>
      </c>
    </row>
    <row r="25" spans="1:30" x14ac:dyDescent="0.2">
      <c r="A25" s="1">
        <v>1934</v>
      </c>
      <c r="B25" s="2">
        <v>12566</v>
      </c>
      <c r="C25" s="1" t="s">
        <v>509</v>
      </c>
      <c r="D25" s="1" t="s">
        <v>33</v>
      </c>
      <c r="E25" s="1" t="s">
        <v>52</v>
      </c>
      <c r="F25" s="1" t="s">
        <v>53</v>
      </c>
      <c r="G25" s="6" t="str">
        <f>VLOOKUP(A25,WorldCups!$A$2:$B$23,2,FALSE)</f>
        <v>Italy</v>
      </c>
      <c r="H25" s="1" t="s">
        <v>54</v>
      </c>
      <c r="I25" s="1">
        <v>3</v>
      </c>
      <c r="J25" s="1">
        <v>1</v>
      </c>
      <c r="K25" s="1" t="s">
        <v>21</v>
      </c>
      <c r="L25" s="1" t="s">
        <v>14</v>
      </c>
      <c r="M25" s="1" t="str">
        <f>IF(ISNUMBER(SEARCH("Group",Table2[[#This Row],[Round]])),"Group stages",Table2[[#This Row],[Round]])</f>
        <v>Preliminary round</v>
      </c>
      <c r="O25" s="1">
        <f>Table2[[#This Row],[Year]]</f>
        <v>1934</v>
      </c>
      <c r="P25" s="1" t="str">
        <f>INDEX(Table2[[HomeTeam]:[Group_details]],ROWS($N$2:N25),COLUMNS($N$2:N25))</f>
        <v>Spain</v>
      </c>
      <c r="Q25" s="1">
        <f>INDEX(Table2[[HomeTeam]:[Group_details]],ROWS($N$2:O25),COLUMNS($N$2:O25))</f>
        <v>3</v>
      </c>
      <c r="R25" s="1">
        <f>INDEX(Table2[[HomeTeam]:[Group_details]],ROWS($N$2:P25),COLUMNS($N$2:P25))</f>
        <v>1</v>
      </c>
      <c r="S25" s="1" t="str">
        <f>INDEX(Table2[[HomeTeam]:[Group_details]],ROWS($N$2:Q25),COLUMNS($N$2:Q25))</f>
        <v>Brazil</v>
      </c>
      <c r="T25" s="1" t="str">
        <f>INDEX(Table2[[HomeTeam]:[Group_details]],ROWS($N$2:R25),COLUMNS($N$2:R25))</f>
        <v xml:space="preserve"> </v>
      </c>
      <c r="U25" s="1" t="str">
        <f>INDEX(Table2[[HomeTeam]:[Group_details]],ROWS($N$2:S25),COLUMNS($N$2:S25))</f>
        <v>Preliminary round</v>
      </c>
      <c r="V25" s="1" t="b">
        <f t="shared" si="0"/>
        <v>0</v>
      </c>
      <c r="W25" s="1" t="str">
        <f>IF(V25=TRUE,ROWS($V$2:V25),"")</f>
        <v/>
      </c>
      <c r="X25" s="1">
        <f>IFERROR(SMALL($W$2:$W$853,ROWS($W$2:W25)),"")</f>
        <v>125</v>
      </c>
      <c r="Y25" s="1" t="str">
        <f>IF($X25&lt;&gt;"",INDEX($P$2:$U$853,MATCH($X25,$W$2:$W$853,0),COLUMNS($X$2:X25)),"")</f>
        <v>Czechoslovakia</v>
      </c>
      <c r="Z25" s="1">
        <f>IF($X25&lt;&gt;"",INDEX($P$2:$U$853,MATCH($X25,$W$2:$W$853,0),COLUMNS($X$2:Y25)),"")</f>
        <v>6</v>
      </c>
      <c r="AA25" s="1">
        <f>IF($X25&lt;&gt;"",INDEX($P$2:$U$853,MATCH($X25,$W$2:$W$853,0),COLUMNS($X$2:Z25)),"")</f>
        <v>1</v>
      </c>
      <c r="AB25" s="1" t="str">
        <f>IF($X25&lt;&gt;"",INDEX($P$2:$U$853,MATCH($X25,$W$2:$W$853,0),COLUMNS($X$2:AA25)),"")</f>
        <v>Argentina</v>
      </c>
      <c r="AC25" s="1" t="str">
        <f>IF($X25&lt;&gt;"",INDEX($P$2:$U$853,MATCH($X25,$W$2:$W$853,0),COLUMNS($X$2:AB25)),"")</f>
        <v xml:space="preserve"> </v>
      </c>
      <c r="AD25" s="1" t="str">
        <f>IF($X25&lt;&gt;"",INDEX($P$2:$U$853,MATCH($X25,$W$2:$W$853,0),COLUMNS($X$2:AC25)),"")</f>
        <v>Group stages</v>
      </c>
    </row>
    <row r="26" spans="1:30" x14ac:dyDescent="0.2">
      <c r="A26" s="1">
        <v>1934</v>
      </c>
      <c r="B26" s="2">
        <v>12566</v>
      </c>
      <c r="C26" s="1" t="s">
        <v>509</v>
      </c>
      <c r="D26" s="1" t="s">
        <v>33</v>
      </c>
      <c r="E26" s="1" t="s">
        <v>55</v>
      </c>
      <c r="F26" s="1" t="s">
        <v>56</v>
      </c>
      <c r="G26" s="6" t="str">
        <f>VLOOKUP(A26,WorldCups!$A$2:$B$23,2,FALSE)</f>
        <v>Italy</v>
      </c>
      <c r="H26" s="1" t="s">
        <v>57</v>
      </c>
      <c r="I26" s="1">
        <v>7</v>
      </c>
      <c r="J26" s="1">
        <v>1</v>
      </c>
      <c r="K26" s="1" t="s">
        <v>17</v>
      </c>
      <c r="L26" s="1" t="s">
        <v>14</v>
      </c>
      <c r="M26" s="1" t="str">
        <f>IF(ISNUMBER(SEARCH("Group",Table2[[#This Row],[Round]])),"Group stages",Table2[[#This Row],[Round]])</f>
        <v>Preliminary round</v>
      </c>
      <c r="O26" s="1">
        <f>Table2[[#This Row],[Year]]</f>
        <v>1934</v>
      </c>
      <c r="P26" s="1" t="str">
        <f>INDEX(Table2[[HomeTeam]:[Group_details]],ROWS($N$2:N26),COLUMNS($N$2:N26))</f>
        <v>Italy</v>
      </c>
      <c r="Q26" s="1">
        <f>INDEX(Table2[[HomeTeam]:[Group_details]],ROWS($N$2:O26),COLUMNS($N$2:O26))</f>
        <v>7</v>
      </c>
      <c r="R26" s="1">
        <f>INDEX(Table2[[HomeTeam]:[Group_details]],ROWS($N$2:P26),COLUMNS($N$2:P26))</f>
        <v>1</v>
      </c>
      <c r="S26" s="1" t="str">
        <f>INDEX(Table2[[HomeTeam]:[Group_details]],ROWS($N$2:Q26),COLUMNS($N$2:Q26))</f>
        <v>USA</v>
      </c>
      <c r="T26" s="1" t="str">
        <f>INDEX(Table2[[HomeTeam]:[Group_details]],ROWS($N$2:R26),COLUMNS($N$2:R26))</f>
        <v xml:space="preserve"> </v>
      </c>
      <c r="U26" s="1" t="str">
        <f>INDEX(Table2[[HomeTeam]:[Group_details]],ROWS($N$2:S26),COLUMNS($N$2:S26))</f>
        <v>Preliminary round</v>
      </c>
      <c r="V26" s="1" t="b">
        <f t="shared" si="0"/>
        <v>0</v>
      </c>
      <c r="W26" s="1" t="str">
        <f>IF(V26=TRUE,ROWS($V$2:V26),"")</f>
        <v/>
      </c>
      <c r="X26" s="1">
        <f>IFERROR(SMALL($W$2:$W$853,ROWS($W$2:W26)),"")</f>
        <v>126</v>
      </c>
      <c r="Y26" s="1" t="str">
        <f>IF($X26&lt;&gt;"",INDEX($P$2:$U$853,MATCH($X26,$W$2:$W$853,0),COLUMNS($X$2:X26)),"")</f>
        <v>Soviet Union</v>
      </c>
      <c r="Z26" s="1">
        <f>IF($X26&lt;&gt;"",INDEX($P$2:$U$853,MATCH($X26,$W$2:$W$853,0),COLUMNS($X$2:Y26)),"")</f>
        <v>1</v>
      </c>
      <c r="AA26" s="1">
        <f>IF($X26&lt;&gt;"",INDEX($P$2:$U$853,MATCH($X26,$W$2:$W$853,0),COLUMNS($X$2:Z26)),"")</f>
        <v>0</v>
      </c>
      <c r="AB26" s="1" t="str">
        <f>IF($X26&lt;&gt;"",INDEX($P$2:$U$853,MATCH($X26,$W$2:$W$853,0),COLUMNS($X$2:AA26)),"")</f>
        <v>England</v>
      </c>
      <c r="AC26" s="1" t="str">
        <f>IF($X26&lt;&gt;"",INDEX($P$2:$U$853,MATCH($X26,$W$2:$W$853,0),COLUMNS($X$2:AB26)),"")</f>
        <v xml:space="preserve"> </v>
      </c>
      <c r="AD26" s="1" t="str">
        <f>IF($X26&lt;&gt;"",INDEX($P$2:$U$853,MATCH($X26,$W$2:$W$853,0),COLUMNS($X$2:AC26)),"")</f>
        <v>Group stages</v>
      </c>
    </row>
    <row r="27" spans="1:30" x14ac:dyDescent="0.2">
      <c r="A27" s="1">
        <v>1934</v>
      </c>
      <c r="B27" s="2">
        <v>12566</v>
      </c>
      <c r="C27" s="1" t="s">
        <v>509</v>
      </c>
      <c r="D27" s="1" t="s">
        <v>33</v>
      </c>
      <c r="E27" s="1" t="s">
        <v>58</v>
      </c>
      <c r="F27" s="1" t="s">
        <v>59</v>
      </c>
      <c r="G27" s="6" t="str">
        <f>VLOOKUP(A27,WorldCups!$A$2:$B$23,2,FALSE)</f>
        <v>Italy</v>
      </c>
      <c r="H27" s="1" t="s">
        <v>60</v>
      </c>
      <c r="I27" s="1">
        <v>2</v>
      </c>
      <c r="J27" s="1">
        <v>1</v>
      </c>
      <c r="K27" s="1" t="s">
        <v>23</v>
      </c>
      <c r="L27" s="1" t="s">
        <v>14</v>
      </c>
      <c r="M27" s="1" t="str">
        <f>IF(ISNUMBER(SEARCH("Group",Table2[[#This Row],[Round]])),"Group stages",Table2[[#This Row],[Round]])</f>
        <v>Preliminary round</v>
      </c>
      <c r="O27" s="1">
        <f>Table2[[#This Row],[Year]]</f>
        <v>1934</v>
      </c>
      <c r="P27" s="1" t="str">
        <f>INDEX(Table2[[HomeTeam]:[Group_details]],ROWS($N$2:N27),COLUMNS($N$2:N27))</f>
        <v>Czechoslovakia</v>
      </c>
      <c r="Q27" s="1">
        <f>INDEX(Table2[[HomeTeam]:[Group_details]],ROWS($N$2:O27),COLUMNS($N$2:O27))</f>
        <v>2</v>
      </c>
      <c r="R27" s="1">
        <f>INDEX(Table2[[HomeTeam]:[Group_details]],ROWS($N$2:P27),COLUMNS($N$2:P27))</f>
        <v>1</v>
      </c>
      <c r="S27" s="1" t="str">
        <f>INDEX(Table2[[HomeTeam]:[Group_details]],ROWS($N$2:Q27),COLUMNS($N$2:Q27))</f>
        <v>Romania</v>
      </c>
      <c r="T27" s="1" t="str">
        <f>INDEX(Table2[[HomeTeam]:[Group_details]],ROWS($N$2:R27),COLUMNS($N$2:R27))</f>
        <v xml:space="preserve"> </v>
      </c>
      <c r="U27" s="1" t="str">
        <f>INDEX(Table2[[HomeTeam]:[Group_details]],ROWS($N$2:S27),COLUMNS($N$2:S27))</f>
        <v>Preliminary round</v>
      </c>
      <c r="V27" s="1" t="b">
        <f t="shared" si="0"/>
        <v>0</v>
      </c>
      <c r="W27" s="1" t="str">
        <f>IF(V27=TRUE,ROWS($V$2:V27),"")</f>
        <v/>
      </c>
      <c r="X27" s="1">
        <f>IFERROR(SMALL($W$2:$W$853,ROWS($W$2:W27)),"")</f>
        <v>127</v>
      </c>
      <c r="Y27" s="1" t="str">
        <f>IF($X27&lt;&gt;"",INDEX($P$2:$U$853,MATCH($X27,$W$2:$W$853,0),COLUMNS($X$2:X27)),"")</f>
        <v>Northern Ireland</v>
      </c>
      <c r="Z27" s="1">
        <f>IF($X27&lt;&gt;"",INDEX($P$2:$U$853,MATCH($X27,$W$2:$W$853,0),COLUMNS($X$2:Y27)),"")</f>
        <v>2</v>
      </c>
      <c r="AA27" s="1">
        <f>IF($X27&lt;&gt;"",INDEX($P$2:$U$853,MATCH($X27,$W$2:$W$853,0),COLUMNS($X$2:Z27)),"")</f>
        <v>1</v>
      </c>
      <c r="AB27" s="1" t="str">
        <f>IF($X27&lt;&gt;"",INDEX($P$2:$U$853,MATCH($X27,$W$2:$W$853,0),COLUMNS($X$2:AA27)),"")</f>
        <v>Czechoslovakia</v>
      </c>
      <c r="AC27" s="1" t="str">
        <f>IF($X27&lt;&gt;"",INDEX($P$2:$U$853,MATCH($X27,$W$2:$W$853,0),COLUMNS($X$2:AB27)),"")</f>
        <v xml:space="preserve">Northern Ireland win after extra time </v>
      </c>
      <c r="AD27" s="1" t="str">
        <f>IF($X27&lt;&gt;"",INDEX($P$2:$U$853,MATCH($X27,$W$2:$W$853,0),COLUMNS($X$2:AC27)),"")</f>
        <v>Group stages</v>
      </c>
    </row>
    <row r="28" spans="1:30" x14ac:dyDescent="0.2">
      <c r="A28" s="1">
        <v>1934</v>
      </c>
      <c r="B28" s="2">
        <v>12570</v>
      </c>
      <c r="C28" s="1" t="s">
        <v>509</v>
      </c>
      <c r="D28" s="1" t="s">
        <v>61</v>
      </c>
      <c r="E28" s="1" t="s">
        <v>34</v>
      </c>
      <c r="F28" s="1" t="s">
        <v>35</v>
      </c>
      <c r="G28" s="6" t="str">
        <f>VLOOKUP(A28,WorldCups!$A$2:$B$23,2,FALSE)</f>
        <v>Italy</v>
      </c>
      <c r="H28" s="1" t="s">
        <v>60</v>
      </c>
      <c r="I28" s="1">
        <v>3</v>
      </c>
      <c r="J28" s="1">
        <v>2</v>
      </c>
      <c r="K28" s="1" t="s">
        <v>44</v>
      </c>
      <c r="L28" s="1" t="s">
        <v>14</v>
      </c>
      <c r="M28" s="1" t="str">
        <f>IF(ISNUMBER(SEARCH("Group",Table2[[#This Row],[Round]])),"Group stages",Table2[[#This Row],[Round]])</f>
        <v>Quarter-finals</v>
      </c>
      <c r="O28" s="1">
        <f>Table2[[#This Row],[Year]]</f>
        <v>1934</v>
      </c>
      <c r="P28" s="1" t="str">
        <f>INDEX(Table2[[HomeTeam]:[Group_details]],ROWS($N$2:N28),COLUMNS($N$2:N28))</f>
        <v>Czechoslovakia</v>
      </c>
      <c r="Q28" s="1">
        <f>INDEX(Table2[[HomeTeam]:[Group_details]],ROWS($N$2:O28),COLUMNS($N$2:O28))</f>
        <v>3</v>
      </c>
      <c r="R28" s="1">
        <f>INDEX(Table2[[HomeTeam]:[Group_details]],ROWS($N$2:P28),COLUMNS($N$2:P28))</f>
        <v>2</v>
      </c>
      <c r="S28" s="1" t="str">
        <f>INDEX(Table2[[HomeTeam]:[Group_details]],ROWS($N$2:Q28),COLUMNS($N$2:Q28))</f>
        <v>Switzerland</v>
      </c>
      <c r="T28" s="1" t="str">
        <f>INDEX(Table2[[HomeTeam]:[Group_details]],ROWS($N$2:R28),COLUMNS($N$2:R28))</f>
        <v xml:space="preserve"> </v>
      </c>
      <c r="U28" s="1" t="str">
        <f>INDEX(Table2[[HomeTeam]:[Group_details]],ROWS($N$2:S28),COLUMNS($N$2:S28))</f>
        <v>Quarter-finals</v>
      </c>
      <c r="V28" s="1" t="b">
        <f t="shared" si="0"/>
        <v>0</v>
      </c>
      <c r="W28" s="1" t="str">
        <f>IF(V28=TRUE,ROWS($V$2:V28),"")</f>
        <v/>
      </c>
      <c r="X28" s="1">
        <f>IFERROR(SMALL($W$2:$W$853,ROWS($W$2:W28)),"")</f>
        <v>128</v>
      </c>
      <c r="Y28" s="1" t="str">
        <f>IF($X28&lt;&gt;"",INDEX($P$2:$U$853,MATCH($X28,$W$2:$W$853,0),COLUMNS($X$2:X28)),"")</f>
        <v>Wales</v>
      </c>
      <c r="Z28" s="1">
        <f>IF($X28&lt;&gt;"",INDEX($P$2:$U$853,MATCH($X28,$W$2:$W$853,0),COLUMNS($X$2:Y28)),"")</f>
        <v>2</v>
      </c>
      <c r="AA28" s="1">
        <f>IF($X28&lt;&gt;"",INDEX($P$2:$U$853,MATCH($X28,$W$2:$W$853,0),COLUMNS($X$2:Z28)),"")</f>
        <v>1</v>
      </c>
      <c r="AB28" s="1" t="str">
        <f>IF($X28&lt;&gt;"",INDEX($P$2:$U$853,MATCH($X28,$W$2:$W$853,0),COLUMNS($X$2:AA28)),"")</f>
        <v>Hungary</v>
      </c>
      <c r="AC28" s="1" t="str">
        <f>IF($X28&lt;&gt;"",INDEX($P$2:$U$853,MATCH($X28,$W$2:$W$853,0),COLUMNS($X$2:AB28)),"")</f>
        <v xml:space="preserve"> </v>
      </c>
      <c r="AD28" s="1" t="str">
        <f>IF($X28&lt;&gt;"",INDEX($P$2:$U$853,MATCH($X28,$W$2:$W$853,0),COLUMNS($X$2:AC28)),"")</f>
        <v>Group stages</v>
      </c>
    </row>
    <row r="29" spans="1:30" x14ac:dyDescent="0.2">
      <c r="A29" s="1">
        <v>1934</v>
      </c>
      <c r="B29" s="2">
        <v>12570</v>
      </c>
      <c r="C29" s="1" t="s">
        <v>509</v>
      </c>
      <c r="D29" s="1" t="s">
        <v>61</v>
      </c>
      <c r="E29" s="1" t="s">
        <v>42</v>
      </c>
      <c r="F29" s="1" t="s">
        <v>43</v>
      </c>
      <c r="G29" s="6" t="str">
        <f>VLOOKUP(A29,WorldCups!$A$2:$B$23,2,FALSE)</f>
        <v>Italy</v>
      </c>
      <c r="H29" s="1" t="s">
        <v>51</v>
      </c>
      <c r="I29" s="1">
        <v>2</v>
      </c>
      <c r="J29" s="1">
        <v>1</v>
      </c>
      <c r="K29" s="1" t="s">
        <v>48</v>
      </c>
      <c r="L29" s="1" t="s">
        <v>14</v>
      </c>
      <c r="M29" s="1" t="str">
        <f>IF(ISNUMBER(SEARCH("Group",Table2[[#This Row],[Round]])),"Group stages",Table2[[#This Row],[Round]])</f>
        <v>Quarter-finals</v>
      </c>
      <c r="O29" s="1">
        <f>Table2[[#This Row],[Year]]</f>
        <v>1934</v>
      </c>
      <c r="P29" s="1" t="str">
        <f>INDEX(Table2[[HomeTeam]:[Group_details]],ROWS($N$2:N29),COLUMNS($N$2:N29))</f>
        <v>Germany</v>
      </c>
      <c r="Q29" s="1">
        <f>INDEX(Table2[[HomeTeam]:[Group_details]],ROWS($N$2:O29),COLUMNS($N$2:O29))</f>
        <v>2</v>
      </c>
      <c r="R29" s="1">
        <f>INDEX(Table2[[HomeTeam]:[Group_details]],ROWS($N$2:P29),COLUMNS($N$2:P29))</f>
        <v>1</v>
      </c>
      <c r="S29" s="1" t="str">
        <f>INDEX(Table2[[HomeTeam]:[Group_details]],ROWS($N$2:Q29),COLUMNS($N$2:Q29))</f>
        <v>Sweden</v>
      </c>
      <c r="T29" s="1" t="str">
        <f>INDEX(Table2[[HomeTeam]:[Group_details]],ROWS($N$2:R29),COLUMNS($N$2:R29))</f>
        <v xml:space="preserve"> </v>
      </c>
      <c r="U29" s="1" t="str">
        <f>INDEX(Table2[[HomeTeam]:[Group_details]],ROWS($N$2:S29),COLUMNS($N$2:S29))</f>
        <v>Quarter-finals</v>
      </c>
      <c r="V29" s="1" t="b">
        <f t="shared" si="0"/>
        <v>0</v>
      </c>
      <c r="W29" s="1" t="str">
        <f>IF(V29=TRUE,ROWS($V$2:V29),"")</f>
        <v/>
      </c>
      <c r="X29" s="1">
        <f>IFERROR(SMALL($W$2:$W$853,ROWS($W$2:W29)),"")</f>
        <v>129</v>
      </c>
      <c r="Y29" s="1" t="str">
        <f>IF($X29&lt;&gt;"",INDEX($P$2:$U$853,MATCH($X29,$W$2:$W$853,0),COLUMNS($X$2:X29)),"")</f>
        <v>Brazil</v>
      </c>
      <c r="Z29" s="1">
        <f>IF($X29&lt;&gt;"",INDEX($P$2:$U$853,MATCH($X29,$W$2:$W$853,0),COLUMNS($X$2:Y29)),"")</f>
        <v>1</v>
      </c>
      <c r="AA29" s="1">
        <f>IF($X29&lt;&gt;"",INDEX($P$2:$U$853,MATCH($X29,$W$2:$W$853,0),COLUMNS($X$2:Z29)),"")</f>
        <v>0</v>
      </c>
      <c r="AB29" s="1" t="str">
        <f>IF($X29&lt;&gt;"",INDEX($P$2:$U$853,MATCH($X29,$W$2:$W$853,0),COLUMNS($X$2:AA29)),"")</f>
        <v>Wales</v>
      </c>
      <c r="AC29" s="1" t="str">
        <f>IF($X29&lt;&gt;"",INDEX($P$2:$U$853,MATCH($X29,$W$2:$W$853,0),COLUMNS($X$2:AB29)),"")</f>
        <v xml:space="preserve"> </v>
      </c>
      <c r="AD29" s="1" t="str">
        <f>IF($X29&lt;&gt;"",INDEX($P$2:$U$853,MATCH($X29,$W$2:$W$853,0),COLUMNS($X$2:AC29)),"")</f>
        <v>Quarter-finals</v>
      </c>
    </row>
    <row r="30" spans="1:30" x14ac:dyDescent="0.2">
      <c r="A30" s="1">
        <v>1934</v>
      </c>
      <c r="B30" s="2">
        <v>12570</v>
      </c>
      <c r="C30" s="1" t="s">
        <v>509</v>
      </c>
      <c r="D30" s="1" t="s">
        <v>61</v>
      </c>
      <c r="E30" s="1" t="s">
        <v>49</v>
      </c>
      <c r="F30" s="1" t="s">
        <v>50</v>
      </c>
      <c r="G30" s="6" t="str">
        <f>VLOOKUP(A30,WorldCups!$A$2:$B$23,2,FALSE)</f>
        <v>Italy</v>
      </c>
      <c r="H30" s="1" t="s">
        <v>57</v>
      </c>
      <c r="I30" s="1">
        <v>1</v>
      </c>
      <c r="J30" s="1">
        <v>1</v>
      </c>
      <c r="K30" s="1" t="s">
        <v>54</v>
      </c>
      <c r="L30" s="1" t="s">
        <v>14</v>
      </c>
      <c r="M30" s="1" t="str">
        <f>IF(ISNUMBER(SEARCH("Group",Table2[[#This Row],[Round]])),"Group stages",Table2[[#This Row],[Round]])</f>
        <v>Quarter-finals</v>
      </c>
      <c r="O30" s="1">
        <f>Table2[[#This Row],[Year]]</f>
        <v>1934</v>
      </c>
      <c r="P30" s="1" t="str">
        <f>INDEX(Table2[[HomeTeam]:[Group_details]],ROWS($N$2:N30),COLUMNS($N$2:N30))</f>
        <v>Italy</v>
      </c>
      <c r="Q30" s="1">
        <f>INDEX(Table2[[HomeTeam]:[Group_details]],ROWS($N$2:O30),COLUMNS($N$2:O30))</f>
        <v>1</v>
      </c>
      <c r="R30" s="1">
        <f>INDEX(Table2[[HomeTeam]:[Group_details]],ROWS($N$2:P30),COLUMNS($N$2:P30))</f>
        <v>1</v>
      </c>
      <c r="S30" s="1" t="str">
        <f>INDEX(Table2[[HomeTeam]:[Group_details]],ROWS($N$2:Q30),COLUMNS($N$2:Q30))</f>
        <v>Spain</v>
      </c>
      <c r="T30" s="1" t="str">
        <f>INDEX(Table2[[HomeTeam]:[Group_details]],ROWS($N$2:R30),COLUMNS($N$2:R30))</f>
        <v xml:space="preserve"> </v>
      </c>
      <c r="U30" s="1" t="str">
        <f>INDEX(Table2[[HomeTeam]:[Group_details]],ROWS($N$2:S30),COLUMNS($N$2:S30))</f>
        <v>Quarter-finals</v>
      </c>
      <c r="V30" s="1" t="b">
        <f t="shared" si="0"/>
        <v>0</v>
      </c>
      <c r="W30" s="1" t="str">
        <f>IF(V30=TRUE,ROWS($V$2:V30),"")</f>
        <v/>
      </c>
      <c r="X30" s="1">
        <f>IFERROR(SMALL($W$2:$W$853,ROWS($W$2:W30)),"")</f>
        <v>130</v>
      </c>
      <c r="Y30" s="1" t="str">
        <f>IF($X30&lt;&gt;"",INDEX($P$2:$U$853,MATCH($X30,$W$2:$W$853,0),COLUMNS($X$2:X30)),"")</f>
        <v>Germany FR</v>
      </c>
      <c r="Z30" s="1">
        <f>IF($X30&lt;&gt;"",INDEX($P$2:$U$853,MATCH($X30,$W$2:$W$853,0),COLUMNS($X$2:Y30)),"")</f>
        <v>1</v>
      </c>
      <c r="AA30" s="1">
        <f>IF($X30&lt;&gt;"",INDEX($P$2:$U$853,MATCH($X30,$W$2:$W$853,0),COLUMNS($X$2:Z30)),"")</f>
        <v>0</v>
      </c>
      <c r="AB30" s="1" t="str">
        <f>IF($X30&lt;&gt;"",INDEX($P$2:$U$853,MATCH($X30,$W$2:$W$853,0),COLUMNS($X$2:AA30)),"")</f>
        <v>Yugoslavia</v>
      </c>
      <c r="AC30" s="1" t="str">
        <f>IF($X30&lt;&gt;"",INDEX($P$2:$U$853,MATCH($X30,$W$2:$W$853,0),COLUMNS($X$2:AB30)),"")</f>
        <v xml:space="preserve"> </v>
      </c>
      <c r="AD30" s="1" t="str">
        <f>IF($X30&lt;&gt;"",INDEX($P$2:$U$853,MATCH($X30,$W$2:$W$853,0),COLUMNS($X$2:AC30)),"")</f>
        <v>Quarter-finals</v>
      </c>
    </row>
    <row r="31" spans="1:30" x14ac:dyDescent="0.2">
      <c r="A31" s="1">
        <v>1934</v>
      </c>
      <c r="B31" s="2">
        <v>12570</v>
      </c>
      <c r="C31" s="1" t="s">
        <v>509</v>
      </c>
      <c r="D31" s="1" t="s">
        <v>61</v>
      </c>
      <c r="E31" s="1" t="s">
        <v>46</v>
      </c>
      <c r="F31" s="1" t="s">
        <v>47</v>
      </c>
      <c r="G31" s="6" t="str">
        <f>VLOOKUP(A31,WorldCups!$A$2:$B$23,2,FALSE)</f>
        <v>Italy</v>
      </c>
      <c r="H31" s="1" t="s">
        <v>36</v>
      </c>
      <c r="I31" s="1">
        <v>2</v>
      </c>
      <c r="J31" s="1">
        <v>1</v>
      </c>
      <c r="K31" s="1" t="s">
        <v>40</v>
      </c>
      <c r="L31" s="1" t="s">
        <v>14</v>
      </c>
      <c r="M31" s="1" t="str">
        <f>IF(ISNUMBER(SEARCH("Group",Table2[[#This Row],[Round]])),"Group stages",Table2[[#This Row],[Round]])</f>
        <v>Quarter-finals</v>
      </c>
      <c r="O31" s="1">
        <f>Table2[[#This Row],[Year]]</f>
        <v>1934</v>
      </c>
      <c r="P31" s="1" t="str">
        <f>INDEX(Table2[[HomeTeam]:[Group_details]],ROWS($N$2:N31),COLUMNS($N$2:N31))</f>
        <v>Austria</v>
      </c>
      <c r="Q31" s="1">
        <f>INDEX(Table2[[HomeTeam]:[Group_details]],ROWS($N$2:O31),COLUMNS($N$2:O31))</f>
        <v>2</v>
      </c>
      <c r="R31" s="1">
        <f>INDEX(Table2[[HomeTeam]:[Group_details]],ROWS($N$2:P31),COLUMNS($N$2:P31))</f>
        <v>1</v>
      </c>
      <c r="S31" s="1" t="str">
        <f>INDEX(Table2[[HomeTeam]:[Group_details]],ROWS($N$2:Q31),COLUMNS($N$2:Q31))</f>
        <v>Hungary</v>
      </c>
      <c r="T31" s="1" t="str">
        <f>INDEX(Table2[[HomeTeam]:[Group_details]],ROWS($N$2:R31),COLUMNS($N$2:R31))</f>
        <v xml:space="preserve"> </v>
      </c>
      <c r="U31" s="1" t="str">
        <f>INDEX(Table2[[HomeTeam]:[Group_details]],ROWS($N$2:S31),COLUMNS($N$2:S31))</f>
        <v>Quarter-finals</v>
      </c>
      <c r="V31" s="1" t="b">
        <f t="shared" si="0"/>
        <v>0</v>
      </c>
      <c r="W31" s="1" t="str">
        <f>IF(V31=TRUE,ROWS($V$2:V31),"")</f>
        <v/>
      </c>
      <c r="X31" s="1">
        <f>IFERROR(SMALL($W$2:$W$853,ROWS($W$2:W31)),"")</f>
        <v>131</v>
      </c>
      <c r="Y31" s="1" t="str">
        <f>IF($X31&lt;&gt;"",INDEX($P$2:$U$853,MATCH($X31,$W$2:$W$853,0),COLUMNS($X$2:X31)),"")</f>
        <v>Sweden</v>
      </c>
      <c r="Z31" s="1">
        <f>IF($X31&lt;&gt;"",INDEX($P$2:$U$853,MATCH($X31,$W$2:$W$853,0),COLUMNS($X$2:Y31)),"")</f>
        <v>2</v>
      </c>
      <c r="AA31" s="1">
        <f>IF($X31&lt;&gt;"",INDEX($P$2:$U$853,MATCH($X31,$W$2:$W$853,0),COLUMNS($X$2:Z31)),"")</f>
        <v>0</v>
      </c>
      <c r="AB31" s="1" t="str">
        <f>IF($X31&lt;&gt;"",INDEX($P$2:$U$853,MATCH($X31,$W$2:$W$853,0),COLUMNS($X$2:AA31)),"")</f>
        <v>Soviet Union</v>
      </c>
      <c r="AC31" s="1" t="str">
        <f>IF($X31&lt;&gt;"",INDEX($P$2:$U$853,MATCH($X31,$W$2:$W$853,0),COLUMNS($X$2:AB31)),"")</f>
        <v xml:space="preserve"> </v>
      </c>
      <c r="AD31" s="1" t="str">
        <f>IF($X31&lt;&gt;"",INDEX($P$2:$U$853,MATCH($X31,$W$2:$W$853,0),COLUMNS($X$2:AC31)),"")</f>
        <v>Quarter-finals</v>
      </c>
    </row>
    <row r="32" spans="1:30" x14ac:dyDescent="0.2">
      <c r="A32" s="1">
        <v>1934</v>
      </c>
      <c r="B32" s="2">
        <v>12571</v>
      </c>
      <c r="C32" s="1" t="s">
        <v>509</v>
      </c>
      <c r="D32" s="1" t="s">
        <v>61</v>
      </c>
      <c r="E32" s="1" t="s">
        <v>49</v>
      </c>
      <c r="F32" s="1" t="s">
        <v>50</v>
      </c>
      <c r="G32" s="6" t="str">
        <f>VLOOKUP(A32,WorldCups!$A$2:$B$23,2,FALSE)</f>
        <v>Italy</v>
      </c>
      <c r="H32" s="1" t="s">
        <v>57</v>
      </c>
      <c r="I32" s="1">
        <v>1</v>
      </c>
      <c r="J32" s="1">
        <v>0</v>
      </c>
      <c r="K32" s="1" t="s">
        <v>54</v>
      </c>
      <c r="L32" s="1" t="s">
        <v>14</v>
      </c>
      <c r="M32" s="1" t="str">
        <f>IF(ISNUMBER(SEARCH("Group",Table2[[#This Row],[Round]])),"Group stages",Table2[[#This Row],[Round]])</f>
        <v>Quarter-finals</v>
      </c>
      <c r="O32" s="1">
        <f>Table2[[#This Row],[Year]]</f>
        <v>1934</v>
      </c>
      <c r="P32" s="1" t="str">
        <f>INDEX(Table2[[HomeTeam]:[Group_details]],ROWS($N$2:N32),COLUMNS($N$2:N32))</f>
        <v>Italy</v>
      </c>
      <c r="Q32" s="1">
        <f>INDEX(Table2[[HomeTeam]:[Group_details]],ROWS($N$2:O32),COLUMNS($N$2:O32))</f>
        <v>1</v>
      </c>
      <c r="R32" s="1">
        <f>INDEX(Table2[[HomeTeam]:[Group_details]],ROWS($N$2:P32),COLUMNS($N$2:P32))</f>
        <v>0</v>
      </c>
      <c r="S32" s="1" t="str">
        <f>INDEX(Table2[[HomeTeam]:[Group_details]],ROWS($N$2:Q32),COLUMNS($N$2:Q32))</f>
        <v>Spain</v>
      </c>
      <c r="T32" s="1" t="str">
        <f>INDEX(Table2[[HomeTeam]:[Group_details]],ROWS($N$2:R32),COLUMNS($N$2:R32))</f>
        <v xml:space="preserve"> </v>
      </c>
      <c r="U32" s="1" t="str">
        <f>INDEX(Table2[[HomeTeam]:[Group_details]],ROWS($N$2:S32),COLUMNS($N$2:S32))</f>
        <v>Quarter-finals</v>
      </c>
      <c r="V32" s="1" t="b">
        <f t="shared" si="0"/>
        <v>0</v>
      </c>
      <c r="W32" s="1" t="str">
        <f>IF(V32=TRUE,ROWS($V$2:V32),"")</f>
        <v/>
      </c>
      <c r="X32" s="1">
        <f>IFERROR(SMALL($W$2:$W$853,ROWS($W$2:W32)),"")</f>
        <v>132</v>
      </c>
      <c r="Y32" s="1" t="str">
        <f>IF($X32&lt;&gt;"",INDEX($P$2:$U$853,MATCH($X32,$W$2:$W$853,0),COLUMNS($X$2:X32)),"")</f>
        <v>France</v>
      </c>
      <c r="Z32" s="1">
        <f>IF($X32&lt;&gt;"",INDEX($P$2:$U$853,MATCH($X32,$W$2:$W$853,0),COLUMNS($X$2:Y32)),"")</f>
        <v>4</v>
      </c>
      <c r="AA32" s="1">
        <f>IF($X32&lt;&gt;"",INDEX($P$2:$U$853,MATCH($X32,$W$2:$W$853,0),COLUMNS($X$2:Z32)),"")</f>
        <v>0</v>
      </c>
      <c r="AB32" s="1" t="str">
        <f>IF($X32&lt;&gt;"",INDEX($P$2:$U$853,MATCH($X32,$W$2:$W$853,0),COLUMNS($X$2:AA32)),"")</f>
        <v>Northern Ireland</v>
      </c>
      <c r="AC32" s="1" t="str">
        <f>IF($X32&lt;&gt;"",INDEX($P$2:$U$853,MATCH($X32,$W$2:$W$853,0),COLUMNS($X$2:AB32)),"")</f>
        <v xml:space="preserve"> </v>
      </c>
      <c r="AD32" s="1" t="str">
        <f>IF($X32&lt;&gt;"",INDEX($P$2:$U$853,MATCH($X32,$W$2:$W$853,0),COLUMNS($X$2:AC32)),"")</f>
        <v>Quarter-finals</v>
      </c>
    </row>
    <row r="33" spans="1:30" x14ac:dyDescent="0.2">
      <c r="A33" s="1">
        <v>1934</v>
      </c>
      <c r="B33" s="2">
        <v>12573</v>
      </c>
      <c r="C33" s="1" t="s">
        <v>509</v>
      </c>
      <c r="D33" s="1" t="s">
        <v>31</v>
      </c>
      <c r="E33" s="1" t="s">
        <v>42</v>
      </c>
      <c r="F33" s="1" t="s">
        <v>43</v>
      </c>
      <c r="G33" s="6" t="str">
        <f>VLOOKUP(A33,WorldCups!$A$2:$B$23,2,FALSE)</f>
        <v>Italy</v>
      </c>
      <c r="H33" s="1" t="s">
        <v>57</v>
      </c>
      <c r="I33" s="1">
        <v>1</v>
      </c>
      <c r="J33" s="1">
        <v>0</v>
      </c>
      <c r="K33" s="1" t="s">
        <v>36</v>
      </c>
      <c r="L33" s="1" t="s">
        <v>14</v>
      </c>
      <c r="M33" s="1" t="str">
        <f>IF(ISNUMBER(SEARCH("Group",Table2[[#This Row],[Round]])),"Group stages",Table2[[#This Row],[Round]])</f>
        <v>Semi-finals</v>
      </c>
      <c r="O33" s="1">
        <f>Table2[[#This Row],[Year]]</f>
        <v>1934</v>
      </c>
      <c r="P33" s="1" t="str">
        <f>INDEX(Table2[[HomeTeam]:[Group_details]],ROWS($N$2:N33),COLUMNS($N$2:N33))</f>
        <v>Italy</v>
      </c>
      <c r="Q33" s="1">
        <f>INDEX(Table2[[HomeTeam]:[Group_details]],ROWS($N$2:O33),COLUMNS($N$2:O33))</f>
        <v>1</v>
      </c>
      <c r="R33" s="1">
        <f>INDEX(Table2[[HomeTeam]:[Group_details]],ROWS($N$2:P33),COLUMNS($N$2:P33))</f>
        <v>0</v>
      </c>
      <c r="S33" s="1" t="str">
        <f>INDEX(Table2[[HomeTeam]:[Group_details]],ROWS($N$2:Q33),COLUMNS($N$2:Q33))</f>
        <v>Austria</v>
      </c>
      <c r="T33" s="1" t="str">
        <f>INDEX(Table2[[HomeTeam]:[Group_details]],ROWS($N$2:R33),COLUMNS($N$2:R33))</f>
        <v xml:space="preserve"> </v>
      </c>
      <c r="U33" s="1" t="str">
        <f>INDEX(Table2[[HomeTeam]:[Group_details]],ROWS($N$2:S33),COLUMNS($N$2:S33))</f>
        <v>Semi-finals</v>
      </c>
      <c r="V33" s="1" t="b">
        <f t="shared" si="0"/>
        <v>0</v>
      </c>
      <c r="W33" s="1" t="str">
        <f>IF(V33=TRUE,ROWS($V$2:V33),"")</f>
        <v/>
      </c>
      <c r="X33" s="1">
        <f>IFERROR(SMALL($W$2:$W$853,ROWS($W$2:W33)),"")</f>
        <v>133</v>
      </c>
      <c r="Y33" s="1" t="str">
        <f>IF($X33&lt;&gt;"",INDEX($P$2:$U$853,MATCH($X33,$W$2:$W$853,0),COLUMNS($X$2:X33)),"")</f>
        <v>Sweden</v>
      </c>
      <c r="Z33" s="1">
        <f>IF($X33&lt;&gt;"",INDEX($P$2:$U$853,MATCH($X33,$W$2:$W$853,0),COLUMNS($X$2:Y33)),"")</f>
        <v>3</v>
      </c>
      <c r="AA33" s="1">
        <f>IF($X33&lt;&gt;"",INDEX($P$2:$U$853,MATCH($X33,$W$2:$W$853,0),COLUMNS($X$2:Z33)),"")</f>
        <v>1</v>
      </c>
      <c r="AB33" s="1" t="str">
        <f>IF($X33&lt;&gt;"",INDEX($P$2:$U$853,MATCH($X33,$W$2:$W$853,0),COLUMNS($X$2:AA33)),"")</f>
        <v>Germany FR</v>
      </c>
      <c r="AC33" s="1" t="str">
        <f>IF($X33&lt;&gt;"",INDEX($P$2:$U$853,MATCH($X33,$W$2:$W$853,0),COLUMNS($X$2:AB33)),"")</f>
        <v xml:space="preserve"> </v>
      </c>
      <c r="AD33" s="1" t="str">
        <f>IF($X33&lt;&gt;"",INDEX($P$2:$U$853,MATCH($X33,$W$2:$W$853,0),COLUMNS($X$2:AC33)),"")</f>
        <v>Semi-finals</v>
      </c>
    </row>
    <row r="34" spans="1:30" x14ac:dyDescent="0.2">
      <c r="A34" s="1">
        <v>1934</v>
      </c>
      <c r="B34" s="2">
        <v>12573</v>
      </c>
      <c r="C34" s="1" t="s">
        <v>509</v>
      </c>
      <c r="D34" s="1" t="s">
        <v>31</v>
      </c>
      <c r="E34" s="1" t="s">
        <v>55</v>
      </c>
      <c r="F34" s="1" t="s">
        <v>56</v>
      </c>
      <c r="G34" s="6" t="str">
        <f>VLOOKUP(A34,WorldCups!$A$2:$B$23,2,FALSE)</f>
        <v>Italy</v>
      </c>
      <c r="H34" s="1" t="s">
        <v>60</v>
      </c>
      <c r="I34" s="1">
        <v>3</v>
      </c>
      <c r="J34" s="1">
        <v>1</v>
      </c>
      <c r="K34" s="1" t="s">
        <v>51</v>
      </c>
      <c r="L34" s="1" t="s">
        <v>14</v>
      </c>
      <c r="M34" s="1" t="str">
        <f>IF(ISNUMBER(SEARCH("Group",Table2[[#This Row],[Round]])),"Group stages",Table2[[#This Row],[Round]])</f>
        <v>Semi-finals</v>
      </c>
      <c r="O34" s="1">
        <f>Table2[[#This Row],[Year]]</f>
        <v>1934</v>
      </c>
      <c r="P34" s="1" t="str">
        <f>INDEX(Table2[[HomeTeam]:[Group_details]],ROWS($N$2:N34),COLUMNS($N$2:N34))</f>
        <v>Czechoslovakia</v>
      </c>
      <c r="Q34" s="1">
        <f>INDEX(Table2[[HomeTeam]:[Group_details]],ROWS($N$2:O34),COLUMNS($N$2:O34))</f>
        <v>3</v>
      </c>
      <c r="R34" s="1">
        <f>INDEX(Table2[[HomeTeam]:[Group_details]],ROWS($N$2:P34),COLUMNS($N$2:P34))</f>
        <v>1</v>
      </c>
      <c r="S34" s="1" t="str">
        <f>INDEX(Table2[[HomeTeam]:[Group_details]],ROWS($N$2:Q34),COLUMNS($N$2:Q34))</f>
        <v>Germany</v>
      </c>
      <c r="T34" s="1" t="str">
        <f>INDEX(Table2[[HomeTeam]:[Group_details]],ROWS($N$2:R34),COLUMNS($N$2:R34))</f>
        <v xml:space="preserve"> </v>
      </c>
      <c r="U34" s="1" t="str">
        <f>INDEX(Table2[[HomeTeam]:[Group_details]],ROWS($N$2:S34),COLUMNS($N$2:S34))</f>
        <v>Semi-finals</v>
      </c>
      <c r="V34" s="1" t="b">
        <f t="shared" si="0"/>
        <v>0</v>
      </c>
      <c r="W34" s="1" t="str">
        <f>IF(V34=TRUE,ROWS($V$2:V34),"")</f>
        <v/>
      </c>
      <c r="X34" s="1">
        <f>IFERROR(SMALL($W$2:$W$853,ROWS($W$2:W34)),"")</f>
        <v>134</v>
      </c>
      <c r="Y34" s="1" t="str">
        <f>IF($X34&lt;&gt;"",INDEX($P$2:$U$853,MATCH($X34,$W$2:$W$853,0),COLUMNS($X$2:X34)),"")</f>
        <v>Brazil</v>
      </c>
      <c r="Z34" s="1">
        <f>IF($X34&lt;&gt;"",INDEX($P$2:$U$853,MATCH($X34,$W$2:$W$853,0),COLUMNS($X$2:Y34)),"")</f>
        <v>5</v>
      </c>
      <c r="AA34" s="1">
        <f>IF($X34&lt;&gt;"",INDEX($P$2:$U$853,MATCH($X34,$W$2:$W$853,0),COLUMNS($X$2:Z34)),"")</f>
        <v>2</v>
      </c>
      <c r="AB34" s="1" t="str">
        <f>IF($X34&lt;&gt;"",INDEX($P$2:$U$853,MATCH($X34,$W$2:$W$853,0),COLUMNS($X$2:AA34)),"")</f>
        <v>France</v>
      </c>
      <c r="AC34" s="1" t="str">
        <f>IF($X34&lt;&gt;"",INDEX($P$2:$U$853,MATCH($X34,$W$2:$W$853,0),COLUMNS($X$2:AB34)),"")</f>
        <v xml:space="preserve"> </v>
      </c>
      <c r="AD34" s="1" t="str">
        <f>IF($X34&lt;&gt;"",INDEX($P$2:$U$853,MATCH($X34,$W$2:$W$853,0),COLUMNS($X$2:AC34)),"")</f>
        <v>Semi-finals</v>
      </c>
    </row>
    <row r="35" spans="1:30" x14ac:dyDescent="0.2">
      <c r="A35" s="1">
        <v>1934</v>
      </c>
      <c r="B35" s="2">
        <v>12577</v>
      </c>
      <c r="C35" s="1" t="s">
        <v>510</v>
      </c>
      <c r="D35" s="1" t="s">
        <v>62</v>
      </c>
      <c r="E35" s="1" t="s">
        <v>38</v>
      </c>
      <c r="F35" s="1" t="s">
        <v>39</v>
      </c>
      <c r="G35" s="6" t="str">
        <f>VLOOKUP(A35,WorldCups!$A$2:$B$23,2,FALSE)</f>
        <v>Italy</v>
      </c>
      <c r="H35" s="1" t="s">
        <v>51</v>
      </c>
      <c r="I35" s="1">
        <v>3</v>
      </c>
      <c r="J35" s="1">
        <v>2</v>
      </c>
      <c r="K35" s="1" t="s">
        <v>36</v>
      </c>
      <c r="L35" s="1" t="s">
        <v>14</v>
      </c>
      <c r="M35" s="1" t="str">
        <f>IF(ISNUMBER(SEARCH("Group",Table2[[#This Row],[Round]])),"Group stages",Table2[[#This Row],[Round]])</f>
        <v>Match for third place</v>
      </c>
      <c r="O35" s="1">
        <f>Table2[[#This Row],[Year]]</f>
        <v>1934</v>
      </c>
      <c r="P35" s="1" t="str">
        <f>INDEX(Table2[[HomeTeam]:[Group_details]],ROWS($N$2:N35),COLUMNS($N$2:N35))</f>
        <v>Germany</v>
      </c>
      <c r="Q35" s="1">
        <f>INDEX(Table2[[HomeTeam]:[Group_details]],ROWS($N$2:O35),COLUMNS($N$2:O35))</f>
        <v>3</v>
      </c>
      <c r="R35" s="1">
        <f>INDEX(Table2[[HomeTeam]:[Group_details]],ROWS($N$2:P35),COLUMNS($N$2:P35))</f>
        <v>2</v>
      </c>
      <c r="S35" s="1" t="str">
        <f>INDEX(Table2[[HomeTeam]:[Group_details]],ROWS($N$2:Q35),COLUMNS($N$2:Q35))</f>
        <v>Austria</v>
      </c>
      <c r="T35" s="1" t="str">
        <f>INDEX(Table2[[HomeTeam]:[Group_details]],ROWS($N$2:R35),COLUMNS($N$2:R35))</f>
        <v xml:space="preserve"> </v>
      </c>
      <c r="U35" s="1" t="str">
        <f>INDEX(Table2[[HomeTeam]:[Group_details]],ROWS($N$2:S35),COLUMNS($N$2:S35))</f>
        <v>Match for third place</v>
      </c>
      <c r="V35" s="1" t="b">
        <f t="shared" si="0"/>
        <v>0</v>
      </c>
      <c r="W35" s="1" t="str">
        <f>IF(V35=TRUE,ROWS($V$2:V35),"")</f>
        <v/>
      </c>
      <c r="X35" s="1">
        <f>IFERROR(SMALL($W$2:$W$853,ROWS($W$2:W35)),"")</f>
        <v>135</v>
      </c>
      <c r="Y35" s="1" t="str">
        <f>IF($X35&lt;&gt;"",INDEX($P$2:$U$853,MATCH($X35,$W$2:$W$853,0),COLUMNS($X$2:X35)),"")</f>
        <v>France</v>
      </c>
      <c r="Z35" s="1">
        <f>IF($X35&lt;&gt;"",INDEX($P$2:$U$853,MATCH($X35,$W$2:$W$853,0),COLUMNS($X$2:Y35)),"")</f>
        <v>6</v>
      </c>
      <c r="AA35" s="1">
        <f>IF($X35&lt;&gt;"",INDEX($P$2:$U$853,MATCH($X35,$W$2:$W$853,0),COLUMNS($X$2:Z35)),"")</f>
        <v>3</v>
      </c>
      <c r="AB35" s="1" t="str">
        <f>IF($X35&lt;&gt;"",INDEX($P$2:$U$853,MATCH($X35,$W$2:$W$853,0),COLUMNS($X$2:AA35)),"")</f>
        <v>Germany FR</v>
      </c>
      <c r="AC35" s="1" t="str">
        <f>IF($X35&lt;&gt;"",INDEX($P$2:$U$853,MATCH($X35,$W$2:$W$853,0),COLUMNS($X$2:AB35)),"")</f>
        <v xml:space="preserve"> </v>
      </c>
      <c r="AD35" s="1" t="str">
        <f>IF($X35&lt;&gt;"",INDEX($P$2:$U$853,MATCH($X35,$W$2:$W$853,0),COLUMNS($X$2:AC35)),"")</f>
        <v>Match for third place</v>
      </c>
    </row>
    <row r="36" spans="1:30" x14ac:dyDescent="0.2">
      <c r="A36" s="1">
        <v>1934</v>
      </c>
      <c r="B36" s="2">
        <v>12580</v>
      </c>
      <c r="C36" s="1" t="s">
        <v>511</v>
      </c>
      <c r="D36" s="1" t="s">
        <v>32</v>
      </c>
      <c r="E36" s="1" t="s">
        <v>55</v>
      </c>
      <c r="F36" s="1" t="s">
        <v>56</v>
      </c>
      <c r="G36" s="6" t="str">
        <f>VLOOKUP(A36,WorldCups!$A$2:$B$23,2,FALSE)</f>
        <v>Italy</v>
      </c>
      <c r="H36" s="1" t="s">
        <v>57</v>
      </c>
      <c r="I36" s="1">
        <v>2</v>
      </c>
      <c r="J36" s="1">
        <v>1</v>
      </c>
      <c r="K36" s="1" t="s">
        <v>60</v>
      </c>
      <c r="L36" s="1" t="s">
        <v>63</v>
      </c>
      <c r="M36" s="1" t="str">
        <f>IF(ISNUMBER(SEARCH("Group",Table2[[#This Row],[Round]])),"Group stages",Table2[[#This Row],[Round]])</f>
        <v>Final</v>
      </c>
      <c r="O36" s="1">
        <f>Table2[[#This Row],[Year]]</f>
        <v>1934</v>
      </c>
      <c r="P36" s="1" t="str">
        <f>INDEX(Table2[[HomeTeam]:[Group_details]],ROWS($N$2:N36),COLUMNS($N$2:N36))</f>
        <v>Italy</v>
      </c>
      <c r="Q36" s="1">
        <f>INDEX(Table2[[HomeTeam]:[Group_details]],ROWS($N$2:O36),COLUMNS($N$2:O36))</f>
        <v>2</v>
      </c>
      <c r="R36" s="1">
        <f>INDEX(Table2[[HomeTeam]:[Group_details]],ROWS($N$2:P36),COLUMNS($N$2:P36))</f>
        <v>1</v>
      </c>
      <c r="S36" s="1" t="str">
        <f>INDEX(Table2[[HomeTeam]:[Group_details]],ROWS($N$2:Q36),COLUMNS($N$2:Q36))</f>
        <v>Czechoslovakia</v>
      </c>
      <c r="T36" s="1" t="str">
        <f>INDEX(Table2[[HomeTeam]:[Group_details]],ROWS($N$2:R36),COLUMNS($N$2:R36))</f>
        <v xml:space="preserve">Italy win after extra time </v>
      </c>
      <c r="U36" s="1" t="str">
        <f>INDEX(Table2[[HomeTeam]:[Group_details]],ROWS($N$2:S36),COLUMNS($N$2:S36))</f>
        <v>Final</v>
      </c>
      <c r="V36" s="1" t="b">
        <f t="shared" si="0"/>
        <v>0</v>
      </c>
      <c r="W36" s="1" t="str">
        <f>IF(V36=TRUE,ROWS($V$2:V36),"")</f>
        <v/>
      </c>
      <c r="X36" s="1">
        <f>IFERROR(SMALL($W$2:$W$853,ROWS($W$2:W36)),"")</f>
        <v>136</v>
      </c>
      <c r="Y36" s="1" t="str">
        <f>IF($X36&lt;&gt;"",INDEX($P$2:$U$853,MATCH($X36,$W$2:$W$853,0),COLUMNS($X$2:X36)),"")</f>
        <v>Brazil</v>
      </c>
      <c r="Z36" s="1">
        <f>IF($X36&lt;&gt;"",INDEX($P$2:$U$853,MATCH($X36,$W$2:$W$853,0),COLUMNS($X$2:Y36)),"")</f>
        <v>5</v>
      </c>
      <c r="AA36" s="1">
        <f>IF($X36&lt;&gt;"",INDEX($P$2:$U$853,MATCH($X36,$W$2:$W$853,0),COLUMNS($X$2:Z36)),"")</f>
        <v>2</v>
      </c>
      <c r="AB36" s="1" t="str">
        <f>IF($X36&lt;&gt;"",INDEX($P$2:$U$853,MATCH($X36,$W$2:$W$853,0),COLUMNS($X$2:AA36)),"")</f>
        <v>Sweden</v>
      </c>
      <c r="AC36" s="1" t="str">
        <f>IF($X36&lt;&gt;"",INDEX($P$2:$U$853,MATCH($X36,$W$2:$W$853,0),COLUMNS($X$2:AB36)),"")</f>
        <v xml:space="preserve"> </v>
      </c>
      <c r="AD36" s="1" t="str">
        <f>IF($X36&lt;&gt;"",INDEX($P$2:$U$853,MATCH($X36,$W$2:$W$853,0),COLUMNS($X$2:AC36)),"")</f>
        <v>Final</v>
      </c>
    </row>
    <row r="37" spans="1:30" x14ac:dyDescent="0.2">
      <c r="A37" s="1">
        <v>1938</v>
      </c>
      <c r="B37" s="2">
        <v>14035</v>
      </c>
      <c r="C37" s="1" t="s">
        <v>512</v>
      </c>
      <c r="D37" s="1" t="s">
        <v>64</v>
      </c>
      <c r="E37" s="1" t="s">
        <v>65</v>
      </c>
      <c r="F37" s="1" t="s">
        <v>66</v>
      </c>
      <c r="G37" s="6" t="str">
        <f>VLOOKUP(A37,WorldCups!$A$2:$B$23,2,FALSE)</f>
        <v>France</v>
      </c>
      <c r="H37" s="1" t="s">
        <v>44</v>
      </c>
      <c r="I37" s="1">
        <v>1</v>
      </c>
      <c r="J37" s="1">
        <v>1</v>
      </c>
      <c r="K37" s="1" t="s">
        <v>51</v>
      </c>
      <c r="L37" s="1" t="s">
        <v>14</v>
      </c>
      <c r="M37" s="1" t="str">
        <f>IF(ISNUMBER(SEARCH("Group",Table2[[#This Row],[Round]])),"Group stages",Table2[[#This Row],[Round]])</f>
        <v>First round</v>
      </c>
      <c r="O37" s="1">
        <f>Table2[[#This Row],[Year]]</f>
        <v>1938</v>
      </c>
      <c r="P37" s="1" t="str">
        <f>INDEX(Table2[[HomeTeam]:[Group_details]],ROWS($N$2:N37),COLUMNS($N$2:N37))</f>
        <v>Switzerland</v>
      </c>
      <c r="Q37" s="1">
        <f>INDEX(Table2[[HomeTeam]:[Group_details]],ROWS($N$2:O37),COLUMNS($N$2:O37))</f>
        <v>1</v>
      </c>
      <c r="R37" s="1">
        <f>INDEX(Table2[[HomeTeam]:[Group_details]],ROWS($N$2:P37),COLUMNS($N$2:P37))</f>
        <v>1</v>
      </c>
      <c r="S37" s="1" t="str">
        <f>INDEX(Table2[[HomeTeam]:[Group_details]],ROWS($N$2:Q37),COLUMNS($N$2:Q37))</f>
        <v>Germany</v>
      </c>
      <c r="T37" s="1" t="str">
        <f>INDEX(Table2[[HomeTeam]:[Group_details]],ROWS($N$2:R37),COLUMNS($N$2:R37))</f>
        <v xml:space="preserve"> </v>
      </c>
      <c r="U37" s="1" t="str">
        <f>INDEX(Table2[[HomeTeam]:[Group_details]],ROWS($N$2:S37),COLUMNS($N$2:S37))</f>
        <v>First round</v>
      </c>
      <c r="V37" s="1" t="b">
        <f t="shared" si="0"/>
        <v>0</v>
      </c>
      <c r="W37" s="1" t="str">
        <f>IF(V37=TRUE,ROWS($V$2:V37),"")</f>
        <v/>
      </c>
      <c r="X37" s="1" t="str">
        <f>IFERROR(SMALL($W$2:$W$853,ROWS($W$2:W37)),"")</f>
        <v/>
      </c>
      <c r="Y37" s="1" t="str">
        <f>IF($X37&lt;&gt;"",INDEX($P$2:$U$853,MATCH($X37,$W$2:$W$853,0),COLUMNS($X$2:X37)),"")</f>
        <v/>
      </c>
      <c r="Z37" s="1" t="str">
        <f>IF($X37&lt;&gt;"",INDEX($P$2:$U$853,MATCH($X37,$W$2:$W$853,0),COLUMNS($X$2:Y37)),"")</f>
        <v/>
      </c>
      <c r="AA37" s="1" t="str">
        <f>IF($X37&lt;&gt;"",INDEX($P$2:$U$853,MATCH($X37,$W$2:$W$853,0),COLUMNS($X$2:Z37)),"")</f>
        <v/>
      </c>
      <c r="AB37" s="1" t="str">
        <f>IF($X37&lt;&gt;"",INDEX($P$2:$U$853,MATCH($X37,$W$2:$W$853,0),COLUMNS($X$2:AA37)),"")</f>
        <v/>
      </c>
      <c r="AC37" s="1" t="str">
        <f>IF($X37&lt;&gt;"",INDEX($P$2:$U$853,MATCH($X37,$W$2:$W$853,0),COLUMNS($X$2:AB37)),"")</f>
        <v/>
      </c>
      <c r="AD37" s="1" t="str">
        <f>IF($X37&lt;&gt;"",INDEX($P$2:$U$853,MATCH($X37,$W$2:$W$853,0),COLUMNS($X$2:AC37)),"")</f>
        <v/>
      </c>
    </row>
    <row r="38" spans="1:30" x14ac:dyDescent="0.2">
      <c r="A38" s="1">
        <v>1938</v>
      </c>
      <c r="B38" s="2">
        <v>14036</v>
      </c>
      <c r="C38" s="1" t="s">
        <v>512</v>
      </c>
      <c r="D38" s="1" t="s">
        <v>64</v>
      </c>
      <c r="E38" s="1" t="s">
        <v>67</v>
      </c>
      <c r="F38" s="1" t="s">
        <v>68</v>
      </c>
      <c r="G38" s="6" t="str">
        <f>VLOOKUP(A38,WorldCups!$A$2:$B$23,2,FALSE)</f>
        <v>France</v>
      </c>
      <c r="H38" s="1" t="s">
        <v>40</v>
      </c>
      <c r="I38" s="1">
        <v>6</v>
      </c>
      <c r="J38" s="1">
        <v>0</v>
      </c>
      <c r="K38" s="1" t="s">
        <v>69</v>
      </c>
      <c r="L38" s="1" t="s">
        <v>14</v>
      </c>
      <c r="M38" s="1" t="str">
        <f>IF(ISNUMBER(SEARCH("Group",Table2[[#This Row],[Round]])),"Group stages",Table2[[#This Row],[Round]])</f>
        <v>First round</v>
      </c>
      <c r="O38" s="1">
        <f>Table2[[#This Row],[Year]]</f>
        <v>1938</v>
      </c>
      <c r="P38" s="1" t="str">
        <f>INDEX(Table2[[HomeTeam]:[Group_details]],ROWS($N$2:N38),COLUMNS($N$2:N38))</f>
        <v>Hungary</v>
      </c>
      <c r="Q38" s="1">
        <f>INDEX(Table2[[HomeTeam]:[Group_details]],ROWS($N$2:O38),COLUMNS($N$2:O38))</f>
        <v>6</v>
      </c>
      <c r="R38" s="1">
        <f>INDEX(Table2[[HomeTeam]:[Group_details]],ROWS($N$2:P38),COLUMNS($N$2:P38))</f>
        <v>0</v>
      </c>
      <c r="S38" s="1" t="str">
        <f>INDEX(Table2[[HomeTeam]:[Group_details]],ROWS($N$2:Q38),COLUMNS($N$2:Q38))</f>
        <v>Dutch East Indies</v>
      </c>
      <c r="T38" s="1" t="str">
        <f>INDEX(Table2[[HomeTeam]:[Group_details]],ROWS($N$2:R38),COLUMNS($N$2:R38))</f>
        <v xml:space="preserve"> </v>
      </c>
      <c r="U38" s="1" t="str">
        <f>INDEX(Table2[[HomeTeam]:[Group_details]],ROWS($N$2:S38),COLUMNS($N$2:S38))</f>
        <v>First round</v>
      </c>
      <c r="V38" s="1" t="b">
        <f t="shared" si="0"/>
        <v>0</v>
      </c>
      <c r="W38" s="1" t="str">
        <f>IF(V38=TRUE,ROWS($V$2:V38),"")</f>
        <v/>
      </c>
      <c r="X38" s="1" t="str">
        <f>IFERROR(SMALL($W$2:$W$853,ROWS($W$2:W38)),"")</f>
        <v/>
      </c>
      <c r="Y38" s="1" t="str">
        <f>IF($X38&lt;&gt;"",INDEX($P$2:$U$853,MATCH($X38,$W$2:$W$853,0),COLUMNS($X$2:X38)),"")</f>
        <v/>
      </c>
      <c r="Z38" s="1" t="str">
        <f>IF($X38&lt;&gt;"",INDEX($P$2:$U$853,MATCH($X38,$W$2:$W$853,0),COLUMNS($X$2:Y38)),"")</f>
        <v/>
      </c>
      <c r="AA38" s="1" t="str">
        <f>IF($X38&lt;&gt;"",INDEX($P$2:$U$853,MATCH($X38,$W$2:$W$853,0),COLUMNS($X$2:Z38)),"")</f>
        <v/>
      </c>
      <c r="AB38" s="1" t="str">
        <f>IF($X38&lt;&gt;"",INDEX($P$2:$U$853,MATCH($X38,$W$2:$W$853,0),COLUMNS($X$2:AA38)),"")</f>
        <v/>
      </c>
      <c r="AC38" s="1" t="str">
        <f>IF($X38&lt;&gt;"",INDEX($P$2:$U$853,MATCH($X38,$W$2:$W$853,0),COLUMNS($X$2:AB38)),"")</f>
        <v/>
      </c>
      <c r="AD38" s="1" t="str">
        <f>IF($X38&lt;&gt;"",INDEX($P$2:$U$853,MATCH($X38,$W$2:$W$853,0),COLUMNS($X$2:AC38)),"")</f>
        <v/>
      </c>
    </row>
    <row r="39" spans="1:30" x14ac:dyDescent="0.2">
      <c r="A39" s="1">
        <v>1938</v>
      </c>
      <c r="B39" s="2">
        <v>14036</v>
      </c>
      <c r="C39" s="1" t="s">
        <v>512</v>
      </c>
      <c r="D39" s="1" t="s">
        <v>64</v>
      </c>
      <c r="E39" s="1" t="s">
        <v>70</v>
      </c>
      <c r="F39" s="1" t="s">
        <v>71</v>
      </c>
      <c r="G39" s="6" t="str">
        <f>VLOOKUP(A39,WorldCups!$A$2:$B$23,2,FALSE)</f>
        <v>France</v>
      </c>
      <c r="H39" s="1" t="s">
        <v>12</v>
      </c>
      <c r="I39" s="1">
        <v>3</v>
      </c>
      <c r="J39" s="1">
        <v>1</v>
      </c>
      <c r="K39" s="1" t="s">
        <v>18</v>
      </c>
      <c r="L39" s="1" t="s">
        <v>14</v>
      </c>
      <c r="M39" s="1" t="str">
        <f>IF(ISNUMBER(SEARCH("Group",Table2[[#This Row],[Round]])),"Group stages",Table2[[#This Row],[Round]])</f>
        <v>First round</v>
      </c>
      <c r="O39" s="1">
        <f>Table2[[#This Row],[Year]]</f>
        <v>1938</v>
      </c>
      <c r="P39" s="1" t="str">
        <f>INDEX(Table2[[HomeTeam]:[Group_details]],ROWS($N$2:N39),COLUMNS($N$2:N39))</f>
        <v>France</v>
      </c>
      <c r="Q39" s="1">
        <f>INDEX(Table2[[HomeTeam]:[Group_details]],ROWS($N$2:O39),COLUMNS($N$2:O39))</f>
        <v>3</v>
      </c>
      <c r="R39" s="1">
        <f>INDEX(Table2[[HomeTeam]:[Group_details]],ROWS($N$2:P39),COLUMNS($N$2:P39))</f>
        <v>1</v>
      </c>
      <c r="S39" s="1" t="str">
        <f>INDEX(Table2[[HomeTeam]:[Group_details]],ROWS($N$2:Q39),COLUMNS($N$2:Q39))</f>
        <v>Belgium</v>
      </c>
      <c r="T39" s="1" t="str">
        <f>INDEX(Table2[[HomeTeam]:[Group_details]],ROWS($N$2:R39),COLUMNS($N$2:R39))</f>
        <v xml:space="preserve"> </v>
      </c>
      <c r="U39" s="1" t="str">
        <f>INDEX(Table2[[HomeTeam]:[Group_details]],ROWS($N$2:S39),COLUMNS($N$2:S39))</f>
        <v>First round</v>
      </c>
      <c r="V39" s="1" t="b">
        <f t="shared" si="0"/>
        <v>0</v>
      </c>
      <c r="W39" s="1" t="str">
        <f>IF(V39=TRUE,ROWS($V$2:V39),"")</f>
        <v/>
      </c>
      <c r="X39" s="1" t="str">
        <f>IFERROR(SMALL($W$2:$W$853,ROWS($W$2:W39)),"")</f>
        <v/>
      </c>
      <c r="Y39" s="1" t="str">
        <f>IF($X39&lt;&gt;"",INDEX($P$2:$U$853,MATCH($X39,$W$2:$W$853,0),COLUMNS($X$2:X39)),"")</f>
        <v/>
      </c>
      <c r="Z39" s="1" t="str">
        <f>IF($X39&lt;&gt;"",INDEX($P$2:$U$853,MATCH($X39,$W$2:$W$853,0),COLUMNS($X$2:Y39)),"")</f>
        <v/>
      </c>
      <c r="AA39" s="1" t="str">
        <f>IF($X39&lt;&gt;"",INDEX($P$2:$U$853,MATCH($X39,$W$2:$W$853,0),COLUMNS($X$2:Z39)),"")</f>
        <v/>
      </c>
      <c r="AB39" s="1" t="str">
        <f>IF($X39&lt;&gt;"",INDEX($P$2:$U$853,MATCH($X39,$W$2:$W$853,0),COLUMNS($X$2:AA39)),"")</f>
        <v/>
      </c>
      <c r="AC39" s="1" t="str">
        <f>IF($X39&lt;&gt;"",INDEX($P$2:$U$853,MATCH($X39,$W$2:$W$853,0),COLUMNS($X$2:AB39)),"")</f>
        <v/>
      </c>
      <c r="AD39" s="1" t="str">
        <f>IF($X39&lt;&gt;"",INDEX($P$2:$U$853,MATCH($X39,$W$2:$W$853,0),COLUMNS($X$2:AC39)),"")</f>
        <v/>
      </c>
    </row>
    <row r="40" spans="1:30" x14ac:dyDescent="0.2">
      <c r="A40" s="1">
        <v>1938</v>
      </c>
      <c r="B40" s="2">
        <v>14036</v>
      </c>
      <c r="C40" s="1" t="s">
        <v>512</v>
      </c>
      <c r="D40" s="1" t="s">
        <v>64</v>
      </c>
      <c r="E40" s="1" t="s">
        <v>72</v>
      </c>
      <c r="F40" s="1" t="s">
        <v>73</v>
      </c>
      <c r="G40" s="6" t="str">
        <f>VLOOKUP(A40,WorldCups!$A$2:$B$23,2,FALSE)</f>
        <v>France</v>
      </c>
      <c r="H40" s="1" t="s">
        <v>74</v>
      </c>
      <c r="I40" s="1">
        <v>3</v>
      </c>
      <c r="J40" s="1">
        <v>3</v>
      </c>
      <c r="K40" s="1" t="s">
        <v>23</v>
      </c>
      <c r="L40" s="1" t="s">
        <v>14</v>
      </c>
      <c r="M40" s="1" t="str">
        <f>IF(ISNUMBER(SEARCH("Group",Table2[[#This Row],[Round]])),"Group stages",Table2[[#This Row],[Round]])</f>
        <v>First round</v>
      </c>
      <c r="O40" s="1">
        <f>Table2[[#This Row],[Year]]</f>
        <v>1938</v>
      </c>
      <c r="P40" s="1" t="str">
        <f>INDEX(Table2[[HomeTeam]:[Group_details]],ROWS($N$2:N40),COLUMNS($N$2:N40))</f>
        <v>Cuba</v>
      </c>
      <c r="Q40" s="1">
        <f>INDEX(Table2[[HomeTeam]:[Group_details]],ROWS($N$2:O40),COLUMNS($N$2:O40))</f>
        <v>3</v>
      </c>
      <c r="R40" s="1">
        <f>INDEX(Table2[[HomeTeam]:[Group_details]],ROWS($N$2:P40),COLUMNS($N$2:P40))</f>
        <v>3</v>
      </c>
      <c r="S40" s="1" t="str">
        <f>INDEX(Table2[[HomeTeam]:[Group_details]],ROWS($N$2:Q40),COLUMNS($N$2:Q40))</f>
        <v>Romania</v>
      </c>
      <c r="T40" s="1" t="str">
        <f>INDEX(Table2[[HomeTeam]:[Group_details]],ROWS($N$2:R40),COLUMNS($N$2:R40))</f>
        <v xml:space="preserve"> </v>
      </c>
      <c r="U40" s="1" t="str">
        <f>INDEX(Table2[[HomeTeam]:[Group_details]],ROWS($N$2:S40),COLUMNS($N$2:S40))</f>
        <v>First round</v>
      </c>
      <c r="V40" s="1" t="b">
        <f t="shared" si="0"/>
        <v>0</v>
      </c>
      <c r="W40" s="1" t="str">
        <f>IF(V40=TRUE,ROWS($V$2:V40),"")</f>
        <v/>
      </c>
      <c r="X40" s="1" t="str">
        <f>IFERROR(SMALL($W$2:$W$853,ROWS($W$2:W40)),"")</f>
        <v/>
      </c>
      <c r="Y40" s="1" t="str">
        <f>IF($X40&lt;&gt;"",INDEX($P$2:$U$853,MATCH($X40,$W$2:$W$853,0),COLUMNS($X$2:X40)),"")</f>
        <v/>
      </c>
      <c r="Z40" s="1" t="str">
        <f>IF($X40&lt;&gt;"",INDEX($P$2:$U$853,MATCH($X40,$W$2:$W$853,0),COLUMNS($X$2:Y40)),"")</f>
        <v/>
      </c>
      <c r="AA40" s="1" t="str">
        <f>IF($X40&lt;&gt;"",INDEX($P$2:$U$853,MATCH($X40,$W$2:$W$853,0),COLUMNS($X$2:Z40)),"")</f>
        <v/>
      </c>
      <c r="AB40" s="1" t="str">
        <f>IF($X40&lt;&gt;"",INDEX($P$2:$U$853,MATCH($X40,$W$2:$W$853,0),COLUMNS($X$2:AA40)),"")</f>
        <v/>
      </c>
      <c r="AC40" s="1" t="str">
        <f>IF($X40&lt;&gt;"",INDEX($P$2:$U$853,MATCH($X40,$W$2:$W$853,0),COLUMNS($X$2:AB40)),"")</f>
        <v/>
      </c>
      <c r="AD40" s="1" t="str">
        <f>IF($X40&lt;&gt;"",INDEX($P$2:$U$853,MATCH($X40,$W$2:$W$853,0),COLUMNS($X$2:AC40)),"")</f>
        <v/>
      </c>
    </row>
    <row r="41" spans="1:30" x14ac:dyDescent="0.2">
      <c r="A41" s="1">
        <v>1938</v>
      </c>
      <c r="B41" s="2">
        <v>14036</v>
      </c>
      <c r="C41" s="1" t="s">
        <v>512</v>
      </c>
      <c r="D41" s="1" t="s">
        <v>64</v>
      </c>
      <c r="E41" s="1" t="s">
        <v>75</v>
      </c>
      <c r="F41" s="1" t="s">
        <v>76</v>
      </c>
      <c r="G41" s="6" t="str">
        <f>VLOOKUP(A41,WorldCups!$A$2:$B$23,2,FALSE)</f>
        <v>France</v>
      </c>
      <c r="H41" s="1" t="s">
        <v>57</v>
      </c>
      <c r="I41" s="1">
        <v>2</v>
      </c>
      <c r="J41" s="1">
        <v>1</v>
      </c>
      <c r="K41" s="1" t="s">
        <v>77</v>
      </c>
      <c r="L41" s="1" t="s">
        <v>63</v>
      </c>
      <c r="M41" s="1" t="str">
        <f>IF(ISNUMBER(SEARCH("Group",Table2[[#This Row],[Round]])),"Group stages",Table2[[#This Row],[Round]])</f>
        <v>First round</v>
      </c>
      <c r="O41" s="1">
        <f>Table2[[#This Row],[Year]]</f>
        <v>1938</v>
      </c>
      <c r="P41" s="1" t="str">
        <f>INDEX(Table2[[HomeTeam]:[Group_details]],ROWS($N$2:N41),COLUMNS($N$2:N41))</f>
        <v>Italy</v>
      </c>
      <c r="Q41" s="1">
        <f>INDEX(Table2[[HomeTeam]:[Group_details]],ROWS($N$2:O41),COLUMNS($N$2:O41))</f>
        <v>2</v>
      </c>
      <c r="R41" s="1">
        <f>INDEX(Table2[[HomeTeam]:[Group_details]],ROWS($N$2:P41),COLUMNS($N$2:P41))</f>
        <v>1</v>
      </c>
      <c r="S41" s="1" t="str">
        <f>INDEX(Table2[[HomeTeam]:[Group_details]],ROWS($N$2:Q41),COLUMNS($N$2:Q41))</f>
        <v>Norway</v>
      </c>
      <c r="T41" s="1" t="str">
        <f>INDEX(Table2[[HomeTeam]:[Group_details]],ROWS($N$2:R41),COLUMNS($N$2:R41))</f>
        <v xml:space="preserve">Italy win after extra time </v>
      </c>
      <c r="U41" s="1" t="str">
        <f>INDEX(Table2[[HomeTeam]:[Group_details]],ROWS($N$2:S41),COLUMNS($N$2:S41))</f>
        <v>First round</v>
      </c>
      <c r="V41" s="1" t="b">
        <f t="shared" si="0"/>
        <v>0</v>
      </c>
      <c r="W41" s="1" t="str">
        <f>IF(V41=TRUE,ROWS($V$2:V41),"")</f>
        <v/>
      </c>
      <c r="X41" s="1" t="str">
        <f>IFERROR(SMALL($W$2:$W$853,ROWS($W$2:W41)),"")</f>
        <v/>
      </c>
      <c r="Y41" s="1" t="str">
        <f>IF($X41&lt;&gt;"",INDEX($P$2:$U$853,MATCH($X41,$W$2:$W$853,0),COLUMNS($X$2:X41)),"")</f>
        <v/>
      </c>
      <c r="Z41" s="1" t="str">
        <f>IF($X41&lt;&gt;"",INDEX($P$2:$U$853,MATCH($X41,$W$2:$W$853,0),COLUMNS($X$2:Y41)),"")</f>
        <v/>
      </c>
      <c r="AA41" s="1" t="str">
        <f>IF($X41&lt;&gt;"",INDEX($P$2:$U$853,MATCH($X41,$W$2:$W$853,0),COLUMNS($X$2:Z41)),"")</f>
        <v/>
      </c>
      <c r="AB41" s="1" t="str">
        <f>IF($X41&lt;&gt;"",INDEX($P$2:$U$853,MATCH($X41,$W$2:$W$853,0),COLUMNS($X$2:AA41)),"")</f>
        <v/>
      </c>
      <c r="AC41" s="1" t="str">
        <f>IF($X41&lt;&gt;"",INDEX($P$2:$U$853,MATCH($X41,$W$2:$W$853,0),COLUMNS($X$2:AB41)),"")</f>
        <v/>
      </c>
      <c r="AD41" s="1" t="str">
        <f>IF($X41&lt;&gt;"",INDEX($P$2:$U$853,MATCH($X41,$W$2:$W$853,0),COLUMNS($X$2:AC41)),"")</f>
        <v/>
      </c>
    </row>
    <row r="42" spans="1:30" x14ac:dyDescent="0.2">
      <c r="A42" s="1">
        <v>1938</v>
      </c>
      <c r="B42" s="2">
        <v>14036</v>
      </c>
      <c r="C42" s="1" t="s">
        <v>511</v>
      </c>
      <c r="D42" s="1" t="s">
        <v>64</v>
      </c>
      <c r="E42" s="1" t="s">
        <v>78</v>
      </c>
      <c r="F42" s="1" t="s">
        <v>79</v>
      </c>
      <c r="G42" s="6" t="str">
        <f>VLOOKUP(A42,WorldCups!$A$2:$B$23,2,FALSE)</f>
        <v>France</v>
      </c>
      <c r="H42" s="1" t="s">
        <v>21</v>
      </c>
      <c r="I42" s="1">
        <v>6</v>
      </c>
      <c r="J42" s="1">
        <v>5</v>
      </c>
      <c r="K42" s="1" t="s">
        <v>80</v>
      </c>
      <c r="L42" s="1" t="s">
        <v>81</v>
      </c>
      <c r="M42" s="1" t="str">
        <f>IF(ISNUMBER(SEARCH("Group",Table2[[#This Row],[Round]])),"Group stages",Table2[[#This Row],[Round]])</f>
        <v>First round</v>
      </c>
      <c r="O42" s="1">
        <f>Table2[[#This Row],[Year]]</f>
        <v>1938</v>
      </c>
      <c r="P42" s="1" t="str">
        <f>INDEX(Table2[[HomeTeam]:[Group_details]],ROWS($N$2:N42),COLUMNS($N$2:N42))</f>
        <v>Brazil</v>
      </c>
      <c r="Q42" s="1">
        <f>INDEX(Table2[[HomeTeam]:[Group_details]],ROWS($N$2:O42),COLUMNS($N$2:O42))</f>
        <v>6</v>
      </c>
      <c r="R42" s="1">
        <f>INDEX(Table2[[HomeTeam]:[Group_details]],ROWS($N$2:P42),COLUMNS($N$2:P42))</f>
        <v>5</v>
      </c>
      <c r="S42" s="1" t="str">
        <f>INDEX(Table2[[HomeTeam]:[Group_details]],ROWS($N$2:Q42),COLUMNS($N$2:Q42))</f>
        <v>Poland</v>
      </c>
      <c r="T42" s="1" t="str">
        <f>INDEX(Table2[[HomeTeam]:[Group_details]],ROWS($N$2:R42),COLUMNS($N$2:R42))</f>
        <v xml:space="preserve">Brazil win after extra time </v>
      </c>
      <c r="U42" s="1" t="str">
        <f>INDEX(Table2[[HomeTeam]:[Group_details]],ROWS($N$2:S42),COLUMNS($N$2:S42))</f>
        <v>First round</v>
      </c>
      <c r="V42" s="1" t="b">
        <f t="shared" si="0"/>
        <v>0</v>
      </c>
      <c r="W42" s="1" t="str">
        <f>IF(V42=TRUE,ROWS($V$2:V42),"")</f>
        <v/>
      </c>
      <c r="X42" s="1" t="str">
        <f>IFERROR(SMALL($W$2:$W$853,ROWS($W$2:W42)),"")</f>
        <v/>
      </c>
      <c r="Y42" s="1" t="str">
        <f>IF($X42&lt;&gt;"",INDEX($P$2:$U$853,MATCH($X42,$W$2:$W$853,0),COLUMNS($X$2:X42)),"")</f>
        <v/>
      </c>
      <c r="Z42" s="1" t="str">
        <f>IF($X42&lt;&gt;"",INDEX($P$2:$U$853,MATCH($X42,$W$2:$W$853,0),COLUMNS($X$2:Y42)),"")</f>
        <v/>
      </c>
      <c r="AA42" s="1" t="str">
        <f>IF($X42&lt;&gt;"",INDEX($P$2:$U$853,MATCH($X42,$W$2:$W$853,0),COLUMNS($X$2:Z42)),"")</f>
        <v/>
      </c>
      <c r="AB42" s="1" t="str">
        <f>IF($X42&lt;&gt;"",INDEX($P$2:$U$853,MATCH($X42,$W$2:$W$853,0),COLUMNS($X$2:AA42)),"")</f>
        <v/>
      </c>
      <c r="AC42" s="1" t="str">
        <f>IF($X42&lt;&gt;"",INDEX($P$2:$U$853,MATCH($X42,$W$2:$W$853,0),COLUMNS($X$2:AB42)),"")</f>
        <v/>
      </c>
      <c r="AD42" s="1" t="str">
        <f>IF($X42&lt;&gt;"",INDEX($P$2:$U$853,MATCH($X42,$W$2:$W$853,0),COLUMNS($X$2:AC42)),"")</f>
        <v/>
      </c>
    </row>
    <row r="43" spans="1:30" x14ac:dyDescent="0.2">
      <c r="A43" s="1">
        <v>1938</v>
      </c>
      <c r="B43" s="2">
        <v>14036</v>
      </c>
      <c r="C43" s="1" t="s">
        <v>513</v>
      </c>
      <c r="D43" s="1" t="s">
        <v>64</v>
      </c>
      <c r="E43" s="1" t="s">
        <v>82</v>
      </c>
      <c r="F43" s="1" t="s">
        <v>83</v>
      </c>
      <c r="G43" s="6" t="str">
        <f>VLOOKUP(A43,WorldCups!$A$2:$B$23,2,FALSE)</f>
        <v>France</v>
      </c>
      <c r="H43" s="1" t="s">
        <v>60</v>
      </c>
      <c r="I43" s="1">
        <v>3</v>
      </c>
      <c r="J43" s="1">
        <v>0</v>
      </c>
      <c r="K43" s="1" t="s">
        <v>45</v>
      </c>
      <c r="L43" s="1" t="s">
        <v>84</v>
      </c>
      <c r="M43" s="1" t="str">
        <f>IF(ISNUMBER(SEARCH("Group",Table2[[#This Row],[Round]])),"Group stages",Table2[[#This Row],[Round]])</f>
        <v>First round</v>
      </c>
      <c r="O43" s="1">
        <f>Table2[[#This Row],[Year]]</f>
        <v>1938</v>
      </c>
      <c r="P43" s="1" t="str">
        <f>INDEX(Table2[[HomeTeam]:[Group_details]],ROWS($N$2:N43),COLUMNS($N$2:N43))</f>
        <v>Czechoslovakia</v>
      </c>
      <c r="Q43" s="1">
        <f>INDEX(Table2[[HomeTeam]:[Group_details]],ROWS($N$2:O43),COLUMNS($N$2:O43))</f>
        <v>3</v>
      </c>
      <c r="R43" s="1">
        <f>INDEX(Table2[[HomeTeam]:[Group_details]],ROWS($N$2:P43),COLUMNS($N$2:P43))</f>
        <v>0</v>
      </c>
      <c r="S43" s="1" t="str">
        <f>INDEX(Table2[[HomeTeam]:[Group_details]],ROWS($N$2:Q43),COLUMNS($N$2:Q43))</f>
        <v>Netherlands</v>
      </c>
      <c r="T43" s="1" t="str">
        <f>INDEX(Table2[[HomeTeam]:[Group_details]],ROWS($N$2:R43),COLUMNS($N$2:R43))</f>
        <v xml:space="preserve">Czechoslovakia win after extra time </v>
      </c>
      <c r="U43" s="1" t="str">
        <f>INDEX(Table2[[HomeTeam]:[Group_details]],ROWS($N$2:S43),COLUMNS($N$2:S43))</f>
        <v>First round</v>
      </c>
      <c r="V43" s="1" t="b">
        <f t="shared" si="0"/>
        <v>0</v>
      </c>
      <c r="W43" s="1" t="str">
        <f>IF(V43=TRUE,ROWS($V$2:V43),"")</f>
        <v/>
      </c>
      <c r="X43" s="1" t="str">
        <f>IFERROR(SMALL($W$2:$W$853,ROWS($W$2:W43)),"")</f>
        <v/>
      </c>
      <c r="Y43" s="1" t="str">
        <f>IF($X43&lt;&gt;"",INDEX($P$2:$U$853,MATCH($X43,$W$2:$W$853,0),COLUMNS($X$2:X43)),"")</f>
        <v/>
      </c>
      <c r="Z43" s="1" t="str">
        <f>IF($X43&lt;&gt;"",INDEX($P$2:$U$853,MATCH($X43,$W$2:$W$853,0),COLUMNS($X$2:Y43)),"")</f>
        <v/>
      </c>
      <c r="AA43" s="1" t="str">
        <f>IF($X43&lt;&gt;"",INDEX($P$2:$U$853,MATCH($X43,$W$2:$W$853,0),COLUMNS($X$2:Z43)),"")</f>
        <v/>
      </c>
      <c r="AB43" s="1" t="str">
        <f>IF($X43&lt;&gt;"",INDEX($P$2:$U$853,MATCH($X43,$W$2:$W$853,0),COLUMNS($X$2:AA43)),"")</f>
        <v/>
      </c>
      <c r="AC43" s="1" t="str">
        <f>IF($X43&lt;&gt;"",INDEX($P$2:$U$853,MATCH($X43,$W$2:$W$853,0),COLUMNS($X$2:AB43)),"")</f>
        <v/>
      </c>
      <c r="AD43" s="1" t="str">
        <f>IF($X43&lt;&gt;"",INDEX($P$2:$U$853,MATCH($X43,$W$2:$W$853,0),COLUMNS($X$2:AC43)),"")</f>
        <v/>
      </c>
    </row>
    <row r="44" spans="1:30" x14ac:dyDescent="0.2">
      <c r="A44" s="1">
        <v>1938</v>
      </c>
      <c r="B44" s="2">
        <v>14040</v>
      </c>
      <c r="C44" s="1" t="s">
        <v>510</v>
      </c>
      <c r="D44" s="1" t="s">
        <v>64</v>
      </c>
      <c r="E44" s="1" t="s">
        <v>72</v>
      </c>
      <c r="F44" s="1" t="s">
        <v>73</v>
      </c>
      <c r="G44" s="6" t="str">
        <f>VLOOKUP(A44,WorldCups!$A$2:$B$23,2,FALSE)</f>
        <v>France</v>
      </c>
      <c r="H44" s="1" t="s">
        <v>74</v>
      </c>
      <c r="I44" s="1">
        <v>2</v>
      </c>
      <c r="J44" s="1">
        <v>1</v>
      </c>
      <c r="K44" s="1" t="s">
        <v>23</v>
      </c>
      <c r="L44" s="1" t="s">
        <v>14</v>
      </c>
      <c r="M44" s="1" t="str">
        <f>IF(ISNUMBER(SEARCH("Group",Table2[[#This Row],[Round]])),"Group stages",Table2[[#This Row],[Round]])</f>
        <v>First round</v>
      </c>
      <c r="O44" s="1">
        <f>Table2[[#This Row],[Year]]</f>
        <v>1938</v>
      </c>
      <c r="P44" s="1" t="str">
        <f>INDEX(Table2[[HomeTeam]:[Group_details]],ROWS($N$2:N44),COLUMNS($N$2:N44))</f>
        <v>Cuba</v>
      </c>
      <c r="Q44" s="1">
        <f>INDEX(Table2[[HomeTeam]:[Group_details]],ROWS($N$2:O44),COLUMNS($N$2:O44))</f>
        <v>2</v>
      </c>
      <c r="R44" s="1">
        <f>INDEX(Table2[[HomeTeam]:[Group_details]],ROWS($N$2:P44),COLUMNS($N$2:P44))</f>
        <v>1</v>
      </c>
      <c r="S44" s="1" t="str">
        <f>INDEX(Table2[[HomeTeam]:[Group_details]],ROWS($N$2:Q44),COLUMNS($N$2:Q44))</f>
        <v>Romania</v>
      </c>
      <c r="T44" s="1" t="str">
        <f>INDEX(Table2[[HomeTeam]:[Group_details]],ROWS($N$2:R44),COLUMNS($N$2:R44))</f>
        <v xml:space="preserve"> </v>
      </c>
      <c r="U44" s="1" t="str">
        <f>INDEX(Table2[[HomeTeam]:[Group_details]],ROWS($N$2:S44),COLUMNS($N$2:S44))</f>
        <v>First round</v>
      </c>
      <c r="V44" s="1" t="b">
        <f t="shared" si="0"/>
        <v>0</v>
      </c>
      <c r="W44" s="1" t="str">
        <f>IF(V44=TRUE,ROWS($V$2:V44),"")</f>
        <v/>
      </c>
      <c r="X44" s="1" t="str">
        <f>IFERROR(SMALL($W$2:$W$853,ROWS($W$2:W44)),"")</f>
        <v/>
      </c>
      <c r="Y44" s="1" t="str">
        <f>IF($X44&lt;&gt;"",INDEX($P$2:$U$853,MATCH($X44,$W$2:$W$853,0),COLUMNS($X$2:X44)),"")</f>
        <v/>
      </c>
      <c r="Z44" s="1" t="str">
        <f>IF($X44&lt;&gt;"",INDEX($P$2:$U$853,MATCH($X44,$W$2:$W$853,0),COLUMNS($X$2:Y44)),"")</f>
        <v/>
      </c>
      <c r="AA44" s="1" t="str">
        <f>IF($X44&lt;&gt;"",INDEX($P$2:$U$853,MATCH($X44,$W$2:$W$853,0),COLUMNS($X$2:Z44)),"")</f>
        <v/>
      </c>
      <c r="AB44" s="1" t="str">
        <f>IF($X44&lt;&gt;"",INDEX($P$2:$U$853,MATCH($X44,$W$2:$W$853,0),COLUMNS($X$2:AA44)),"")</f>
        <v/>
      </c>
      <c r="AC44" s="1" t="str">
        <f>IF($X44&lt;&gt;"",INDEX($P$2:$U$853,MATCH($X44,$W$2:$W$853,0),COLUMNS($X$2:AB44)),"")</f>
        <v/>
      </c>
      <c r="AD44" s="1" t="str">
        <f>IF($X44&lt;&gt;"",INDEX($P$2:$U$853,MATCH($X44,$W$2:$W$853,0),COLUMNS($X$2:AC44)),"")</f>
        <v/>
      </c>
    </row>
    <row r="45" spans="1:30" x14ac:dyDescent="0.2">
      <c r="A45" s="1">
        <v>1938</v>
      </c>
      <c r="B45" s="2">
        <v>14040</v>
      </c>
      <c r="C45" s="1" t="s">
        <v>510</v>
      </c>
      <c r="D45" s="1" t="s">
        <v>64</v>
      </c>
      <c r="E45" s="1" t="s">
        <v>65</v>
      </c>
      <c r="F45" s="1" t="s">
        <v>66</v>
      </c>
      <c r="G45" s="6" t="str">
        <f>VLOOKUP(A45,WorldCups!$A$2:$B$23,2,FALSE)</f>
        <v>France</v>
      </c>
      <c r="H45" s="1" t="s">
        <v>44</v>
      </c>
      <c r="I45" s="1">
        <v>4</v>
      </c>
      <c r="J45" s="1">
        <v>2</v>
      </c>
      <c r="K45" s="1" t="s">
        <v>51</v>
      </c>
      <c r="L45" s="1" t="s">
        <v>14</v>
      </c>
      <c r="M45" s="1" t="str">
        <f>IF(ISNUMBER(SEARCH("Group",Table2[[#This Row],[Round]])),"Group stages",Table2[[#This Row],[Round]])</f>
        <v>First round</v>
      </c>
      <c r="O45" s="1">
        <f>Table2[[#This Row],[Year]]</f>
        <v>1938</v>
      </c>
      <c r="P45" s="1" t="str">
        <f>INDEX(Table2[[HomeTeam]:[Group_details]],ROWS($N$2:N45),COLUMNS($N$2:N45))</f>
        <v>Switzerland</v>
      </c>
      <c r="Q45" s="1">
        <f>INDEX(Table2[[HomeTeam]:[Group_details]],ROWS($N$2:O45),COLUMNS($N$2:O45))</f>
        <v>4</v>
      </c>
      <c r="R45" s="1">
        <f>INDEX(Table2[[HomeTeam]:[Group_details]],ROWS($N$2:P45),COLUMNS($N$2:P45))</f>
        <v>2</v>
      </c>
      <c r="S45" s="1" t="str">
        <f>INDEX(Table2[[HomeTeam]:[Group_details]],ROWS($N$2:Q45),COLUMNS($N$2:Q45))</f>
        <v>Germany</v>
      </c>
      <c r="T45" s="1" t="str">
        <f>INDEX(Table2[[HomeTeam]:[Group_details]],ROWS($N$2:R45),COLUMNS($N$2:R45))</f>
        <v xml:space="preserve"> </v>
      </c>
      <c r="U45" s="1" t="str">
        <f>INDEX(Table2[[HomeTeam]:[Group_details]],ROWS($N$2:S45),COLUMNS($N$2:S45))</f>
        <v>First round</v>
      </c>
      <c r="V45" s="1" t="b">
        <f t="shared" si="0"/>
        <v>0</v>
      </c>
      <c r="W45" s="1" t="str">
        <f>IF(V45=TRUE,ROWS($V$2:V45),"")</f>
        <v/>
      </c>
      <c r="X45" s="1" t="str">
        <f>IFERROR(SMALL($W$2:$W$853,ROWS($W$2:W45)),"")</f>
        <v/>
      </c>
      <c r="Y45" s="1" t="str">
        <f>IF($X45&lt;&gt;"",INDEX($P$2:$U$853,MATCH($X45,$W$2:$W$853,0),COLUMNS($X$2:X45)),"")</f>
        <v/>
      </c>
      <c r="Z45" s="1" t="str">
        <f>IF($X45&lt;&gt;"",INDEX($P$2:$U$853,MATCH($X45,$W$2:$W$853,0),COLUMNS($X$2:Y45)),"")</f>
        <v/>
      </c>
      <c r="AA45" s="1" t="str">
        <f>IF($X45&lt;&gt;"",INDEX($P$2:$U$853,MATCH($X45,$W$2:$W$853,0),COLUMNS($X$2:Z45)),"")</f>
        <v/>
      </c>
      <c r="AB45" s="1" t="str">
        <f>IF($X45&lt;&gt;"",INDEX($P$2:$U$853,MATCH($X45,$W$2:$W$853,0),COLUMNS($X$2:AA45)),"")</f>
        <v/>
      </c>
      <c r="AC45" s="1" t="str">
        <f>IF($X45&lt;&gt;"",INDEX($P$2:$U$853,MATCH($X45,$W$2:$W$853,0),COLUMNS($X$2:AB45)),"")</f>
        <v/>
      </c>
      <c r="AD45" s="1" t="str">
        <f>IF($X45&lt;&gt;"",INDEX($P$2:$U$853,MATCH($X45,$W$2:$W$853,0),COLUMNS($X$2:AC45)),"")</f>
        <v/>
      </c>
    </row>
    <row r="46" spans="1:30" x14ac:dyDescent="0.2">
      <c r="A46" s="1">
        <v>1938</v>
      </c>
      <c r="B46" s="2">
        <v>14043</v>
      </c>
      <c r="C46" s="1" t="s">
        <v>512</v>
      </c>
      <c r="D46" s="1" t="s">
        <v>61</v>
      </c>
      <c r="E46" s="1" t="s">
        <v>85</v>
      </c>
      <c r="F46" s="1" t="s">
        <v>86</v>
      </c>
      <c r="G46" s="6" t="str">
        <f>VLOOKUP(A46,WorldCups!$A$2:$B$23,2,FALSE)</f>
        <v>France</v>
      </c>
      <c r="H46" s="1" t="s">
        <v>21</v>
      </c>
      <c r="I46" s="1">
        <v>1</v>
      </c>
      <c r="J46" s="1">
        <v>1</v>
      </c>
      <c r="K46" s="1" t="s">
        <v>60</v>
      </c>
      <c r="L46" s="1" t="s">
        <v>14</v>
      </c>
      <c r="M46" s="1" t="str">
        <f>IF(ISNUMBER(SEARCH("Group",Table2[[#This Row],[Round]])),"Group stages",Table2[[#This Row],[Round]])</f>
        <v>Quarter-finals</v>
      </c>
      <c r="O46" s="1">
        <f>Table2[[#This Row],[Year]]</f>
        <v>1938</v>
      </c>
      <c r="P46" s="1" t="str">
        <f>INDEX(Table2[[HomeTeam]:[Group_details]],ROWS($N$2:N46),COLUMNS($N$2:N46))</f>
        <v>Brazil</v>
      </c>
      <c r="Q46" s="1">
        <f>INDEX(Table2[[HomeTeam]:[Group_details]],ROWS($N$2:O46),COLUMNS($N$2:O46))</f>
        <v>1</v>
      </c>
      <c r="R46" s="1">
        <f>INDEX(Table2[[HomeTeam]:[Group_details]],ROWS($N$2:P46),COLUMNS($N$2:P46))</f>
        <v>1</v>
      </c>
      <c r="S46" s="1" t="str">
        <f>INDEX(Table2[[HomeTeam]:[Group_details]],ROWS($N$2:Q46),COLUMNS($N$2:Q46))</f>
        <v>Czechoslovakia</v>
      </c>
      <c r="T46" s="1" t="str">
        <f>INDEX(Table2[[HomeTeam]:[Group_details]],ROWS($N$2:R46),COLUMNS($N$2:R46))</f>
        <v xml:space="preserve"> </v>
      </c>
      <c r="U46" s="1" t="str">
        <f>INDEX(Table2[[HomeTeam]:[Group_details]],ROWS($N$2:S46),COLUMNS($N$2:S46))</f>
        <v>Quarter-finals</v>
      </c>
      <c r="V46" s="1" t="b">
        <f t="shared" si="0"/>
        <v>0</v>
      </c>
      <c r="W46" s="1" t="str">
        <f>IF(V46=TRUE,ROWS($V$2:V46),"")</f>
        <v/>
      </c>
      <c r="X46" s="1" t="str">
        <f>IFERROR(SMALL($W$2:$W$853,ROWS($W$2:W46)),"")</f>
        <v/>
      </c>
      <c r="Y46" s="1" t="str">
        <f>IF($X46&lt;&gt;"",INDEX($P$2:$U$853,MATCH($X46,$W$2:$W$853,0),COLUMNS($X$2:X46)),"")</f>
        <v/>
      </c>
      <c r="Z46" s="1" t="str">
        <f>IF($X46&lt;&gt;"",INDEX($P$2:$U$853,MATCH($X46,$W$2:$W$853,0),COLUMNS($X$2:Y46)),"")</f>
        <v/>
      </c>
      <c r="AA46" s="1" t="str">
        <f>IF($X46&lt;&gt;"",INDEX($P$2:$U$853,MATCH($X46,$W$2:$W$853,0),COLUMNS($X$2:Z46)),"")</f>
        <v/>
      </c>
      <c r="AB46" s="1" t="str">
        <f>IF($X46&lt;&gt;"",INDEX($P$2:$U$853,MATCH($X46,$W$2:$W$853,0),COLUMNS($X$2:AA46)),"")</f>
        <v/>
      </c>
      <c r="AC46" s="1" t="str">
        <f>IF($X46&lt;&gt;"",INDEX($P$2:$U$853,MATCH($X46,$W$2:$W$853,0),COLUMNS($X$2:AB46)),"")</f>
        <v/>
      </c>
      <c r="AD46" s="1" t="str">
        <f>IF($X46&lt;&gt;"",INDEX($P$2:$U$853,MATCH($X46,$W$2:$W$853,0),COLUMNS($X$2:AC46)),"")</f>
        <v/>
      </c>
    </row>
    <row r="47" spans="1:30" x14ac:dyDescent="0.2">
      <c r="A47" s="1">
        <v>1938</v>
      </c>
      <c r="B47" s="2">
        <v>14043</v>
      </c>
      <c r="C47" s="1" t="s">
        <v>512</v>
      </c>
      <c r="D47" s="1" t="s">
        <v>61</v>
      </c>
      <c r="E47" s="1" t="s">
        <v>87</v>
      </c>
      <c r="F47" s="1" t="s">
        <v>88</v>
      </c>
      <c r="G47" s="6" t="str">
        <f>VLOOKUP(A47,WorldCups!$A$2:$B$23,2,FALSE)</f>
        <v>France</v>
      </c>
      <c r="H47" s="1" t="s">
        <v>40</v>
      </c>
      <c r="I47" s="1">
        <v>2</v>
      </c>
      <c r="J47" s="1">
        <v>0</v>
      </c>
      <c r="K47" s="1" t="s">
        <v>44</v>
      </c>
      <c r="L47" s="1" t="s">
        <v>14</v>
      </c>
      <c r="M47" s="1" t="str">
        <f>IF(ISNUMBER(SEARCH("Group",Table2[[#This Row],[Round]])),"Group stages",Table2[[#This Row],[Round]])</f>
        <v>Quarter-finals</v>
      </c>
      <c r="O47" s="1">
        <f>Table2[[#This Row],[Year]]</f>
        <v>1938</v>
      </c>
      <c r="P47" s="1" t="str">
        <f>INDEX(Table2[[HomeTeam]:[Group_details]],ROWS($N$2:N47),COLUMNS($N$2:N47))</f>
        <v>Hungary</v>
      </c>
      <c r="Q47" s="1">
        <f>INDEX(Table2[[HomeTeam]:[Group_details]],ROWS($N$2:O47),COLUMNS($N$2:O47))</f>
        <v>2</v>
      </c>
      <c r="R47" s="1">
        <f>INDEX(Table2[[HomeTeam]:[Group_details]],ROWS($N$2:P47),COLUMNS($N$2:P47))</f>
        <v>0</v>
      </c>
      <c r="S47" s="1" t="str">
        <f>INDEX(Table2[[HomeTeam]:[Group_details]],ROWS($N$2:Q47),COLUMNS($N$2:Q47))</f>
        <v>Switzerland</v>
      </c>
      <c r="T47" s="1" t="str">
        <f>INDEX(Table2[[HomeTeam]:[Group_details]],ROWS($N$2:R47),COLUMNS($N$2:R47))</f>
        <v xml:space="preserve"> </v>
      </c>
      <c r="U47" s="1" t="str">
        <f>INDEX(Table2[[HomeTeam]:[Group_details]],ROWS($N$2:S47),COLUMNS($N$2:S47))</f>
        <v>Quarter-finals</v>
      </c>
      <c r="V47" s="1" t="b">
        <f t="shared" si="0"/>
        <v>0</v>
      </c>
      <c r="W47" s="1" t="str">
        <f>IF(V47=TRUE,ROWS($V$2:V47),"")</f>
        <v/>
      </c>
      <c r="X47" s="1" t="str">
        <f>IFERROR(SMALL($W$2:$W$853,ROWS($W$2:W47)),"")</f>
        <v/>
      </c>
      <c r="Y47" s="1" t="str">
        <f>IF($X47&lt;&gt;"",INDEX($P$2:$U$853,MATCH($X47,$W$2:$W$853,0),COLUMNS($X$2:X47)),"")</f>
        <v/>
      </c>
      <c r="Z47" s="1" t="str">
        <f>IF($X47&lt;&gt;"",INDEX($P$2:$U$853,MATCH($X47,$W$2:$W$853,0),COLUMNS($X$2:Y47)),"")</f>
        <v/>
      </c>
      <c r="AA47" s="1" t="str">
        <f>IF($X47&lt;&gt;"",INDEX($P$2:$U$853,MATCH($X47,$W$2:$W$853,0),COLUMNS($X$2:Z47)),"")</f>
        <v/>
      </c>
      <c r="AB47" s="1" t="str">
        <f>IF($X47&lt;&gt;"",INDEX($P$2:$U$853,MATCH($X47,$W$2:$W$853,0),COLUMNS($X$2:AA47)),"")</f>
        <v/>
      </c>
      <c r="AC47" s="1" t="str">
        <f>IF($X47&lt;&gt;"",INDEX($P$2:$U$853,MATCH($X47,$W$2:$W$853,0),COLUMNS($X$2:AB47)),"")</f>
        <v/>
      </c>
      <c r="AD47" s="1" t="str">
        <f>IF($X47&lt;&gt;"",INDEX($P$2:$U$853,MATCH($X47,$W$2:$W$853,0),COLUMNS($X$2:AC47)),"")</f>
        <v/>
      </c>
    </row>
    <row r="48" spans="1:30" x14ac:dyDescent="0.2">
      <c r="A48" s="1">
        <v>1938</v>
      </c>
      <c r="B48" s="2">
        <v>14043</v>
      </c>
      <c r="C48" s="1" t="s">
        <v>512</v>
      </c>
      <c r="D48" s="1" t="s">
        <v>61</v>
      </c>
      <c r="E48" s="1" t="s">
        <v>89</v>
      </c>
      <c r="F48" s="1" t="s">
        <v>90</v>
      </c>
      <c r="G48" s="6" t="str">
        <f>VLOOKUP(A48,WorldCups!$A$2:$B$23,2,FALSE)</f>
        <v>France</v>
      </c>
      <c r="H48" s="1" t="s">
        <v>48</v>
      </c>
      <c r="I48" s="1">
        <v>8</v>
      </c>
      <c r="J48" s="1">
        <v>0</v>
      </c>
      <c r="K48" s="1" t="s">
        <v>74</v>
      </c>
      <c r="L48" s="1" t="s">
        <v>14</v>
      </c>
      <c r="M48" s="1" t="str">
        <f>IF(ISNUMBER(SEARCH("Group",Table2[[#This Row],[Round]])),"Group stages",Table2[[#This Row],[Round]])</f>
        <v>Quarter-finals</v>
      </c>
      <c r="O48" s="1">
        <f>Table2[[#This Row],[Year]]</f>
        <v>1938</v>
      </c>
      <c r="P48" s="1" t="str">
        <f>INDEX(Table2[[HomeTeam]:[Group_details]],ROWS($N$2:N48),COLUMNS($N$2:N48))</f>
        <v>Sweden</v>
      </c>
      <c r="Q48" s="1">
        <f>INDEX(Table2[[HomeTeam]:[Group_details]],ROWS($N$2:O48),COLUMNS($N$2:O48))</f>
        <v>8</v>
      </c>
      <c r="R48" s="1">
        <f>INDEX(Table2[[HomeTeam]:[Group_details]],ROWS($N$2:P48),COLUMNS($N$2:P48))</f>
        <v>0</v>
      </c>
      <c r="S48" s="1" t="str">
        <f>INDEX(Table2[[HomeTeam]:[Group_details]],ROWS($N$2:Q48),COLUMNS($N$2:Q48))</f>
        <v>Cuba</v>
      </c>
      <c r="T48" s="1" t="str">
        <f>INDEX(Table2[[HomeTeam]:[Group_details]],ROWS($N$2:R48),COLUMNS($N$2:R48))</f>
        <v xml:space="preserve"> </v>
      </c>
      <c r="U48" s="1" t="str">
        <f>INDEX(Table2[[HomeTeam]:[Group_details]],ROWS($N$2:S48),COLUMNS($N$2:S48))</f>
        <v>Quarter-finals</v>
      </c>
      <c r="V48" s="1" t="b">
        <f t="shared" si="0"/>
        <v>0</v>
      </c>
      <c r="W48" s="1" t="str">
        <f>IF(V48=TRUE,ROWS($V$2:V48),"")</f>
        <v/>
      </c>
      <c r="X48" s="1" t="str">
        <f>IFERROR(SMALL($W$2:$W$853,ROWS($W$2:W48)),"")</f>
        <v/>
      </c>
      <c r="Y48" s="1" t="str">
        <f>IF($X48&lt;&gt;"",INDEX($P$2:$U$853,MATCH($X48,$W$2:$W$853,0),COLUMNS($X$2:X48)),"")</f>
        <v/>
      </c>
      <c r="Z48" s="1" t="str">
        <f>IF($X48&lt;&gt;"",INDEX($P$2:$U$853,MATCH($X48,$W$2:$W$853,0),COLUMNS($X$2:Y48)),"")</f>
        <v/>
      </c>
      <c r="AA48" s="1" t="str">
        <f>IF($X48&lt;&gt;"",INDEX($P$2:$U$853,MATCH($X48,$W$2:$W$853,0),COLUMNS($X$2:Z48)),"")</f>
        <v/>
      </c>
      <c r="AB48" s="1" t="str">
        <f>IF($X48&lt;&gt;"",INDEX($P$2:$U$853,MATCH($X48,$W$2:$W$853,0),COLUMNS($X$2:AA48)),"")</f>
        <v/>
      </c>
      <c r="AC48" s="1" t="str">
        <f>IF($X48&lt;&gt;"",INDEX($P$2:$U$853,MATCH($X48,$W$2:$W$853,0),COLUMNS($X$2:AB48)),"")</f>
        <v/>
      </c>
      <c r="AD48" s="1" t="str">
        <f>IF($X48&lt;&gt;"",INDEX($P$2:$U$853,MATCH($X48,$W$2:$W$853,0),COLUMNS($X$2:AC48)),"")</f>
        <v/>
      </c>
    </row>
    <row r="49" spans="1:30" x14ac:dyDescent="0.2">
      <c r="A49" s="1">
        <v>1938</v>
      </c>
      <c r="B49" s="2">
        <v>14043</v>
      </c>
      <c r="C49" s="1" t="s">
        <v>512</v>
      </c>
      <c r="D49" s="1" t="s">
        <v>61</v>
      </c>
      <c r="E49" s="1" t="s">
        <v>70</v>
      </c>
      <c r="F49" s="1" t="s">
        <v>71</v>
      </c>
      <c r="G49" s="6" t="str">
        <f>VLOOKUP(A49,WorldCups!$A$2:$B$23,2,FALSE)</f>
        <v>France</v>
      </c>
      <c r="H49" s="1" t="s">
        <v>57</v>
      </c>
      <c r="I49" s="1">
        <v>3</v>
      </c>
      <c r="J49" s="1">
        <v>1</v>
      </c>
      <c r="K49" s="1" t="s">
        <v>12</v>
      </c>
      <c r="L49" s="1" t="s">
        <v>14</v>
      </c>
      <c r="M49" s="1" t="str">
        <f>IF(ISNUMBER(SEARCH("Group",Table2[[#This Row],[Round]])),"Group stages",Table2[[#This Row],[Round]])</f>
        <v>Quarter-finals</v>
      </c>
      <c r="O49" s="1">
        <f>Table2[[#This Row],[Year]]</f>
        <v>1938</v>
      </c>
      <c r="P49" s="1" t="str">
        <f>INDEX(Table2[[HomeTeam]:[Group_details]],ROWS($N$2:N49),COLUMNS($N$2:N49))</f>
        <v>Italy</v>
      </c>
      <c r="Q49" s="1">
        <f>INDEX(Table2[[HomeTeam]:[Group_details]],ROWS($N$2:O49),COLUMNS($N$2:O49))</f>
        <v>3</v>
      </c>
      <c r="R49" s="1">
        <f>INDEX(Table2[[HomeTeam]:[Group_details]],ROWS($N$2:P49),COLUMNS($N$2:P49))</f>
        <v>1</v>
      </c>
      <c r="S49" s="1" t="str">
        <f>INDEX(Table2[[HomeTeam]:[Group_details]],ROWS($N$2:Q49),COLUMNS($N$2:Q49))</f>
        <v>France</v>
      </c>
      <c r="T49" s="1" t="str">
        <f>INDEX(Table2[[HomeTeam]:[Group_details]],ROWS($N$2:R49),COLUMNS($N$2:R49))</f>
        <v xml:space="preserve"> </v>
      </c>
      <c r="U49" s="1" t="str">
        <f>INDEX(Table2[[HomeTeam]:[Group_details]],ROWS($N$2:S49),COLUMNS($N$2:S49))</f>
        <v>Quarter-finals</v>
      </c>
      <c r="V49" s="1" t="b">
        <f t="shared" si="0"/>
        <v>0</v>
      </c>
      <c r="W49" s="1" t="str">
        <f>IF(V49=TRUE,ROWS($V$2:V49),"")</f>
        <v/>
      </c>
      <c r="X49" s="1" t="str">
        <f>IFERROR(SMALL($W$2:$W$853,ROWS($W$2:W49)),"")</f>
        <v/>
      </c>
      <c r="Y49" s="1" t="str">
        <f>IF($X49&lt;&gt;"",INDEX($P$2:$U$853,MATCH($X49,$W$2:$W$853,0),COLUMNS($X$2:X49)),"")</f>
        <v/>
      </c>
      <c r="Z49" s="1" t="str">
        <f>IF($X49&lt;&gt;"",INDEX($P$2:$U$853,MATCH($X49,$W$2:$W$853,0),COLUMNS($X$2:Y49)),"")</f>
        <v/>
      </c>
      <c r="AA49" s="1" t="str">
        <f>IF($X49&lt;&gt;"",INDEX($P$2:$U$853,MATCH($X49,$W$2:$W$853,0),COLUMNS($X$2:Z49)),"")</f>
        <v/>
      </c>
      <c r="AB49" s="1" t="str">
        <f>IF($X49&lt;&gt;"",INDEX($P$2:$U$853,MATCH($X49,$W$2:$W$853,0),COLUMNS($X$2:AA49)),"")</f>
        <v/>
      </c>
      <c r="AC49" s="1" t="str">
        <f>IF($X49&lt;&gt;"",INDEX($P$2:$U$853,MATCH($X49,$W$2:$W$853,0),COLUMNS($X$2:AB49)),"")</f>
        <v/>
      </c>
      <c r="AD49" s="1" t="str">
        <f>IF($X49&lt;&gt;"",INDEX($P$2:$U$853,MATCH($X49,$W$2:$W$853,0),COLUMNS($X$2:AC49)),"")</f>
        <v/>
      </c>
    </row>
    <row r="50" spans="1:30" x14ac:dyDescent="0.2">
      <c r="A50" s="1">
        <v>1938</v>
      </c>
      <c r="B50" s="2">
        <v>14045</v>
      </c>
      <c r="C50" s="1" t="s">
        <v>510</v>
      </c>
      <c r="D50" s="1" t="s">
        <v>61</v>
      </c>
      <c r="E50" s="1" t="s">
        <v>85</v>
      </c>
      <c r="F50" s="1" t="s">
        <v>86</v>
      </c>
      <c r="G50" s="6" t="str">
        <f>VLOOKUP(A50,WorldCups!$A$2:$B$23,2,FALSE)</f>
        <v>France</v>
      </c>
      <c r="H50" s="1" t="s">
        <v>21</v>
      </c>
      <c r="I50" s="1">
        <v>2</v>
      </c>
      <c r="J50" s="1">
        <v>1</v>
      </c>
      <c r="K50" s="1" t="s">
        <v>60</v>
      </c>
      <c r="L50" s="1" t="s">
        <v>14</v>
      </c>
      <c r="M50" s="1" t="str">
        <f>IF(ISNUMBER(SEARCH("Group",Table2[[#This Row],[Round]])),"Group stages",Table2[[#This Row],[Round]])</f>
        <v>Quarter-finals</v>
      </c>
      <c r="O50" s="1">
        <f>Table2[[#This Row],[Year]]</f>
        <v>1938</v>
      </c>
      <c r="P50" s="1" t="str">
        <f>INDEX(Table2[[HomeTeam]:[Group_details]],ROWS($N$2:N50),COLUMNS($N$2:N50))</f>
        <v>Brazil</v>
      </c>
      <c r="Q50" s="1">
        <f>INDEX(Table2[[HomeTeam]:[Group_details]],ROWS($N$2:O50),COLUMNS($N$2:O50))</f>
        <v>2</v>
      </c>
      <c r="R50" s="1">
        <f>INDEX(Table2[[HomeTeam]:[Group_details]],ROWS($N$2:P50),COLUMNS($N$2:P50))</f>
        <v>1</v>
      </c>
      <c r="S50" s="1" t="str">
        <f>INDEX(Table2[[HomeTeam]:[Group_details]],ROWS($N$2:Q50),COLUMNS($N$2:Q50))</f>
        <v>Czechoslovakia</v>
      </c>
      <c r="T50" s="1" t="str">
        <f>INDEX(Table2[[HomeTeam]:[Group_details]],ROWS($N$2:R50),COLUMNS($N$2:R50))</f>
        <v xml:space="preserve"> </v>
      </c>
      <c r="U50" s="1" t="str">
        <f>INDEX(Table2[[HomeTeam]:[Group_details]],ROWS($N$2:S50),COLUMNS($N$2:S50))</f>
        <v>Quarter-finals</v>
      </c>
      <c r="V50" s="1" t="b">
        <f t="shared" si="0"/>
        <v>0</v>
      </c>
      <c r="W50" s="1" t="str">
        <f>IF(V50=TRUE,ROWS($V$2:V50),"")</f>
        <v/>
      </c>
      <c r="X50" s="1" t="str">
        <f>IFERROR(SMALL($W$2:$W$853,ROWS($W$2:W50)),"")</f>
        <v/>
      </c>
      <c r="Y50" s="1" t="str">
        <f>IF($X50&lt;&gt;"",INDEX($P$2:$U$853,MATCH($X50,$W$2:$W$853,0),COLUMNS($X$2:X50)),"")</f>
        <v/>
      </c>
      <c r="Z50" s="1" t="str">
        <f>IF($X50&lt;&gt;"",INDEX($P$2:$U$853,MATCH($X50,$W$2:$W$853,0),COLUMNS($X$2:Y50)),"")</f>
        <v/>
      </c>
      <c r="AA50" s="1" t="str">
        <f>IF($X50&lt;&gt;"",INDEX($P$2:$U$853,MATCH($X50,$W$2:$W$853,0),COLUMNS($X$2:Z50)),"")</f>
        <v/>
      </c>
      <c r="AB50" s="1" t="str">
        <f>IF($X50&lt;&gt;"",INDEX($P$2:$U$853,MATCH($X50,$W$2:$W$853,0),COLUMNS($X$2:AA50)),"")</f>
        <v/>
      </c>
      <c r="AC50" s="1" t="str">
        <f>IF($X50&lt;&gt;"",INDEX($P$2:$U$853,MATCH($X50,$W$2:$W$853,0),COLUMNS($X$2:AB50)),"")</f>
        <v/>
      </c>
      <c r="AD50" s="1" t="str">
        <f>IF($X50&lt;&gt;"",INDEX($P$2:$U$853,MATCH($X50,$W$2:$W$853,0),COLUMNS($X$2:AC50)),"")</f>
        <v/>
      </c>
    </row>
    <row r="51" spans="1:30" x14ac:dyDescent="0.2">
      <c r="A51" s="1">
        <v>1938</v>
      </c>
      <c r="B51" s="2">
        <v>14047</v>
      </c>
      <c r="C51" s="1" t="s">
        <v>510</v>
      </c>
      <c r="D51" s="1" t="s">
        <v>31</v>
      </c>
      <c r="E51" s="1" t="s">
        <v>65</v>
      </c>
      <c r="F51" s="1" t="s">
        <v>66</v>
      </c>
      <c r="G51" s="6" t="str">
        <f>VLOOKUP(A51,WorldCups!$A$2:$B$23,2,FALSE)</f>
        <v>France</v>
      </c>
      <c r="H51" s="1" t="s">
        <v>40</v>
      </c>
      <c r="I51" s="1">
        <v>5</v>
      </c>
      <c r="J51" s="1">
        <v>1</v>
      </c>
      <c r="K51" s="1" t="s">
        <v>48</v>
      </c>
      <c r="L51" s="1" t="s">
        <v>14</v>
      </c>
      <c r="M51" s="1" t="str">
        <f>IF(ISNUMBER(SEARCH("Group",Table2[[#This Row],[Round]])),"Group stages",Table2[[#This Row],[Round]])</f>
        <v>Semi-finals</v>
      </c>
      <c r="O51" s="1">
        <f>Table2[[#This Row],[Year]]</f>
        <v>1938</v>
      </c>
      <c r="P51" s="1" t="str">
        <f>INDEX(Table2[[HomeTeam]:[Group_details]],ROWS($N$2:N51),COLUMNS($N$2:N51))</f>
        <v>Hungary</v>
      </c>
      <c r="Q51" s="1">
        <f>INDEX(Table2[[HomeTeam]:[Group_details]],ROWS($N$2:O51),COLUMNS($N$2:O51))</f>
        <v>5</v>
      </c>
      <c r="R51" s="1">
        <f>INDEX(Table2[[HomeTeam]:[Group_details]],ROWS($N$2:P51),COLUMNS($N$2:P51))</f>
        <v>1</v>
      </c>
      <c r="S51" s="1" t="str">
        <f>INDEX(Table2[[HomeTeam]:[Group_details]],ROWS($N$2:Q51),COLUMNS($N$2:Q51))</f>
        <v>Sweden</v>
      </c>
      <c r="T51" s="1" t="str">
        <f>INDEX(Table2[[HomeTeam]:[Group_details]],ROWS($N$2:R51),COLUMNS($N$2:R51))</f>
        <v xml:space="preserve"> </v>
      </c>
      <c r="U51" s="1" t="str">
        <f>INDEX(Table2[[HomeTeam]:[Group_details]],ROWS($N$2:S51),COLUMNS($N$2:S51))</f>
        <v>Semi-finals</v>
      </c>
      <c r="V51" s="1" t="b">
        <f t="shared" si="0"/>
        <v>0</v>
      </c>
      <c r="W51" s="1" t="str">
        <f>IF(V51=TRUE,ROWS($V$2:V51),"")</f>
        <v/>
      </c>
      <c r="X51" s="1" t="str">
        <f>IFERROR(SMALL($W$2:$W$853,ROWS($W$2:W51)),"")</f>
        <v/>
      </c>
      <c r="Y51" s="1" t="str">
        <f>IF($X51&lt;&gt;"",INDEX($P$2:$U$853,MATCH($X51,$W$2:$W$853,0),COLUMNS($X$2:X51)),"")</f>
        <v/>
      </c>
      <c r="Z51" s="1" t="str">
        <f>IF($X51&lt;&gt;"",INDEX($P$2:$U$853,MATCH($X51,$W$2:$W$853,0),COLUMNS($X$2:Y51)),"")</f>
        <v/>
      </c>
      <c r="AA51" s="1" t="str">
        <f>IF($X51&lt;&gt;"",INDEX($P$2:$U$853,MATCH($X51,$W$2:$W$853,0),COLUMNS($X$2:Z51)),"")</f>
        <v/>
      </c>
      <c r="AB51" s="1" t="str">
        <f>IF($X51&lt;&gt;"",INDEX($P$2:$U$853,MATCH($X51,$W$2:$W$853,0),COLUMNS($X$2:AA51)),"")</f>
        <v/>
      </c>
      <c r="AC51" s="1" t="str">
        <f>IF($X51&lt;&gt;"",INDEX($P$2:$U$853,MATCH($X51,$W$2:$W$853,0),COLUMNS($X$2:AB51)),"")</f>
        <v/>
      </c>
      <c r="AD51" s="1" t="str">
        <f>IF($X51&lt;&gt;"",INDEX($P$2:$U$853,MATCH($X51,$W$2:$W$853,0),COLUMNS($X$2:AC51)),"")</f>
        <v/>
      </c>
    </row>
    <row r="52" spans="1:30" x14ac:dyDescent="0.2">
      <c r="A52" s="1">
        <v>1938</v>
      </c>
      <c r="B52" s="2">
        <v>14047</v>
      </c>
      <c r="C52" s="1" t="s">
        <v>510</v>
      </c>
      <c r="D52" s="1" t="s">
        <v>31</v>
      </c>
      <c r="E52" s="1" t="s">
        <v>75</v>
      </c>
      <c r="F52" s="1" t="s">
        <v>76</v>
      </c>
      <c r="G52" s="6" t="str">
        <f>VLOOKUP(A52,WorldCups!$A$2:$B$23,2,FALSE)</f>
        <v>France</v>
      </c>
      <c r="H52" s="1" t="s">
        <v>57</v>
      </c>
      <c r="I52" s="1">
        <v>2</v>
      </c>
      <c r="J52" s="1">
        <v>1</v>
      </c>
      <c r="K52" s="1" t="s">
        <v>21</v>
      </c>
      <c r="L52" s="1" t="s">
        <v>14</v>
      </c>
      <c r="M52" s="1" t="str">
        <f>IF(ISNUMBER(SEARCH("Group",Table2[[#This Row],[Round]])),"Group stages",Table2[[#This Row],[Round]])</f>
        <v>Semi-finals</v>
      </c>
      <c r="O52" s="1">
        <f>Table2[[#This Row],[Year]]</f>
        <v>1938</v>
      </c>
      <c r="P52" s="1" t="str">
        <f>INDEX(Table2[[HomeTeam]:[Group_details]],ROWS($N$2:N52),COLUMNS($N$2:N52))</f>
        <v>Italy</v>
      </c>
      <c r="Q52" s="1">
        <f>INDEX(Table2[[HomeTeam]:[Group_details]],ROWS($N$2:O52),COLUMNS($N$2:O52))</f>
        <v>2</v>
      </c>
      <c r="R52" s="1">
        <f>INDEX(Table2[[HomeTeam]:[Group_details]],ROWS($N$2:P52),COLUMNS($N$2:P52))</f>
        <v>1</v>
      </c>
      <c r="S52" s="1" t="str">
        <f>INDEX(Table2[[HomeTeam]:[Group_details]],ROWS($N$2:Q52),COLUMNS($N$2:Q52))</f>
        <v>Brazil</v>
      </c>
      <c r="T52" s="1" t="str">
        <f>INDEX(Table2[[HomeTeam]:[Group_details]],ROWS($N$2:R52),COLUMNS($N$2:R52))</f>
        <v xml:space="preserve"> </v>
      </c>
      <c r="U52" s="1" t="str">
        <f>INDEX(Table2[[HomeTeam]:[Group_details]],ROWS($N$2:S52),COLUMNS($N$2:S52))</f>
        <v>Semi-finals</v>
      </c>
      <c r="V52" s="1" t="b">
        <f t="shared" si="0"/>
        <v>0</v>
      </c>
      <c r="W52" s="1" t="str">
        <f>IF(V52=TRUE,ROWS($V$2:V52),"")</f>
        <v/>
      </c>
      <c r="X52" s="1" t="str">
        <f>IFERROR(SMALL($W$2:$W$853,ROWS($W$2:W52)),"")</f>
        <v/>
      </c>
      <c r="Y52" s="1" t="str">
        <f>IF($X52&lt;&gt;"",INDEX($P$2:$U$853,MATCH($X52,$W$2:$W$853,0),COLUMNS($X$2:X52)),"")</f>
        <v/>
      </c>
      <c r="Z52" s="1" t="str">
        <f>IF($X52&lt;&gt;"",INDEX($P$2:$U$853,MATCH($X52,$W$2:$W$853,0),COLUMNS($X$2:Y52)),"")</f>
        <v/>
      </c>
      <c r="AA52" s="1" t="str">
        <f>IF($X52&lt;&gt;"",INDEX($P$2:$U$853,MATCH($X52,$W$2:$W$853,0),COLUMNS($X$2:Z52)),"")</f>
        <v/>
      </c>
      <c r="AB52" s="1" t="str">
        <f>IF($X52&lt;&gt;"",INDEX($P$2:$U$853,MATCH($X52,$W$2:$W$853,0),COLUMNS($X$2:AA52)),"")</f>
        <v/>
      </c>
      <c r="AC52" s="1" t="str">
        <f>IF($X52&lt;&gt;"",INDEX($P$2:$U$853,MATCH($X52,$W$2:$W$853,0),COLUMNS($X$2:AB52)),"")</f>
        <v/>
      </c>
      <c r="AD52" s="1" t="str">
        <f>IF($X52&lt;&gt;"",INDEX($P$2:$U$853,MATCH($X52,$W$2:$W$853,0),COLUMNS($X$2:AC52)),"")</f>
        <v/>
      </c>
    </row>
    <row r="53" spans="1:30" x14ac:dyDescent="0.2">
      <c r="A53" s="1">
        <v>1938</v>
      </c>
      <c r="B53" s="2">
        <v>14050</v>
      </c>
      <c r="C53" s="1" t="s">
        <v>512</v>
      </c>
      <c r="D53" s="1" t="s">
        <v>62</v>
      </c>
      <c r="E53" s="1" t="s">
        <v>85</v>
      </c>
      <c r="F53" s="1" t="s">
        <v>86</v>
      </c>
      <c r="G53" s="6" t="str">
        <f>VLOOKUP(A53,WorldCups!$A$2:$B$23,2,FALSE)</f>
        <v>France</v>
      </c>
      <c r="H53" s="1" t="s">
        <v>21</v>
      </c>
      <c r="I53" s="1">
        <v>4</v>
      </c>
      <c r="J53" s="1">
        <v>2</v>
      </c>
      <c r="K53" s="1" t="s">
        <v>48</v>
      </c>
      <c r="L53" s="1" t="s">
        <v>14</v>
      </c>
      <c r="M53" s="1" t="str">
        <f>IF(ISNUMBER(SEARCH("Group",Table2[[#This Row],[Round]])),"Group stages",Table2[[#This Row],[Round]])</f>
        <v>Match for third place</v>
      </c>
      <c r="O53" s="1">
        <f>Table2[[#This Row],[Year]]</f>
        <v>1938</v>
      </c>
      <c r="P53" s="1" t="str">
        <f>INDEX(Table2[[HomeTeam]:[Group_details]],ROWS($N$2:N53),COLUMNS($N$2:N53))</f>
        <v>Brazil</v>
      </c>
      <c r="Q53" s="1">
        <f>INDEX(Table2[[HomeTeam]:[Group_details]],ROWS($N$2:O53),COLUMNS($N$2:O53))</f>
        <v>4</v>
      </c>
      <c r="R53" s="1">
        <f>INDEX(Table2[[HomeTeam]:[Group_details]],ROWS($N$2:P53),COLUMNS($N$2:P53))</f>
        <v>2</v>
      </c>
      <c r="S53" s="1" t="str">
        <f>INDEX(Table2[[HomeTeam]:[Group_details]],ROWS($N$2:Q53),COLUMNS($N$2:Q53))</f>
        <v>Sweden</v>
      </c>
      <c r="T53" s="1" t="str">
        <f>INDEX(Table2[[HomeTeam]:[Group_details]],ROWS($N$2:R53),COLUMNS($N$2:R53))</f>
        <v xml:space="preserve"> </v>
      </c>
      <c r="U53" s="1" t="str">
        <f>INDEX(Table2[[HomeTeam]:[Group_details]],ROWS($N$2:S53),COLUMNS($N$2:S53))</f>
        <v>Match for third place</v>
      </c>
      <c r="V53" s="1" t="b">
        <f t="shared" si="0"/>
        <v>0</v>
      </c>
      <c r="W53" s="1" t="str">
        <f>IF(V53=TRUE,ROWS($V$2:V53),"")</f>
        <v/>
      </c>
      <c r="X53" s="1" t="str">
        <f>IFERROR(SMALL($W$2:$W$853,ROWS($W$2:W53)),"")</f>
        <v/>
      </c>
      <c r="Y53" s="1" t="str">
        <f>IF($X53&lt;&gt;"",INDEX($P$2:$U$853,MATCH($X53,$W$2:$W$853,0),COLUMNS($X$2:X53)),"")</f>
        <v/>
      </c>
      <c r="Z53" s="1" t="str">
        <f>IF($X53&lt;&gt;"",INDEX($P$2:$U$853,MATCH($X53,$W$2:$W$853,0),COLUMNS($X$2:Y53)),"")</f>
        <v/>
      </c>
      <c r="AA53" s="1" t="str">
        <f>IF($X53&lt;&gt;"",INDEX($P$2:$U$853,MATCH($X53,$W$2:$W$853,0),COLUMNS($X$2:Z53)),"")</f>
        <v/>
      </c>
      <c r="AB53" s="1" t="str">
        <f>IF($X53&lt;&gt;"",INDEX($P$2:$U$853,MATCH($X53,$W$2:$W$853,0),COLUMNS($X$2:AA53)),"")</f>
        <v/>
      </c>
      <c r="AC53" s="1" t="str">
        <f>IF($X53&lt;&gt;"",INDEX($P$2:$U$853,MATCH($X53,$W$2:$W$853,0),COLUMNS($X$2:AB53)),"")</f>
        <v/>
      </c>
      <c r="AD53" s="1" t="str">
        <f>IF($X53&lt;&gt;"",INDEX($P$2:$U$853,MATCH($X53,$W$2:$W$853,0),COLUMNS($X$2:AC53)),"")</f>
        <v/>
      </c>
    </row>
    <row r="54" spans="1:30" x14ac:dyDescent="0.2">
      <c r="A54" s="1">
        <v>1938</v>
      </c>
      <c r="B54" s="2">
        <v>14050</v>
      </c>
      <c r="C54" s="1" t="s">
        <v>512</v>
      </c>
      <c r="D54" s="1" t="s">
        <v>32</v>
      </c>
      <c r="E54" s="1" t="s">
        <v>70</v>
      </c>
      <c r="F54" s="1" t="s">
        <v>71</v>
      </c>
      <c r="G54" s="6" t="str">
        <f>VLOOKUP(A54,WorldCups!$A$2:$B$23,2,FALSE)</f>
        <v>France</v>
      </c>
      <c r="H54" s="1" t="s">
        <v>57</v>
      </c>
      <c r="I54" s="1">
        <v>4</v>
      </c>
      <c r="J54" s="1">
        <v>2</v>
      </c>
      <c r="K54" s="1" t="s">
        <v>40</v>
      </c>
      <c r="L54" s="1" t="s">
        <v>14</v>
      </c>
      <c r="M54" s="1" t="str">
        <f>IF(ISNUMBER(SEARCH("Group",Table2[[#This Row],[Round]])),"Group stages",Table2[[#This Row],[Round]])</f>
        <v>Final</v>
      </c>
      <c r="O54" s="1">
        <f>Table2[[#This Row],[Year]]</f>
        <v>1938</v>
      </c>
      <c r="P54" s="1" t="str">
        <f>INDEX(Table2[[HomeTeam]:[Group_details]],ROWS($N$2:N54),COLUMNS($N$2:N54))</f>
        <v>Italy</v>
      </c>
      <c r="Q54" s="1">
        <f>INDEX(Table2[[HomeTeam]:[Group_details]],ROWS($N$2:O54),COLUMNS($N$2:O54))</f>
        <v>4</v>
      </c>
      <c r="R54" s="1">
        <f>INDEX(Table2[[HomeTeam]:[Group_details]],ROWS($N$2:P54),COLUMNS($N$2:P54))</f>
        <v>2</v>
      </c>
      <c r="S54" s="1" t="str">
        <f>INDEX(Table2[[HomeTeam]:[Group_details]],ROWS($N$2:Q54),COLUMNS($N$2:Q54))</f>
        <v>Hungary</v>
      </c>
      <c r="T54" s="1" t="str">
        <f>INDEX(Table2[[HomeTeam]:[Group_details]],ROWS($N$2:R54),COLUMNS($N$2:R54))</f>
        <v xml:space="preserve"> </v>
      </c>
      <c r="U54" s="1" t="str">
        <f>INDEX(Table2[[HomeTeam]:[Group_details]],ROWS($N$2:S54),COLUMNS($N$2:S54))</f>
        <v>Final</v>
      </c>
      <c r="V54" s="1" t="b">
        <f t="shared" si="0"/>
        <v>0</v>
      </c>
      <c r="W54" s="1" t="str">
        <f>IF(V54=TRUE,ROWS($V$2:V54),"")</f>
        <v/>
      </c>
      <c r="X54" s="1" t="str">
        <f>IFERROR(SMALL($W$2:$W$853,ROWS($W$2:W54)),"")</f>
        <v/>
      </c>
      <c r="Y54" s="1" t="str">
        <f>IF($X54&lt;&gt;"",INDEX($P$2:$U$853,MATCH($X54,$W$2:$W$853,0),COLUMNS($X$2:X54)),"")</f>
        <v/>
      </c>
      <c r="Z54" s="1" t="str">
        <f>IF($X54&lt;&gt;"",INDEX($P$2:$U$853,MATCH($X54,$W$2:$W$853,0),COLUMNS($X$2:Y54)),"")</f>
        <v/>
      </c>
      <c r="AA54" s="1" t="str">
        <f>IF($X54&lt;&gt;"",INDEX($P$2:$U$853,MATCH($X54,$W$2:$W$853,0),COLUMNS($X$2:Z54)),"")</f>
        <v/>
      </c>
      <c r="AB54" s="1" t="str">
        <f>IF($X54&lt;&gt;"",INDEX($P$2:$U$853,MATCH($X54,$W$2:$W$853,0),COLUMNS($X$2:AA54)),"")</f>
        <v/>
      </c>
      <c r="AC54" s="1" t="str">
        <f>IF($X54&lt;&gt;"",INDEX($P$2:$U$853,MATCH($X54,$W$2:$W$853,0),COLUMNS($X$2:AB54)),"")</f>
        <v/>
      </c>
      <c r="AD54" s="1" t="str">
        <f>IF($X54&lt;&gt;"",INDEX($P$2:$U$853,MATCH($X54,$W$2:$W$853,0),COLUMNS($X$2:AC54)),"")</f>
        <v/>
      </c>
    </row>
    <row r="55" spans="1:30" x14ac:dyDescent="0.2">
      <c r="A55" s="1">
        <v>1950</v>
      </c>
      <c r="B55" s="2">
        <v>18438</v>
      </c>
      <c r="C55" s="1" t="s">
        <v>500</v>
      </c>
      <c r="D55" s="1" t="s">
        <v>9</v>
      </c>
      <c r="E55" s="1" t="s">
        <v>91</v>
      </c>
      <c r="F55" s="1" t="s">
        <v>92</v>
      </c>
      <c r="G55" s="6" t="str">
        <f>VLOOKUP(A55,WorldCups!$A$2:$B$23,2,FALSE)</f>
        <v>Brazil</v>
      </c>
      <c r="H55" s="1" t="s">
        <v>21</v>
      </c>
      <c r="I55" s="1">
        <v>4</v>
      </c>
      <c r="J55" s="1">
        <v>0</v>
      </c>
      <c r="K55" s="1" t="s">
        <v>13</v>
      </c>
      <c r="L55" s="1" t="s">
        <v>14</v>
      </c>
      <c r="M55" s="1" t="str">
        <f>IF(ISNUMBER(SEARCH("Group",Table2[[#This Row],[Round]])),"Group stages",Table2[[#This Row],[Round]])</f>
        <v>Group stages</v>
      </c>
      <c r="O55" s="1">
        <f>Table2[[#This Row],[Year]]</f>
        <v>1950</v>
      </c>
      <c r="P55" s="1" t="str">
        <f>INDEX(Table2[[HomeTeam]:[Group_details]],ROWS($N$2:N55),COLUMNS($N$2:N55))</f>
        <v>Brazil</v>
      </c>
      <c r="Q55" s="1">
        <f>INDEX(Table2[[HomeTeam]:[Group_details]],ROWS($N$2:O55),COLUMNS($N$2:O55))</f>
        <v>4</v>
      </c>
      <c r="R55" s="1">
        <f>INDEX(Table2[[HomeTeam]:[Group_details]],ROWS($N$2:P55),COLUMNS($N$2:P55))</f>
        <v>0</v>
      </c>
      <c r="S55" s="1" t="str">
        <f>INDEX(Table2[[HomeTeam]:[Group_details]],ROWS($N$2:Q55),COLUMNS($N$2:Q55))</f>
        <v>Mexico</v>
      </c>
      <c r="T55" s="1" t="str">
        <f>INDEX(Table2[[HomeTeam]:[Group_details]],ROWS($N$2:R55),COLUMNS($N$2:R55))</f>
        <v xml:space="preserve"> </v>
      </c>
      <c r="U55" s="1" t="str">
        <f>INDEX(Table2[[HomeTeam]:[Group_details]],ROWS($N$2:S55),COLUMNS($N$2:S55))</f>
        <v>Group stages</v>
      </c>
      <c r="V55" s="1" t="b">
        <f t="shared" si="0"/>
        <v>0</v>
      </c>
      <c r="W55" s="1" t="str">
        <f>IF(V55=TRUE,ROWS($V$2:V55),"")</f>
        <v/>
      </c>
      <c r="X55" s="1" t="str">
        <f>IFERROR(SMALL($W$2:$W$853,ROWS($W$2:W55)),"")</f>
        <v/>
      </c>
      <c r="Y55" s="1" t="str">
        <f>IF($X55&lt;&gt;"",INDEX($P$2:$U$853,MATCH($X55,$W$2:$W$853,0),COLUMNS($X$2:X55)),"")</f>
        <v/>
      </c>
      <c r="Z55" s="1" t="str">
        <f>IF($X55&lt;&gt;"",INDEX($P$2:$U$853,MATCH($X55,$W$2:$W$853,0),COLUMNS($X$2:Y55)),"")</f>
        <v/>
      </c>
      <c r="AA55" s="1" t="str">
        <f>IF($X55&lt;&gt;"",INDEX($P$2:$U$853,MATCH($X55,$W$2:$W$853,0),COLUMNS($X$2:Z55)),"")</f>
        <v/>
      </c>
      <c r="AB55" s="1" t="str">
        <f>IF($X55&lt;&gt;"",INDEX($P$2:$U$853,MATCH($X55,$W$2:$W$853,0),COLUMNS($X$2:AA55)),"")</f>
        <v/>
      </c>
      <c r="AC55" s="1" t="str">
        <f>IF($X55&lt;&gt;"",INDEX($P$2:$U$853,MATCH($X55,$W$2:$W$853,0),COLUMNS($X$2:AB55)),"")</f>
        <v/>
      </c>
      <c r="AD55" s="1" t="str">
        <f>IF($X55&lt;&gt;"",INDEX($P$2:$U$853,MATCH($X55,$W$2:$W$853,0),COLUMNS($X$2:AC55)),"")</f>
        <v/>
      </c>
    </row>
    <row r="56" spans="1:30" x14ac:dyDescent="0.2">
      <c r="A56" s="1">
        <v>1950</v>
      </c>
      <c r="B56" s="2">
        <v>18439</v>
      </c>
      <c r="C56" s="1" t="s">
        <v>500</v>
      </c>
      <c r="D56" s="1" t="s">
        <v>19</v>
      </c>
      <c r="E56" s="1" t="s">
        <v>91</v>
      </c>
      <c r="F56" s="1" t="s">
        <v>92</v>
      </c>
      <c r="G56" s="6" t="str">
        <f>VLOOKUP(A56,WorldCups!$A$2:$B$23,2,FALSE)</f>
        <v>Brazil</v>
      </c>
      <c r="H56" s="1" t="s">
        <v>93</v>
      </c>
      <c r="I56" s="1">
        <v>2</v>
      </c>
      <c r="J56" s="1">
        <v>0</v>
      </c>
      <c r="K56" s="1" t="s">
        <v>26</v>
      </c>
      <c r="L56" s="1" t="s">
        <v>14</v>
      </c>
      <c r="M56" s="1" t="str">
        <f>IF(ISNUMBER(SEARCH("Group",Table2[[#This Row],[Round]])),"Group stages",Table2[[#This Row],[Round]])</f>
        <v>Group stages</v>
      </c>
      <c r="O56" s="1">
        <f>Table2[[#This Row],[Year]]</f>
        <v>1950</v>
      </c>
      <c r="P56" s="1" t="str">
        <f>INDEX(Table2[[HomeTeam]:[Group_details]],ROWS($N$2:N56),COLUMNS($N$2:N56))</f>
        <v>England</v>
      </c>
      <c r="Q56" s="1">
        <f>INDEX(Table2[[HomeTeam]:[Group_details]],ROWS($N$2:O56),COLUMNS($N$2:O56))</f>
        <v>2</v>
      </c>
      <c r="R56" s="1">
        <f>INDEX(Table2[[HomeTeam]:[Group_details]],ROWS($N$2:P56),COLUMNS($N$2:P56))</f>
        <v>0</v>
      </c>
      <c r="S56" s="1" t="str">
        <f>INDEX(Table2[[HomeTeam]:[Group_details]],ROWS($N$2:Q56),COLUMNS($N$2:Q56))</f>
        <v>Chile</v>
      </c>
      <c r="T56" s="1" t="str">
        <f>INDEX(Table2[[HomeTeam]:[Group_details]],ROWS($N$2:R56),COLUMNS($N$2:R56))</f>
        <v xml:space="preserve"> </v>
      </c>
      <c r="U56" s="1" t="str">
        <f>INDEX(Table2[[HomeTeam]:[Group_details]],ROWS($N$2:S56),COLUMNS($N$2:S56))</f>
        <v>Group stages</v>
      </c>
      <c r="V56" s="1" t="b">
        <f t="shared" si="0"/>
        <v>0</v>
      </c>
      <c r="W56" s="1" t="str">
        <f>IF(V56=TRUE,ROWS($V$2:V56),"")</f>
        <v/>
      </c>
      <c r="X56" s="1" t="str">
        <f>IFERROR(SMALL($W$2:$W$853,ROWS($W$2:W56)),"")</f>
        <v/>
      </c>
      <c r="Y56" s="1" t="str">
        <f>IF($X56&lt;&gt;"",INDEX($P$2:$U$853,MATCH($X56,$W$2:$W$853,0),COLUMNS($X$2:X56)),"")</f>
        <v/>
      </c>
      <c r="Z56" s="1" t="str">
        <f>IF($X56&lt;&gt;"",INDEX($P$2:$U$853,MATCH($X56,$W$2:$W$853,0),COLUMNS($X$2:Y56)),"")</f>
        <v/>
      </c>
      <c r="AA56" s="1" t="str">
        <f>IF($X56&lt;&gt;"",INDEX($P$2:$U$853,MATCH($X56,$W$2:$W$853,0),COLUMNS($X$2:Z56)),"")</f>
        <v/>
      </c>
      <c r="AB56" s="1" t="str">
        <f>IF($X56&lt;&gt;"",INDEX($P$2:$U$853,MATCH($X56,$W$2:$W$853,0),COLUMNS($X$2:AA56)),"")</f>
        <v/>
      </c>
      <c r="AC56" s="1" t="str">
        <f>IF($X56&lt;&gt;"",INDEX($P$2:$U$853,MATCH($X56,$W$2:$W$853,0),COLUMNS($X$2:AB56)),"")</f>
        <v/>
      </c>
      <c r="AD56" s="1" t="str">
        <f>IF($X56&lt;&gt;"",INDEX($P$2:$U$853,MATCH($X56,$W$2:$W$853,0),COLUMNS($X$2:AC56)),"")</f>
        <v/>
      </c>
    </row>
    <row r="57" spans="1:30" x14ac:dyDescent="0.2">
      <c r="A57" s="1">
        <v>1950</v>
      </c>
      <c r="B57" s="2">
        <v>18439</v>
      </c>
      <c r="C57" s="1" t="s">
        <v>500</v>
      </c>
      <c r="D57" s="1" t="s">
        <v>19</v>
      </c>
      <c r="E57" s="1" t="s">
        <v>94</v>
      </c>
      <c r="F57" s="1" t="s">
        <v>95</v>
      </c>
      <c r="G57" s="6" t="str">
        <f>VLOOKUP(A57,WorldCups!$A$2:$B$23,2,FALSE)</f>
        <v>Brazil</v>
      </c>
      <c r="H57" s="1" t="s">
        <v>54</v>
      </c>
      <c r="I57" s="1">
        <v>3</v>
      </c>
      <c r="J57" s="1">
        <v>1</v>
      </c>
      <c r="K57" s="1" t="s">
        <v>17</v>
      </c>
      <c r="L57" s="1" t="s">
        <v>14</v>
      </c>
      <c r="M57" s="1" t="str">
        <f>IF(ISNUMBER(SEARCH("Group",Table2[[#This Row],[Round]])),"Group stages",Table2[[#This Row],[Round]])</f>
        <v>Group stages</v>
      </c>
      <c r="O57" s="1">
        <f>Table2[[#This Row],[Year]]</f>
        <v>1950</v>
      </c>
      <c r="P57" s="1" t="str">
        <f>INDEX(Table2[[HomeTeam]:[Group_details]],ROWS($N$2:N57),COLUMNS($N$2:N57))</f>
        <v>Spain</v>
      </c>
      <c r="Q57" s="1">
        <f>INDEX(Table2[[HomeTeam]:[Group_details]],ROWS($N$2:O57),COLUMNS($N$2:O57))</f>
        <v>3</v>
      </c>
      <c r="R57" s="1">
        <f>INDEX(Table2[[HomeTeam]:[Group_details]],ROWS($N$2:P57),COLUMNS($N$2:P57))</f>
        <v>1</v>
      </c>
      <c r="S57" s="1" t="str">
        <f>INDEX(Table2[[HomeTeam]:[Group_details]],ROWS($N$2:Q57),COLUMNS($N$2:Q57))</f>
        <v>USA</v>
      </c>
      <c r="T57" s="1" t="str">
        <f>INDEX(Table2[[HomeTeam]:[Group_details]],ROWS($N$2:R57),COLUMNS($N$2:R57))</f>
        <v xml:space="preserve"> </v>
      </c>
      <c r="U57" s="1" t="str">
        <f>INDEX(Table2[[HomeTeam]:[Group_details]],ROWS($N$2:S57),COLUMNS($N$2:S57))</f>
        <v>Group stages</v>
      </c>
      <c r="V57" s="1" t="b">
        <f t="shared" si="0"/>
        <v>0</v>
      </c>
      <c r="W57" s="1" t="str">
        <f>IF(V57=TRUE,ROWS($V$2:V57),"")</f>
        <v/>
      </c>
      <c r="X57" s="1" t="str">
        <f>IFERROR(SMALL($W$2:$W$853,ROWS($W$2:W57)),"")</f>
        <v/>
      </c>
      <c r="Y57" s="1" t="str">
        <f>IF($X57&lt;&gt;"",INDEX($P$2:$U$853,MATCH($X57,$W$2:$W$853,0),COLUMNS($X$2:X57)),"")</f>
        <v/>
      </c>
      <c r="Z57" s="1" t="str">
        <f>IF($X57&lt;&gt;"",INDEX($P$2:$U$853,MATCH($X57,$W$2:$W$853,0),COLUMNS($X$2:Y57)),"")</f>
        <v/>
      </c>
      <c r="AA57" s="1" t="str">
        <f>IF($X57&lt;&gt;"",INDEX($P$2:$U$853,MATCH($X57,$W$2:$W$853,0),COLUMNS($X$2:Z57)),"")</f>
        <v/>
      </c>
      <c r="AB57" s="1" t="str">
        <f>IF($X57&lt;&gt;"",INDEX($P$2:$U$853,MATCH($X57,$W$2:$W$853,0),COLUMNS($X$2:AA57)),"")</f>
        <v/>
      </c>
      <c r="AC57" s="1" t="str">
        <f>IF($X57&lt;&gt;"",INDEX($P$2:$U$853,MATCH($X57,$W$2:$W$853,0),COLUMNS($X$2:AB57)),"")</f>
        <v/>
      </c>
      <c r="AD57" s="1" t="str">
        <f>IF($X57&lt;&gt;"",INDEX($P$2:$U$853,MATCH($X57,$W$2:$W$853,0),COLUMNS($X$2:AC57)),"")</f>
        <v/>
      </c>
    </row>
    <row r="58" spans="1:30" x14ac:dyDescent="0.2">
      <c r="A58" s="1">
        <v>1950</v>
      </c>
      <c r="B58" s="2">
        <v>18439</v>
      </c>
      <c r="C58" s="1" t="s">
        <v>500</v>
      </c>
      <c r="D58" s="1" t="s">
        <v>22</v>
      </c>
      <c r="E58" s="1" t="s">
        <v>96</v>
      </c>
      <c r="F58" s="1" t="s">
        <v>97</v>
      </c>
      <c r="G58" s="6" t="str">
        <f>VLOOKUP(A58,WorldCups!$A$2:$B$23,2,FALSE)</f>
        <v>Brazil</v>
      </c>
      <c r="H58" s="1" t="s">
        <v>48</v>
      </c>
      <c r="I58" s="1">
        <v>3</v>
      </c>
      <c r="J58" s="1">
        <v>2</v>
      </c>
      <c r="K58" s="1" t="s">
        <v>57</v>
      </c>
      <c r="L58" s="1" t="s">
        <v>14</v>
      </c>
      <c r="M58" s="1" t="str">
        <f>IF(ISNUMBER(SEARCH("Group",Table2[[#This Row],[Round]])),"Group stages",Table2[[#This Row],[Round]])</f>
        <v>Group stages</v>
      </c>
      <c r="O58" s="1">
        <f>Table2[[#This Row],[Year]]</f>
        <v>1950</v>
      </c>
      <c r="P58" s="1" t="str">
        <f>INDEX(Table2[[HomeTeam]:[Group_details]],ROWS($N$2:N58),COLUMNS($N$2:N58))</f>
        <v>Sweden</v>
      </c>
      <c r="Q58" s="1">
        <f>INDEX(Table2[[HomeTeam]:[Group_details]],ROWS($N$2:O58),COLUMNS($N$2:O58))</f>
        <v>3</v>
      </c>
      <c r="R58" s="1">
        <f>INDEX(Table2[[HomeTeam]:[Group_details]],ROWS($N$2:P58),COLUMNS($N$2:P58))</f>
        <v>2</v>
      </c>
      <c r="S58" s="1" t="str">
        <f>INDEX(Table2[[HomeTeam]:[Group_details]],ROWS($N$2:Q58),COLUMNS($N$2:Q58))</f>
        <v>Italy</v>
      </c>
      <c r="T58" s="1" t="str">
        <f>INDEX(Table2[[HomeTeam]:[Group_details]],ROWS($N$2:R58),COLUMNS($N$2:R58))</f>
        <v xml:space="preserve"> </v>
      </c>
      <c r="U58" s="1" t="str">
        <f>INDEX(Table2[[HomeTeam]:[Group_details]],ROWS($N$2:S58),COLUMNS($N$2:S58))</f>
        <v>Group stages</v>
      </c>
      <c r="V58" s="1" t="b">
        <f t="shared" si="0"/>
        <v>0</v>
      </c>
      <c r="W58" s="1" t="str">
        <f>IF(V58=TRUE,ROWS($V$2:V58),"")</f>
        <v/>
      </c>
      <c r="X58" s="1" t="str">
        <f>IFERROR(SMALL($W$2:$W$853,ROWS($W$2:W58)),"")</f>
        <v/>
      </c>
      <c r="Y58" s="1" t="str">
        <f>IF($X58&lt;&gt;"",INDEX($P$2:$U$853,MATCH($X58,$W$2:$W$853,0),COLUMNS($X$2:X58)),"")</f>
        <v/>
      </c>
      <c r="Z58" s="1" t="str">
        <f>IF($X58&lt;&gt;"",INDEX($P$2:$U$853,MATCH($X58,$W$2:$W$853,0),COLUMNS($X$2:Y58)),"")</f>
        <v/>
      </c>
      <c r="AA58" s="1" t="str">
        <f>IF($X58&lt;&gt;"",INDEX($P$2:$U$853,MATCH($X58,$W$2:$W$853,0),COLUMNS($X$2:Z58)),"")</f>
        <v/>
      </c>
      <c r="AB58" s="1" t="str">
        <f>IF($X58&lt;&gt;"",INDEX($P$2:$U$853,MATCH($X58,$W$2:$W$853,0),COLUMNS($X$2:AA58)),"")</f>
        <v/>
      </c>
      <c r="AC58" s="1" t="str">
        <f>IF($X58&lt;&gt;"",INDEX($P$2:$U$853,MATCH($X58,$W$2:$W$853,0),COLUMNS($X$2:AB58)),"")</f>
        <v/>
      </c>
      <c r="AD58" s="1" t="str">
        <f>IF($X58&lt;&gt;"",INDEX($P$2:$U$853,MATCH($X58,$W$2:$W$853,0),COLUMNS($X$2:AC58)),"")</f>
        <v/>
      </c>
    </row>
    <row r="59" spans="1:30" x14ac:dyDescent="0.2">
      <c r="A59" s="1">
        <v>1950</v>
      </c>
      <c r="B59" s="2">
        <v>18439</v>
      </c>
      <c r="C59" s="1" t="s">
        <v>500</v>
      </c>
      <c r="D59" s="1" t="s">
        <v>9</v>
      </c>
      <c r="E59" s="1" t="s">
        <v>98</v>
      </c>
      <c r="F59" s="1" t="s">
        <v>99</v>
      </c>
      <c r="G59" s="6" t="str">
        <f>VLOOKUP(A59,WorldCups!$A$2:$B$23,2,FALSE)</f>
        <v>Brazil</v>
      </c>
      <c r="H59" s="1" t="s">
        <v>20</v>
      </c>
      <c r="I59" s="1">
        <v>3</v>
      </c>
      <c r="J59" s="1">
        <v>0</v>
      </c>
      <c r="K59" s="1" t="s">
        <v>44</v>
      </c>
      <c r="L59" s="1" t="s">
        <v>14</v>
      </c>
      <c r="M59" s="1" t="str">
        <f>IF(ISNUMBER(SEARCH("Group",Table2[[#This Row],[Round]])),"Group stages",Table2[[#This Row],[Round]])</f>
        <v>Group stages</v>
      </c>
      <c r="O59" s="1">
        <f>Table2[[#This Row],[Year]]</f>
        <v>1950</v>
      </c>
      <c r="P59" s="1" t="str">
        <f>INDEX(Table2[[HomeTeam]:[Group_details]],ROWS($N$2:N59),COLUMNS($N$2:N59))</f>
        <v>Yugoslavia</v>
      </c>
      <c r="Q59" s="1">
        <f>INDEX(Table2[[HomeTeam]:[Group_details]],ROWS($N$2:O59),COLUMNS($N$2:O59))</f>
        <v>3</v>
      </c>
      <c r="R59" s="1">
        <f>INDEX(Table2[[HomeTeam]:[Group_details]],ROWS($N$2:P59),COLUMNS($N$2:P59))</f>
        <v>0</v>
      </c>
      <c r="S59" s="1" t="str">
        <f>INDEX(Table2[[HomeTeam]:[Group_details]],ROWS($N$2:Q59),COLUMNS($N$2:Q59))</f>
        <v>Switzerland</v>
      </c>
      <c r="T59" s="1" t="str">
        <f>INDEX(Table2[[HomeTeam]:[Group_details]],ROWS($N$2:R59),COLUMNS($N$2:R59))</f>
        <v xml:space="preserve"> </v>
      </c>
      <c r="U59" s="1" t="str">
        <f>INDEX(Table2[[HomeTeam]:[Group_details]],ROWS($N$2:S59),COLUMNS($N$2:S59))</f>
        <v>Group stages</v>
      </c>
      <c r="V59" s="1" t="b">
        <f t="shared" si="0"/>
        <v>0</v>
      </c>
      <c r="W59" s="1" t="str">
        <f>IF(V59=TRUE,ROWS($V$2:V59),"")</f>
        <v/>
      </c>
      <c r="X59" s="1" t="str">
        <f>IFERROR(SMALL($W$2:$W$853,ROWS($W$2:W59)),"")</f>
        <v/>
      </c>
      <c r="Y59" s="1" t="str">
        <f>IF($X59&lt;&gt;"",INDEX($P$2:$U$853,MATCH($X59,$W$2:$W$853,0),COLUMNS($X$2:X59)),"")</f>
        <v/>
      </c>
      <c r="Z59" s="1" t="str">
        <f>IF($X59&lt;&gt;"",INDEX($P$2:$U$853,MATCH($X59,$W$2:$W$853,0),COLUMNS($X$2:Y59)),"")</f>
        <v/>
      </c>
      <c r="AA59" s="1" t="str">
        <f>IF($X59&lt;&gt;"",INDEX($P$2:$U$853,MATCH($X59,$W$2:$W$853,0),COLUMNS($X$2:Z59)),"")</f>
        <v/>
      </c>
      <c r="AB59" s="1" t="str">
        <f>IF($X59&lt;&gt;"",INDEX($P$2:$U$853,MATCH($X59,$W$2:$W$853,0),COLUMNS($X$2:AA59)),"")</f>
        <v/>
      </c>
      <c r="AC59" s="1" t="str">
        <f>IF($X59&lt;&gt;"",INDEX($P$2:$U$853,MATCH($X59,$W$2:$W$853,0),COLUMNS($X$2:AB59)),"")</f>
        <v/>
      </c>
      <c r="AD59" s="1" t="str">
        <f>IF($X59&lt;&gt;"",INDEX($P$2:$U$853,MATCH($X59,$W$2:$W$853,0),COLUMNS($X$2:AC59)),"")</f>
        <v/>
      </c>
    </row>
    <row r="60" spans="1:30" x14ac:dyDescent="0.2">
      <c r="A60" s="1">
        <v>1950</v>
      </c>
      <c r="B60" s="2">
        <v>18442</v>
      </c>
      <c r="C60" s="1" t="s">
        <v>500</v>
      </c>
      <c r="D60" s="1" t="s">
        <v>9</v>
      </c>
      <c r="E60" s="1" t="s">
        <v>96</v>
      </c>
      <c r="F60" s="1" t="s">
        <v>97</v>
      </c>
      <c r="G60" s="6" t="str">
        <f>VLOOKUP(A60,WorldCups!$A$2:$B$23,2,FALSE)</f>
        <v>Brazil</v>
      </c>
      <c r="H60" s="1" t="s">
        <v>21</v>
      </c>
      <c r="I60" s="1">
        <v>2</v>
      </c>
      <c r="J60" s="1">
        <v>2</v>
      </c>
      <c r="K60" s="1" t="s">
        <v>44</v>
      </c>
      <c r="L60" s="1" t="s">
        <v>14</v>
      </c>
      <c r="M60" s="1" t="str">
        <f>IF(ISNUMBER(SEARCH("Group",Table2[[#This Row],[Round]])),"Group stages",Table2[[#This Row],[Round]])</f>
        <v>Group stages</v>
      </c>
      <c r="O60" s="1">
        <f>Table2[[#This Row],[Year]]</f>
        <v>1950</v>
      </c>
      <c r="P60" s="1" t="str">
        <f>INDEX(Table2[[HomeTeam]:[Group_details]],ROWS($N$2:N60),COLUMNS($N$2:N60))</f>
        <v>Brazil</v>
      </c>
      <c r="Q60" s="1">
        <f>INDEX(Table2[[HomeTeam]:[Group_details]],ROWS($N$2:O60),COLUMNS($N$2:O60))</f>
        <v>2</v>
      </c>
      <c r="R60" s="1">
        <f>INDEX(Table2[[HomeTeam]:[Group_details]],ROWS($N$2:P60),COLUMNS($N$2:P60))</f>
        <v>2</v>
      </c>
      <c r="S60" s="1" t="str">
        <f>INDEX(Table2[[HomeTeam]:[Group_details]],ROWS($N$2:Q60),COLUMNS($N$2:Q60))</f>
        <v>Switzerland</v>
      </c>
      <c r="T60" s="1" t="str">
        <f>INDEX(Table2[[HomeTeam]:[Group_details]],ROWS($N$2:R60),COLUMNS($N$2:R60))</f>
        <v xml:space="preserve"> </v>
      </c>
      <c r="U60" s="1" t="str">
        <f>INDEX(Table2[[HomeTeam]:[Group_details]],ROWS($N$2:S60),COLUMNS($N$2:S60))</f>
        <v>Group stages</v>
      </c>
      <c r="V60" s="1" t="b">
        <f t="shared" si="0"/>
        <v>0</v>
      </c>
      <c r="W60" s="1" t="str">
        <f>IF(V60=TRUE,ROWS($V$2:V60),"")</f>
        <v/>
      </c>
      <c r="X60" s="1" t="str">
        <f>IFERROR(SMALL($W$2:$W$853,ROWS($W$2:W60)),"")</f>
        <v/>
      </c>
      <c r="Y60" s="1" t="str">
        <f>IF($X60&lt;&gt;"",INDEX($P$2:$U$853,MATCH($X60,$W$2:$W$853,0),COLUMNS($X$2:X60)),"")</f>
        <v/>
      </c>
      <c r="Z60" s="1" t="str">
        <f>IF($X60&lt;&gt;"",INDEX($P$2:$U$853,MATCH($X60,$W$2:$W$853,0),COLUMNS($X$2:Y60)),"")</f>
        <v/>
      </c>
      <c r="AA60" s="1" t="str">
        <f>IF($X60&lt;&gt;"",INDEX($P$2:$U$853,MATCH($X60,$W$2:$W$853,0),COLUMNS($X$2:Z60)),"")</f>
        <v/>
      </c>
      <c r="AB60" s="1" t="str">
        <f>IF($X60&lt;&gt;"",INDEX($P$2:$U$853,MATCH($X60,$W$2:$W$853,0),COLUMNS($X$2:AA60)),"")</f>
        <v/>
      </c>
      <c r="AC60" s="1" t="str">
        <f>IF($X60&lt;&gt;"",INDEX($P$2:$U$853,MATCH($X60,$W$2:$W$853,0),COLUMNS($X$2:AB60)),"")</f>
        <v/>
      </c>
      <c r="AD60" s="1" t="str">
        <f>IF($X60&lt;&gt;"",INDEX($P$2:$U$853,MATCH($X60,$W$2:$W$853,0),COLUMNS($X$2:AC60)),"")</f>
        <v/>
      </c>
    </row>
    <row r="61" spans="1:30" x14ac:dyDescent="0.2">
      <c r="A61" s="1">
        <v>1950</v>
      </c>
      <c r="B61" s="2">
        <v>18442</v>
      </c>
      <c r="C61" s="1" t="s">
        <v>500</v>
      </c>
      <c r="D61" s="1" t="s">
        <v>9</v>
      </c>
      <c r="E61" s="1" t="s">
        <v>100</v>
      </c>
      <c r="F61" s="1" t="s">
        <v>101</v>
      </c>
      <c r="G61" s="6" t="str">
        <f>VLOOKUP(A61,WorldCups!$A$2:$B$23,2,FALSE)</f>
        <v>Brazil</v>
      </c>
      <c r="H61" s="1" t="s">
        <v>20</v>
      </c>
      <c r="I61" s="1">
        <v>4</v>
      </c>
      <c r="J61" s="1">
        <v>1</v>
      </c>
      <c r="K61" s="1" t="s">
        <v>13</v>
      </c>
      <c r="L61" s="1" t="s">
        <v>14</v>
      </c>
      <c r="M61" s="1" t="str">
        <f>IF(ISNUMBER(SEARCH("Group",Table2[[#This Row],[Round]])),"Group stages",Table2[[#This Row],[Round]])</f>
        <v>Group stages</v>
      </c>
      <c r="O61" s="1">
        <f>Table2[[#This Row],[Year]]</f>
        <v>1950</v>
      </c>
      <c r="P61" s="1" t="str">
        <f>INDEX(Table2[[HomeTeam]:[Group_details]],ROWS($N$2:N61),COLUMNS($N$2:N61))</f>
        <v>Yugoslavia</v>
      </c>
      <c r="Q61" s="1">
        <f>INDEX(Table2[[HomeTeam]:[Group_details]],ROWS($N$2:O61),COLUMNS($N$2:O61))</f>
        <v>4</v>
      </c>
      <c r="R61" s="1">
        <f>INDEX(Table2[[HomeTeam]:[Group_details]],ROWS($N$2:P61),COLUMNS($N$2:P61))</f>
        <v>1</v>
      </c>
      <c r="S61" s="1" t="str">
        <f>INDEX(Table2[[HomeTeam]:[Group_details]],ROWS($N$2:Q61),COLUMNS($N$2:Q61))</f>
        <v>Mexico</v>
      </c>
      <c r="T61" s="1" t="str">
        <f>INDEX(Table2[[HomeTeam]:[Group_details]],ROWS($N$2:R61),COLUMNS($N$2:R61))</f>
        <v xml:space="preserve"> </v>
      </c>
      <c r="U61" s="1" t="str">
        <f>INDEX(Table2[[HomeTeam]:[Group_details]],ROWS($N$2:S61),COLUMNS($N$2:S61))</f>
        <v>Group stages</v>
      </c>
      <c r="V61" s="1" t="b">
        <f t="shared" si="0"/>
        <v>0</v>
      </c>
      <c r="W61" s="1" t="str">
        <f>IF(V61=TRUE,ROWS($V$2:V61),"")</f>
        <v/>
      </c>
      <c r="X61" s="1" t="str">
        <f>IFERROR(SMALL($W$2:$W$853,ROWS($W$2:W61)),"")</f>
        <v/>
      </c>
      <c r="Y61" s="1" t="str">
        <f>IF($X61&lt;&gt;"",INDEX($P$2:$U$853,MATCH($X61,$W$2:$W$853,0),COLUMNS($X$2:X61)),"")</f>
        <v/>
      </c>
      <c r="Z61" s="1" t="str">
        <f>IF($X61&lt;&gt;"",INDEX($P$2:$U$853,MATCH($X61,$W$2:$W$853,0),COLUMNS($X$2:Y61)),"")</f>
        <v/>
      </c>
      <c r="AA61" s="1" t="str">
        <f>IF($X61&lt;&gt;"",INDEX($P$2:$U$853,MATCH($X61,$W$2:$W$853,0),COLUMNS($X$2:Z61)),"")</f>
        <v/>
      </c>
      <c r="AB61" s="1" t="str">
        <f>IF($X61&lt;&gt;"",INDEX($P$2:$U$853,MATCH($X61,$W$2:$W$853,0),COLUMNS($X$2:AA61)),"")</f>
        <v/>
      </c>
      <c r="AC61" s="1" t="str">
        <f>IF($X61&lt;&gt;"",INDEX($P$2:$U$853,MATCH($X61,$W$2:$W$853,0),COLUMNS($X$2:AB61)),"")</f>
        <v/>
      </c>
      <c r="AD61" s="1" t="str">
        <f>IF($X61&lt;&gt;"",INDEX($P$2:$U$853,MATCH($X61,$W$2:$W$853,0),COLUMNS($X$2:AC61)),"")</f>
        <v/>
      </c>
    </row>
    <row r="62" spans="1:30" x14ac:dyDescent="0.2">
      <c r="A62" s="1">
        <v>1950</v>
      </c>
      <c r="B62" s="2">
        <v>18443</v>
      </c>
      <c r="C62" s="1" t="s">
        <v>500</v>
      </c>
      <c r="D62" s="1" t="s">
        <v>19</v>
      </c>
      <c r="E62" s="1" t="s">
        <v>91</v>
      </c>
      <c r="F62" s="1" t="s">
        <v>92</v>
      </c>
      <c r="G62" s="6" t="str">
        <f>VLOOKUP(A62,WorldCups!$A$2:$B$23,2,FALSE)</f>
        <v>Brazil</v>
      </c>
      <c r="H62" s="1" t="s">
        <v>54</v>
      </c>
      <c r="I62" s="1">
        <v>2</v>
      </c>
      <c r="J62" s="1">
        <v>0</v>
      </c>
      <c r="K62" s="1" t="s">
        <v>26</v>
      </c>
      <c r="L62" s="1" t="s">
        <v>14</v>
      </c>
      <c r="M62" s="1" t="str">
        <f>IF(ISNUMBER(SEARCH("Group",Table2[[#This Row],[Round]])),"Group stages",Table2[[#This Row],[Round]])</f>
        <v>Group stages</v>
      </c>
      <c r="O62" s="1">
        <f>Table2[[#This Row],[Year]]</f>
        <v>1950</v>
      </c>
      <c r="P62" s="1" t="str">
        <f>INDEX(Table2[[HomeTeam]:[Group_details]],ROWS($N$2:N62),COLUMNS($N$2:N62))</f>
        <v>Spain</v>
      </c>
      <c r="Q62" s="1">
        <f>INDEX(Table2[[HomeTeam]:[Group_details]],ROWS($N$2:O62),COLUMNS($N$2:O62))</f>
        <v>2</v>
      </c>
      <c r="R62" s="1">
        <f>INDEX(Table2[[HomeTeam]:[Group_details]],ROWS($N$2:P62),COLUMNS($N$2:P62))</f>
        <v>0</v>
      </c>
      <c r="S62" s="1" t="str">
        <f>INDEX(Table2[[HomeTeam]:[Group_details]],ROWS($N$2:Q62),COLUMNS($N$2:Q62))</f>
        <v>Chile</v>
      </c>
      <c r="T62" s="1" t="str">
        <f>INDEX(Table2[[HomeTeam]:[Group_details]],ROWS($N$2:R62),COLUMNS($N$2:R62))</f>
        <v xml:space="preserve"> </v>
      </c>
      <c r="U62" s="1" t="str">
        <f>INDEX(Table2[[HomeTeam]:[Group_details]],ROWS($N$2:S62),COLUMNS($N$2:S62))</f>
        <v>Group stages</v>
      </c>
      <c r="V62" s="1" t="b">
        <f t="shared" si="0"/>
        <v>0</v>
      </c>
      <c r="W62" s="1" t="str">
        <f>IF(V62=TRUE,ROWS($V$2:V62),"")</f>
        <v/>
      </c>
      <c r="X62" s="1" t="str">
        <f>IFERROR(SMALL($W$2:$W$853,ROWS($W$2:W62)),"")</f>
        <v/>
      </c>
      <c r="Y62" s="1" t="str">
        <f>IF($X62&lt;&gt;"",INDEX($P$2:$U$853,MATCH($X62,$W$2:$W$853,0),COLUMNS($X$2:X62)),"")</f>
        <v/>
      </c>
      <c r="Z62" s="1" t="str">
        <f>IF($X62&lt;&gt;"",INDEX($P$2:$U$853,MATCH($X62,$W$2:$W$853,0),COLUMNS($X$2:Y62)),"")</f>
        <v/>
      </c>
      <c r="AA62" s="1" t="str">
        <f>IF($X62&lt;&gt;"",INDEX($P$2:$U$853,MATCH($X62,$W$2:$W$853,0),COLUMNS($X$2:Z62)),"")</f>
        <v/>
      </c>
      <c r="AB62" s="1" t="str">
        <f>IF($X62&lt;&gt;"",INDEX($P$2:$U$853,MATCH($X62,$W$2:$W$853,0),COLUMNS($X$2:AA62)),"")</f>
        <v/>
      </c>
      <c r="AC62" s="1" t="str">
        <f>IF($X62&lt;&gt;"",INDEX($P$2:$U$853,MATCH($X62,$W$2:$W$853,0),COLUMNS($X$2:AB62)),"")</f>
        <v/>
      </c>
      <c r="AD62" s="1" t="str">
        <f>IF($X62&lt;&gt;"",INDEX($P$2:$U$853,MATCH($X62,$W$2:$W$853,0),COLUMNS($X$2:AC62)),"")</f>
        <v/>
      </c>
    </row>
    <row r="63" spans="1:30" x14ac:dyDescent="0.2">
      <c r="A63" s="1">
        <v>1950</v>
      </c>
      <c r="B63" s="2">
        <v>18443</v>
      </c>
      <c r="C63" s="1" t="s">
        <v>514</v>
      </c>
      <c r="D63" s="1" t="s">
        <v>22</v>
      </c>
      <c r="E63" s="1" t="s">
        <v>94</v>
      </c>
      <c r="F63" s="1" t="s">
        <v>95</v>
      </c>
      <c r="G63" s="6" t="str">
        <f>VLOOKUP(A63,WorldCups!$A$2:$B$23,2,FALSE)</f>
        <v>Brazil</v>
      </c>
      <c r="H63" s="1" t="s">
        <v>48</v>
      </c>
      <c r="I63" s="1">
        <v>2</v>
      </c>
      <c r="J63" s="1">
        <v>2</v>
      </c>
      <c r="K63" s="1" t="s">
        <v>28</v>
      </c>
      <c r="L63" s="1" t="s">
        <v>14</v>
      </c>
      <c r="M63" s="1" t="str">
        <f>IF(ISNUMBER(SEARCH("Group",Table2[[#This Row],[Round]])),"Group stages",Table2[[#This Row],[Round]])</f>
        <v>Group stages</v>
      </c>
      <c r="O63" s="1">
        <f>Table2[[#This Row],[Year]]</f>
        <v>1950</v>
      </c>
      <c r="P63" s="1" t="str">
        <f>INDEX(Table2[[HomeTeam]:[Group_details]],ROWS($N$2:N63),COLUMNS($N$2:N63))</f>
        <v>Sweden</v>
      </c>
      <c r="Q63" s="1">
        <f>INDEX(Table2[[HomeTeam]:[Group_details]],ROWS($N$2:O63),COLUMNS($N$2:O63))</f>
        <v>2</v>
      </c>
      <c r="R63" s="1">
        <f>INDEX(Table2[[HomeTeam]:[Group_details]],ROWS($N$2:P63),COLUMNS($N$2:P63))</f>
        <v>2</v>
      </c>
      <c r="S63" s="1" t="str">
        <f>INDEX(Table2[[HomeTeam]:[Group_details]],ROWS($N$2:Q63),COLUMNS($N$2:Q63))</f>
        <v>Paraguay</v>
      </c>
      <c r="T63" s="1" t="str">
        <f>INDEX(Table2[[HomeTeam]:[Group_details]],ROWS($N$2:R63),COLUMNS($N$2:R63))</f>
        <v xml:space="preserve"> </v>
      </c>
      <c r="U63" s="1" t="str">
        <f>INDEX(Table2[[HomeTeam]:[Group_details]],ROWS($N$2:S63),COLUMNS($N$2:S63))</f>
        <v>Group stages</v>
      </c>
      <c r="V63" s="1" t="b">
        <f t="shared" si="0"/>
        <v>0</v>
      </c>
      <c r="W63" s="1" t="str">
        <f>IF(V63=TRUE,ROWS($V$2:V63),"")</f>
        <v/>
      </c>
      <c r="X63" s="1" t="str">
        <f>IFERROR(SMALL($W$2:$W$853,ROWS($W$2:W63)),"")</f>
        <v/>
      </c>
      <c r="Y63" s="1" t="str">
        <f>IF($X63&lt;&gt;"",INDEX($P$2:$U$853,MATCH($X63,$W$2:$W$853,0),COLUMNS($X$2:X63)),"")</f>
        <v/>
      </c>
      <c r="Z63" s="1" t="str">
        <f>IF($X63&lt;&gt;"",INDEX($P$2:$U$853,MATCH($X63,$W$2:$W$853,0),COLUMNS($X$2:Y63)),"")</f>
        <v/>
      </c>
      <c r="AA63" s="1" t="str">
        <f>IF($X63&lt;&gt;"",INDEX($P$2:$U$853,MATCH($X63,$W$2:$W$853,0),COLUMNS($X$2:Z63)),"")</f>
        <v/>
      </c>
      <c r="AB63" s="1" t="str">
        <f>IF($X63&lt;&gt;"",INDEX($P$2:$U$853,MATCH($X63,$W$2:$W$853,0),COLUMNS($X$2:AA63)),"")</f>
        <v/>
      </c>
      <c r="AC63" s="1" t="str">
        <f>IF($X63&lt;&gt;"",INDEX($P$2:$U$853,MATCH($X63,$W$2:$W$853,0),COLUMNS($X$2:AB63)),"")</f>
        <v/>
      </c>
      <c r="AD63" s="1" t="str">
        <f>IF($X63&lt;&gt;"",INDEX($P$2:$U$853,MATCH($X63,$W$2:$W$853,0),COLUMNS($X$2:AC63)),"")</f>
        <v/>
      </c>
    </row>
    <row r="64" spans="1:30" x14ac:dyDescent="0.2">
      <c r="A64" s="1">
        <v>1950</v>
      </c>
      <c r="B64" s="2">
        <v>18443</v>
      </c>
      <c r="C64" s="1" t="s">
        <v>500</v>
      </c>
      <c r="D64" s="1" t="s">
        <v>19</v>
      </c>
      <c r="E64" s="1" t="s">
        <v>98</v>
      </c>
      <c r="F64" s="1" t="s">
        <v>99</v>
      </c>
      <c r="G64" s="6" t="str">
        <f>VLOOKUP(A64,WorldCups!$A$2:$B$23,2,FALSE)</f>
        <v>Brazil</v>
      </c>
      <c r="H64" s="1" t="s">
        <v>17</v>
      </c>
      <c r="I64" s="1">
        <v>1</v>
      </c>
      <c r="J64" s="1">
        <v>0</v>
      </c>
      <c r="K64" s="1" t="s">
        <v>93</v>
      </c>
      <c r="L64" s="1" t="s">
        <v>14</v>
      </c>
      <c r="M64" s="1" t="str">
        <f>IF(ISNUMBER(SEARCH("Group",Table2[[#This Row],[Round]])),"Group stages",Table2[[#This Row],[Round]])</f>
        <v>Group stages</v>
      </c>
      <c r="O64" s="1">
        <f>Table2[[#This Row],[Year]]</f>
        <v>1950</v>
      </c>
      <c r="P64" s="1" t="str">
        <f>INDEX(Table2[[HomeTeam]:[Group_details]],ROWS($N$2:N64),COLUMNS($N$2:N64))</f>
        <v>USA</v>
      </c>
      <c r="Q64" s="1">
        <f>INDEX(Table2[[HomeTeam]:[Group_details]],ROWS($N$2:O64),COLUMNS($N$2:O64))</f>
        <v>1</v>
      </c>
      <c r="R64" s="1">
        <f>INDEX(Table2[[HomeTeam]:[Group_details]],ROWS($N$2:P64),COLUMNS($N$2:P64))</f>
        <v>0</v>
      </c>
      <c r="S64" s="1" t="str">
        <f>INDEX(Table2[[HomeTeam]:[Group_details]],ROWS($N$2:Q64),COLUMNS($N$2:Q64))</f>
        <v>England</v>
      </c>
      <c r="T64" s="1" t="str">
        <f>INDEX(Table2[[HomeTeam]:[Group_details]],ROWS($N$2:R64),COLUMNS($N$2:R64))</f>
        <v xml:space="preserve"> </v>
      </c>
      <c r="U64" s="1" t="str">
        <f>INDEX(Table2[[HomeTeam]:[Group_details]],ROWS($N$2:S64),COLUMNS($N$2:S64))</f>
        <v>Group stages</v>
      </c>
      <c r="V64" s="1" t="b">
        <f t="shared" si="0"/>
        <v>0</v>
      </c>
      <c r="W64" s="1" t="str">
        <f>IF(V64=TRUE,ROWS($V$2:V64),"")</f>
        <v/>
      </c>
      <c r="X64" s="1" t="str">
        <f>IFERROR(SMALL($W$2:$W$853,ROWS($W$2:W64)),"")</f>
        <v/>
      </c>
      <c r="Y64" s="1" t="str">
        <f>IF($X64&lt;&gt;"",INDEX($P$2:$U$853,MATCH($X64,$W$2:$W$853,0),COLUMNS($X$2:X64)),"")</f>
        <v/>
      </c>
      <c r="Z64" s="1" t="str">
        <f>IF($X64&lt;&gt;"",INDEX($P$2:$U$853,MATCH($X64,$W$2:$W$853,0),COLUMNS($X$2:Y64)),"")</f>
        <v/>
      </c>
      <c r="AA64" s="1" t="str">
        <f>IF($X64&lt;&gt;"",INDEX($P$2:$U$853,MATCH($X64,$W$2:$W$853,0),COLUMNS($X$2:Z64)),"")</f>
        <v/>
      </c>
      <c r="AB64" s="1" t="str">
        <f>IF($X64&lt;&gt;"",INDEX($P$2:$U$853,MATCH($X64,$W$2:$W$853,0),COLUMNS($X$2:AA64)),"")</f>
        <v/>
      </c>
      <c r="AC64" s="1" t="str">
        <f>IF($X64&lt;&gt;"",INDEX($P$2:$U$853,MATCH($X64,$W$2:$W$853,0),COLUMNS($X$2:AB64)),"")</f>
        <v/>
      </c>
      <c r="AD64" s="1" t="str">
        <f>IF($X64&lt;&gt;"",INDEX($P$2:$U$853,MATCH($X64,$W$2:$W$853,0),COLUMNS($X$2:AC64)),"")</f>
        <v/>
      </c>
    </row>
    <row r="65" spans="1:30" x14ac:dyDescent="0.2">
      <c r="A65" s="1">
        <v>1950</v>
      </c>
      <c r="B65" s="2">
        <v>18445</v>
      </c>
      <c r="C65" s="1" t="s">
        <v>500</v>
      </c>
      <c r="D65" s="1" t="s">
        <v>9</v>
      </c>
      <c r="E65" s="1" t="s">
        <v>91</v>
      </c>
      <c r="F65" s="1" t="s">
        <v>92</v>
      </c>
      <c r="G65" s="6" t="str">
        <f>VLOOKUP(A65,WorldCups!$A$2:$B$23,2,FALSE)</f>
        <v>Brazil</v>
      </c>
      <c r="H65" s="1" t="s">
        <v>21</v>
      </c>
      <c r="I65" s="1">
        <v>2</v>
      </c>
      <c r="J65" s="1">
        <v>0</v>
      </c>
      <c r="K65" s="1" t="s">
        <v>20</v>
      </c>
      <c r="L65" s="1" t="s">
        <v>14</v>
      </c>
      <c r="M65" s="1" t="str">
        <f>IF(ISNUMBER(SEARCH("Group",Table2[[#This Row],[Round]])),"Group stages",Table2[[#This Row],[Round]])</f>
        <v>Group stages</v>
      </c>
      <c r="O65" s="1">
        <f>Table2[[#This Row],[Year]]</f>
        <v>1950</v>
      </c>
      <c r="P65" s="1" t="str">
        <f>INDEX(Table2[[HomeTeam]:[Group_details]],ROWS($N$2:N65),COLUMNS($N$2:N65))</f>
        <v>Brazil</v>
      </c>
      <c r="Q65" s="1">
        <f>INDEX(Table2[[HomeTeam]:[Group_details]],ROWS($N$2:O65),COLUMNS($N$2:O65))</f>
        <v>2</v>
      </c>
      <c r="R65" s="1">
        <f>INDEX(Table2[[HomeTeam]:[Group_details]],ROWS($N$2:P65),COLUMNS($N$2:P65))</f>
        <v>0</v>
      </c>
      <c r="S65" s="1" t="str">
        <f>INDEX(Table2[[HomeTeam]:[Group_details]],ROWS($N$2:Q65),COLUMNS($N$2:Q65))</f>
        <v>Yugoslavia</v>
      </c>
      <c r="T65" s="1" t="str">
        <f>INDEX(Table2[[HomeTeam]:[Group_details]],ROWS($N$2:R65),COLUMNS($N$2:R65))</f>
        <v xml:space="preserve"> </v>
      </c>
      <c r="U65" s="1" t="str">
        <f>INDEX(Table2[[HomeTeam]:[Group_details]],ROWS($N$2:S65),COLUMNS($N$2:S65))</f>
        <v>Group stages</v>
      </c>
      <c r="V65" s="1" t="b">
        <f t="shared" si="0"/>
        <v>0</v>
      </c>
      <c r="W65" s="1" t="str">
        <f>IF(V65=TRUE,ROWS($V$2:V65),"")</f>
        <v/>
      </c>
      <c r="X65" s="1" t="str">
        <f>IFERROR(SMALL($W$2:$W$853,ROWS($W$2:W65)),"")</f>
        <v/>
      </c>
      <c r="Y65" s="1" t="str">
        <f>IF($X65&lt;&gt;"",INDEX($P$2:$U$853,MATCH($X65,$W$2:$W$853,0),COLUMNS($X$2:X65)),"")</f>
        <v/>
      </c>
      <c r="Z65" s="1" t="str">
        <f>IF($X65&lt;&gt;"",INDEX($P$2:$U$853,MATCH($X65,$W$2:$W$853,0),COLUMNS($X$2:Y65)),"")</f>
        <v/>
      </c>
      <c r="AA65" s="1" t="str">
        <f>IF($X65&lt;&gt;"",INDEX($P$2:$U$853,MATCH($X65,$W$2:$W$853,0),COLUMNS($X$2:Z65)),"")</f>
        <v/>
      </c>
      <c r="AB65" s="1" t="str">
        <f>IF($X65&lt;&gt;"",INDEX($P$2:$U$853,MATCH($X65,$W$2:$W$853,0),COLUMNS($X$2:AA65)),"")</f>
        <v/>
      </c>
      <c r="AC65" s="1" t="str">
        <f>IF($X65&lt;&gt;"",INDEX($P$2:$U$853,MATCH($X65,$W$2:$W$853,0),COLUMNS($X$2:AB65)),"")</f>
        <v/>
      </c>
      <c r="AD65" s="1" t="str">
        <f>IF($X65&lt;&gt;"",INDEX($P$2:$U$853,MATCH($X65,$W$2:$W$853,0),COLUMNS($X$2:AC65)),"")</f>
        <v/>
      </c>
    </row>
    <row r="66" spans="1:30" x14ac:dyDescent="0.2">
      <c r="A66" s="1">
        <v>1950</v>
      </c>
      <c r="B66" s="2">
        <v>18446</v>
      </c>
      <c r="C66" s="1" t="s">
        <v>500</v>
      </c>
      <c r="D66" s="1" t="s">
        <v>19</v>
      </c>
      <c r="E66" s="1" t="s">
        <v>91</v>
      </c>
      <c r="F66" s="1" t="s">
        <v>92</v>
      </c>
      <c r="G66" s="6" t="str">
        <f>VLOOKUP(A66,WorldCups!$A$2:$B$23,2,FALSE)</f>
        <v>Brazil</v>
      </c>
      <c r="H66" s="1" t="s">
        <v>54</v>
      </c>
      <c r="I66" s="1">
        <v>1</v>
      </c>
      <c r="J66" s="1">
        <v>0</v>
      </c>
      <c r="K66" s="1" t="s">
        <v>93</v>
      </c>
      <c r="L66" s="1" t="s">
        <v>14</v>
      </c>
      <c r="M66" s="1" t="str">
        <f>IF(ISNUMBER(SEARCH("Group",Table2[[#This Row],[Round]])),"Group stages",Table2[[#This Row],[Round]])</f>
        <v>Group stages</v>
      </c>
      <c r="O66" s="1">
        <f>Table2[[#This Row],[Year]]</f>
        <v>1950</v>
      </c>
      <c r="P66" s="1" t="str">
        <f>INDEX(Table2[[HomeTeam]:[Group_details]],ROWS($N$2:N66),COLUMNS($N$2:N66))</f>
        <v>Spain</v>
      </c>
      <c r="Q66" s="1">
        <f>INDEX(Table2[[HomeTeam]:[Group_details]],ROWS($N$2:O66),COLUMNS($N$2:O66))</f>
        <v>1</v>
      </c>
      <c r="R66" s="1">
        <f>INDEX(Table2[[HomeTeam]:[Group_details]],ROWS($N$2:P66),COLUMNS($N$2:P66))</f>
        <v>0</v>
      </c>
      <c r="S66" s="1" t="str">
        <f>INDEX(Table2[[HomeTeam]:[Group_details]],ROWS($N$2:Q66),COLUMNS($N$2:Q66))</f>
        <v>England</v>
      </c>
      <c r="T66" s="1" t="str">
        <f>INDEX(Table2[[HomeTeam]:[Group_details]],ROWS($N$2:R66),COLUMNS($N$2:R66))</f>
        <v xml:space="preserve"> </v>
      </c>
      <c r="U66" s="1" t="str">
        <f>INDEX(Table2[[HomeTeam]:[Group_details]],ROWS($N$2:S66),COLUMNS($N$2:S66))</f>
        <v>Group stages</v>
      </c>
      <c r="V66" s="1" t="b">
        <f t="shared" si="0"/>
        <v>0</v>
      </c>
      <c r="W66" s="1" t="str">
        <f>IF(V66=TRUE,ROWS($V$2:V66),"")</f>
        <v/>
      </c>
      <c r="X66" s="1" t="str">
        <f>IFERROR(SMALL($W$2:$W$853,ROWS($W$2:W66)),"")</f>
        <v/>
      </c>
      <c r="Y66" s="1" t="str">
        <f>IF($X66&lt;&gt;"",INDEX($P$2:$U$853,MATCH($X66,$W$2:$W$853,0),COLUMNS($X$2:X66)),"")</f>
        <v/>
      </c>
      <c r="Z66" s="1" t="str">
        <f>IF($X66&lt;&gt;"",INDEX($P$2:$U$853,MATCH($X66,$W$2:$W$853,0),COLUMNS($X$2:Y66)),"")</f>
        <v/>
      </c>
      <c r="AA66" s="1" t="str">
        <f>IF($X66&lt;&gt;"",INDEX($P$2:$U$853,MATCH($X66,$W$2:$W$853,0),COLUMNS($X$2:Z66)),"")</f>
        <v/>
      </c>
      <c r="AB66" s="1" t="str">
        <f>IF($X66&lt;&gt;"",INDEX($P$2:$U$853,MATCH($X66,$W$2:$W$853,0),COLUMNS($X$2:AA66)),"")</f>
        <v/>
      </c>
      <c r="AC66" s="1" t="str">
        <f>IF($X66&lt;&gt;"",INDEX($P$2:$U$853,MATCH($X66,$W$2:$W$853,0),COLUMNS($X$2:AB66)),"")</f>
        <v/>
      </c>
      <c r="AD66" s="1" t="str">
        <f>IF($X66&lt;&gt;"",INDEX($P$2:$U$853,MATCH($X66,$W$2:$W$853,0),COLUMNS($X$2:AC66)),"")</f>
        <v/>
      </c>
    </row>
    <row r="67" spans="1:30" x14ac:dyDescent="0.2">
      <c r="A67" s="1">
        <v>1950</v>
      </c>
      <c r="B67" s="2">
        <v>18446</v>
      </c>
      <c r="C67" s="1" t="s">
        <v>500</v>
      </c>
      <c r="D67" s="1" t="s">
        <v>22</v>
      </c>
      <c r="E67" s="1" t="s">
        <v>96</v>
      </c>
      <c r="F67" s="1" t="s">
        <v>97</v>
      </c>
      <c r="G67" s="6" t="str">
        <f>VLOOKUP(A67,WorldCups!$A$2:$B$23,2,FALSE)</f>
        <v>Brazil</v>
      </c>
      <c r="H67" s="1" t="s">
        <v>57</v>
      </c>
      <c r="I67" s="1">
        <v>2</v>
      </c>
      <c r="J67" s="1">
        <v>0</v>
      </c>
      <c r="K67" s="1" t="s">
        <v>28</v>
      </c>
      <c r="L67" s="1" t="s">
        <v>14</v>
      </c>
      <c r="M67" s="1" t="str">
        <f>IF(ISNUMBER(SEARCH("Group",Table2[[#This Row],[Round]])),"Group stages",Table2[[#This Row],[Round]])</f>
        <v>Group stages</v>
      </c>
      <c r="O67" s="1">
        <f>Table2[[#This Row],[Year]]</f>
        <v>1950</v>
      </c>
      <c r="P67" s="1" t="str">
        <f>INDEX(Table2[[HomeTeam]:[Group_details]],ROWS($N$2:N67),COLUMNS($N$2:N67))</f>
        <v>Italy</v>
      </c>
      <c r="Q67" s="1">
        <f>INDEX(Table2[[HomeTeam]:[Group_details]],ROWS($N$2:O67),COLUMNS($N$2:O67))</f>
        <v>2</v>
      </c>
      <c r="R67" s="1">
        <f>INDEX(Table2[[HomeTeam]:[Group_details]],ROWS($N$2:P67),COLUMNS($N$2:P67))</f>
        <v>0</v>
      </c>
      <c r="S67" s="1" t="str">
        <f>INDEX(Table2[[HomeTeam]:[Group_details]],ROWS($N$2:Q67),COLUMNS($N$2:Q67))</f>
        <v>Paraguay</v>
      </c>
      <c r="T67" s="1" t="str">
        <f>INDEX(Table2[[HomeTeam]:[Group_details]],ROWS($N$2:R67),COLUMNS($N$2:R67))</f>
        <v xml:space="preserve"> </v>
      </c>
      <c r="U67" s="1" t="str">
        <f>INDEX(Table2[[HomeTeam]:[Group_details]],ROWS($N$2:S67),COLUMNS($N$2:S67))</f>
        <v>Group stages</v>
      </c>
      <c r="V67" s="1" t="b">
        <f t="shared" ref="V67:V130" si="1">IF(O67=$V$1,TRUE)</f>
        <v>0</v>
      </c>
      <c r="W67" s="1" t="str">
        <f>IF(V67=TRUE,ROWS($V$2:V67),"")</f>
        <v/>
      </c>
      <c r="X67" s="1" t="str">
        <f>IFERROR(SMALL($W$2:$W$853,ROWS($W$2:W67)),"")</f>
        <v/>
      </c>
      <c r="Y67" s="1" t="str">
        <f>IF($X67&lt;&gt;"",INDEX($P$2:$U$853,MATCH($X67,$W$2:$W$853,0),COLUMNS($X$2:X67)),"")</f>
        <v/>
      </c>
      <c r="Z67" s="1" t="str">
        <f>IF($X67&lt;&gt;"",INDEX($P$2:$U$853,MATCH($X67,$W$2:$W$853,0),COLUMNS($X$2:Y67)),"")</f>
        <v/>
      </c>
      <c r="AA67" s="1" t="str">
        <f>IF($X67&lt;&gt;"",INDEX($P$2:$U$853,MATCH($X67,$W$2:$W$853,0),COLUMNS($X$2:Z67)),"")</f>
        <v/>
      </c>
      <c r="AB67" s="1" t="str">
        <f>IF($X67&lt;&gt;"",INDEX($P$2:$U$853,MATCH($X67,$W$2:$W$853,0),COLUMNS($X$2:AA67)),"")</f>
        <v/>
      </c>
      <c r="AC67" s="1" t="str">
        <f>IF($X67&lt;&gt;"",INDEX($P$2:$U$853,MATCH($X67,$W$2:$W$853,0),COLUMNS($X$2:AB67)),"")</f>
        <v/>
      </c>
      <c r="AD67" s="1" t="str">
        <f>IF($X67&lt;&gt;"",INDEX($P$2:$U$853,MATCH($X67,$W$2:$W$853,0),COLUMNS($X$2:AC67)),"")</f>
        <v/>
      </c>
    </row>
    <row r="68" spans="1:30" x14ac:dyDescent="0.2">
      <c r="A68" s="1">
        <v>1950</v>
      </c>
      <c r="B68" s="2">
        <v>18446</v>
      </c>
      <c r="C68" s="1" t="s">
        <v>500</v>
      </c>
      <c r="D68" s="1" t="s">
        <v>15</v>
      </c>
      <c r="E68" s="1" t="s">
        <v>98</v>
      </c>
      <c r="F68" s="1" t="s">
        <v>99</v>
      </c>
      <c r="G68" s="6" t="str">
        <f>VLOOKUP(A68,WorldCups!$A$2:$B$23,2,FALSE)</f>
        <v>Brazil</v>
      </c>
      <c r="H68" s="1" t="s">
        <v>30</v>
      </c>
      <c r="I68" s="1">
        <v>8</v>
      </c>
      <c r="J68" s="1">
        <v>0</v>
      </c>
      <c r="K68" s="1" t="s">
        <v>27</v>
      </c>
      <c r="L68" s="1" t="s">
        <v>14</v>
      </c>
      <c r="M68" s="1" t="str">
        <f>IF(ISNUMBER(SEARCH("Group",Table2[[#This Row],[Round]])),"Group stages",Table2[[#This Row],[Round]])</f>
        <v>Group stages</v>
      </c>
      <c r="O68" s="1">
        <f>Table2[[#This Row],[Year]]</f>
        <v>1950</v>
      </c>
      <c r="P68" s="1" t="str">
        <f>INDEX(Table2[[HomeTeam]:[Group_details]],ROWS($N$2:N68),COLUMNS($N$2:N68))</f>
        <v>Uruguay</v>
      </c>
      <c r="Q68" s="1">
        <f>INDEX(Table2[[HomeTeam]:[Group_details]],ROWS($N$2:O68),COLUMNS($N$2:O68))</f>
        <v>8</v>
      </c>
      <c r="R68" s="1">
        <f>INDEX(Table2[[HomeTeam]:[Group_details]],ROWS($N$2:P68),COLUMNS($N$2:P68))</f>
        <v>0</v>
      </c>
      <c r="S68" s="1" t="str">
        <f>INDEX(Table2[[HomeTeam]:[Group_details]],ROWS($N$2:Q68),COLUMNS($N$2:Q68))</f>
        <v>Bolivia</v>
      </c>
      <c r="T68" s="1" t="str">
        <f>INDEX(Table2[[HomeTeam]:[Group_details]],ROWS($N$2:R68),COLUMNS($N$2:R68))</f>
        <v xml:space="preserve"> </v>
      </c>
      <c r="U68" s="1" t="str">
        <f>INDEX(Table2[[HomeTeam]:[Group_details]],ROWS($N$2:S68),COLUMNS($N$2:S68))</f>
        <v>Group stages</v>
      </c>
      <c r="V68" s="1" t="b">
        <f t="shared" si="1"/>
        <v>0</v>
      </c>
      <c r="W68" s="1" t="str">
        <f>IF(V68=TRUE,ROWS($V$2:V68),"")</f>
        <v/>
      </c>
      <c r="X68" s="1" t="str">
        <f>IFERROR(SMALL($W$2:$W$853,ROWS($W$2:W68)),"")</f>
        <v/>
      </c>
      <c r="Y68" s="1" t="str">
        <f>IF($X68&lt;&gt;"",INDEX($P$2:$U$853,MATCH($X68,$W$2:$W$853,0),COLUMNS($X$2:X68)),"")</f>
        <v/>
      </c>
      <c r="Z68" s="1" t="str">
        <f>IF($X68&lt;&gt;"",INDEX($P$2:$U$853,MATCH($X68,$W$2:$W$853,0),COLUMNS($X$2:Y68)),"")</f>
        <v/>
      </c>
      <c r="AA68" s="1" t="str">
        <f>IF($X68&lt;&gt;"",INDEX($P$2:$U$853,MATCH($X68,$W$2:$W$853,0),COLUMNS($X$2:Z68)),"")</f>
        <v/>
      </c>
      <c r="AB68" s="1" t="str">
        <f>IF($X68&lt;&gt;"",INDEX($P$2:$U$853,MATCH($X68,$W$2:$W$853,0),COLUMNS($X$2:AA68)),"")</f>
        <v/>
      </c>
      <c r="AC68" s="1" t="str">
        <f>IF($X68&lt;&gt;"",INDEX($P$2:$U$853,MATCH($X68,$W$2:$W$853,0),COLUMNS($X$2:AB68)),"")</f>
        <v/>
      </c>
      <c r="AD68" s="1" t="str">
        <f>IF($X68&lt;&gt;"",INDEX($P$2:$U$853,MATCH($X68,$W$2:$W$853,0),COLUMNS($X$2:AC68)),"")</f>
        <v/>
      </c>
    </row>
    <row r="69" spans="1:30" x14ac:dyDescent="0.2">
      <c r="A69" s="1">
        <v>1950</v>
      </c>
      <c r="B69" s="2">
        <v>18446</v>
      </c>
      <c r="C69" s="1" t="s">
        <v>515</v>
      </c>
      <c r="D69" s="1" t="s">
        <v>9</v>
      </c>
      <c r="E69" s="1" t="s">
        <v>100</v>
      </c>
      <c r="F69" s="1" t="s">
        <v>101</v>
      </c>
      <c r="G69" s="6" t="str">
        <f>VLOOKUP(A69,WorldCups!$A$2:$B$23,2,FALSE)</f>
        <v>Brazil</v>
      </c>
      <c r="H69" s="1" t="s">
        <v>44</v>
      </c>
      <c r="I69" s="1">
        <v>2</v>
      </c>
      <c r="J69" s="1">
        <v>1</v>
      </c>
      <c r="K69" s="1" t="s">
        <v>13</v>
      </c>
      <c r="L69" s="1" t="s">
        <v>14</v>
      </c>
      <c r="M69" s="1" t="str">
        <f>IF(ISNUMBER(SEARCH("Group",Table2[[#This Row],[Round]])),"Group stages",Table2[[#This Row],[Round]])</f>
        <v>Group stages</v>
      </c>
      <c r="O69" s="1">
        <f>Table2[[#This Row],[Year]]</f>
        <v>1950</v>
      </c>
      <c r="P69" s="1" t="str">
        <f>INDEX(Table2[[HomeTeam]:[Group_details]],ROWS($N$2:N69),COLUMNS($N$2:N69))</f>
        <v>Switzerland</v>
      </c>
      <c r="Q69" s="1">
        <f>INDEX(Table2[[HomeTeam]:[Group_details]],ROWS($N$2:O69),COLUMNS($N$2:O69))</f>
        <v>2</v>
      </c>
      <c r="R69" s="1">
        <f>INDEX(Table2[[HomeTeam]:[Group_details]],ROWS($N$2:P69),COLUMNS($N$2:P69))</f>
        <v>1</v>
      </c>
      <c r="S69" s="1" t="str">
        <f>INDEX(Table2[[HomeTeam]:[Group_details]],ROWS($N$2:Q69),COLUMNS($N$2:Q69))</f>
        <v>Mexico</v>
      </c>
      <c r="T69" s="1" t="str">
        <f>INDEX(Table2[[HomeTeam]:[Group_details]],ROWS($N$2:R69),COLUMNS($N$2:R69))</f>
        <v xml:space="preserve"> </v>
      </c>
      <c r="U69" s="1" t="str">
        <f>INDEX(Table2[[HomeTeam]:[Group_details]],ROWS($N$2:S69),COLUMNS($N$2:S69))</f>
        <v>Group stages</v>
      </c>
      <c r="V69" s="1" t="b">
        <f t="shared" si="1"/>
        <v>0</v>
      </c>
      <c r="W69" s="1" t="str">
        <f>IF(V69=TRUE,ROWS($V$2:V69),"")</f>
        <v/>
      </c>
      <c r="X69" s="1" t="str">
        <f>IFERROR(SMALL($W$2:$W$853,ROWS($W$2:W69)),"")</f>
        <v/>
      </c>
      <c r="Y69" s="1" t="str">
        <f>IF($X69&lt;&gt;"",INDEX($P$2:$U$853,MATCH($X69,$W$2:$W$853,0),COLUMNS($X$2:X69)),"")</f>
        <v/>
      </c>
      <c r="Z69" s="1" t="str">
        <f>IF($X69&lt;&gt;"",INDEX($P$2:$U$853,MATCH($X69,$W$2:$W$853,0),COLUMNS($X$2:Y69)),"")</f>
        <v/>
      </c>
      <c r="AA69" s="1" t="str">
        <f>IF($X69&lt;&gt;"",INDEX($P$2:$U$853,MATCH($X69,$W$2:$W$853,0),COLUMNS($X$2:Z69)),"")</f>
        <v/>
      </c>
      <c r="AB69" s="1" t="str">
        <f>IF($X69&lt;&gt;"",INDEX($P$2:$U$853,MATCH($X69,$W$2:$W$853,0),COLUMNS($X$2:AA69)),"")</f>
        <v/>
      </c>
      <c r="AC69" s="1" t="str">
        <f>IF($X69&lt;&gt;"",INDEX($P$2:$U$853,MATCH($X69,$W$2:$W$853,0),COLUMNS($X$2:AB69)),"")</f>
        <v/>
      </c>
      <c r="AD69" s="1" t="str">
        <f>IF($X69&lt;&gt;"",INDEX($P$2:$U$853,MATCH($X69,$W$2:$W$853,0),COLUMNS($X$2:AC69)),"")</f>
        <v/>
      </c>
    </row>
    <row r="70" spans="1:30" x14ac:dyDescent="0.2">
      <c r="A70" s="1">
        <v>1950</v>
      </c>
      <c r="B70" s="2">
        <v>18446</v>
      </c>
      <c r="C70" s="1" t="s">
        <v>500</v>
      </c>
      <c r="D70" s="1" t="s">
        <v>19</v>
      </c>
      <c r="E70" s="1" t="s">
        <v>102</v>
      </c>
      <c r="F70" s="1" t="s">
        <v>103</v>
      </c>
      <c r="G70" s="6" t="str">
        <f>VLOOKUP(A70,WorldCups!$A$2:$B$23,2,FALSE)</f>
        <v>Brazil</v>
      </c>
      <c r="H70" s="1" t="s">
        <v>26</v>
      </c>
      <c r="I70" s="1">
        <v>5</v>
      </c>
      <c r="J70" s="1">
        <v>2</v>
      </c>
      <c r="K70" s="1" t="s">
        <v>17</v>
      </c>
      <c r="L70" s="1" t="s">
        <v>14</v>
      </c>
      <c r="M70" s="1" t="str">
        <f>IF(ISNUMBER(SEARCH("Group",Table2[[#This Row],[Round]])),"Group stages",Table2[[#This Row],[Round]])</f>
        <v>Group stages</v>
      </c>
      <c r="O70" s="1">
        <f>Table2[[#This Row],[Year]]</f>
        <v>1950</v>
      </c>
      <c r="P70" s="1" t="str">
        <f>INDEX(Table2[[HomeTeam]:[Group_details]],ROWS($N$2:N70),COLUMNS($N$2:N70))</f>
        <v>Chile</v>
      </c>
      <c r="Q70" s="1">
        <f>INDEX(Table2[[HomeTeam]:[Group_details]],ROWS($N$2:O70),COLUMNS($N$2:O70))</f>
        <v>5</v>
      </c>
      <c r="R70" s="1">
        <f>INDEX(Table2[[HomeTeam]:[Group_details]],ROWS($N$2:P70),COLUMNS($N$2:P70))</f>
        <v>2</v>
      </c>
      <c r="S70" s="1" t="str">
        <f>INDEX(Table2[[HomeTeam]:[Group_details]],ROWS($N$2:Q70),COLUMNS($N$2:Q70))</f>
        <v>USA</v>
      </c>
      <c r="T70" s="1" t="str">
        <f>INDEX(Table2[[HomeTeam]:[Group_details]],ROWS($N$2:R70),COLUMNS($N$2:R70))</f>
        <v xml:space="preserve"> </v>
      </c>
      <c r="U70" s="1" t="str">
        <f>INDEX(Table2[[HomeTeam]:[Group_details]],ROWS($N$2:S70),COLUMNS($N$2:S70))</f>
        <v>Group stages</v>
      </c>
      <c r="V70" s="1" t="b">
        <f t="shared" si="1"/>
        <v>0</v>
      </c>
      <c r="W70" s="1" t="str">
        <f>IF(V70=TRUE,ROWS($V$2:V70),"")</f>
        <v/>
      </c>
      <c r="X70" s="1" t="str">
        <f>IFERROR(SMALL($W$2:$W$853,ROWS($W$2:W70)),"")</f>
        <v/>
      </c>
      <c r="Y70" s="1" t="str">
        <f>IF($X70&lt;&gt;"",INDEX($P$2:$U$853,MATCH($X70,$W$2:$W$853,0),COLUMNS($X$2:X70)),"")</f>
        <v/>
      </c>
      <c r="Z70" s="1" t="str">
        <f>IF($X70&lt;&gt;"",INDEX($P$2:$U$853,MATCH($X70,$W$2:$W$853,0),COLUMNS($X$2:Y70)),"")</f>
        <v/>
      </c>
      <c r="AA70" s="1" t="str">
        <f>IF($X70&lt;&gt;"",INDEX($P$2:$U$853,MATCH($X70,$W$2:$W$853,0),COLUMNS($X$2:Z70)),"")</f>
        <v/>
      </c>
      <c r="AB70" s="1" t="str">
        <f>IF($X70&lt;&gt;"",INDEX($P$2:$U$853,MATCH($X70,$W$2:$W$853,0),COLUMNS($X$2:AA70)),"")</f>
        <v/>
      </c>
      <c r="AC70" s="1" t="str">
        <f>IF($X70&lt;&gt;"",INDEX($P$2:$U$853,MATCH($X70,$W$2:$W$853,0),COLUMNS($X$2:AB70)),"")</f>
        <v/>
      </c>
      <c r="AD70" s="1" t="str">
        <f>IF($X70&lt;&gt;"",INDEX($P$2:$U$853,MATCH($X70,$W$2:$W$853,0),COLUMNS($X$2:AC70)),"")</f>
        <v/>
      </c>
    </row>
    <row r="71" spans="1:30" x14ac:dyDescent="0.2">
      <c r="A71" s="1">
        <v>1950</v>
      </c>
      <c r="B71" s="2">
        <v>18453</v>
      </c>
      <c r="C71" s="1" t="s">
        <v>500</v>
      </c>
      <c r="D71" s="1" t="s">
        <v>104</v>
      </c>
      <c r="E71" s="1" t="s">
        <v>96</v>
      </c>
      <c r="F71" s="1" t="s">
        <v>97</v>
      </c>
      <c r="G71" s="6" t="str">
        <f>VLOOKUP(A71,WorldCups!$A$2:$B$23,2,FALSE)</f>
        <v>Brazil</v>
      </c>
      <c r="H71" s="1" t="s">
        <v>30</v>
      </c>
      <c r="I71" s="1">
        <v>2</v>
      </c>
      <c r="J71" s="1">
        <v>2</v>
      </c>
      <c r="K71" s="1" t="s">
        <v>54</v>
      </c>
      <c r="L71" s="1" t="s">
        <v>14</v>
      </c>
      <c r="M71" s="1" t="str">
        <f>IF(ISNUMBER(SEARCH("Group",Table2[[#This Row],[Round]])),"Group stages",Table2[[#This Row],[Round]])</f>
        <v>Group stages</v>
      </c>
      <c r="O71" s="1">
        <f>Table2[[#This Row],[Year]]</f>
        <v>1950</v>
      </c>
      <c r="P71" s="1" t="str">
        <f>INDEX(Table2[[HomeTeam]:[Group_details]],ROWS($N$2:N71),COLUMNS($N$2:N71))</f>
        <v>Uruguay</v>
      </c>
      <c r="Q71" s="1">
        <f>INDEX(Table2[[HomeTeam]:[Group_details]],ROWS($N$2:O71),COLUMNS($N$2:O71))</f>
        <v>2</v>
      </c>
      <c r="R71" s="1">
        <f>INDEX(Table2[[HomeTeam]:[Group_details]],ROWS($N$2:P71),COLUMNS($N$2:P71))</f>
        <v>2</v>
      </c>
      <c r="S71" s="1" t="str">
        <f>INDEX(Table2[[HomeTeam]:[Group_details]],ROWS($N$2:Q71),COLUMNS($N$2:Q71))</f>
        <v>Spain</v>
      </c>
      <c r="T71" s="1" t="str">
        <f>INDEX(Table2[[HomeTeam]:[Group_details]],ROWS($N$2:R71),COLUMNS($N$2:R71))</f>
        <v xml:space="preserve"> </v>
      </c>
      <c r="U71" s="1" t="str">
        <f>INDEX(Table2[[HomeTeam]:[Group_details]],ROWS($N$2:S71),COLUMNS($N$2:S71))</f>
        <v>Group stages</v>
      </c>
      <c r="V71" s="1" t="b">
        <f t="shared" si="1"/>
        <v>0</v>
      </c>
      <c r="W71" s="1" t="str">
        <f>IF(V71=TRUE,ROWS($V$2:V71),"")</f>
        <v/>
      </c>
      <c r="X71" s="1" t="str">
        <f>IFERROR(SMALL($W$2:$W$853,ROWS($W$2:W71)),"")</f>
        <v/>
      </c>
      <c r="Y71" s="1" t="str">
        <f>IF($X71&lt;&gt;"",INDEX($P$2:$U$853,MATCH($X71,$W$2:$W$853,0),COLUMNS($X$2:X71)),"")</f>
        <v/>
      </c>
      <c r="Z71" s="1" t="str">
        <f>IF($X71&lt;&gt;"",INDEX($P$2:$U$853,MATCH($X71,$W$2:$W$853,0),COLUMNS($X$2:Y71)),"")</f>
        <v/>
      </c>
      <c r="AA71" s="1" t="str">
        <f>IF($X71&lt;&gt;"",INDEX($P$2:$U$853,MATCH($X71,$W$2:$W$853,0),COLUMNS($X$2:Z71)),"")</f>
        <v/>
      </c>
      <c r="AB71" s="1" t="str">
        <f>IF($X71&lt;&gt;"",INDEX($P$2:$U$853,MATCH($X71,$W$2:$W$853,0),COLUMNS($X$2:AA71)),"")</f>
        <v/>
      </c>
      <c r="AC71" s="1" t="str">
        <f>IF($X71&lt;&gt;"",INDEX($P$2:$U$853,MATCH($X71,$W$2:$W$853,0),COLUMNS($X$2:AB71)),"")</f>
        <v/>
      </c>
      <c r="AD71" s="1" t="str">
        <f>IF($X71&lt;&gt;"",INDEX($P$2:$U$853,MATCH($X71,$W$2:$W$853,0),COLUMNS($X$2:AC71)),"")</f>
        <v/>
      </c>
    </row>
    <row r="72" spans="1:30" x14ac:dyDescent="0.2">
      <c r="A72" s="1">
        <v>1950</v>
      </c>
      <c r="B72" s="2">
        <v>18453</v>
      </c>
      <c r="C72" s="1" t="s">
        <v>500</v>
      </c>
      <c r="D72" s="1" t="s">
        <v>104</v>
      </c>
      <c r="E72" s="1" t="s">
        <v>91</v>
      </c>
      <c r="F72" s="1" t="s">
        <v>92</v>
      </c>
      <c r="G72" s="6" t="str">
        <f>VLOOKUP(A72,WorldCups!$A$2:$B$23,2,FALSE)</f>
        <v>Brazil</v>
      </c>
      <c r="H72" s="1" t="s">
        <v>21</v>
      </c>
      <c r="I72" s="1">
        <v>7</v>
      </c>
      <c r="J72" s="1">
        <v>1</v>
      </c>
      <c r="K72" s="1" t="s">
        <v>48</v>
      </c>
      <c r="L72" s="1" t="s">
        <v>14</v>
      </c>
      <c r="M72" s="1" t="str">
        <f>IF(ISNUMBER(SEARCH("Group",Table2[[#This Row],[Round]])),"Group stages",Table2[[#This Row],[Round]])</f>
        <v>Group stages</v>
      </c>
      <c r="O72" s="1">
        <f>Table2[[#This Row],[Year]]</f>
        <v>1950</v>
      </c>
      <c r="P72" s="1" t="str">
        <f>INDEX(Table2[[HomeTeam]:[Group_details]],ROWS($N$2:N72),COLUMNS($N$2:N72))</f>
        <v>Brazil</v>
      </c>
      <c r="Q72" s="1">
        <f>INDEX(Table2[[HomeTeam]:[Group_details]],ROWS($N$2:O72),COLUMNS($N$2:O72))</f>
        <v>7</v>
      </c>
      <c r="R72" s="1">
        <f>INDEX(Table2[[HomeTeam]:[Group_details]],ROWS($N$2:P72),COLUMNS($N$2:P72))</f>
        <v>1</v>
      </c>
      <c r="S72" s="1" t="str">
        <f>INDEX(Table2[[HomeTeam]:[Group_details]],ROWS($N$2:Q72),COLUMNS($N$2:Q72))</f>
        <v>Sweden</v>
      </c>
      <c r="T72" s="1" t="str">
        <f>INDEX(Table2[[HomeTeam]:[Group_details]],ROWS($N$2:R72),COLUMNS($N$2:R72))</f>
        <v xml:space="preserve"> </v>
      </c>
      <c r="U72" s="1" t="str">
        <f>INDEX(Table2[[HomeTeam]:[Group_details]],ROWS($N$2:S72),COLUMNS($N$2:S72))</f>
        <v>Group stages</v>
      </c>
      <c r="V72" s="1" t="b">
        <f t="shared" si="1"/>
        <v>0</v>
      </c>
      <c r="W72" s="1" t="str">
        <f>IF(V72=TRUE,ROWS($V$2:V72),"")</f>
        <v/>
      </c>
      <c r="X72" s="1" t="str">
        <f>IFERROR(SMALL($W$2:$W$853,ROWS($W$2:W72)),"")</f>
        <v/>
      </c>
      <c r="Y72" s="1" t="str">
        <f>IF($X72&lt;&gt;"",INDEX($P$2:$U$853,MATCH($X72,$W$2:$W$853,0),COLUMNS($X$2:X72)),"")</f>
        <v/>
      </c>
      <c r="Z72" s="1" t="str">
        <f>IF($X72&lt;&gt;"",INDEX($P$2:$U$853,MATCH($X72,$W$2:$W$853,0),COLUMNS($X$2:Y72)),"")</f>
        <v/>
      </c>
      <c r="AA72" s="1" t="str">
        <f>IF($X72&lt;&gt;"",INDEX($P$2:$U$853,MATCH($X72,$W$2:$W$853,0),COLUMNS($X$2:Z72)),"")</f>
        <v/>
      </c>
      <c r="AB72" s="1" t="str">
        <f>IF($X72&lt;&gt;"",INDEX($P$2:$U$853,MATCH($X72,$W$2:$W$853,0),COLUMNS($X$2:AA72)),"")</f>
        <v/>
      </c>
      <c r="AC72" s="1" t="str">
        <f>IF($X72&lt;&gt;"",INDEX($P$2:$U$853,MATCH($X72,$W$2:$W$853,0),COLUMNS($X$2:AB72)),"")</f>
        <v/>
      </c>
      <c r="AD72" s="1" t="str">
        <f>IF($X72&lt;&gt;"",INDEX($P$2:$U$853,MATCH($X72,$W$2:$W$853,0),COLUMNS($X$2:AC72)),"")</f>
        <v/>
      </c>
    </row>
    <row r="73" spans="1:30" x14ac:dyDescent="0.2">
      <c r="A73" s="1">
        <v>1950</v>
      </c>
      <c r="B73" s="2">
        <v>18457</v>
      </c>
      <c r="C73" s="1" t="s">
        <v>500</v>
      </c>
      <c r="D73" s="1" t="s">
        <v>104</v>
      </c>
      <c r="E73" s="1" t="s">
        <v>91</v>
      </c>
      <c r="F73" s="1" t="s">
        <v>92</v>
      </c>
      <c r="G73" s="6" t="str">
        <f>VLOOKUP(A73,WorldCups!$A$2:$B$23,2,FALSE)</f>
        <v>Brazil</v>
      </c>
      <c r="H73" s="1" t="s">
        <v>21</v>
      </c>
      <c r="I73" s="1">
        <v>6</v>
      </c>
      <c r="J73" s="1">
        <v>1</v>
      </c>
      <c r="K73" s="1" t="s">
        <v>54</v>
      </c>
      <c r="L73" s="1" t="s">
        <v>14</v>
      </c>
      <c r="M73" s="1" t="str">
        <f>IF(ISNUMBER(SEARCH("Group",Table2[[#This Row],[Round]])),"Group stages",Table2[[#This Row],[Round]])</f>
        <v>Group stages</v>
      </c>
      <c r="O73" s="1">
        <f>Table2[[#This Row],[Year]]</f>
        <v>1950</v>
      </c>
      <c r="P73" s="1" t="str">
        <f>INDEX(Table2[[HomeTeam]:[Group_details]],ROWS($N$2:N73),COLUMNS($N$2:N73))</f>
        <v>Brazil</v>
      </c>
      <c r="Q73" s="1">
        <f>INDEX(Table2[[HomeTeam]:[Group_details]],ROWS($N$2:O73),COLUMNS($N$2:O73))</f>
        <v>6</v>
      </c>
      <c r="R73" s="1">
        <f>INDEX(Table2[[HomeTeam]:[Group_details]],ROWS($N$2:P73),COLUMNS($N$2:P73))</f>
        <v>1</v>
      </c>
      <c r="S73" s="1" t="str">
        <f>INDEX(Table2[[HomeTeam]:[Group_details]],ROWS($N$2:Q73),COLUMNS($N$2:Q73))</f>
        <v>Spain</v>
      </c>
      <c r="T73" s="1" t="str">
        <f>INDEX(Table2[[HomeTeam]:[Group_details]],ROWS($N$2:R73),COLUMNS($N$2:R73))</f>
        <v xml:space="preserve"> </v>
      </c>
      <c r="U73" s="1" t="str">
        <f>INDEX(Table2[[HomeTeam]:[Group_details]],ROWS($N$2:S73),COLUMNS($N$2:S73))</f>
        <v>Group stages</v>
      </c>
      <c r="V73" s="1" t="b">
        <f t="shared" si="1"/>
        <v>0</v>
      </c>
      <c r="W73" s="1" t="str">
        <f>IF(V73=TRUE,ROWS($V$2:V73),"")</f>
        <v/>
      </c>
      <c r="X73" s="1" t="str">
        <f>IFERROR(SMALL($W$2:$W$853,ROWS($W$2:W73)),"")</f>
        <v/>
      </c>
      <c r="Y73" s="1" t="str">
        <f>IF($X73&lt;&gt;"",INDEX($P$2:$U$853,MATCH($X73,$W$2:$W$853,0),COLUMNS($X$2:X73)),"")</f>
        <v/>
      </c>
      <c r="Z73" s="1" t="str">
        <f>IF($X73&lt;&gt;"",INDEX($P$2:$U$853,MATCH($X73,$W$2:$W$853,0),COLUMNS($X$2:Y73)),"")</f>
        <v/>
      </c>
      <c r="AA73" s="1" t="str">
        <f>IF($X73&lt;&gt;"",INDEX($P$2:$U$853,MATCH($X73,$W$2:$W$853,0),COLUMNS($X$2:Z73)),"")</f>
        <v/>
      </c>
      <c r="AB73" s="1" t="str">
        <f>IF($X73&lt;&gt;"",INDEX($P$2:$U$853,MATCH($X73,$W$2:$W$853,0),COLUMNS($X$2:AA73)),"")</f>
        <v/>
      </c>
      <c r="AC73" s="1" t="str">
        <f>IF($X73&lt;&gt;"",INDEX($P$2:$U$853,MATCH($X73,$W$2:$W$853,0),COLUMNS($X$2:AB73)),"")</f>
        <v/>
      </c>
      <c r="AD73" s="1" t="str">
        <f>IF($X73&lt;&gt;"",INDEX($P$2:$U$853,MATCH($X73,$W$2:$W$853,0),COLUMNS($X$2:AC73)),"")</f>
        <v/>
      </c>
    </row>
    <row r="74" spans="1:30" x14ac:dyDescent="0.2">
      <c r="A74" s="1">
        <v>1950</v>
      </c>
      <c r="B74" s="2">
        <v>18457</v>
      </c>
      <c r="C74" s="1" t="s">
        <v>500</v>
      </c>
      <c r="D74" s="1" t="s">
        <v>104</v>
      </c>
      <c r="E74" s="1" t="s">
        <v>96</v>
      </c>
      <c r="F74" s="1" t="s">
        <v>97</v>
      </c>
      <c r="G74" s="6" t="str">
        <f>VLOOKUP(A74,WorldCups!$A$2:$B$23,2,FALSE)</f>
        <v>Brazil</v>
      </c>
      <c r="H74" s="1" t="s">
        <v>30</v>
      </c>
      <c r="I74" s="1">
        <v>3</v>
      </c>
      <c r="J74" s="1">
        <v>2</v>
      </c>
      <c r="K74" s="1" t="s">
        <v>48</v>
      </c>
      <c r="L74" s="1" t="s">
        <v>14</v>
      </c>
      <c r="M74" s="1" t="str">
        <f>IF(ISNUMBER(SEARCH("Group",Table2[[#This Row],[Round]])),"Group stages",Table2[[#This Row],[Round]])</f>
        <v>Group stages</v>
      </c>
      <c r="O74" s="1">
        <f>Table2[[#This Row],[Year]]</f>
        <v>1950</v>
      </c>
      <c r="P74" s="1" t="str">
        <f>INDEX(Table2[[HomeTeam]:[Group_details]],ROWS($N$2:N74),COLUMNS($N$2:N74))</f>
        <v>Uruguay</v>
      </c>
      <c r="Q74" s="1">
        <f>INDEX(Table2[[HomeTeam]:[Group_details]],ROWS($N$2:O74),COLUMNS($N$2:O74))</f>
        <v>3</v>
      </c>
      <c r="R74" s="1">
        <f>INDEX(Table2[[HomeTeam]:[Group_details]],ROWS($N$2:P74),COLUMNS($N$2:P74))</f>
        <v>2</v>
      </c>
      <c r="S74" s="1" t="str">
        <f>INDEX(Table2[[HomeTeam]:[Group_details]],ROWS($N$2:Q74),COLUMNS($N$2:Q74))</f>
        <v>Sweden</v>
      </c>
      <c r="T74" s="1" t="str">
        <f>INDEX(Table2[[HomeTeam]:[Group_details]],ROWS($N$2:R74),COLUMNS($N$2:R74))</f>
        <v xml:space="preserve"> </v>
      </c>
      <c r="U74" s="1" t="str">
        <f>INDEX(Table2[[HomeTeam]:[Group_details]],ROWS($N$2:S74),COLUMNS($N$2:S74))</f>
        <v>Group stages</v>
      </c>
      <c r="V74" s="1" t="b">
        <f t="shared" si="1"/>
        <v>0</v>
      </c>
      <c r="W74" s="1" t="str">
        <f>IF(V74=TRUE,ROWS($V$2:V74),"")</f>
        <v/>
      </c>
      <c r="X74" s="1" t="str">
        <f>IFERROR(SMALL($W$2:$W$853,ROWS($W$2:W74)),"")</f>
        <v/>
      </c>
      <c r="Y74" s="1" t="str">
        <f>IF($X74&lt;&gt;"",INDEX($P$2:$U$853,MATCH($X74,$W$2:$W$853,0),COLUMNS($X$2:X74)),"")</f>
        <v/>
      </c>
      <c r="Z74" s="1" t="str">
        <f>IF($X74&lt;&gt;"",INDEX($P$2:$U$853,MATCH($X74,$W$2:$W$853,0),COLUMNS($X$2:Y74)),"")</f>
        <v/>
      </c>
      <c r="AA74" s="1" t="str">
        <f>IF($X74&lt;&gt;"",INDEX($P$2:$U$853,MATCH($X74,$W$2:$W$853,0),COLUMNS($X$2:Z74)),"")</f>
        <v/>
      </c>
      <c r="AB74" s="1" t="str">
        <f>IF($X74&lt;&gt;"",INDEX($P$2:$U$853,MATCH($X74,$W$2:$W$853,0),COLUMNS($X$2:AA74)),"")</f>
        <v/>
      </c>
      <c r="AC74" s="1" t="str">
        <f>IF($X74&lt;&gt;"",INDEX($P$2:$U$853,MATCH($X74,$W$2:$W$853,0),COLUMNS($X$2:AB74)),"")</f>
        <v/>
      </c>
      <c r="AD74" s="1" t="str">
        <f>IF($X74&lt;&gt;"",INDEX($P$2:$U$853,MATCH($X74,$W$2:$W$853,0),COLUMNS($X$2:AC74)),"")</f>
        <v/>
      </c>
    </row>
    <row r="75" spans="1:30" x14ac:dyDescent="0.2">
      <c r="A75" s="1">
        <v>1950</v>
      </c>
      <c r="B75" s="2">
        <v>18460</v>
      </c>
      <c r="C75" s="1" t="s">
        <v>500</v>
      </c>
      <c r="D75" s="1" t="s">
        <v>104</v>
      </c>
      <c r="E75" s="1" t="s">
        <v>96</v>
      </c>
      <c r="F75" s="1" t="s">
        <v>97</v>
      </c>
      <c r="G75" s="6" t="str">
        <f>VLOOKUP(A75,WorldCups!$A$2:$B$23,2,FALSE)</f>
        <v>Brazil</v>
      </c>
      <c r="H75" s="1" t="s">
        <v>48</v>
      </c>
      <c r="I75" s="1">
        <v>3</v>
      </c>
      <c r="J75" s="1">
        <v>1</v>
      </c>
      <c r="K75" s="1" t="s">
        <v>54</v>
      </c>
      <c r="L75" s="1" t="s">
        <v>14</v>
      </c>
      <c r="M75" s="1" t="str">
        <f>IF(ISNUMBER(SEARCH("Group",Table2[[#This Row],[Round]])),"Group stages",Table2[[#This Row],[Round]])</f>
        <v>Group stages</v>
      </c>
      <c r="O75" s="1">
        <f>Table2[[#This Row],[Year]]</f>
        <v>1950</v>
      </c>
      <c r="P75" s="1" t="str">
        <f>INDEX(Table2[[HomeTeam]:[Group_details]],ROWS($N$2:N75),COLUMNS($N$2:N75))</f>
        <v>Sweden</v>
      </c>
      <c r="Q75" s="1">
        <f>INDEX(Table2[[HomeTeam]:[Group_details]],ROWS($N$2:O75),COLUMNS($N$2:O75))</f>
        <v>3</v>
      </c>
      <c r="R75" s="1">
        <f>INDEX(Table2[[HomeTeam]:[Group_details]],ROWS($N$2:P75),COLUMNS($N$2:P75))</f>
        <v>1</v>
      </c>
      <c r="S75" s="1" t="str">
        <f>INDEX(Table2[[HomeTeam]:[Group_details]],ROWS($N$2:Q75),COLUMNS($N$2:Q75))</f>
        <v>Spain</v>
      </c>
      <c r="T75" s="1" t="str">
        <f>INDEX(Table2[[HomeTeam]:[Group_details]],ROWS($N$2:R75),COLUMNS($N$2:R75))</f>
        <v xml:space="preserve"> </v>
      </c>
      <c r="U75" s="1" t="str">
        <f>INDEX(Table2[[HomeTeam]:[Group_details]],ROWS($N$2:S75),COLUMNS($N$2:S75))</f>
        <v>Group stages</v>
      </c>
      <c r="V75" s="1" t="b">
        <f t="shared" si="1"/>
        <v>0</v>
      </c>
      <c r="W75" s="1" t="str">
        <f>IF(V75=TRUE,ROWS($V$2:V75),"")</f>
        <v/>
      </c>
      <c r="X75" s="1" t="str">
        <f>IFERROR(SMALL($W$2:$W$853,ROWS($W$2:W75)),"")</f>
        <v/>
      </c>
      <c r="Y75" s="1" t="str">
        <f>IF($X75&lt;&gt;"",INDEX($P$2:$U$853,MATCH($X75,$W$2:$W$853,0),COLUMNS($X$2:X75)),"")</f>
        <v/>
      </c>
      <c r="Z75" s="1" t="str">
        <f>IF($X75&lt;&gt;"",INDEX($P$2:$U$853,MATCH($X75,$W$2:$W$853,0),COLUMNS($X$2:Y75)),"")</f>
        <v/>
      </c>
      <c r="AA75" s="1" t="str">
        <f>IF($X75&lt;&gt;"",INDEX($P$2:$U$853,MATCH($X75,$W$2:$W$853,0),COLUMNS($X$2:Z75)),"")</f>
        <v/>
      </c>
      <c r="AB75" s="1" t="str">
        <f>IF($X75&lt;&gt;"",INDEX($P$2:$U$853,MATCH($X75,$W$2:$W$853,0),COLUMNS($X$2:AA75)),"")</f>
        <v/>
      </c>
      <c r="AC75" s="1" t="str">
        <f>IF($X75&lt;&gt;"",INDEX($P$2:$U$853,MATCH($X75,$W$2:$W$853,0),COLUMNS($X$2:AB75)),"")</f>
        <v/>
      </c>
      <c r="AD75" s="1" t="str">
        <f>IF($X75&lt;&gt;"",INDEX($P$2:$U$853,MATCH($X75,$W$2:$W$853,0),COLUMNS($X$2:AC75)),"")</f>
        <v/>
      </c>
    </row>
    <row r="76" spans="1:30" x14ac:dyDescent="0.2">
      <c r="A76" s="1">
        <v>1950</v>
      </c>
      <c r="B76" s="2">
        <v>18460</v>
      </c>
      <c r="C76" s="1" t="s">
        <v>500</v>
      </c>
      <c r="D76" s="1" t="s">
        <v>104</v>
      </c>
      <c r="E76" s="1" t="s">
        <v>91</v>
      </c>
      <c r="F76" s="1" t="s">
        <v>92</v>
      </c>
      <c r="G76" s="6" t="str">
        <f>VLOOKUP(A76,WorldCups!$A$2:$B$23,2,FALSE)</f>
        <v>Brazil</v>
      </c>
      <c r="H76" s="1" t="s">
        <v>30</v>
      </c>
      <c r="I76" s="1">
        <v>2</v>
      </c>
      <c r="J76" s="1">
        <v>1</v>
      </c>
      <c r="K76" s="1" t="s">
        <v>21</v>
      </c>
      <c r="L76" s="1" t="s">
        <v>14</v>
      </c>
      <c r="M76" s="1" t="str">
        <f>IF(ISNUMBER(SEARCH("Group",Table2[[#This Row],[Round]])),"Group stages",Table2[[#This Row],[Round]])</f>
        <v>Group stages</v>
      </c>
      <c r="O76" s="1">
        <f>Table2[[#This Row],[Year]]</f>
        <v>1950</v>
      </c>
      <c r="P76" s="1" t="str">
        <f>INDEX(Table2[[HomeTeam]:[Group_details]],ROWS($N$2:N76),COLUMNS($N$2:N76))</f>
        <v>Uruguay</v>
      </c>
      <c r="Q76" s="1">
        <f>INDEX(Table2[[HomeTeam]:[Group_details]],ROWS($N$2:O76),COLUMNS($N$2:O76))</f>
        <v>2</v>
      </c>
      <c r="R76" s="1">
        <f>INDEX(Table2[[HomeTeam]:[Group_details]],ROWS($N$2:P76),COLUMNS($N$2:P76))</f>
        <v>1</v>
      </c>
      <c r="S76" s="1" t="str">
        <f>INDEX(Table2[[HomeTeam]:[Group_details]],ROWS($N$2:Q76),COLUMNS($N$2:Q76))</f>
        <v>Brazil</v>
      </c>
      <c r="T76" s="1" t="str">
        <f>INDEX(Table2[[HomeTeam]:[Group_details]],ROWS($N$2:R76),COLUMNS($N$2:R76))</f>
        <v xml:space="preserve"> </v>
      </c>
      <c r="U76" s="1" t="str">
        <f>INDEX(Table2[[HomeTeam]:[Group_details]],ROWS($N$2:S76),COLUMNS($N$2:S76))</f>
        <v>Group stages</v>
      </c>
      <c r="V76" s="1" t="b">
        <f t="shared" si="1"/>
        <v>0</v>
      </c>
      <c r="W76" s="1" t="str">
        <f>IF(V76=TRUE,ROWS($V$2:V76),"")</f>
        <v/>
      </c>
      <c r="X76" s="1" t="str">
        <f>IFERROR(SMALL($W$2:$W$853,ROWS($W$2:W76)),"")</f>
        <v/>
      </c>
      <c r="Y76" s="1" t="str">
        <f>IF($X76&lt;&gt;"",INDEX($P$2:$U$853,MATCH($X76,$W$2:$W$853,0),COLUMNS($X$2:X76)),"")</f>
        <v/>
      </c>
      <c r="Z76" s="1" t="str">
        <f>IF($X76&lt;&gt;"",INDEX($P$2:$U$853,MATCH($X76,$W$2:$W$853,0),COLUMNS($X$2:Y76)),"")</f>
        <v/>
      </c>
      <c r="AA76" s="1" t="str">
        <f>IF($X76&lt;&gt;"",INDEX($P$2:$U$853,MATCH($X76,$W$2:$W$853,0),COLUMNS($X$2:Z76)),"")</f>
        <v/>
      </c>
      <c r="AB76" s="1" t="str">
        <f>IF($X76&lt;&gt;"",INDEX($P$2:$U$853,MATCH($X76,$W$2:$W$853,0),COLUMNS($X$2:AA76)),"")</f>
        <v/>
      </c>
      <c r="AC76" s="1" t="str">
        <f>IF($X76&lt;&gt;"",INDEX($P$2:$U$853,MATCH($X76,$W$2:$W$853,0),COLUMNS($X$2:AB76)),"")</f>
        <v/>
      </c>
      <c r="AD76" s="1" t="str">
        <f>IF($X76&lt;&gt;"",INDEX($P$2:$U$853,MATCH($X76,$W$2:$W$853,0),COLUMNS($X$2:AC76)),"")</f>
        <v/>
      </c>
    </row>
    <row r="77" spans="1:30" x14ac:dyDescent="0.2">
      <c r="A77" s="1">
        <v>1954</v>
      </c>
      <c r="B77" s="2">
        <v>19891</v>
      </c>
      <c r="C77" s="1" t="s">
        <v>510</v>
      </c>
      <c r="D77" s="1" t="s">
        <v>22</v>
      </c>
      <c r="E77" s="1" t="s">
        <v>105</v>
      </c>
      <c r="F77" s="1" t="s">
        <v>106</v>
      </c>
      <c r="G77" s="6" t="str">
        <f>VLOOKUP(A77,WorldCups!$A$2:$B$23,2,FALSE)</f>
        <v>Switzerland</v>
      </c>
      <c r="H77" s="1" t="s">
        <v>30</v>
      </c>
      <c r="I77" s="1">
        <v>2</v>
      </c>
      <c r="J77" s="1">
        <v>0</v>
      </c>
      <c r="K77" s="1" t="s">
        <v>60</v>
      </c>
      <c r="L77" s="1" t="s">
        <v>14</v>
      </c>
      <c r="M77" s="1" t="str">
        <f>IF(ISNUMBER(SEARCH("Group",Table2[[#This Row],[Round]])),"Group stages",Table2[[#This Row],[Round]])</f>
        <v>Group stages</v>
      </c>
      <c r="O77" s="1">
        <f>Table2[[#This Row],[Year]]</f>
        <v>1954</v>
      </c>
      <c r="P77" s="1" t="str">
        <f>INDEX(Table2[[HomeTeam]:[Group_details]],ROWS($N$2:N77),COLUMNS($N$2:N77))</f>
        <v>Uruguay</v>
      </c>
      <c r="Q77" s="1">
        <f>INDEX(Table2[[HomeTeam]:[Group_details]],ROWS($N$2:O77),COLUMNS($N$2:O77))</f>
        <v>2</v>
      </c>
      <c r="R77" s="1">
        <f>INDEX(Table2[[HomeTeam]:[Group_details]],ROWS($N$2:P77),COLUMNS($N$2:P77))</f>
        <v>0</v>
      </c>
      <c r="S77" s="1" t="str">
        <f>INDEX(Table2[[HomeTeam]:[Group_details]],ROWS($N$2:Q77),COLUMNS($N$2:Q77))</f>
        <v>Czechoslovakia</v>
      </c>
      <c r="T77" s="1" t="str">
        <f>INDEX(Table2[[HomeTeam]:[Group_details]],ROWS($N$2:R77),COLUMNS($N$2:R77))</f>
        <v xml:space="preserve"> </v>
      </c>
      <c r="U77" s="1" t="str">
        <f>INDEX(Table2[[HomeTeam]:[Group_details]],ROWS($N$2:S77),COLUMNS($N$2:S77))</f>
        <v>Group stages</v>
      </c>
      <c r="V77" s="1" t="b">
        <f t="shared" si="1"/>
        <v>0</v>
      </c>
      <c r="W77" s="1" t="str">
        <f>IF(V77=TRUE,ROWS($V$2:V77),"")</f>
        <v/>
      </c>
      <c r="X77" s="1" t="str">
        <f>IFERROR(SMALL($W$2:$W$853,ROWS($W$2:W77)),"")</f>
        <v/>
      </c>
      <c r="Y77" s="1" t="str">
        <f>IF($X77&lt;&gt;"",INDEX($P$2:$U$853,MATCH($X77,$W$2:$W$853,0),COLUMNS($X$2:X77)),"")</f>
        <v/>
      </c>
      <c r="Z77" s="1" t="str">
        <f>IF($X77&lt;&gt;"",INDEX($P$2:$U$853,MATCH($X77,$W$2:$W$853,0),COLUMNS($X$2:Y77)),"")</f>
        <v/>
      </c>
      <c r="AA77" s="1" t="str">
        <f>IF($X77&lt;&gt;"",INDEX($P$2:$U$853,MATCH($X77,$W$2:$W$853,0),COLUMNS($X$2:Z77)),"")</f>
        <v/>
      </c>
      <c r="AB77" s="1" t="str">
        <f>IF($X77&lt;&gt;"",INDEX($P$2:$U$853,MATCH($X77,$W$2:$W$853,0),COLUMNS($X$2:AA77)),"")</f>
        <v/>
      </c>
      <c r="AC77" s="1" t="str">
        <f>IF($X77&lt;&gt;"",INDEX($P$2:$U$853,MATCH($X77,$W$2:$W$853,0),COLUMNS($X$2:AB77)),"")</f>
        <v/>
      </c>
      <c r="AD77" s="1" t="str">
        <f>IF($X77&lt;&gt;"",INDEX($P$2:$U$853,MATCH($X77,$W$2:$W$853,0),COLUMNS($X$2:AC77)),"")</f>
        <v/>
      </c>
    </row>
    <row r="78" spans="1:30" x14ac:dyDescent="0.2">
      <c r="A78" s="1">
        <v>1954</v>
      </c>
      <c r="B78" s="2">
        <v>19891</v>
      </c>
      <c r="C78" s="1" t="s">
        <v>510</v>
      </c>
      <c r="D78" s="1" t="s">
        <v>22</v>
      </c>
      <c r="E78" s="1" t="s">
        <v>107</v>
      </c>
      <c r="F78" s="1" t="s">
        <v>108</v>
      </c>
      <c r="G78" s="6" t="str">
        <f>VLOOKUP(A78,WorldCups!$A$2:$B$23,2,FALSE)</f>
        <v>Switzerland</v>
      </c>
      <c r="H78" s="1" t="s">
        <v>36</v>
      </c>
      <c r="I78" s="1">
        <v>1</v>
      </c>
      <c r="J78" s="1">
        <v>0</v>
      </c>
      <c r="K78" s="1" t="s">
        <v>109</v>
      </c>
      <c r="L78" s="1" t="s">
        <v>14</v>
      </c>
      <c r="M78" s="1" t="str">
        <f>IF(ISNUMBER(SEARCH("Group",Table2[[#This Row],[Round]])),"Group stages",Table2[[#This Row],[Round]])</f>
        <v>Group stages</v>
      </c>
      <c r="O78" s="1">
        <f>Table2[[#This Row],[Year]]</f>
        <v>1954</v>
      </c>
      <c r="P78" s="1" t="str">
        <f>INDEX(Table2[[HomeTeam]:[Group_details]],ROWS($N$2:N78),COLUMNS($N$2:N78))</f>
        <v>Austria</v>
      </c>
      <c r="Q78" s="1">
        <f>INDEX(Table2[[HomeTeam]:[Group_details]],ROWS($N$2:O78),COLUMNS($N$2:O78))</f>
        <v>1</v>
      </c>
      <c r="R78" s="1">
        <f>INDEX(Table2[[HomeTeam]:[Group_details]],ROWS($N$2:P78),COLUMNS($N$2:P78))</f>
        <v>0</v>
      </c>
      <c r="S78" s="1" t="str">
        <f>INDEX(Table2[[HomeTeam]:[Group_details]],ROWS($N$2:Q78),COLUMNS($N$2:Q78))</f>
        <v>Scotland</v>
      </c>
      <c r="T78" s="1" t="str">
        <f>INDEX(Table2[[HomeTeam]:[Group_details]],ROWS($N$2:R78),COLUMNS($N$2:R78))</f>
        <v xml:space="preserve"> </v>
      </c>
      <c r="U78" s="1" t="str">
        <f>INDEX(Table2[[HomeTeam]:[Group_details]],ROWS($N$2:S78),COLUMNS($N$2:S78))</f>
        <v>Group stages</v>
      </c>
      <c r="V78" s="1" t="b">
        <f t="shared" si="1"/>
        <v>0</v>
      </c>
      <c r="W78" s="1" t="str">
        <f>IF(V78=TRUE,ROWS($V$2:V78),"")</f>
        <v/>
      </c>
      <c r="X78" s="1" t="str">
        <f>IFERROR(SMALL($W$2:$W$853,ROWS($W$2:W78)),"")</f>
        <v/>
      </c>
      <c r="Y78" s="1" t="str">
        <f>IF($X78&lt;&gt;"",INDEX($P$2:$U$853,MATCH($X78,$W$2:$W$853,0),COLUMNS($X$2:X78)),"")</f>
        <v/>
      </c>
      <c r="Z78" s="1" t="str">
        <f>IF($X78&lt;&gt;"",INDEX($P$2:$U$853,MATCH($X78,$W$2:$W$853,0),COLUMNS($X$2:Y78)),"")</f>
        <v/>
      </c>
      <c r="AA78" s="1" t="str">
        <f>IF($X78&lt;&gt;"",INDEX($P$2:$U$853,MATCH($X78,$W$2:$W$853,0),COLUMNS($X$2:Z78)),"")</f>
        <v/>
      </c>
      <c r="AB78" s="1" t="str">
        <f>IF($X78&lt;&gt;"",INDEX($P$2:$U$853,MATCH($X78,$W$2:$W$853,0),COLUMNS($X$2:AA78)),"")</f>
        <v/>
      </c>
      <c r="AC78" s="1" t="str">
        <f>IF($X78&lt;&gt;"",INDEX($P$2:$U$853,MATCH($X78,$W$2:$W$853,0),COLUMNS($X$2:AB78)),"")</f>
        <v/>
      </c>
      <c r="AD78" s="1" t="str">
        <f>IF($X78&lt;&gt;"",INDEX($P$2:$U$853,MATCH($X78,$W$2:$W$853,0),COLUMNS($X$2:AC78)),"")</f>
        <v/>
      </c>
    </row>
    <row r="79" spans="1:30" x14ac:dyDescent="0.2">
      <c r="A79" s="1">
        <v>1954</v>
      </c>
      <c r="B79" s="2">
        <v>19891</v>
      </c>
      <c r="C79" s="1" t="s">
        <v>510</v>
      </c>
      <c r="D79" s="1" t="s">
        <v>9</v>
      </c>
      <c r="E79" s="1" t="s">
        <v>110</v>
      </c>
      <c r="F79" s="1" t="s">
        <v>111</v>
      </c>
      <c r="G79" s="6" t="str">
        <f>VLOOKUP(A79,WorldCups!$A$2:$B$23,2,FALSE)</f>
        <v>Switzerland</v>
      </c>
      <c r="H79" s="1" t="s">
        <v>21</v>
      </c>
      <c r="I79" s="1">
        <v>5</v>
      </c>
      <c r="J79" s="1">
        <v>0</v>
      </c>
      <c r="K79" s="1" t="s">
        <v>13</v>
      </c>
      <c r="L79" s="1" t="s">
        <v>14</v>
      </c>
      <c r="M79" s="1" t="str">
        <f>IF(ISNUMBER(SEARCH("Group",Table2[[#This Row],[Round]])),"Group stages",Table2[[#This Row],[Round]])</f>
        <v>Group stages</v>
      </c>
      <c r="O79" s="1">
        <f>Table2[[#This Row],[Year]]</f>
        <v>1954</v>
      </c>
      <c r="P79" s="1" t="str">
        <f>INDEX(Table2[[HomeTeam]:[Group_details]],ROWS($N$2:N79),COLUMNS($N$2:N79))</f>
        <v>Brazil</v>
      </c>
      <c r="Q79" s="1">
        <f>INDEX(Table2[[HomeTeam]:[Group_details]],ROWS($N$2:O79),COLUMNS($N$2:O79))</f>
        <v>5</v>
      </c>
      <c r="R79" s="1">
        <f>INDEX(Table2[[HomeTeam]:[Group_details]],ROWS($N$2:P79),COLUMNS($N$2:P79))</f>
        <v>0</v>
      </c>
      <c r="S79" s="1" t="str">
        <f>INDEX(Table2[[HomeTeam]:[Group_details]],ROWS($N$2:Q79),COLUMNS($N$2:Q79))</f>
        <v>Mexico</v>
      </c>
      <c r="T79" s="1" t="str">
        <f>INDEX(Table2[[HomeTeam]:[Group_details]],ROWS($N$2:R79),COLUMNS($N$2:R79))</f>
        <v xml:space="preserve"> </v>
      </c>
      <c r="U79" s="1" t="str">
        <f>INDEX(Table2[[HomeTeam]:[Group_details]],ROWS($N$2:S79),COLUMNS($N$2:S79))</f>
        <v>Group stages</v>
      </c>
      <c r="V79" s="1" t="b">
        <f t="shared" si="1"/>
        <v>0</v>
      </c>
      <c r="W79" s="1" t="str">
        <f>IF(V79=TRUE,ROWS($V$2:V79),"")</f>
        <v/>
      </c>
      <c r="X79" s="1" t="str">
        <f>IFERROR(SMALL($W$2:$W$853,ROWS($W$2:W79)),"")</f>
        <v/>
      </c>
      <c r="Y79" s="1" t="str">
        <f>IF($X79&lt;&gt;"",INDEX($P$2:$U$853,MATCH($X79,$W$2:$W$853,0),COLUMNS($X$2:X79)),"")</f>
        <v/>
      </c>
      <c r="Z79" s="1" t="str">
        <f>IF($X79&lt;&gt;"",INDEX($P$2:$U$853,MATCH($X79,$W$2:$W$853,0),COLUMNS($X$2:Y79)),"")</f>
        <v/>
      </c>
      <c r="AA79" s="1" t="str">
        <f>IF($X79&lt;&gt;"",INDEX($P$2:$U$853,MATCH($X79,$W$2:$W$853,0),COLUMNS($X$2:Z79)),"")</f>
        <v/>
      </c>
      <c r="AB79" s="1" t="str">
        <f>IF($X79&lt;&gt;"",INDEX($P$2:$U$853,MATCH($X79,$W$2:$W$853,0),COLUMNS($X$2:AA79)),"")</f>
        <v/>
      </c>
      <c r="AC79" s="1" t="str">
        <f>IF($X79&lt;&gt;"",INDEX($P$2:$U$853,MATCH($X79,$W$2:$W$853,0),COLUMNS($X$2:AB79)),"")</f>
        <v/>
      </c>
      <c r="AD79" s="1" t="str">
        <f>IF($X79&lt;&gt;"",INDEX($P$2:$U$853,MATCH($X79,$W$2:$W$853,0),COLUMNS($X$2:AC79)),"")</f>
        <v/>
      </c>
    </row>
    <row r="80" spans="1:30" x14ac:dyDescent="0.2">
      <c r="A80" s="1">
        <v>1954</v>
      </c>
      <c r="B80" s="2">
        <v>19891</v>
      </c>
      <c r="C80" s="1" t="s">
        <v>510</v>
      </c>
      <c r="D80" s="1" t="s">
        <v>9</v>
      </c>
      <c r="E80" s="1" t="s">
        <v>112</v>
      </c>
      <c r="F80" s="1" t="s">
        <v>113</v>
      </c>
      <c r="G80" s="6" t="str">
        <f>VLOOKUP(A80,WorldCups!$A$2:$B$23,2,FALSE)</f>
        <v>Switzerland</v>
      </c>
      <c r="H80" s="1" t="s">
        <v>20</v>
      </c>
      <c r="I80" s="1">
        <v>1</v>
      </c>
      <c r="J80" s="1">
        <v>0</v>
      </c>
      <c r="K80" s="1" t="s">
        <v>12</v>
      </c>
      <c r="L80" s="1" t="s">
        <v>14</v>
      </c>
      <c r="M80" s="1" t="str">
        <f>IF(ISNUMBER(SEARCH("Group",Table2[[#This Row],[Round]])),"Group stages",Table2[[#This Row],[Round]])</f>
        <v>Group stages</v>
      </c>
      <c r="O80" s="1">
        <f>Table2[[#This Row],[Year]]</f>
        <v>1954</v>
      </c>
      <c r="P80" s="1" t="str">
        <f>INDEX(Table2[[HomeTeam]:[Group_details]],ROWS($N$2:N80),COLUMNS($N$2:N80))</f>
        <v>Yugoslavia</v>
      </c>
      <c r="Q80" s="1">
        <f>INDEX(Table2[[HomeTeam]:[Group_details]],ROWS($N$2:O80),COLUMNS($N$2:O80))</f>
        <v>1</v>
      </c>
      <c r="R80" s="1">
        <f>INDEX(Table2[[HomeTeam]:[Group_details]],ROWS($N$2:P80),COLUMNS($N$2:P80))</f>
        <v>0</v>
      </c>
      <c r="S80" s="1" t="str">
        <f>INDEX(Table2[[HomeTeam]:[Group_details]],ROWS($N$2:Q80),COLUMNS($N$2:Q80))</f>
        <v>France</v>
      </c>
      <c r="T80" s="1" t="str">
        <f>INDEX(Table2[[HomeTeam]:[Group_details]],ROWS($N$2:R80),COLUMNS($N$2:R80))</f>
        <v xml:space="preserve"> </v>
      </c>
      <c r="U80" s="1" t="str">
        <f>INDEX(Table2[[HomeTeam]:[Group_details]],ROWS($N$2:S80),COLUMNS($N$2:S80))</f>
        <v>Group stages</v>
      </c>
      <c r="V80" s="1" t="b">
        <f t="shared" si="1"/>
        <v>0</v>
      </c>
      <c r="W80" s="1" t="str">
        <f>IF(V80=TRUE,ROWS($V$2:V80),"")</f>
        <v/>
      </c>
      <c r="X80" s="1" t="str">
        <f>IFERROR(SMALL($W$2:$W$853,ROWS($W$2:W80)),"")</f>
        <v/>
      </c>
      <c r="Y80" s="1" t="str">
        <f>IF($X80&lt;&gt;"",INDEX($P$2:$U$853,MATCH($X80,$W$2:$W$853,0),COLUMNS($X$2:X80)),"")</f>
        <v/>
      </c>
      <c r="Z80" s="1" t="str">
        <f>IF($X80&lt;&gt;"",INDEX($P$2:$U$853,MATCH($X80,$W$2:$W$853,0),COLUMNS($X$2:Y80)),"")</f>
        <v/>
      </c>
      <c r="AA80" s="1" t="str">
        <f>IF($X80&lt;&gt;"",INDEX($P$2:$U$853,MATCH($X80,$W$2:$W$853,0),COLUMNS($X$2:Z80)),"")</f>
        <v/>
      </c>
      <c r="AB80" s="1" t="str">
        <f>IF($X80&lt;&gt;"",INDEX($P$2:$U$853,MATCH($X80,$W$2:$W$853,0),COLUMNS($X$2:AA80)),"")</f>
        <v/>
      </c>
      <c r="AC80" s="1" t="str">
        <f>IF($X80&lt;&gt;"",INDEX($P$2:$U$853,MATCH($X80,$W$2:$W$853,0),COLUMNS($X$2:AB80)),"")</f>
        <v/>
      </c>
      <c r="AD80" s="1" t="str">
        <f>IF($X80&lt;&gt;"",INDEX($P$2:$U$853,MATCH($X80,$W$2:$W$853,0),COLUMNS($X$2:AC80)),"")</f>
        <v/>
      </c>
    </row>
    <row r="81" spans="1:30" x14ac:dyDescent="0.2">
      <c r="A81" s="1">
        <v>1954</v>
      </c>
      <c r="B81" s="2">
        <v>19892</v>
      </c>
      <c r="C81" s="1" t="s">
        <v>510</v>
      </c>
      <c r="D81" s="1" t="s">
        <v>19</v>
      </c>
      <c r="E81" s="1" t="s">
        <v>105</v>
      </c>
      <c r="F81" s="1" t="s">
        <v>106</v>
      </c>
      <c r="G81" s="6" t="str">
        <f>VLOOKUP(A81,WorldCups!$A$2:$B$23,2,FALSE)</f>
        <v>Switzerland</v>
      </c>
      <c r="H81" s="1" t="s">
        <v>114</v>
      </c>
      <c r="I81" s="1">
        <v>4</v>
      </c>
      <c r="J81" s="1">
        <v>1</v>
      </c>
      <c r="K81" s="1" t="s">
        <v>115</v>
      </c>
      <c r="L81" s="1" t="s">
        <v>14</v>
      </c>
      <c r="M81" s="1" t="str">
        <f>IF(ISNUMBER(SEARCH("Group",Table2[[#This Row],[Round]])),"Group stages",Table2[[#This Row],[Round]])</f>
        <v>Group stages</v>
      </c>
      <c r="O81" s="1">
        <f>Table2[[#This Row],[Year]]</f>
        <v>1954</v>
      </c>
      <c r="P81" s="1" t="str">
        <f>INDEX(Table2[[HomeTeam]:[Group_details]],ROWS($N$2:N81),COLUMNS($N$2:N81))</f>
        <v>Germany FR</v>
      </c>
      <c r="Q81" s="1">
        <f>INDEX(Table2[[HomeTeam]:[Group_details]],ROWS($N$2:O81),COLUMNS($N$2:O81))</f>
        <v>4</v>
      </c>
      <c r="R81" s="1">
        <f>INDEX(Table2[[HomeTeam]:[Group_details]],ROWS($N$2:P81),COLUMNS($N$2:P81))</f>
        <v>1</v>
      </c>
      <c r="S81" s="1" t="str">
        <f>INDEX(Table2[[HomeTeam]:[Group_details]],ROWS($N$2:Q81),COLUMNS($N$2:Q81))</f>
        <v>Turkey</v>
      </c>
      <c r="T81" s="1" t="str">
        <f>INDEX(Table2[[HomeTeam]:[Group_details]],ROWS($N$2:R81),COLUMNS($N$2:R81))</f>
        <v xml:space="preserve"> </v>
      </c>
      <c r="U81" s="1" t="str">
        <f>INDEX(Table2[[HomeTeam]:[Group_details]],ROWS($N$2:S81),COLUMNS($N$2:S81))</f>
        <v>Group stages</v>
      </c>
      <c r="V81" s="1" t="b">
        <f t="shared" si="1"/>
        <v>0</v>
      </c>
      <c r="W81" s="1" t="str">
        <f>IF(V81=TRUE,ROWS($V$2:V81),"")</f>
        <v/>
      </c>
      <c r="X81" s="1" t="str">
        <f>IFERROR(SMALL($W$2:$W$853,ROWS($W$2:W81)),"")</f>
        <v/>
      </c>
      <c r="Y81" s="1" t="str">
        <f>IF($X81&lt;&gt;"",INDEX($P$2:$U$853,MATCH($X81,$W$2:$W$853,0),COLUMNS($X$2:X81)),"")</f>
        <v/>
      </c>
      <c r="Z81" s="1" t="str">
        <f>IF($X81&lt;&gt;"",INDEX($P$2:$U$853,MATCH($X81,$W$2:$W$853,0),COLUMNS($X$2:Y81)),"")</f>
        <v/>
      </c>
      <c r="AA81" s="1" t="str">
        <f>IF($X81&lt;&gt;"",INDEX($P$2:$U$853,MATCH($X81,$W$2:$W$853,0),COLUMNS($X$2:Z81)),"")</f>
        <v/>
      </c>
      <c r="AB81" s="1" t="str">
        <f>IF($X81&lt;&gt;"",INDEX($P$2:$U$853,MATCH($X81,$W$2:$W$853,0),COLUMNS($X$2:AA81)),"")</f>
        <v/>
      </c>
      <c r="AC81" s="1" t="str">
        <f>IF($X81&lt;&gt;"",INDEX($P$2:$U$853,MATCH($X81,$W$2:$W$853,0),COLUMNS($X$2:AB81)),"")</f>
        <v/>
      </c>
      <c r="AD81" s="1" t="str">
        <f>IF($X81&lt;&gt;"",INDEX($P$2:$U$853,MATCH($X81,$W$2:$W$853,0),COLUMNS($X$2:AC81)),"")</f>
        <v/>
      </c>
    </row>
    <row r="82" spans="1:30" x14ac:dyDescent="0.2">
      <c r="A82" s="1">
        <v>1954</v>
      </c>
      <c r="B82" s="2">
        <v>19892</v>
      </c>
      <c r="C82" s="1" t="s">
        <v>510</v>
      </c>
      <c r="D82" s="1" t="s">
        <v>19</v>
      </c>
      <c r="E82" s="1" t="s">
        <v>107</v>
      </c>
      <c r="F82" s="1" t="s">
        <v>108</v>
      </c>
      <c r="G82" s="6" t="str">
        <f>VLOOKUP(A82,WorldCups!$A$2:$B$23,2,FALSE)</f>
        <v>Switzerland</v>
      </c>
      <c r="H82" s="1" t="s">
        <v>40</v>
      </c>
      <c r="I82" s="1">
        <v>9</v>
      </c>
      <c r="J82" s="1">
        <v>0</v>
      </c>
      <c r="K82" s="1" t="s">
        <v>116</v>
      </c>
      <c r="L82" s="1" t="s">
        <v>14</v>
      </c>
      <c r="M82" s="1" t="str">
        <f>IF(ISNUMBER(SEARCH("Group",Table2[[#This Row],[Round]])),"Group stages",Table2[[#This Row],[Round]])</f>
        <v>Group stages</v>
      </c>
      <c r="O82" s="1">
        <f>Table2[[#This Row],[Year]]</f>
        <v>1954</v>
      </c>
      <c r="P82" s="1" t="str">
        <f>INDEX(Table2[[HomeTeam]:[Group_details]],ROWS($N$2:N82),COLUMNS($N$2:N82))</f>
        <v>Hungary</v>
      </c>
      <c r="Q82" s="1">
        <f>INDEX(Table2[[HomeTeam]:[Group_details]],ROWS($N$2:O82),COLUMNS($N$2:O82))</f>
        <v>9</v>
      </c>
      <c r="R82" s="1">
        <f>INDEX(Table2[[HomeTeam]:[Group_details]],ROWS($N$2:P82),COLUMNS($N$2:P82))</f>
        <v>0</v>
      </c>
      <c r="S82" s="1" t="str">
        <f>INDEX(Table2[[HomeTeam]:[Group_details]],ROWS($N$2:Q82),COLUMNS($N$2:Q82))</f>
        <v>Korea Republic</v>
      </c>
      <c r="T82" s="1" t="str">
        <f>INDEX(Table2[[HomeTeam]:[Group_details]],ROWS($N$2:R82),COLUMNS($N$2:R82))</f>
        <v xml:space="preserve"> </v>
      </c>
      <c r="U82" s="1" t="str">
        <f>INDEX(Table2[[HomeTeam]:[Group_details]],ROWS($N$2:S82),COLUMNS($N$2:S82))</f>
        <v>Group stages</v>
      </c>
      <c r="V82" s="1" t="b">
        <f t="shared" si="1"/>
        <v>0</v>
      </c>
      <c r="W82" s="1" t="str">
        <f>IF(V82=TRUE,ROWS($V$2:V82),"")</f>
        <v/>
      </c>
      <c r="X82" s="1" t="str">
        <f>IFERROR(SMALL($W$2:$W$853,ROWS($W$2:W82)),"")</f>
        <v/>
      </c>
      <c r="Y82" s="1" t="str">
        <f>IF($X82&lt;&gt;"",INDEX($P$2:$U$853,MATCH($X82,$W$2:$W$853,0),COLUMNS($X$2:X82)),"")</f>
        <v/>
      </c>
      <c r="Z82" s="1" t="str">
        <f>IF($X82&lt;&gt;"",INDEX($P$2:$U$853,MATCH($X82,$W$2:$W$853,0),COLUMNS($X$2:Y82)),"")</f>
        <v/>
      </c>
      <c r="AA82" s="1" t="str">
        <f>IF($X82&lt;&gt;"",INDEX($P$2:$U$853,MATCH($X82,$W$2:$W$853,0),COLUMNS($X$2:Z82)),"")</f>
        <v/>
      </c>
      <c r="AB82" s="1" t="str">
        <f>IF($X82&lt;&gt;"",INDEX($P$2:$U$853,MATCH($X82,$W$2:$W$853,0),COLUMNS($X$2:AA82)),"")</f>
        <v/>
      </c>
      <c r="AC82" s="1" t="str">
        <f>IF($X82&lt;&gt;"",INDEX($P$2:$U$853,MATCH($X82,$W$2:$W$853,0),COLUMNS($X$2:AB82)),"")</f>
        <v/>
      </c>
      <c r="AD82" s="1" t="str">
        <f>IF($X82&lt;&gt;"",INDEX($P$2:$U$853,MATCH($X82,$W$2:$W$853,0),COLUMNS($X$2:AC82)),"")</f>
        <v/>
      </c>
    </row>
    <row r="83" spans="1:30" x14ac:dyDescent="0.2">
      <c r="A83" s="1">
        <v>1954</v>
      </c>
      <c r="B83" s="2">
        <v>19892</v>
      </c>
      <c r="C83" s="1" t="s">
        <v>516</v>
      </c>
      <c r="D83" s="1" t="s">
        <v>15</v>
      </c>
      <c r="E83" s="1" t="s">
        <v>117</v>
      </c>
      <c r="F83" s="1" t="s">
        <v>118</v>
      </c>
      <c r="G83" s="6" t="str">
        <f>VLOOKUP(A83,WorldCups!$A$2:$B$23,2,FALSE)</f>
        <v>Switzerland</v>
      </c>
      <c r="H83" s="1" t="s">
        <v>93</v>
      </c>
      <c r="I83" s="1">
        <v>4</v>
      </c>
      <c r="J83" s="1">
        <v>4</v>
      </c>
      <c r="K83" s="1" t="s">
        <v>18</v>
      </c>
      <c r="L83" s="1" t="s">
        <v>14</v>
      </c>
      <c r="M83" s="1" t="str">
        <f>IF(ISNUMBER(SEARCH("Group",Table2[[#This Row],[Round]])),"Group stages",Table2[[#This Row],[Round]])</f>
        <v>Group stages</v>
      </c>
      <c r="O83" s="1">
        <f>Table2[[#This Row],[Year]]</f>
        <v>1954</v>
      </c>
      <c r="P83" s="1" t="str">
        <f>INDEX(Table2[[HomeTeam]:[Group_details]],ROWS($N$2:N83),COLUMNS($N$2:N83))</f>
        <v>England</v>
      </c>
      <c r="Q83" s="1">
        <f>INDEX(Table2[[HomeTeam]:[Group_details]],ROWS($N$2:O83),COLUMNS($N$2:O83))</f>
        <v>4</v>
      </c>
      <c r="R83" s="1">
        <f>INDEX(Table2[[HomeTeam]:[Group_details]],ROWS($N$2:P83),COLUMNS($N$2:P83))</f>
        <v>4</v>
      </c>
      <c r="S83" s="1" t="str">
        <f>INDEX(Table2[[HomeTeam]:[Group_details]],ROWS($N$2:Q83),COLUMNS($N$2:Q83))</f>
        <v>Belgium</v>
      </c>
      <c r="T83" s="1" t="str">
        <f>INDEX(Table2[[HomeTeam]:[Group_details]],ROWS($N$2:R83),COLUMNS($N$2:R83))</f>
        <v xml:space="preserve"> </v>
      </c>
      <c r="U83" s="1" t="str">
        <f>INDEX(Table2[[HomeTeam]:[Group_details]],ROWS($N$2:S83),COLUMNS($N$2:S83))</f>
        <v>Group stages</v>
      </c>
      <c r="V83" s="1" t="b">
        <f t="shared" si="1"/>
        <v>0</v>
      </c>
      <c r="W83" s="1" t="str">
        <f>IF(V83=TRUE,ROWS($V$2:V83),"")</f>
        <v/>
      </c>
      <c r="X83" s="1" t="str">
        <f>IFERROR(SMALL($W$2:$W$853,ROWS($W$2:W83)),"")</f>
        <v/>
      </c>
      <c r="Y83" s="1" t="str">
        <f>IF($X83&lt;&gt;"",INDEX($P$2:$U$853,MATCH($X83,$W$2:$W$853,0),COLUMNS($X$2:X83)),"")</f>
        <v/>
      </c>
      <c r="Z83" s="1" t="str">
        <f>IF($X83&lt;&gt;"",INDEX($P$2:$U$853,MATCH($X83,$W$2:$W$853,0),COLUMNS($X$2:Y83)),"")</f>
        <v/>
      </c>
      <c r="AA83" s="1" t="str">
        <f>IF($X83&lt;&gt;"",INDEX($P$2:$U$853,MATCH($X83,$W$2:$W$853,0),COLUMNS($X$2:Z83)),"")</f>
        <v/>
      </c>
      <c r="AB83" s="1" t="str">
        <f>IF($X83&lt;&gt;"",INDEX($P$2:$U$853,MATCH($X83,$W$2:$W$853,0),COLUMNS($X$2:AA83)),"")</f>
        <v/>
      </c>
      <c r="AC83" s="1" t="str">
        <f>IF($X83&lt;&gt;"",INDEX($P$2:$U$853,MATCH($X83,$W$2:$W$853,0),COLUMNS($X$2:AB83)),"")</f>
        <v/>
      </c>
      <c r="AD83" s="1" t="str">
        <f>IF($X83&lt;&gt;"",INDEX($P$2:$U$853,MATCH($X83,$W$2:$W$853,0),COLUMNS($X$2:AC83)),"")</f>
        <v/>
      </c>
    </row>
    <row r="84" spans="1:30" x14ac:dyDescent="0.2">
      <c r="A84" s="1">
        <v>1954</v>
      </c>
      <c r="B84" s="2">
        <v>19892</v>
      </c>
      <c r="C84" s="1" t="s">
        <v>517</v>
      </c>
      <c r="D84" s="1" t="s">
        <v>15</v>
      </c>
      <c r="E84" s="1" t="s">
        <v>112</v>
      </c>
      <c r="F84" s="1" t="s">
        <v>113</v>
      </c>
      <c r="G84" s="6" t="str">
        <f>VLOOKUP(A84,WorldCups!$A$2:$B$23,2,FALSE)</f>
        <v>Switzerland</v>
      </c>
      <c r="H84" s="1" t="s">
        <v>44</v>
      </c>
      <c r="I84" s="1">
        <v>2</v>
      </c>
      <c r="J84" s="1">
        <v>1</v>
      </c>
      <c r="K84" s="1" t="s">
        <v>57</v>
      </c>
      <c r="L84" s="1" t="s">
        <v>14</v>
      </c>
      <c r="M84" s="1" t="str">
        <f>IF(ISNUMBER(SEARCH("Group",Table2[[#This Row],[Round]])),"Group stages",Table2[[#This Row],[Round]])</f>
        <v>Group stages</v>
      </c>
      <c r="O84" s="1">
        <f>Table2[[#This Row],[Year]]</f>
        <v>1954</v>
      </c>
      <c r="P84" s="1" t="str">
        <f>INDEX(Table2[[HomeTeam]:[Group_details]],ROWS($N$2:N84),COLUMNS($N$2:N84))</f>
        <v>Switzerland</v>
      </c>
      <c r="Q84" s="1">
        <f>INDEX(Table2[[HomeTeam]:[Group_details]],ROWS($N$2:O84),COLUMNS($N$2:O84))</f>
        <v>2</v>
      </c>
      <c r="R84" s="1">
        <f>INDEX(Table2[[HomeTeam]:[Group_details]],ROWS($N$2:P84),COLUMNS($N$2:P84))</f>
        <v>1</v>
      </c>
      <c r="S84" s="1" t="str">
        <f>INDEX(Table2[[HomeTeam]:[Group_details]],ROWS($N$2:Q84),COLUMNS($N$2:Q84))</f>
        <v>Italy</v>
      </c>
      <c r="T84" s="1" t="str">
        <f>INDEX(Table2[[HomeTeam]:[Group_details]],ROWS($N$2:R84),COLUMNS($N$2:R84))</f>
        <v xml:space="preserve"> </v>
      </c>
      <c r="U84" s="1" t="str">
        <f>INDEX(Table2[[HomeTeam]:[Group_details]],ROWS($N$2:S84),COLUMNS($N$2:S84))</f>
        <v>Group stages</v>
      </c>
      <c r="V84" s="1" t="b">
        <f t="shared" si="1"/>
        <v>0</v>
      </c>
      <c r="W84" s="1" t="str">
        <f>IF(V84=TRUE,ROWS($V$2:V84),"")</f>
        <v/>
      </c>
      <c r="X84" s="1" t="str">
        <f>IFERROR(SMALL($W$2:$W$853,ROWS($W$2:W84)),"")</f>
        <v/>
      </c>
      <c r="Y84" s="1" t="str">
        <f>IF($X84&lt;&gt;"",INDEX($P$2:$U$853,MATCH($X84,$W$2:$W$853,0),COLUMNS($X$2:X84)),"")</f>
        <v/>
      </c>
      <c r="Z84" s="1" t="str">
        <f>IF($X84&lt;&gt;"",INDEX($P$2:$U$853,MATCH($X84,$W$2:$W$853,0),COLUMNS($X$2:Y84)),"")</f>
        <v/>
      </c>
      <c r="AA84" s="1" t="str">
        <f>IF($X84&lt;&gt;"",INDEX($P$2:$U$853,MATCH($X84,$W$2:$W$853,0),COLUMNS($X$2:Z84)),"")</f>
        <v/>
      </c>
      <c r="AB84" s="1" t="str">
        <f>IF($X84&lt;&gt;"",INDEX($P$2:$U$853,MATCH($X84,$W$2:$W$853,0),COLUMNS($X$2:AA84)),"")</f>
        <v/>
      </c>
      <c r="AC84" s="1" t="str">
        <f>IF($X84&lt;&gt;"",INDEX($P$2:$U$853,MATCH($X84,$W$2:$W$853,0),COLUMNS($X$2:AB84)),"")</f>
        <v/>
      </c>
      <c r="AD84" s="1" t="str">
        <f>IF($X84&lt;&gt;"",INDEX($P$2:$U$853,MATCH($X84,$W$2:$W$853,0),COLUMNS($X$2:AC84)),"")</f>
        <v/>
      </c>
    </row>
    <row r="85" spans="1:30" x14ac:dyDescent="0.2">
      <c r="A85" s="1">
        <v>1954</v>
      </c>
      <c r="B85" s="2">
        <v>19894</v>
      </c>
      <c r="C85" s="1" t="s">
        <v>518</v>
      </c>
      <c r="D85" s="1" t="s">
        <v>22</v>
      </c>
      <c r="E85" s="1" t="s">
        <v>117</v>
      </c>
      <c r="F85" s="1" t="s">
        <v>118</v>
      </c>
      <c r="G85" s="6" t="str">
        <f>VLOOKUP(A85,WorldCups!$A$2:$B$23,2,FALSE)</f>
        <v>Switzerland</v>
      </c>
      <c r="H85" s="1" t="s">
        <v>30</v>
      </c>
      <c r="I85" s="1">
        <v>7</v>
      </c>
      <c r="J85" s="1">
        <v>0</v>
      </c>
      <c r="K85" s="1" t="s">
        <v>109</v>
      </c>
      <c r="L85" s="1" t="s">
        <v>14</v>
      </c>
      <c r="M85" s="1" t="str">
        <f>IF(ISNUMBER(SEARCH("Group",Table2[[#This Row],[Round]])),"Group stages",Table2[[#This Row],[Round]])</f>
        <v>Group stages</v>
      </c>
      <c r="O85" s="1">
        <f>Table2[[#This Row],[Year]]</f>
        <v>1954</v>
      </c>
      <c r="P85" s="1" t="str">
        <f>INDEX(Table2[[HomeTeam]:[Group_details]],ROWS($N$2:N85),COLUMNS($N$2:N85))</f>
        <v>Uruguay</v>
      </c>
      <c r="Q85" s="1">
        <f>INDEX(Table2[[HomeTeam]:[Group_details]],ROWS($N$2:O85),COLUMNS($N$2:O85))</f>
        <v>7</v>
      </c>
      <c r="R85" s="1">
        <f>INDEX(Table2[[HomeTeam]:[Group_details]],ROWS($N$2:P85),COLUMNS($N$2:P85))</f>
        <v>0</v>
      </c>
      <c r="S85" s="1" t="str">
        <f>INDEX(Table2[[HomeTeam]:[Group_details]],ROWS($N$2:Q85),COLUMNS($N$2:Q85))</f>
        <v>Scotland</v>
      </c>
      <c r="T85" s="1" t="str">
        <f>INDEX(Table2[[HomeTeam]:[Group_details]],ROWS($N$2:R85),COLUMNS($N$2:R85))</f>
        <v xml:space="preserve"> </v>
      </c>
      <c r="U85" s="1" t="str">
        <f>INDEX(Table2[[HomeTeam]:[Group_details]],ROWS($N$2:S85),COLUMNS($N$2:S85))</f>
        <v>Group stages</v>
      </c>
      <c r="V85" s="1" t="b">
        <f t="shared" si="1"/>
        <v>0</v>
      </c>
      <c r="W85" s="1" t="str">
        <f>IF(V85=TRUE,ROWS($V$2:V85),"")</f>
        <v/>
      </c>
      <c r="X85" s="1" t="str">
        <f>IFERROR(SMALL($W$2:$W$853,ROWS($W$2:W85)),"")</f>
        <v/>
      </c>
      <c r="Y85" s="1" t="str">
        <f>IF($X85&lt;&gt;"",INDEX($P$2:$U$853,MATCH($X85,$W$2:$W$853,0),COLUMNS($X$2:X85)),"")</f>
        <v/>
      </c>
      <c r="Z85" s="1" t="str">
        <f>IF($X85&lt;&gt;"",INDEX($P$2:$U$853,MATCH($X85,$W$2:$W$853,0),COLUMNS($X$2:Y85)),"")</f>
        <v/>
      </c>
      <c r="AA85" s="1" t="str">
        <f>IF($X85&lt;&gt;"",INDEX($P$2:$U$853,MATCH($X85,$W$2:$W$853,0),COLUMNS($X$2:Z85)),"")</f>
        <v/>
      </c>
      <c r="AB85" s="1" t="str">
        <f>IF($X85&lt;&gt;"",INDEX($P$2:$U$853,MATCH($X85,$W$2:$W$853,0),COLUMNS($X$2:AA85)),"")</f>
        <v/>
      </c>
      <c r="AC85" s="1" t="str">
        <f>IF($X85&lt;&gt;"",INDEX($P$2:$U$853,MATCH($X85,$W$2:$W$853,0),COLUMNS($X$2:AB85)),"")</f>
        <v/>
      </c>
      <c r="AD85" s="1" t="str">
        <f>IF($X85&lt;&gt;"",INDEX($P$2:$U$853,MATCH($X85,$W$2:$W$853,0),COLUMNS($X$2:AC85)),"")</f>
        <v/>
      </c>
    </row>
    <row r="86" spans="1:30" x14ac:dyDescent="0.2">
      <c r="A86" s="1">
        <v>1954</v>
      </c>
      <c r="B86" s="2">
        <v>19894</v>
      </c>
      <c r="C86" s="1" t="s">
        <v>512</v>
      </c>
      <c r="D86" s="1" t="s">
        <v>22</v>
      </c>
      <c r="E86" s="1" t="s">
        <v>107</v>
      </c>
      <c r="F86" s="1" t="s">
        <v>108</v>
      </c>
      <c r="G86" s="6" t="str">
        <f>VLOOKUP(A86,WorldCups!$A$2:$B$23,2,FALSE)</f>
        <v>Switzerland</v>
      </c>
      <c r="H86" s="1" t="s">
        <v>36</v>
      </c>
      <c r="I86" s="1">
        <v>5</v>
      </c>
      <c r="J86" s="1">
        <v>0</v>
      </c>
      <c r="K86" s="1" t="s">
        <v>60</v>
      </c>
      <c r="L86" s="1" t="s">
        <v>14</v>
      </c>
      <c r="M86" s="1" t="str">
        <f>IF(ISNUMBER(SEARCH("Group",Table2[[#This Row],[Round]])),"Group stages",Table2[[#This Row],[Round]])</f>
        <v>Group stages</v>
      </c>
      <c r="O86" s="1">
        <f>Table2[[#This Row],[Year]]</f>
        <v>1954</v>
      </c>
      <c r="P86" s="1" t="str">
        <f>INDEX(Table2[[HomeTeam]:[Group_details]],ROWS($N$2:N86),COLUMNS($N$2:N86))</f>
        <v>Austria</v>
      </c>
      <c r="Q86" s="1">
        <f>INDEX(Table2[[HomeTeam]:[Group_details]],ROWS($N$2:O86),COLUMNS($N$2:O86))</f>
        <v>5</v>
      </c>
      <c r="R86" s="1">
        <f>INDEX(Table2[[HomeTeam]:[Group_details]],ROWS($N$2:P86),COLUMNS($N$2:P86))</f>
        <v>0</v>
      </c>
      <c r="S86" s="1" t="str">
        <f>INDEX(Table2[[HomeTeam]:[Group_details]],ROWS($N$2:Q86),COLUMNS($N$2:Q86))</f>
        <v>Czechoslovakia</v>
      </c>
      <c r="T86" s="1" t="str">
        <f>INDEX(Table2[[HomeTeam]:[Group_details]],ROWS($N$2:R86),COLUMNS($N$2:R86))</f>
        <v xml:space="preserve"> </v>
      </c>
      <c r="U86" s="1" t="str">
        <f>INDEX(Table2[[HomeTeam]:[Group_details]],ROWS($N$2:S86),COLUMNS($N$2:S86))</f>
        <v>Group stages</v>
      </c>
      <c r="V86" s="1" t="b">
        <f t="shared" si="1"/>
        <v>0</v>
      </c>
      <c r="W86" s="1" t="str">
        <f>IF(V86=TRUE,ROWS($V$2:V86),"")</f>
        <v/>
      </c>
      <c r="X86" s="1" t="str">
        <f>IFERROR(SMALL($W$2:$W$853,ROWS($W$2:W86)),"")</f>
        <v/>
      </c>
      <c r="Y86" s="1" t="str">
        <f>IF($X86&lt;&gt;"",INDEX($P$2:$U$853,MATCH($X86,$W$2:$W$853,0),COLUMNS($X$2:X86)),"")</f>
        <v/>
      </c>
      <c r="Z86" s="1" t="str">
        <f>IF($X86&lt;&gt;"",INDEX($P$2:$U$853,MATCH($X86,$W$2:$W$853,0),COLUMNS($X$2:Y86)),"")</f>
        <v/>
      </c>
      <c r="AA86" s="1" t="str">
        <f>IF($X86&lt;&gt;"",INDEX($P$2:$U$853,MATCH($X86,$W$2:$W$853,0),COLUMNS($X$2:Z86)),"")</f>
        <v/>
      </c>
      <c r="AB86" s="1" t="str">
        <f>IF($X86&lt;&gt;"",INDEX($P$2:$U$853,MATCH($X86,$W$2:$W$853,0),COLUMNS($X$2:AA86)),"")</f>
        <v/>
      </c>
      <c r="AC86" s="1" t="str">
        <f>IF($X86&lt;&gt;"",INDEX($P$2:$U$853,MATCH($X86,$W$2:$W$853,0),COLUMNS($X$2:AB86)),"")</f>
        <v/>
      </c>
      <c r="AD86" s="1" t="str">
        <f>IF($X86&lt;&gt;"",INDEX($P$2:$U$853,MATCH($X86,$W$2:$W$853,0),COLUMNS($X$2:AC86)),"")</f>
        <v/>
      </c>
    </row>
    <row r="87" spans="1:30" x14ac:dyDescent="0.2">
      <c r="A87" s="1">
        <v>1954</v>
      </c>
      <c r="B87" s="2">
        <v>19894</v>
      </c>
      <c r="C87" s="1" t="s">
        <v>519</v>
      </c>
      <c r="D87" s="1" t="s">
        <v>9</v>
      </c>
      <c r="E87" s="1" t="s">
        <v>110</v>
      </c>
      <c r="F87" s="1" t="s">
        <v>111</v>
      </c>
      <c r="G87" s="6" t="str">
        <f>VLOOKUP(A87,WorldCups!$A$2:$B$23,2,FALSE)</f>
        <v>Switzerland</v>
      </c>
      <c r="H87" s="1" t="s">
        <v>12</v>
      </c>
      <c r="I87" s="1">
        <v>3</v>
      </c>
      <c r="J87" s="1">
        <v>2</v>
      </c>
      <c r="K87" s="1" t="s">
        <v>13</v>
      </c>
      <c r="L87" s="1" t="s">
        <v>14</v>
      </c>
      <c r="M87" s="1" t="str">
        <f>IF(ISNUMBER(SEARCH("Group",Table2[[#This Row],[Round]])),"Group stages",Table2[[#This Row],[Round]])</f>
        <v>Group stages</v>
      </c>
      <c r="O87" s="1">
        <f>Table2[[#This Row],[Year]]</f>
        <v>1954</v>
      </c>
      <c r="P87" s="1" t="str">
        <f>INDEX(Table2[[HomeTeam]:[Group_details]],ROWS($N$2:N87),COLUMNS($N$2:N87))</f>
        <v>France</v>
      </c>
      <c r="Q87" s="1">
        <f>INDEX(Table2[[HomeTeam]:[Group_details]],ROWS($N$2:O87),COLUMNS($N$2:O87))</f>
        <v>3</v>
      </c>
      <c r="R87" s="1">
        <f>INDEX(Table2[[HomeTeam]:[Group_details]],ROWS($N$2:P87),COLUMNS($N$2:P87))</f>
        <v>2</v>
      </c>
      <c r="S87" s="1" t="str">
        <f>INDEX(Table2[[HomeTeam]:[Group_details]],ROWS($N$2:Q87),COLUMNS($N$2:Q87))</f>
        <v>Mexico</v>
      </c>
      <c r="T87" s="1" t="str">
        <f>INDEX(Table2[[HomeTeam]:[Group_details]],ROWS($N$2:R87),COLUMNS($N$2:R87))</f>
        <v xml:space="preserve"> </v>
      </c>
      <c r="U87" s="1" t="str">
        <f>INDEX(Table2[[HomeTeam]:[Group_details]],ROWS($N$2:S87),COLUMNS($N$2:S87))</f>
        <v>Group stages</v>
      </c>
      <c r="V87" s="1" t="b">
        <f t="shared" si="1"/>
        <v>0</v>
      </c>
      <c r="W87" s="1" t="str">
        <f>IF(V87=TRUE,ROWS($V$2:V87),"")</f>
        <v/>
      </c>
      <c r="X87" s="1" t="str">
        <f>IFERROR(SMALL($W$2:$W$853,ROWS($W$2:W87)),"")</f>
        <v/>
      </c>
      <c r="Y87" s="1" t="str">
        <f>IF($X87&lt;&gt;"",INDEX($P$2:$U$853,MATCH($X87,$W$2:$W$853,0),COLUMNS($X$2:X87)),"")</f>
        <v/>
      </c>
      <c r="Z87" s="1" t="str">
        <f>IF($X87&lt;&gt;"",INDEX($P$2:$U$853,MATCH($X87,$W$2:$W$853,0),COLUMNS($X$2:Y87)),"")</f>
        <v/>
      </c>
      <c r="AA87" s="1" t="str">
        <f>IF($X87&lt;&gt;"",INDEX($P$2:$U$853,MATCH($X87,$W$2:$W$853,0),COLUMNS($X$2:Z87)),"")</f>
        <v/>
      </c>
      <c r="AB87" s="1" t="str">
        <f>IF($X87&lt;&gt;"",INDEX($P$2:$U$853,MATCH($X87,$W$2:$W$853,0),COLUMNS($X$2:AA87)),"")</f>
        <v/>
      </c>
      <c r="AC87" s="1" t="str">
        <f>IF($X87&lt;&gt;"",INDEX($P$2:$U$853,MATCH($X87,$W$2:$W$853,0),COLUMNS($X$2:AB87)),"")</f>
        <v/>
      </c>
      <c r="AD87" s="1" t="str">
        <f>IF($X87&lt;&gt;"",INDEX($P$2:$U$853,MATCH($X87,$W$2:$W$853,0),COLUMNS($X$2:AC87)),"")</f>
        <v/>
      </c>
    </row>
    <row r="88" spans="1:30" x14ac:dyDescent="0.2">
      <c r="A88" s="1">
        <v>1954</v>
      </c>
      <c r="B88" s="2">
        <v>19894</v>
      </c>
      <c r="C88" s="1" t="s">
        <v>512</v>
      </c>
      <c r="D88" s="1" t="s">
        <v>9</v>
      </c>
      <c r="E88" s="1" t="s">
        <v>112</v>
      </c>
      <c r="F88" s="1" t="s">
        <v>113</v>
      </c>
      <c r="G88" s="6" t="str">
        <f>VLOOKUP(A88,WorldCups!$A$2:$B$23,2,FALSE)</f>
        <v>Switzerland</v>
      </c>
      <c r="H88" s="1" t="s">
        <v>21</v>
      </c>
      <c r="I88" s="1">
        <v>1</v>
      </c>
      <c r="J88" s="1">
        <v>1</v>
      </c>
      <c r="K88" s="1" t="s">
        <v>20</v>
      </c>
      <c r="L88" s="1" t="s">
        <v>14</v>
      </c>
      <c r="M88" s="1" t="str">
        <f>IF(ISNUMBER(SEARCH("Group",Table2[[#This Row],[Round]])),"Group stages",Table2[[#This Row],[Round]])</f>
        <v>Group stages</v>
      </c>
      <c r="O88" s="1">
        <f>Table2[[#This Row],[Year]]</f>
        <v>1954</v>
      </c>
      <c r="P88" s="1" t="str">
        <f>INDEX(Table2[[HomeTeam]:[Group_details]],ROWS($N$2:N88),COLUMNS($N$2:N88))</f>
        <v>Brazil</v>
      </c>
      <c r="Q88" s="1">
        <f>INDEX(Table2[[HomeTeam]:[Group_details]],ROWS($N$2:O88),COLUMNS($N$2:O88))</f>
        <v>1</v>
      </c>
      <c r="R88" s="1">
        <f>INDEX(Table2[[HomeTeam]:[Group_details]],ROWS($N$2:P88),COLUMNS($N$2:P88))</f>
        <v>1</v>
      </c>
      <c r="S88" s="1" t="str">
        <f>INDEX(Table2[[HomeTeam]:[Group_details]],ROWS($N$2:Q88),COLUMNS($N$2:Q88))</f>
        <v>Yugoslavia</v>
      </c>
      <c r="T88" s="1" t="str">
        <f>INDEX(Table2[[HomeTeam]:[Group_details]],ROWS($N$2:R88),COLUMNS($N$2:R88))</f>
        <v xml:space="preserve"> </v>
      </c>
      <c r="U88" s="1" t="str">
        <f>INDEX(Table2[[HomeTeam]:[Group_details]],ROWS($N$2:S88),COLUMNS($N$2:S88))</f>
        <v>Group stages</v>
      </c>
      <c r="V88" s="1" t="b">
        <f t="shared" si="1"/>
        <v>0</v>
      </c>
      <c r="W88" s="1" t="str">
        <f>IF(V88=TRUE,ROWS($V$2:V88),"")</f>
        <v/>
      </c>
      <c r="X88" s="1" t="str">
        <f>IFERROR(SMALL($W$2:$W$853,ROWS($W$2:W88)),"")</f>
        <v/>
      </c>
      <c r="Y88" s="1" t="str">
        <f>IF($X88&lt;&gt;"",INDEX($P$2:$U$853,MATCH($X88,$W$2:$W$853,0),COLUMNS($X$2:X88)),"")</f>
        <v/>
      </c>
      <c r="Z88" s="1" t="str">
        <f>IF($X88&lt;&gt;"",INDEX($P$2:$U$853,MATCH($X88,$W$2:$W$853,0),COLUMNS($X$2:Y88)),"")</f>
        <v/>
      </c>
      <c r="AA88" s="1" t="str">
        <f>IF($X88&lt;&gt;"",INDEX($P$2:$U$853,MATCH($X88,$W$2:$W$853,0),COLUMNS($X$2:Z88)),"")</f>
        <v/>
      </c>
      <c r="AB88" s="1" t="str">
        <f>IF($X88&lt;&gt;"",INDEX($P$2:$U$853,MATCH($X88,$W$2:$W$853,0),COLUMNS($X$2:AA88)),"")</f>
        <v/>
      </c>
      <c r="AC88" s="1" t="str">
        <f>IF($X88&lt;&gt;"",INDEX($P$2:$U$853,MATCH($X88,$W$2:$W$853,0),COLUMNS($X$2:AB88)),"")</f>
        <v/>
      </c>
      <c r="AD88" s="1" t="str">
        <f>IF($X88&lt;&gt;"",INDEX($P$2:$U$853,MATCH($X88,$W$2:$W$853,0),COLUMNS($X$2:AC88)),"")</f>
        <v/>
      </c>
    </row>
    <row r="89" spans="1:30" x14ac:dyDescent="0.2">
      <c r="A89" s="1">
        <v>1954</v>
      </c>
      <c r="B89" s="2">
        <v>19895</v>
      </c>
      <c r="C89" s="1" t="s">
        <v>518</v>
      </c>
      <c r="D89" s="1" t="s">
        <v>19</v>
      </c>
      <c r="E89" s="1" t="s">
        <v>117</v>
      </c>
      <c r="F89" s="1" t="s">
        <v>118</v>
      </c>
      <c r="G89" s="6" t="str">
        <f>VLOOKUP(A89,WorldCups!$A$2:$B$23,2,FALSE)</f>
        <v>Switzerland</v>
      </c>
      <c r="H89" s="1" t="s">
        <v>40</v>
      </c>
      <c r="I89" s="1">
        <v>8</v>
      </c>
      <c r="J89" s="1">
        <v>3</v>
      </c>
      <c r="K89" s="1" t="s">
        <v>114</v>
      </c>
      <c r="L89" s="1" t="s">
        <v>14</v>
      </c>
      <c r="M89" s="1" t="str">
        <f>IF(ISNUMBER(SEARCH("Group",Table2[[#This Row],[Round]])),"Group stages",Table2[[#This Row],[Round]])</f>
        <v>Group stages</v>
      </c>
      <c r="O89" s="1">
        <f>Table2[[#This Row],[Year]]</f>
        <v>1954</v>
      </c>
      <c r="P89" s="1" t="str">
        <f>INDEX(Table2[[HomeTeam]:[Group_details]],ROWS($N$2:N89),COLUMNS($N$2:N89))</f>
        <v>Hungary</v>
      </c>
      <c r="Q89" s="1">
        <f>INDEX(Table2[[HomeTeam]:[Group_details]],ROWS($N$2:O89),COLUMNS($N$2:O89))</f>
        <v>8</v>
      </c>
      <c r="R89" s="1">
        <f>INDEX(Table2[[HomeTeam]:[Group_details]],ROWS($N$2:P89),COLUMNS($N$2:P89))</f>
        <v>3</v>
      </c>
      <c r="S89" s="1" t="str">
        <f>INDEX(Table2[[HomeTeam]:[Group_details]],ROWS($N$2:Q89),COLUMNS($N$2:Q89))</f>
        <v>Germany FR</v>
      </c>
      <c r="T89" s="1" t="str">
        <f>INDEX(Table2[[HomeTeam]:[Group_details]],ROWS($N$2:R89),COLUMNS($N$2:R89))</f>
        <v xml:space="preserve"> </v>
      </c>
      <c r="U89" s="1" t="str">
        <f>INDEX(Table2[[HomeTeam]:[Group_details]],ROWS($N$2:S89),COLUMNS($N$2:S89))</f>
        <v>Group stages</v>
      </c>
      <c r="V89" s="1" t="b">
        <f t="shared" si="1"/>
        <v>0</v>
      </c>
      <c r="W89" s="1" t="str">
        <f>IF(V89=TRUE,ROWS($V$2:V89),"")</f>
        <v/>
      </c>
      <c r="X89" s="1" t="str">
        <f>IFERROR(SMALL($W$2:$W$853,ROWS($W$2:W89)),"")</f>
        <v/>
      </c>
      <c r="Y89" s="1" t="str">
        <f>IF($X89&lt;&gt;"",INDEX($P$2:$U$853,MATCH($X89,$W$2:$W$853,0),COLUMNS($X$2:X89)),"")</f>
        <v/>
      </c>
      <c r="Z89" s="1" t="str">
        <f>IF($X89&lt;&gt;"",INDEX($P$2:$U$853,MATCH($X89,$W$2:$W$853,0),COLUMNS($X$2:Y89)),"")</f>
        <v/>
      </c>
      <c r="AA89" s="1" t="str">
        <f>IF($X89&lt;&gt;"",INDEX($P$2:$U$853,MATCH($X89,$W$2:$W$853,0),COLUMNS($X$2:Z89)),"")</f>
        <v/>
      </c>
      <c r="AB89" s="1" t="str">
        <f>IF($X89&lt;&gt;"",INDEX($P$2:$U$853,MATCH($X89,$W$2:$W$853,0),COLUMNS($X$2:AA89)),"")</f>
        <v/>
      </c>
      <c r="AC89" s="1" t="str">
        <f>IF($X89&lt;&gt;"",INDEX($P$2:$U$853,MATCH($X89,$W$2:$W$853,0),COLUMNS($X$2:AB89)),"")</f>
        <v/>
      </c>
      <c r="AD89" s="1" t="str">
        <f>IF($X89&lt;&gt;"",INDEX($P$2:$U$853,MATCH($X89,$W$2:$W$853,0),COLUMNS($X$2:AC89)),"")</f>
        <v/>
      </c>
    </row>
    <row r="90" spans="1:30" x14ac:dyDescent="0.2">
      <c r="A90" s="1">
        <v>1954</v>
      </c>
      <c r="B90" s="2">
        <v>19895</v>
      </c>
      <c r="C90" s="1" t="s">
        <v>512</v>
      </c>
      <c r="D90" s="1" t="s">
        <v>19</v>
      </c>
      <c r="E90" s="1" t="s">
        <v>110</v>
      </c>
      <c r="F90" s="1" t="s">
        <v>111</v>
      </c>
      <c r="G90" s="6" t="str">
        <f>VLOOKUP(A90,WorldCups!$A$2:$B$23,2,FALSE)</f>
        <v>Switzerland</v>
      </c>
      <c r="H90" s="1" t="s">
        <v>115</v>
      </c>
      <c r="I90" s="1">
        <v>7</v>
      </c>
      <c r="J90" s="1">
        <v>0</v>
      </c>
      <c r="K90" s="1" t="s">
        <v>116</v>
      </c>
      <c r="L90" s="1" t="s">
        <v>14</v>
      </c>
      <c r="M90" s="1" t="str">
        <f>IF(ISNUMBER(SEARCH("Group",Table2[[#This Row],[Round]])),"Group stages",Table2[[#This Row],[Round]])</f>
        <v>Group stages</v>
      </c>
      <c r="O90" s="1">
        <f>Table2[[#This Row],[Year]]</f>
        <v>1954</v>
      </c>
      <c r="P90" s="1" t="str">
        <f>INDEX(Table2[[HomeTeam]:[Group_details]],ROWS($N$2:N90),COLUMNS($N$2:N90))</f>
        <v>Turkey</v>
      </c>
      <c r="Q90" s="1">
        <f>INDEX(Table2[[HomeTeam]:[Group_details]],ROWS($N$2:O90),COLUMNS($N$2:O90))</f>
        <v>7</v>
      </c>
      <c r="R90" s="1">
        <f>INDEX(Table2[[HomeTeam]:[Group_details]],ROWS($N$2:P90),COLUMNS($N$2:P90))</f>
        <v>0</v>
      </c>
      <c r="S90" s="1" t="str">
        <f>INDEX(Table2[[HomeTeam]:[Group_details]],ROWS($N$2:Q90),COLUMNS($N$2:Q90))</f>
        <v>Korea Republic</v>
      </c>
      <c r="T90" s="1" t="str">
        <f>INDEX(Table2[[HomeTeam]:[Group_details]],ROWS($N$2:R90),COLUMNS($N$2:R90))</f>
        <v xml:space="preserve"> </v>
      </c>
      <c r="U90" s="1" t="str">
        <f>INDEX(Table2[[HomeTeam]:[Group_details]],ROWS($N$2:S90),COLUMNS($N$2:S90))</f>
        <v>Group stages</v>
      </c>
      <c r="V90" s="1" t="b">
        <f t="shared" si="1"/>
        <v>0</v>
      </c>
      <c r="W90" s="1" t="str">
        <f>IF(V90=TRUE,ROWS($V$2:V90),"")</f>
        <v/>
      </c>
      <c r="X90" s="1" t="str">
        <f>IFERROR(SMALL($W$2:$W$853,ROWS($W$2:W90)),"")</f>
        <v/>
      </c>
      <c r="Y90" s="1" t="str">
        <f>IF($X90&lt;&gt;"",INDEX($P$2:$U$853,MATCH($X90,$W$2:$W$853,0),COLUMNS($X$2:X90)),"")</f>
        <v/>
      </c>
      <c r="Z90" s="1" t="str">
        <f>IF($X90&lt;&gt;"",INDEX($P$2:$U$853,MATCH($X90,$W$2:$W$853,0),COLUMNS($X$2:Y90)),"")</f>
        <v/>
      </c>
      <c r="AA90" s="1" t="str">
        <f>IF($X90&lt;&gt;"",INDEX($P$2:$U$853,MATCH($X90,$W$2:$W$853,0),COLUMNS($X$2:Z90)),"")</f>
        <v/>
      </c>
      <c r="AB90" s="1" t="str">
        <f>IF($X90&lt;&gt;"",INDEX($P$2:$U$853,MATCH($X90,$W$2:$W$853,0),COLUMNS($X$2:AA90)),"")</f>
        <v/>
      </c>
      <c r="AC90" s="1" t="str">
        <f>IF($X90&lt;&gt;"",INDEX($P$2:$U$853,MATCH($X90,$W$2:$W$853,0),COLUMNS($X$2:AB90)),"")</f>
        <v/>
      </c>
      <c r="AD90" s="1" t="str">
        <f>IF($X90&lt;&gt;"",INDEX($P$2:$U$853,MATCH($X90,$W$2:$W$853,0),COLUMNS($X$2:AC90)),"")</f>
        <v/>
      </c>
    </row>
    <row r="91" spans="1:30" x14ac:dyDescent="0.2">
      <c r="A91" s="1">
        <v>1954</v>
      </c>
      <c r="B91" s="2">
        <v>19895</v>
      </c>
      <c r="C91" s="1" t="s">
        <v>519</v>
      </c>
      <c r="D91" s="1" t="s">
        <v>15</v>
      </c>
      <c r="E91" s="1" t="s">
        <v>105</v>
      </c>
      <c r="F91" s="1" t="s">
        <v>106</v>
      </c>
      <c r="G91" s="6" t="str">
        <f>VLOOKUP(A91,WorldCups!$A$2:$B$23,2,FALSE)</f>
        <v>Switzerland</v>
      </c>
      <c r="H91" s="1" t="s">
        <v>93</v>
      </c>
      <c r="I91" s="1">
        <v>2</v>
      </c>
      <c r="J91" s="1">
        <v>0</v>
      </c>
      <c r="K91" s="1" t="s">
        <v>44</v>
      </c>
      <c r="L91" s="1" t="s">
        <v>14</v>
      </c>
      <c r="M91" s="1" t="str">
        <f>IF(ISNUMBER(SEARCH("Group",Table2[[#This Row],[Round]])),"Group stages",Table2[[#This Row],[Round]])</f>
        <v>Group stages</v>
      </c>
      <c r="O91" s="1">
        <f>Table2[[#This Row],[Year]]</f>
        <v>1954</v>
      </c>
      <c r="P91" s="1" t="str">
        <f>INDEX(Table2[[HomeTeam]:[Group_details]],ROWS($N$2:N91),COLUMNS($N$2:N91))</f>
        <v>England</v>
      </c>
      <c r="Q91" s="1">
        <f>INDEX(Table2[[HomeTeam]:[Group_details]],ROWS($N$2:O91),COLUMNS($N$2:O91))</f>
        <v>2</v>
      </c>
      <c r="R91" s="1">
        <f>INDEX(Table2[[HomeTeam]:[Group_details]],ROWS($N$2:P91),COLUMNS($N$2:P91))</f>
        <v>0</v>
      </c>
      <c r="S91" s="1" t="str">
        <f>INDEX(Table2[[HomeTeam]:[Group_details]],ROWS($N$2:Q91),COLUMNS($N$2:Q91))</f>
        <v>Switzerland</v>
      </c>
      <c r="T91" s="1" t="str">
        <f>INDEX(Table2[[HomeTeam]:[Group_details]],ROWS($N$2:R91),COLUMNS($N$2:R91))</f>
        <v xml:space="preserve"> </v>
      </c>
      <c r="U91" s="1" t="str">
        <f>INDEX(Table2[[HomeTeam]:[Group_details]],ROWS($N$2:S91),COLUMNS($N$2:S91))</f>
        <v>Group stages</v>
      </c>
      <c r="V91" s="1" t="b">
        <f t="shared" si="1"/>
        <v>0</v>
      </c>
      <c r="W91" s="1" t="str">
        <f>IF(V91=TRUE,ROWS($V$2:V91),"")</f>
        <v/>
      </c>
      <c r="X91" s="1" t="str">
        <f>IFERROR(SMALL($W$2:$W$853,ROWS($W$2:W91)),"")</f>
        <v/>
      </c>
      <c r="Y91" s="1" t="str">
        <f>IF($X91&lt;&gt;"",INDEX($P$2:$U$853,MATCH($X91,$W$2:$W$853,0),COLUMNS($X$2:X91)),"")</f>
        <v/>
      </c>
      <c r="Z91" s="1" t="str">
        <f>IF($X91&lt;&gt;"",INDEX($P$2:$U$853,MATCH($X91,$W$2:$W$853,0),COLUMNS($X$2:Y91)),"")</f>
        <v/>
      </c>
      <c r="AA91" s="1" t="str">
        <f>IF($X91&lt;&gt;"",INDEX($P$2:$U$853,MATCH($X91,$W$2:$W$853,0),COLUMNS($X$2:Z91)),"")</f>
        <v/>
      </c>
      <c r="AB91" s="1" t="str">
        <f>IF($X91&lt;&gt;"",INDEX($P$2:$U$853,MATCH($X91,$W$2:$W$853,0),COLUMNS($X$2:AA91)),"")</f>
        <v/>
      </c>
      <c r="AC91" s="1" t="str">
        <f>IF($X91&lt;&gt;"",INDEX($P$2:$U$853,MATCH($X91,$W$2:$W$853,0),COLUMNS($X$2:AB91)),"")</f>
        <v/>
      </c>
      <c r="AD91" s="1" t="str">
        <f>IF($X91&lt;&gt;"",INDEX($P$2:$U$853,MATCH($X91,$W$2:$W$853,0),COLUMNS($X$2:AC91)),"")</f>
        <v/>
      </c>
    </row>
    <row r="92" spans="1:30" x14ac:dyDescent="0.2">
      <c r="A92" s="1">
        <v>1954</v>
      </c>
      <c r="B92" s="2">
        <v>19895</v>
      </c>
      <c r="C92" s="1" t="s">
        <v>512</v>
      </c>
      <c r="D92" s="1" t="s">
        <v>15</v>
      </c>
      <c r="E92" s="1" t="s">
        <v>119</v>
      </c>
      <c r="F92" s="1" t="s">
        <v>120</v>
      </c>
      <c r="G92" s="6" t="str">
        <f>VLOOKUP(A92,WorldCups!$A$2:$B$23,2,FALSE)</f>
        <v>Switzerland</v>
      </c>
      <c r="H92" s="1" t="s">
        <v>57</v>
      </c>
      <c r="I92" s="1">
        <v>4</v>
      </c>
      <c r="J92" s="1">
        <v>1</v>
      </c>
      <c r="K92" s="1" t="s">
        <v>18</v>
      </c>
      <c r="L92" s="1" t="s">
        <v>14</v>
      </c>
      <c r="M92" s="1" t="str">
        <f>IF(ISNUMBER(SEARCH("Group",Table2[[#This Row],[Round]])),"Group stages",Table2[[#This Row],[Round]])</f>
        <v>Group stages</v>
      </c>
      <c r="O92" s="1">
        <f>Table2[[#This Row],[Year]]</f>
        <v>1954</v>
      </c>
      <c r="P92" s="1" t="str">
        <f>INDEX(Table2[[HomeTeam]:[Group_details]],ROWS($N$2:N92),COLUMNS($N$2:N92))</f>
        <v>Italy</v>
      </c>
      <c r="Q92" s="1">
        <f>INDEX(Table2[[HomeTeam]:[Group_details]],ROWS($N$2:O92),COLUMNS($N$2:O92))</f>
        <v>4</v>
      </c>
      <c r="R92" s="1">
        <f>INDEX(Table2[[HomeTeam]:[Group_details]],ROWS($N$2:P92),COLUMNS($N$2:P92))</f>
        <v>1</v>
      </c>
      <c r="S92" s="1" t="str">
        <f>INDEX(Table2[[HomeTeam]:[Group_details]],ROWS($N$2:Q92),COLUMNS($N$2:Q92))</f>
        <v>Belgium</v>
      </c>
      <c r="T92" s="1" t="str">
        <f>INDEX(Table2[[HomeTeam]:[Group_details]],ROWS($N$2:R92),COLUMNS($N$2:R92))</f>
        <v xml:space="preserve"> </v>
      </c>
      <c r="U92" s="1" t="str">
        <f>INDEX(Table2[[HomeTeam]:[Group_details]],ROWS($N$2:S92),COLUMNS($N$2:S92))</f>
        <v>Group stages</v>
      </c>
      <c r="V92" s="1" t="b">
        <f t="shared" si="1"/>
        <v>0</v>
      </c>
      <c r="W92" s="1" t="str">
        <f>IF(V92=TRUE,ROWS($V$2:V92),"")</f>
        <v/>
      </c>
      <c r="X92" s="1" t="str">
        <f>IFERROR(SMALL($W$2:$W$853,ROWS($W$2:W92)),"")</f>
        <v/>
      </c>
      <c r="Y92" s="1" t="str">
        <f>IF($X92&lt;&gt;"",INDEX($P$2:$U$853,MATCH($X92,$W$2:$W$853,0),COLUMNS($X$2:X92)),"")</f>
        <v/>
      </c>
      <c r="Z92" s="1" t="str">
        <f>IF($X92&lt;&gt;"",INDEX($P$2:$U$853,MATCH($X92,$W$2:$W$853,0),COLUMNS($X$2:Y92)),"")</f>
        <v/>
      </c>
      <c r="AA92" s="1" t="str">
        <f>IF($X92&lt;&gt;"",INDEX($P$2:$U$853,MATCH($X92,$W$2:$W$853,0),COLUMNS($X$2:Z92)),"")</f>
        <v/>
      </c>
      <c r="AB92" s="1" t="str">
        <f>IF($X92&lt;&gt;"",INDEX($P$2:$U$853,MATCH($X92,$W$2:$W$853,0),COLUMNS($X$2:AA92)),"")</f>
        <v/>
      </c>
      <c r="AC92" s="1" t="str">
        <f>IF($X92&lt;&gt;"",INDEX($P$2:$U$853,MATCH($X92,$W$2:$W$853,0),COLUMNS($X$2:AB92)),"")</f>
        <v/>
      </c>
      <c r="AD92" s="1" t="str">
        <f>IF($X92&lt;&gt;"",INDEX($P$2:$U$853,MATCH($X92,$W$2:$W$853,0),COLUMNS($X$2:AC92)),"")</f>
        <v/>
      </c>
    </row>
    <row r="93" spans="1:30" x14ac:dyDescent="0.2">
      <c r="A93" s="1">
        <v>1954</v>
      </c>
      <c r="B93" s="2">
        <v>19898</v>
      </c>
      <c r="C93" s="1" t="s">
        <v>510</v>
      </c>
      <c r="D93" s="1" t="s">
        <v>19</v>
      </c>
      <c r="E93" s="1" t="s">
        <v>107</v>
      </c>
      <c r="F93" s="1" t="s">
        <v>108</v>
      </c>
      <c r="G93" s="6" t="str">
        <f>VLOOKUP(A93,WorldCups!$A$2:$B$23,2,FALSE)</f>
        <v>Switzerland</v>
      </c>
      <c r="H93" s="1" t="s">
        <v>114</v>
      </c>
      <c r="I93" s="1">
        <v>7</v>
      </c>
      <c r="J93" s="1">
        <v>2</v>
      </c>
      <c r="K93" s="1" t="s">
        <v>115</v>
      </c>
      <c r="L93" s="1" t="s">
        <v>14</v>
      </c>
      <c r="M93" s="1" t="str">
        <f>IF(ISNUMBER(SEARCH("Group",Table2[[#This Row],[Round]])),"Group stages",Table2[[#This Row],[Round]])</f>
        <v>Group stages</v>
      </c>
      <c r="O93" s="1">
        <f>Table2[[#This Row],[Year]]</f>
        <v>1954</v>
      </c>
      <c r="P93" s="1" t="str">
        <f>INDEX(Table2[[HomeTeam]:[Group_details]],ROWS($N$2:N93),COLUMNS($N$2:N93))</f>
        <v>Germany FR</v>
      </c>
      <c r="Q93" s="1">
        <f>INDEX(Table2[[HomeTeam]:[Group_details]],ROWS($N$2:O93),COLUMNS($N$2:O93))</f>
        <v>7</v>
      </c>
      <c r="R93" s="1">
        <f>INDEX(Table2[[HomeTeam]:[Group_details]],ROWS($N$2:P93),COLUMNS($N$2:P93))</f>
        <v>2</v>
      </c>
      <c r="S93" s="1" t="str">
        <f>INDEX(Table2[[HomeTeam]:[Group_details]],ROWS($N$2:Q93),COLUMNS($N$2:Q93))</f>
        <v>Turkey</v>
      </c>
      <c r="T93" s="1" t="str">
        <f>INDEX(Table2[[HomeTeam]:[Group_details]],ROWS($N$2:R93),COLUMNS($N$2:R93))</f>
        <v xml:space="preserve"> </v>
      </c>
      <c r="U93" s="1" t="str">
        <f>INDEX(Table2[[HomeTeam]:[Group_details]],ROWS($N$2:S93),COLUMNS($N$2:S93))</f>
        <v>Group stages</v>
      </c>
      <c r="V93" s="1" t="b">
        <f t="shared" si="1"/>
        <v>0</v>
      </c>
      <c r="W93" s="1" t="str">
        <f>IF(V93=TRUE,ROWS($V$2:V93),"")</f>
        <v/>
      </c>
      <c r="X93" s="1" t="str">
        <f>IFERROR(SMALL($W$2:$W$853,ROWS($W$2:W93)),"")</f>
        <v/>
      </c>
      <c r="Y93" s="1" t="str">
        <f>IF($X93&lt;&gt;"",INDEX($P$2:$U$853,MATCH($X93,$W$2:$W$853,0),COLUMNS($X$2:X93)),"")</f>
        <v/>
      </c>
      <c r="Z93" s="1" t="str">
        <f>IF($X93&lt;&gt;"",INDEX($P$2:$U$853,MATCH($X93,$W$2:$W$853,0),COLUMNS($X$2:Y93)),"")</f>
        <v/>
      </c>
      <c r="AA93" s="1" t="str">
        <f>IF($X93&lt;&gt;"",INDEX($P$2:$U$853,MATCH($X93,$W$2:$W$853,0),COLUMNS($X$2:Z93)),"")</f>
        <v/>
      </c>
      <c r="AB93" s="1" t="str">
        <f>IF($X93&lt;&gt;"",INDEX($P$2:$U$853,MATCH($X93,$W$2:$W$853,0),COLUMNS($X$2:AA93)),"")</f>
        <v/>
      </c>
      <c r="AC93" s="1" t="str">
        <f>IF($X93&lt;&gt;"",INDEX($P$2:$U$853,MATCH($X93,$W$2:$W$853,0),COLUMNS($X$2:AB93)),"")</f>
        <v/>
      </c>
      <c r="AD93" s="1" t="str">
        <f>IF($X93&lt;&gt;"",INDEX($P$2:$U$853,MATCH($X93,$W$2:$W$853,0),COLUMNS($X$2:AC93)),"")</f>
        <v/>
      </c>
    </row>
    <row r="94" spans="1:30" x14ac:dyDescent="0.2">
      <c r="A94" s="1">
        <v>1954</v>
      </c>
      <c r="B94" s="2">
        <v>19898</v>
      </c>
      <c r="C94" s="1" t="s">
        <v>510</v>
      </c>
      <c r="D94" s="1" t="s">
        <v>15</v>
      </c>
      <c r="E94" s="1" t="s">
        <v>117</v>
      </c>
      <c r="F94" s="1" t="s">
        <v>118</v>
      </c>
      <c r="G94" s="6" t="str">
        <f>VLOOKUP(A94,WorldCups!$A$2:$B$23,2,FALSE)</f>
        <v>Switzerland</v>
      </c>
      <c r="H94" s="1" t="s">
        <v>44</v>
      </c>
      <c r="I94" s="1">
        <v>4</v>
      </c>
      <c r="J94" s="1">
        <v>1</v>
      </c>
      <c r="K94" s="1" t="s">
        <v>57</v>
      </c>
      <c r="L94" s="1" t="s">
        <v>14</v>
      </c>
      <c r="M94" s="1" t="str">
        <f>IF(ISNUMBER(SEARCH("Group",Table2[[#This Row],[Round]])),"Group stages",Table2[[#This Row],[Round]])</f>
        <v>Group stages</v>
      </c>
      <c r="O94" s="1">
        <f>Table2[[#This Row],[Year]]</f>
        <v>1954</v>
      </c>
      <c r="P94" s="1" t="str">
        <f>INDEX(Table2[[HomeTeam]:[Group_details]],ROWS($N$2:N94),COLUMNS($N$2:N94))</f>
        <v>Switzerland</v>
      </c>
      <c r="Q94" s="1">
        <f>INDEX(Table2[[HomeTeam]:[Group_details]],ROWS($N$2:O94),COLUMNS($N$2:O94))</f>
        <v>4</v>
      </c>
      <c r="R94" s="1">
        <f>INDEX(Table2[[HomeTeam]:[Group_details]],ROWS($N$2:P94),COLUMNS($N$2:P94))</f>
        <v>1</v>
      </c>
      <c r="S94" s="1" t="str">
        <f>INDEX(Table2[[HomeTeam]:[Group_details]],ROWS($N$2:Q94),COLUMNS($N$2:Q94))</f>
        <v>Italy</v>
      </c>
      <c r="T94" s="1" t="str">
        <f>INDEX(Table2[[HomeTeam]:[Group_details]],ROWS($N$2:R94),COLUMNS($N$2:R94))</f>
        <v xml:space="preserve"> </v>
      </c>
      <c r="U94" s="1" t="str">
        <f>INDEX(Table2[[HomeTeam]:[Group_details]],ROWS($N$2:S94),COLUMNS($N$2:S94))</f>
        <v>Group stages</v>
      </c>
      <c r="V94" s="1" t="b">
        <f t="shared" si="1"/>
        <v>0</v>
      </c>
      <c r="W94" s="1" t="str">
        <f>IF(V94=TRUE,ROWS($V$2:V94),"")</f>
        <v/>
      </c>
      <c r="X94" s="1" t="str">
        <f>IFERROR(SMALL($W$2:$W$853,ROWS($W$2:W94)),"")</f>
        <v/>
      </c>
      <c r="Y94" s="1" t="str">
        <f>IF($X94&lt;&gt;"",INDEX($P$2:$U$853,MATCH($X94,$W$2:$W$853,0),COLUMNS($X$2:X94)),"")</f>
        <v/>
      </c>
      <c r="Z94" s="1" t="str">
        <f>IF($X94&lt;&gt;"",INDEX($P$2:$U$853,MATCH($X94,$W$2:$W$853,0),COLUMNS($X$2:Y94)),"")</f>
        <v/>
      </c>
      <c r="AA94" s="1" t="str">
        <f>IF($X94&lt;&gt;"",INDEX($P$2:$U$853,MATCH($X94,$W$2:$W$853,0),COLUMNS($X$2:Z94)),"")</f>
        <v/>
      </c>
      <c r="AB94" s="1" t="str">
        <f>IF($X94&lt;&gt;"",INDEX($P$2:$U$853,MATCH($X94,$W$2:$W$853,0),COLUMNS($X$2:AA94)),"")</f>
        <v/>
      </c>
      <c r="AC94" s="1" t="str">
        <f>IF($X94&lt;&gt;"",INDEX($P$2:$U$853,MATCH($X94,$W$2:$W$853,0),COLUMNS($X$2:AB94)),"")</f>
        <v/>
      </c>
      <c r="AD94" s="1" t="str">
        <f>IF($X94&lt;&gt;"",INDEX($P$2:$U$853,MATCH($X94,$W$2:$W$853,0),COLUMNS($X$2:AC94)),"")</f>
        <v/>
      </c>
    </row>
    <row r="95" spans="1:30" x14ac:dyDescent="0.2">
      <c r="A95" s="1">
        <v>1954</v>
      </c>
      <c r="B95" s="2">
        <v>19901</v>
      </c>
      <c r="C95" s="1" t="s">
        <v>512</v>
      </c>
      <c r="D95" s="1" t="s">
        <v>61</v>
      </c>
      <c r="E95" s="1" t="s">
        <v>117</v>
      </c>
      <c r="F95" s="1" t="s">
        <v>118</v>
      </c>
      <c r="G95" s="6" t="str">
        <f>VLOOKUP(A95,WorldCups!$A$2:$B$23,2,FALSE)</f>
        <v>Switzerland</v>
      </c>
      <c r="H95" s="1" t="s">
        <v>30</v>
      </c>
      <c r="I95" s="1">
        <v>4</v>
      </c>
      <c r="J95" s="1">
        <v>2</v>
      </c>
      <c r="K95" s="1" t="s">
        <v>93</v>
      </c>
      <c r="L95" s="1" t="s">
        <v>14</v>
      </c>
      <c r="M95" s="1" t="str">
        <f>IF(ISNUMBER(SEARCH("Group",Table2[[#This Row],[Round]])),"Group stages",Table2[[#This Row],[Round]])</f>
        <v>Quarter-finals</v>
      </c>
      <c r="O95" s="1">
        <f>Table2[[#This Row],[Year]]</f>
        <v>1954</v>
      </c>
      <c r="P95" s="1" t="str">
        <f>INDEX(Table2[[HomeTeam]:[Group_details]],ROWS($N$2:N95),COLUMNS($N$2:N95))</f>
        <v>Uruguay</v>
      </c>
      <c r="Q95" s="1">
        <f>INDEX(Table2[[HomeTeam]:[Group_details]],ROWS($N$2:O95),COLUMNS($N$2:O95))</f>
        <v>4</v>
      </c>
      <c r="R95" s="1">
        <f>INDEX(Table2[[HomeTeam]:[Group_details]],ROWS($N$2:P95),COLUMNS($N$2:P95))</f>
        <v>2</v>
      </c>
      <c r="S95" s="1" t="str">
        <f>INDEX(Table2[[HomeTeam]:[Group_details]],ROWS($N$2:Q95),COLUMNS($N$2:Q95))</f>
        <v>England</v>
      </c>
      <c r="T95" s="1" t="str">
        <f>INDEX(Table2[[HomeTeam]:[Group_details]],ROWS($N$2:R95),COLUMNS($N$2:R95))</f>
        <v xml:space="preserve"> </v>
      </c>
      <c r="U95" s="1" t="str">
        <f>INDEX(Table2[[HomeTeam]:[Group_details]],ROWS($N$2:S95),COLUMNS($N$2:S95))</f>
        <v>Quarter-finals</v>
      </c>
      <c r="V95" s="1" t="b">
        <f t="shared" si="1"/>
        <v>0</v>
      </c>
      <c r="W95" s="1" t="str">
        <f>IF(V95=TRUE,ROWS($V$2:V95),"")</f>
        <v/>
      </c>
      <c r="X95" s="1" t="str">
        <f>IFERROR(SMALL($W$2:$W$853,ROWS($W$2:W95)),"")</f>
        <v/>
      </c>
      <c r="Y95" s="1" t="str">
        <f>IF($X95&lt;&gt;"",INDEX($P$2:$U$853,MATCH($X95,$W$2:$W$853,0),COLUMNS($X$2:X95)),"")</f>
        <v/>
      </c>
      <c r="Z95" s="1" t="str">
        <f>IF($X95&lt;&gt;"",INDEX($P$2:$U$853,MATCH($X95,$W$2:$W$853,0),COLUMNS($X$2:Y95)),"")</f>
        <v/>
      </c>
      <c r="AA95" s="1" t="str">
        <f>IF($X95&lt;&gt;"",INDEX($P$2:$U$853,MATCH($X95,$W$2:$W$853,0),COLUMNS($X$2:Z95)),"")</f>
        <v/>
      </c>
      <c r="AB95" s="1" t="str">
        <f>IF($X95&lt;&gt;"",INDEX($P$2:$U$853,MATCH($X95,$W$2:$W$853,0),COLUMNS($X$2:AA95)),"")</f>
        <v/>
      </c>
      <c r="AC95" s="1" t="str">
        <f>IF($X95&lt;&gt;"",INDEX($P$2:$U$853,MATCH($X95,$W$2:$W$853,0),COLUMNS($X$2:AB95)),"")</f>
        <v/>
      </c>
      <c r="AD95" s="1" t="str">
        <f>IF($X95&lt;&gt;"",INDEX($P$2:$U$853,MATCH($X95,$W$2:$W$853,0),COLUMNS($X$2:AC95)),"")</f>
        <v/>
      </c>
    </row>
    <row r="96" spans="1:30" x14ac:dyDescent="0.2">
      <c r="A96" s="1">
        <v>1954</v>
      </c>
      <c r="B96" s="2">
        <v>19901</v>
      </c>
      <c r="C96" s="1" t="s">
        <v>512</v>
      </c>
      <c r="D96" s="1" t="s">
        <v>61</v>
      </c>
      <c r="E96" s="1" t="s">
        <v>112</v>
      </c>
      <c r="F96" s="1" t="s">
        <v>113</v>
      </c>
      <c r="G96" s="6" t="str">
        <f>VLOOKUP(A96,WorldCups!$A$2:$B$23,2,FALSE)</f>
        <v>Switzerland</v>
      </c>
      <c r="H96" s="1" t="s">
        <v>36</v>
      </c>
      <c r="I96" s="1">
        <v>7</v>
      </c>
      <c r="J96" s="1">
        <v>5</v>
      </c>
      <c r="K96" s="1" t="s">
        <v>44</v>
      </c>
      <c r="L96" s="1" t="s">
        <v>14</v>
      </c>
      <c r="M96" s="1" t="str">
        <f>IF(ISNUMBER(SEARCH("Group",Table2[[#This Row],[Round]])),"Group stages",Table2[[#This Row],[Round]])</f>
        <v>Quarter-finals</v>
      </c>
      <c r="O96" s="1">
        <f>Table2[[#This Row],[Year]]</f>
        <v>1954</v>
      </c>
      <c r="P96" s="1" t="str">
        <f>INDEX(Table2[[HomeTeam]:[Group_details]],ROWS($N$2:N96),COLUMNS($N$2:N96))</f>
        <v>Austria</v>
      </c>
      <c r="Q96" s="1">
        <f>INDEX(Table2[[HomeTeam]:[Group_details]],ROWS($N$2:O96),COLUMNS($N$2:O96))</f>
        <v>7</v>
      </c>
      <c r="R96" s="1">
        <f>INDEX(Table2[[HomeTeam]:[Group_details]],ROWS($N$2:P96),COLUMNS($N$2:P96))</f>
        <v>5</v>
      </c>
      <c r="S96" s="1" t="str">
        <f>INDEX(Table2[[HomeTeam]:[Group_details]],ROWS($N$2:Q96),COLUMNS($N$2:Q96))</f>
        <v>Switzerland</v>
      </c>
      <c r="T96" s="1" t="str">
        <f>INDEX(Table2[[HomeTeam]:[Group_details]],ROWS($N$2:R96),COLUMNS($N$2:R96))</f>
        <v xml:space="preserve"> </v>
      </c>
      <c r="U96" s="1" t="str">
        <f>INDEX(Table2[[HomeTeam]:[Group_details]],ROWS($N$2:S96),COLUMNS($N$2:S96))</f>
        <v>Quarter-finals</v>
      </c>
      <c r="V96" s="1" t="b">
        <f t="shared" si="1"/>
        <v>0</v>
      </c>
      <c r="W96" s="1" t="str">
        <f>IF(V96=TRUE,ROWS($V$2:V96),"")</f>
        <v/>
      </c>
      <c r="X96" s="1" t="str">
        <f>IFERROR(SMALL($W$2:$W$853,ROWS($W$2:W96)),"")</f>
        <v/>
      </c>
      <c r="Y96" s="1" t="str">
        <f>IF($X96&lt;&gt;"",INDEX($P$2:$U$853,MATCH($X96,$W$2:$W$853,0),COLUMNS($X$2:X96)),"")</f>
        <v/>
      </c>
      <c r="Z96" s="1" t="str">
        <f>IF($X96&lt;&gt;"",INDEX($P$2:$U$853,MATCH($X96,$W$2:$W$853,0),COLUMNS($X$2:Y96)),"")</f>
        <v/>
      </c>
      <c r="AA96" s="1" t="str">
        <f>IF($X96&lt;&gt;"",INDEX($P$2:$U$853,MATCH($X96,$W$2:$W$853,0),COLUMNS($X$2:Z96)),"")</f>
        <v/>
      </c>
      <c r="AB96" s="1" t="str">
        <f>IF($X96&lt;&gt;"",INDEX($P$2:$U$853,MATCH($X96,$W$2:$W$853,0),COLUMNS($X$2:AA96)),"")</f>
        <v/>
      </c>
      <c r="AC96" s="1" t="str">
        <f>IF($X96&lt;&gt;"",INDEX($P$2:$U$853,MATCH($X96,$W$2:$W$853,0),COLUMNS($X$2:AB96)),"")</f>
        <v/>
      </c>
      <c r="AD96" s="1" t="str">
        <f>IF($X96&lt;&gt;"",INDEX($P$2:$U$853,MATCH($X96,$W$2:$W$853,0),COLUMNS($X$2:AC96)),"")</f>
        <v/>
      </c>
    </row>
    <row r="97" spans="1:30" x14ac:dyDescent="0.2">
      <c r="A97" s="1">
        <v>1954</v>
      </c>
      <c r="B97" s="2">
        <v>19902</v>
      </c>
      <c r="C97" s="1" t="s">
        <v>512</v>
      </c>
      <c r="D97" s="1" t="s">
        <v>61</v>
      </c>
      <c r="E97" s="1" t="s">
        <v>110</v>
      </c>
      <c r="F97" s="1" t="s">
        <v>111</v>
      </c>
      <c r="G97" s="6" t="str">
        <f>VLOOKUP(A97,WorldCups!$A$2:$B$23,2,FALSE)</f>
        <v>Switzerland</v>
      </c>
      <c r="H97" s="1" t="s">
        <v>114</v>
      </c>
      <c r="I97" s="1">
        <v>2</v>
      </c>
      <c r="J97" s="1">
        <v>0</v>
      </c>
      <c r="K97" s="1" t="s">
        <v>20</v>
      </c>
      <c r="L97" s="1" t="s">
        <v>14</v>
      </c>
      <c r="M97" s="1" t="str">
        <f>IF(ISNUMBER(SEARCH("Group",Table2[[#This Row],[Round]])),"Group stages",Table2[[#This Row],[Round]])</f>
        <v>Quarter-finals</v>
      </c>
      <c r="O97" s="1">
        <f>Table2[[#This Row],[Year]]</f>
        <v>1954</v>
      </c>
      <c r="P97" s="1" t="str">
        <f>INDEX(Table2[[HomeTeam]:[Group_details]],ROWS($N$2:N97),COLUMNS($N$2:N97))</f>
        <v>Germany FR</v>
      </c>
      <c r="Q97" s="1">
        <f>INDEX(Table2[[HomeTeam]:[Group_details]],ROWS($N$2:O97),COLUMNS($N$2:O97))</f>
        <v>2</v>
      </c>
      <c r="R97" s="1">
        <f>INDEX(Table2[[HomeTeam]:[Group_details]],ROWS($N$2:P97),COLUMNS($N$2:P97))</f>
        <v>0</v>
      </c>
      <c r="S97" s="1" t="str">
        <f>INDEX(Table2[[HomeTeam]:[Group_details]],ROWS($N$2:Q97),COLUMNS($N$2:Q97))</f>
        <v>Yugoslavia</v>
      </c>
      <c r="T97" s="1" t="str">
        <f>INDEX(Table2[[HomeTeam]:[Group_details]],ROWS($N$2:R97),COLUMNS($N$2:R97))</f>
        <v xml:space="preserve"> </v>
      </c>
      <c r="U97" s="1" t="str">
        <f>INDEX(Table2[[HomeTeam]:[Group_details]],ROWS($N$2:S97),COLUMNS($N$2:S97))</f>
        <v>Quarter-finals</v>
      </c>
      <c r="V97" s="1" t="b">
        <f t="shared" si="1"/>
        <v>0</v>
      </c>
      <c r="W97" s="1" t="str">
        <f>IF(V97=TRUE,ROWS($V$2:V97),"")</f>
        <v/>
      </c>
      <c r="X97" s="1" t="str">
        <f>IFERROR(SMALL($W$2:$W$853,ROWS($W$2:W97)),"")</f>
        <v/>
      </c>
      <c r="Y97" s="1" t="str">
        <f>IF($X97&lt;&gt;"",INDEX($P$2:$U$853,MATCH($X97,$W$2:$W$853,0),COLUMNS($X$2:X97)),"")</f>
        <v/>
      </c>
      <c r="Z97" s="1" t="str">
        <f>IF($X97&lt;&gt;"",INDEX($P$2:$U$853,MATCH($X97,$W$2:$W$853,0),COLUMNS($X$2:Y97)),"")</f>
        <v/>
      </c>
      <c r="AA97" s="1" t="str">
        <f>IF($X97&lt;&gt;"",INDEX($P$2:$U$853,MATCH($X97,$W$2:$W$853,0),COLUMNS($X$2:Z97)),"")</f>
        <v/>
      </c>
      <c r="AB97" s="1" t="str">
        <f>IF($X97&lt;&gt;"",INDEX($P$2:$U$853,MATCH($X97,$W$2:$W$853,0),COLUMNS($X$2:AA97)),"")</f>
        <v/>
      </c>
      <c r="AC97" s="1" t="str">
        <f>IF($X97&lt;&gt;"",INDEX($P$2:$U$853,MATCH($X97,$W$2:$W$853,0),COLUMNS($X$2:AB97)),"")</f>
        <v/>
      </c>
      <c r="AD97" s="1" t="str">
        <f>IF($X97&lt;&gt;"",INDEX($P$2:$U$853,MATCH($X97,$W$2:$W$853,0),COLUMNS($X$2:AC97)),"")</f>
        <v/>
      </c>
    </row>
    <row r="98" spans="1:30" x14ac:dyDescent="0.2">
      <c r="A98" s="1">
        <v>1954</v>
      </c>
      <c r="B98" s="2">
        <v>19902</v>
      </c>
      <c r="C98" s="1" t="s">
        <v>512</v>
      </c>
      <c r="D98" s="1" t="s">
        <v>61</v>
      </c>
      <c r="E98" s="1" t="s">
        <v>105</v>
      </c>
      <c r="F98" s="1" t="s">
        <v>106</v>
      </c>
      <c r="G98" s="6" t="str">
        <f>VLOOKUP(A98,WorldCups!$A$2:$B$23,2,FALSE)</f>
        <v>Switzerland</v>
      </c>
      <c r="H98" s="1" t="s">
        <v>40</v>
      </c>
      <c r="I98" s="1">
        <v>4</v>
      </c>
      <c r="J98" s="1">
        <v>2</v>
      </c>
      <c r="K98" s="1" t="s">
        <v>21</v>
      </c>
      <c r="L98" s="1" t="s">
        <v>14</v>
      </c>
      <c r="M98" s="1" t="str">
        <f>IF(ISNUMBER(SEARCH("Group",Table2[[#This Row],[Round]])),"Group stages",Table2[[#This Row],[Round]])</f>
        <v>Quarter-finals</v>
      </c>
      <c r="O98" s="1">
        <f>Table2[[#This Row],[Year]]</f>
        <v>1954</v>
      </c>
      <c r="P98" s="1" t="str">
        <f>INDEX(Table2[[HomeTeam]:[Group_details]],ROWS($N$2:N98),COLUMNS($N$2:N98))</f>
        <v>Hungary</v>
      </c>
      <c r="Q98" s="1">
        <f>INDEX(Table2[[HomeTeam]:[Group_details]],ROWS($N$2:O98),COLUMNS($N$2:O98))</f>
        <v>4</v>
      </c>
      <c r="R98" s="1">
        <f>INDEX(Table2[[HomeTeam]:[Group_details]],ROWS($N$2:P98),COLUMNS($N$2:P98))</f>
        <v>2</v>
      </c>
      <c r="S98" s="1" t="str">
        <f>INDEX(Table2[[HomeTeam]:[Group_details]],ROWS($N$2:Q98),COLUMNS($N$2:Q98))</f>
        <v>Brazil</v>
      </c>
      <c r="T98" s="1" t="str">
        <f>INDEX(Table2[[HomeTeam]:[Group_details]],ROWS($N$2:R98),COLUMNS($N$2:R98))</f>
        <v xml:space="preserve"> </v>
      </c>
      <c r="U98" s="1" t="str">
        <f>INDEX(Table2[[HomeTeam]:[Group_details]],ROWS($N$2:S98),COLUMNS($N$2:S98))</f>
        <v>Quarter-finals</v>
      </c>
      <c r="V98" s="1" t="b">
        <f t="shared" si="1"/>
        <v>0</v>
      </c>
      <c r="W98" s="1" t="str">
        <f>IF(V98=TRUE,ROWS($V$2:V98),"")</f>
        <v/>
      </c>
      <c r="X98" s="1" t="str">
        <f>IFERROR(SMALL($W$2:$W$853,ROWS($W$2:W98)),"")</f>
        <v/>
      </c>
      <c r="Y98" s="1" t="str">
        <f>IF($X98&lt;&gt;"",INDEX($P$2:$U$853,MATCH($X98,$W$2:$W$853,0),COLUMNS($X$2:X98)),"")</f>
        <v/>
      </c>
      <c r="Z98" s="1" t="str">
        <f>IF($X98&lt;&gt;"",INDEX($P$2:$U$853,MATCH($X98,$W$2:$W$853,0),COLUMNS($X$2:Y98)),"")</f>
        <v/>
      </c>
      <c r="AA98" s="1" t="str">
        <f>IF($X98&lt;&gt;"",INDEX($P$2:$U$853,MATCH($X98,$W$2:$W$853,0),COLUMNS($X$2:Z98)),"")</f>
        <v/>
      </c>
      <c r="AB98" s="1" t="str">
        <f>IF($X98&lt;&gt;"",INDEX($P$2:$U$853,MATCH($X98,$W$2:$W$853,0),COLUMNS($X$2:AA98)),"")</f>
        <v/>
      </c>
      <c r="AC98" s="1" t="str">
        <f>IF($X98&lt;&gt;"",INDEX($P$2:$U$853,MATCH($X98,$W$2:$W$853,0),COLUMNS($X$2:AB98)),"")</f>
        <v/>
      </c>
      <c r="AD98" s="1" t="str">
        <f>IF($X98&lt;&gt;"",INDEX($P$2:$U$853,MATCH($X98,$W$2:$W$853,0),COLUMNS($X$2:AC98)),"")</f>
        <v/>
      </c>
    </row>
    <row r="99" spans="1:30" x14ac:dyDescent="0.2">
      <c r="A99" s="1">
        <v>1954</v>
      </c>
      <c r="B99" s="2">
        <v>19905</v>
      </c>
      <c r="C99" s="1" t="s">
        <v>510</v>
      </c>
      <c r="D99" s="1" t="s">
        <v>31</v>
      </c>
      <c r="E99" s="1" t="s">
        <v>117</v>
      </c>
      <c r="F99" s="1" t="s">
        <v>118</v>
      </c>
      <c r="G99" s="6" t="str">
        <f>VLOOKUP(A99,WorldCups!$A$2:$B$23,2,FALSE)</f>
        <v>Switzerland</v>
      </c>
      <c r="H99" s="1" t="s">
        <v>114</v>
      </c>
      <c r="I99" s="1">
        <v>6</v>
      </c>
      <c r="J99" s="1">
        <v>1</v>
      </c>
      <c r="K99" s="1" t="s">
        <v>36</v>
      </c>
      <c r="L99" s="1" t="s">
        <v>14</v>
      </c>
      <c r="M99" s="1" t="str">
        <f>IF(ISNUMBER(SEARCH("Group",Table2[[#This Row],[Round]])),"Group stages",Table2[[#This Row],[Round]])</f>
        <v>Semi-finals</v>
      </c>
      <c r="O99" s="1">
        <f>Table2[[#This Row],[Year]]</f>
        <v>1954</v>
      </c>
      <c r="P99" s="1" t="str">
        <f>INDEX(Table2[[HomeTeam]:[Group_details]],ROWS($N$2:N99),COLUMNS($N$2:N99))</f>
        <v>Germany FR</v>
      </c>
      <c r="Q99" s="1">
        <f>INDEX(Table2[[HomeTeam]:[Group_details]],ROWS($N$2:O99),COLUMNS($N$2:O99))</f>
        <v>6</v>
      </c>
      <c r="R99" s="1">
        <f>INDEX(Table2[[HomeTeam]:[Group_details]],ROWS($N$2:P99),COLUMNS($N$2:P99))</f>
        <v>1</v>
      </c>
      <c r="S99" s="1" t="str">
        <f>INDEX(Table2[[HomeTeam]:[Group_details]],ROWS($N$2:Q99),COLUMNS($N$2:Q99))</f>
        <v>Austria</v>
      </c>
      <c r="T99" s="1" t="str">
        <f>INDEX(Table2[[HomeTeam]:[Group_details]],ROWS($N$2:R99),COLUMNS($N$2:R99))</f>
        <v xml:space="preserve"> </v>
      </c>
      <c r="U99" s="1" t="str">
        <f>INDEX(Table2[[HomeTeam]:[Group_details]],ROWS($N$2:S99),COLUMNS($N$2:S99))</f>
        <v>Semi-finals</v>
      </c>
      <c r="V99" s="1" t="b">
        <f t="shared" si="1"/>
        <v>0</v>
      </c>
      <c r="W99" s="1" t="str">
        <f>IF(V99=TRUE,ROWS($V$2:V99),"")</f>
        <v/>
      </c>
      <c r="X99" s="1" t="str">
        <f>IFERROR(SMALL($W$2:$W$853,ROWS($W$2:W99)),"")</f>
        <v/>
      </c>
      <c r="Y99" s="1" t="str">
        <f>IF($X99&lt;&gt;"",INDEX($P$2:$U$853,MATCH($X99,$W$2:$W$853,0),COLUMNS($X$2:X99)),"")</f>
        <v/>
      </c>
      <c r="Z99" s="1" t="str">
        <f>IF($X99&lt;&gt;"",INDEX($P$2:$U$853,MATCH($X99,$W$2:$W$853,0),COLUMNS($X$2:Y99)),"")</f>
        <v/>
      </c>
      <c r="AA99" s="1" t="str">
        <f>IF($X99&lt;&gt;"",INDEX($P$2:$U$853,MATCH($X99,$W$2:$W$853,0),COLUMNS($X$2:Z99)),"")</f>
        <v/>
      </c>
      <c r="AB99" s="1" t="str">
        <f>IF($X99&lt;&gt;"",INDEX($P$2:$U$853,MATCH($X99,$W$2:$W$853,0),COLUMNS($X$2:AA99)),"")</f>
        <v/>
      </c>
      <c r="AC99" s="1" t="str">
        <f>IF($X99&lt;&gt;"",INDEX($P$2:$U$853,MATCH($X99,$W$2:$W$853,0),COLUMNS($X$2:AB99)),"")</f>
        <v/>
      </c>
      <c r="AD99" s="1" t="str">
        <f>IF($X99&lt;&gt;"",INDEX($P$2:$U$853,MATCH($X99,$W$2:$W$853,0),COLUMNS($X$2:AC99)),"")</f>
        <v/>
      </c>
    </row>
    <row r="100" spans="1:30" x14ac:dyDescent="0.2">
      <c r="A100" s="1">
        <v>1954</v>
      </c>
      <c r="B100" s="2">
        <v>19905</v>
      </c>
      <c r="C100" s="1" t="s">
        <v>510</v>
      </c>
      <c r="D100" s="1" t="s">
        <v>31</v>
      </c>
      <c r="E100" s="1" t="s">
        <v>112</v>
      </c>
      <c r="F100" s="1" t="s">
        <v>113</v>
      </c>
      <c r="G100" s="6" t="str">
        <f>VLOOKUP(A100,WorldCups!$A$2:$B$23,2,FALSE)</f>
        <v>Switzerland</v>
      </c>
      <c r="H100" s="1" t="s">
        <v>40</v>
      </c>
      <c r="I100" s="1">
        <v>4</v>
      </c>
      <c r="J100" s="1">
        <v>2</v>
      </c>
      <c r="K100" s="1" t="s">
        <v>30</v>
      </c>
      <c r="L100" s="1" t="s">
        <v>121</v>
      </c>
      <c r="M100" s="1" t="str">
        <f>IF(ISNUMBER(SEARCH("Group",Table2[[#This Row],[Round]])),"Group stages",Table2[[#This Row],[Round]])</f>
        <v>Semi-finals</v>
      </c>
      <c r="O100" s="1">
        <f>Table2[[#This Row],[Year]]</f>
        <v>1954</v>
      </c>
      <c r="P100" s="1" t="str">
        <f>INDEX(Table2[[HomeTeam]:[Group_details]],ROWS($N$2:N100),COLUMNS($N$2:N100))</f>
        <v>Hungary</v>
      </c>
      <c r="Q100" s="1">
        <f>INDEX(Table2[[HomeTeam]:[Group_details]],ROWS($N$2:O100),COLUMNS($N$2:O100))</f>
        <v>4</v>
      </c>
      <c r="R100" s="1">
        <f>INDEX(Table2[[HomeTeam]:[Group_details]],ROWS($N$2:P100),COLUMNS($N$2:P100))</f>
        <v>2</v>
      </c>
      <c r="S100" s="1" t="str">
        <f>INDEX(Table2[[HomeTeam]:[Group_details]],ROWS($N$2:Q100),COLUMNS($N$2:Q100))</f>
        <v>Uruguay</v>
      </c>
      <c r="T100" s="1" t="str">
        <f>INDEX(Table2[[HomeTeam]:[Group_details]],ROWS($N$2:R100),COLUMNS($N$2:R100))</f>
        <v xml:space="preserve">Hungary win after extra time </v>
      </c>
      <c r="U100" s="1" t="str">
        <f>INDEX(Table2[[HomeTeam]:[Group_details]],ROWS($N$2:S100),COLUMNS($N$2:S100))</f>
        <v>Semi-finals</v>
      </c>
      <c r="V100" s="1" t="b">
        <f t="shared" si="1"/>
        <v>0</v>
      </c>
      <c r="W100" s="1" t="str">
        <f>IF(V100=TRUE,ROWS($V$2:V100),"")</f>
        <v/>
      </c>
      <c r="X100" s="1" t="str">
        <f>IFERROR(SMALL($W$2:$W$853,ROWS($W$2:W100)),"")</f>
        <v/>
      </c>
      <c r="Y100" s="1" t="str">
        <f>IF($X100&lt;&gt;"",INDEX($P$2:$U$853,MATCH($X100,$W$2:$W$853,0),COLUMNS($X$2:X100)),"")</f>
        <v/>
      </c>
      <c r="Z100" s="1" t="str">
        <f>IF($X100&lt;&gt;"",INDEX($P$2:$U$853,MATCH($X100,$W$2:$W$853,0),COLUMNS($X$2:Y100)),"")</f>
        <v/>
      </c>
      <c r="AA100" s="1" t="str">
        <f>IF($X100&lt;&gt;"",INDEX($P$2:$U$853,MATCH($X100,$W$2:$W$853,0),COLUMNS($X$2:Z100)),"")</f>
        <v/>
      </c>
      <c r="AB100" s="1" t="str">
        <f>IF($X100&lt;&gt;"",INDEX($P$2:$U$853,MATCH($X100,$W$2:$W$853,0),COLUMNS($X$2:AA100)),"")</f>
        <v/>
      </c>
      <c r="AC100" s="1" t="str">
        <f>IF($X100&lt;&gt;"",INDEX($P$2:$U$853,MATCH($X100,$W$2:$W$853,0),COLUMNS($X$2:AB100)),"")</f>
        <v/>
      </c>
      <c r="AD100" s="1" t="str">
        <f>IF($X100&lt;&gt;"",INDEX($P$2:$U$853,MATCH($X100,$W$2:$W$853,0),COLUMNS($X$2:AC100)),"")</f>
        <v/>
      </c>
    </row>
    <row r="101" spans="1:30" x14ac:dyDescent="0.2">
      <c r="A101" s="1">
        <v>1954</v>
      </c>
      <c r="B101" s="2">
        <v>19908</v>
      </c>
      <c r="C101" s="1" t="s">
        <v>512</v>
      </c>
      <c r="D101" s="1" t="s">
        <v>62</v>
      </c>
      <c r="E101" s="1" t="s">
        <v>107</v>
      </c>
      <c r="F101" s="1" t="s">
        <v>108</v>
      </c>
      <c r="G101" s="6" t="str">
        <f>VLOOKUP(A101,WorldCups!$A$2:$B$23,2,FALSE)</f>
        <v>Switzerland</v>
      </c>
      <c r="H101" s="1" t="s">
        <v>36</v>
      </c>
      <c r="I101" s="1">
        <v>3</v>
      </c>
      <c r="J101" s="1">
        <v>1</v>
      </c>
      <c r="K101" s="1" t="s">
        <v>30</v>
      </c>
      <c r="L101" s="1" t="s">
        <v>14</v>
      </c>
      <c r="M101" s="1" t="str">
        <f>IF(ISNUMBER(SEARCH("Group",Table2[[#This Row],[Round]])),"Group stages",Table2[[#This Row],[Round]])</f>
        <v>Match for third place</v>
      </c>
      <c r="O101" s="1">
        <f>Table2[[#This Row],[Year]]</f>
        <v>1954</v>
      </c>
      <c r="P101" s="1" t="str">
        <f>INDEX(Table2[[HomeTeam]:[Group_details]],ROWS($N$2:N101),COLUMNS($N$2:N101))</f>
        <v>Austria</v>
      </c>
      <c r="Q101" s="1">
        <f>INDEX(Table2[[HomeTeam]:[Group_details]],ROWS($N$2:O101),COLUMNS($N$2:O101))</f>
        <v>3</v>
      </c>
      <c r="R101" s="1">
        <f>INDEX(Table2[[HomeTeam]:[Group_details]],ROWS($N$2:P101),COLUMNS($N$2:P101))</f>
        <v>1</v>
      </c>
      <c r="S101" s="1" t="str">
        <f>INDEX(Table2[[HomeTeam]:[Group_details]],ROWS($N$2:Q101),COLUMNS($N$2:Q101))</f>
        <v>Uruguay</v>
      </c>
      <c r="T101" s="1" t="str">
        <f>INDEX(Table2[[HomeTeam]:[Group_details]],ROWS($N$2:R101),COLUMNS($N$2:R101))</f>
        <v xml:space="preserve"> </v>
      </c>
      <c r="U101" s="1" t="str">
        <f>INDEX(Table2[[HomeTeam]:[Group_details]],ROWS($N$2:S101),COLUMNS($N$2:S101))</f>
        <v>Match for third place</v>
      </c>
      <c r="V101" s="1" t="b">
        <f t="shared" si="1"/>
        <v>0</v>
      </c>
      <c r="W101" s="1" t="str">
        <f>IF(V101=TRUE,ROWS($V$2:V101),"")</f>
        <v/>
      </c>
      <c r="X101" s="1" t="str">
        <f>IFERROR(SMALL($W$2:$W$853,ROWS($W$2:W101)),"")</f>
        <v/>
      </c>
      <c r="Y101" s="1" t="str">
        <f>IF($X101&lt;&gt;"",INDEX($P$2:$U$853,MATCH($X101,$W$2:$W$853,0),COLUMNS($X$2:X101)),"")</f>
        <v/>
      </c>
      <c r="Z101" s="1" t="str">
        <f>IF($X101&lt;&gt;"",INDEX($P$2:$U$853,MATCH($X101,$W$2:$W$853,0),COLUMNS($X$2:Y101)),"")</f>
        <v/>
      </c>
      <c r="AA101" s="1" t="str">
        <f>IF($X101&lt;&gt;"",INDEX($P$2:$U$853,MATCH($X101,$W$2:$W$853,0),COLUMNS($X$2:Z101)),"")</f>
        <v/>
      </c>
      <c r="AB101" s="1" t="str">
        <f>IF($X101&lt;&gt;"",INDEX($P$2:$U$853,MATCH($X101,$W$2:$W$853,0),COLUMNS($X$2:AA101)),"")</f>
        <v/>
      </c>
      <c r="AC101" s="1" t="str">
        <f>IF($X101&lt;&gt;"",INDEX($P$2:$U$853,MATCH($X101,$W$2:$W$853,0),COLUMNS($X$2:AB101)),"")</f>
        <v/>
      </c>
      <c r="AD101" s="1" t="str">
        <f>IF($X101&lt;&gt;"",INDEX($P$2:$U$853,MATCH($X101,$W$2:$W$853,0),COLUMNS($X$2:AC101)),"")</f>
        <v/>
      </c>
    </row>
    <row r="102" spans="1:30" x14ac:dyDescent="0.2">
      <c r="A102" s="1">
        <v>1954</v>
      </c>
      <c r="B102" s="2">
        <v>19909</v>
      </c>
      <c r="C102" s="1" t="s">
        <v>512</v>
      </c>
      <c r="D102" s="1" t="s">
        <v>32</v>
      </c>
      <c r="E102" s="1" t="s">
        <v>105</v>
      </c>
      <c r="F102" s="1" t="s">
        <v>106</v>
      </c>
      <c r="G102" s="6" t="str">
        <f>VLOOKUP(A102,WorldCups!$A$2:$B$23,2,FALSE)</f>
        <v>Switzerland</v>
      </c>
      <c r="H102" s="1" t="s">
        <v>114</v>
      </c>
      <c r="I102" s="1">
        <v>3</v>
      </c>
      <c r="J102" s="1">
        <v>2</v>
      </c>
      <c r="K102" s="1" t="s">
        <v>40</v>
      </c>
      <c r="L102" s="1" t="s">
        <v>14</v>
      </c>
      <c r="M102" s="1" t="str">
        <f>IF(ISNUMBER(SEARCH("Group",Table2[[#This Row],[Round]])),"Group stages",Table2[[#This Row],[Round]])</f>
        <v>Final</v>
      </c>
      <c r="O102" s="1">
        <f>Table2[[#This Row],[Year]]</f>
        <v>1954</v>
      </c>
      <c r="P102" s="1" t="str">
        <f>INDEX(Table2[[HomeTeam]:[Group_details]],ROWS($N$2:N102),COLUMNS($N$2:N102))</f>
        <v>Germany FR</v>
      </c>
      <c r="Q102" s="1">
        <f>INDEX(Table2[[HomeTeam]:[Group_details]],ROWS($N$2:O102),COLUMNS($N$2:O102))</f>
        <v>3</v>
      </c>
      <c r="R102" s="1">
        <f>INDEX(Table2[[HomeTeam]:[Group_details]],ROWS($N$2:P102),COLUMNS($N$2:P102))</f>
        <v>2</v>
      </c>
      <c r="S102" s="1" t="str">
        <f>INDEX(Table2[[HomeTeam]:[Group_details]],ROWS($N$2:Q102),COLUMNS($N$2:Q102))</f>
        <v>Hungary</v>
      </c>
      <c r="T102" s="1" t="str">
        <f>INDEX(Table2[[HomeTeam]:[Group_details]],ROWS($N$2:R102),COLUMNS($N$2:R102))</f>
        <v xml:space="preserve"> </v>
      </c>
      <c r="U102" s="1" t="str">
        <f>INDEX(Table2[[HomeTeam]:[Group_details]],ROWS($N$2:S102),COLUMNS($N$2:S102))</f>
        <v>Final</v>
      </c>
      <c r="V102" s="1" t="b">
        <f t="shared" si="1"/>
        <v>0</v>
      </c>
      <c r="W102" s="1" t="str">
        <f>IF(V102=TRUE,ROWS($V$2:V102),"")</f>
        <v/>
      </c>
      <c r="X102" s="1" t="str">
        <f>IFERROR(SMALL($W$2:$W$853,ROWS($W$2:W102)),"")</f>
        <v/>
      </c>
      <c r="Y102" s="1" t="str">
        <f>IF($X102&lt;&gt;"",INDEX($P$2:$U$853,MATCH($X102,$W$2:$W$853,0),COLUMNS($X$2:X102)),"")</f>
        <v/>
      </c>
      <c r="Z102" s="1" t="str">
        <f>IF($X102&lt;&gt;"",INDEX($P$2:$U$853,MATCH($X102,$W$2:$W$853,0),COLUMNS($X$2:Y102)),"")</f>
        <v/>
      </c>
      <c r="AA102" s="1" t="str">
        <f>IF($X102&lt;&gt;"",INDEX($P$2:$U$853,MATCH($X102,$W$2:$W$853,0),COLUMNS($X$2:Z102)),"")</f>
        <v/>
      </c>
      <c r="AB102" s="1" t="str">
        <f>IF($X102&lt;&gt;"",INDEX($P$2:$U$853,MATCH($X102,$W$2:$W$853,0),COLUMNS($X$2:AA102)),"")</f>
        <v/>
      </c>
      <c r="AC102" s="1" t="str">
        <f>IF($X102&lt;&gt;"",INDEX($P$2:$U$853,MATCH($X102,$W$2:$W$853,0),COLUMNS($X$2:AB102)),"")</f>
        <v/>
      </c>
      <c r="AD102" s="1" t="str">
        <f>IF($X102&lt;&gt;"",INDEX($P$2:$U$853,MATCH($X102,$W$2:$W$853,0),COLUMNS($X$2:AC102)),"")</f>
        <v/>
      </c>
    </row>
    <row r="103" spans="1:30" x14ac:dyDescent="0.2">
      <c r="A103" s="1">
        <v>1958</v>
      </c>
      <c r="B103" s="2">
        <v>21344</v>
      </c>
      <c r="C103" s="1" t="s">
        <v>520</v>
      </c>
      <c r="D103" s="1" t="s">
        <v>22</v>
      </c>
      <c r="E103" s="1" t="s">
        <v>122</v>
      </c>
      <c r="F103" s="1" t="s">
        <v>123</v>
      </c>
      <c r="G103" s="6" t="str">
        <f>VLOOKUP(A103,WorldCups!$A$2:$B$23,2,FALSE)</f>
        <v>Sweden</v>
      </c>
      <c r="H103" s="1" t="s">
        <v>48</v>
      </c>
      <c r="I103" s="1">
        <v>3</v>
      </c>
      <c r="J103" s="1">
        <v>0</v>
      </c>
      <c r="K103" s="1" t="s">
        <v>13</v>
      </c>
      <c r="L103" s="1" t="s">
        <v>14</v>
      </c>
      <c r="M103" s="1" t="str">
        <f>IF(ISNUMBER(SEARCH("Group",Table2[[#This Row],[Round]])),"Group stages",Table2[[#This Row],[Round]])</f>
        <v>Group stages</v>
      </c>
      <c r="O103" s="1">
        <f>Table2[[#This Row],[Year]]</f>
        <v>1958</v>
      </c>
      <c r="P103" s="1" t="str">
        <f>INDEX(Table2[[HomeTeam]:[Group_details]],ROWS($N$2:N103),COLUMNS($N$2:N103))</f>
        <v>Sweden</v>
      </c>
      <c r="Q103" s="1">
        <f>INDEX(Table2[[HomeTeam]:[Group_details]],ROWS($N$2:O103),COLUMNS($N$2:O103))</f>
        <v>3</v>
      </c>
      <c r="R103" s="1">
        <f>INDEX(Table2[[HomeTeam]:[Group_details]],ROWS($N$2:P103),COLUMNS($N$2:P103))</f>
        <v>0</v>
      </c>
      <c r="S103" s="1" t="str">
        <f>INDEX(Table2[[HomeTeam]:[Group_details]],ROWS($N$2:Q103),COLUMNS($N$2:Q103))</f>
        <v>Mexico</v>
      </c>
      <c r="T103" s="1" t="str">
        <f>INDEX(Table2[[HomeTeam]:[Group_details]],ROWS($N$2:R103),COLUMNS($N$2:R103))</f>
        <v xml:space="preserve"> </v>
      </c>
      <c r="U103" s="1" t="str">
        <f>INDEX(Table2[[HomeTeam]:[Group_details]],ROWS($N$2:S103),COLUMNS($N$2:S103))</f>
        <v>Group stages</v>
      </c>
      <c r="V103" s="1" t="b">
        <f t="shared" si="1"/>
        <v>1</v>
      </c>
      <c r="W103" s="1">
        <f>IF(V103=TRUE,ROWS($V$2:V103),"")</f>
        <v>102</v>
      </c>
      <c r="X103" s="1" t="str">
        <f>IFERROR(SMALL($W$2:$W$853,ROWS($W$2:W103)),"")</f>
        <v/>
      </c>
      <c r="Y103" s="1" t="str">
        <f>IF($X103&lt;&gt;"",INDEX($P$2:$U$853,MATCH($X103,$W$2:$W$853,0),COLUMNS($X$2:X103)),"")</f>
        <v/>
      </c>
      <c r="Z103" s="1" t="str">
        <f>IF($X103&lt;&gt;"",INDEX($P$2:$U$853,MATCH($X103,$W$2:$W$853,0),COLUMNS($X$2:Y103)),"")</f>
        <v/>
      </c>
      <c r="AA103" s="1" t="str">
        <f>IF($X103&lt;&gt;"",INDEX($P$2:$U$853,MATCH($X103,$W$2:$W$853,0),COLUMNS($X$2:Z103)),"")</f>
        <v/>
      </c>
      <c r="AB103" s="1" t="str">
        <f>IF($X103&lt;&gt;"",INDEX($P$2:$U$853,MATCH($X103,$W$2:$W$853,0),COLUMNS($X$2:AA103)),"")</f>
        <v/>
      </c>
      <c r="AC103" s="1" t="str">
        <f>IF($X103&lt;&gt;"",INDEX($P$2:$U$853,MATCH($X103,$W$2:$W$853,0),COLUMNS($X$2:AB103)),"")</f>
        <v/>
      </c>
      <c r="AD103" s="1" t="str">
        <f>IF($X103&lt;&gt;"",INDEX($P$2:$U$853,MATCH($X103,$W$2:$W$853,0),COLUMNS($X$2:AC103)),"")</f>
        <v/>
      </c>
    </row>
    <row r="104" spans="1:30" x14ac:dyDescent="0.2">
      <c r="A104" s="1">
        <v>1958</v>
      </c>
      <c r="B104" s="2">
        <v>21344</v>
      </c>
      <c r="C104" s="1" t="s">
        <v>521</v>
      </c>
      <c r="D104" s="1" t="s">
        <v>15</v>
      </c>
      <c r="E104" s="1" t="s">
        <v>124</v>
      </c>
      <c r="F104" s="1" t="s">
        <v>125</v>
      </c>
      <c r="G104" s="6" t="str">
        <f>VLOOKUP(A104,WorldCups!$A$2:$B$23,2,FALSE)</f>
        <v>Sweden</v>
      </c>
      <c r="H104" s="1" t="s">
        <v>126</v>
      </c>
      <c r="I104" s="1">
        <v>2</v>
      </c>
      <c r="J104" s="1">
        <v>2</v>
      </c>
      <c r="K104" s="1" t="s">
        <v>93</v>
      </c>
      <c r="L104" s="1" t="s">
        <v>14</v>
      </c>
      <c r="M104" s="1" t="str">
        <f>IF(ISNUMBER(SEARCH("Group",Table2[[#This Row],[Round]])),"Group stages",Table2[[#This Row],[Round]])</f>
        <v>Group stages</v>
      </c>
      <c r="O104" s="1">
        <f>Table2[[#This Row],[Year]]</f>
        <v>1958</v>
      </c>
      <c r="P104" s="1" t="str">
        <f>INDEX(Table2[[HomeTeam]:[Group_details]],ROWS($N$2:N104),COLUMNS($N$2:N104))</f>
        <v>Soviet Union</v>
      </c>
      <c r="Q104" s="1">
        <f>INDEX(Table2[[HomeTeam]:[Group_details]],ROWS($N$2:O104),COLUMNS($N$2:O104))</f>
        <v>2</v>
      </c>
      <c r="R104" s="1">
        <f>INDEX(Table2[[HomeTeam]:[Group_details]],ROWS($N$2:P104),COLUMNS($N$2:P104))</f>
        <v>2</v>
      </c>
      <c r="S104" s="1" t="str">
        <f>INDEX(Table2[[HomeTeam]:[Group_details]],ROWS($N$2:Q104),COLUMNS($N$2:Q104))</f>
        <v>England</v>
      </c>
      <c r="T104" s="1" t="str">
        <f>INDEX(Table2[[HomeTeam]:[Group_details]],ROWS($N$2:R104),COLUMNS($N$2:R104))</f>
        <v xml:space="preserve"> </v>
      </c>
      <c r="U104" s="1" t="str">
        <f>INDEX(Table2[[HomeTeam]:[Group_details]],ROWS($N$2:S104),COLUMNS($N$2:S104))</f>
        <v>Group stages</v>
      </c>
      <c r="V104" s="1" t="b">
        <f t="shared" si="1"/>
        <v>1</v>
      </c>
      <c r="W104" s="1">
        <f>IF(V104=TRUE,ROWS($V$2:V104),"")</f>
        <v>103</v>
      </c>
      <c r="X104" s="1" t="str">
        <f>IFERROR(SMALL($W$2:$W$853,ROWS($W$2:W104)),"")</f>
        <v/>
      </c>
      <c r="Y104" s="1" t="str">
        <f>IF($X104&lt;&gt;"",INDEX($P$2:$U$853,MATCH($X104,$W$2:$W$853,0),COLUMNS($X$2:X104)),"")</f>
        <v/>
      </c>
      <c r="Z104" s="1" t="str">
        <f>IF($X104&lt;&gt;"",INDEX($P$2:$U$853,MATCH($X104,$W$2:$W$853,0),COLUMNS($X$2:Y104)),"")</f>
        <v/>
      </c>
      <c r="AA104" s="1" t="str">
        <f>IF($X104&lt;&gt;"",INDEX($P$2:$U$853,MATCH($X104,$W$2:$W$853,0),COLUMNS($X$2:Z104)),"")</f>
        <v/>
      </c>
      <c r="AB104" s="1" t="str">
        <f>IF($X104&lt;&gt;"",INDEX($P$2:$U$853,MATCH($X104,$W$2:$W$853,0),COLUMNS($X$2:AA104)),"")</f>
        <v/>
      </c>
      <c r="AC104" s="1" t="str">
        <f>IF($X104&lt;&gt;"",INDEX($P$2:$U$853,MATCH($X104,$W$2:$W$853,0),COLUMNS($X$2:AB104)),"")</f>
        <v/>
      </c>
      <c r="AD104" s="1" t="str">
        <f>IF($X104&lt;&gt;"",INDEX($P$2:$U$853,MATCH($X104,$W$2:$W$853,0),COLUMNS($X$2:AC104)),"")</f>
        <v/>
      </c>
    </row>
    <row r="105" spans="1:30" x14ac:dyDescent="0.2">
      <c r="A105" s="1">
        <v>1958</v>
      </c>
      <c r="B105" s="2">
        <v>21344</v>
      </c>
      <c r="C105" s="1" t="s">
        <v>521</v>
      </c>
      <c r="D105" s="1" t="s">
        <v>9</v>
      </c>
      <c r="E105" s="1" t="s">
        <v>127</v>
      </c>
      <c r="F105" s="1" t="s">
        <v>128</v>
      </c>
      <c r="G105" s="6" t="str">
        <f>VLOOKUP(A105,WorldCups!$A$2:$B$23,2,FALSE)</f>
        <v>Sweden</v>
      </c>
      <c r="H105" s="1" t="s">
        <v>25</v>
      </c>
      <c r="I105" s="1">
        <v>1</v>
      </c>
      <c r="J105" s="1">
        <v>3</v>
      </c>
      <c r="K105" s="1" t="s">
        <v>114</v>
      </c>
      <c r="L105" s="1" t="s">
        <v>14</v>
      </c>
      <c r="M105" s="1" t="str">
        <f>IF(ISNUMBER(SEARCH("Group",Table2[[#This Row],[Round]])),"Group stages",Table2[[#This Row],[Round]])</f>
        <v>Group stages</v>
      </c>
      <c r="O105" s="1">
        <f>Table2[[#This Row],[Year]]</f>
        <v>1958</v>
      </c>
      <c r="P105" s="1" t="str">
        <f>INDEX(Table2[[HomeTeam]:[Group_details]],ROWS($N$2:N105),COLUMNS($N$2:N105))</f>
        <v>Argentina</v>
      </c>
      <c r="Q105" s="1">
        <f>INDEX(Table2[[HomeTeam]:[Group_details]],ROWS($N$2:O105),COLUMNS($N$2:O105))</f>
        <v>1</v>
      </c>
      <c r="R105" s="1">
        <f>INDEX(Table2[[HomeTeam]:[Group_details]],ROWS($N$2:P105),COLUMNS($N$2:P105))</f>
        <v>3</v>
      </c>
      <c r="S105" s="1" t="str">
        <f>INDEX(Table2[[HomeTeam]:[Group_details]],ROWS($N$2:Q105),COLUMNS($N$2:Q105))</f>
        <v>Germany FR</v>
      </c>
      <c r="T105" s="1" t="str">
        <f>INDEX(Table2[[HomeTeam]:[Group_details]],ROWS($N$2:R105),COLUMNS($N$2:R105))</f>
        <v xml:space="preserve"> </v>
      </c>
      <c r="U105" s="1" t="str">
        <f>INDEX(Table2[[HomeTeam]:[Group_details]],ROWS($N$2:S105),COLUMNS($N$2:S105))</f>
        <v>Group stages</v>
      </c>
      <c r="V105" s="1" t="b">
        <f t="shared" si="1"/>
        <v>1</v>
      </c>
      <c r="W105" s="1">
        <f>IF(V105=TRUE,ROWS($V$2:V105),"")</f>
        <v>104</v>
      </c>
      <c r="X105" s="1" t="str">
        <f>IFERROR(SMALL($W$2:$W$853,ROWS($W$2:W105)),"")</f>
        <v/>
      </c>
      <c r="Y105" s="1" t="str">
        <f>IF($X105&lt;&gt;"",INDEX($P$2:$U$853,MATCH($X105,$W$2:$W$853,0),COLUMNS($X$2:X105)),"")</f>
        <v/>
      </c>
      <c r="Z105" s="1" t="str">
        <f>IF($X105&lt;&gt;"",INDEX($P$2:$U$853,MATCH($X105,$W$2:$W$853,0),COLUMNS($X$2:Y105)),"")</f>
        <v/>
      </c>
      <c r="AA105" s="1" t="str">
        <f>IF($X105&lt;&gt;"",INDEX($P$2:$U$853,MATCH($X105,$W$2:$W$853,0),COLUMNS($X$2:Z105)),"")</f>
        <v/>
      </c>
      <c r="AB105" s="1" t="str">
        <f>IF($X105&lt;&gt;"",INDEX($P$2:$U$853,MATCH($X105,$W$2:$W$853,0),COLUMNS($X$2:AA105)),"")</f>
        <v/>
      </c>
      <c r="AC105" s="1" t="str">
        <f>IF($X105&lt;&gt;"",INDEX($P$2:$U$853,MATCH($X105,$W$2:$W$853,0),COLUMNS($X$2:AB105)),"")</f>
        <v/>
      </c>
      <c r="AD105" s="1" t="str">
        <f>IF($X105&lt;&gt;"",INDEX($P$2:$U$853,MATCH($X105,$W$2:$W$853,0),COLUMNS($X$2:AC105)),"")</f>
        <v/>
      </c>
    </row>
    <row r="106" spans="1:30" x14ac:dyDescent="0.2">
      <c r="A106" s="1">
        <v>1958</v>
      </c>
      <c r="B106" s="2">
        <v>21344</v>
      </c>
      <c r="C106" s="1" t="s">
        <v>521</v>
      </c>
      <c r="D106" s="1" t="s">
        <v>22</v>
      </c>
      <c r="E106" s="1" t="s">
        <v>129</v>
      </c>
      <c r="F106" s="1" t="s">
        <v>130</v>
      </c>
      <c r="G106" s="6" t="str">
        <f>VLOOKUP(A106,WorldCups!$A$2:$B$23,2,FALSE)</f>
        <v>Sweden</v>
      </c>
      <c r="H106" s="1" t="s">
        <v>40</v>
      </c>
      <c r="I106" s="1">
        <v>1</v>
      </c>
      <c r="J106" s="1">
        <v>1</v>
      </c>
      <c r="K106" s="1" t="s">
        <v>131</v>
      </c>
      <c r="L106" s="1" t="s">
        <v>14</v>
      </c>
      <c r="M106" s="1" t="str">
        <f>IF(ISNUMBER(SEARCH("Group",Table2[[#This Row],[Round]])),"Group stages",Table2[[#This Row],[Round]])</f>
        <v>Group stages</v>
      </c>
      <c r="O106" s="1">
        <f>Table2[[#This Row],[Year]]</f>
        <v>1958</v>
      </c>
      <c r="P106" s="1" t="str">
        <f>INDEX(Table2[[HomeTeam]:[Group_details]],ROWS($N$2:N106),COLUMNS($N$2:N106))</f>
        <v>Hungary</v>
      </c>
      <c r="Q106" s="1">
        <f>INDEX(Table2[[HomeTeam]:[Group_details]],ROWS($N$2:O106),COLUMNS($N$2:O106))</f>
        <v>1</v>
      </c>
      <c r="R106" s="1">
        <f>INDEX(Table2[[HomeTeam]:[Group_details]],ROWS($N$2:P106),COLUMNS($N$2:P106))</f>
        <v>1</v>
      </c>
      <c r="S106" s="1" t="str">
        <f>INDEX(Table2[[HomeTeam]:[Group_details]],ROWS($N$2:Q106),COLUMNS($N$2:Q106))</f>
        <v>Wales</v>
      </c>
      <c r="T106" s="1" t="str">
        <f>INDEX(Table2[[HomeTeam]:[Group_details]],ROWS($N$2:R106),COLUMNS($N$2:R106))</f>
        <v xml:space="preserve"> </v>
      </c>
      <c r="U106" s="1" t="str">
        <f>INDEX(Table2[[HomeTeam]:[Group_details]],ROWS($N$2:S106),COLUMNS($N$2:S106))</f>
        <v>Group stages</v>
      </c>
      <c r="V106" s="1" t="b">
        <f t="shared" si="1"/>
        <v>1</v>
      </c>
      <c r="W106" s="1">
        <f>IF(V106=TRUE,ROWS($V$2:V106),"")</f>
        <v>105</v>
      </c>
      <c r="X106" s="1" t="str">
        <f>IFERROR(SMALL($W$2:$W$853,ROWS($W$2:W106)),"")</f>
        <v/>
      </c>
      <c r="Y106" s="1" t="str">
        <f>IF($X106&lt;&gt;"",INDEX($P$2:$U$853,MATCH($X106,$W$2:$W$853,0),COLUMNS($X$2:X106)),"")</f>
        <v/>
      </c>
      <c r="Z106" s="1" t="str">
        <f>IF($X106&lt;&gt;"",INDEX($P$2:$U$853,MATCH($X106,$W$2:$W$853,0),COLUMNS($X$2:Y106)),"")</f>
        <v/>
      </c>
      <c r="AA106" s="1" t="str">
        <f>IF($X106&lt;&gt;"",INDEX($P$2:$U$853,MATCH($X106,$W$2:$W$853,0),COLUMNS($X$2:Z106)),"")</f>
        <v/>
      </c>
      <c r="AB106" s="1" t="str">
        <f>IF($X106&lt;&gt;"",INDEX($P$2:$U$853,MATCH($X106,$W$2:$W$853,0),COLUMNS($X$2:AA106)),"")</f>
        <v/>
      </c>
      <c r="AC106" s="1" t="str">
        <f>IF($X106&lt;&gt;"",INDEX($P$2:$U$853,MATCH($X106,$W$2:$W$853,0),COLUMNS($X$2:AB106)),"")</f>
        <v/>
      </c>
      <c r="AD106" s="1" t="str">
        <f>IF($X106&lt;&gt;"",INDEX($P$2:$U$853,MATCH($X106,$W$2:$W$853,0),COLUMNS($X$2:AC106)),"")</f>
        <v/>
      </c>
    </row>
    <row r="107" spans="1:30" x14ac:dyDescent="0.2">
      <c r="A107" s="1">
        <v>1958</v>
      </c>
      <c r="B107" s="2">
        <v>21344</v>
      </c>
      <c r="C107" s="1" t="s">
        <v>521</v>
      </c>
      <c r="D107" s="1" t="s">
        <v>19</v>
      </c>
      <c r="E107" s="1" t="s">
        <v>132</v>
      </c>
      <c r="F107" s="1" t="s">
        <v>133</v>
      </c>
      <c r="G107" s="6" t="str">
        <f>VLOOKUP(A107,WorldCups!$A$2:$B$23,2,FALSE)</f>
        <v>Sweden</v>
      </c>
      <c r="H107" s="1" t="s">
        <v>12</v>
      </c>
      <c r="I107" s="1">
        <v>7</v>
      </c>
      <c r="J107" s="1">
        <v>3</v>
      </c>
      <c r="K107" s="1" t="s">
        <v>28</v>
      </c>
      <c r="L107" s="1" t="s">
        <v>14</v>
      </c>
      <c r="M107" s="1" t="str">
        <f>IF(ISNUMBER(SEARCH("Group",Table2[[#This Row],[Round]])),"Group stages",Table2[[#This Row],[Round]])</f>
        <v>Group stages</v>
      </c>
      <c r="O107" s="1">
        <f>Table2[[#This Row],[Year]]</f>
        <v>1958</v>
      </c>
      <c r="P107" s="1" t="str">
        <f>INDEX(Table2[[HomeTeam]:[Group_details]],ROWS($N$2:N107),COLUMNS($N$2:N107))</f>
        <v>France</v>
      </c>
      <c r="Q107" s="1">
        <f>INDEX(Table2[[HomeTeam]:[Group_details]],ROWS($N$2:O107),COLUMNS($N$2:O107))</f>
        <v>7</v>
      </c>
      <c r="R107" s="1">
        <f>INDEX(Table2[[HomeTeam]:[Group_details]],ROWS($N$2:P107),COLUMNS($N$2:P107))</f>
        <v>3</v>
      </c>
      <c r="S107" s="1" t="str">
        <f>INDEX(Table2[[HomeTeam]:[Group_details]],ROWS($N$2:Q107),COLUMNS($N$2:Q107))</f>
        <v>Paraguay</v>
      </c>
      <c r="T107" s="1" t="str">
        <f>INDEX(Table2[[HomeTeam]:[Group_details]],ROWS($N$2:R107),COLUMNS($N$2:R107))</f>
        <v xml:space="preserve"> </v>
      </c>
      <c r="U107" s="1" t="str">
        <f>INDEX(Table2[[HomeTeam]:[Group_details]],ROWS($N$2:S107),COLUMNS($N$2:S107))</f>
        <v>Group stages</v>
      </c>
      <c r="V107" s="1" t="b">
        <f t="shared" si="1"/>
        <v>1</v>
      </c>
      <c r="W107" s="1">
        <f>IF(V107=TRUE,ROWS($V$2:V107),"")</f>
        <v>106</v>
      </c>
      <c r="X107" s="1" t="str">
        <f>IFERROR(SMALL($W$2:$W$853,ROWS($W$2:W107)),"")</f>
        <v/>
      </c>
      <c r="Y107" s="1" t="str">
        <f>IF($X107&lt;&gt;"",INDEX($P$2:$U$853,MATCH($X107,$W$2:$W$853,0),COLUMNS($X$2:X107)),"")</f>
        <v/>
      </c>
      <c r="Z107" s="1" t="str">
        <f>IF($X107&lt;&gt;"",INDEX($P$2:$U$853,MATCH($X107,$W$2:$W$853,0),COLUMNS($X$2:Y107)),"")</f>
        <v/>
      </c>
      <c r="AA107" s="1" t="str">
        <f>IF($X107&lt;&gt;"",INDEX($P$2:$U$853,MATCH($X107,$W$2:$W$853,0),COLUMNS($X$2:Z107)),"")</f>
        <v/>
      </c>
      <c r="AB107" s="1" t="str">
        <f>IF($X107&lt;&gt;"",INDEX($P$2:$U$853,MATCH($X107,$W$2:$W$853,0),COLUMNS($X$2:AA107)),"")</f>
        <v/>
      </c>
      <c r="AC107" s="1" t="str">
        <f>IF($X107&lt;&gt;"",INDEX($P$2:$U$853,MATCH($X107,$W$2:$W$853,0),COLUMNS($X$2:AB107)),"")</f>
        <v/>
      </c>
      <c r="AD107" s="1" t="str">
        <f>IF($X107&lt;&gt;"",INDEX($P$2:$U$853,MATCH($X107,$W$2:$W$853,0),COLUMNS($X$2:AC107)),"")</f>
        <v/>
      </c>
    </row>
    <row r="108" spans="1:30" x14ac:dyDescent="0.2">
      <c r="A108" s="1">
        <v>1958</v>
      </c>
      <c r="B108" s="2">
        <v>21344</v>
      </c>
      <c r="C108" s="1" t="s">
        <v>521</v>
      </c>
      <c r="D108" s="1" t="s">
        <v>19</v>
      </c>
      <c r="E108" s="1" t="s">
        <v>134</v>
      </c>
      <c r="F108" s="1" t="s">
        <v>135</v>
      </c>
      <c r="G108" s="6" t="str">
        <f>VLOOKUP(A108,WorldCups!$A$2:$B$23,2,FALSE)</f>
        <v>Sweden</v>
      </c>
      <c r="H108" s="1" t="s">
        <v>20</v>
      </c>
      <c r="I108" s="1">
        <v>1</v>
      </c>
      <c r="J108" s="1">
        <v>1</v>
      </c>
      <c r="K108" s="1" t="s">
        <v>109</v>
      </c>
      <c r="L108" s="1" t="s">
        <v>14</v>
      </c>
      <c r="M108" s="1" t="str">
        <f>IF(ISNUMBER(SEARCH("Group",Table2[[#This Row],[Round]])),"Group stages",Table2[[#This Row],[Round]])</f>
        <v>Group stages</v>
      </c>
      <c r="O108" s="1">
        <f>Table2[[#This Row],[Year]]</f>
        <v>1958</v>
      </c>
      <c r="P108" s="1" t="str">
        <f>INDEX(Table2[[HomeTeam]:[Group_details]],ROWS($N$2:N108),COLUMNS($N$2:N108))</f>
        <v>Yugoslavia</v>
      </c>
      <c r="Q108" s="1">
        <f>INDEX(Table2[[HomeTeam]:[Group_details]],ROWS($N$2:O108),COLUMNS($N$2:O108))</f>
        <v>1</v>
      </c>
      <c r="R108" s="1">
        <f>INDEX(Table2[[HomeTeam]:[Group_details]],ROWS($N$2:P108),COLUMNS($N$2:P108))</f>
        <v>1</v>
      </c>
      <c r="S108" s="1" t="str">
        <f>INDEX(Table2[[HomeTeam]:[Group_details]],ROWS($N$2:Q108),COLUMNS($N$2:Q108))</f>
        <v>Scotland</v>
      </c>
      <c r="T108" s="1" t="str">
        <f>INDEX(Table2[[HomeTeam]:[Group_details]],ROWS($N$2:R108),COLUMNS($N$2:R108))</f>
        <v xml:space="preserve"> </v>
      </c>
      <c r="U108" s="1" t="str">
        <f>INDEX(Table2[[HomeTeam]:[Group_details]],ROWS($N$2:S108),COLUMNS($N$2:S108))</f>
        <v>Group stages</v>
      </c>
      <c r="V108" s="1" t="b">
        <f t="shared" si="1"/>
        <v>1</v>
      </c>
      <c r="W108" s="1">
        <f>IF(V108=TRUE,ROWS($V$2:V108),"")</f>
        <v>107</v>
      </c>
      <c r="X108" s="1" t="str">
        <f>IFERROR(SMALL($W$2:$W$853,ROWS($W$2:W108)),"")</f>
        <v/>
      </c>
      <c r="Y108" s="1" t="str">
        <f>IF($X108&lt;&gt;"",INDEX($P$2:$U$853,MATCH($X108,$W$2:$W$853,0),COLUMNS($X$2:X108)),"")</f>
        <v/>
      </c>
      <c r="Z108" s="1" t="str">
        <f>IF($X108&lt;&gt;"",INDEX($P$2:$U$853,MATCH($X108,$W$2:$W$853,0),COLUMNS($X$2:Y108)),"")</f>
        <v/>
      </c>
      <c r="AA108" s="1" t="str">
        <f>IF($X108&lt;&gt;"",INDEX($P$2:$U$853,MATCH($X108,$W$2:$W$853,0),COLUMNS($X$2:Z108)),"")</f>
        <v/>
      </c>
      <c r="AB108" s="1" t="str">
        <f>IF($X108&lt;&gt;"",INDEX($P$2:$U$853,MATCH($X108,$W$2:$W$853,0),COLUMNS($X$2:AA108)),"")</f>
        <v/>
      </c>
      <c r="AC108" s="1" t="str">
        <f>IF($X108&lt;&gt;"",INDEX($P$2:$U$853,MATCH($X108,$W$2:$W$853,0),COLUMNS($X$2:AB108)),"")</f>
        <v/>
      </c>
      <c r="AD108" s="1" t="str">
        <f>IF($X108&lt;&gt;"",INDEX($P$2:$U$853,MATCH($X108,$W$2:$W$853,0),COLUMNS($X$2:AC108)),"")</f>
        <v/>
      </c>
    </row>
    <row r="109" spans="1:30" x14ac:dyDescent="0.2">
      <c r="A109" s="1">
        <v>1958</v>
      </c>
      <c r="B109" s="2">
        <v>21344</v>
      </c>
      <c r="C109" s="1" t="s">
        <v>521</v>
      </c>
      <c r="D109" s="1" t="s">
        <v>15</v>
      </c>
      <c r="E109" s="1" t="s">
        <v>136</v>
      </c>
      <c r="F109" s="1" t="s">
        <v>137</v>
      </c>
      <c r="G109" s="6" t="str">
        <f>VLOOKUP(A109,WorldCups!$A$2:$B$23,2,FALSE)</f>
        <v>Sweden</v>
      </c>
      <c r="H109" s="1" t="s">
        <v>21</v>
      </c>
      <c r="I109" s="1">
        <v>3</v>
      </c>
      <c r="J109" s="1">
        <v>0</v>
      </c>
      <c r="K109" s="1" t="s">
        <v>36</v>
      </c>
      <c r="L109" s="1" t="s">
        <v>14</v>
      </c>
      <c r="M109" s="1" t="str">
        <f>IF(ISNUMBER(SEARCH("Group",Table2[[#This Row],[Round]])),"Group stages",Table2[[#This Row],[Round]])</f>
        <v>Group stages</v>
      </c>
      <c r="O109" s="1">
        <f>Table2[[#This Row],[Year]]</f>
        <v>1958</v>
      </c>
      <c r="P109" s="1" t="str">
        <f>INDEX(Table2[[HomeTeam]:[Group_details]],ROWS($N$2:N109),COLUMNS($N$2:N109))</f>
        <v>Brazil</v>
      </c>
      <c r="Q109" s="1">
        <f>INDEX(Table2[[HomeTeam]:[Group_details]],ROWS($N$2:O109),COLUMNS($N$2:O109))</f>
        <v>3</v>
      </c>
      <c r="R109" s="1">
        <f>INDEX(Table2[[HomeTeam]:[Group_details]],ROWS($N$2:P109),COLUMNS($N$2:P109))</f>
        <v>0</v>
      </c>
      <c r="S109" s="1" t="str">
        <f>INDEX(Table2[[HomeTeam]:[Group_details]],ROWS($N$2:Q109),COLUMNS($N$2:Q109))</f>
        <v>Austria</v>
      </c>
      <c r="T109" s="1" t="str">
        <f>INDEX(Table2[[HomeTeam]:[Group_details]],ROWS($N$2:R109),COLUMNS($N$2:R109))</f>
        <v xml:space="preserve"> </v>
      </c>
      <c r="U109" s="1" t="str">
        <f>INDEX(Table2[[HomeTeam]:[Group_details]],ROWS($N$2:S109),COLUMNS($N$2:S109))</f>
        <v>Group stages</v>
      </c>
      <c r="V109" s="1" t="b">
        <f t="shared" si="1"/>
        <v>1</v>
      </c>
      <c r="W109" s="1">
        <f>IF(V109=TRUE,ROWS($V$2:V109),"")</f>
        <v>108</v>
      </c>
      <c r="X109" s="1" t="str">
        <f>IFERROR(SMALL($W$2:$W$853,ROWS($W$2:W109)),"")</f>
        <v/>
      </c>
      <c r="Y109" s="1" t="str">
        <f>IF($X109&lt;&gt;"",INDEX($P$2:$U$853,MATCH($X109,$W$2:$W$853,0),COLUMNS($X$2:X109)),"")</f>
        <v/>
      </c>
      <c r="Z109" s="1" t="str">
        <f>IF($X109&lt;&gt;"",INDEX($P$2:$U$853,MATCH($X109,$W$2:$W$853,0),COLUMNS($X$2:Y109)),"")</f>
        <v/>
      </c>
      <c r="AA109" s="1" t="str">
        <f>IF($X109&lt;&gt;"",INDEX($P$2:$U$853,MATCH($X109,$W$2:$W$853,0),COLUMNS($X$2:Z109)),"")</f>
        <v/>
      </c>
      <c r="AB109" s="1" t="str">
        <f>IF($X109&lt;&gt;"",INDEX($P$2:$U$853,MATCH($X109,$W$2:$W$853,0),COLUMNS($X$2:AA109)),"")</f>
        <v/>
      </c>
      <c r="AC109" s="1" t="str">
        <f>IF($X109&lt;&gt;"",INDEX($P$2:$U$853,MATCH($X109,$W$2:$W$853,0),COLUMNS($X$2:AB109)),"")</f>
        <v/>
      </c>
      <c r="AD109" s="1" t="str">
        <f>IF($X109&lt;&gt;"",INDEX($P$2:$U$853,MATCH($X109,$W$2:$W$853,0),COLUMNS($X$2:AC109)),"")</f>
        <v/>
      </c>
    </row>
    <row r="110" spans="1:30" x14ac:dyDescent="0.2">
      <c r="A110" s="1">
        <v>1958</v>
      </c>
      <c r="B110" s="2">
        <v>21344</v>
      </c>
      <c r="C110" s="1" t="s">
        <v>521</v>
      </c>
      <c r="D110" s="1" t="s">
        <v>9</v>
      </c>
      <c r="E110" s="1" t="s">
        <v>138</v>
      </c>
      <c r="F110" s="1" t="s">
        <v>139</v>
      </c>
      <c r="G110" s="6" t="str">
        <f>VLOOKUP(A110,WorldCups!$A$2:$B$23,2,FALSE)</f>
        <v>Sweden</v>
      </c>
      <c r="H110" s="1" t="s">
        <v>537</v>
      </c>
      <c r="I110" s="1">
        <v>1</v>
      </c>
      <c r="J110" s="1">
        <v>0</v>
      </c>
      <c r="K110" s="1" t="s">
        <v>60</v>
      </c>
      <c r="L110" s="1" t="s">
        <v>14</v>
      </c>
      <c r="M110" s="1" t="str">
        <f>IF(ISNUMBER(SEARCH("Group",Table2[[#This Row],[Round]])),"Group stages",Table2[[#This Row],[Round]])</f>
        <v>Group stages</v>
      </c>
      <c r="O110" s="1">
        <f>Table2[[#This Row],[Year]]</f>
        <v>1958</v>
      </c>
      <c r="P110" s="1" t="str">
        <f>INDEX(Table2[[HomeTeam]:[Group_details]],ROWS($N$2:N110),COLUMNS($N$2:N110))</f>
        <v>Northern Ireland</v>
      </c>
      <c r="Q110" s="1">
        <f>INDEX(Table2[[HomeTeam]:[Group_details]],ROWS($N$2:O110),COLUMNS($N$2:O110))</f>
        <v>1</v>
      </c>
      <c r="R110" s="1">
        <f>INDEX(Table2[[HomeTeam]:[Group_details]],ROWS($N$2:P110),COLUMNS($N$2:P110))</f>
        <v>0</v>
      </c>
      <c r="S110" s="1" t="str">
        <f>INDEX(Table2[[HomeTeam]:[Group_details]],ROWS($N$2:Q110),COLUMNS($N$2:Q110))</f>
        <v>Czechoslovakia</v>
      </c>
      <c r="T110" s="1" t="str">
        <f>INDEX(Table2[[HomeTeam]:[Group_details]],ROWS($N$2:R110),COLUMNS($N$2:R110))</f>
        <v xml:space="preserve"> </v>
      </c>
      <c r="U110" s="1" t="str">
        <f>INDEX(Table2[[HomeTeam]:[Group_details]],ROWS($N$2:S110),COLUMNS($N$2:S110))</f>
        <v>Group stages</v>
      </c>
      <c r="V110" s="1" t="b">
        <f t="shared" si="1"/>
        <v>1</v>
      </c>
      <c r="W110" s="1">
        <f>IF(V110=TRUE,ROWS($V$2:V110),"")</f>
        <v>109</v>
      </c>
      <c r="X110" s="1" t="str">
        <f>IFERROR(SMALL($W$2:$W$853,ROWS($W$2:W110)),"")</f>
        <v/>
      </c>
      <c r="Y110" s="1" t="str">
        <f>IF($X110&lt;&gt;"",INDEX($P$2:$U$853,MATCH($X110,$W$2:$W$853,0),COLUMNS($X$2:X110)),"")</f>
        <v/>
      </c>
      <c r="Z110" s="1" t="str">
        <f>IF($X110&lt;&gt;"",INDEX($P$2:$U$853,MATCH($X110,$W$2:$W$853,0),COLUMNS($X$2:Y110)),"")</f>
        <v/>
      </c>
      <c r="AA110" s="1" t="str">
        <f>IF($X110&lt;&gt;"",INDEX($P$2:$U$853,MATCH($X110,$W$2:$W$853,0),COLUMNS($X$2:Z110)),"")</f>
        <v/>
      </c>
      <c r="AB110" s="1" t="str">
        <f>IF($X110&lt;&gt;"",INDEX($P$2:$U$853,MATCH($X110,$W$2:$W$853,0),COLUMNS($X$2:AA110)),"")</f>
        <v/>
      </c>
      <c r="AC110" s="1" t="str">
        <f>IF($X110&lt;&gt;"",INDEX($P$2:$U$853,MATCH($X110,$W$2:$W$853,0),COLUMNS($X$2:AB110)),"")</f>
        <v/>
      </c>
      <c r="AD110" s="1" t="str">
        <f>IF($X110&lt;&gt;"",INDEX($P$2:$U$853,MATCH($X110,$W$2:$W$853,0),COLUMNS($X$2:AC110)),"")</f>
        <v/>
      </c>
    </row>
    <row r="111" spans="1:30" x14ac:dyDescent="0.2">
      <c r="A111" s="1">
        <v>1958</v>
      </c>
      <c r="B111" s="2">
        <v>21347</v>
      </c>
      <c r="C111" s="1" t="s">
        <v>521</v>
      </c>
      <c r="D111" s="1" t="s">
        <v>15</v>
      </c>
      <c r="E111" s="1" t="s">
        <v>124</v>
      </c>
      <c r="F111" s="1" t="s">
        <v>125</v>
      </c>
      <c r="G111" s="6" t="str">
        <f>VLOOKUP(A111,WorldCups!$A$2:$B$23,2,FALSE)</f>
        <v>Sweden</v>
      </c>
      <c r="H111" s="1" t="s">
        <v>21</v>
      </c>
      <c r="I111" s="1">
        <v>0</v>
      </c>
      <c r="J111" s="1">
        <v>0</v>
      </c>
      <c r="K111" s="1" t="s">
        <v>93</v>
      </c>
      <c r="L111" s="1" t="s">
        <v>14</v>
      </c>
      <c r="M111" s="1" t="str">
        <f>IF(ISNUMBER(SEARCH("Group",Table2[[#This Row],[Round]])),"Group stages",Table2[[#This Row],[Round]])</f>
        <v>Group stages</v>
      </c>
      <c r="O111" s="1">
        <f>Table2[[#This Row],[Year]]</f>
        <v>1958</v>
      </c>
      <c r="P111" s="1" t="str">
        <f>INDEX(Table2[[HomeTeam]:[Group_details]],ROWS($N$2:N111),COLUMNS($N$2:N111))</f>
        <v>Brazil</v>
      </c>
      <c r="Q111" s="1">
        <f>INDEX(Table2[[HomeTeam]:[Group_details]],ROWS($N$2:O111),COLUMNS($N$2:O111))</f>
        <v>0</v>
      </c>
      <c r="R111" s="1">
        <f>INDEX(Table2[[HomeTeam]:[Group_details]],ROWS($N$2:P111),COLUMNS($N$2:P111))</f>
        <v>0</v>
      </c>
      <c r="S111" s="1" t="str">
        <f>INDEX(Table2[[HomeTeam]:[Group_details]],ROWS($N$2:Q111),COLUMNS($N$2:Q111))</f>
        <v>England</v>
      </c>
      <c r="T111" s="1" t="str">
        <f>INDEX(Table2[[HomeTeam]:[Group_details]],ROWS($N$2:R111),COLUMNS($N$2:R111))</f>
        <v xml:space="preserve"> </v>
      </c>
      <c r="U111" s="1" t="str">
        <f>INDEX(Table2[[HomeTeam]:[Group_details]],ROWS($N$2:S111),COLUMNS($N$2:S111))</f>
        <v>Group stages</v>
      </c>
      <c r="V111" s="1" t="b">
        <f t="shared" si="1"/>
        <v>1</v>
      </c>
      <c r="W111" s="1">
        <f>IF(V111=TRUE,ROWS($V$2:V111),"")</f>
        <v>110</v>
      </c>
      <c r="X111" s="1" t="str">
        <f>IFERROR(SMALL($W$2:$W$853,ROWS($W$2:W111)),"")</f>
        <v/>
      </c>
      <c r="Y111" s="1" t="str">
        <f>IF($X111&lt;&gt;"",INDEX($P$2:$U$853,MATCH($X111,$W$2:$W$853,0),COLUMNS($X$2:X111)),"")</f>
        <v/>
      </c>
      <c r="Z111" s="1" t="str">
        <f>IF($X111&lt;&gt;"",INDEX($P$2:$U$853,MATCH($X111,$W$2:$W$853,0),COLUMNS($X$2:Y111)),"")</f>
        <v/>
      </c>
      <c r="AA111" s="1" t="str">
        <f>IF($X111&lt;&gt;"",INDEX($P$2:$U$853,MATCH($X111,$W$2:$W$853,0),COLUMNS($X$2:Z111)),"")</f>
        <v/>
      </c>
      <c r="AB111" s="1" t="str">
        <f>IF($X111&lt;&gt;"",INDEX($P$2:$U$853,MATCH($X111,$W$2:$W$853,0),COLUMNS($X$2:AA111)),"")</f>
        <v/>
      </c>
      <c r="AC111" s="1" t="str">
        <f>IF($X111&lt;&gt;"",INDEX($P$2:$U$853,MATCH($X111,$W$2:$W$853,0),COLUMNS($X$2:AB111)),"")</f>
        <v/>
      </c>
      <c r="AD111" s="1" t="str">
        <f>IF($X111&lt;&gt;"",INDEX($P$2:$U$853,MATCH($X111,$W$2:$W$853,0),COLUMNS($X$2:AC111)),"")</f>
        <v/>
      </c>
    </row>
    <row r="112" spans="1:30" x14ac:dyDescent="0.2">
      <c r="A112" s="1">
        <v>1958</v>
      </c>
      <c r="B112" s="2">
        <v>21347</v>
      </c>
      <c r="C112" s="1" t="s">
        <v>521</v>
      </c>
      <c r="D112" s="1" t="s">
        <v>22</v>
      </c>
      <c r="E112" s="1" t="s">
        <v>122</v>
      </c>
      <c r="F112" s="1" t="s">
        <v>123</v>
      </c>
      <c r="G112" s="6" t="str">
        <f>VLOOKUP(A112,WorldCups!$A$2:$B$23,2,FALSE)</f>
        <v>Sweden</v>
      </c>
      <c r="H112" s="1" t="s">
        <v>13</v>
      </c>
      <c r="I112" s="1">
        <v>1</v>
      </c>
      <c r="J112" s="1">
        <v>1</v>
      </c>
      <c r="K112" s="1" t="s">
        <v>131</v>
      </c>
      <c r="L112" s="1" t="s">
        <v>14</v>
      </c>
      <c r="M112" s="1" t="str">
        <f>IF(ISNUMBER(SEARCH("Group",Table2[[#This Row],[Round]])),"Group stages",Table2[[#This Row],[Round]])</f>
        <v>Group stages</v>
      </c>
      <c r="O112" s="1">
        <f>Table2[[#This Row],[Year]]</f>
        <v>1958</v>
      </c>
      <c r="P112" s="1" t="str">
        <f>INDEX(Table2[[HomeTeam]:[Group_details]],ROWS($N$2:N112),COLUMNS($N$2:N112))</f>
        <v>Mexico</v>
      </c>
      <c r="Q112" s="1">
        <f>INDEX(Table2[[HomeTeam]:[Group_details]],ROWS($N$2:O112),COLUMNS($N$2:O112))</f>
        <v>1</v>
      </c>
      <c r="R112" s="1">
        <f>INDEX(Table2[[HomeTeam]:[Group_details]],ROWS($N$2:P112),COLUMNS($N$2:P112))</f>
        <v>1</v>
      </c>
      <c r="S112" s="1" t="str">
        <f>INDEX(Table2[[HomeTeam]:[Group_details]],ROWS($N$2:Q112),COLUMNS($N$2:Q112))</f>
        <v>Wales</v>
      </c>
      <c r="T112" s="1" t="str">
        <f>INDEX(Table2[[HomeTeam]:[Group_details]],ROWS($N$2:R112),COLUMNS($N$2:R112))</f>
        <v xml:space="preserve"> </v>
      </c>
      <c r="U112" s="1" t="str">
        <f>INDEX(Table2[[HomeTeam]:[Group_details]],ROWS($N$2:S112),COLUMNS($N$2:S112))</f>
        <v>Group stages</v>
      </c>
      <c r="V112" s="1" t="b">
        <f t="shared" si="1"/>
        <v>1</v>
      </c>
      <c r="W112" s="1">
        <f>IF(V112=TRUE,ROWS($V$2:V112),"")</f>
        <v>111</v>
      </c>
      <c r="X112" s="1" t="str">
        <f>IFERROR(SMALL($W$2:$W$853,ROWS($W$2:W112)),"")</f>
        <v/>
      </c>
      <c r="Y112" s="1" t="str">
        <f>IF($X112&lt;&gt;"",INDEX($P$2:$U$853,MATCH($X112,$W$2:$W$853,0),COLUMNS($X$2:X112)),"")</f>
        <v/>
      </c>
      <c r="Z112" s="1" t="str">
        <f>IF($X112&lt;&gt;"",INDEX($P$2:$U$853,MATCH($X112,$W$2:$W$853,0),COLUMNS($X$2:Y112)),"")</f>
        <v/>
      </c>
      <c r="AA112" s="1" t="str">
        <f>IF($X112&lt;&gt;"",INDEX($P$2:$U$853,MATCH($X112,$W$2:$W$853,0),COLUMNS($X$2:Z112)),"")</f>
        <v/>
      </c>
      <c r="AB112" s="1" t="str">
        <f>IF($X112&lt;&gt;"",INDEX($P$2:$U$853,MATCH($X112,$W$2:$W$853,0),COLUMNS($X$2:AA112)),"")</f>
        <v/>
      </c>
      <c r="AC112" s="1" t="str">
        <f>IF($X112&lt;&gt;"",INDEX($P$2:$U$853,MATCH($X112,$W$2:$W$853,0),COLUMNS($X$2:AB112)),"")</f>
        <v/>
      </c>
      <c r="AD112" s="1" t="str">
        <f>IF($X112&lt;&gt;"",INDEX($P$2:$U$853,MATCH($X112,$W$2:$W$853,0),COLUMNS($X$2:AC112)),"")</f>
        <v/>
      </c>
    </row>
    <row r="113" spans="1:30" x14ac:dyDescent="0.2">
      <c r="A113" s="1">
        <v>1958</v>
      </c>
      <c r="B113" s="2">
        <v>21347</v>
      </c>
      <c r="C113" s="1" t="s">
        <v>521</v>
      </c>
      <c r="D113" s="1" t="s">
        <v>19</v>
      </c>
      <c r="E113" s="1" t="s">
        <v>132</v>
      </c>
      <c r="F113" s="1" t="s">
        <v>133</v>
      </c>
      <c r="G113" s="6" t="str">
        <f>VLOOKUP(A113,WorldCups!$A$2:$B$23,2,FALSE)</f>
        <v>Sweden</v>
      </c>
      <c r="H113" s="1" t="s">
        <v>28</v>
      </c>
      <c r="I113" s="1">
        <v>3</v>
      </c>
      <c r="J113" s="1">
        <v>2</v>
      </c>
      <c r="K113" s="1" t="s">
        <v>109</v>
      </c>
      <c r="L113" s="1" t="s">
        <v>14</v>
      </c>
      <c r="M113" s="1" t="str">
        <f>IF(ISNUMBER(SEARCH("Group",Table2[[#This Row],[Round]])),"Group stages",Table2[[#This Row],[Round]])</f>
        <v>Group stages</v>
      </c>
      <c r="O113" s="1">
        <f>Table2[[#This Row],[Year]]</f>
        <v>1958</v>
      </c>
      <c r="P113" s="1" t="str">
        <f>INDEX(Table2[[HomeTeam]:[Group_details]],ROWS($N$2:N113),COLUMNS($N$2:N113))</f>
        <v>Paraguay</v>
      </c>
      <c r="Q113" s="1">
        <f>INDEX(Table2[[HomeTeam]:[Group_details]],ROWS($N$2:O113),COLUMNS($N$2:O113))</f>
        <v>3</v>
      </c>
      <c r="R113" s="1">
        <f>INDEX(Table2[[HomeTeam]:[Group_details]],ROWS($N$2:P113),COLUMNS($N$2:P113))</f>
        <v>2</v>
      </c>
      <c r="S113" s="1" t="str">
        <f>INDEX(Table2[[HomeTeam]:[Group_details]],ROWS($N$2:Q113),COLUMNS($N$2:Q113))</f>
        <v>Scotland</v>
      </c>
      <c r="T113" s="1" t="str">
        <f>INDEX(Table2[[HomeTeam]:[Group_details]],ROWS($N$2:R113),COLUMNS($N$2:R113))</f>
        <v xml:space="preserve"> </v>
      </c>
      <c r="U113" s="1" t="str">
        <f>INDEX(Table2[[HomeTeam]:[Group_details]],ROWS($N$2:S113),COLUMNS($N$2:S113))</f>
        <v>Group stages</v>
      </c>
      <c r="V113" s="1" t="b">
        <f t="shared" si="1"/>
        <v>1</v>
      </c>
      <c r="W113" s="1">
        <f>IF(V113=TRUE,ROWS($V$2:V113),"")</f>
        <v>112</v>
      </c>
      <c r="X113" s="1" t="str">
        <f>IFERROR(SMALL($W$2:$W$853,ROWS($W$2:W113)),"")</f>
        <v/>
      </c>
      <c r="Y113" s="1" t="str">
        <f>IF($X113&lt;&gt;"",INDEX($P$2:$U$853,MATCH($X113,$W$2:$W$853,0),COLUMNS($X$2:X113)),"")</f>
        <v/>
      </c>
      <c r="Z113" s="1" t="str">
        <f>IF($X113&lt;&gt;"",INDEX($P$2:$U$853,MATCH($X113,$W$2:$W$853,0),COLUMNS($X$2:Y113)),"")</f>
        <v/>
      </c>
      <c r="AA113" s="1" t="str">
        <f>IF($X113&lt;&gt;"",INDEX($P$2:$U$853,MATCH($X113,$W$2:$W$853,0),COLUMNS($X$2:Z113)),"")</f>
        <v/>
      </c>
      <c r="AB113" s="1" t="str">
        <f>IF($X113&lt;&gt;"",INDEX($P$2:$U$853,MATCH($X113,$W$2:$W$853,0),COLUMNS($X$2:AA113)),"")</f>
        <v/>
      </c>
      <c r="AC113" s="1" t="str">
        <f>IF($X113&lt;&gt;"",INDEX($P$2:$U$853,MATCH($X113,$W$2:$W$853,0),COLUMNS($X$2:AB113)),"")</f>
        <v/>
      </c>
      <c r="AD113" s="1" t="str">
        <f>IF($X113&lt;&gt;"",INDEX($P$2:$U$853,MATCH($X113,$W$2:$W$853,0),COLUMNS($X$2:AC113)),"")</f>
        <v/>
      </c>
    </row>
    <row r="114" spans="1:30" x14ac:dyDescent="0.2">
      <c r="A114" s="1">
        <v>1958</v>
      </c>
      <c r="B114" s="2">
        <v>21347</v>
      </c>
      <c r="C114" s="1" t="s">
        <v>521</v>
      </c>
      <c r="D114" s="1" t="s">
        <v>19</v>
      </c>
      <c r="E114" s="1" t="s">
        <v>134</v>
      </c>
      <c r="F114" s="1" t="s">
        <v>135</v>
      </c>
      <c r="G114" s="6" t="str">
        <f>VLOOKUP(A114,WorldCups!$A$2:$B$23,2,FALSE)</f>
        <v>Sweden</v>
      </c>
      <c r="H114" s="1" t="s">
        <v>20</v>
      </c>
      <c r="I114" s="1">
        <v>3</v>
      </c>
      <c r="J114" s="1">
        <v>2</v>
      </c>
      <c r="K114" s="1" t="s">
        <v>12</v>
      </c>
      <c r="L114" s="1" t="s">
        <v>14</v>
      </c>
      <c r="M114" s="1" t="str">
        <f>IF(ISNUMBER(SEARCH("Group",Table2[[#This Row],[Round]])),"Group stages",Table2[[#This Row],[Round]])</f>
        <v>Group stages</v>
      </c>
      <c r="O114" s="1">
        <f>Table2[[#This Row],[Year]]</f>
        <v>1958</v>
      </c>
      <c r="P114" s="1" t="str">
        <f>INDEX(Table2[[HomeTeam]:[Group_details]],ROWS($N$2:N114),COLUMNS($N$2:N114))</f>
        <v>Yugoslavia</v>
      </c>
      <c r="Q114" s="1">
        <f>INDEX(Table2[[HomeTeam]:[Group_details]],ROWS($N$2:O114),COLUMNS($N$2:O114))</f>
        <v>3</v>
      </c>
      <c r="R114" s="1">
        <f>INDEX(Table2[[HomeTeam]:[Group_details]],ROWS($N$2:P114),COLUMNS($N$2:P114))</f>
        <v>2</v>
      </c>
      <c r="S114" s="1" t="str">
        <f>INDEX(Table2[[HomeTeam]:[Group_details]],ROWS($N$2:Q114),COLUMNS($N$2:Q114))</f>
        <v>France</v>
      </c>
      <c r="T114" s="1" t="str">
        <f>INDEX(Table2[[HomeTeam]:[Group_details]],ROWS($N$2:R114),COLUMNS($N$2:R114))</f>
        <v xml:space="preserve"> </v>
      </c>
      <c r="U114" s="1" t="str">
        <f>INDEX(Table2[[HomeTeam]:[Group_details]],ROWS($N$2:S114),COLUMNS($N$2:S114))</f>
        <v>Group stages</v>
      </c>
      <c r="V114" s="1" t="b">
        <f t="shared" si="1"/>
        <v>1</v>
      </c>
      <c r="W114" s="1">
        <f>IF(V114=TRUE,ROWS($V$2:V114),"")</f>
        <v>113</v>
      </c>
      <c r="X114" s="1" t="str">
        <f>IFERROR(SMALL($W$2:$W$853,ROWS($W$2:W114)),"")</f>
        <v/>
      </c>
      <c r="Y114" s="1" t="str">
        <f>IF($X114&lt;&gt;"",INDEX($P$2:$U$853,MATCH($X114,$W$2:$W$853,0),COLUMNS($X$2:X114)),"")</f>
        <v/>
      </c>
      <c r="Z114" s="1" t="str">
        <f>IF($X114&lt;&gt;"",INDEX($P$2:$U$853,MATCH($X114,$W$2:$W$853,0),COLUMNS($X$2:Y114)),"")</f>
        <v/>
      </c>
      <c r="AA114" s="1" t="str">
        <f>IF($X114&lt;&gt;"",INDEX($P$2:$U$853,MATCH($X114,$W$2:$W$853,0),COLUMNS($X$2:Z114)),"")</f>
        <v/>
      </c>
      <c r="AB114" s="1" t="str">
        <f>IF($X114&lt;&gt;"",INDEX($P$2:$U$853,MATCH($X114,$W$2:$W$853,0),COLUMNS($X$2:AA114)),"")</f>
        <v/>
      </c>
      <c r="AC114" s="1" t="str">
        <f>IF($X114&lt;&gt;"",INDEX($P$2:$U$853,MATCH($X114,$W$2:$W$853,0),COLUMNS($X$2:AB114)),"")</f>
        <v/>
      </c>
      <c r="AD114" s="1" t="str">
        <f>IF($X114&lt;&gt;"",INDEX($P$2:$U$853,MATCH($X114,$W$2:$W$853,0),COLUMNS($X$2:AC114)),"")</f>
        <v/>
      </c>
    </row>
    <row r="115" spans="1:30" x14ac:dyDescent="0.2">
      <c r="A115" s="1">
        <v>1958</v>
      </c>
      <c r="B115" s="2">
        <v>21347</v>
      </c>
      <c r="C115" s="1" t="s">
        <v>521</v>
      </c>
      <c r="D115" s="1" t="s">
        <v>15</v>
      </c>
      <c r="E115" s="1" t="s">
        <v>140</v>
      </c>
      <c r="F115" s="1" t="s">
        <v>141</v>
      </c>
      <c r="G115" s="6" t="str">
        <f>VLOOKUP(A115,WorldCups!$A$2:$B$23,2,FALSE)</f>
        <v>Sweden</v>
      </c>
      <c r="H115" s="1" t="s">
        <v>126</v>
      </c>
      <c r="I115" s="1">
        <v>2</v>
      </c>
      <c r="J115" s="1">
        <v>0</v>
      </c>
      <c r="K115" s="1" t="s">
        <v>36</v>
      </c>
      <c r="L115" s="1" t="s">
        <v>14</v>
      </c>
      <c r="M115" s="1" t="str">
        <f>IF(ISNUMBER(SEARCH("Group",Table2[[#This Row],[Round]])),"Group stages",Table2[[#This Row],[Round]])</f>
        <v>Group stages</v>
      </c>
      <c r="O115" s="1">
        <f>Table2[[#This Row],[Year]]</f>
        <v>1958</v>
      </c>
      <c r="P115" s="1" t="str">
        <f>INDEX(Table2[[HomeTeam]:[Group_details]],ROWS($N$2:N115),COLUMNS($N$2:N115))</f>
        <v>Soviet Union</v>
      </c>
      <c r="Q115" s="1">
        <f>INDEX(Table2[[HomeTeam]:[Group_details]],ROWS($N$2:O115),COLUMNS($N$2:O115))</f>
        <v>2</v>
      </c>
      <c r="R115" s="1">
        <f>INDEX(Table2[[HomeTeam]:[Group_details]],ROWS($N$2:P115),COLUMNS($N$2:P115))</f>
        <v>0</v>
      </c>
      <c r="S115" s="1" t="str">
        <f>INDEX(Table2[[HomeTeam]:[Group_details]],ROWS($N$2:Q115),COLUMNS($N$2:Q115))</f>
        <v>Austria</v>
      </c>
      <c r="T115" s="1" t="str">
        <f>INDEX(Table2[[HomeTeam]:[Group_details]],ROWS($N$2:R115),COLUMNS($N$2:R115))</f>
        <v xml:space="preserve"> </v>
      </c>
      <c r="U115" s="1" t="str">
        <f>INDEX(Table2[[HomeTeam]:[Group_details]],ROWS($N$2:S115),COLUMNS($N$2:S115))</f>
        <v>Group stages</v>
      </c>
      <c r="V115" s="1" t="b">
        <f t="shared" si="1"/>
        <v>1</v>
      </c>
      <c r="W115" s="1">
        <f>IF(V115=TRUE,ROWS($V$2:V115),"")</f>
        <v>114</v>
      </c>
      <c r="X115" s="1" t="str">
        <f>IFERROR(SMALL($W$2:$W$853,ROWS($W$2:W115)),"")</f>
        <v/>
      </c>
      <c r="Y115" s="1" t="str">
        <f>IF($X115&lt;&gt;"",INDEX($P$2:$U$853,MATCH($X115,$W$2:$W$853,0),COLUMNS($X$2:X115)),"")</f>
        <v/>
      </c>
      <c r="Z115" s="1" t="str">
        <f>IF($X115&lt;&gt;"",INDEX($P$2:$U$853,MATCH($X115,$W$2:$W$853,0),COLUMNS($X$2:Y115)),"")</f>
        <v/>
      </c>
      <c r="AA115" s="1" t="str">
        <f>IF($X115&lt;&gt;"",INDEX($P$2:$U$853,MATCH($X115,$W$2:$W$853,0),COLUMNS($X$2:Z115)),"")</f>
        <v/>
      </c>
      <c r="AB115" s="1" t="str">
        <f>IF($X115&lt;&gt;"",INDEX($P$2:$U$853,MATCH($X115,$W$2:$W$853,0),COLUMNS($X$2:AA115)),"")</f>
        <v/>
      </c>
      <c r="AC115" s="1" t="str">
        <f>IF($X115&lt;&gt;"",INDEX($P$2:$U$853,MATCH($X115,$W$2:$W$853,0),COLUMNS($X$2:AB115)),"")</f>
        <v/>
      </c>
      <c r="AD115" s="1" t="str">
        <f>IF($X115&lt;&gt;"",INDEX($P$2:$U$853,MATCH($X115,$W$2:$W$853,0),COLUMNS($X$2:AC115)),"")</f>
        <v/>
      </c>
    </row>
    <row r="116" spans="1:30" x14ac:dyDescent="0.2">
      <c r="A116" s="1">
        <v>1958</v>
      </c>
      <c r="B116" s="2">
        <v>21347</v>
      </c>
      <c r="C116" s="1" t="s">
        <v>521</v>
      </c>
      <c r="D116" s="1" t="s">
        <v>9</v>
      </c>
      <c r="E116" s="1" t="s">
        <v>142</v>
      </c>
      <c r="F116" s="1" t="s">
        <v>143</v>
      </c>
      <c r="G116" s="6" t="str">
        <f>VLOOKUP(A116,WorldCups!$A$2:$B$23,2,FALSE)</f>
        <v>Sweden</v>
      </c>
      <c r="H116" s="1" t="s">
        <v>114</v>
      </c>
      <c r="I116" s="1">
        <v>2</v>
      </c>
      <c r="J116" s="1">
        <v>2</v>
      </c>
      <c r="K116" s="1" t="s">
        <v>60</v>
      </c>
      <c r="L116" s="1" t="s">
        <v>14</v>
      </c>
      <c r="M116" s="1" t="str">
        <f>IF(ISNUMBER(SEARCH("Group",Table2[[#This Row],[Round]])),"Group stages",Table2[[#This Row],[Round]])</f>
        <v>Group stages</v>
      </c>
      <c r="O116" s="1">
        <f>Table2[[#This Row],[Year]]</f>
        <v>1958</v>
      </c>
      <c r="P116" s="1" t="str">
        <f>INDEX(Table2[[HomeTeam]:[Group_details]],ROWS($N$2:N116),COLUMNS($N$2:N116))</f>
        <v>Germany FR</v>
      </c>
      <c r="Q116" s="1">
        <f>INDEX(Table2[[HomeTeam]:[Group_details]],ROWS($N$2:O116),COLUMNS($N$2:O116))</f>
        <v>2</v>
      </c>
      <c r="R116" s="1">
        <f>INDEX(Table2[[HomeTeam]:[Group_details]],ROWS($N$2:P116),COLUMNS($N$2:P116))</f>
        <v>2</v>
      </c>
      <c r="S116" s="1" t="str">
        <f>INDEX(Table2[[HomeTeam]:[Group_details]],ROWS($N$2:Q116),COLUMNS($N$2:Q116))</f>
        <v>Czechoslovakia</v>
      </c>
      <c r="T116" s="1" t="str">
        <f>INDEX(Table2[[HomeTeam]:[Group_details]],ROWS($N$2:R116),COLUMNS($N$2:R116))</f>
        <v xml:space="preserve"> </v>
      </c>
      <c r="U116" s="1" t="str">
        <f>INDEX(Table2[[HomeTeam]:[Group_details]],ROWS($N$2:S116),COLUMNS($N$2:S116))</f>
        <v>Group stages</v>
      </c>
      <c r="V116" s="1" t="b">
        <f t="shared" si="1"/>
        <v>1</v>
      </c>
      <c r="W116" s="1">
        <f>IF(V116=TRUE,ROWS($V$2:V116),"")</f>
        <v>115</v>
      </c>
      <c r="X116" s="1" t="str">
        <f>IFERROR(SMALL($W$2:$W$853,ROWS($W$2:W116)),"")</f>
        <v/>
      </c>
      <c r="Y116" s="1" t="str">
        <f>IF($X116&lt;&gt;"",INDEX($P$2:$U$853,MATCH($X116,$W$2:$W$853,0),COLUMNS($X$2:X116)),"")</f>
        <v/>
      </c>
      <c r="Z116" s="1" t="str">
        <f>IF($X116&lt;&gt;"",INDEX($P$2:$U$853,MATCH($X116,$W$2:$W$853,0),COLUMNS($X$2:Y116)),"")</f>
        <v/>
      </c>
      <c r="AA116" s="1" t="str">
        <f>IF($X116&lt;&gt;"",INDEX($P$2:$U$853,MATCH($X116,$W$2:$W$853,0),COLUMNS($X$2:Z116)),"")</f>
        <v/>
      </c>
      <c r="AB116" s="1" t="str">
        <f>IF($X116&lt;&gt;"",INDEX($P$2:$U$853,MATCH($X116,$W$2:$W$853,0),COLUMNS($X$2:AA116)),"")</f>
        <v/>
      </c>
      <c r="AC116" s="1" t="str">
        <f>IF($X116&lt;&gt;"",INDEX($P$2:$U$853,MATCH($X116,$W$2:$W$853,0),COLUMNS($X$2:AB116)),"")</f>
        <v/>
      </c>
      <c r="AD116" s="1" t="str">
        <f>IF($X116&lt;&gt;"",INDEX($P$2:$U$853,MATCH($X116,$W$2:$W$853,0),COLUMNS($X$2:AC116)),"")</f>
        <v/>
      </c>
    </row>
    <row r="117" spans="1:30" x14ac:dyDescent="0.2">
      <c r="A117" s="1">
        <v>1958</v>
      </c>
      <c r="B117" s="2">
        <v>21347</v>
      </c>
      <c r="C117" s="1" t="s">
        <v>521</v>
      </c>
      <c r="D117" s="1" t="s">
        <v>9</v>
      </c>
      <c r="E117" s="1" t="s">
        <v>138</v>
      </c>
      <c r="F117" s="1" t="s">
        <v>139</v>
      </c>
      <c r="G117" s="6" t="str">
        <f>VLOOKUP(A117,WorldCups!$A$2:$B$23,2,FALSE)</f>
        <v>Sweden</v>
      </c>
      <c r="H117" s="1" t="s">
        <v>25</v>
      </c>
      <c r="I117" s="1">
        <v>3</v>
      </c>
      <c r="J117" s="1">
        <v>1</v>
      </c>
      <c r="K117" s="1" t="s">
        <v>537</v>
      </c>
      <c r="L117" s="1" t="s">
        <v>14</v>
      </c>
      <c r="M117" s="1" t="str">
        <f>IF(ISNUMBER(SEARCH("Group",Table2[[#This Row],[Round]])),"Group stages",Table2[[#This Row],[Round]])</f>
        <v>Group stages</v>
      </c>
      <c r="O117" s="1">
        <f>Table2[[#This Row],[Year]]</f>
        <v>1958</v>
      </c>
      <c r="P117" s="1" t="str">
        <f>INDEX(Table2[[HomeTeam]:[Group_details]],ROWS($N$2:N117),COLUMNS($N$2:N117))</f>
        <v>Argentina</v>
      </c>
      <c r="Q117" s="1">
        <f>INDEX(Table2[[HomeTeam]:[Group_details]],ROWS($N$2:O117),COLUMNS($N$2:O117))</f>
        <v>3</v>
      </c>
      <c r="R117" s="1">
        <f>INDEX(Table2[[HomeTeam]:[Group_details]],ROWS($N$2:P117),COLUMNS($N$2:P117))</f>
        <v>1</v>
      </c>
      <c r="S117" s="1" t="str">
        <f>INDEX(Table2[[HomeTeam]:[Group_details]],ROWS($N$2:Q117),COLUMNS($N$2:Q117))</f>
        <v>Northern Ireland</v>
      </c>
      <c r="T117" s="1" t="str">
        <f>INDEX(Table2[[HomeTeam]:[Group_details]],ROWS($N$2:R117),COLUMNS($N$2:R117))</f>
        <v xml:space="preserve"> </v>
      </c>
      <c r="U117" s="1" t="str">
        <f>INDEX(Table2[[HomeTeam]:[Group_details]],ROWS($N$2:S117),COLUMNS($N$2:S117))</f>
        <v>Group stages</v>
      </c>
      <c r="V117" s="1" t="b">
        <f t="shared" si="1"/>
        <v>1</v>
      </c>
      <c r="W117" s="1">
        <f>IF(V117=TRUE,ROWS($V$2:V117),"")</f>
        <v>116</v>
      </c>
      <c r="X117" s="1" t="str">
        <f>IFERROR(SMALL($W$2:$W$853,ROWS($W$2:W117)),"")</f>
        <v/>
      </c>
      <c r="Y117" s="1" t="str">
        <f>IF($X117&lt;&gt;"",INDEX($P$2:$U$853,MATCH($X117,$W$2:$W$853,0),COLUMNS($X$2:X117)),"")</f>
        <v/>
      </c>
      <c r="Z117" s="1" t="str">
        <f>IF($X117&lt;&gt;"",INDEX($P$2:$U$853,MATCH($X117,$W$2:$W$853,0),COLUMNS($X$2:Y117)),"")</f>
        <v/>
      </c>
      <c r="AA117" s="1" t="str">
        <f>IF($X117&lt;&gt;"",INDEX($P$2:$U$853,MATCH($X117,$W$2:$W$853,0),COLUMNS($X$2:Z117)),"")</f>
        <v/>
      </c>
      <c r="AB117" s="1" t="str">
        <f>IF($X117&lt;&gt;"",INDEX($P$2:$U$853,MATCH($X117,$W$2:$W$853,0),COLUMNS($X$2:AA117)),"")</f>
        <v/>
      </c>
      <c r="AC117" s="1" t="str">
        <f>IF($X117&lt;&gt;"",INDEX($P$2:$U$853,MATCH($X117,$W$2:$W$853,0),COLUMNS($X$2:AB117)),"")</f>
        <v/>
      </c>
      <c r="AD117" s="1" t="str">
        <f>IF($X117&lt;&gt;"",INDEX($P$2:$U$853,MATCH($X117,$W$2:$W$853,0),COLUMNS($X$2:AC117)),"")</f>
        <v/>
      </c>
    </row>
    <row r="118" spans="1:30" x14ac:dyDescent="0.2">
      <c r="A118" s="1">
        <v>1958</v>
      </c>
      <c r="B118" s="2">
        <v>21348</v>
      </c>
      <c r="C118" s="1" t="s">
        <v>521</v>
      </c>
      <c r="D118" s="1" t="s">
        <v>22</v>
      </c>
      <c r="E118" s="1" t="s">
        <v>122</v>
      </c>
      <c r="F118" s="1" t="s">
        <v>123</v>
      </c>
      <c r="G118" s="6" t="str">
        <f>VLOOKUP(A118,WorldCups!$A$2:$B$23,2,FALSE)</f>
        <v>Sweden</v>
      </c>
      <c r="H118" s="1" t="s">
        <v>48</v>
      </c>
      <c r="I118" s="1">
        <v>2</v>
      </c>
      <c r="J118" s="1">
        <v>1</v>
      </c>
      <c r="K118" s="1" t="s">
        <v>40</v>
      </c>
      <c r="L118" s="1" t="s">
        <v>14</v>
      </c>
      <c r="M118" s="1" t="str">
        <f>IF(ISNUMBER(SEARCH("Group",Table2[[#This Row],[Round]])),"Group stages",Table2[[#This Row],[Round]])</f>
        <v>Group stages</v>
      </c>
      <c r="O118" s="1">
        <f>Table2[[#This Row],[Year]]</f>
        <v>1958</v>
      </c>
      <c r="P118" s="1" t="str">
        <f>INDEX(Table2[[HomeTeam]:[Group_details]],ROWS($N$2:N118),COLUMNS($N$2:N118))</f>
        <v>Sweden</v>
      </c>
      <c r="Q118" s="1">
        <f>INDEX(Table2[[HomeTeam]:[Group_details]],ROWS($N$2:O118),COLUMNS($N$2:O118))</f>
        <v>2</v>
      </c>
      <c r="R118" s="1">
        <f>INDEX(Table2[[HomeTeam]:[Group_details]],ROWS($N$2:P118),COLUMNS($N$2:P118))</f>
        <v>1</v>
      </c>
      <c r="S118" s="1" t="str">
        <f>INDEX(Table2[[HomeTeam]:[Group_details]],ROWS($N$2:Q118),COLUMNS($N$2:Q118))</f>
        <v>Hungary</v>
      </c>
      <c r="T118" s="1" t="str">
        <f>INDEX(Table2[[HomeTeam]:[Group_details]],ROWS($N$2:R118),COLUMNS($N$2:R118))</f>
        <v xml:space="preserve"> </v>
      </c>
      <c r="U118" s="1" t="str">
        <f>INDEX(Table2[[HomeTeam]:[Group_details]],ROWS($N$2:S118),COLUMNS($N$2:S118))</f>
        <v>Group stages</v>
      </c>
      <c r="V118" s="1" t="b">
        <f t="shared" si="1"/>
        <v>1</v>
      </c>
      <c r="W118" s="1">
        <f>IF(V118=TRUE,ROWS($V$2:V118),"")</f>
        <v>117</v>
      </c>
      <c r="X118" s="1" t="str">
        <f>IFERROR(SMALL($W$2:$W$853,ROWS($W$2:W118)),"")</f>
        <v/>
      </c>
      <c r="Y118" s="1" t="str">
        <f>IF($X118&lt;&gt;"",INDEX($P$2:$U$853,MATCH($X118,$W$2:$W$853,0),COLUMNS($X$2:X118)),"")</f>
        <v/>
      </c>
      <c r="Z118" s="1" t="str">
        <f>IF($X118&lt;&gt;"",INDEX($P$2:$U$853,MATCH($X118,$W$2:$W$853,0),COLUMNS($X$2:Y118)),"")</f>
        <v/>
      </c>
      <c r="AA118" s="1" t="str">
        <f>IF($X118&lt;&gt;"",INDEX($P$2:$U$853,MATCH($X118,$W$2:$W$853,0),COLUMNS($X$2:Z118)),"")</f>
        <v/>
      </c>
      <c r="AB118" s="1" t="str">
        <f>IF($X118&lt;&gt;"",INDEX($P$2:$U$853,MATCH($X118,$W$2:$W$853,0),COLUMNS($X$2:AA118)),"")</f>
        <v/>
      </c>
      <c r="AC118" s="1" t="str">
        <f>IF($X118&lt;&gt;"",INDEX($P$2:$U$853,MATCH($X118,$W$2:$W$853,0),COLUMNS($X$2:AB118)),"")</f>
        <v/>
      </c>
      <c r="AD118" s="1" t="str">
        <f>IF($X118&lt;&gt;"",INDEX($P$2:$U$853,MATCH($X118,$W$2:$W$853,0),COLUMNS($X$2:AC118)),"")</f>
        <v/>
      </c>
    </row>
    <row r="119" spans="1:30" x14ac:dyDescent="0.2">
      <c r="A119" s="1">
        <v>1958</v>
      </c>
      <c r="B119" s="2">
        <v>21351</v>
      </c>
      <c r="C119" s="1" t="s">
        <v>520</v>
      </c>
      <c r="D119" s="1" t="s">
        <v>22</v>
      </c>
      <c r="E119" s="1" t="s">
        <v>122</v>
      </c>
      <c r="F119" s="1" t="s">
        <v>123</v>
      </c>
      <c r="G119" s="6" t="str">
        <f>VLOOKUP(A119,WorldCups!$A$2:$B$23,2,FALSE)</f>
        <v>Sweden</v>
      </c>
      <c r="H119" s="1" t="s">
        <v>48</v>
      </c>
      <c r="I119" s="1">
        <v>0</v>
      </c>
      <c r="J119" s="1">
        <v>0</v>
      </c>
      <c r="K119" s="1" t="s">
        <v>131</v>
      </c>
      <c r="L119" s="1" t="s">
        <v>14</v>
      </c>
      <c r="M119" s="1" t="str">
        <f>IF(ISNUMBER(SEARCH("Group",Table2[[#This Row],[Round]])),"Group stages",Table2[[#This Row],[Round]])</f>
        <v>Group stages</v>
      </c>
      <c r="O119" s="1">
        <f>Table2[[#This Row],[Year]]</f>
        <v>1958</v>
      </c>
      <c r="P119" s="1" t="str">
        <f>INDEX(Table2[[HomeTeam]:[Group_details]],ROWS($N$2:N119),COLUMNS($N$2:N119))</f>
        <v>Sweden</v>
      </c>
      <c r="Q119" s="1">
        <f>INDEX(Table2[[HomeTeam]:[Group_details]],ROWS($N$2:O119),COLUMNS($N$2:O119))</f>
        <v>0</v>
      </c>
      <c r="R119" s="1">
        <f>INDEX(Table2[[HomeTeam]:[Group_details]],ROWS($N$2:P119),COLUMNS($N$2:P119))</f>
        <v>0</v>
      </c>
      <c r="S119" s="1" t="str">
        <f>INDEX(Table2[[HomeTeam]:[Group_details]],ROWS($N$2:Q119),COLUMNS($N$2:Q119))</f>
        <v>Wales</v>
      </c>
      <c r="T119" s="1" t="str">
        <f>INDEX(Table2[[HomeTeam]:[Group_details]],ROWS($N$2:R119),COLUMNS($N$2:R119))</f>
        <v xml:space="preserve"> </v>
      </c>
      <c r="U119" s="1" t="str">
        <f>INDEX(Table2[[HomeTeam]:[Group_details]],ROWS($N$2:S119),COLUMNS($N$2:S119))</f>
        <v>Group stages</v>
      </c>
      <c r="V119" s="1" t="b">
        <f t="shared" si="1"/>
        <v>1</v>
      </c>
      <c r="W119" s="1">
        <f>IF(V119=TRUE,ROWS($V$2:V119),"")</f>
        <v>118</v>
      </c>
      <c r="X119" s="1" t="str">
        <f>IFERROR(SMALL($W$2:$W$853,ROWS($W$2:W119)),"")</f>
        <v/>
      </c>
      <c r="Y119" s="1" t="str">
        <f>IF($X119&lt;&gt;"",INDEX($P$2:$U$853,MATCH($X119,$W$2:$W$853,0),COLUMNS($X$2:X119)),"")</f>
        <v/>
      </c>
      <c r="Z119" s="1" t="str">
        <f>IF($X119&lt;&gt;"",INDEX($P$2:$U$853,MATCH($X119,$W$2:$W$853,0),COLUMNS($X$2:Y119)),"")</f>
        <v/>
      </c>
      <c r="AA119" s="1" t="str">
        <f>IF($X119&lt;&gt;"",INDEX($P$2:$U$853,MATCH($X119,$W$2:$W$853,0),COLUMNS($X$2:Z119)),"")</f>
        <v/>
      </c>
      <c r="AB119" s="1" t="str">
        <f>IF($X119&lt;&gt;"",INDEX($P$2:$U$853,MATCH($X119,$W$2:$W$853,0),COLUMNS($X$2:AA119)),"")</f>
        <v/>
      </c>
      <c r="AC119" s="1" t="str">
        <f>IF($X119&lt;&gt;"",INDEX($P$2:$U$853,MATCH($X119,$W$2:$W$853,0),COLUMNS($X$2:AB119)),"")</f>
        <v/>
      </c>
      <c r="AD119" s="1" t="str">
        <f>IF($X119&lt;&gt;"",INDEX($P$2:$U$853,MATCH($X119,$W$2:$W$853,0),COLUMNS($X$2:AC119)),"")</f>
        <v/>
      </c>
    </row>
    <row r="120" spans="1:30" x14ac:dyDescent="0.2">
      <c r="A120" s="1">
        <v>1958</v>
      </c>
      <c r="B120" s="2">
        <v>21351</v>
      </c>
      <c r="C120" s="1" t="s">
        <v>521</v>
      </c>
      <c r="D120" s="1" t="s">
        <v>15</v>
      </c>
      <c r="E120" s="1" t="s">
        <v>124</v>
      </c>
      <c r="F120" s="1" t="s">
        <v>125</v>
      </c>
      <c r="G120" s="6" t="str">
        <f>VLOOKUP(A120,WorldCups!$A$2:$B$23,2,FALSE)</f>
        <v>Sweden</v>
      </c>
      <c r="H120" s="1" t="s">
        <v>21</v>
      </c>
      <c r="I120" s="1">
        <v>2</v>
      </c>
      <c r="J120" s="1">
        <v>0</v>
      </c>
      <c r="K120" s="1" t="s">
        <v>126</v>
      </c>
      <c r="L120" s="1" t="s">
        <v>14</v>
      </c>
      <c r="M120" s="1" t="str">
        <f>IF(ISNUMBER(SEARCH("Group",Table2[[#This Row],[Round]])),"Group stages",Table2[[#This Row],[Round]])</f>
        <v>Group stages</v>
      </c>
      <c r="O120" s="1">
        <f>Table2[[#This Row],[Year]]</f>
        <v>1958</v>
      </c>
      <c r="P120" s="1" t="str">
        <f>INDEX(Table2[[HomeTeam]:[Group_details]],ROWS($N$2:N120),COLUMNS($N$2:N120))</f>
        <v>Brazil</v>
      </c>
      <c r="Q120" s="1">
        <f>INDEX(Table2[[HomeTeam]:[Group_details]],ROWS($N$2:O120),COLUMNS($N$2:O120))</f>
        <v>2</v>
      </c>
      <c r="R120" s="1">
        <f>INDEX(Table2[[HomeTeam]:[Group_details]],ROWS($N$2:P120),COLUMNS($N$2:P120))</f>
        <v>0</v>
      </c>
      <c r="S120" s="1" t="str">
        <f>INDEX(Table2[[HomeTeam]:[Group_details]],ROWS($N$2:Q120),COLUMNS($N$2:Q120))</f>
        <v>Soviet Union</v>
      </c>
      <c r="T120" s="1" t="str">
        <f>INDEX(Table2[[HomeTeam]:[Group_details]],ROWS($N$2:R120),COLUMNS($N$2:R120))</f>
        <v xml:space="preserve"> </v>
      </c>
      <c r="U120" s="1" t="str">
        <f>INDEX(Table2[[HomeTeam]:[Group_details]],ROWS($N$2:S120),COLUMNS($N$2:S120))</f>
        <v>Group stages</v>
      </c>
      <c r="V120" s="1" t="b">
        <f t="shared" si="1"/>
        <v>1</v>
      </c>
      <c r="W120" s="1">
        <f>IF(V120=TRUE,ROWS($V$2:V120),"")</f>
        <v>119</v>
      </c>
      <c r="X120" s="1" t="str">
        <f>IFERROR(SMALL($W$2:$W$853,ROWS($W$2:W120)),"")</f>
        <v/>
      </c>
      <c r="Y120" s="1" t="str">
        <f>IF($X120&lt;&gt;"",INDEX($P$2:$U$853,MATCH($X120,$W$2:$W$853,0),COLUMNS($X$2:X120)),"")</f>
        <v/>
      </c>
      <c r="Z120" s="1" t="str">
        <f>IF($X120&lt;&gt;"",INDEX($P$2:$U$853,MATCH($X120,$W$2:$W$853,0),COLUMNS($X$2:Y120)),"")</f>
        <v/>
      </c>
      <c r="AA120" s="1" t="str">
        <f>IF($X120&lt;&gt;"",INDEX($P$2:$U$853,MATCH($X120,$W$2:$W$853,0),COLUMNS($X$2:Z120)),"")</f>
        <v/>
      </c>
      <c r="AB120" s="1" t="str">
        <f>IF($X120&lt;&gt;"",INDEX($P$2:$U$853,MATCH($X120,$W$2:$W$853,0),COLUMNS($X$2:AA120)),"")</f>
        <v/>
      </c>
      <c r="AC120" s="1" t="str">
        <f>IF($X120&lt;&gt;"",INDEX($P$2:$U$853,MATCH($X120,$W$2:$W$853,0),COLUMNS($X$2:AB120)),"")</f>
        <v/>
      </c>
      <c r="AD120" s="1" t="str">
        <f>IF($X120&lt;&gt;"",INDEX($P$2:$U$853,MATCH($X120,$W$2:$W$853,0),COLUMNS($X$2:AC120)),"")</f>
        <v/>
      </c>
    </row>
    <row r="121" spans="1:30" x14ac:dyDescent="0.2">
      <c r="A121" s="1">
        <v>1958</v>
      </c>
      <c r="B121" s="2">
        <v>21351</v>
      </c>
      <c r="C121" s="1" t="s">
        <v>521</v>
      </c>
      <c r="D121" s="1" t="s">
        <v>9</v>
      </c>
      <c r="E121" s="1" t="s">
        <v>127</v>
      </c>
      <c r="F121" s="1" t="s">
        <v>128</v>
      </c>
      <c r="G121" s="6" t="str">
        <f>VLOOKUP(A121,WorldCups!$A$2:$B$23,2,FALSE)</f>
        <v>Sweden</v>
      </c>
      <c r="H121" s="1" t="s">
        <v>114</v>
      </c>
      <c r="I121" s="1">
        <v>2</v>
      </c>
      <c r="J121" s="1">
        <v>2</v>
      </c>
      <c r="K121" s="1" t="s">
        <v>537</v>
      </c>
      <c r="L121" s="1" t="s">
        <v>14</v>
      </c>
      <c r="M121" s="1" t="str">
        <f>IF(ISNUMBER(SEARCH("Group",Table2[[#This Row],[Round]])),"Group stages",Table2[[#This Row],[Round]])</f>
        <v>Group stages</v>
      </c>
      <c r="O121" s="1">
        <f>Table2[[#This Row],[Year]]</f>
        <v>1958</v>
      </c>
      <c r="P121" s="1" t="str">
        <f>INDEX(Table2[[HomeTeam]:[Group_details]],ROWS($N$2:N121),COLUMNS($N$2:N121))</f>
        <v>Germany FR</v>
      </c>
      <c r="Q121" s="1">
        <f>INDEX(Table2[[HomeTeam]:[Group_details]],ROWS($N$2:O121),COLUMNS($N$2:O121))</f>
        <v>2</v>
      </c>
      <c r="R121" s="1">
        <f>INDEX(Table2[[HomeTeam]:[Group_details]],ROWS($N$2:P121),COLUMNS($N$2:P121))</f>
        <v>2</v>
      </c>
      <c r="S121" s="1" t="str">
        <f>INDEX(Table2[[HomeTeam]:[Group_details]],ROWS($N$2:Q121),COLUMNS($N$2:Q121))</f>
        <v>Northern Ireland</v>
      </c>
      <c r="T121" s="1" t="str">
        <f>INDEX(Table2[[HomeTeam]:[Group_details]],ROWS($N$2:R121),COLUMNS($N$2:R121))</f>
        <v xml:space="preserve"> </v>
      </c>
      <c r="U121" s="1" t="str">
        <f>INDEX(Table2[[HomeTeam]:[Group_details]],ROWS($N$2:S121),COLUMNS($N$2:S121))</f>
        <v>Group stages</v>
      </c>
      <c r="V121" s="1" t="b">
        <f t="shared" si="1"/>
        <v>1</v>
      </c>
      <c r="W121" s="1">
        <f>IF(V121=TRUE,ROWS($V$2:V121),"")</f>
        <v>120</v>
      </c>
      <c r="X121" s="1" t="str">
        <f>IFERROR(SMALL($W$2:$W$853,ROWS($W$2:W121)),"")</f>
        <v/>
      </c>
      <c r="Y121" s="1" t="str">
        <f>IF($X121&lt;&gt;"",INDEX($P$2:$U$853,MATCH($X121,$W$2:$W$853,0),COLUMNS($X$2:X121)),"")</f>
        <v/>
      </c>
      <c r="Z121" s="1" t="str">
        <f>IF($X121&lt;&gt;"",INDEX($P$2:$U$853,MATCH($X121,$W$2:$W$853,0),COLUMNS($X$2:Y121)),"")</f>
        <v/>
      </c>
      <c r="AA121" s="1" t="str">
        <f>IF($X121&lt;&gt;"",INDEX($P$2:$U$853,MATCH($X121,$W$2:$W$853,0),COLUMNS($X$2:Z121)),"")</f>
        <v/>
      </c>
      <c r="AB121" s="1" t="str">
        <f>IF($X121&lt;&gt;"",INDEX($P$2:$U$853,MATCH($X121,$W$2:$W$853,0),COLUMNS($X$2:AA121)),"")</f>
        <v/>
      </c>
      <c r="AC121" s="1" t="str">
        <f>IF($X121&lt;&gt;"",INDEX($P$2:$U$853,MATCH($X121,$W$2:$W$853,0),COLUMNS($X$2:AB121)),"")</f>
        <v/>
      </c>
      <c r="AD121" s="1" t="str">
        <f>IF($X121&lt;&gt;"",INDEX($P$2:$U$853,MATCH($X121,$W$2:$W$853,0),COLUMNS($X$2:AC121)),"")</f>
        <v/>
      </c>
    </row>
    <row r="122" spans="1:30" x14ac:dyDescent="0.2">
      <c r="A122" s="1">
        <v>1958</v>
      </c>
      <c r="B122" s="2">
        <v>21351</v>
      </c>
      <c r="C122" s="1" t="s">
        <v>521</v>
      </c>
      <c r="D122" s="1" t="s">
        <v>22</v>
      </c>
      <c r="E122" s="1" t="s">
        <v>129</v>
      </c>
      <c r="F122" s="1" t="s">
        <v>130</v>
      </c>
      <c r="G122" s="6" t="str">
        <f>VLOOKUP(A122,WorldCups!$A$2:$B$23,2,FALSE)</f>
        <v>Sweden</v>
      </c>
      <c r="H122" s="1" t="s">
        <v>40</v>
      </c>
      <c r="I122" s="1">
        <v>4</v>
      </c>
      <c r="J122" s="1">
        <v>0</v>
      </c>
      <c r="K122" s="1" t="s">
        <v>13</v>
      </c>
      <c r="L122" s="1" t="s">
        <v>14</v>
      </c>
      <c r="M122" s="1" t="str">
        <f>IF(ISNUMBER(SEARCH("Group",Table2[[#This Row],[Round]])),"Group stages",Table2[[#This Row],[Round]])</f>
        <v>Group stages</v>
      </c>
      <c r="O122" s="1">
        <f>Table2[[#This Row],[Year]]</f>
        <v>1958</v>
      </c>
      <c r="P122" s="1" t="str">
        <f>INDEX(Table2[[HomeTeam]:[Group_details]],ROWS($N$2:N122),COLUMNS($N$2:N122))</f>
        <v>Hungary</v>
      </c>
      <c r="Q122" s="1">
        <f>INDEX(Table2[[HomeTeam]:[Group_details]],ROWS($N$2:O122),COLUMNS($N$2:O122))</f>
        <v>4</v>
      </c>
      <c r="R122" s="1">
        <f>INDEX(Table2[[HomeTeam]:[Group_details]],ROWS($N$2:P122),COLUMNS($N$2:P122))</f>
        <v>0</v>
      </c>
      <c r="S122" s="1" t="str">
        <f>INDEX(Table2[[HomeTeam]:[Group_details]],ROWS($N$2:Q122),COLUMNS($N$2:Q122))</f>
        <v>Mexico</v>
      </c>
      <c r="T122" s="1" t="str">
        <f>INDEX(Table2[[HomeTeam]:[Group_details]],ROWS($N$2:R122),COLUMNS($N$2:R122))</f>
        <v xml:space="preserve"> </v>
      </c>
      <c r="U122" s="1" t="str">
        <f>INDEX(Table2[[HomeTeam]:[Group_details]],ROWS($N$2:S122),COLUMNS($N$2:S122))</f>
        <v>Group stages</v>
      </c>
      <c r="V122" s="1" t="b">
        <f t="shared" si="1"/>
        <v>1</v>
      </c>
      <c r="W122" s="1">
        <f>IF(V122=TRUE,ROWS($V$2:V122),"")</f>
        <v>121</v>
      </c>
      <c r="X122" s="1" t="str">
        <f>IFERROR(SMALL($W$2:$W$853,ROWS($W$2:W122)),"")</f>
        <v/>
      </c>
      <c r="Y122" s="1" t="str">
        <f>IF($X122&lt;&gt;"",INDEX($P$2:$U$853,MATCH($X122,$W$2:$W$853,0),COLUMNS($X$2:X122)),"")</f>
        <v/>
      </c>
      <c r="Z122" s="1" t="str">
        <f>IF($X122&lt;&gt;"",INDEX($P$2:$U$853,MATCH($X122,$W$2:$W$853,0),COLUMNS($X$2:Y122)),"")</f>
        <v/>
      </c>
      <c r="AA122" s="1" t="str">
        <f>IF($X122&lt;&gt;"",INDEX($P$2:$U$853,MATCH($X122,$W$2:$W$853,0),COLUMNS($X$2:Z122)),"")</f>
        <v/>
      </c>
      <c r="AB122" s="1" t="str">
        <f>IF($X122&lt;&gt;"",INDEX($P$2:$U$853,MATCH($X122,$W$2:$W$853,0),COLUMNS($X$2:AA122)),"")</f>
        <v/>
      </c>
      <c r="AC122" s="1" t="str">
        <f>IF($X122&lt;&gt;"",INDEX($P$2:$U$853,MATCH($X122,$W$2:$W$853,0),COLUMNS($X$2:AB122)),"")</f>
        <v/>
      </c>
      <c r="AD122" s="1" t="str">
        <f>IF($X122&lt;&gt;"",INDEX($P$2:$U$853,MATCH($X122,$W$2:$W$853,0),COLUMNS($X$2:AC122)),"")</f>
        <v/>
      </c>
    </row>
    <row r="123" spans="1:30" x14ac:dyDescent="0.2">
      <c r="A123" s="1">
        <v>1958</v>
      </c>
      <c r="B123" s="2">
        <v>21351</v>
      </c>
      <c r="C123" s="1" t="s">
        <v>521</v>
      </c>
      <c r="D123" s="1" t="s">
        <v>19</v>
      </c>
      <c r="E123" s="1" t="s">
        <v>144</v>
      </c>
      <c r="F123" s="1" t="s">
        <v>145</v>
      </c>
      <c r="G123" s="6" t="str">
        <f>VLOOKUP(A123,WorldCups!$A$2:$B$23,2,FALSE)</f>
        <v>Sweden</v>
      </c>
      <c r="H123" s="1" t="s">
        <v>28</v>
      </c>
      <c r="I123" s="1">
        <v>3</v>
      </c>
      <c r="J123" s="1">
        <v>3</v>
      </c>
      <c r="K123" s="1" t="s">
        <v>20</v>
      </c>
      <c r="L123" s="1" t="s">
        <v>14</v>
      </c>
      <c r="M123" s="1" t="str">
        <f>IF(ISNUMBER(SEARCH("Group",Table2[[#This Row],[Round]])),"Group stages",Table2[[#This Row],[Round]])</f>
        <v>Group stages</v>
      </c>
      <c r="O123" s="1">
        <f>Table2[[#This Row],[Year]]</f>
        <v>1958</v>
      </c>
      <c r="P123" s="1" t="str">
        <f>INDEX(Table2[[HomeTeam]:[Group_details]],ROWS($N$2:N123),COLUMNS($N$2:N123))</f>
        <v>Paraguay</v>
      </c>
      <c r="Q123" s="1">
        <f>INDEX(Table2[[HomeTeam]:[Group_details]],ROWS($N$2:O123),COLUMNS($N$2:O123))</f>
        <v>3</v>
      </c>
      <c r="R123" s="1">
        <f>INDEX(Table2[[HomeTeam]:[Group_details]],ROWS($N$2:P123),COLUMNS($N$2:P123))</f>
        <v>3</v>
      </c>
      <c r="S123" s="1" t="str">
        <f>INDEX(Table2[[HomeTeam]:[Group_details]],ROWS($N$2:Q123),COLUMNS($N$2:Q123))</f>
        <v>Yugoslavia</v>
      </c>
      <c r="T123" s="1" t="str">
        <f>INDEX(Table2[[HomeTeam]:[Group_details]],ROWS($N$2:R123),COLUMNS($N$2:R123))</f>
        <v xml:space="preserve"> </v>
      </c>
      <c r="U123" s="1" t="str">
        <f>INDEX(Table2[[HomeTeam]:[Group_details]],ROWS($N$2:S123),COLUMNS($N$2:S123))</f>
        <v>Group stages</v>
      </c>
      <c r="V123" s="1" t="b">
        <f t="shared" si="1"/>
        <v>1</v>
      </c>
      <c r="W123" s="1">
        <f>IF(V123=TRUE,ROWS($V$2:V123),"")</f>
        <v>122</v>
      </c>
      <c r="X123" s="1" t="str">
        <f>IFERROR(SMALL($W$2:$W$853,ROWS($W$2:W123)),"")</f>
        <v/>
      </c>
      <c r="Y123" s="1" t="str">
        <f>IF($X123&lt;&gt;"",INDEX($P$2:$U$853,MATCH($X123,$W$2:$W$853,0),COLUMNS($X$2:X123)),"")</f>
        <v/>
      </c>
      <c r="Z123" s="1" t="str">
        <f>IF($X123&lt;&gt;"",INDEX($P$2:$U$853,MATCH($X123,$W$2:$W$853,0),COLUMNS($X$2:Y123)),"")</f>
        <v/>
      </c>
      <c r="AA123" s="1" t="str">
        <f>IF($X123&lt;&gt;"",INDEX($P$2:$U$853,MATCH($X123,$W$2:$W$853,0),COLUMNS($X$2:Z123)),"")</f>
        <v/>
      </c>
      <c r="AB123" s="1" t="str">
        <f>IF($X123&lt;&gt;"",INDEX($P$2:$U$853,MATCH($X123,$W$2:$W$853,0),COLUMNS($X$2:AA123)),"")</f>
        <v/>
      </c>
      <c r="AC123" s="1" t="str">
        <f>IF($X123&lt;&gt;"",INDEX($P$2:$U$853,MATCH($X123,$W$2:$W$853,0),COLUMNS($X$2:AB123)),"")</f>
        <v/>
      </c>
      <c r="AD123" s="1" t="str">
        <f>IF($X123&lt;&gt;"",INDEX($P$2:$U$853,MATCH($X123,$W$2:$W$853,0),COLUMNS($X$2:AC123)),"")</f>
        <v/>
      </c>
    </row>
    <row r="124" spans="1:30" x14ac:dyDescent="0.2">
      <c r="A124" s="1">
        <v>1958</v>
      </c>
      <c r="B124" s="2">
        <v>21351</v>
      </c>
      <c r="C124" s="1" t="s">
        <v>521</v>
      </c>
      <c r="D124" s="1" t="s">
        <v>19</v>
      </c>
      <c r="E124" s="1" t="s">
        <v>146</v>
      </c>
      <c r="F124" s="1" t="s">
        <v>147</v>
      </c>
      <c r="G124" s="6" t="str">
        <f>VLOOKUP(A124,WorldCups!$A$2:$B$23,2,FALSE)</f>
        <v>Sweden</v>
      </c>
      <c r="H124" s="1" t="s">
        <v>12</v>
      </c>
      <c r="I124" s="1">
        <v>2</v>
      </c>
      <c r="J124" s="1">
        <v>1</v>
      </c>
      <c r="K124" s="1" t="s">
        <v>109</v>
      </c>
      <c r="L124" s="1" t="s">
        <v>14</v>
      </c>
      <c r="M124" s="1" t="str">
        <f>IF(ISNUMBER(SEARCH("Group",Table2[[#This Row],[Round]])),"Group stages",Table2[[#This Row],[Round]])</f>
        <v>Group stages</v>
      </c>
      <c r="O124" s="1">
        <f>Table2[[#This Row],[Year]]</f>
        <v>1958</v>
      </c>
      <c r="P124" s="1" t="str">
        <f>INDEX(Table2[[HomeTeam]:[Group_details]],ROWS($N$2:N124),COLUMNS($N$2:N124))</f>
        <v>France</v>
      </c>
      <c r="Q124" s="1">
        <f>INDEX(Table2[[HomeTeam]:[Group_details]],ROWS($N$2:O124),COLUMNS($N$2:O124))</f>
        <v>2</v>
      </c>
      <c r="R124" s="1">
        <f>INDEX(Table2[[HomeTeam]:[Group_details]],ROWS($N$2:P124),COLUMNS($N$2:P124))</f>
        <v>1</v>
      </c>
      <c r="S124" s="1" t="str">
        <f>INDEX(Table2[[HomeTeam]:[Group_details]],ROWS($N$2:Q124),COLUMNS($N$2:Q124))</f>
        <v>Scotland</v>
      </c>
      <c r="T124" s="1" t="str">
        <f>INDEX(Table2[[HomeTeam]:[Group_details]],ROWS($N$2:R124),COLUMNS($N$2:R124))</f>
        <v xml:space="preserve"> </v>
      </c>
      <c r="U124" s="1" t="str">
        <f>INDEX(Table2[[HomeTeam]:[Group_details]],ROWS($N$2:S124),COLUMNS($N$2:S124))</f>
        <v>Group stages</v>
      </c>
      <c r="V124" s="1" t="b">
        <f t="shared" si="1"/>
        <v>1</v>
      </c>
      <c r="W124" s="1">
        <f>IF(V124=TRUE,ROWS($V$2:V124),"")</f>
        <v>123</v>
      </c>
      <c r="X124" s="1" t="str">
        <f>IFERROR(SMALL($W$2:$W$853,ROWS($W$2:W124)),"")</f>
        <v/>
      </c>
      <c r="Y124" s="1" t="str">
        <f>IF($X124&lt;&gt;"",INDEX($P$2:$U$853,MATCH($X124,$W$2:$W$853,0),COLUMNS($X$2:X124)),"")</f>
        <v/>
      </c>
      <c r="Z124" s="1" t="str">
        <f>IF($X124&lt;&gt;"",INDEX($P$2:$U$853,MATCH($X124,$W$2:$W$853,0),COLUMNS($X$2:Y124)),"")</f>
        <v/>
      </c>
      <c r="AA124" s="1" t="str">
        <f>IF($X124&lt;&gt;"",INDEX($P$2:$U$853,MATCH($X124,$W$2:$W$853,0),COLUMNS($X$2:Z124)),"")</f>
        <v/>
      </c>
      <c r="AB124" s="1" t="str">
        <f>IF($X124&lt;&gt;"",INDEX($P$2:$U$853,MATCH($X124,$W$2:$W$853,0),COLUMNS($X$2:AA124)),"")</f>
        <v/>
      </c>
      <c r="AC124" s="1" t="str">
        <f>IF($X124&lt;&gt;"",INDEX($P$2:$U$853,MATCH($X124,$W$2:$W$853,0),COLUMNS($X$2:AB124)),"")</f>
        <v/>
      </c>
      <c r="AD124" s="1" t="str">
        <f>IF($X124&lt;&gt;"",INDEX($P$2:$U$853,MATCH($X124,$W$2:$W$853,0),COLUMNS($X$2:AC124)),"")</f>
        <v/>
      </c>
    </row>
    <row r="125" spans="1:30" x14ac:dyDescent="0.2">
      <c r="A125" s="1">
        <v>1958</v>
      </c>
      <c r="B125" s="2">
        <v>21351</v>
      </c>
      <c r="C125" s="1" t="s">
        <v>521</v>
      </c>
      <c r="D125" s="1" t="s">
        <v>15</v>
      </c>
      <c r="E125" s="1" t="s">
        <v>140</v>
      </c>
      <c r="F125" s="1" t="s">
        <v>141</v>
      </c>
      <c r="G125" s="6" t="str">
        <f>VLOOKUP(A125,WorldCups!$A$2:$B$23,2,FALSE)</f>
        <v>Sweden</v>
      </c>
      <c r="H125" s="1" t="s">
        <v>93</v>
      </c>
      <c r="I125" s="1">
        <v>2</v>
      </c>
      <c r="J125" s="1">
        <v>2</v>
      </c>
      <c r="K125" s="1" t="s">
        <v>36</v>
      </c>
      <c r="L125" s="1" t="s">
        <v>14</v>
      </c>
      <c r="M125" s="1" t="str">
        <f>IF(ISNUMBER(SEARCH("Group",Table2[[#This Row],[Round]])),"Group stages",Table2[[#This Row],[Round]])</f>
        <v>Group stages</v>
      </c>
      <c r="O125" s="1">
        <f>Table2[[#This Row],[Year]]</f>
        <v>1958</v>
      </c>
      <c r="P125" s="1" t="str">
        <f>INDEX(Table2[[HomeTeam]:[Group_details]],ROWS($N$2:N125),COLUMNS($N$2:N125))</f>
        <v>England</v>
      </c>
      <c r="Q125" s="1">
        <f>INDEX(Table2[[HomeTeam]:[Group_details]],ROWS($N$2:O125),COLUMNS($N$2:O125))</f>
        <v>2</v>
      </c>
      <c r="R125" s="1">
        <f>INDEX(Table2[[HomeTeam]:[Group_details]],ROWS($N$2:P125),COLUMNS($N$2:P125))</f>
        <v>2</v>
      </c>
      <c r="S125" s="1" t="str">
        <f>INDEX(Table2[[HomeTeam]:[Group_details]],ROWS($N$2:Q125),COLUMNS($N$2:Q125))</f>
        <v>Austria</v>
      </c>
      <c r="T125" s="1" t="str">
        <f>INDEX(Table2[[HomeTeam]:[Group_details]],ROWS($N$2:R125),COLUMNS($N$2:R125))</f>
        <v xml:space="preserve"> </v>
      </c>
      <c r="U125" s="1" t="str">
        <f>INDEX(Table2[[HomeTeam]:[Group_details]],ROWS($N$2:S125),COLUMNS($N$2:S125))</f>
        <v>Group stages</v>
      </c>
      <c r="V125" s="1" t="b">
        <f t="shared" si="1"/>
        <v>1</v>
      </c>
      <c r="W125" s="1">
        <f>IF(V125=TRUE,ROWS($V$2:V125),"")</f>
        <v>124</v>
      </c>
      <c r="X125" s="1" t="str">
        <f>IFERROR(SMALL($W$2:$W$853,ROWS($W$2:W125)),"")</f>
        <v/>
      </c>
      <c r="Y125" s="1" t="str">
        <f>IF($X125&lt;&gt;"",INDEX($P$2:$U$853,MATCH($X125,$W$2:$W$853,0),COLUMNS($X$2:X125)),"")</f>
        <v/>
      </c>
      <c r="Z125" s="1" t="str">
        <f>IF($X125&lt;&gt;"",INDEX($P$2:$U$853,MATCH($X125,$W$2:$W$853,0),COLUMNS($X$2:Y125)),"")</f>
        <v/>
      </c>
      <c r="AA125" s="1" t="str">
        <f>IF($X125&lt;&gt;"",INDEX($P$2:$U$853,MATCH($X125,$W$2:$W$853,0),COLUMNS($X$2:Z125)),"")</f>
        <v/>
      </c>
      <c r="AB125" s="1" t="str">
        <f>IF($X125&lt;&gt;"",INDEX($P$2:$U$853,MATCH($X125,$W$2:$W$853,0),COLUMNS($X$2:AA125)),"")</f>
        <v/>
      </c>
      <c r="AC125" s="1" t="str">
        <f>IF($X125&lt;&gt;"",INDEX($P$2:$U$853,MATCH($X125,$W$2:$W$853,0),COLUMNS($X$2:AB125)),"")</f>
        <v/>
      </c>
      <c r="AD125" s="1" t="str">
        <f>IF($X125&lt;&gt;"",INDEX($P$2:$U$853,MATCH($X125,$W$2:$W$853,0),COLUMNS($X$2:AC125)),"")</f>
        <v/>
      </c>
    </row>
    <row r="126" spans="1:30" x14ac:dyDescent="0.2">
      <c r="A126" s="1">
        <v>1958</v>
      </c>
      <c r="B126" s="2">
        <v>21351</v>
      </c>
      <c r="C126" s="1" t="s">
        <v>521</v>
      </c>
      <c r="D126" s="1" t="s">
        <v>9</v>
      </c>
      <c r="E126" s="1" t="s">
        <v>142</v>
      </c>
      <c r="F126" s="1" t="s">
        <v>143</v>
      </c>
      <c r="G126" s="6" t="str">
        <f>VLOOKUP(A126,WorldCups!$A$2:$B$23,2,FALSE)</f>
        <v>Sweden</v>
      </c>
      <c r="H126" s="1" t="s">
        <v>60</v>
      </c>
      <c r="I126" s="1">
        <v>6</v>
      </c>
      <c r="J126" s="1">
        <v>1</v>
      </c>
      <c r="K126" s="1" t="s">
        <v>25</v>
      </c>
      <c r="L126" s="1" t="s">
        <v>14</v>
      </c>
      <c r="M126" s="1" t="str">
        <f>IF(ISNUMBER(SEARCH("Group",Table2[[#This Row],[Round]])),"Group stages",Table2[[#This Row],[Round]])</f>
        <v>Group stages</v>
      </c>
      <c r="O126" s="1">
        <f>Table2[[#This Row],[Year]]</f>
        <v>1958</v>
      </c>
      <c r="P126" s="1" t="str">
        <f>INDEX(Table2[[HomeTeam]:[Group_details]],ROWS($N$2:N126),COLUMNS($N$2:N126))</f>
        <v>Czechoslovakia</v>
      </c>
      <c r="Q126" s="1">
        <f>INDEX(Table2[[HomeTeam]:[Group_details]],ROWS($N$2:O126),COLUMNS($N$2:O126))</f>
        <v>6</v>
      </c>
      <c r="R126" s="1">
        <f>INDEX(Table2[[HomeTeam]:[Group_details]],ROWS($N$2:P126),COLUMNS($N$2:P126))</f>
        <v>1</v>
      </c>
      <c r="S126" s="1" t="str">
        <f>INDEX(Table2[[HomeTeam]:[Group_details]],ROWS($N$2:Q126),COLUMNS($N$2:Q126))</f>
        <v>Argentina</v>
      </c>
      <c r="T126" s="1" t="str">
        <f>INDEX(Table2[[HomeTeam]:[Group_details]],ROWS($N$2:R126),COLUMNS($N$2:R126))</f>
        <v xml:space="preserve"> </v>
      </c>
      <c r="U126" s="1" t="str">
        <f>INDEX(Table2[[HomeTeam]:[Group_details]],ROWS($N$2:S126),COLUMNS($N$2:S126))</f>
        <v>Group stages</v>
      </c>
      <c r="V126" s="1" t="b">
        <f t="shared" si="1"/>
        <v>1</v>
      </c>
      <c r="W126" s="1">
        <f>IF(V126=TRUE,ROWS($V$2:V126),"")</f>
        <v>125</v>
      </c>
      <c r="X126" s="1" t="str">
        <f>IFERROR(SMALL($W$2:$W$853,ROWS($W$2:W126)),"")</f>
        <v/>
      </c>
      <c r="Y126" s="1" t="str">
        <f>IF($X126&lt;&gt;"",INDEX($P$2:$U$853,MATCH($X126,$W$2:$W$853,0),COLUMNS($X$2:X126)),"")</f>
        <v/>
      </c>
      <c r="Z126" s="1" t="str">
        <f>IF($X126&lt;&gt;"",INDEX($P$2:$U$853,MATCH($X126,$W$2:$W$853,0),COLUMNS($X$2:Y126)),"")</f>
        <v/>
      </c>
      <c r="AA126" s="1" t="str">
        <f>IF($X126&lt;&gt;"",INDEX($P$2:$U$853,MATCH($X126,$W$2:$W$853,0),COLUMNS($X$2:Z126)),"")</f>
        <v/>
      </c>
      <c r="AB126" s="1" t="str">
        <f>IF($X126&lt;&gt;"",INDEX($P$2:$U$853,MATCH($X126,$W$2:$W$853,0),COLUMNS($X$2:AA126)),"")</f>
        <v/>
      </c>
      <c r="AC126" s="1" t="str">
        <f>IF($X126&lt;&gt;"",INDEX($P$2:$U$853,MATCH($X126,$W$2:$W$853,0),COLUMNS($X$2:AB126)),"")</f>
        <v/>
      </c>
      <c r="AD126" s="1" t="str">
        <f>IF($X126&lt;&gt;"",INDEX($P$2:$U$853,MATCH($X126,$W$2:$W$853,0),COLUMNS($X$2:AC126)),"")</f>
        <v/>
      </c>
    </row>
    <row r="127" spans="1:30" x14ac:dyDescent="0.2">
      <c r="A127" s="1">
        <v>1958</v>
      </c>
      <c r="B127" s="2">
        <v>21353</v>
      </c>
      <c r="C127" s="1" t="s">
        <v>521</v>
      </c>
      <c r="D127" s="1" t="s">
        <v>15</v>
      </c>
      <c r="E127" s="1" t="s">
        <v>124</v>
      </c>
      <c r="F127" s="1" t="s">
        <v>125</v>
      </c>
      <c r="G127" s="6" t="str">
        <f>VLOOKUP(A127,WorldCups!$A$2:$B$23,2,FALSE)</f>
        <v>Sweden</v>
      </c>
      <c r="H127" s="1" t="s">
        <v>126</v>
      </c>
      <c r="I127" s="1">
        <v>1</v>
      </c>
      <c r="J127" s="1">
        <v>0</v>
      </c>
      <c r="K127" s="1" t="s">
        <v>93</v>
      </c>
      <c r="L127" s="1" t="s">
        <v>14</v>
      </c>
      <c r="M127" s="1" t="str">
        <f>IF(ISNUMBER(SEARCH("Group",Table2[[#This Row],[Round]])),"Group stages",Table2[[#This Row],[Round]])</f>
        <v>Group stages</v>
      </c>
      <c r="O127" s="1">
        <f>Table2[[#This Row],[Year]]</f>
        <v>1958</v>
      </c>
      <c r="P127" s="1" t="str">
        <f>INDEX(Table2[[HomeTeam]:[Group_details]],ROWS($N$2:N127),COLUMNS($N$2:N127))</f>
        <v>Soviet Union</v>
      </c>
      <c r="Q127" s="1">
        <f>INDEX(Table2[[HomeTeam]:[Group_details]],ROWS($N$2:O127),COLUMNS($N$2:O127))</f>
        <v>1</v>
      </c>
      <c r="R127" s="1">
        <f>INDEX(Table2[[HomeTeam]:[Group_details]],ROWS($N$2:P127),COLUMNS($N$2:P127))</f>
        <v>0</v>
      </c>
      <c r="S127" s="1" t="str">
        <f>INDEX(Table2[[HomeTeam]:[Group_details]],ROWS($N$2:Q127),COLUMNS($N$2:Q127))</f>
        <v>England</v>
      </c>
      <c r="T127" s="1" t="str">
        <f>INDEX(Table2[[HomeTeam]:[Group_details]],ROWS($N$2:R127),COLUMNS($N$2:R127))</f>
        <v xml:space="preserve"> </v>
      </c>
      <c r="U127" s="1" t="str">
        <f>INDEX(Table2[[HomeTeam]:[Group_details]],ROWS($N$2:S127),COLUMNS($N$2:S127))</f>
        <v>Group stages</v>
      </c>
      <c r="V127" s="1" t="b">
        <f t="shared" si="1"/>
        <v>1</v>
      </c>
      <c r="W127" s="1">
        <f>IF(V127=TRUE,ROWS($V$2:V127),"")</f>
        <v>126</v>
      </c>
      <c r="X127" s="1" t="str">
        <f>IFERROR(SMALL($W$2:$W$853,ROWS($W$2:W127)),"")</f>
        <v/>
      </c>
      <c r="Y127" s="1" t="str">
        <f>IF($X127&lt;&gt;"",INDEX($P$2:$U$853,MATCH($X127,$W$2:$W$853,0),COLUMNS($X$2:X127)),"")</f>
        <v/>
      </c>
      <c r="Z127" s="1" t="str">
        <f>IF($X127&lt;&gt;"",INDEX($P$2:$U$853,MATCH($X127,$W$2:$W$853,0),COLUMNS($X$2:Y127)),"")</f>
        <v/>
      </c>
      <c r="AA127" s="1" t="str">
        <f>IF($X127&lt;&gt;"",INDEX($P$2:$U$853,MATCH($X127,$W$2:$W$853,0),COLUMNS($X$2:Z127)),"")</f>
        <v/>
      </c>
      <c r="AB127" s="1" t="str">
        <f>IF($X127&lt;&gt;"",INDEX($P$2:$U$853,MATCH($X127,$W$2:$W$853,0),COLUMNS($X$2:AA127)),"")</f>
        <v/>
      </c>
      <c r="AC127" s="1" t="str">
        <f>IF($X127&lt;&gt;"",INDEX($P$2:$U$853,MATCH($X127,$W$2:$W$853,0),COLUMNS($X$2:AB127)),"")</f>
        <v/>
      </c>
      <c r="AD127" s="1" t="str">
        <f>IF($X127&lt;&gt;"",INDEX($P$2:$U$853,MATCH($X127,$W$2:$W$853,0),COLUMNS($X$2:AC127)),"")</f>
        <v/>
      </c>
    </row>
    <row r="128" spans="1:30" x14ac:dyDescent="0.2">
      <c r="A128" s="1">
        <v>1958</v>
      </c>
      <c r="B128" s="2">
        <v>21353</v>
      </c>
      <c r="C128" s="1" t="s">
        <v>521</v>
      </c>
      <c r="D128" s="1" t="s">
        <v>9</v>
      </c>
      <c r="E128" s="1" t="s">
        <v>127</v>
      </c>
      <c r="F128" s="1" t="s">
        <v>128</v>
      </c>
      <c r="G128" s="6" t="str">
        <f>VLOOKUP(A128,WorldCups!$A$2:$B$23,2,FALSE)</f>
        <v>Sweden</v>
      </c>
      <c r="H128" s="1" t="s">
        <v>537</v>
      </c>
      <c r="I128" s="1">
        <v>2</v>
      </c>
      <c r="J128" s="1">
        <v>1</v>
      </c>
      <c r="K128" s="1" t="s">
        <v>60</v>
      </c>
      <c r="L128" s="1" t="s">
        <v>148</v>
      </c>
      <c r="M128" s="1" t="str">
        <f>IF(ISNUMBER(SEARCH("Group",Table2[[#This Row],[Round]])),"Group stages",Table2[[#This Row],[Round]])</f>
        <v>Group stages</v>
      </c>
      <c r="O128" s="1">
        <f>Table2[[#This Row],[Year]]</f>
        <v>1958</v>
      </c>
      <c r="P128" s="1" t="str">
        <f>INDEX(Table2[[HomeTeam]:[Group_details]],ROWS($N$2:N128),COLUMNS($N$2:N128))</f>
        <v>Northern Ireland</v>
      </c>
      <c r="Q128" s="1">
        <f>INDEX(Table2[[HomeTeam]:[Group_details]],ROWS($N$2:O128),COLUMNS($N$2:O128))</f>
        <v>2</v>
      </c>
      <c r="R128" s="1">
        <f>INDEX(Table2[[HomeTeam]:[Group_details]],ROWS($N$2:P128),COLUMNS($N$2:P128))</f>
        <v>1</v>
      </c>
      <c r="S128" s="1" t="str">
        <f>INDEX(Table2[[HomeTeam]:[Group_details]],ROWS($N$2:Q128),COLUMNS($N$2:Q128))</f>
        <v>Czechoslovakia</v>
      </c>
      <c r="T128" s="1" t="str">
        <f>INDEX(Table2[[HomeTeam]:[Group_details]],ROWS($N$2:R128),COLUMNS($N$2:R128))</f>
        <v xml:space="preserve">Northern Ireland win after extra time </v>
      </c>
      <c r="U128" s="1" t="str">
        <f>INDEX(Table2[[HomeTeam]:[Group_details]],ROWS($N$2:S128),COLUMNS($N$2:S128))</f>
        <v>Group stages</v>
      </c>
      <c r="V128" s="1" t="b">
        <f t="shared" si="1"/>
        <v>1</v>
      </c>
      <c r="W128" s="1">
        <f>IF(V128=TRUE,ROWS($V$2:V128),"")</f>
        <v>127</v>
      </c>
      <c r="X128" s="1" t="str">
        <f>IFERROR(SMALL($W$2:$W$853,ROWS($W$2:W128)),"")</f>
        <v/>
      </c>
      <c r="Y128" s="1" t="str">
        <f>IF($X128&lt;&gt;"",INDEX($P$2:$U$853,MATCH($X128,$W$2:$W$853,0),COLUMNS($X$2:X128)),"")</f>
        <v/>
      </c>
      <c r="Z128" s="1" t="str">
        <f>IF($X128&lt;&gt;"",INDEX($P$2:$U$853,MATCH($X128,$W$2:$W$853,0),COLUMNS($X$2:Y128)),"")</f>
        <v/>
      </c>
      <c r="AA128" s="1" t="str">
        <f>IF($X128&lt;&gt;"",INDEX($P$2:$U$853,MATCH($X128,$W$2:$W$853,0),COLUMNS($X$2:Z128)),"")</f>
        <v/>
      </c>
      <c r="AB128" s="1" t="str">
        <f>IF($X128&lt;&gt;"",INDEX($P$2:$U$853,MATCH($X128,$W$2:$W$853,0),COLUMNS($X$2:AA128)),"")</f>
        <v/>
      </c>
      <c r="AC128" s="1" t="str">
        <f>IF($X128&lt;&gt;"",INDEX($P$2:$U$853,MATCH($X128,$W$2:$W$853,0),COLUMNS($X$2:AB128)),"")</f>
        <v/>
      </c>
      <c r="AD128" s="1" t="str">
        <f>IF($X128&lt;&gt;"",INDEX($P$2:$U$853,MATCH($X128,$W$2:$W$853,0),COLUMNS($X$2:AC128)),"")</f>
        <v/>
      </c>
    </row>
    <row r="129" spans="1:30" x14ac:dyDescent="0.2">
      <c r="A129" s="1">
        <v>1958</v>
      </c>
      <c r="B129" s="2">
        <v>21353</v>
      </c>
      <c r="C129" s="1" t="s">
        <v>521</v>
      </c>
      <c r="D129" s="1" t="s">
        <v>22</v>
      </c>
      <c r="E129" s="1" t="s">
        <v>122</v>
      </c>
      <c r="F129" s="1" t="s">
        <v>123</v>
      </c>
      <c r="G129" s="6" t="str">
        <f>VLOOKUP(A129,WorldCups!$A$2:$B$23,2,FALSE)</f>
        <v>Sweden</v>
      </c>
      <c r="H129" s="1" t="s">
        <v>131</v>
      </c>
      <c r="I129" s="1">
        <v>2</v>
      </c>
      <c r="J129" s="1">
        <v>1</v>
      </c>
      <c r="K129" s="1" t="s">
        <v>40</v>
      </c>
      <c r="L129" s="1" t="s">
        <v>14</v>
      </c>
      <c r="M129" s="1" t="str">
        <f>IF(ISNUMBER(SEARCH("Group",Table2[[#This Row],[Round]])),"Group stages",Table2[[#This Row],[Round]])</f>
        <v>Group stages</v>
      </c>
      <c r="O129" s="1">
        <f>Table2[[#This Row],[Year]]</f>
        <v>1958</v>
      </c>
      <c r="P129" s="1" t="str">
        <f>INDEX(Table2[[HomeTeam]:[Group_details]],ROWS($N$2:N129),COLUMNS($N$2:N129))</f>
        <v>Wales</v>
      </c>
      <c r="Q129" s="1">
        <f>INDEX(Table2[[HomeTeam]:[Group_details]],ROWS($N$2:O129),COLUMNS($N$2:O129))</f>
        <v>2</v>
      </c>
      <c r="R129" s="1">
        <f>INDEX(Table2[[HomeTeam]:[Group_details]],ROWS($N$2:P129),COLUMNS($N$2:P129))</f>
        <v>1</v>
      </c>
      <c r="S129" s="1" t="str">
        <f>INDEX(Table2[[HomeTeam]:[Group_details]],ROWS($N$2:Q129),COLUMNS($N$2:Q129))</f>
        <v>Hungary</v>
      </c>
      <c r="T129" s="1" t="str">
        <f>INDEX(Table2[[HomeTeam]:[Group_details]],ROWS($N$2:R129),COLUMNS($N$2:R129))</f>
        <v xml:space="preserve"> </v>
      </c>
      <c r="U129" s="1" t="str">
        <f>INDEX(Table2[[HomeTeam]:[Group_details]],ROWS($N$2:S129),COLUMNS($N$2:S129))</f>
        <v>Group stages</v>
      </c>
      <c r="V129" s="1" t="b">
        <f t="shared" si="1"/>
        <v>1</v>
      </c>
      <c r="W129" s="1">
        <f>IF(V129=TRUE,ROWS($V$2:V129),"")</f>
        <v>128</v>
      </c>
      <c r="X129" s="1" t="str">
        <f>IFERROR(SMALL($W$2:$W$853,ROWS($W$2:W129)),"")</f>
        <v/>
      </c>
      <c r="Y129" s="1" t="str">
        <f>IF($X129&lt;&gt;"",INDEX($P$2:$U$853,MATCH($X129,$W$2:$W$853,0),COLUMNS($X$2:X129)),"")</f>
        <v/>
      </c>
      <c r="Z129" s="1" t="str">
        <f>IF($X129&lt;&gt;"",INDEX($P$2:$U$853,MATCH($X129,$W$2:$W$853,0),COLUMNS($X$2:Y129)),"")</f>
        <v/>
      </c>
      <c r="AA129" s="1" t="str">
        <f>IF($X129&lt;&gt;"",INDEX($P$2:$U$853,MATCH($X129,$W$2:$W$853,0),COLUMNS($X$2:Z129)),"")</f>
        <v/>
      </c>
      <c r="AB129" s="1" t="str">
        <f>IF($X129&lt;&gt;"",INDEX($P$2:$U$853,MATCH($X129,$W$2:$W$853,0),COLUMNS($X$2:AA129)),"")</f>
        <v/>
      </c>
      <c r="AC129" s="1" t="str">
        <f>IF($X129&lt;&gt;"",INDEX($P$2:$U$853,MATCH($X129,$W$2:$W$853,0),COLUMNS($X$2:AB129)),"")</f>
        <v/>
      </c>
      <c r="AD129" s="1" t="str">
        <f>IF($X129&lt;&gt;"",INDEX($P$2:$U$853,MATCH($X129,$W$2:$W$853,0),COLUMNS($X$2:AC129)),"")</f>
        <v/>
      </c>
    </row>
    <row r="130" spans="1:30" x14ac:dyDescent="0.2">
      <c r="A130" s="1">
        <v>1958</v>
      </c>
      <c r="B130" s="2">
        <v>21355</v>
      </c>
      <c r="C130" s="1" t="s">
        <v>521</v>
      </c>
      <c r="D130" s="1" t="s">
        <v>61</v>
      </c>
      <c r="E130" s="1" t="s">
        <v>124</v>
      </c>
      <c r="F130" s="1" t="s">
        <v>125</v>
      </c>
      <c r="G130" s="6" t="str">
        <f>VLOOKUP(A130,WorldCups!$A$2:$B$23,2,FALSE)</f>
        <v>Sweden</v>
      </c>
      <c r="H130" s="1" t="s">
        <v>21</v>
      </c>
      <c r="I130" s="1">
        <v>1</v>
      </c>
      <c r="J130" s="1">
        <v>0</v>
      </c>
      <c r="K130" s="1" t="s">
        <v>131</v>
      </c>
      <c r="L130" s="1" t="s">
        <v>14</v>
      </c>
      <c r="M130" s="1" t="str">
        <f>IF(ISNUMBER(SEARCH("Group",Table2[[#This Row],[Round]])),"Group stages",Table2[[#This Row],[Round]])</f>
        <v>Quarter-finals</v>
      </c>
      <c r="O130" s="1">
        <f>Table2[[#This Row],[Year]]</f>
        <v>1958</v>
      </c>
      <c r="P130" s="1" t="str">
        <f>INDEX(Table2[[HomeTeam]:[Group_details]],ROWS($N$2:N130),COLUMNS($N$2:N130))</f>
        <v>Brazil</v>
      </c>
      <c r="Q130" s="1">
        <f>INDEX(Table2[[HomeTeam]:[Group_details]],ROWS($N$2:O130),COLUMNS($N$2:O130))</f>
        <v>1</v>
      </c>
      <c r="R130" s="1">
        <f>INDEX(Table2[[HomeTeam]:[Group_details]],ROWS($N$2:P130),COLUMNS($N$2:P130))</f>
        <v>0</v>
      </c>
      <c r="S130" s="1" t="str">
        <f>INDEX(Table2[[HomeTeam]:[Group_details]],ROWS($N$2:Q130),COLUMNS($N$2:Q130))</f>
        <v>Wales</v>
      </c>
      <c r="T130" s="1" t="str">
        <f>INDEX(Table2[[HomeTeam]:[Group_details]],ROWS($N$2:R130),COLUMNS($N$2:R130))</f>
        <v xml:space="preserve"> </v>
      </c>
      <c r="U130" s="1" t="str">
        <f>INDEX(Table2[[HomeTeam]:[Group_details]],ROWS($N$2:S130),COLUMNS($N$2:S130))</f>
        <v>Quarter-finals</v>
      </c>
      <c r="V130" s="1" t="b">
        <f t="shared" si="1"/>
        <v>1</v>
      </c>
      <c r="W130" s="1">
        <f>IF(V130=TRUE,ROWS($V$2:V130),"")</f>
        <v>129</v>
      </c>
      <c r="X130" s="1" t="str">
        <f>IFERROR(SMALL($W$2:$W$853,ROWS($W$2:W130)),"")</f>
        <v/>
      </c>
      <c r="Y130" s="1" t="str">
        <f>IF($X130&lt;&gt;"",INDEX($P$2:$U$853,MATCH($X130,$W$2:$W$853,0),COLUMNS($X$2:X130)),"")</f>
        <v/>
      </c>
      <c r="Z130" s="1" t="str">
        <f>IF($X130&lt;&gt;"",INDEX($P$2:$U$853,MATCH($X130,$W$2:$W$853,0),COLUMNS($X$2:Y130)),"")</f>
        <v/>
      </c>
      <c r="AA130" s="1" t="str">
        <f>IF($X130&lt;&gt;"",INDEX($P$2:$U$853,MATCH($X130,$W$2:$W$853,0),COLUMNS($X$2:Z130)),"")</f>
        <v/>
      </c>
      <c r="AB130" s="1" t="str">
        <f>IF($X130&lt;&gt;"",INDEX($P$2:$U$853,MATCH($X130,$W$2:$W$853,0),COLUMNS($X$2:AA130)),"")</f>
        <v/>
      </c>
      <c r="AC130" s="1" t="str">
        <f>IF($X130&lt;&gt;"",INDEX($P$2:$U$853,MATCH($X130,$W$2:$W$853,0),COLUMNS($X$2:AB130)),"")</f>
        <v/>
      </c>
      <c r="AD130" s="1" t="str">
        <f>IF($X130&lt;&gt;"",INDEX($P$2:$U$853,MATCH($X130,$W$2:$W$853,0),COLUMNS($X$2:AC130)),"")</f>
        <v/>
      </c>
    </row>
    <row r="131" spans="1:30" x14ac:dyDescent="0.2">
      <c r="A131" s="1">
        <v>1958</v>
      </c>
      <c r="B131" s="2">
        <v>21355</v>
      </c>
      <c r="C131" s="1" t="s">
        <v>521</v>
      </c>
      <c r="D131" s="1" t="s">
        <v>61</v>
      </c>
      <c r="E131" s="1" t="s">
        <v>127</v>
      </c>
      <c r="F131" s="1" t="s">
        <v>128</v>
      </c>
      <c r="G131" s="6" t="str">
        <f>VLOOKUP(A131,WorldCups!$A$2:$B$23,2,FALSE)</f>
        <v>Sweden</v>
      </c>
      <c r="H131" s="1" t="s">
        <v>114</v>
      </c>
      <c r="I131" s="1">
        <v>1</v>
      </c>
      <c r="J131" s="1">
        <v>0</v>
      </c>
      <c r="K131" s="1" t="s">
        <v>20</v>
      </c>
      <c r="L131" s="1" t="s">
        <v>14</v>
      </c>
      <c r="M131" s="1" t="str">
        <f>IF(ISNUMBER(SEARCH("Group",Table2[[#This Row],[Round]])),"Group stages",Table2[[#This Row],[Round]])</f>
        <v>Quarter-finals</v>
      </c>
      <c r="O131" s="1">
        <f>Table2[[#This Row],[Year]]</f>
        <v>1958</v>
      </c>
      <c r="P131" s="1" t="str">
        <f>INDEX(Table2[[HomeTeam]:[Group_details]],ROWS($N$2:N131),COLUMNS($N$2:N131))</f>
        <v>Germany FR</v>
      </c>
      <c r="Q131" s="1">
        <f>INDEX(Table2[[HomeTeam]:[Group_details]],ROWS($N$2:O131),COLUMNS($N$2:O131))</f>
        <v>1</v>
      </c>
      <c r="R131" s="1">
        <f>INDEX(Table2[[HomeTeam]:[Group_details]],ROWS($N$2:P131),COLUMNS($N$2:P131))</f>
        <v>0</v>
      </c>
      <c r="S131" s="1" t="str">
        <f>INDEX(Table2[[HomeTeam]:[Group_details]],ROWS($N$2:Q131),COLUMNS($N$2:Q131))</f>
        <v>Yugoslavia</v>
      </c>
      <c r="T131" s="1" t="str">
        <f>INDEX(Table2[[HomeTeam]:[Group_details]],ROWS($N$2:R131),COLUMNS($N$2:R131))</f>
        <v xml:space="preserve"> </v>
      </c>
      <c r="U131" s="1" t="str">
        <f>INDEX(Table2[[HomeTeam]:[Group_details]],ROWS($N$2:S131),COLUMNS($N$2:S131))</f>
        <v>Quarter-finals</v>
      </c>
      <c r="V131" s="1" t="b">
        <f t="shared" ref="V131:V194" si="2">IF(O131=$V$1,TRUE)</f>
        <v>1</v>
      </c>
      <c r="W131" s="1">
        <f>IF(V131=TRUE,ROWS($V$2:V131),"")</f>
        <v>130</v>
      </c>
      <c r="X131" s="1" t="str">
        <f>IFERROR(SMALL($W$2:$W$853,ROWS($W$2:W131)),"")</f>
        <v/>
      </c>
      <c r="Y131" s="1" t="str">
        <f>IF($X131&lt;&gt;"",INDEX($P$2:$U$853,MATCH($X131,$W$2:$W$853,0),COLUMNS($X$2:X131)),"")</f>
        <v/>
      </c>
      <c r="Z131" s="1" t="str">
        <f>IF($X131&lt;&gt;"",INDEX($P$2:$U$853,MATCH($X131,$W$2:$W$853,0),COLUMNS($X$2:Y131)),"")</f>
        <v/>
      </c>
      <c r="AA131" s="1" t="str">
        <f>IF($X131&lt;&gt;"",INDEX($P$2:$U$853,MATCH($X131,$W$2:$W$853,0),COLUMNS($X$2:Z131)),"")</f>
        <v/>
      </c>
      <c r="AB131" s="1" t="str">
        <f>IF($X131&lt;&gt;"",INDEX($P$2:$U$853,MATCH($X131,$W$2:$W$853,0),COLUMNS($X$2:AA131)),"")</f>
        <v/>
      </c>
      <c r="AC131" s="1" t="str">
        <f>IF($X131&lt;&gt;"",INDEX($P$2:$U$853,MATCH($X131,$W$2:$W$853,0),COLUMNS($X$2:AB131)),"")</f>
        <v/>
      </c>
      <c r="AD131" s="1" t="str">
        <f>IF($X131&lt;&gt;"",INDEX($P$2:$U$853,MATCH($X131,$W$2:$W$853,0),COLUMNS($X$2:AC131)),"")</f>
        <v/>
      </c>
    </row>
    <row r="132" spans="1:30" x14ac:dyDescent="0.2">
      <c r="A132" s="1">
        <v>1958</v>
      </c>
      <c r="B132" s="2">
        <v>21355</v>
      </c>
      <c r="C132" s="1" t="s">
        <v>521</v>
      </c>
      <c r="D132" s="1" t="s">
        <v>61</v>
      </c>
      <c r="E132" s="1" t="s">
        <v>122</v>
      </c>
      <c r="F132" s="1" t="s">
        <v>123</v>
      </c>
      <c r="G132" s="6" t="str">
        <f>VLOOKUP(A132,WorldCups!$A$2:$B$23,2,FALSE)</f>
        <v>Sweden</v>
      </c>
      <c r="H132" s="1" t="s">
        <v>48</v>
      </c>
      <c r="I132" s="1">
        <v>2</v>
      </c>
      <c r="J132" s="1">
        <v>0</v>
      </c>
      <c r="K132" s="1" t="s">
        <v>126</v>
      </c>
      <c r="L132" s="1" t="s">
        <v>14</v>
      </c>
      <c r="M132" s="1" t="str">
        <f>IF(ISNUMBER(SEARCH("Group",Table2[[#This Row],[Round]])),"Group stages",Table2[[#This Row],[Round]])</f>
        <v>Quarter-finals</v>
      </c>
      <c r="O132" s="1">
        <f>Table2[[#This Row],[Year]]</f>
        <v>1958</v>
      </c>
      <c r="P132" s="1" t="str">
        <f>INDEX(Table2[[HomeTeam]:[Group_details]],ROWS($N$2:N132),COLUMNS($N$2:N132))</f>
        <v>Sweden</v>
      </c>
      <c r="Q132" s="1">
        <f>INDEX(Table2[[HomeTeam]:[Group_details]],ROWS($N$2:O132),COLUMNS($N$2:O132))</f>
        <v>2</v>
      </c>
      <c r="R132" s="1">
        <f>INDEX(Table2[[HomeTeam]:[Group_details]],ROWS($N$2:P132),COLUMNS($N$2:P132))</f>
        <v>0</v>
      </c>
      <c r="S132" s="1" t="str">
        <f>INDEX(Table2[[HomeTeam]:[Group_details]],ROWS($N$2:Q132),COLUMNS($N$2:Q132))</f>
        <v>Soviet Union</v>
      </c>
      <c r="T132" s="1" t="str">
        <f>INDEX(Table2[[HomeTeam]:[Group_details]],ROWS($N$2:R132),COLUMNS($N$2:R132))</f>
        <v xml:space="preserve"> </v>
      </c>
      <c r="U132" s="1" t="str">
        <f>INDEX(Table2[[HomeTeam]:[Group_details]],ROWS($N$2:S132),COLUMNS($N$2:S132))</f>
        <v>Quarter-finals</v>
      </c>
      <c r="V132" s="1" t="b">
        <f t="shared" si="2"/>
        <v>1</v>
      </c>
      <c r="W132" s="1">
        <f>IF(V132=TRUE,ROWS($V$2:V132),"")</f>
        <v>131</v>
      </c>
      <c r="X132" s="1" t="str">
        <f>IFERROR(SMALL($W$2:$W$853,ROWS($W$2:W132)),"")</f>
        <v/>
      </c>
      <c r="Y132" s="1" t="str">
        <f>IF($X132&lt;&gt;"",INDEX($P$2:$U$853,MATCH($X132,$W$2:$W$853,0),COLUMNS($X$2:X132)),"")</f>
        <v/>
      </c>
      <c r="Z132" s="1" t="str">
        <f>IF($X132&lt;&gt;"",INDEX($P$2:$U$853,MATCH($X132,$W$2:$W$853,0),COLUMNS($X$2:Y132)),"")</f>
        <v/>
      </c>
      <c r="AA132" s="1" t="str">
        <f>IF($X132&lt;&gt;"",INDEX($P$2:$U$853,MATCH($X132,$W$2:$W$853,0),COLUMNS($X$2:Z132)),"")</f>
        <v/>
      </c>
      <c r="AB132" s="1" t="str">
        <f>IF($X132&lt;&gt;"",INDEX($P$2:$U$853,MATCH($X132,$W$2:$W$853,0),COLUMNS($X$2:AA132)),"")</f>
        <v/>
      </c>
      <c r="AC132" s="1" t="str">
        <f>IF($X132&lt;&gt;"",INDEX($P$2:$U$853,MATCH($X132,$W$2:$W$853,0),COLUMNS($X$2:AB132)),"")</f>
        <v/>
      </c>
      <c r="AD132" s="1" t="str">
        <f>IF($X132&lt;&gt;"",INDEX($P$2:$U$853,MATCH($X132,$W$2:$W$853,0),COLUMNS($X$2:AC132)),"")</f>
        <v/>
      </c>
    </row>
    <row r="133" spans="1:30" x14ac:dyDescent="0.2">
      <c r="A133" s="1">
        <v>1958</v>
      </c>
      <c r="B133" s="2">
        <v>21355</v>
      </c>
      <c r="C133" s="1" t="s">
        <v>521</v>
      </c>
      <c r="D133" s="1" t="s">
        <v>61</v>
      </c>
      <c r="E133" s="1" t="s">
        <v>132</v>
      </c>
      <c r="F133" s="1" t="s">
        <v>133</v>
      </c>
      <c r="G133" s="6" t="str">
        <f>VLOOKUP(A133,WorldCups!$A$2:$B$23,2,FALSE)</f>
        <v>Sweden</v>
      </c>
      <c r="H133" s="1" t="s">
        <v>12</v>
      </c>
      <c r="I133" s="1">
        <v>4</v>
      </c>
      <c r="J133" s="1">
        <v>0</v>
      </c>
      <c r="K133" s="1" t="s">
        <v>537</v>
      </c>
      <c r="L133" s="1" t="s">
        <v>14</v>
      </c>
      <c r="M133" s="1" t="str">
        <f>IF(ISNUMBER(SEARCH("Group",Table2[[#This Row],[Round]])),"Group stages",Table2[[#This Row],[Round]])</f>
        <v>Quarter-finals</v>
      </c>
      <c r="O133" s="1">
        <f>Table2[[#This Row],[Year]]</f>
        <v>1958</v>
      </c>
      <c r="P133" s="1" t="str">
        <f>INDEX(Table2[[HomeTeam]:[Group_details]],ROWS($N$2:N133),COLUMNS($N$2:N133))</f>
        <v>France</v>
      </c>
      <c r="Q133" s="1">
        <f>INDEX(Table2[[HomeTeam]:[Group_details]],ROWS($N$2:O133),COLUMNS($N$2:O133))</f>
        <v>4</v>
      </c>
      <c r="R133" s="1">
        <f>INDEX(Table2[[HomeTeam]:[Group_details]],ROWS($N$2:P133),COLUMNS($N$2:P133))</f>
        <v>0</v>
      </c>
      <c r="S133" s="1" t="str">
        <f>INDEX(Table2[[HomeTeam]:[Group_details]],ROWS($N$2:Q133),COLUMNS($N$2:Q133))</f>
        <v>Northern Ireland</v>
      </c>
      <c r="T133" s="1" t="str">
        <f>INDEX(Table2[[HomeTeam]:[Group_details]],ROWS($N$2:R133),COLUMNS($N$2:R133))</f>
        <v xml:space="preserve"> </v>
      </c>
      <c r="U133" s="1" t="str">
        <f>INDEX(Table2[[HomeTeam]:[Group_details]],ROWS($N$2:S133),COLUMNS($N$2:S133))</f>
        <v>Quarter-finals</v>
      </c>
      <c r="V133" s="1" t="b">
        <f t="shared" si="2"/>
        <v>1</v>
      </c>
      <c r="W133" s="1">
        <f>IF(V133=TRUE,ROWS($V$2:V133),"")</f>
        <v>132</v>
      </c>
      <c r="X133" s="1" t="str">
        <f>IFERROR(SMALL($W$2:$W$853,ROWS($W$2:W133)),"")</f>
        <v/>
      </c>
      <c r="Y133" s="1" t="str">
        <f>IF($X133&lt;&gt;"",INDEX($P$2:$U$853,MATCH($X133,$W$2:$W$853,0),COLUMNS($X$2:X133)),"")</f>
        <v/>
      </c>
      <c r="Z133" s="1" t="str">
        <f>IF($X133&lt;&gt;"",INDEX($P$2:$U$853,MATCH($X133,$W$2:$W$853,0),COLUMNS($X$2:Y133)),"")</f>
        <v/>
      </c>
      <c r="AA133" s="1" t="str">
        <f>IF($X133&lt;&gt;"",INDEX($P$2:$U$853,MATCH($X133,$W$2:$W$853,0),COLUMNS($X$2:Z133)),"")</f>
        <v/>
      </c>
      <c r="AB133" s="1" t="str">
        <f>IF($X133&lt;&gt;"",INDEX($P$2:$U$853,MATCH($X133,$W$2:$W$853,0),COLUMNS($X$2:AA133)),"")</f>
        <v/>
      </c>
      <c r="AC133" s="1" t="str">
        <f>IF($X133&lt;&gt;"",INDEX($P$2:$U$853,MATCH($X133,$W$2:$W$853,0),COLUMNS($X$2:AB133)),"")</f>
        <v/>
      </c>
      <c r="AD133" s="1" t="str">
        <f>IF($X133&lt;&gt;"",INDEX($P$2:$U$853,MATCH($X133,$W$2:$W$853,0),COLUMNS($X$2:AC133)),"")</f>
        <v/>
      </c>
    </row>
    <row r="134" spans="1:30" x14ac:dyDescent="0.2">
      <c r="A134" s="1">
        <v>1958</v>
      </c>
      <c r="B134" s="2">
        <v>21360</v>
      </c>
      <c r="C134" s="1" t="s">
        <v>521</v>
      </c>
      <c r="D134" s="1" t="s">
        <v>31</v>
      </c>
      <c r="E134" s="1" t="s">
        <v>124</v>
      </c>
      <c r="F134" s="1" t="s">
        <v>125</v>
      </c>
      <c r="G134" s="6" t="str">
        <f>VLOOKUP(A134,WorldCups!$A$2:$B$23,2,FALSE)</f>
        <v>Sweden</v>
      </c>
      <c r="H134" s="1" t="s">
        <v>48</v>
      </c>
      <c r="I134" s="1">
        <v>3</v>
      </c>
      <c r="J134" s="1">
        <v>1</v>
      </c>
      <c r="K134" s="1" t="s">
        <v>114</v>
      </c>
      <c r="L134" s="1" t="s">
        <v>14</v>
      </c>
      <c r="M134" s="1" t="str">
        <f>IF(ISNUMBER(SEARCH("Group",Table2[[#This Row],[Round]])),"Group stages",Table2[[#This Row],[Round]])</f>
        <v>Semi-finals</v>
      </c>
      <c r="O134" s="1">
        <f>Table2[[#This Row],[Year]]</f>
        <v>1958</v>
      </c>
      <c r="P134" s="1" t="str">
        <f>INDEX(Table2[[HomeTeam]:[Group_details]],ROWS($N$2:N134),COLUMNS($N$2:N134))</f>
        <v>Sweden</v>
      </c>
      <c r="Q134" s="1">
        <f>INDEX(Table2[[HomeTeam]:[Group_details]],ROWS($N$2:O134),COLUMNS($N$2:O134))</f>
        <v>3</v>
      </c>
      <c r="R134" s="1">
        <f>INDEX(Table2[[HomeTeam]:[Group_details]],ROWS($N$2:P134),COLUMNS($N$2:P134))</f>
        <v>1</v>
      </c>
      <c r="S134" s="1" t="str">
        <f>INDEX(Table2[[HomeTeam]:[Group_details]],ROWS($N$2:Q134),COLUMNS($N$2:Q134))</f>
        <v>Germany FR</v>
      </c>
      <c r="T134" s="1" t="str">
        <f>INDEX(Table2[[HomeTeam]:[Group_details]],ROWS($N$2:R134),COLUMNS($N$2:R134))</f>
        <v xml:space="preserve"> </v>
      </c>
      <c r="U134" s="1" t="str">
        <f>INDEX(Table2[[HomeTeam]:[Group_details]],ROWS($N$2:S134),COLUMNS($N$2:S134))</f>
        <v>Semi-finals</v>
      </c>
      <c r="V134" s="1" t="b">
        <f t="shared" si="2"/>
        <v>1</v>
      </c>
      <c r="W134" s="1">
        <f>IF(V134=TRUE,ROWS($V$2:V134),"")</f>
        <v>133</v>
      </c>
      <c r="X134" s="1" t="str">
        <f>IFERROR(SMALL($W$2:$W$853,ROWS($W$2:W134)),"")</f>
        <v/>
      </c>
      <c r="Y134" s="1" t="str">
        <f>IF($X134&lt;&gt;"",INDEX($P$2:$U$853,MATCH($X134,$W$2:$W$853,0),COLUMNS($X$2:X134)),"")</f>
        <v/>
      </c>
      <c r="Z134" s="1" t="str">
        <f>IF($X134&lt;&gt;"",INDEX($P$2:$U$853,MATCH($X134,$W$2:$W$853,0),COLUMNS($X$2:Y134)),"")</f>
        <v/>
      </c>
      <c r="AA134" s="1" t="str">
        <f>IF($X134&lt;&gt;"",INDEX($P$2:$U$853,MATCH($X134,$W$2:$W$853,0),COLUMNS($X$2:Z134)),"")</f>
        <v/>
      </c>
      <c r="AB134" s="1" t="str">
        <f>IF($X134&lt;&gt;"",INDEX($P$2:$U$853,MATCH($X134,$W$2:$W$853,0),COLUMNS($X$2:AA134)),"")</f>
        <v/>
      </c>
      <c r="AC134" s="1" t="str">
        <f>IF($X134&lt;&gt;"",INDEX($P$2:$U$853,MATCH($X134,$W$2:$W$853,0),COLUMNS($X$2:AB134)),"")</f>
        <v/>
      </c>
      <c r="AD134" s="1" t="str">
        <f>IF($X134&lt;&gt;"",INDEX($P$2:$U$853,MATCH($X134,$W$2:$W$853,0),COLUMNS($X$2:AC134)),"")</f>
        <v/>
      </c>
    </row>
    <row r="135" spans="1:30" x14ac:dyDescent="0.2">
      <c r="A135" s="1">
        <v>1958</v>
      </c>
      <c r="B135" s="2">
        <v>21360</v>
      </c>
      <c r="C135" s="1" t="s">
        <v>521</v>
      </c>
      <c r="D135" s="1" t="s">
        <v>31</v>
      </c>
      <c r="E135" s="1" t="s">
        <v>122</v>
      </c>
      <c r="F135" s="1" t="s">
        <v>123</v>
      </c>
      <c r="G135" s="6" t="str">
        <f>VLOOKUP(A135,WorldCups!$A$2:$B$23,2,FALSE)</f>
        <v>Sweden</v>
      </c>
      <c r="H135" s="1" t="s">
        <v>21</v>
      </c>
      <c r="I135" s="1">
        <v>5</v>
      </c>
      <c r="J135" s="1">
        <v>2</v>
      </c>
      <c r="K135" s="1" t="s">
        <v>12</v>
      </c>
      <c r="L135" s="1" t="s">
        <v>14</v>
      </c>
      <c r="M135" s="1" t="str">
        <f>IF(ISNUMBER(SEARCH("Group",Table2[[#This Row],[Round]])),"Group stages",Table2[[#This Row],[Round]])</f>
        <v>Semi-finals</v>
      </c>
      <c r="O135" s="1">
        <f>Table2[[#This Row],[Year]]</f>
        <v>1958</v>
      </c>
      <c r="P135" s="1" t="str">
        <f>INDEX(Table2[[HomeTeam]:[Group_details]],ROWS($N$2:N135),COLUMNS($N$2:N135))</f>
        <v>Brazil</v>
      </c>
      <c r="Q135" s="1">
        <f>INDEX(Table2[[HomeTeam]:[Group_details]],ROWS($N$2:O135),COLUMNS($N$2:O135))</f>
        <v>5</v>
      </c>
      <c r="R135" s="1">
        <f>INDEX(Table2[[HomeTeam]:[Group_details]],ROWS($N$2:P135),COLUMNS($N$2:P135))</f>
        <v>2</v>
      </c>
      <c r="S135" s="1" t="str">
        <f>INDEX(Table2[[HomeTeam]:[Group_details]],ROWS($N$2:Q135),COLUMNS($N$2:Q135))</f>
        <v>France</v>
      </c>
      <c r="T135" s="1" t="str">
        <f>INDEX(Table2[[HomeTeam]:[Group_details]],ROWS($N$2:R135),COLUMNS($N$2:R135))</f>
        <v xml:space="preserve"> </v>
      </c>
      <c r="U135" s="1" t="str">
        <f>INDEX(Table2[[HomeTeam]:[Group_details]],ROWS($N$2:S135),COLUMNS($N$2:S135))</f>
        <v>Semi-finals</v>
      </c>
      <c r="V135" s="1" t="b">
        <f t="shared" si="2"/>
        <v>1</v>
      </c>
      <c r="W135" s="1">
        <f>IF(V135=TRUE,ROWS($V$2:V135),"")</f>
        <v>134</v>
      </c>
      <c r="X135" s="1" t="str">
        <f>IFERROR(SMALL($W$2:$W$853,ROWS($W$2:W135)),"")</f>
        <v/>
      </c>
      <c r="Y135" s="1" t="str">
        <f>IF($X135&lt;&gt;"",INDEX($P$2:$U$853,MATCH($X135,$W$2:$W$853,0),COLUMNS($X$2:X135)),"")</f>
        <v/>
      </c>
      <c r="Z135" s="1" t="str">
        <f>IF($X135&lt;&gt;"",INDEX($P$2:$U$853,MATCH($X135,$W$2:$W$853,0),COLUMNS($X$2:Y135)),"")</f>
        <v/>
      </c>
      <c r="AA135" s="1" t="str">
        <f>IF($X135&lt;&gt;"",INDEX($P$2:$U$853,MATCH($X135,$W$2:$W$853,0),COLUMNS($X$2:Z135)),"")</f>
        <v/>
      </c>
      <c r="AB135" s="1" t="str">
        <f>IF($X135&lt;&gt;"",INDEX($P$2:$U$853,MATCH($X135,$W$2:$W$853,0),COLUMNS($X$2:AA135)),"")</f>
        <v/>
      </c>
      <c r="AC135" s="1" t="str">
        <f>IF($X135&lt;&gt;"",INDEX($P$2:$U$853,MATCH($X135,$W$2:$W$853,0),COLUMNS($X$2:AB135)),"")</f>
        <v/>
      </c>
      <c r="AD135" s="1" t="str">
        <f>IF($X135&lt;&gt;"",INDEX($P$2:$U$853,MATCH($X135,$W$2:$W$853,0),COLUMNS($X$2:AC135)),"")</f>
        <v/>
      </c>
    </row>
    <row r="136" spans="1:30" x14ac:dyDescent="0.2">
      <c r="A136" s="1">
        <v>1958</v>
      </c>
      <c r="B136" s="2">
        <v>21364</v>
      </c>
      <c r="C136" s="1" t="s">
        <v>512</v>
      </c>
      <c r="D136" s="1" t="s">
        <v>62</v>
      </c>
      <c r="E136" s="1" t="s">
        <v>124</v>
      </c>
      <c r="F136" s="1" t="s">
        <v>125</v>
      </c>
      <c r="G136" s="6" t="str">
        <f>VLOOKUP(A136,WorldCups!$A$2:$B$23,2,FALSE)</f>
        <v>Sweden</v>
      </c>
      <c r="H136" s="1" t="s">
        <v>12</v>
      </c>
      <c r="I136" s="1">
        <v>6</v>
      </c>
      <c r="J136" s="1">
        <v>3</v>
      </c>
      <c r="K136" s="1" t="s">
        <v>114</v>
      </c>
      <c r="L136" s="1" t="s">
        <v>14</v>
      </c>
      <c r="M136" s="1" t="str">
        <f>IF(ISNUMBER(SEARCH("Group",Table2[[#This Row],[Round]])),"Group stages",Table2[[#This Row],[Round]])</f>
        <v>Match for third place</v>
      </c>
      <c r="O136" s="1">
        <f>Table2[[#This Row],[Year]]</f>
        <v>1958</v>
      </c>
      <c r="P136" s="1" t="str">
        <f>INDEX(Table2[[HomeTeam]:[Group_details]],ROWS($N$2:N136),COLUMNS($N$2:N136))</f>
        <v>France</v>
      </c>
      <c r="Q136" s="1">
        <f>INDEX(Table2[[HomeTeam]:[Group_details]],ROWS($N$2:O136),COLUMNS($N$2:O136))</f>
        <v>6</v>
      </c>
      <c r="R136" s="1">
        <f>INDEX(Table2[[HomeTeam]:[Group_details]],ROWS($N$2:P136),COLUMNS($N$2:P136))</f>
        <v>3</v>
      </c>
      <c r="S136" s="1" t="str">
        <f>INDEX(Table2[[HomeTeam]:[Group_details]],ROWS($N$2:Q136),COLUMNS($N$2:Q136))</f>
        <v>Germany FR</v>
      </c>
      <c r="T136" s="1" t="str">
        <f>INDEX(Table2[[HomeTeam]:[Group_details]],ROWS($N$2:R136),COLUMNS($N$2:R136))</f>
        <v xml:space="preserve"> </v>
      </c>
      <c r="U136" s="1" t="str">
        <f>INDEX(Table2[[HomeTeam]:[Group_details]],ROWS($N$2:S136),COLUMNS($N$2:S136))</f>
        <v>Match for third place</v>
      </c>
      <c r="V136" s="1" t="b">
        <f t="shared" si="2"/>
        <v>1</v>
      </c>
      <c r="W136" s="1">
        <f>IF(V136=TRUE,ROWS($V$2:V136),"")</f>
        <v>135</v>
      </c>
      <c r="X136" s="1" t="str">
        <f>IFERROR(SMALL($W$2:$W$853,ROWS($W$2:W136)),"")</f>
        <v/>
      </c>
      <c r="Y136" s="1" t="str">
        <f>IF($X136&lt;&gt;"",INDEX($P$2:$U$853,MATCH($X136,$W$2:$W$853,0),COLUMNS($X$2:X136)),"")</f>
        <v/>
      </c>
      <c r="Z136" s="1" t="str">
        <f>IF($X136&lt;&gt;"",INDEX($P$2:$U$853,MATCH($X136,$W$2:$W$853,0),COLUMNS($X$2:Y136)),"")</f>
        <v/>
      </c>
      <c r="AA136" s="1" t="str">
        <f>IF($X136&lt;&gt;"",INDEX($P$2:$U$853,MATCH($X136,$W$2:$W$853,0),COLUMNS($X$2:Z136)),"")</f>
        <v/>
      </c>
      <c r="AB136" s="1" t="str">
        <f>IF($X136&lt;&gt;"",INDEX($P$2:$U$853,MATCH($X136,$W$2:$W$853,0),COLUMNS($X$2:AA136)),"")</f>
        <v/>
      </c>
      <c r="AC136" s="1" t="str">
        <f>IF($X136&lt;&gt;"",INDEX($P$2:$U$853,MATCH($X136,$W$2:$W$853,0),COLUMNS($X$2:AB136)),"")</f>
        <v/>
      </c>
      <c r="AD136" s="1" t="str">
        <f>IF($X136&lt;&gt;"",INDEX($P$2:$U$853,MATCH($X136,$W$2:$W$853,0),COLUMNS($X$2:AC136)),"")</f>
        <v/>
      </c>
    </row>
    <row r="137" spans="1:30" x14ac:dyDescent="0.2">
      <c r="A137" s="1">
        <v>1958</v>
      </c>
      <c r="B137" s="2">
        <v>21365</v>
      </c>
      <c r="C137" s="1" t="s">
        <v>500</v>
      </c>
      <c r="D137" s="1" t="s">
        <v>32</v>
      </c>
      <c r="E137" s="1" t="s">
        <v>122</v>
      </c>
      <c r="F137" s="1" t="s">
        <v>123</v>
      </c>
      <c r="G137" s="6" t="str">
        <f>VLOOKUP(A137,WorldCups!$A$2:$B$23,2,FALSE)</f>
        <v>Sweden</v>
      </c>
      <c r="H137" s="1" t="s">
        <v>21</v>
      </c>
      <c r="I137" s="1">
        <v>5</v>
      </c>
      <c r="J137" s="1">
        <v>2</v>
      </c>
      <c r="K137" s="1" t="s">
        <v>48</v>
      </c>
      <c r="L137" s="1" t="s">
        <v>14</v>
      </c>
      <c r="M137" s="1" t="str">
        <f>IF(ISNUMBER(SEARCH("Group",Table2[[#This Row],[Round]])),"Group stages",Table2[[#This Row],[Round]])</f>
        <v>Final</v>
      </c>
      <c r="O137" s="1">
        <f>Table2[[#This Row],[Year]]</f>
        <v>1958</v>
      </c>
      <c r="P137" s="1" t="str">
        <f>INDEX(Table2[[HomeTeam]:[Group_details]],ROWS($N$2:N137),COLUMNS($N$2:N137))</f>
        <v>Brazil</v>
      </c>
      <c r="Q137" s="1">
        <f>INDEX(Table2[[HomeTeam]:[Group_details]],ROWS($N$2:O137),COLUMNS($N$2:O137))</f>
        <v>5</v>
      </c>
      <c r="R137" s="1">
        <f>INDEX(Table2[[HomeTeam]:[Group_details]],ROWS($N$2:P137),COLUMNS($N$2:P137))</f>
        <v>2</v>
      </c>
      <c r="S137" s="1" t="str">
        <f>INDEX(Table2[[HomeTeam]:[Group_details]],ROWS($N$2:Q137),COLUMNS($N$2:Q137))</f>
        <v>Sweden</v>
      </c>
      <c r="T137" s="1" t="str">
        <f>INDEX(Table2[[HomeTeam]:[Group_details]],ROWS($N$2:R137),COLUMNS($N$2:R137))</f>
        <v xml:space="preserve"> </v>
      </c>
      <c r="U137" s="1" t="str">
        <f>INDEX(Table2[[HomeTeam]:[Group_details]],ROWS($N$2:S137),COLUMNS($N$2:S137))</f>
        <v>Final</v>
      </c>
      <c r="V137" s="1" t="b">
        <f t="shared" si="2"/>
        <v>1</v>
      </c>
      <c r="W137" s="1">
        <f>IF(V137=TRUE,ROWS($V$2:V137),"")</f>
        <v>136</v>
      </c>
      <c r="X137" s="1" t="str">
        <f>IFERROR(SMALL($W$2:$W$853,ROWS($W$2:W137)),"")</f>
        <v/>
      </c>
      <c r="Y137" s="1" t="str">
        <f>IF($X137&lt;&gt;"",INDEX($P$2:$U$853,MATCH($X137,$W$2:$W$853,0),COLUMNS($X$2:X137)),"")</f>
        <v/>
      </c>
      <c r="Z137" s="1" t="str">
        <f>IF($X137&lt;&gt;"",INDEX($P$2:$U$853,MATCH($X137,$W$2:$W$853,0),COLUMNS($X$2:Y137)),"")</f>
        <v/>
      </c>
      <c r="AA137" s="1" t="str">
        <f>IF($X137&lt;&gt;"",INDEX($P$2:$U$853,MATCH($X137,$W$2:$W$853,0),COLUMNS($X$2:Z137)),"")</f>
        <v/>
      </c>
      <c r="AB137" s="1" t="str">
        <f>IF($X137&lt;&gt;"",INDEX($P$2:$U$853,MATCH($X137,$W$2:$W$853,0),COLUMNS($X$2:AA137)),"")</f>
        <v/>
      </c>
      <c r="AC137" s="1" t="str">
        <f>IF($X137&lt;&gt;"",INDEX($P$2:$U$853,MATCH($X137,$W$2:$W$853,0),COLUMNS($X$2:AB137)),"")</f>
        <v/>
      </c>
      <c r="AD137" s="1" t="str">
        <f>IF($X137&lt;&gt;"",INDEX($P$2:$U$853,MATCH($X137,$W$2:$W$853,0),COLUMNS($X$2:AC137)),"")</f>
        <v/>
      </c>
    </row>
    <row r="138" spans="1:30" x14ac:dyDescent="0.2">
      <c r="A138" s="1">
        <v>1962</v>
      </c>
      <c r="B138" s="2">
        <v>22796</v>
      </c>
      <c r="C138" s="1" t="s">
        <v>500</v>
      </c>
      <c r="D138" s="1" t="s">
        <v>9</v>
      </c>
      <c r="E138" s="1" t="s">
        <v>149</v>
      </c>
      <c r="F138" s="1" t="s">
        <v>150</v>
      </c>
      <c r="G138" s="6" t="str">
        <f>VLOOKUP(A138,WorldCups!$A$2:$B$23,2,FALSE)</f>
        <v>Chile</v>
      </c>
      <c r="H138" s="1" t="s">
        <v>30</v>
      </c>
      <c r="I138" s="1">
        <v>2</v>
      </c>
      <c r="J138" s="1">
        <v>1</v>
      </c>
      <c r="K138" s="1" t="s">
        <v>151</v>
      </c>
      <c r="L138" s="1" t="s">
        <v>14</v>
      </c>
      <c r="M138" s="1" t="str">
        <f>IF(ISNUMBER(SEARCH("Group",Table2[[#This Row],[Round]])),"Group stages",Table2[[#This Row],[Round]])</f>
        <v>Group stages</v>
      </c>
      <c r="O138" s="1">
        <f>Table2[[#This Row],[Year]]</f>
        <v>1962</v>
      </c>
      <c r="P138" s="1" t="str">
        <f>INDEX(Table2[[HomeTeam]:[Group_details]],ROWS($N$2:N138),COLUMNS($N$2:N138))</f>
        <v>Uruguay</v>
      </c>
      <c r="Q138" s="1">
        <f>INDEX(Table2[[HomeTeam]:[Group_details]],ROWS($N$2:O138),COLUMNS($N$2:O138))</f>
        <v>2</v>
      </c>
      <c r="R138" s="1">
        <f>INDEX(Table2[[HomeTeam]:[Group_details]],ROWS($N$2:P138),COLUMNS($N$2:P138))</f>
        <v>1</v>
      </c>
      <c r="S138" s="1" t="str">
        <f>INDEX(Table2[[HomeTeam]:[Group_details]],ROWS($N$2:Q138),COLUMNS($N$2:Q138))</f>
        <v>Colombia</v>
      </c>
      <c r="T138" s="1" t="str">
        <f>INDEX(Table2[[HomeTeam]:[Group_details]],ROWS($N$2:R138),COLUMNS($N$2:R138))</f>
        <v xml:space="preserve"> </v>
      </c>
      <c r="U138" s="1" t="str">
        <f>INDEX(Table2[[HomeTeam]:[Group_details]],ROWS($N$2:S138),COLUMNS($N$2:S138))</f>
        <v>Group stages</v>
      </c>
      <c r="V138" s="1" t="b">
        <f t="shared" si="2"/>
        <v>0</v>
      </c>
      <c r="W138" s="1" t="str">
        <f>IF(V138=TRUE,ROWS($V$2:V138),"")</f>
        <v/>
      </c>
      <c r="X138" s="1" t="str">
        <f>IFERROR(SMALL($W$2:$W$853,ROWS($W$2:W138)),"")</f>
        <v/>
      </c>
      <c r="Y138" s="1" t="str">
        <f>IF($X138&lt;&gt;"",INDEX($P$2:$U$853,MATCH($X138,$W$2:$W$853,0),COLUMNS($X$2:X138)),"")</f>
        <v/>
      </c>
      <c r="Z138" s="1" t="str">
        <f>IF($X138&lt;&gt;"",INDEX($P$2:$U$853,MATCH($X138,$W$2:$W$853,0),COLUMNS($X$2:Y138)),"")</f>
        <v/>
      </c>
      <c r="AA138" s="1" t="str">
        <f>IF($X138&lt;&gt;"",INDEX($P$2:$U$853,MATCH($X138,$W$2:$W$853,0),COLUMNS($X$2:Z138)),"")</f>
        <v/>
      </c>
      <c r="AB138" s="1" t="str">
        <f>IF($X138&lt;&gt;"",INDEX($P$2:$U$853,MATCH($X138,$W$2:$W$853,0),COLUMNS($X$2:AA138)),"")</f>
        <v/>
      </c>
      <c r="AC138" s="1" t="str">
        <f>IF($X138&lt;&gt;"",INDEX($P$2:$U$853,MATCH($X138,$W$2:$W$853,0),COLUMNS($X$2:AB138)),"")</f>
        <v/>
      </c>
      <c r="AD138" s="1" t="str">
        <f>IF($X138&lt;&gt;"",INDEX($P$2:$U$853,MATCH($X138,$W$2:$W$853,0),COLUMNS($X$2:AC138)),"")</f>
        <v/>
      </c>
    </row>
    <row r="139" spans="1:30" x14ac:dyDescent="0.2">
      <c r="A139" s="1">
        <v>1962</v>
      </c>
      <c r="B139" s="2">
        <v>22796</v>
      </c>
      <c r="C139" s="1" t="s">
        <v>500</v>
      </c>
      <c r="D139" s="1" t="s">
        <v>22</v>
      </c>
      <c r="E139" s="1" t="s">
        <v>152</v>
      </c>
      <c r="F139" s="1" t="s">
        <v>153</v>
      </c>
      <c r="G139" s="6" t="str">
        <f>VLOOKUP(A139,WorldCups!$A$2:$B$23,2,FALSE)</f>
        <v>Chile</v>
      </c>
      <c r="H139" s="1" t="s">
        <v>21</v>
      </c>
      <c r="I139" s="1">
        <v>2</v>
      </c>
      <c r="J139" s="1">
        <v>0</v>
      </c>
      <c r="K139" s="1" t="s">
        <v>13</v>
      </c>
      <c r="L139" s="1" t="s">
        <v>14</v>
      </c>
      <c r="M139" s="1" t="str">
        <f>IF(ISNUMBER(SEARCH("Group",Table2[[#This Row],[Round]])),"Group stages",Table2[[#This Row],[Round]])</f>
        <v>Group stages</v>
      </c>
      <c r="O139" s="1">
        <f>Table2[[#This Row],[Year]]</f>
        <v>1962</v>
      </c>
      <c r="P139" s="1" t="str">
        <f>INDEX(Table2[[HomeTeam]:[Group_details]],ROWS($N$2:N139),COLUMNS($N$2:N139))</f>
        <v>Brazil</v>
      </c>
      <c r="Q139" s="1">
        <f>INDEX(Table2[[HomeTeam]:[Group_details]],ROWS($N$2:O139),COLUMNS($N$2:O139))</f>
        <v>2</v>
      </c>
      <c r="R139" s="1">
        <f>INDEX(Table2[[HomeTeam]:[Group_details]],ROWS($N$2:P139),COLUMNS($N$2:P139))</f>
        <v>0</v>
      </c>
      <c r="S139" s="1" t="str">
        <f>INDEX(Table2[[HomeTeam]:[Group_details]],ROWS($N$2:Q139),COLUMNS($N$2:Q139))</f>
        <v>Mexico</v>
      </c>
      <c r="T139" s="1" t="str">
        <f>INDEX(Table2[[HomeTeam]:[Group_details]],ROWS($N$2:R139),COLUMNS($N$2:R139))</f>
        <v xml:space="preserve"> </v>
      </c>
      <c r="U139" s="1" t="str">
        <f>INDEX(Table2[[HomeTeam]:[Group_details]],ROWS($N$2:S139),COLUMNS($N$2:S139))</f>
        <v>Group stages</v>
      </c>
      <c r="V139" s="1" t="b">
        <f t="shared" si="2"/>
        <v>0</v>
      </c>
      <c r="W139" s="1" t="str">
        <f>IF(V139=TRUE,ROWS($V$2:V139),"")</f>
        <v/>
      </c>
      <c r="X139" s="1" t="str">
        <f>IFERROR(SMALL($W$2:$W$853,ROWS($W$2:W139)),"")</f>
        <v/>
      </c>
      <c r="Y139" s="1" t="str">
        <f>IF($X139&lt;&gt;"",INDEX($P$2:$U$853,MATCH($X139,$W$2:$W$853,0),COLUMNS($X$2:X139)),"")</f>
        <v/>
      </c>
      <c r="Z139" s="1" t="str">
        <f>IF($X139&lt;&gt;"",INDEX($P$2:$U$853,MATCH($X139,$W$2:$W$853,0),COLUMNS($X$2:Y139)),"")</f>
        <v/>
      </c>
      <c r="AA139" s="1" t="str">
        <f>IF($X139&lt;&gt;"",INDEX($P$2:$U$853,MATCH($X139,$W$2:$W$853,0),COLUMNS($X$2:Z139)),"")</f>
        <v/>
      </c>
      <c r="AB139" s="1" t="str">
        <f>IF($X139&lt;&gt;"",INDEX($P$2:$U$853,MATCH($X139,$W$2:$W$853,0),COLUMNS($X$2:AA139)),"")</f>
        <v/>
      </c>
      <c r="AC139" s="1" t="str">
        <f>IF($X139&lt;&gt;"",INDEX($P$2:$U$853,MATCH($X139,$W$2:$W$853,0),COLUMNS($X$2:AB139)),"")</f>
        <v/>
      </c>
      <c r="AD139" s="1" t="str">
        <f>IF($X139&lt;&gt;"",INDEX($P$2:$U$853,MATCH($X139,$W$2:$W$853,0),COLUMNS($X$2:AC139)),"")</f>
        <v/>
      </c>
    </row>
    <row r="140" spans="1:30" x14ac:dyDescent="0.2">
      <c r="A140" s="1">
        <v>1962</v>
      </c>
      <c r="B140" s="2">
        <v>22796</v>
      </c>
      <c r="C140" s="1" t="s">
        <v>500</v>
      </c>
      <c r="D140" s="1" t="s">
        <v>15</v>
      </c>
      <c r="E140" s="1" t="s">
        <v>154</v>
      </c>
      <c r="F140" s="1" t="s">
        <v>155</v>
      </c>
      <c r="G140" s="6" t="str">
        <f>VLOOKUP(A140,WorldCups!$A$2:$B$23,2,FALSE)</f>
        <v>Chile</v>
      </c>
      <c r="H140" s="1" t="s">
        <v>25</v>
      </c>
      <c r="I140" s="1">
        <v>1</v>
      </c>
      <c r="J140" s="1">
        <v>0</v>
      </c>
      <c r="K140" s="1" t="s">
        <v>156</v>
      </c>
      <c r="L140" s="1" t="s">
        <v>14</v>
      </c>
      <c r="M140" s="1" t="str">
        <f>IF(ISNUMBER(SEARCH("Group",Table2[[#This Row],[Round]])),"Group stages",Table2[[#This Row],[Round]])</f>
        <v>Group stages</v>
      </c>
      <c r="O140" s="1">
        <f>Table2[[#This Row],[Year]]</f>
        <v>1962</v>
      </c>
      <c r="P140" s="1" t="str">
        <f>INDEX(Table2[[HomeTeam]:[Group_details]],ROWS($N$2:N140),COLUMNS($N$2:N140))</f>
        <v>Argentina</v>
      </c>
      <c r="Q140" s="1">
        <f>INDEX(Table2[[HomeTeam]:[Group_details]],ROWS($N$2:O140),COLUMNS($N$2:O140))</f>
        <v>1</v>
      </c>
      <c r="R140" s="1">
        <f>INDEX(Table2[[HomeTeam]:[Group_details]],ROWS($N$2:P140),COLUMNS($N$2:P140))</f>
        <v>0</v>
      </c>
      <c r="S140" s="1" t="str">
        <f>INDEX(Table2[[HomeTeam]:[Group_details]],ROWS($N$2:Q140),COLUMNS($N$2:Q140))</f>
        <v>Bulgaria</v>
      </c>
      <c r="T140" s="1" t="str">
        <f>INDEX(Table2[[HomeTeam]:[Group_details]],ROWS($N$2:R140),COLUMNS($N$2:R140))</f>
        <v xml:space="preserve"> </v>
      </c>
      <c r="U140" s="1" t="str">
        <f>INDEX(Table2[[HomeTeam]:[Group_details]],ROWS($N$2:S140),COLUMNS($N$2:S140))</f>
        <v>Group stages</v>
      </c>
      <c r="V140" s="1" t="b">
        <f t="shared" si="2"/>
        <v>0</v>
      </c>
      <c r="W140" s="1" t="str">
        <f>IF(V140=TRUE,ROWS($V$2:V140),"")</f>
        <v/>
      </c>
      <c r="X140" s="1" t="str">
        <f>IFERROR(SMALL($W$2:$W$853,ROWS($W$2:W140)),"")</f>
        <v/>
      </c>
      <c r="Y140" s="1" t="str">
        <f>IF($X140&lt;&gt;"",INDEX($P$2:$U$853,MATCH($X140,$W$2:$W$853,0),COLUMNS($X$2:X140)),"")</f>
        <v/>
      </c>
      <c r="Z140" s="1" t="str">
        <f>IF($X140&lt;&gt;"",INDEX($P$2:$U$853,MATCH($X140,$W$2:$W$853,0),COLUMNS($X$2:Y140)),"")</f>
        <v/>
      </c>
      <c r="AA140" s="1" t="str">
        <f>IF($X140&lt;&gt;"",INDEX($P$2:$U$853,MATCH($X140,$W$2:$W$853,0),COLUMNS($X$2:Z140)),"")</f>
        <v/>
      </c>
      <c r="AB140" s="1" t="str">
        <f>IF($X140&lt;&gt;"",INDEX($P$2:$U$853,MATCH($X140,$W$2:$W$853,0),COLUMNS($X$2:AA140)),"")</f>
        <v/>
      </c>
      <c r="AC140" s="1" t="str">
        <f>IF($X140&lt;&gt;"",INDEX($P$2:$U$853,MATCH($X140,$W$2:$W$853,0),COLUMNS($X$2:AB140)),"")</f>
        <v/>
      </c>
      <c r="AD140" s="1" t="str">
        <f>IF($X140&lt;&gt;"",INDEX($P$2:$U$853,MATCH($X140,$W$2:$W$853,0),COLUMNS($X$2:AC140)),"")</f>
        <v/>
      </c>
    </row>
    <row r="141" spans="1:30" x14ac:dyDescent="0.2">
      <c r="A141" s="1">
        <v>1962</v>
      </c>
      <c r="B141" s="2">
        <v>22796</v>
      </c>
      <c r="C141" s="1" t="s">
        <v>500</v>
      </c>
      <c r="D141" s="1" t="s">
        <v>19</v>
      </c>
      <c r="E141" s="1" t="s">
        <v>157</v>
      </c>
      <c r="F141" s="1" t="s">
        <v>158</v>
      </c>
      <c r="G141" s="6" t="str">
        <f>VLOOKUP(A141,WorldCups!$A$2:$B$23,2,FALSE)</f>
        <v>Chile</v>
      </c>
      <c r="H141" s="1" t="s">
        <v>26</v>
      </c>
      <c r="I141" s="1">
        <v>3</v>
      </c>
      <c r="J141" s="1">
        <v>1</v>
      </c>
      <c r="K141" s="1" t="s">
        <v>44</v>
      </c>
      <c r="L141" s="1" t="s">
        <v>14</v>
      </c>
      <c r="M141" s="1" t="str">
        <f>IF(ISNUMBER(SEARCH("Group",Table2[[#This Row],[Round]])),"Group stages",Table2[[#This Row],[Round]])</f>
        <v>Group stages</v>
      </c>
      <c r="O141" s="1">
        <f>Table2[[#This Row],[Year]]</f>
        <v>1962</v>
      </c>
      <c r="P141" s="1" t="str">
        <f>INDEX(Table2[[HomeTeam]:[Group_details]],ROWS($N$2:N141),COLUMNS($N$2:N141))</f>
        <v>Chile</v>
      </c>
      <c r="Q141" s="1">
        <f>INDEX(Table2[[HomeTeam]:[Group_details]],ROWS($N$2:O141),COLUMNS($N$2:O141))</f>
        <v>3</v>
      </c>
      <c r="R141" s="1">
        <f>INDEX(Table2[[HomeTeam]:[Group_details]],ROWS($N$2:P141),COLUMNS($N$2:P141))</f>
        <v>1</v>
      </c>
      <c r="S141" s="1" t="str">
        <f>INDEX(Table2[[HomeTeam]:[Group_details]],ROWS($N$2:Q141),COLUMNS($N$2:Q141))</f>
        <v>Switzerland</v>
      </c>
      <c r="T141" s="1" t="str">
        <f>INDEX(Table2[[HomeTeam]:[Group_details]],ROWS($N$2:R141),COLUMNS($N$2:R141))</f>
        <v xml:space="preserve"> </v>
      </c>
      <c r="U141" s="1" t="str">
        <f>INDEX(Table2[[HomeTeam]:[Group_details]],ROWS($N$2:S141),COLUMNS($N$2:S141))</f>
        <v>Group stages</v>
      </c>
      <c r="V141" s="1" t="b">
        <f t="shared" si="2"/>
        <v>0</v>
      </c>
      <c r="W141" s="1" t="str">
        <f>IF(V141=TRUE,ROWS($V$2:V141),"")</f>
        <v/>
      </c>
      <c r="X141" s="1" t="str">
        <f>IFERROR(SMALL($W$2:$W$853,ROWS($W$2:W141)),"")</f>
        <v/>
      </c>
      <c r="Y141" s="1" t="str">
        <f>IF($X141&lt;&gt;"",INDEX($P$2:$U$853,MATCH($X141,$W$2:$W$853,0),COLUMNS($X$2:X141)),"")</f>
        <v/>
      </c>
      <c r="Z141" s="1" t="str">
        <f>IF($X141&lt;&gt;"",INDEX($P$2:$U$853,MATCH($X141,$W$2:$W$853,0),COLUMNS($X$2:Y141)),"")</f>
        <v/>
      </c>
      <c r="AA141" s="1" t="str">
        <f>IF($X141&lt;&gt;"",INDEX($P$2:$U$853,MATCH($X141,$W$2:$W$853,0),COLUMNS($X$2:Z141)),"")</f>
        <v/>
      </c>
      <c r="AB141" s="1" t="str">
        <f>IF($X141&lt;&gt;"",INDEX($P$2:$U$853,MATCH($X141,$W$2:$W$853,0),COLUMNS($X$2:AA141)),"")</f>
        <v/>
      </c>
      <c r="AC141" s="1" t="str">
        <f>IF($X141&lt;&gt;"",INDEX($P$2:$U$853,MATCH($X141,$W$2:$W$853,0),COLUMNS($X$2:AB141)),"")</f>
        <v/>
      </c>
      <c r="AD141" s="1" t="str">
        <f>IF($X141&lt;&gt;"",INDEX($P$2:$U$853,MATCH($X141,$W$2:$W$853,0),COLUMNS($X$2:AC141)),"")</f>
        <v/>
      </c>
    </row>
    <row r="142" spans="1:30" x14ac:dyDescent="0.2">
      <c r="A142" s="1">
        <v>1962</v>
      </c>
      <c r="B142" s="2">
        <v>22797</v>
      </c>
      <c r="C142" s="1" t="s">
        <v>500</v>
      </c>
      <c r="D142" s="1" t="s">
        <v>9</v>
      </c>
      <c r="E142" s="1" t="s">
        <v>149</v>
      </c>
      <c r="F142" s="1" t="s">
        <v>150</v>
      </c>
      <c r="G142" s="6" t="str">
        <f>VLOOKUP(A142,WorldCups!$A$2:$B$23,2,FALSE)</f>
        <v>Chile</v>
      </c>
      <c r="H142" s="1" t="s">
        <v>126</v>
      </c>
      <c r="I142" s="1">
        <v>2</v>
      </c>
      <c r="J142" s="1">
        <v>0</v>
      </c>
      <c r="K142" s="1" t="s">
        <v>20</v>
      </c>
      <c r="L142" s="1" t="s">
        <v>14</v>
      </c>
      <c r="M142" s="1" t="str">
        <f>IF(ISNUMBER(SEARCH("Group",Table2[[#This Row],[Round]])),"Group stages",Table2[[#This Row],[Round]])</f>
        <v>Group stages</v>
      </c>
      <c r="O142" s="1">
        <f>Table2[[#This Row],[Year]]</f>
        <v>1962</v>
      </c>
      <c r="P142" s="1" t="str">
        <f>INDEX(Table2[[HomeTeam]:[Group_details]],ROWS($N$2:N142),COLUMNS($N$2:N142))</f>
        <v>Soviet Union</v>
      </c>
      <c r="Q142" s="1">
        <f>INDEX(Table2[[HomeTeam]:[Group_details]],ROWS($N$2:O142),COLUMNS($N$2:O142))</f>
        <v>2</v>
      </c>
      <c r="R142" s="1">
        <f>INDEX(Table2[[HomeTeam]:[Group_details]],ROWS($N$2:P142),COLUMNS($N$2:P142))</f>
        <v>0</v>
      </c>
      <c r="S142" s="1" t="str">
        <f>INDEX(Table2[[HomeTeam]:[Group_details]],ROWS($N$2:Q142),COLUMNS($N$2:Q142))</f>
        <v>Yugoslavia</v>
      </c>
      <c r="T142" s="1" t="str">
        <f>INDEX(Table2[[HomeTeam]:[Group_details]],ROWS($N$2:R142),COLUMNS($N$2:R142))</f>
        <v xml:space="preserve"> </v>
      </c>
      <c r="U142" s="1" t="str">
        <f>INDEX(Table2[[HomeTeam]:[Group_details]],ROWS($N$2:S142),COLUMNS($N$2:S142))</f>
        <v>Group stages</v>
      </c>
      <c r="V142" s="1" t="b">
        <f t="shared" si="2"/>
        <v>0</v>
      </c>
      <c r="W142" s="1" t="str">
        <f>IF(V142=TRUE,ROWS($V$2:V142),"")</f>
        <v/>
      </c>
      <c r="X142" s="1" t="str">
        <f>IFERROR(SMALL($W$2:$W$853,ROWS($W$2:W142)),"")</f>
        <v/>
      </c>
      <c r="Y142" s="1" t="str">
        <f>IF($X142&lt;&gt;"",INDEX($P$2:$U$853,MATCH($X142,$W$2:$W$853,0),COLUMNS($X$2:X142)),"")</f>
        <v/>
      </c>
      <c r="Z142" s="1" t="str">
        <f>IF($X142&lt;&gt;"",INDEX($P$2:$U$853,MATCH($X142,$W$2:$W$853,0),COLUMNS($X$2:Y142)),"")</f>
        <v/>
      </c>
      <c r="AA142" s="1" t="str">
        <f>IF($X142&lt;&gt;"",INDEX($P$2:$U$853,MATCH($X142,$W$2:$W$853,0),COLUMNS($X$2:Z142)),"")</f>
        <v/>
      </c>
      <c r="AB142" s="1" t="str">
        <f>IF($X142&lt;&gt;"",INDEX($P$2:$U$853,MATCH($X142,$W$2:$W$853,0),COLUMNS($X$2:AA142)),"")</f>
        <v/>
      </c>
      <c r="AC142" s="1" t="str">
        <f>IF($X142&lt;&gt;"",INDEX($P$2:$U$853,MATCH($X142,$W$2:$W$853,0),COLUMNS($X$2:AB142)),"")</f>
        <v/>
      </c>
      <c r="AD142" s="1" t="str">
        <f>IF($X142&lt;&gt;"",INDEX($P$2:$U$853,MATCH($X142,$W$2:$W$853,0),COLUMNS($X$2:AC142)),"")</f>
        <v/>
      </c>
    </row>
    <row r="143" spans="1:30" x14ac:dyDescent="0.2">
      <c r="A143" s="1">
        <v>1962</v>
      </c>
      <c r="B143" s="2">
        <v>22797</v>
      </c>
      <c r="C143" s="1" t="s">
        <v>500</v>
      </c>
      <c r="D143" s="1" t="s">
        <v>22</v>
      </c>
      <c r="E143" s="1" t="s">
        <v>152</v>
      </c>
      <c r="F143" s="1" t="s">
        <v>153</v>
      </c>
      <c r="G143" s="6" t="str">
        <f>VLOOKUP(A143,WorldCups!$A$2:$B$23,2,FALSE)</f>
        <v>Chile</v>
      </c>
      <c r="H143" s="1" t="s">
        <v>60</v>
      </c>
      <c r="I143" s="1">
        <v>1</v>
      </c>
      <c r="J143" s="1">
        <v>0</v>
      </c>
      <c r="K143" s="1" t="s">
        <v>54</v>
      </c>
      <c r="L143" s="1" t="s">
        <v>14</v>
      </c>
      <c r="M143" s="1" t="str">
        <f>IF(ISNUMBER(SEARCH("Group",Table2[[#This Row],[Round]])),"Group stages",Table2[[#This Row],[Round]])</f>
        <v>Group stages</v>
      </c>
      <c r="O143" s="1">
        <f>Table2[[#This Row],[Year]]</f>
        <v>1962</v>
      </c>
      <c r="P143" s="1" t="str">
        <f>INDEX(Table2[[HomeTeam]:[Group_details]],ROWS($N$2:N143),COLUMNS($N$2:N143))</f>
        <v>Czechoslovakia</v>
      </c>
      <c r="Q143" s="1">
        <f>INDEX(Table2[[HomeTeam]:[Group_details]],ROWS($N$2:O143),COLUMNS($N$2:O143))</f>
        <v>1</v>
      </c>
      <c r="R143" s="1">
        <f>INDEX(Table2[[HomeTeam]:[Group_details]],ROWS($N$2:P143),COLUMNS($N$2:P143))</f>
        <v>0</v>
      </c>
      <c r="S143" s="1" t="str">
        <f>INDEX(Table2[[HomeTeam]:[Group_details]],ROWS($N$2:Q143),COLUMNS($N$2:Q143))</f>
        <v>Spain</v>
      </c>
      <c r="T143" s="1" t="str">
        <f>INDEX(Table2[[HomeTeam]:[Group_details]],ROWS($N$2:R143),COLUMNS($N$2:R143))</f>
        <v xml:space="preserve"> </v>
      </c>
      <c r="U143" s="1" t="str">
        <f>INDEX(Table2[[HomeTeam]:[Group_details]],ROWS($N$2:S143),COLUMNS($N$2:S143))</f>
        <v>Group stages</v>
      </c>
      <c r="V143" s="1" t="b">
        <f t="shared" si="2"/>
        <v>0</v>
      </c>
      <c r="W143" s="1" t="str">
        <f>IF(V143=TRUE,ROWS($V$2:V143),"")</f>
        <v/>
      </c>
      <c r="X143" s="1" t="str">
        <f>IFERROR(SMALL($W$2:$W$853,ROWS($W$2:W143)),"")</f>
        <v/>
      </c>
      <c r="Y143" s="1" t="str">
        <f>IF($X143&lt;&gt;"",INDEX($P$2:$U$853,MATCH($X143,$W$2:$W$853,0),COLUMNS($X$2:X143)),"")</f>
        <v/>
      </c>
      <c r="Z143" s="1" t="str">
        <f>IF($X143&lt;&gt;"",INDEX($P$2:$U$853,MATCH($X143,$W$2:$W$853,0),COLUMNS($X$2:Y143)),"")</f>
        <v/>
      </c>
      <c r="AA143" s="1" t="str">
        <f>IF($X143&lt;&gt;"",INDEX($P$2:$U$853,MATCH($X143,$W$2:$W$853,0),COLUMNS($X$2:Z143)),"")</f>
        <v/>
      </c>
      <c r="AB143" s="1" t="str">
        <f>IF($X143&lt;&gt;"",INDEX($P$2:$U$853,MATCH($X143,$W$2:$W$853,0),COLUMNS($X$2:AA143)),"")</f>
        <v/>
      </c>
      <c r="AC143" s="1" t="str">
        <f>IF($X143&lt;&gt;"",INDEX($P$2:$U$853,MATCH($X143,$W$2:$W$853,0),COLUMNS($X$2:AB143)),"")</f>
        <v/>
      </c>
      <c r="AD143" s="1" t="str">
        <f>IF($X143&lt;&gt;"",INDEX($P$2:$U$853,MATCH($X143,$W$2:$W$853,0),COLUMNS($X$2:AC143)),"")</f>
        <v/>
      </c>
    </row>
    <row r="144" spans="1:30" x14ac:dyDescent="0.2">
      <c r="A144" s="1">
        <v>1962</v>
      </c>
      <c r="B144" s="2">
        <v>22797</v>
      </c>
      <c r="C144" s="1" t="s">
        <v>500</v>
      </c>
      <c r="D144" s="1" t="s">
        <v>15</v>
      </c>
      <c r="E144" s="1" t="s">
        <v>154</v>
      </c>
      <c r="F144" s="1" t="s">
        <v>155</v>
      </c>
      <c r="G144" s="6" t="str">
        <f>VLOOKUP(A144,WorldCups!$A$2:$B$23,2,FALSE)</f>
        <v>Chile</v>
      </c>
      <c r="H144" s="1" t="s">
        <v>40</v>
      </c>
      <c r="I144" s="1">
        <v>2</v>
      </c>
      <c r="J144" s="1">
        <v>1</v>
      </c>
      <c r="K144" s="1" t="s">
        <v>93</v>
      </c>
      <c r="L144" s="1" t="s">
        <v>14</v>
      </c>
      <c r="M144" s="1" t="str">
        <f>IF(ISNUMBER(SEARCH("Group",Table2[[#This Row],[Round]])),"Group stages",Table2[[#This Row],[Round]])</f>
        <v>Group stages</v>
      </c>
      <c r="O144" s="1">
        <f>Table2[[#This Row],[Year]]</f>
        <v>1962</v>
      </c>
      <c r="P144" s="1" t="str">
        <f>INDEX(Table2[[HomeTeam]:[Group_details]],ROWS($N$2:N144),COLUMNS($N$2:N144))</f>
        <v>Hungary</v>
      </c>
      <c r="Q144" s="1">
        <f>INDEX(Table2[[HomeTeam]:[Group_details]],ROWS($N$2:O144),COLUMNS($N$2:O144))</f>
        <v>2</v>
      </c>
      <c r="R144" s="1">
        <f>INDEX(Table2[[HomeTeam]:[Group_details]],ROWS($N$2:P144),COLUMNS($N$2:P144))</f>
        <v>1</v>
      </c>
      <c r="S144" s="1" t="str">
        <f>INDEX(Table2[[HomeTeam]:[Group_details]],ROWS($N$2:Q144),COLUMNS($N$2:Q144))</f>
        <v>England</v>
      </c>
      <c r="T144" s="1" t="str">
        <f>INDEX(Table2[[HomeTeam]:[Group_details]],ROWS($N$2:R144),COLUMNS($N$2:R144))</f>
        <v xml:space="preserve"> </v>
      </c>
      <c r="U144" s="1" t="str">
        <f>INDEX(Table2[[HomeTeam]:[Group_details]],ROWS($N$2:S144),COLUMNS($N$2:S144))</f>
        <v>Group stages</v>
      </c>
      <c r="V144" s="1" t="b">
        <f t="shared" si="2"/>
        <v>0</v>
      </c>
      <c r="W144" s="1" t="str">
        <f>IF(V144=TRUE,ROWS($V$2:V144),"")</f>
        <v/>
      </c>
      <c r="X144" s="1" t="str">
        <f>IFERROR(SMALL($W$2:$W$853,ROWS($W$2:W144)),"")</f>
        <v/>
      </c>
      <c r="Y144" s="1" t="str">
        <f>IF($X144&lt;&gt;"",INDEX($P$2:$U$853,MATCH($X144,$W$2:$W$853,0),COLUMNS($X$2:X144)),"")</f>
        <v/>
      </c>
      <c r="Z144" s="1" t="str">
        <f>IF($X144&lt;&gt;"",INDEX($P$2:$U$853,MATCH($X144,$W$2:$W$853,0),COLUMNS($X$2:Y144)),"")</f>
        <v/>
      </c>
      <c r="AA144" s="1" t="str">
        <f>IF($X144&lt;&gt;"",INDEX($P$2:$U$853,MATCH($X144,$W$2:$W$853,0),COLUMNS($X$2:Z144)),"")</f>
        <v/>
      </c>
      <c r="AB144" s="1" t="str">
        <f>IF($X144&lt;&gt;"",INDEX($P$2:$U$853,MATCH($X144,$W$2:$W$853,0),COLUMNS($X$2:AA144)),"")</f>
        <v/>
      </c>
      <c r="AC144" s="1" t="str">
        <f>IF($X144&lt;&gt;"",INDEX($P$2:$U$853,MATCH($X144,$W$2:$W$853,0),COLUMNS($X$2:AB144)),"")</f>
        <v/>
      </c>
      <c r="AD144" s="1" t="str">
        <f>IF($X144&lt;&gt;"",INDEX($P$2:$U$853,MATCH($X144,$W$2:$W$853,0),COLUMNS($X$2:AC144)),"")</f>
        <v/>
      </c>
    </row>
    <row r="145" spans="1:30" x14ac:dyDescent="0.2">
      <c r="A145" s="1">
        <v>1962</v>
      </c>
      <c r="B145" s="2">
        <v>22797</v>
      </c>
      <c r="C145" s="1" t="s">
        <v>500</v>
      </c>
      <c r="D145" s="1" t="s">
        <v>19</v>
      </c>
      <c r="E145" s="1" t="s">
        <v>157</v>
      </c>
      <c r="F145" s="1" t="s">
        <v>158</v>
      </c>
      <c r="G145" s="6" t="str">
        <f>VLOOKUP(A145,WorldCups!$A$2:$B$23,2,FALSE)</f>
        <v>Chile</v>
      </c>
      <c r="H145" s="1" t="s">
        <v>114</v>
      </c>
      <c r="I145" s="1">
        <v>0</v>
      </c>
      <c r="J145" s="1">
        <v>0</v>
      </c>
      <c r="K145" s="1" t="s">
        <v>57</v>
      </c>
      <c r="L145" s="1" t="s">
        <v>14</v>
      </c>
      <c r="M145" s="1" t="str">
        <f>IF(ISNUMBER(SEARCH("Group",Table2[[#This Row],[Round]])),"Group stages",Table2[[#This Row],[Round]])</f>
        <v>Group stages</v>
      </c>
      <c r="O145" s="1">
        <f>Table2[[#This Row],[Year]]</f>
        <v>1962</v>
      </c>
      <c r="P145" s="1" t="str">
        <f>INDEX(Table2[[HomeTeam]:[Group_details]],ROWS($N$2:N145),COLUMNS($N$2:N145))</f>
        <v>Germany FR</v>
      </c>
      <c r="Q145" s="1">
        <f>INDEX(Table2[[HomeTeam]:[Group_details]],ROWS($N$2:O145),COLUMNS($N$2:O145))</f>
        <v>0</v>
      </c>
      <c r="R145" s="1">
        <f>INDEX(Table2[[HomeTeam]:[Group_details]],ROWS($N$2:P145),COLUMNS($N$2:P145))</f>
        <v>0</v>
      </c>
      <c r="S145" s="1" t="str">
        <f>INDEX(Table2[[HomeTeam]:[Group_details]],ROWS($N$2:Q145),COLUMNS($N$2:Q145))</f>
        <v>Italy</v>
      </c>
      <c r="T145" s="1" t="str">
        <f>INDEX(Table2[[HomeTeam]:[Group_details]],ROWS($N$2:R145),COLUMNS($N$2:R145))</f>
        <v xml:space="preserve"> </v>
      </c>
      <c r="U145" s="1" t="str">
        <f>INDEX(Table2[[HomeTeam]:[Group_details]],ROWS($N$2:S145),COLUMNS($N$2:S145))</f>
        <v>Group stages</v>
      </c>
      <c r="V145" s="1" t="b">
        <f t="shared" si="2"/>
        <v>0</v>
      </c>
      <c r="W145" s="1" t="str">
        <f>IF(V145=TRUE,ROWS($V$2:V145),"")</f>
        <v/>
      </c>
      <c r="X145" s="1" t="str">
        <f>IFERROR(SMALL($W$2:$W$853,ROWS($W$2:W145)),"")</f>
        <v/>
      </c>
      <c r="Y145" s="1" t="str">
        <f>IF($X145&lt;&gt;"",INDEX($P$2:$U$853,MATCH($X145,$W$2:$W$853,0),COLUMNS($X$2:X145)),"")</f>
        <v/>
      </c>
      <c r="Z145" s="1" t="str">
        <f>IF($X145&lt;&gt;"",INDEX($P$2:$U$853,MATCH($X145,$W$2:$W$853,0),COLUMNS($X$2:Y145)),"")</f>
        <v/>
      </c>
      <c r="AA145" s="1" t="str">
        <f>IF($X145&lt;&gt;"",INDEX($P$2:$U$853,MATCH($X145,$W$2:$W$853,0),COLUMNS($X$2:Z145)),"")</f>
        <v/>
      </c>
      <c r="AB145" s="1" t="str">
        <f>IF($X145&lt;&gt;"",INDEX($P$2:$U$853,MATCH($X145,$W$2:$W$853,0),COLUMNS($X$2:AA145)),"")</f>
        <v/>
      </c>
      <c r="AC145" s="1" t="str">
        <f>IF($X145&lt;&gt;"",INDEX($P$2:$U$853,MATCH($X145,$W$2:$W$853,0),COLUMNS($X$2:AB145)),"")</f>
        <v/>
      </c>
      <c r="AD145" s="1" t="str">
        <f>IF($X145&lt;&gt;"",INDEX($P$2:$U$853,MATCH($X145,$W$2:$W$853,0),COLUMNS($X$2:AC145)),"")</f>
        <v/>
      </c>
    </row>
    <row r="146" spans="1:30" x14ac:dyDescent="0.2">
      <c r="A146" s="1">
        <v>1962</v>
      </c>
      <c r="B146" s="2">
        <v>22799</v>
      </c>
      <c r="C146" s="1" t="s">
        <v>500</v>
      </c>
      <c r="D146" s="1" t="s">
        <v>9</v>
      </c>
      <c r="E146" s="1" t="s">
        <v>149</v>
      </c>
      <c r="F146" s="1" t="s">
        <v>150</v>
      </c>
      <c r="G146" s="6" t="str">
        <f>VLOOKUP(A146,WorldCups!$A$2:$B$23,2,FALSE)</f>
        <v>Chile</v>
      </c>
      <c r="H146" s="1" t="s">
        <v>20</v>
      </c>
      <c r="I146" s="1">
        <v>3</v>
      </c>
      <c r="J146" s="1">
        <v>1</v>
      </c>
      <c r="K146" s="1" t="s">
        <v>30</v>
      </c>
      <c r="L146" s="1" t="s">
        <v>14</v>
      </c>
      <c r="M146" s="1" t="str">
        <f>IF(ISNUMBER(SEARCH("Group",Table2[[#This Row],[Round]])),"Group stages",Table2[[#This Row],[Round]])</f>
        <v>Group stages</v>
      </c>
      <c r="O146" s="1">
        <f>Table2[[#This Row],[Year]]</f>
        <v>1962</v>
      </c>
      <c r="P146" s="1" t="str">
        <f>INDEX(Table2[[HomeTeam]:[Group_details]],ROWS($N$2:N146),COLUMNS($N$2:N146))</f>
        <v>Yugoslavia</v>
      </c>
      <c r="Q146" s="1">
        <f>INDEX(Table2[[HomeTeam]:[Group_details]],ROWS($N$2:O146),COLUMNS($N$2:O146))</f>
        <v>3</v>
      </c>
      <c r="R146" s="1">
        <f>INDEX(Table2[[HomeTeam]:[Group_details]],ROWS($N$2:P146),COLUMNS($N$2:P146))</f>
        <v>1</v>
      </c>
      <c r="S146" s="1" t="str">
        <f>INDEX(Table2[[HomeTeam]:[Group_details]],ROWS($N$2:Q146),COLUMNS($N$2:Q146))</f>
        <v>Uruguay</v>
      </c>
      <c r="T146" s="1" t="str">
        <f>INDEX(Table2[[HomeTeam]:[Group_details]],ROWS($N$2:R146),COLUMNS($N$2:R146))</f>
        <v xml:space="preserve"> </v>
      </c>
      <c r="U146" s="1" t="str">
        <f>INDEX(Table2[[HomeTeam]:[Group_details]],ROWS($N$2:S146),COLUMNS($N$2:S146))</f>
        <v>Group stages</v>
      </c>
      <c r="V146" s="1" t="b">
        <f t="shared" si="2"/>
        <v>0</v>
      </c>
      <c r="W146" s="1" t="str">
        <f>IF(V146=TRUE,ROWS($V$2:V146),"")</f>
        <v/>
      </c>
      <c r="X146" s="1" t="str">
        <f>IFERROR(SMALL($W$2:$W$853,ROWS($W$2:W146)),"")</f>
        <v/>
      </c>
      <c r="Y146" s="1" t="str">
        <f>IF($X146&lt;&gt;"",INDEX($P$2:$U$853,MATCH($X146,$W$2:$W$853,0),COLUMNS($X$2:X146)),"")</f>
        <v/>
      </c>
      <c r="Z146" s="1" t="str">
        <f>IF($X146&lt;&gt;"",INDEX($P$2:$U$853,MATCH($X146,$W$2:$W$853,0),COLUMNS($X$2:Y146)),"")</f>
        <v/>
      </c>
      <c r="AA146" s="1" t="str">
        <f>IF($X146&lt;&gt;"",INDEX($P$2:$U$853,MATCH($X146,$W$2:$W$853,0),COLUMNS($X$2:Z146)),"")</f>
        <v/>
      </c>
      <c r="AB146" s="1" t="str">
        <f>IF($X146&lt;&gt;"",INDEX($P$2:$U$853,MATCH($X146,$W$2:$W$853,0),COLUMNS($X$2:AA146)),"")</f>
        <v/>
      </c>
      <c r="AC146" s="1" t="str">
        <f>IF($X146&lt;&gt;"",INDEX($P$2:$U$853,MATCH($X146,$W$2:$W$853,0),COLUMNS($X$2:AB146)),"")</f>
        <v/>
      </c>
      <c r="AD146" s="1" t="str">
        <f>IF($X146&lt;&gt;"",INDEX($P$2:$U$853,MATCH($X146,$W$2:$W$853,0),COLUMNS($X$2:AC146)),"")</f>
        <v/>
      </c>
    </row>
    <row r="147" spans="1:30" x14ac:dyDescent="0.2">
      <c r="A147" s="1">
        <v>1962</v>
      </c>
      <c r="B147" s="2">
        <v>22799</v>
      </c>
      <c r="C147" s="1" t="s">
        <v>500</v>
      </c>
      <c r="D147" s="1" t="s">
        <v>22</v>
      </c>
      <c r="E147" s="1" t="s">
        <v>152</v>
      </c>
      <c r="F147" s="1" t="s">
        <v>153</v>
      </c>
      <c r="G147" s="6" t="str">
        <f>VLOOKUP(A147,WorldCups!$A$2:$B$23,2,FALSE)</f>
        <v>Chile</v>
      </c>
      <c r="H147" s="1" t="s">
        <v>21</v>
      </c>
      <c r="I147" s="1">
        <v>0</v>
      </c>
      <c r="J147" s="1">
        <v>0</v>
      </c>
      <c r="K147" s="1" t="s">
        <v>60</v>
      </c>
      <c r="L147" s="1" t="s">
        <v>14</v>
      </c>
      <c r="M147" s="1" t="str">
        <f>IF(ISNUMBER(SEARCH("Group",Table2[[#This Row],[Round]])),"Group stages",Table2[[#This Row],[Round]])</f>
        <v>Group stages</v>
      </c>
      <c r="O147" s="1">
        <f>Table2[[#This Row],[Year]]</f>
        <v>1962</v>
      </c>
      <c r="P147" s="1" t="str">
        <f>INDEX(Table2[[HomeTeam]:[Group_details]],ROWS($N$2:N147),COLUMNS($N$2:N147))</f>
        <v>Brazil</v>
      </c>
      <c r="Q147" s="1">
        <f>INDEX(Table2[[HomeTeam]:[Group_details]],ROWS($N$2:O147),COLUMNS($N$2:O147))</f>
        <v>0</v>
      </c>
      <c r="R147" s="1">
        <f>INDEX(Table2[[HomeTeam]:[Group_details]],ROWS($N$2:P147),COLUMNS($N$2:P147))</f>
        <v>0</v>
      </c>
      <c r="S147" s="1" t="str">
        <f>INDEX(Table2[[HomeTeam]:[Group_details]],ROWS($N$2:Q147),COLUMNS($N$2:Q147))</f>
        <v>Czechoslovakia</v>
      </c>
      <c r="T147" s="1" t="str">
        <f>INDEX(Table2[[HomeTeam]:[Group_details]],ROWS($N$2:R147),COLUMNS($N$2:R147))</f>
        <v xml:space="preserve"> </v>
      </c>
      <c r="U147" s="1" t="str">
        <f>INDEX(Table2[[HomeTeam]:[Group_details]],ROWS($N$2:S147),COLUMNS($N$2:S147))</f>
        <v>Group stages</v>
      </c>
      <c r="V147" s="1" t="b">
        <f t="shared" si="2"/>
        <v>0</v>
      </c>
      <c r="W147" s="1" t="str">
        <f>IF(V147=TRUE,ROWS($V$2:V147),"")</f>
        <v/>
      </c>
      <c r="X147" s="1" t="str">
        <f>IFERROR(SMALL($W$2:$W$853,ROWS($W$2:W147)),"")</f>
        <v/>
      </c>
      <c r="Y147" s="1" t="str">
        <f>IF($X147&lt;&gt;"",INDEX($P$2:$U$853,MATCH($X147,$W$2:$W$853,0),COLUMNS($X$2:X147)),"")</f>
        <v/>
      </c>
      <c r="Z147" s="1" t="str">
        <f>IF($X147&lt;&gt;"",INDEX($P$2:$U$853,MATCH($X147,$W$2:$W$853,0),COLUMNS($X$2:Y147)),"")</f>
        <v/>
      </c>
      <c r="AA147" s="1" t="str">
        <f>IF($X147&lt;&gt;"",INDEX($P$2:$U$853,MATCH($X147,$W$2:$W$853,0),COLUMNS($X$2:Z147)),"")</f>
        <v/>
      </c>
      <c r="AB147" s="1" t="str">
        <f>IF($X147&lt;&gt;"",INDEX($P$2:$U$853,MATCH($X147,$W$2:$W$853,0),COLUMNS($X$2:AA147)),"")</f>
        <v/>
      </c>
      <c r="AC147" s="1" t="str">
        <f>IF($X147&lt;&gt;"",INDEX($P$2:$U$853,MATCH($X147,$W$2:$W$853,0),COLUMNS($X$2:AB147)),"")</f>
        <v/>
      </c>
      <c r="AD147" s="1" t="str">
        <f>IF($X147&lt;&gt;"",INDEX($P$2:$U$853,MATCH($X147,$W$2:$W$853,0),COLUMNS($X$2:AC147)),"")</f>
        <v/>
      </c>
    </row>
    <row r="148" spans="1:30" x14ac:dyDescent="0.2">
      <c r="A148" s="1">
        <v>1962</v>
      </c>
      <c r="B148" s="2">
        <v>22799</v>
      </c>
      <c r="C148" s="1" t="s">
        <v>500</v>
      </c>
      <c r="D148" s="1" t="s">
        <v>15</v>
      </c>
      <c r="E148" s="1" t="s">
        <v>154</v>
      </c>
      <c r="F148" s="1" t="s">
        <v>155</v>
      </c>
      <c r="G148" s="6" t="str">
        <f>VLOOKUP(A148,WorldCups!$A$2:$B$23,2,FALSE)</f>
        <v>Chile</v>
      </c>
      <c r="H148" s="1" t="s">
        <v>93</v>
      </c>
      <c r="I148" s="1">
        <v>3</v>
      </c>
      <c r="J148" s="1">
        <v>1</v>
      </c>
      <c r="K148" s="1" t="s">
        <v>25</v>
      </c>
      <c r="L148" s="1" t="s">
        <v>14</v>
      </c>
      <c r="M148" s="1" t="str">
        <f>IF(ISNUMBER(SEARCH("Group",Table2[[#This Row],[Round]])),"Group stages",Table2[[#This Row],[Round]])</f>
        <v>Group stages</v>
      </c>
      <c r="O148" s="1">
        <f>Table2[[#This Row],[Year]]</f>
        <v>1962</v>
      </c>
      <c r="P148" s="1" t="str">
        <f>INDEX(Table2[[HomeTeam]:[Group_details]],ROWS($N$2:N148),COLUMNS($N$2:N148))</f>
        <v>England</v>
      </c>
      <c r="Q148" s="1">
        <f>INDEX(Table2[[HomeTeam]:[Group_details]],ROWS($N$2:O148),COLUMNS($N$2:O148))</f>
        <v>3</v>
      </c>
      <c r="R148" s="1">
        <f>INDEX(Table2[[HomeTeam]:[Group_details]],ROWS($N$2:P148),COLUMNS($N$2:P148))</f>
        <v>1</v>
      </c>
      <c r="S148" s="1" t="str">
        <f>INDEX(Table2[[HomeTeam]:[Group_details]],ROWS($N$2:Q148),COLUMNS($N$2:Q148))</f>
        <v>Argentina</v>
      </c>
      <c r="T148" s="1" t="str">
        <f>INDEX(Table2[[HomeTeam]:[Group_details]],ROWS($N$2:R148),COLUMNS($N$2:R148))</f>
        <v xml:space="preserve"> </v>
      </c>
      <c r="U148" s="1" t="str">
        <f>INDEX(Table2[[HomeTeam]:[Group_details]],ROWS($N$2:S148),COLUMNS($N$2:S148))</f>
        <v>Group stages</v>
      </c>
      <c r="V148" s="1" t="b">
        <f t="shared" si="2"/>
        <v>0</v>
      </c>
      <c r="W148" s="1" t="str">
        <f>IF(V148=TRUE,ROWS($V$2:V148),"")</f>
        <v/>
      </c>
      <c r="X148" s="1" t="str">
        <f>IFERROR(SMALL($W$2:$W$853,ROWS($W$2:W148)),"")</f>
        <v/>
      </c>
      <c r="Y148" s="1" t="str">
        <f>IF($X148&lt;&gt;"",INDEX($P$2:$U$853,MATCH($X148,$W$2:$W$853,0),COLUMNS($X$2:X148)),"")</f>
        <v/>
      </c>
      <c r="Z148" s="1" t="str">
        <f>IF($X148&lt;&gt;"",INDEX($P$2:$U$853,MATCH($X148,$W$2:$W$853,0),COLUMNS($X$2:Y148)),"")</f>
        <v/>
      </c>
      <c r="AA148" s="1" t="str">
        <f>IF($X148&lt;&gt;"",INDEX($P$2:$U$853,MATCH($X148,$W$2:$W$853,0),COLUMNS($X$2:Z148)),"")</f>
        <v/>
      </c>
      <c r="AB148" s="1" t="str">
        <f>IF($X148&lt;&gt;"",INDEX($P$2:$U$853,MATCH($X148,$W$2:$W$853,0),COLUMNS($X$2:AA148)),"")</f>
        <v/>
      </c>
      <c r="AC148" s="1" t="str">
        <f>IF($X148&lt;&gt;"",INDEX($P$2:$U$853,MATCH($X148,$W$2:$W$853,0),COLUMNS($X$2:AB148)),"")</f>
        <v/>
      </c>
      <c r="AD148" s="1" t="str">
        <f>IF($X148&lt;&gt;"",INDEX($P$2:$U$853,MATCH($X148,$W$2:$W$853,0),COLUMNS($X$2:AC148)),"")</f>
        <v/>
      </c>
    </row>
    <row r="149" spans="1:30" x14ac:dyDescent="0.2">
      <c r="A149" s="1">
        <v>1962</v>
      </c>
      <c r="B149" s="2">
        <v>22799</v>
      </c>
      <c r="C149" s="1" t="s">
        <v>500</v>
      </c>
      <c r="D149" s="1" t="s">
        <v>19</v>
      </c>
      <c r="E149" s="1" t="s">
        <v>157</v>
      </c>
      <c r="F149" s="1" t="s">
        <v>158</v>
      </c>
      <c r="G149" s="6" t="str">
        <f>VLOOKUP(A149,WorldCups!$A$2:$B$23,2,FALSE)</f>
        <v>Chile</v>
      </c>
      <c r="H149" s="1" t="s">
        <v>26</v>
      </c>
      <c r="I149" s="1">
        <v>2</v>
      </c>
      <c r="J149" s="1">
        <v>0</v>
      </c>
      <c r="K149" s="1" t="s">
        <v>57</v>
      </c>
      <c r="L149" s="1" t="s">
        <v>14</v>
      </c>
      <c r="M149" s="1" t="str">
        <f>IF(ISNUMBER(SEARCH("Group",Table2[[#This Row],[Round]])),"Group stages",Table2[[#This Row],[Round]])</f>
        <v>Group stages</v>
      </c>
      <c r="O149" s="1">
        <f>Table2[[#This Row],[Year]]</f>
        <v>1962</v>
      </c>
      <c r="P149" s="1" t="str">
        <f>INDEX(Table2[[HomeTeam]:[Group_details]],ROWS($N$2:N149),COLUMNS($N$2:N149))</f>
        <v>Chile</v>
      </c>
      <c r="Q149" s="1">
        <f>INDEX(Table2[[HomeTeam]:[Group_details]],ROWS($N$2:O149),COLUMNS($N$2:O149))</f>
        <v>2</v>
      </c>
      <c r="R149" s="1">
        <f>INDEX(Table2[[HomeTeam]:[Group_details]],ROWS($N$2:P149),COLUMNS($N$2:P149))</f>
        <v>0</v>
      </c>
      <c r="S149" s="1" t="str">
        <f>INDEX(Table2[[HomeTeam]:[Group_details]],ROWS($N$2:Q149),COLUMNS($N$2:Q149))</f>
        <v>Italy</v>
      </c>
      <c r="T149" s="1" t="str">
        <f>INDEX(Table2[[HomeTeam]:[Group_details]],ROWS($N$2:R149),COLUMNS($N$2:R149))</f>
        <v xml:space="preserve"> </v>
      </c>
      <c r="U149" s="1" t="str">
        <f>INDEX(Table2[[HomeTeam]:[Group_details]],ROWS($N$2:S149),COLUMNS($N$2:S149))</f>
        <v>Group stages</v>
      </c>
      <c r="V149" s="1" t="b">
        <f t="shared" si="2"/>
        <v>0</v>
      </c>
      <c r="W149" s="1" t="str">
        <f>IF(V149=TRUE,ROWS($V$2:V149),"")</f>
        <v/>
      </c>
      <c r="X149" s="1" t="str">
        <f>IFERROR(SMALL($W$2:$W$853,ROWS($W$2:W149)),"")</f>
        <v/>
      </c>
      <c r="Y149" s="1" t="str">
        <f>IF($X149&lt;&gt;"",INDEX($P$2:$U$853,MATCH($X149,$W$2:$W$853,0),COLUMNS($X$2:X149)),"")</f>
        <v/>
      </c>
      <c r="Z149" s="1" t="str">
        <f>IF($X149&lt;&gt;"",INDEX($P$2:$U$853,MATCH($X149,$W$2:$W$853,0),COLUMNS($X$2:Y149)),"")</f>
        <v/>
      </c>
      <c r="AA149" s="1" t="str">
        <f>IF($X149&lt;&gt;"",INDEX($P$2:$U$853,MATCH($X149,$W$2:$W$853,0),COLUMNS($X$2:Z149)),"")</f>
        <v/>
      </c>
      <c r="AB149" s="1" t="str">
        <f>IF($X149&lt;&gt;"",INDEX($P$2:$U$853,MATCH($X149,$W$2:$W$853,0),COLUMNS($X$2:AA149)),"")</f>
        <v/>
      </c>
      <c r="AC149" s="1" t="str">
        <f>IF($X149&lt;&gt;"",INDEX($P$2:$U$853,MATCH($X149,$W$2:$W$853,0),COLUMNS($X$2:AB149)),"")</f>
        <v/>
      </c>
      <c r="AD149" s="1" t="str">
        <f>IF($X149&lt;&gt;"",INDEX($P$2:$U$853,MATCH($X149,$W$2:$W$853,0),COLUMNS($X$2:AC149)),"")</f>
        <v/>
      </c>
    </row>
    <row r="150" spans="1:30" x14ac:dyDescent="0.2">
      <c r="A150" s="1">
        <v>1962</v>
      </c>
      <c r="B150" s="2">
        <v>22800</v>
      </c>
      <c r="C150" s="1" t="s">
        <v>500</v>
      </c>
      <c r="D150" s="1" t="s">
        <v>9</v>
      </c>
      <c r="E150" s="1" t="s">
        <v>149</v>
      </c>
      <c r="F150" s="1" t="s">
        <v>150</v>
      </c>
      <c r="G150" s="6" t="str">
        <f>VLOOKUP(A150,WorldCups!$A$2:$B$23,2,FALSE)</f>
        <v>Chile</v>
      </c>
      <c r="H150" s="1" t="s">
        <v>126</v>
      </c>
      <c r="I150" s="1">
        <v>4</v>
      </c>
      <c r="J150" s="1">
        <v>4</v>
      </c>
      <c r="K150" s="1" t="s">
        <v>151</v>
      </c>
      <c r="L150" s="1" t="s">
        <v>14</v>
      </c>
      <c r="M150" s="1" t="str">
        <f>IF(ISNUMBER(SEARCH("Group",Table2[[#This Row],[Round]])),"Group stages",Table2[[#This Row],[Round]])</f>
        <v>Group stages</v>
      </c>
      <c r="O150" s="1">
        <f>Table2[[#This Row],[Year]]</f>
        <v>1962</v>
      </c>
      <c r="P150" s="1" t="str">
        <f>INDEX(Table2[[HomeTeam]:[Group_details]],ROWS($N$2:N150),COLUMNS($N$2:N150))</f>
        <v>Soviet Union</v>
      </c>
      <c r="Q150" s="1">
        <f>INDEX(Table2[[HomeTeam]:[Group_details]],ROWS($N$2:O150),COLUMNS($N$2:O150))</f>
        <v>4</v>
      </c>
      <c r="R150" s="1">
        <f>INDEX(Table2[[HomeTeam]:[Group_details]],ROWS($N$2:P150),COLUMNS($N$2:P150))</f>
        <v>4</v>
      </c>
      <c r="S150" s="1" t="str">
        <f>INDEX(Table2[[HomeTeam]:[Group_details]],ROWS($N$2:Q150),COLUMNS($N$2:Q150))</f>
        <v>Colombia</v>
      </c>
      <c r="T150" s="1" t="str">
        <f>INDEX(Table2[[HomeTeam]:[Group_details]],ROWS($N$2:R150),COLUMNS($N$2:R150))</f>
        <v xml:space="preserve"> </v>
      </c>
      <c r="U150" s="1" t="str">
        <f>INDEX(Table2[[HomeTeam]:[Group_details]],ROWS($N$2:S150),COLUMNS($N$2:S150))</f>
        <v>Group stages</v>
      </c>
      <c r="V150" s="1" t="b">
        <f t="shared" si="2"/>
        <v>0</v>
      </c>
      <c r="W150" s="1" t="str">
        <f>IF(V150=TRUE,ROWS($V$2:V150),"")</f>
        <v/>
      </c>
      <c r="X150" s="1" t="str">
        <f>IFERROR(SMALL($W$2:$W$853,ROWS($W$2:W150)),"")</f>
        <v/>
      </c>
      <c r="Y150" s="1" t="str">
        <f>IF($X150&lt;&gt;"",INDEX($P$2:$U$853,MATCH($X150,$W$2:$W$853,0),COLUMNS($X$2:X150)),"")</f>
        <v/>
      </c>
      <c r="Z150" s="1" t="str">
        <f>IF($X150&lt;&gt;"",INDEX($P$2:$U$853,MATCH($X150,$W$2:$W$853,0),COLUMNS($X$2:Y150)),"")</f>
        <v/>
      </c>
      <c r="AA150" s="1" t="str">
        <f>IF($X150&lt;&gt;"",INDEX($P$2:$U$853,MATCH($X150,$W$2:$W$853,0),COLUMNS($X$2:Z150)),"")</f>
        <v/>
      </c>
      <c r="AB150" s="1" t="str">
        <f>IF($X150&lt;&gt;"",INDEX($P$2:$U$853,MATCH($X150,$W$2:$W$853,0),COLUMNS($X$2:AA150)),"")</f>
        <v/>
      </c>
      <c r="AC150" s="1" t="str">
        <f>IF($X150&lt;&gt;"",INDEX($P$2:$U$853,MATCH($X150,$W$2:$W$853,0),COLUMNS($X$2:AB150)),"")</f>
        <v/>
      </c>
      <c r="AD150" s="1" t="str">
        <f>IF($X150&lt;&gt;"",INDEX($P$2:$U$853,MATCH($X150,$W$2:$W$853,0),COLUMNS($X$2:AC150)),"")</f>
        <v/>
      </c>
    </row>
    <row r="151" spans="1:30" x14ac:dyDescent="0.2">
      <c r="A151" s="1">
        <v>1962</v>
      </c>
      <c r="B151" s="2">
        <v>22800</v>
      </c>
      <c r="C151" s="1" t="s">
        <v>500</v>
      </c>
      <c r="D151" s="1" t="s">
        <v>22</v>
      </c>
      <c r="E151" s="1" t="s">
        <v>152</v>
      </c>
      <c r="F151" s="1" t="s">
        <v>153</v>
      </c>
      <c r="G151" s="6" t="str">
        <f>VLOOKUP(A151,WorldCups!$A$2:$B$23,2,FALSE)</f>
        <v>Chile</v>
      </c>
      <c r="H151" s="1" t="s">
        <v>54</v>
      </c>
      <c r="I151" s="1">
        <v>1</v>
      </c>
      <c r="J151" s="1">
        <v>0</v>
      </c>
      <c r="K151" s="1" t="s">
        <v>13</v>
      </c>
      <c r="L151" s="1" t="s">
        <v>14</v>
      </c>
      <c r="M151" s="1" t="str">
        <f>IF(ISNUMBER(SEARCH("Group",Table2[[#This Row],[Round]])),"Group stages",Table2[[#This Row],[Round]])</f>
        <v>Group stages</v>
      </c>
      <c r="O151" s="1">
        <f>Table2[[#This Row],[Year]]</f>
        <v>1962</v>
      </c>
      <c r="P151" s="1" t="str">
        <f>INDEX(Table2[[HomeTeam]:[Group_details]],ROWS($N$2:N151),COLUMNS($N$2:N151))</f>
        <v>Spain</v>
      </c>
      <c r="Q151" s="1">
        <f>INDEX(Table2[[HomeTeam]:[Group_details]],ROWS($N$2:O151),COLUMNS($N$2:O151))</f>
        <v>1</v>
      </c>
      <c r="R151" s="1">
        <f>INDEX(Table2[[HomeTeam]:[Group_details]],ROWS($N$2:P151),COLUMNS($N$2:P151))</f>
        <v>0</v>
      </c>
      <c r="S151" s="1" t="str">
        <f>INDEX(Table2[[HomeTeam]:[Group_details]],ROWS($N$2:Q151),COLUMNS($N$2:Q151))</f>
        <v>Mexico</v>
      </c>
      <c r="T151" s="1" t="str">
        <f>INDEX(Table2[[HomeTeam]:[Group_details]],ROWS($N$2:R151),COLUMNS($N$2:R151))</f>
        <v xml:space="preserve"> </v>
      </c>
      <c r="U151" s="1" t="str">
        <f>INDEX(Table2[[HomeTeam]:[Group_details]],ROWS($N$2:S151),COLUMNS($N$2:S151))</f>
        <v>Group stages</v>
      </c>
      <c r="V151" s="1" t="b">
        <f t="shared" si="2"/>
        <v>0</v>
      </c>
      <c r="W151" s="1" t="str">
        <f>IF(V151=TRUE,ROWS($V$2:V151),"")</f>
        <v/>
      </c>
      <c r="X151" s="1" t="str">
        <f>IFERROR(SMALL($W$2:$W$853,ROWS($W$2:W151)),"")</f>
        <v/>
      </c>
      <c r="Y151" s="1" t="str">
        <f>IF($X151&lt;&gt;"",INDEX($P$2:$U$853,MATCH($X151,$W$2:$W$853,0),COLUMNS($X$2:X151)),"")</f>
        <v/>
      </c>
      <c r="Z151" s="1" t="str">
        <f>IF($X151&lt;&gt;"",INDEX($P$2:$U$853,MATCH($X151,$W$2:$W$853,0),COLUMNS($X$2:Y151)),"")</f>
        <v/>
      </c>
      <c r="AA151" s="1" t="str">
        <f>IF($X151&lt;&gt;"",INDEX($P$2:$U$853,MATCH($X151,$W$2:$W$853,0),COLUMNS($X$2:Z151)),"")</f>
        <v/>
      </c>
      <c r="AB151" s="1" t="str">
        <f>IF($X151&lt;&gt;"",INDEX($P$2:$U$853,MATCH($X151,$W$2:$W$853,0),COLUMNS($X$2:AA151)),"")</f>
        <v/>
      </c>
      <c r="AC151" s="1" t="str">
        <f>IF($X151&lt;&gt;"",INDEX($P$2:$U$853,MATCH($X151,$W$2:$W$853,0),COLUMNS($X$2:AB151)),"")</f>
        <v/>
      </c>
      <c r="AD151" s="1" t="str">
        <f>IF($X151&lt;&gt;"",INDEX($P$2:$U$853,MATCH($X151,$W$2:$W$853,0),COLUMNS($X$2:AC151)),"")</f>
        <v/>
      </c>
    </row>
    <row r="152" spans="1:30" x14ac:dyDescent="0.2">
      <c r="A152" s="1">
        <v>1962</v>
      </c>
      <c r="B152" s="2">
        <v>22800</v>
      </c>
      <c r="C152" s="1" t="s">
        <v>500</v>
      </c>
      <c r="D152" s="1" t="s">
        <v>15</v>
      </c>
      <c r="E152" s="1" t="s">
        <v>154</v>
      </c>
      <c r="F152" s="1" t="s">
        <v>155</v>
      </c>
      <c r="G152" s="6" t="str">
        <f>VLOOKUP(A152,WorldCups!$A$2:$B$23,2,FALSE)</f>
        <v>Chile</v>
      </c>
      <c r="H152" s="1" t="s">
        <v>40</v>
      </c>
      <c r="I152" s="1">
        <v>6</v>
      </c>
      <c r="J152" s="1">
        <v>1</v>
      </c>
      <c r="K152" s="1" t="s">
        <v>156</v>
      </c>
      <c r="L152" s="1" t="s">
        <v>14</v>
      </c>
      <c r="M152" s="1" t="str">
        <f>IF(ISNUMBER(SEARCH("Group",Table2[[#This Row],[Round]])),"Group stages",Table2[[#This Row],[Round]])</f>
        <v>Group stages</v>
      </c>
      <c r="O152" s="1">
        <f>Table2[[#This Row],[Year]]</f>
        <v>1962</v>
      </c>
      <c r="P152" s="1" t="str">
        <f>INDEX(Table2[[HomeTeam]:[Group_details]],ROWS($N$2:N152),COLUMNS($N$2:N152))</f>
        <v>Hungary</v>
      </c>
      <c r="Q152" s="1">
        <f>INDEX(Table2[[HomeTeam]:[Group_details]],ROWS($N$2:O152),COLUMNS($N$2:O152))</f>
        <v>6</v>
      </c>
      <c r="R152" s="1">
        <f>INDEX(Table2[[HomeTeam]:[Group_details]],ROWS($N$2:P152),COLUMNS($N$2:P152))</f>
        <v>1</v>
      </c>
      <c r="S152" s="1" t="str">
        <f>INDEX(Table2[[HomeTeam]:[Group_details]],ROWS($N$2:Q152),COLUMNS($N$2:Q152))</f>
        <v>Bulgaria</v>
      </c>
      <c r="T152" s="1" t="str">
        <f>INDEX(Table2[[HomeTeam]:[Group_details]],ROWS($N$2:R152),COLUMNS($N$2:R152))</f>
        <v xml:space="preserve"> </v>
      </c>
      <c r="U152" s="1" t="str">
        <f>INDEX(Table2[[HomeTeam]:[Group_details]],ROWS($N$2:S152),COLUMNS($N$2:S152))</f>
        <v>Group stages</v>
      </c>
      <c r="V152" s="1" t="b">
        <f t="shared" si="2"/>
        <v>0</v>
      </c>
      <c r="W152" s="1" t="str">
        <f>IF(V152=TRUE,ROWS($V$2:V152),"")</f>
        <v/>
      </c>
      <c r="X152" s="1" t="str">
        <f>IFERROR(SMALL($W$2:$W$853,ROWS($W$2:W152)),"")</f>
        <v/>
      </c>
      <c r="Y152" s="1" t="str">
        <f>IF($X152&lt;&gt;"",INDEX($P$2:$U$853,MATCH($X152,$W$2:$W$853,0),COLUMNS($X$2:X152)),"")</f>
        <v/>
      </c>
      <c r="Z152" s="1" t="str">
        <f>IF($X152&lt;&gt;"",INDEX($P$2:$U$853,MATCH($X152,$W$2:$W$853,0),COLUMNS($X$2:Y152)),"")</f>
        <v/>
      </c>
      <c r="AA152" s="1" t="str">
        <f>IF($X152&lt;&gt;"",INDEX($P$2:$U$853,MATCH($X152,$W$2:$W$853,0),COLUMNS($X$2:Z152)),"")</f>
        <v/>
      </c>
      <c r="AB152" s="1" t="str">
        <f>IF($X152&lt;&gt;"",INDEX($P$2:$U$853,MATCH($X152,$W$2:$W$853,0),COLUMNS($X$2:AA152)),"")</f>
        <v/>
      </c>
      <c r="AC152" s="1" t="str">
        <f>IF($X152&lt;&gt;"",INDEX($P$2:$U$853,MATCH($X152,$W$2:$W$853,0),COLUMNS($X$2:AB152)),"")</f>
        <v/>
      </c>
      <c r="AD152" s="1" t="str">
        <f>IF($X152&lt;&gt;"",INDEX($P$2:$U$853,MATCH($X152,$W$2:$W$853,0),COLUMNS($X$2:AC152)),"")</f>
        <v/>
      </c>
    </row>
    <row r="153" spans="1:30" x14ac:dyDescent="0.2">
      <c r="A153" s="1">
        <v>1962</v>
      </c>
      <c r="B153" s="2">
        <v>22800</v>
      </c>
      <c r="C153" s="1" t="s">
        <v>500</v>
      </c>
      <c r="D153" s="1" t="s">
        <v>19</v>
      </c>
      <c r="E153" s="1" t="s">
        <v>157</v>
      </c>
      <c r="F153" s="1" t="s">
        <v>158</v>
      </c>
      <c r="G153" s="6" t="str">
        <f>VLOOKUP(A153,WorldCups!$A$2:$B$23,2,FALSE)</f>
        <v>Chile</v>
      </c>
      <c r="H153" s="1" t="s">
        <v>114</v>
      </c>
      <c r="I153" s="1">
        <v>2</v>
      </c>
      <c r="J153" s="1">
        <v>1</v>
      </c>
      <c r="K153" s="1" t="s">
        <v>44</v>
      </c>
      <c r="L153" s="1" t="s">
        <v>14</v>
      </c>
      <c r="M153" s="1" t="str">
        <f>IF(ISNUMBER(SEARCH("Group",Table2[[#This Row],[Round]])),"Group stages",Table2[[#This Row],[Round]])</f>
        <v>Group stages</v>
      </c>
      <c r="O153" s="1">
        <f>Table2[[#This Row],[Year]]</f>
        <v>1962</v>
      </c>
      <c r="P153" s="1" t="str">
        <f>INDEX(Table2[[HomeTeam]:[Group_details]],ROWS($N$2:N153),COLUMNS($N$2:N153))</f>
        <v>Germany FR</v>
      </c>
      <c r="Q153" s="1">
        <f>INDEX(Table2[[HomeTeam]:[Group_details]],ROWS($N$2:O153),COLUMNS($N$2:O153))</f>
        <v>2</v>
      </c>
      <c r="R153" s="1">
        <f>INDEX(Table2[[HomeTeam]:[Group_details]],ROWS($N$2:P153),COLUMNS($N$2:P153))</f>
        <v>1</v>
      </c>
      <c r="S153" s="1" t="str">
        <f>INDEX(Table2[[HomeTeam]:[Group_details]],ROWS($N$2:Q153),COLUMNS($N$2:Q153))</f>
        <v>Switzerland</v>
      </c>
      <c r="T153" s="1" t="str">
        <f>INDEX(Table2[[HomeTeam]:[Group_details]],ROWS($N$2:R153),COLUMNS($N$2:R153))</f>
        <v xml:space="preserve"> </v>
      </c>
      <c r="U153" s="1" t="str">
        <f>INDEX(Table2[[HomeTeam]:[Group_details]],ROWS($N$2:S153),COLUMNS($N$2:S153))</f>
        <v>Group stages</v>
      </c>
      <c r="V153" s="1" t="b">
        <f t="shared" si="2"/>
        <v>0</v>
      </c>
      <c r="W153" s="1" t="str">
        <f>IF(V153=TRUE,ROWS($V$2:V153),"")</f>
        <v/>
      </c>
      <c r="X153" s="1" t="str">
        <f>IFERROR(SMALL($W$2:$W$853,ROWS($W$2:W153)),"")</f>
        <v/>
      </c>
      <c r="Y153" s="1" t="str">
        <f>IF($X153&lt;&gt;"",INDEX($P$2:$U$853,MATCH($X153,$W$2:$W$853,0),COLUMNS($X$2:X153)),"")</f>
        <v/>
      </c>
      <c r="Z153" s="1" t="str">
        <f>IF($X153&lt;&gt;"",INDEX($P$2:$U$853,MATCH($X153,$W$2:$W$853,0),COLUMNS($X$2:Y153)),"")</f>
        <v/>
      </c>
      <c r="AA153" s="1" t="str">
        <f>IF($X153&lt;&gt;"",INDEX($P$2:$U$853,MATCH($X153,$W$2:$W$853,0),COLUMNS($X$2:Z153)),"")</f>
        <v/>
      </c>
      <c r="AB153" s="1" t="str">
        <f>IF($X153&lt;&gt;"",INDEX($P$2:$U$853,MATCH($X153,$W$2:$W$853,0),COLUMNS($X$2:AA153)),"")</f>
        <v/>
      </c>
      <c r="AC153" s="1" t="str">
        <f>IF($X153&lt;&gt;"",INDEX($P$2:$U$853,MATCH($X153,$W$2:$W$853,0),COLUMNS($X$2:AB153)),"")</f>
        <v/>
      </c>
      <c r="AD153" s="1" t="str">
        <f>IF($X153&lt;&gt;"",INDEX($P$2:$U$853,MATCH($X153,$W$2:$W$853,0),COLUMNS($X$2:AC153)),"")</f>
        <v/>
      </c>
    </row>
    <row r="154" spans="1:30" x14ac:dyDescent="0.2">
      <c r="A154" s="1">
        <v>1962</v>
      </c>
      <c r="B154" s="2">
        <v>22803</v>
      </c>
      <c r="C154" s="1" t="s">
        <v>500</v>
      </c>
      <c r="D154" s="1" t="s">
        <v>9</v>
      </c>
      <c r="E154" s="1" t="s">
        <v>149</v>
      </c>
      <c r="F154" s="1" t="s">
        <v>150</v>
      </c>
      <c r="G154" s="6" t="str">
        <f>VLOOKUP(A154,WorldCups!$A$2:$B$23,2,FALSE)</f>
        <v>Chile</v>
      </c>
      <c r="H154" s="1" t="s">
        <v>126</v>
      </c>
      <c r="I154" s="1">
        <v>2</v>
      </c>
      <c r="J154" s="1">
        <v>1</v>
      </c>
      <c r="K154" s="1" t="s">
        <v>30</v>
      </c>
      <c r="L154" s="1" t="s">
        <v>14</v>
      </c>
      <c r="M154" s="1" t="str">
        <f>IF(ISNUMBER(SEARCH("Group",Table2[[#This Row],[Round]])),"Group stages",Table2[[#This Row],[Round]])</f>
        <v>Group stages</v>
      </c>
      <c r="O154" s="1">
        <f>Table2[[#This Row],[Year]]</f>
        <v>1962</v>
      </c>
      <c r="P154" s="1" t="str">
        <f>INDEX(Table2[[HomeTeam]:[Group_details]],ROWS($N$2:N154),COLUMNS($N$2:N154))</f>
        <v>Soviet Union</v>
      </c>
      <c r="Q154" s="1">
        <f>INDEX(Table2[[HomeTeam]:[Group_details]],ROWS($N$2:O154),COLUMNS($N$2:O154))</f>
        <v>2</v>
      </c>
      <c r="R154" s="1">
        <f>INDEX(Table2[[HomeTeam]:[Group_details]],ROWS($N$2:P154),COLUMNS($N$2:P154))</f>
        <v>1</v>
      </c>
      <c r="S154" s="1" t="str">
        <f>INDEX(Table2[[HomeTeam]:[Group_details]],ROWS($N$2:Q154),COLUMNS($N$2:Q154))</f>
        <v>Uruguay</v>
      </c>
      <c r="T154" s="1" t="str">
        <f>INDEX(Table2[[HomeTeam]:[Group_details]],ROWS($N$2:R154),COLUMNS($N$2:R154))</f>
        <v xml:space="preserve"> </v>
      </c>
      <c r="U154" s="1" t="str">
        <f>INDEX(Table2[[HomeTeam]:[Group_details]],ROWS($N$2:S154),COLUMNS($N$2:S154))</f>
        <v>Group stages</v>
      </c>
      <c r="V154" s="1" t="b">
        <f t="shared" si="2"/>
        <v>0</v>
      </c>
      <c r="W154" s="1" t="str">
        <f>IF(V154=TRUE,ROWS($V$2:V154),"")</f>
        <v/>
      </c>
      <c r="X154" s="1" t="str">
        <f>IFERROR(SMALL($W$2:$W$853,ROWS($W$2:W154)),"")</f>
        <v/>
      </c>
      <c r="Y154" s="1" t="str">
        <f>IF($X154&lt;&gt;"",INDEX($P$2:$U$853,MATCH($X154,$W$2:$W$853,0),COLUMNS($X$2:X154)),"")</f>
        <v/>
      </c>
      <c r="Z154" s="1" t="str">
        <f>IF($X154&lt;&gt;"",INDEX($P$2:$U$853,MATCH($X154,$W$2:$W$853,0),COLUMNS($X$2:Y154)),"")</f>
        <v/>
      </c>
      <c r="AA154" s="1" t="str">
        <f>IF($X154&lt;&gt;"",INDEX($P$2:$U$853,MATCH($X154,$W$2:$W$853,0),COLUMNS($X$2:Z154)),"")</f>
        <v/>
      </c>
      <c r="AB154" s="1" t="str">
        <f>IF($X154&lt;&gt;"",INDEX($P$2:$U$853,MATCH($X154,$W$2:$W$853,0),COLUMNS($X$2:AA154)),"")</f>
        <v/>
      </c>
      <c r="AC154" s="1" t="str">
        <f>IF($X154&lt;&gt;"",INDEX($P$2:$U$853,MATCH($X154,$W$2:$W$853,0),COLUMNS($X$2:AB154)),"")</f>
        <v/>
      </c>
      <c r="AD154" s="1" t="str">
        <f>IF($X154&lt;&gt;"",INDEX($P$2:$U$853,MATCH($X154,$W$2:$W$853,0),COLUMNS($X$2:AC154)),"")</f>
        <v/>
      </c>
    </row>
    <row r="155" spans="1:30" x14ac:dyDescent="0.2">
      <c r="A155" s="1">
        <v>1962</v>
      </c>
      <c r="B155" s="2">
        <v>22803</v>
      </c>
      <c r="C155" s="1" t="s">
        <v>500</v>
      </c>
      <c r="D155" s="1" t="s">
        <v>22</v>
      </c>
      <c r="E155" s="1" t="s">
        <v>152</v>
      </c>
      <c r="F155" s="1" t="s">
        <v>153</v>
      </c>
      <c r="G155" s="6" t="str">
        <f>VLOOKUP(A155,WorldCups!$A$2:$B$23,2,FALSE)</f>
        <v>Chile</v>
      </c>
      <c r="H155" s="1" t="s">
        <v>21</v>
      </c>
      <c r="I155" s="1">
        <v>2</v>
      </c>
      <c r="J155" s="1">
        <v>1</v>
      </c>
      <c r="K155" s="1" t="s">
        <v>54</v>
      </c>
      <c r="L155" s="1" t="s">
        <v>14</v>
      </c>
      <c r="M155" s="1" t="str">
        <f>IF(ISNUMBER(SEARCH("Group",Table2[[#This Row],[Round]])),"Group stages",Table2[[#This Row],[Round]])</f>
        <v>Group stages</v>
      </c>
      <c r="O155" s="1">
        <f>Table2[[#This Row],[Year]]</f>
        <v>1962</v>
      </c>
      <c r="P155" s="1" t="str">
        <f>INDEX(Table2[[HomeTeam]:[Group_details]],ROWS($N$2:N155),COLUMNS($N$2:N155))</f>
        <v>Brazil</v>
      </c>
      <c r="Q155" s="1">
        <f>INDEX(Table2[[HomeTeam]:[Group_details]],ROWS($N$2:O155),COLUMNS($N$2:O155))</f>
        <v>2</v>
      </c>
      <c r="R155" s="1">
        <f>INDEX(Table2[[HomeTeam]:[Group_details]],ROWS($N$2:P155),COLUMNS($N$2:P155))</f>
        <v>1</v>
      </c>
      <c r="S155" s="1" t="str">
        <f>INDEX(Table2[[HomeTeam]:[Group_details]],ROWS($N$2:Q155),COLUMNS($N$2:Q155))</f>
        <v>Spain</v>
      </c>
      <c r="T155" s="1" t="str">
        <f>INDEX(Table2[[HomeTeam]:[Group_details]],ROWS($N$2:R155),COLUMNS($N$2:R155))</f>
        <v xml:space="preserve"> </v>
      </c>
      <c r="U155" s="1" t="str">
        <f>INDEX(Table2[[HomeTeam]:[Group_details]],ROWS($N$2:S155),COLUMNS($N$2:S155))</f>
        <v>Group stages</v>
      </c>
      <c r="V155" s="1" t="b">
        <f t="shared" si="2"/>
        <v>0</v>
      </c>
      <c r="W155" s="1" t="str">
        <f>IF(V155=TRUE,ROWS($V$2:V155),"")</f>
        <v/>
      </c>
      <c r="X155" s="1" t="str">
        <f>IFERROR(SMALL($W$2:$W$853,ROWS($W$2:W155)),"")</f>
        <v/>
      </c>
      <c r="Y155" s="1" t="str">
        <f>IF($X155&lt;&gt;"",INDEX($P$2:$U$853,MATCH($X155,$W$2:$W$853,0),COLUMNS($X$2:X155)),"")</f>
        <v/>
      </c>
      <c r="Z155" s="1" t="str">
        <f>IF($X155&lt;&gt;"",INDEX($P$2:$U$853,MATCH($X155,$W$2:$W$853,0),COLUMNS($X$2:Y155)),"")</f>
        <v/>
      </c>
      <c r="AA155" s="1" t="str">
        <f>IF($X155&lt;&gt;"",INDEX($P$2:$U$853,MATCH($X155,$W$2:$W$853,0),COLUMNS($X$2:Z155)),"")</f>
        <v/>
      </c>
      <c r="AB155" s="1" t="str">
        <f>IF($X155&lt;&gt;"",INDEX($P$2:$U$853,MATCH($X155,$W$2:$W$853,0),COLUMNS($X$2:AA155)),"")</f>
        <v/>
      </c>
      <c r="AC155" s="1" t="str">
        <f>IF($X155&lt;&gt;"",INDEX($P$2:$U$853,MATCH($X155,$W$2:$W$853,0),COLUMNS($X$2:AB155)),"")</f>
        <v/>
      </c>
      <c r="AD155" s="1" t="str">
        <f>IF($X155&lt;&gt;"",INDEX($P$2:$U$853,MATCH($X155,$W$2:$W$853,0),COLUMNS($X$2:AC155)),"")</f>
        <v/>
      </c>
    </row>
    <row r="156" spans="1:30" x14ac:dyDescent="0.2">
      <c r="A156" s="1">
        <v>1962</v>
      </c>
      <c r="B156" s="2">
        <v>22803</v>
      </c>
      <c r="C156" s="1" t="s">
        <v>500</v>
      </c>
      <c r="D156" s="1" t="s">
        <v>15</v>
      </c>
      <c r="E156" s="1" t="s">
        <v>154</v>
      </c>
      <c r="F156" s="1" t="s">
        <v>155</v>
      </c>
      <c r="G156" s="6" t="str">
        <f>VLOOKUP(A156,WorldCups!$A$2:$B$23,2,FALSE)</f>
        <v>Chile</v>
      </c>
      <c r="H156" s="1" t="s">
        <v>40</v>
      </c>
      <c r="I156" s="1">
        <v>0</v>
      </c>
      <c r="J156" s="1">
        <v>0</v>
      </c>
      <c r="K156" s="1" t="s">
        <v>25</v>
      </c>
      <c r="L156" s="1" t="s">
        <v>14</v>
      </c>
      <c r="M156" s="1" t="str">
        <f>IF(ISNUMBER(SEARCH("Group",Table2[[#This Row],[Round]])),"Group stages",Table2[[#This Row],[Round]])</f>
        <v>Group stages</v>
      </c>
      <c r="O156" s="1">
        <f>Table2[[#This Row],[Year]]</f>
        <v>1962</v>
      </c>
      <c r="P156" s="1" t="str">
        <f>INDEX(Table2[[HomeTeam]:[Group_details]],ROWS($N$2:N156),COLUMNS($N$2:N156))</f>
        <v>Hungary</v>
      </c>
      <c r="Q156" s="1">
        <f>INDEX(Table2[[HomeTeam]:[Group_details]],ROWS($N$2:O156),COLUMNS($N$2:O156))</f>
        <v>0</v>
      </c>
      <c r="R156" s="1">
        <f>INDEX(Table2[[HomeTeam]:[Group_details]],ROWS($N$2:P156),COLUMNS($N$2:P156))</f>
        <v>0</v>
      </c>
      <c r="S156" s="1" t="str">
        <f>INDEX(Table2[[HomeTeam]:[Group_details]],ROWS($N$2:Q156),COLUMNS($N$2:Q156))</f>
        <v>Argentina</v>
      </c>
      <c r="T156" s="1" t="str">
        <f>INDEX(Table2[[HomeTeam]:[Group_details]],ROWS($N$2:R156),COLUMNS($N$2:R156))</f>
        <v xml:space="preserve"> </v>
      </c>
      <c r="U156" s="1" t="str">
        <f>INDEX(Table2[[HomeTeam]:[Group_details]],ROWS($N$2:S156),COLUMNS($N$2:S156))</f>
        <v>Group stages</v>
      </c>
      <c r="V156" s="1" t="b">
        <f t="shared" si="2"/>
        <v>0</v>
      </c>
      <c r="W156" s="1" t="str">
        <f>IF(V156=TRUE,ROWS($V$2:V156),"")</f>
        <v/>
      </c>
      <c r="X156" s="1" t="str">
        <f>IFERROR(SMALL($W$2:$W$853,ROWS($W$2:W156)),"")</f>
        <v/>
      </c>
      <c r="Y156" s="1" t="str">
        <f>IF($X156&lt;&gt;"",INDEX($P$2:$U$853,MATCH($X156,$W$2:$W$853,0),COLUMNS($X$2:X156)),"")</f>
        <v/>
      </c>
      <c r="Z156" s="1" t="str">
        <f>IF($X156&lt;&gt;"",INDEX($P$2:$U$853,MATCH($X156,$W$2:$W$853,0),COLUMNS($X$2:Y156)),"")</f>
        <v/>
      </c>
      <c r="AA156" s="1" t="str">
        <f>IF($X156&lt;&gt;"",INDEX($P$2:$U$853,MATCH($X156,$W$2:$W$853,0),COLUMNS($X$2:Z156)),"")</f>
        <v/>
      </c>
      <c r="AB156" s="1" t="str">
        <f>IF($X156&lt;&gt;"",INDEX($P$2:$U$853,MATCH($X156,$W$2:$W$853,0),COLUMNS($X$2:AA156)),"")</f>
        <v/>
      </c>
      <c r="AC156" s="1" t="str">
        <f>IF($X156&lt;&gt;"",INDEX($P$2:$U$853,MATCH($X156,$W$2:$W$853,0),COLUMNS($X$2:AB156)),"")</f>
        <v/>
      </c>
      <c r="AD156" s="1" t="str">
        <f>IF($X156&lt;&gt;"",INDEX($P$2:$U$853,MATCH($X156,$W$2:$W$853,0),COLUMNS($X$2:AC156)),"")</f>
        <v/>
      </c>
    </row>
    <row r="157" spans="1:30" x14ac:dyDescent="0.2">
      <c r="A157" s="1">
        <v>1962</v>
      </c>
      <c r="B157" s="2">
        <v>22803</v>
      </c>
      <c r="C157" s="1" t="s">
        <v>500</v>
      </c>
      <c r="D157" s="1" t="s">
        <v>19</v>
      </c>
      <c r="E157" s="1" t="s">
        <v>157</v>
      </c>
      <c r="F157" s="1" t="s">
        <v>158</v>
      </c>
      <c r="G157" s="6" t="str">
        <f>VLOOKUP(A157,WorldCups!$A$2:$B$23,2,FALSE)</f>
        <v>Chile</v>
      </c>
      <c r="H157" s="1" t="s">
        <v>114</v>
      </c>
      <c r="I157" s="1">
        <v>2</v>
      </c>
      <c r="J157" s="1">
        <v>0</v>
      </c>
      <c r="K157" s="1" t="s">
        <v>26</v>
      </c>
      <c r="L157" s="1" t="s">
        <v>14</v>
      </c>
      <c r="M157" s="1" t="str">
        <f>IF(ISNUMBER(SEARCH("Group",Table2[[#This Row],[Round]])),"Group stages",Table2[[#This Row],[Round]])</f>
        <v>Group stages</v>
      </c>
      <c r="O157" s="1">
        <f>Table2[[#This Row],[Year]]</f>
        <v>1962</v>
      </c>
      <c r="P157" s="1" t="str">
        <f>INDEX(Table2[[HomeTeam]:[Group_details]],ROWS($N$2:N157),COLUMNS($N$2:N157))</f>
        <v>Germany FR</v>
      </c>
      <c r="Q157" s="1">
        <f>INDEX(Table2[[HomeTeam]:[Group_details]],ROWS($N$2:O157),COLUMNS($N$2:O157))</f>
        <v>2</v>
      </c>
      <c r="R157" s="1">
        <f>INDEX(Table2[[HomeTeam]:[Group_details]],ROWS($N$2:P157),COLUMNS($N$2:P157))</f>
        <v>0</v>
      </c>
      <c r="S157" s="1" t="str">
        <f>INDEX(Table2[[HomeTeam]:[Group_details]],ROWS($N$2:Q157),COLUMNS($N$2:Q157))</f>
        <v>Chile</v>
      </c>
      <c r="T157" s="1" t="str">
        <f>INDEX(Table2[[HomeTeam]:[Group_details]],ROWS($N$2:R157),COLUMNS($N$2:R157))</f>
        <v xml:space="preserve"> </v>
      </c>
      <c r="U157" s="1" t="str">
        <f>INDEX(Table2[[HomeTeam]:[Group_details]],ROWS($N$2:S157),COLUMNS($N$2:S157))</f>
        <v>Group stages</v>
      </c>
      <c r="V157" s="1" t="b">
        <f t="shared" si="2"/>
        <v>0</v>
      </c>
      <c r="W157" s="1" t="str">
        <f>IF(V157=TRUE,ROWS($V$2:V157),"")</f>
        <v/>
      </c>
      <c r="X157" s="1" t="str">
        <f>IFERROR(SMALL($W$2:$W$853,ROWS($W$2:W157)),"")</f>
        <v/>
      </c>
      <c r="Y157" s="1" t="str">
        <f>IF($X157&lt;&gt;"",INDEX($P$2:$U$853,MATCH($X157,$W$2:$W$853,0),COLUMNS($X$2:X157)),"")</f>
        <v/>
      </c>
      <c r="Z157" s="1" t="str">
        <f>IF($X157&lt;&gt;"",INDEX($P$2:$U$853,MATCH($X157,$W$2:$W$853,0),COLUMNS($X$2:Y157)),"")</f>
        <v/>
      </c>
      <c r="AA157" s="1" t="str">
        <f>IF($X157&lt;&gt;"",INDEX($P$2:$U$853,MATCH($X157,$W$2:$W$853,0),COLUMNS($X$2:Z157)),"")</f>
        <v/>
      </c>
      <c r="AB157" s="1" t="str">
        <f>IF($X157&lt;&gt;"",INDEX($P$2:$U$853,MATCH($X157,$W$2:$W$853,0),COLUMNS($X$2:AA157)),"")</f>
        <v/>
      </c>
      <c r="AC157" s="1" t="str">
        <f>IF($X157&lt;&gt;"",INDEX($P$2:$U$853,MATCH($X157,$W$2:$W$853,0),COLUMNS($X$2:AB157)),"")</f>
        <v/>
      </c>
      <c r="AD157" s="1" t="str">
        <f>IF($X157&lt;&gt;"",INDEX($P$2:$U$853,MATCH($X157,$W$2:$W$853,0),COLUMNS($X$2:AC157)),"")</f>
        <v/>
      </c>
    </row>
    <row r="158" spans="1:30" x14ac:dyDescent="0.2">
      <c r="A158" s="1">
        <v>1962</v>
      </c>
      <c r="B158" s="2">
        <v>22804</v>
      </c>
      <c r="C158" s="1" t="s">
        <v>500</v>
      </c>
      <c r="D158" s="1" t="s">
        <v>9</v>
      </c>
      <c r="E158" s="1" t="s">
        <v>149</v>
      </c>
      <c r="F158" s="1" t="s">
        <v>150</v>
      </c>
      <c r="G158" s="6" t="str">
        <f>VLOOKUP(A158,WorldCups!$A$2:$B$23,2,FALSE)</f>
        <v>Chile</v>
      </c>
      <c r="H158" s="1" t="s">
        <v>20</v>
      </c>
      <c r="I158" s="1">
        <v>5</v>
      </c>
      <c r="J158" s="1">
        <v>0</v>
      </c>
      <c r="K158" s="1" t="s">
        <v>151</v>
      </c>
      <c r="L158" s="1" t="s">
        <v>14</v>
      </c>
      <c r="M158" s="1" t="str">
        <f>IF(ISNUMBER(SEARCH("Group",Table2[[#This Row],[Round]])),"Group stages",Table2[[#This Row],[Round]])</f>
        <v>Group stages</v>
      </c>
      <c r="O158" s="1">
        <f>Table2[[#This Row],[Year]]</f>
        <v>1962</v>
      </c>
      <c r="P158" s="1" t="str">
        <f>INDEX(Table2[[HomeTeam]:[Group_details]],ROWS($N$2:N158),COLUMNS($N$2:N158))</f>
        <v>Yugoslavia</v>
      </c>
      <c r="Q158" s="1">
        <f>INDEX(Table2[[HomeTeam]:[Group_details]],ROWS($N$2:O158),COLUMNS($N$2:O158))</f>
        <v>5</v>
      </c>
      <c r="R158" s="1">
        <f>INDEX(Table2[[HomeTeam]:[Group_details]],ROWS($N$2:P158),COLUMNS($N$2:P158))</f>
        <v>0</v>
      </c>
      <c r="S158" s="1" t="str">
        <f>INDEX(Table2[[HomeTeam]:[Group_details]],ROWS($N$2:Q158),COLUMNS($N$2:Q158))</f>
        <v>Colombia</v>
      </c>
      <c r="T158" s="1" t="str">
        <f>INDEX(Table2[[HomeTeam]:[Group_details]],ROWS($N$2:R158),COLUMNS($N$2:R158))</f>
        <v xml:space="preserve"> </v>
      </c>
      <c r="U158" s="1" t="str">
        <f>INDEX(Table2[[HomeTeam]:[Group_details]],ROWS($N$2:S158),COLUMNS($N$2:S158))</f>
        <v>Group stages</v>
      </c>
      <c r="V158" s="1" t="b">
        <f t="shared" si="2"/>
        <v>0</v>
      </c>
      <c r="W158" s="1" t="str">
        <f>IF(V158=TRUE,ROWS($V$2:V158),"")</f>
        <v/>
      </c>
      <c r="X158" s="1" t="str">
        <f>IFERROR(SMALL($W$2:$W$853,ROWS($W$2:W158)),"")</f>
        <v/>
      </c>
      <c r="Y158" s="1" t="str">
        <f>IF($X158&lt;&gt;"",INDEX($P$2:$U$853,MATCH($X158,$W$2:$W$853,0),COLUMNS($X$2:X158)),"")</f>
        <v/>
      </c>
      <c r="Z158" s="1" t="str">
        <f>IF($X158&lt;&gt;"",INDEX($P$2:$U$853,MATCH($X158,$W$2:$W$853,0),COLUMNS($X$2:Y158)),"")</f>
        <v/>
      </c>
      <c r="AA158" s="1" t="str">
        <f>IF($X158&lt;&gt;"",INDEX($P$2:$U$853,MATCH($X158,$W$2:$W$853,0),COLUMNS($X$2:Z158)),"")</f>
        <v/>
      </c>
      <c r="AB158" s="1" t="str">
        <f>IF($X158&lt;&gt;"",INDEX($P$2:$U$853,MATCH($X158,$W$2:$W$853,0),COLUMNS($X$2:AA158)),"")</f>
        <v/>
      </c>
      <c r="AC158" s="1" t="str">
        <f>IF($X158&lt;&gt;"",INDEX($P$2:$U$853,MATCH($X158,$W$2:$W$853,0),COLUMNS($X$2:AB158)),"")</f>
        <v/>
      </c>
      <c r="AD158" s="1" t="str">
        <f>IF($X158&lt;&gt;"",INDEX($P$2:$U$853,MATCH($X158,$W$2:$W$853,0),COLUMNS($X$2:AC158)),"")</f>
        <v/>
      </c>
    </row>
    <row r="159" spans="1:30" x14ac:dyDescent="0.2">
      <c r="A159" s="1">
        <v>1962</v>
      </c>
      <c r="B159" s="2">
        <v>22804</v>
      </c>
      <c r="C159" s="1" t="s">
        <v>500</v>
      </c>
      <c r="D159" s="1" t="s">
        <v>22</v>
      </c>
      <c r="E159" s="1" t="s">
        <v>152</v>
      </c>
      <c r="F159" s="1" t="s">
        <v>153</v>
      </c>
      <c r="G159" s="6" t="str">
        <f>VLOOKUP(A159,WorldCups!$A$2:$B$23,2,FALSE)</f>
        <v>Chile</v>
      </c>
      <c r="H159" s="1" t="s">
        <v>13</v>
      </c>
      <c r="I159" s="1">
        <v>3</v>
      </c>
      <c r="J159" s="1">
        <v>1</v>
      </c>
      <c r="K159" s="1" t="s">
        <v>60</v>
      </c>
      <c r="L159" s="1" t="s">
        <v>14</v>
      </c>
      <c r="M159" s="1" t="str">
        <f>IF(ISNUMBER(SEARCH("Group",Table2[[#This Row],[Round]])),"Group stages",Table2[[#This Row],[Round]])</f>
        <v>Group stages</v>
      </c>
      <c r="O159" s="1">
        <f>Table2[[#This Row],[Year]]</f>
        <v>1962</v>
      </c>
      <c r="P159" s="1" t="str">
        <f>INDEX(Table2[[HomeTeam]:[Group_details]],ROWS($N$2:N159),COLUMNS($N$2:N159))</f>
        <v>Mexico</v>
      </c>
      <c r="Q159" s="1">
        <f>INDEX(Table2[[HomeTeam]:[Group_details]],ROWS($N$2:O159),COLUMNS($N$2:O159))</f>
        <v>3</v>
      </c>
      <c r="R159" s="1">
        <f>INDEX(Table2[[HomeTeam]:[Group_details]],ROWS($N$2:P159),COLUMNS($N$2:P159))</f>
        <v>1</v>
      </c>
      <c r="S159" s="1" t="str">
        <f>INDEX(Table2[[HomeTeam]:[Group_details]],ROWS($N$2:Q159),COLUMNS($N$2:Q159))</f>
        <v>Czechoslovakia</v>
      </c>
      <c r="T159" s="1" t="str">
        <f>INDEX(Table2[[HomeTeam]:[Group_details]],ROWS($N$2:R159),COLUMNS($N$2:R159))</f>
        <v xml:space="preserve"> </v>
      </c>
      <c r="U159" s="1" t="str">
        <f>INDEX(Table2[[HomeTeam]:[Group_details]],ROWS($N$2:S159),COLUMNS($N$2:S159))</f>
        <v>Group stages</v>
      </c>
      <c r="V159" s="1" t="b">
        <f t="shared" si="2"/>
        <v>0</v>
      </c>
      <c r="W159" s="1" t="str">
        <f>IF(V159=TRUE,ROWS($V$2:V159),"")</f>
        <v/>
      </c>
      <c r="X159" s="1" t="str">
        <f>IFERROR(SMALL($W$2:$W$853,ROWS($W$2:W159)),"")</f>
        <v/>
      </c>
      <c r="Y159" s="1" t="str">
        <f>IF($X159&lt;&gt;"",INDEX($P$2:$U$853,MATCH($X159,$W$2:$W$853,0),COLUMNS($X$2:X159)),"")</f>
        <v/>
      </c>
      <c r="Z159" s="1" t="str">
        <f>IF($X159&lt;&gt;"",INDEX($P$2:$U$853,MATCH($X159,$W$2:$W$853,0),COLUMNS($X$2:Y159)),"")</f>
        <v/>
      </c>
      <c r="AA159" s="1" t="str">
        <f>IF($X159&lt;&gt;"",INDEX($P$2:$U$853,MATCH($X159,$W$2:$W$853,0),COLUMNS($X$2:Z159)),"")</f>
        <v/>
      </c>
      <c r="AB159" s="1" t="str">
        <f>IF($X159&lt;&gt;"",INDEX($P$2:$U$853,MATCH($X159,$W$2:$W$853,0),COLUMNS($X$2:AA159)),"")</f>
        <v/>
      </c>
      <c r="AC159" s="1" t="str">
        <f>IF($X159&lt;&gt;"",INDEX($P$2:$U$853,MATCH($X159,$W$2:$W$853,0),COLUMNS($X$2:AB159)),"")</f>
        <v/>
      </c>
      <c r="AD159" s="1" t="str">
        <f>IF($X159&lt;&gt;"",INDEX($P$2:$U$853,MATCH($X159,$W$2:$W$853,0),COLUMNS($X$2:AC159)),"")</f>
        <v/>
      </c>
    </row>
    <row r="160" spans="1:30" x14ac:dyDescent="0.2">
      <c r="A160" s="1">
        <v>1962</v>
      </c>
      <c r="B160" s="2">
        <v>22804</v>
      </c>
      <c r="C160" s="1" t="s">
        <v>500</v>
      </c>
      <c r="D160" s="1" t="s">
        <v>15</v>
      </c>
      <c r="E160" s="1" t="s">
        <v>154</v>
      </c>
      <c r="F160" s="1" t="s">
        <v>155</v>
      </c>
      <c r="G160" s="6" t="str">
        <f>VLOOKUP(A160,WorldCups!$A$2:$B$23,2,FALSE)</f>
        <v>Chile</v>
      </c>
      <c r="H160" s="1" t="s">
        <v>93</v>
      </c>
      <c r="I160" s="1">
        <v>0</v>
      </c>
      <c r="J160" s="1">
        <v>0</v>
      </c>
      <c r="K160" s="1" t="s">
        <v>156</v>
      </c>
      <c r="L160" s="1" t="s">
        <v>14</v>
      </c>
      <c r="M160" s="1" t="str">
        <f>IF(ISNUMBER(SEARCH("Group",Table2[[#This Row],[Round]])),"Group stages",Table2[[#This Row],[Round]])</f>
        <v>Group stages</v>
      </c>
      <c r="O160" s="1">
        <f>Table2[[#This Row],[Year]]</f>
        <v>1962</v>
      </c>
      <c r="P160" s="1" t="str">
        <f>INDEX(Table2[[HomeTeam]:[Group_details]],ROWS($N$2:N160),COLUMNS($N$2:N160))</f>
        <v>England</v>
      </c>
      <c r="Q160" s="1">
        <f>INDEX(Table2[[HomeTeam]:[Group_details]],ROWS($N$2:O160),COLUMNS($N$2:O160))</f>
        <v>0</v>
      </c>
      <c r="R160" s="1">
        <f>INDEX(Table2[[HomeTeam]:[Group_details]],ROWS($N$2:P160),COLUMNS($N$2:P160))</f>
        <v>0</v>
      </c>
      <c r="S160" s="1" t="str">
        <f>INDEX(Table2[[HomeTeam]:[Group_details]],ROWS($N$2:Q160),COLUMNS($N$2:Q160))</f>
        <v>Bulgaria</v>
      </c>
      <c r="T160" s="1" t="str">
        <f>INDEX(Table2[[HomeTeam]:[Group_details]],ROWS($N$2:R160),COLUMNS($N$2:R160))</f>
        <v xml:space="preserve"> </v>
      </c>
      <c r="U160" s="1" t="str">
        <f>INDEX(Table2[[HomeTeam]:[Group_details]],ROWS($N$2:S160),COLUMNS($N$2:S160))</f>
        <v>Group stages</v>
      </c>
      <c r="V160" s="1" t="b">
        <f t="shared" si="2"/>
        <v>0</v>
      </c>
      <c r="W160" s="1" t="str">
        <f>IF(V160=TRUE,ROWS($V$2:V160),"")</f>
        <v/>
      </c>
      <c r="X160" s="1" t="str">
        <f>IFERROR(SMALL($W$2:$W$853,ROWS($W$2:W160)),"")</f>
        <v/>
      </c>
      <c r="Y160" s="1" t="str">
        <f>IF($X160&lt;&gt;"",INDEX($P$2:$U$853,MATCH($X160,$W$2:$W$853,0),COLUMNS($X$2:X160)),"")</f>
        <v/>
      </c>
      <c r="Z160" s="1" t="str">
        <f>IF($X160&lt;&gt;"",INDEX($P$2:$U$853,MATCH($X160,$W$2:$W$853,0),COLUMNS($X$2:Y160)),"")</f>
        <v/>
      </c>
      <c r="AA160" s="1" t="str">
        <f>IF($X160&lt;&gt;"",INDEX($P$2:$U$853,MATCH($X160,$W$2:$W$853,0),COLUMNS($X$2:Z160)),"")</f>
        <v/>
      </c>
      <c r="AB160" s="1" t="str">
        <f>IF($X160&lt;&gt;"",INDEX($P$2:$U$853,MATCH($X160,$W$2:$W$853,0),COLUMNS($X$2:AA160)),"")</f>
        <v/>
      </c>
      <c r="AC160" s="1" t="str">
        <f>IF($X160&lt;&gt;"",INDEX($P$2:$U$853,MATCH($X160,$W$2:$W$853,0),COLUMNS($X$2:AB160)),"")</f>
        <v/>
      </c>
      <c r="AD160" s="1" t="str">
        <f>IF($X160&lt;&gt;"",INDEX($P$2:$U$853,MATCH($X160,$W$2:$W$853,0),COLUMNS($X$2:AC160)),"")</f>
        <v/>
      </c>
    </row>
    <row r="161" spans="1:30" x14ac:dyDescent="0.2">
      <c r="A161" s="1">
        <v>1962</v>
      </c>
      <c r="B161" s="2">
        <v>22804</v>
      </c>
      <c r="C161" s="1" t="s">
        <v>500</v>
      </c>
      <c r="D161" s="1" t="s">
        <v>19</v>
      </c>
      <c r="E161" s="1" t="s">
        <v>157</v>
      </c>
      <c r="F161" s="1" t="s">
        <v>158</v>
      </c>
      <c r="G161" s="6" t="str">
        <f>VLOOKUP(A161,WorldCups!$A$2:$B$23,2,FALSE)</f>
        <v>Chile</v>
      </c>
      <c r="H161" s="1" t="s">
        <v>57</v>
      </c>
      <c r="I161" s="1">
        <v>3</v>
      </c>
      <c r="J161" s="1">
        <v>0</v>
      </c>
      <c r="K161" s="1" t="s">
        <v>44</v>
      </c>
      <c r="L161" s="1" t="s">
        <v>14</v>
      </c>
      <c r="M161" s="1" t="str">
        <f>IF(ISNUMBER(SEARCH("Group",Table2[[#This Row],[Round]])),"Group stages",Table2[[#This Row],[Round]])</f>
        <v>Group stages</v>
      </c>
      <c r="O161" s="1">
        <f>Table2[[#This Row],[Year]]</f>
        <v>1962</v>
      </c>
      <c r="P161" s="1" t="str">
        <f>INDEX(Table2[[HomeTeam]:[Group_details]],ROWS($N$2:N161),COLUMNS($N$2:N161))</f>
        <v>Italy</v>
      </c>
      <c r="Q161" s="1">
        <f>INDEX(Table2[[HomeTeam]:[Group_details]],ROWS($N$2:O161),COLUMNS($N$2:O161))</f>
        <v>3</v>
      </c>
      <c r="R161" s="1">
        <f>INDEX(Table2[[HomeTeam]:[Group_details]],ROWS($N$2:P161),COLUMNS($N$2:P161))</f>
        <v>0</v>
      </c>
      <c r="S161" s="1" t="str">
        <f>INDEX(Table2[[HomeTeam]:[Group_details]],ROWS($N$2:Q161),COLUMNS($N$2:Q161))</f>
        <v>Switzerland</v>
      </c>
      <c r="T161" s="1" t="str">
        <f>INDEX(Table2[[HomeTeam]:[Group_details]],ROWS($N$2:R161),COLUMNS($N$2:R161))</f>
        <v xml:space="preserve"> </v>
      </c>
      <c r="U161" s="1" t="str">
        <f>INDEX(Table2[[HomeTeam]:[Group_details]],ROWS($N$2:S161),COLUMNS($N$2:S161))</f>
        <v>Group stages</v>
      </c>
      <c r="V161" s="1" t="b">
        <f t="shared" si="2"/>
        <v>0</v>
      </c>
      <c r="W161" s="1" t="str">
        <f>IF(V161=TRUE,ROWS($V$2:V161),"")</f>
        <v/>
      </c>
      <c r="X161" s="1" t="str">
        <f>IFERROR(SMALL($W$2:$W$853,ROWS($W$2:W161)),"")</f>
        <v/>
      </c>
      <c r="Y161" s="1" t="str">
        <f>IF($X161&lt;&gt;"",INDEX($P$2:$U$853,MATCH($X161,$W$2:$W$853,0),COLUMNS($X$2:X161)),"")</f>
        <v/>
      </c>
      <c r="Z161" s="1" t="str">
        <f>IF($X161&lt;&gt;"",INDEX($P$2:$U$853,MATCH($X161,$W$2:$W$853,0),COLUMNS($X$2:Y161)),"")</f>
        <v/>
      </c>
      <c r="AA161" s="1" t="str">
        <f>IF($X161&lt;&gt;"",INDEX($P$2:$U$853,MATCH($X161,$W$2:$W$853,0),COLUMNS($X$2:Z161)),"")</f>
        <v/>
      </c>
      <c r="AB161" s="1" t="str">
        <f>IF($X161&lt;&gt;"",INDEX($P$2:$U$853,MATCH($X161,$W$2:$W$853,0),COLUMNS($X$2:AA161)),"")</f>
        <v/>
      </c>
      <c r="AC161" s="1" t="str">
        <f>IF($X161&lt;&gt;"",INDEX($P$2:$U$853,MATCH($X161,$W$2:$W$853,0),COLUMNS($X$2:AB161)),"")</f>
        <v/>
      </c>
      <c r="AD161" s="1" t="str">
        <f>IF($X161&lt;&gt;"",INDEX($P$2:$U$853,MATCH($X161,$W$2:$W$853,0),COLUMNS($X$2:AC161)),"")</f>
        <v/>
      </c>
    </row>
    <row r="162" spans="1:30" x14ac:dyDescent="0.2">
      <c r="A162" s="1">
        <v>1962</v>
      </c>
      <c r="B162" s="2">
        <v>22807</v>
      </c>
      <c r="C162" s="1" t="s">
        <v>505</v>
      </c>
      <c r="D162" s="1" t="s">
        <v>61</v>
      </c>
      <c r="E162" s="1" t="s">
        <v>149</v>
      </c>
      <c r="F162" s="1" t="s">
        <v>150</v>
      </c>
      <c r="G162" s="6" t="str">
        <f>VLOOKUP(A162,WorldCups!$A$2:$B$23,2,FALSE)</f>
        <v>Chile</v>
      </c>
      <c r="H162" s="1" t="s">
        <v>26</v>
      </c>
      <c r="I162" s="1">
        <v>2</v>
      </c>
      <c r="J162" s="1">
        <v>1</v>
      </c>
      <c r="K162" s="1" t="s">
        <v>126</v>
      </c>
      <c r="L162" s="1" t="s">
        <v>14</v>
      </c>
      <c r="M162" s="1" t="str">
        <f>IF(ISNUMBER(SEARCH("Group",Table2[[#This Row],[Round]])),"Group stages",Table2[[#This Row],[Round]])</f>
        <v>Quarter-finals</v>
      </c>
      <c r="O162" s="1">
        <f>Table2[[#This Row],[Year]]</f>
        <v>1962</v>
      </c>
      <c r="P162" s="1" t="str">
        <f>INDEX(Table2[[HomeTeam]:[Group_details]],ROWS($N$2:N162),COLUMNS($N$2:N162))</f>
        <v>Chile</v>
      </c>
      <c r="Q162" s="1">
        <f>INDEX(Table2[[HomeTeam]:[Group_details]],ROWS($N$2:O162),COLUMNS($N$2:O162))</f>
        <v>2</v>
      </c>
      <c r="R162" s="1">
        <f>INDEX(Table2[[HomeTeam]:[Group_details]],ROWS($N$2:P162),COLUMNS($N$2:P162))</f>
        <v>1</v>
      </c>
      <c r="S162" s="1" t="str">
        <f>INDEX(Table2[[HomeTeam]:[Group_details]],ROWS($N$2:Q162),COLUMNS($N$2:Q162))</f>
        <v>Soviet Union</v>
      </c>
      <c r="T162" s="1" t="str">
        <f>INDEX(Table2[[HomeTeam]:[Group_details]],ROWS($N$2:R162),COLUMNS($N$2:R162))</f>
        <v xml:space="preserve"> </v>
      </c>
      <c r="U162" s="1" t="str">
        <f>INDEX(Table2[[HomeTeam]:[Group_details]],ROWS($N$2:S162),COLUMNS($N$2:S162))</f>
        <v>Quarter-finals</v>
      </c>
      <c r="V162" s="1" t="b">
        <f t="shared" si="2"/>
        <v>0</v>
      </c>
      <c r="W162" s="1" t="str">
        <f>IF(V162=TRUE,ROWS($V$2:V162),"")</f>
        <v/>
      </c>
      <c r="X162" s="1" t="str">
        <f>IFERROR(SMALL($W$2:$W$853,ROWS($W$2:W162)),"")</f>
        <v/>
      </c>
      <c r="Y162" s="1" t="str">
        <f>IF($X162&lt;&gt;"",INDEX($P$2:$U$853,MATCH($X162,$W$2:$W$853,0),COLUMNS($X$2:X162)),"")</f>
        <v/>
      </c>
      <c r="Z162" s="1" t="str">
        <f>IF($X162&lt;&gt;"",INDEX($P$2:$U$853,MATCH($X162,$W$2:$W$853,0),COLUMNS($X$2:Y162)),"")</f>
        <v/>
      </c>
      <c r="AA162" s="1" t="str">
        <f>IF($X162&lt;&gt;"",INDEX($P$2:$U$853,MATCH($X162,$W$2:$W$853,0),COLUMNS($X$2:Z162)),"")</f>
        <v/>
      </c>
      <c r="AB162" s="1" t="str">
        <f>IF($X162&lt;&gt;"",INDEX($P$2:$U$853,MATCH($X162,$W$2:$W$853,0),COLUMNS($X$2:AA162)),"")</f>
        <v/>
      </c>
      <c r="AC162" s="1" t="str">
        <f>IF($X162&lt;&gt;"",INDEX($P$2:$U$853,MATCH($X162,$W$2:$W$853,0),COLUMNS($X$2:AB162)),"")</f>
        <v/>
      </c>
      <c r="AD162" s="1" t="str">
        <f>IF($X162&lt;&gt;"",INDEX($P$2:$U$853,MATCH($X162,$W$2:$W$853,0),COLUMNS($X$2:AC162)),"")</f>
        <v/>
      </c>
    </row>
    <row r="163" spans="1:30" x14ac:dyDescent="0.2">
      <c r="A163" s="1">
        <v>1962</v>
      </c>
      <c r="B163" s="2">
        <v>22807</v>
      </c>
      <c r="C163" s="1" t="s">
        <v>505</v>
      </c>
      <c r="D163" s="1" t="s">
        <v>61</v>
      </c>
      <c r="E163" s="1" t="s">
        <v>152</v>
      </c>
      <c r="F163" s="1" t="s">
        <v>153</v>
      </c>
      <c r="G163" s="6" t="str">
        <f>VLOOKUP(A163,WorldCups!$A$2:$B$23,2,FALSE)</f>
        <v>Chile</v>
      </c>
      <c r="H163" s="1" t="s">
        <v>21</v>
      </c>
      <c r="I163" s="1">
        <v>3</v>
      </c>
      <c r="J163" s="1">
        <v>1</v>
      </c>
      <c r="K163" s="1" t="s">
        <v>93</v>
      </c>
      <c r="L163" s="1" t="s">
        <v>14</v>
      </c>
      <c r="M163" s="1" t="str">
        <f>IF(ISNUMBER(SEARCH("Group",Table2[[#This Row],[Round]])),"Group stages",Table2[[#This Row],[Round]])</f>
        <v>Quarter-finals</v>
      </c>
      <c r="O163" s="1">
        <f>Table2[[#This Row],[Year]]</f>
        <v>1962</v>
      </c>
      <c r="P163" s="1" t="str">
        <f>INDEX(Table2[[HomeTeam]:[Group_details]],ROWS($N$2:N163),COLUMNS($N$2:N163))</f>
        <v>Brazil</v>
      </c>
      <c r="Q163" s="1">
        <f>INDEX(Table2[[HomeTeam]:[Group_details]],ROWS($N$2:O163),COLUMNS($N$2:O163))</f>
        <v>3</v>
      </c>
      <c r="R163" s="1">
        <f>INDEX(Table2[[HomeTeam]:[Group_details]],ROWS($N$2:P163),COLUMNS($N$2:P163))</f>
        <v>1</v>
      </c>
      <c r="S163" s="1" t="str">
        <f>INDEX(Table2[[HomeTeam]:[Group_details]],ROWS($N$2:Q163),COLUMNS($N$2:Q163))</f>
        <v>England</v>
      </c>
      <c r="T163" s="1" t="str">
        <f>INDEX(Table2[[HomeTeam]:[Group_details]],ROWS($N$2:R163),COLUMNS($N$2:R163))</f>
        <v xml:space="preserve"> </v>
      </c>
      <c r="U163" s="1" t="str">
        <f>INDEX(Table2[[HomeTeam]:[Group_details]],ROWS($N$2:S163),COLUMNS($N$2:S163))</f>
        <v>Quarter-finals</v>
      </c>
      <c r="V163" s="1" t="b">
        <f t="shared" si="2"/>
        <v>0</v>
      </c>
      <c r="W163" s="1" t="str">
        <f>IF(V163=TRUE,ROWS($V$2:V163),"")</f>
        <v/>
      </c>
      <c r="X163" s="1" t="str">
        <f>IFERROR(SMALL($W$2:$W$853,ROWS($W$2:W163)),"")</f>
        <v/>
      </c>
      <c r="Y163" s="1" t="str">
        <f>IF($X163&lt;&gt;"",INDEX($P$2:$U$853,MATCH($X163,$W$2:$W$853,0),COLUMNS($X$2:X163)),"")</f>
        <v/>
      </c>
      <c r="Z163" s="1" t="str">
        <f>IF($X163&lt;&gt;"",INDEX($P$2:$U$853,MATCH($X163,$W$2:$W$853,0),COLUMNS($X$2:Y163)),"")</f>
        <v/>
      </c>
      <c r="AA163" s="1" t="str">
        <f>IF($X163&lt;&gt;"",INDEX($P$2:$U$853,MATCH($X163,$W$2:$W$853,0),COLUMNS($X$2:Z163)),"")</f>
        <v/>
      </c>
      <c r="AB163" s="1" t="str">
        <f>IF($X163&lt;&gt;"",INDEX($P$2:$U$853,MATCH($X163,$W$2:$W$853,0),COLUMNS($X$2:AA163)),"")</f>
        <v/>
      </c>
      <c r="AC163" s="1" t="str">
        <f>IF($X163&lt;&gt;"",INDEX($P$2:$U$853,MATCH($X163,$W$2:$W$853,0),COLUMNS($X$2:AB163)),"")</f>
        <v/>
      </c>
      <c r="AD163" s="1" t="str">
        <f>IF($X163&lt;&gt;"",INDEX($P$2:$U$853,MATCH($X163,$W$2:$W$853,0),COLUMNS($X$2:AC163)),"")</f>
        <v/>
      </c>
    </row>
    <row r="164" spans="1:30" x14ac:dyDescent="0.2">
      <c r="A164" s="1">
        <v>1962</v>
      </c>
      <c r="B164" s="2">
        <v>22807</v>
      </c>
      <c r="C164" s="1" t="s">
        <v>505</v>
      </c>
      <c r="D164" s="1" t="s">
        <v>61</v>
      </c>
      <c r="E164" s="1" t="s">
        <v>154</v>
      </c>
      <c r="F164" s="1" t="s">
        <v>155</v>
      </c>
      <c r="G164" s="6" t="str">
        <f>VLOOKUP(A164,WorldCups!$A$2:$B$23,2,FALSE)</f>
        <v>Chile</v>
      </c>
      <c r="H164" s="1" t="s">
        <v>60</v>
      </c>
      <c r="I164" s="1">
        <v>1</v>
      </c>
      <c r="J164" s="1">
        <v>0</v>
      </c>
      <c r="K164" s="1" t="s">
        <v>40</v>
      </c>
      <c r="L164" s="1" t="s">
        <v>14</v>
      </c>
      <c r="M164" s="1" t="str">
        <f>IF(ISNUMBER(SEARCH("Group",Table2[[#This Row],[Round]])),"Group stages",Table2[[#This Row],[Round]])</f>
        <v>Quarter-finals</v>
      </c>
      <c r="O164" s="1">
        <f>Table2[[#This Row],[Year]]</f>
        <v>1962</v>
      </c>
      <c r="P164" s="1" t="str">
        <f>INDEX(Table2[[HomeTeam]:[Group_details]],ROWS($N$2:N164),COLUMNS($N$2:N164))</f>
        <v>Czechoslovakia</v>
      </c>
      <c r="Q164" s="1">
        <f>INDEX(Table2[[HomeTeam]:[Group_details]],ROWS($N$2:O164),COLUMNS($N$2:O164))</f>
        <v>1</v>
      </c>
      <c r="R164" s="1">
        <f>INDEX(Table2[[HomeTeam]:[Group_details]],ROWS($N$2:P164),COLUMNS($N$2:P164))</f>
        <v>0</v>
      </c>
      <c r="S164" s="1" t="str">
        <f>INDEX(Table2[[HomeTeam]:[Group_details]],ROWS($N$2:Q164),COLUMNS($N$2:Q164))</f>
        <v>Hungary</v>
      </c>
      <c r="T164" s="1" t="str">
        <f>INDEX(Table2[[HomeTeam]:[Group_details]],ROWS($N$2:R164),COLUMNS($N$2:R164))</f>
        <v xml:space="preserve"> </v>
      </c>
      <c r="U164" s="1" t="str">
        <f>INDEX(Table2[[HomeTeam]:[Group_details]],ROWS($N$2:S164),COLUMNS($N$2:S164))</f>
        <v>Quarter-finals</v>
      </c>
      <c r="V164" s="1" t="b">
        <f t="shared" si="2"/>
        <v>0</v>
      </c>
      <c r="W164" s="1" t="str">
        <f>IF(V164=TRUE,ROWS($V$2:V164),"")</f>
        <v/>
      </c>
      <c r="X164" s="1" t="str">
        <f>IFERROR(SMALL($W$2:$W$853,ROWS($W$2:W164)),"")</f>
        <v/>
      </c>
      <c r="Y164" s="1" t="str">
        <f>IF($X164&lt;&gt;"",INDEX($P$2:$U$853,MATCH($X164,$W$2:$W$853,0),COLUMNS($X$2:X164)),"")</f>
        <v/>
      </c>
      <c r="Z164" s="1" t="str">
        <f>IF($X164&lt;&gt;"",INDEX($P$2:$U$853,MATCH($X164,$W$2:$W$853,0),COLUMNS($X$2:Y164)),"")</f>
        <v/>
      </c>
      <c r="AA164" s="1" t="str">
        <f>IF($X164&lt;&gt;"",INDEX($P$2:$U$853,MATCH($X164,$W$2:$W$853,0),COLUMNS($X$2:Z164)),"")</f>
        <v/>
      </c>
      <c r="AB164" s="1" t="str">
        <f>IF($X164&lt;&gt;"",INDEX($P$2:$U$853,MATCH($X164,$W$2:$W$853,0),COLUMNS($X$2:AA164)),"")</f>
        <v/>
      </c>
      <c r="AC164" s="1" t="str">
        <f>IF($X164&lt;&gt;"",INDEX($P$2:$U$853,MATCH($X164,$W$2:$W$853,0),COLUMNS($X$2:AB164)),"")</f>
        <v/>
      </c>
      <c r="AD164" s="1" t="str">
        <f>IF($X164&lt;&gt;"",INDEX($P$2:$U$853,MATCH($X164,$W$2:$W$853,0),COLUMNS($X$2:AC164)),"")</f>
        <v/>
      </c>
    </row>
    <row r="165" spans="1:30" x14ac:dyDescent="0.2">
      <c r="A165" s="1">
        <v>1962</v>
      </c>
      <c r="B165" s="2">
        <v>22807</v>
      </c>
      <c r="C165" s="1" t="s">
        <v>505</v>
      </c>
      <c r="D165" s="1" t="s">
        <v>61</v>
      </c>
      <c r="E165" s="1" t="s">
        <v>157</v>
      </c>
      <c r="F165" s="1" t="s">
        <v>158</v>
      </c>
      <c r="G165" s="6" t="str">
        <f>VLOOKUP(A165,WorldCups!$A$2:$B$23,2,FALSE)</f>
        <v>Chile</v>
      </c>
      <c r="H165" s="1" t="s">
        <v>20</v>
      </c>
      <c r="I165" s="1">
        <v>1</v>
      </c>
      <c r="J165" s="1">
        <v>0</v>
      </c>
      <c r="K165" s="1" t="s">
        <v>114</v>
      </c>
      <c r="L165" s="1" t="s">
        <v>14</v>
      </c>
      <c r="M165" s="1" t="str">
        <f>IF(ISNUMBER(SEARCH("Group",Table2[[#This Row],[Round]])),"Group stages",Table2[[#This Row],[Round]])</f>
        <v>Quarter-finals</v>
      </c>
      <c r="O165" s="1">
        <f>Table2[[#This Row],[Year]]</f>
        <v>1962</v>
      </c>
      <c r="P165" s="1" t="str">
        <f>INDEX(Table2[[HomeTeam]:[Group_details]],ROWS($N$2:N165),COLUMNS($N$2:N165))</f>
        <v>Yugoslavia</v>
      </c>
      <c r="Q165" s="1">
        <f>INDEX(Table2[[HomeTeam]:[Group_details]],ROWS($N$2:O165),COLUMNS($N$2:O165))</f>
        <v>1</v>
      </c>
      <c r="R165" s="1">
        <f>INDEX(Table2[[HomeTeam]:[Group_details]],ROWS($N$2:P165),COLUMNS($N$2:P165))</f>
        <v>0</v>
      </c>
      <c r="S165" s="1" t="str">
        <f>INDEX(Table2[[HomeTeam]:[Group_details]],ROWS($N$2:Q165),COLUMNS($N$2:Q165))</f>
        <v>Germany FR</v>
      </c>
      <c r="T165" s="1" t="str">
        <f>INDEX(Table2[[HomeTeam]:[Group_details]],ROWS($N$2:R165),COLUMNS($N$2:R165))</f>
        <v xml:space="preserve"> </v>
      </c>
      <c r="U165" s="1" t="str">
        <f>INDEX(Table2[[HomeTeam]:[Group_details]],ROWS($N$2:S165),COLUMNS($N$2:S165))</f>
        <v>Quarter-finals</v>
      </c>
      <c r="V165" s="1" t="b">
        <f t="shared" si="2"/>
        <v>0</v>
      </c>
      <c r="W165" s="1" t="str">
        <f>IF(V165=TRUE,ROWS($V$2:V165),"")</f>
        <v/>
      </c>
      <c r="X165" s="1" t="str">
        <f>IFERROR(SMALL($W$2:$W$853,ROWS($W$2:W165)),"")</f>
        <v/>
      </c>
      <c r="Y165" s="1" t="str">
        <f>IF($X165&lt;&gt;"",INDEX($P$2:$U$853,MATCH($X165,$W$2:$W$853,0),COLUMNS($X$2:X165)),"")</f>
        <v/>
      </c>
      <c r="Z165" s="1" t="str">
        <f>IF($X165&lt;&gt;"",INDEX($P$2:$U$853,MATCH($X165,$W$2:$W$853,0),COLUMNS($X$2:Y165)),"")</f>
        <v/>
      </c>
      <c r="AA165" s="1" t="str">
        <f>IF($X165&lt;&gt;"",INDEX($P$2:$U$853,MATCH($X165,$W$2:$W$853,0),COLUMNS($X$2:Z165)),"")</f>
        <v/>
      </c>
      <c r="AB165" s="1" t="str">
        <f>IF($X165&lt;&gt;"",INDEX($P$2:$U$853,MATCH($X165,$W$2:$W$853,0),COLUMNS($X$2:AA165)),"")</f>
        <v/>
      </c>
      <c r="AC165" s="1" t="str">
        <f>IF($X165&lt;&gt;"",INDEX($P$2:$U$853,MATCH($X165,$W$2:$W$853,0),COLUMNS($X$2:AB165)),"")</f>
        <v/>
      </c>
      <c r="AD165" s="1" t="str">
        <f>IF($X165&lt;&gt;"",INDEX($P$2:$U$853,MATCH($X165,$W$2:$W$853,0),COLUMNS($X$2:AC165)),"")</f>
        <v/>
      </c>
    </row>
    <row r="166" spans="1:30" x14ac:dyDescent="0.2">
      <c r="A166" s="1">
        <v>1962</v>
      </c>
      <c r="B166" s="2">
        <v>22810</v>
      </c>
      <c r="C166" s="1" t="s">
        <v>505</v>
      </c>
      <c r="D166" s="1" t="s">
        <v>31</v>
      </c>
      <c r="E166" s="1" t="s">
        <v>152</v>
      </c>
      <c r="F166" s="1" t="s">
        <v>153</v>
      </c>
      <c r="G166" s="6" t="str">
        <f>VLOOKUP(A166,WorldCups!$A$2:$B$23,2,FALSE)</f>
        <v>Chile</v>
      </c>
      <c r="H166" s="1" t="s">
        <v>60</v>
      </c>
      <c r="I166" s="1">
        <v>3</v>
      </c>
      <c r="J166" s="1">
        <v>1</v>
      </c>
      <c r="K166" s="1" t="s">
        <v>20</v>
      </c>
      <c r="L166" s="1" t="s">
        <v>14</v>
      </c>
      <c r="M166" s="1" t="str">
        <f>IF(ISNUMBER(SEARCH("Group",Table2[[#This Row],[Round]])),"Group stages",Table2[[#This Row],[Round]])</f>
        <v>Semi-finals</v>
      </c>
      <c r="O166" s="1">
        <f>Table2[[#This Row],[Year]]</f>
        <v>1962</v>
      </c>
      <c r="P166" s="1" t="str">
        <f>INDEX(Table2[[HomeTeam]:[Group_details]],ROWS($N$2:N166),COLUMNS($N$2:N166))</f>
        <v>Czechoslovakia</v>
      </c>
      <c r="Q166" s="1">
        <f>INDEX(Table2[[HomeTeam]:[Group_details]],ROWS($N$2:O166),COLUMNS($N$2:O166))</f>
        <v>3</v>
      </c>
      <c r="R166" s="1">
        <f>INDEX(Table2[[HomeTeam]:[Group_details]],ROWS($N$2:P166),COLUMNS($N$2:P166))</f>
        <v>1</v>
      </c>
      <c r="S166" s="1" t="str">
        <f>INDEX(Table2[[HomeTeam]:[Group_details]],ROWS($N$2:Q166),COLUMNS($N$2:Q166))</f>
        <v>Yugoslavia</v>
      </c>
      <c r="T166" s="1" t="str">
        <f>INDEX(Table2[[HomeTeam]:[Group_details]],ROWS($N$2:R166),COLUMNS($N$2:R166))</f>
        <v xml:space="preserve"> </v>
      </c>
      <c r="U166" s="1" t="str">
        <f>INDEX(Table2[[HomeTeam]:[Group_details]],ROWS($N$2:S166),COLUMNS($N$2:S166))</f>
        <v>Semi-finals</v>
      </c>
      <c r="V166" s="1" t="b">
        <f t="shared" si="2"/>
        <v>0</v>
      </c>
      <c r="W166" s="1" t="str">
        <f>IF(V166=TRUE,ROWS($V$2:V166),"")</f>
        <v/>
      </c>
      <c r="X166" s="1" t="str">
        <f>IFERROR(SMALL($W$2:$W$853,ROWS($W$2:W166)),"")</f>
        <v/>
      </c>
      <c r="Y166" s="1" t="str">
        <f>IF($X166&lt;&gt;"",INDEX($P$2:$U$853,MATCH($X166,$W$2:$W$853,0),COLUMNS($X$2:X166)),"")</f>
        <v/>
      </c>
      <c r="Z166" s="1" t="str">
        <f>IF($X166&lt;&gt;"",INDEX($P$2:$U$853,MATCH($X166,$W$2:$W$853,0),COLUMNS($X$2:Y166)),"")</f>
        <v/>
      </c>
      <c r="AA166" s="1" t="str">
        <f>IF($X166&lt;&gt;"",INDEX($P$2:$U$853,MATCH($X166,$W$2:$W$853,0),COLUMNS($X$2:Z166)),"")</f>
        <v/>
      </c>
      <c r="AB166" s="1" t="str">
        <f>IF($X166&lt;&gt;"",INDEX($P$2:$U$853,MATCH($X166,$W$2:$W$853,0),COLUMNS($X$2:AA166)),"")</f>
        <v/>
      </c>
      <c r="AC166" s="1" t="str">
        <f>IF($X166&lt;&gt;"",INDEX($P$2:$U$853,MATCH($X166,$W$2:$W$853,0),COLUMNS($X$2:AB166)),"")</f>
        <v/>
      </c>
      <c r="AD166" s="1" t="str">
        <f>IF($X166&lt;&gt;"",INDEX($P$2:$U$853,MATCH($X166,$W$2:$W$853,0),COLUMNS($X$2:AC166)),"")</f>
        <v/>
      </c>
    </row>
    <row r="167" spans="1:30" x14ac:dyDescent="0.2">
      <c r="A167" s="1">
        <v>1962</v>
      </c>
      <c r="B167" s="2">
        <v>22810</v>
      </c>
      <c r="C167" s="1" t="s">
        <v>505</v>
      </c>
      <c r="D167" s="1" t="s">
        <v>31</v>
      </c>
      <c r="E167" s="1" t="s">
        <v>157</v>
      </c>
      <c r="F167" s="1" t="s">
        <v>158</v>
      </c>
      <c r="G167" s="6" t="str">
        <f>VLOOKUP(A167,WorldCups!$A$2:$B$23,2,FALSE)</f>
        <v>Chile</v>
      </c>
      <c r="H167" s="1" t="s">
        <v>21</v>
      </c>
      <c r="I167" s="1">
        <v>4</v>
      </c>
      <c r="J167" s="1">
        <v>2</v>
      </c>
      <c r="K167" s="1" t="s">
        <v>26</v>
      </c>
      <c r="L167" s="1" t="s">
        <v>14</v>
      </c>
      <c r="M167" s="1" t="str">
        <f>IF(ISNUMBER(SEARCH("Group",Table2[[#This Row],[Round]])),"Group stages",Table2[[#This Row],[Round]])</f>
        <v>Semi-finals</v>
      </c>
      <c r="O167" s="1">
        <f>Table2[[#This Row],[Year]]</f>
        <v>1962</v>
      </c>
      <c r="P167" s="1" t="str">
        <f>INDEX(Table2[[HomeTeam]:[Group_details]],ROWS($N$2:N167),COLUMNS($N$2:N167))</f>
        <v>Brazil</v>
      </c>
      <c r="Q167" s="1">
        <f>INDEX(Table2[[HomeTeam]:[Group_details]],ROWS($N$2:O167),COLUMNS($N$2:O167))</f>
        <v>4</v>
      </c>
      <c r="R167" s="1">
        <f>INDEX(Table2[[HomeTeam]:[Group_details]],ROWS($N$2:P167),COLUMNS($N$2:P167))</f>
        <v>2</v>
      </c>
      <c r="S167" s="1" t="str">
        <f>INDEX(Table2[[HomeTeam]:[Group_details]],ROWS($N$2:Q167),COLUMNS($N$2:Q167))</f>
        <v>Chile</v>
      </c>
      <c r="T167" s="1" t="str">
        <f>INDEX(Table2[[HomeTeam]:[Group_details]],ROWS($N$2:R167),COLUMNS($N$2:R167))</f>
        <v xml:space="preserve"> </v>
      </c>
      <c r="U167" s="1" t="str">
        <f>INDEX(Table2[[HomeTeam]:[Group_details]],ROWS($N$2:S167),COLUMNS($N$2:S167))</f>
        <v>Semi-finals</v>
      </c>
      <c r="V167" s="1" t="b">
        <f t="shared" si="2"/>
        <v>0</v>
      </c>
      <c r="W167" s="1" t="str">
        <f>IF(V167=TRUE,ROWS($V$2:V167),"")</f>
        <v/>
      </c>
      <c r="X167" s="1" t="str">
        <f>IFERROR(SMALL($W$2:$W$853,ROWS($W$2:W167)),"")</f>
        <v/>
      </c>
      <c r="Y167" s="1" t="str">
        <f>IF($X167&lt;&gt;"",INDEX($P$2:$U$853,MATCH($X167,$W$2:$W$853,0),COLUMNS($X$2:X167)),"")</f>
        <v/>
      </c>
      <c r="Z167" s="1" t="str">
        <f>IF($X167&lt;&gt;"",INDEX($P$2:$U$853,MATCH($X167,$W$2:$W$853,0),COLUMNS($X$2:Y167)),"")</f>
        <v/>
      </c>
      <c r="AA167" s="1" t="str">
        <f>IF($X167&lt;&gt;"",INDEX($P$2:$U$853,MATCH($X167,$W$2:$W$853,0),COLUMNS($X$2:Z167)),"")</f>
        <v/>
      </c>
      <c r="AB167" s="1" t="str">
        <f>IF($X167&lt;&gt;"",INDEX($P$2:$U$853,MATCH($X167,$W$2:$W$853,0),COLUMNS($X$2:AA167)),"")</f>
        <v/>
      </c>
      <c r="AC167" s="1" t="str">
        <f>IF($X167&lt;&gt;"",INDEX($P$2:$U$853,MATCH($X167,$W$2:$W$853,0),COLUMNS($X$2:AB167)),"")</f>
        <v/>
      </c>
      <c r="AD167" s="1" t="str">
        <f>IF($X167&lt;&gt;"",INDEX($P$2:$U$853,MATCH($X167,$W$2:$W$853,0),COLUMNS($X$2:AC167)),"")</f>
        <v/>
      </c>
    </row>
    <row r="168" spans="1:30" x14ac:dyDescent="0.2">
      <c r="A168" s="1">
        <v>1962</v>
      </c>
      <c r="B168" s="2">
        <v>22813</v>
      </c>
      <c r="C168" s="1" t="s">
        <v>505</v>
      </c>
      <c r="D168" s="1" t="s">
        <v>62</v>
      </c>
      <c r="E168" s="1" t="s">
        <v>157</v>
      </c>
      <c r="F168" s="1" t="s">
        <v>158</v>
      </c>
      <c r="G168" s="6" t="str">
        <f>VLOOKUP(A168,WorldCups!$A$2:$B$23,2,FALSE)</f>
        <v>Chile</v>
      </c>
      <c r="H168" s="1" t="s">
        <v>26</v>
      </c>
      <c r="I168" s="1">
        <v>1</v>
      </c>
      <c r="J168" s="1">
        <v>0</v>
      </c>
      <c r="K168" s="1" t="s">
        <v>20</v>
      </c>
      <c r="L168" s="1" t="s">
        <v>14</v>
      </c>
      <c r="M168" s="1" t="str">
        <f>IF(ISNUMBER(SEARCH("Group",Table2[[#This Row],[Round]])),"Group stages",Table2[[#This Row],[Round]])</f>
        <v>Match for third place</v>
      </c>
      <c r="O168" s="1">
        <f>Table2[[#This Row],[Year]]</f>
        <v>1962</v>
      </c>
      <c r="P168" s="1" t="str">
        <f>INDEX(Table2[[HomeTeam]:[Group_details]],ROWS($N$2:N168),COLUMNS($N$2:N168))</f>
        <v>Chile</v>
      </c>
      <c r="Q168" s="1">
        <f>INDEX(Table2[[HomeTeam]:[Group_details]],ROWS($N$2:O168),COLUMNS($N$2:O168))</f>
        <v>1</v>
      </c>
      <c r="R168" s="1">
        <f>INDEX(Table2[[HomeTeam]:[Group_details]],ROWS($N$2:P168),COLUMNS($N$2:P168))</f>
        <v>0</v>
      </c>
      <c r="S168" s="1" t="str">
        <f>INDEX(Table2[[HomeTeam]:[Group_details]],ROWS($N$2:Q168),COLUMNS($N$2:Q168))</f>
        <v>Yugoslavia</v>
      </c>
      <c r="T168" s="1" t="str">
        <f>INDEX(Table2[[HomeTeam]:[Group_details]],ROWS($N$2:R168),COLUMNS($N$2:R168))</f>
        <v xml:space="preserve"> </v>
      </c>
      <c r="U168" s="1" t="str">
        <f>INDEX(Table2[[HomeTeam]:[Group_details]],ROWS($N$2:S168),COLUMNS($N$2:S168))</f>
        <v>Match for third place</v>
      </c>
      <c r="V168" s="1" t="b">
        <f t="shared" si="2"/>
        <v>0</v>
      </c>
      <c r="W168" s="1" t="str">
        <f>IF(V168=TRUE,ROWS($V$2:V168),"")</f>
        <v/>
      </c>
      <c r="X168" s="1" t="str">
        <f>IFERROR(SMALL($W$2:$W$853,ROWS($W$2:W168)),"")</f>
        <v/>
      </c>
      <c r="Y168" s="1" t="str">
        <f>IF($X168&lt;&gt;"",INDEX($P$2:$U$853,MATCH($X168,$W$2:$W$853,0),COLUMNS($X$2:X168)),"")</f>
        <v/>
      </c>
      <c r="Z168" s="1" t="str">
        <f>IF($X168&lt;&gt;"",INDEX($P$2:$U$853,MATCH($X168,$W$2:$W$853,0),COLUMNS($X$2:Y168)),"")</f>
        <v/>
      </c>
      <c r="AA168" s="1" t="str">
        <f>IF($X168&lt;&gt;"",INDEX($P$2:$U$853,MATCH($X168,$W$2:$W$853,0),COLUMNS($X$2:Z168)),"")</f>
        <v/>
      </c>
      <c r="AB168" s="1" t="str">
        <f>IF($X168&lt;&gt;"",INDEX($P$2:$U$853,MATCH($X168,$W$2:$W$853,0),COLUMNS($X$2:AA168)),"")</f>
        <v/>
      </c>
      <c r="AC168" s="1" t="str">
        <f>IF($X168&lt;&gt;"",INDEX($P$2:$U$853,MATCH($X168,$W$2:$W$853,0),COLUMNS($X$2:AB168)),"")</f>
        <v/>
      </c>
      <c r="AD168" s="1" t="str">
        <f>IF($X168&lt;&gt;"",INDEX($P$2:$U$853,MATCH($X168,$W$2:$W$853,0),COLUMNS($X$2:AC168)),"")</f>
        <v/>
      </c>
    </row>
    <row r="169" spans="1:30" x14ac:dyDescent="0.2">
      <c r="A169" s="1">
        <v>1962</v>
      </c>
      <c r="B169" s="2">
        <v>22814</v>
      </c>
      <c r="C169" s="1" t="s">
        <v>505</v>
      </c>
      <c r="D169" s="1" t="s">
        <v>32</v>
      </c>
      <c r="E169" s="1" t="s">
        <v>157</v>
      </c>
      <c r="F169" s="1" t="s">
        <v>158</v>
      </c>
      <c r="G169" s="6" t="str">
        <f>VLOOKUP(A169,WorldCups!$A$2:$B$23,2,FALSE)</f>
        <v>Chile</v>
      </c>
      <c r="H169" s="1" t="s">
        <v>21</v>
      </c>
      <c r="I169" s="1">
        <v>3</v>
      </c>
      <c r="J169" s="1">
        <v>1</v>
      </c>
      <c r="K169" s="1" t="s">
        <v>60</v>
      </c>
      <c r="L169" s="1" t="s">
        <v>14</v>
      </c>
      <c r="M169" s="1" t="str">
        <f>IF(ISNUMBER(SEARCH("Group",Table2[[#This Row],[Round]])),"Group stages",Table2[[#This Row],[Round]])</f>
        <v>Final</v>
      </c>
      <c r="O169" s="1">
        <f>Table2[[#This Row],[Year]]</f>
        <v>1962</v>
      </c>
      <c r="P169" s="1" t="str">
        <f>INDEX(Table2[[HomeTeam]:[Group_details]],ROWS($N$2:N169),COLUMNS($N$2:N169))</f>
        <v>Brazil</v>
      </c>
      <c r="Q169" s="1">
        <f>INDEX(Table2[[HomeTeam]:[Group_details]],ROWS($N$2:O169),COLUMNS($N$2:O169))</f>
        <v>3</v>
      </c>
      <c r="R169" s="1">
        <f>INDEX(Table2[[HomeTeam]:[Group_details]],ROWS($N$2:P169),COLUMNS($N$2:P169))</f>
        <v>1</v>
      </c>
      <c r="S169" s="1" t="str">
        <f>INDEX(Table2[[HomeTeam]:[Group_details]],ROWS($N$2:Q169),COLUMNS($N$2:Q169))</f>
        <v>Czechoslovakia</v>
      </c>
      <c r="T169" s="1" t="str">
        <f>INDEX(Table2[[HomeTeam]:[Group_details]],ROWS($N$2:R169),COLUMNS($N$2:R169))</f>
        <v xml:space="preserve"> </v>
      </c>
      <c r="U169" s="1" t="str">
        <f>INDEX(Table2[[HomeTeam]:[Group_details]],ROWS($N$2:S169),COLUMNS($N$2:S169))</f>
        <v>Final</v>
      </c>
      <c r="V169" s="1" t="b">
        <f t="shared" si="2"/>
        <v>0</v>
      </c>
      <c r="W169" s="1" t="str">
        <f>IF(V169=TRUE,ROWS($V$2:V169),"")</f>
        <v/>
      </c>
      <c r="X169" s="1" t="str">
        <f>IFERROR(SMALL($W$2:$W$853,ROWS($W$2:W169)),"")</f>
        <v/>
      </c>
      <c r="Y169" s="1" t="str">
        <f>IF($X169&lt;&gt;"",INDEX($P$2:$U$853,MATCH($X169,$W$2:$W$853,0),COLUMNS($X$2:X169)),"")</f>
        <v/>
      </c>
      <c r="Z169" s="1" t="str">
        <f>IF($X169&lt;&gt;"",INDEX($P$2:$U$853,MATCH($X169,$W$2:$W$853,0),COLUMNS($X$2:Y169)),"")</f>
        <v/>
      </c>
      <c r="AA169" s="1" t="str">
        <f>IF($X169&lt;&gt;"",INDEX($P$2:$U$853,MATCH($X169,$W$2:$W$853,0),COLUMNS($X$2:Z169)),"")</f>
        <v/>
      </c>
      <c r="AB169" s="1" t="str">
        <f>IF($X169&lt;&gt;"",INDEX($P$2:$U$853,MATCH($X169,$W$2:$W$853,0),COLUMNS($X$2:AA169)),"")</f>
        <v/>
      </c>
      <c r="AC169" s="1" t="str">
        <f>IF($X169&lt;&gt;"",INDEX($P$2:$U$853,MATCH($X169,$W$2:$W$853,0),COLUMNS($X$2:AB169)),"")</f>
        <v/>
      </c>
      <c r="AD169" s="1" t="str">
        <f>IF($X169&lt;&gt;"",INDEX($P$2:$U$853,MATCH($X169,$W$2:$W$853,0),COLUMNS($X$2:AC169)),"")</f>
        <v/>
      </c>
    </row>
    <row r="170" spans="1:30" x14ac:dyDescent="0.2">
      <c r="A170" s="1">
        <v>1966</v>
      </c>
      <c r="B170" s="2">
        <v>24299</v>
      </c>
      <c r="C170" s="1" t="s">
        <v>522</v>
      </c>
      <c r="D170" s="1" t="s">
        <v>9</v>
      </c>
      <c r="E170" s="1" t="s">
        <v>159</v>
      </c>
      <c r="F170" s="1" t="s">
        <v>160</v>
      </c>
      <c r="G170" s="6" t="str">
        <f>VLOOKUP(A170,WorldCups!$A$2:$B$23,2,FALSE)</f>
        <v>England</v>
      </c>
      <c r="H170" s="1" t="s">
        <v>93</v>
      </c>
      <c r="I170" s="1">
        <v>0</v>
      </c>
      <c r="J170" s="1">
        <v>0</v>
      </c>
      <c r="K170" s="1" t="s">
        <v>30</v>
      </c>
      <c r="L170" s="1" t="s">
        <v>14</v>
      </c>
      <c r="M170" s="1" t="str">
        <f>IF(ISNUMBER(SEARCH("Group",Table2[[#This Row],[Round]])),"Group stages",Table2[[#This Row],[Round]])</f>
        <v>Group stages</v>
      </c>
      <c r="O170" s="1">
        <f>Table2[[#This Row],[Year]]</f>
        <v>1966</v>
      </c>
      <c r="P170" s="1" t="str">
        <f>INDEX(Table2[[HomeTeam]:[Group_details]],ROWS($N$2:N170),COLUMNS($N$2:N170))</f>
        <v>England</v>
      </c>
      <c r="Q170" s="1">
        <f>INDEX(Table2[[HomeTeam]:[Group_details]],ROWS($N$2:O170),COLUMNS($N$2:O170))</f>
        <v>0</v>
      </c>
      <c r="R170" s="1">
        <f>INDEX(Table2[[HomeTeam]:[Group_details]],ROWS($N$2:P170),COLUMNS($N$2:P170))</f>
        <v>0</v>
      </c>
      <c r="S170" s="1" t="str">
        <f>INDEX(Table2[[HomeTeam]:[Group_details]],ROWS($N$2:Q170),COLUMNS($N$2:Q170))</f>
        <v>Uruguay</v>
      </c>
      <c r="T170" s="1" t="str">
        <f>INDEX(Table2[[HomeTeam]:[Group_details]],ROWS($N$2:R170),COLUMNS($N$2:R170))</f>
        <v xml:space="preserve"> </v>
      </c>
      <c r="U170" s="1" t="str">
        <f>INDEX(Table2[[HomeTeam]:[Group_details]],ROWS($N$2:S170),COLUMNS($N$2:S170))</f>
        <v>Group stages</v>
      </c>
      <c r="V170" s="1" t="b">
        <f t="shared" si="2"/>
        <v>0</v>
      </c>
      <c r="W170" s="1" t="str">
        <f>IF(V170=TRUE,ROWS($V$2:V170),"")</f>
        <v/>
      </c>
      <c r="X170" s="1" t="str">
        <f>IFERROR(SMALL($W$2:$W$853,ROWS($W$2:W170)),"")</f>
        <v/>
      </c>
      <c r="Y170" s="1" t="str">
        <f>IF($X170&lt;&gt;"",INDEX($P$2:$U$853,MATCH($X170,$W$2:$W$853,0),COLUMNS($X$2:X170)),"")</f>
        <v/>
      </c>
      <c r="Z170" s="1" t="str">
        <f>IF($X170&lt;&gt;"",INDEX($P$2:$U$853,MATCH($X170,$W$2:$W$853,0),COLUMNS($X$2:Y170)),"")</f>
        <v/>
      </c>
      <c r="AA170" s="1" t="str">
        <f>IF($X170&lt;&gt;"",INDEX($P$2:$U$853,MATCH($X170,$W$2:$W$853,0),COLUMNS($X$2:Z170)),"")</f>
        <v/>
      </c>
      <c r="AB170" s="1" t="str">
        <f>IF($X170&lt;&gt;"",INDEX($P$2:$U$853,MATCH($X170,$W$2:$W$853,0),COLUMNS($X$2:AA170)),"")</f>
        <v/>
      </c>
      <c r="AC170" s="1" t="str">
        <f>IF($X170&lt;&gt;"",INDEX($P$2:$U$853,MATCH($X170,$W$2:$W$853,0),COLUMNS($X$2:AB170)),"")</f>
        <v/>
      </c>
      <c r="AD170" s="1" t="str">
        <f>IF($X170&lt;&gt;"",INDEX($P$2:$U$853,MATCH($X170,$W$2:$W$853,0),COLUMNS($X$2:AC170)),"")</f>
        <v/>
      </c>
    </row>
    <row r="171" spans="1:30" x14ac:dyDescent="0.2">
      <c r="A171" s="1">
        <v>1966</v>
      </c>
      <c r="B171" s="2">
        <v>24300</v>
      </c>
      <c r="C171" s="1" t="s">
        <v>522</v>
      </c>
      <c r="D171" s="1" t="s">
        <v>19</v>
      </c>
      <c r="E171" s="1" t="s">
        <v>161</v>
      </c>
      <c r="F171" s="1" t="s">
        <v>162</v>
      </c>
      <c r="G171" s="6" t="str">
        <f>VLOOKUP(A171,WorldCups!$A$2:$B$23,2,FALSE)</f>
        <v>England</v>
      </c>
      <c r="H171" s="1" t="s">
        <v>114</v>
      </c>
      <c r="I171" s="1">
        <v>5</v>
      </c>
      <c r="J171" s="1">
        <v>0</v>
      </c>
      <c r="K171" s="1" t="s">
        <v>44</v>
      </c>
      <c r="L171" s="1" t="s">
        <v>14</v>
      </c>
      <c r="M171" s="1" t="str">
        <f>IF(ISNUMBER(SEARCH("Group",Table2[[#This Row],[Round]])),"Group stages",Table2[[#This Row],[Round]])</f>
        <v>Group stages</v>
      </c>
      <c r="O171" s="1">
        <f>Table2[[#This Row],[Year]]</f>
        <v>1966</v>
      </c>
      <c r="P171" s="1" t="str">
        <f>INDEX(Table2[[HomeTeam]:[Group_details]],ROWS($N$2:N171),COLUMNS($N$2:N171))</f>
        <v>Germany FR</v>
      </c>
      <c r="Q171" s="1">
        <f>INDEX(Table2[[HomeTeam]:[Group_details]],ROWS($N$2:O171),COLUMNS($N$2:O171))</f>
        <v>5</v>
      </c>
      <c r="R171" s="1">
        <f>INDEX(Table2[[HomeTeam]:[Group_details]],ROWS($N$2:P171),COLUMNS($N$2:P171))</f>
        <v>0</v>
      </c>
      <c r="S171" s="1" t="str">
        <f>INDEX(Table2[[HomeTeam]:[Group_details]],ROWS($N$2:Q171),COLUMNS($N$2:Q171))</f>
        <v>Switzerland</v>
      </c>
      <c r="T171" s="1" t="str">
        <f>INDEX(Table2[[HomeTeam]:[Group_details]],ROWS($N$2:R171),COLUMNS($N$2:R171))</f>
        <v xml:space="preserve"> </v>
      </c>
      <c r="U171" s="1" t="str">
        <f>INDEX(Table2[[HomeTeam]:[Group_details]],ROWS($N$2:S171),COLUMNS($N$2:S171))</f>
        <v>Group stages</v>
      </c>
      <c r="V171" s="1" t="b">
        <f t="shared" si="2"/>
        <v>0</v>
      </c>
      <c r="W171" s="1" t="str">
        <f>IF(V171=TRUE,ROWS($V$2:V171),"")</f>
        <v/>
      </c>
      <c r="X171" s="1" t="str">
        <f>IFERROR(SMALL($W$2:$W$853,ROWS($W$2:W171)),"")</f>
        <v/>
      </c>
      <c r="Y171" s="1" t="str">
        <f>IF($X171&lt;&gt;"",INDEX($P$2:$U$853,MATCH($X171,$W$2:$W$853,0),COLUMNS($X$2:X171)),"")</f>
        <v/>
      </c>
      <c r="Z171" s="1" t="str">
        <f>IF($X171&lt;&gt;"",INDEX($P$2:$U$853,MATCH($X171,$W$2:$W$853,0),COLUMNS($X$2:Y171)),"")</f>
        <v/>
      </c>
      <c r="AA171" s="1" t="str">
        <f>IF($X171&lt;&gt;"",INDEX($P$2:$U$853,MATCH($X171,$W$2:$W$853,0),COLUMNS($X$2:Z171)),"")</f>
        <v/>
      </c>
      <c r="AB171" s="1" t="str">
        <f>IF($X171&lt;&gt;"",INDEX($P$2:$U$853,MATCH($X171,$W$2:$W$853,0),COLUMNS($X$2:AA171)),"")</f>
        <v/>
      </c>
      <c r="AC171" s="1" t="str">
        <f>IF($X171&lt;&gt;"",INDEX($P$2:$U$853,MATCH($X171,$W$2:$W$853,0),COLUMNS($X$2:AB171)),"")</f>
        <v/>
      </c>
      <c r="AD171" s="1" t="str">
        <f>IF($X171&lt;&gt;"",INDEX($P$2:$U$853,MATCH($X171,$W$2:$W$853,0),COLUMNS($X$2:AC171)),"")</f>
        <v/>
      </c>
    </row>
    <row r="172" spans="1:30" x14ac:dyDescent="0.2">
      <c r="A172" s="1">
        <v>1966</v>
      </c>
      <c r="B172" s="2">
        <v>24300</v>
      </c>
      <c r="C172" s="1" t="s">
        <v>522</v>
      </c>
      <c r="D172" s="1" t="s">
        <v>22</v>
      </c>
      <c r="E172" s="1" t="s">
        <v>163</v>
      </c>
      <c r="F172" s="1" t="s">
        <v>164</v>
      </c>
      <c r="G172" s="6" t="str">
        <f>VLOOKUP(A172,WorldCups!$A$2:$B$23,2,FALSE)</f>
        <v>England</v>
      </c>
      <c r="H172" s="1" t="s">
        <v>21</v>
      </c>
      <c r="I172" s="1">
        <v>2</v>
      </c>
      <c r="J172" s="1">
        <v>0</v>
      </c>
      <c r="K172" s="1" t="s">
        <v>156</v>
      </c>
      <c r="L172" s="1" t="s">
        <v>14</v>
      </c>
      <c r="M172" s="1" t="str">
        <f>IF(ISNUMBER(SEARCH("Group",Table2[[#This Row],[Round]])),"Group stages",Table2[[#This Row],[Round]])</f>
        <v>Group stages</v>
      </c>
      <c r="O172" s="1">
        <f>Table2[[#This Row],[Year]]</f>
        <v>1966</v>
      </c>
      <c r="P172" s="1" t="str">
        <f>INDEX(Table2[[HomeTeam]:[Group_details]],ROWS($N$2:N172),COLUMNS($N$2:N172))</f>
        <v>Brazil</v>
      </c>
      <c r="Q172" s="1">
        <f>INDEX(Table2[[HomeTeam]:[Group_details]],ROWS($N$2:O172),COLUMNS($N$2:O172))</f>
        <v>2</v>
      </c>
      <c r="R172" s="1">
        <f>INDEX(Table2[[HomeTeam]:[Group_details]],ROWS($N$2:P172),COLUMNS($N$2:P172))</f>
        <v>0</v>
      </c>
      <c r="S172" s="1" t="str">
        <f>INDEX(Table2[[HomeTeam]:[Group_details]],ROWS($N$2:Q172),COLUMNS($N$2:Q172))</f>
        <v>Bulgaria</v>
      </c>
      <c r="T172" s="1" t="str">
        <f>INDEX(Table2[[HomeTeam]:[Group_details]],ROWS($N$2:R172),COLUMNS($N$2:R172))</f>
        <v xml:space="preserve"> </v>
      </c>
      <c r="U172" s="1" t="str">
        <f>INDEX(Table2[[HomeTeam]:[Group_details]],ROWS($N$2:S172),COLUMNS($N$2:S172))</f>
        <v>Group stages</v>
      </c>
      <c r="V172" s="1" t="b">
        <f t="shared" si="2"/>
        <v>0</v>
      </c>
      <c r="W172" s="1" t="str">
        <f>IF(V172=TRUE,ROWS($V$2:V172),"")</f>
        <v/>
      </c>
      <c r="X172" s="1" t="str">
        <f>IFERROR(SMALL($W$2:$W$853,ROWS($W$2:W172)),"")</f>
        <v/>
      </c>
      <c r="Y172" s="1" t="str">
        <f>IF($X172&lt;&gt;"",INDEX($P$2:$U$853,MATCH($X172,$W$2:$W$853,0),COLUMNS($X$2:X172)),"")</f>
        <v/>
      </c>
      <c r="Z172" s="1" t="str">
        <f>IF($X172&lt;&gt;"",INDEX($P$2:$U$853,MATCH($X172,$W$2:$W$853,0),COLUMNS($X$2:Y172)),"")</f>
        <v/>
      </c>
      <c r="AA172" s="1" t="str">
        <f>IF($X172&lt;&gt;"",INDEX($P$2:$U$853,MATCH($X172,$W$2:$W$853,0),COLUMNS($X$2:Z172)),"")</f>
        <v/>
      </c>
      <c r="AB172" s="1" t="str">
        <f>IF($X172&lt;&gt;"",INDEX($P$2:$U$853,MATCH($X172,$W$2:$W$853,0),COLUMNS($X$2:AA172)),"")</f>
        <v/>
      </c>
      <c r="AC172" s="1" t="str">
        <f>IF($X172&lt;&gt;"",INDEX($P$2:$U$853,MATCH($X172,$W$2:$W$853,0),COLUMNS($X$2:AB172)),"")</f>
        <v/>
      </c>
      <c r="AD172" s="1" t="str">
        <f>IF($X172&lt;&gt;"",INDEX($P$2:$U$853,MATCH($X172,$W$2:$W$853,0),COLUMNS($X$2:AC172)),"")</f>
        <v/>
      </c>
    </row>
    <row r="173" spans="1:30" x14ac:dyDescent="0.2">
      <c r="A173" s="1">
        <v>1966</v>
      </c>
      <c r="B173" s="2">
        <v>24300</v>
      </c>
      <c r="C173" s="1" t="s">
        <v>522</v>
      </c>
      <c r="D173" s="1" t="s">
        <v>15</v>
      </c>
      <c r="E173" s="1" t="s">
        <v>165</v>
      </c>
      <c r="F173" s="1" t="s">
        <v>166</v>
      </c>
      <c r="G173" s="6" t="str">
        <f>VLOOKUP(A173,WorldCups!$A$2:$B$23,2,FALSE)</f>
        <v>England</v>
      </c>
      <c r="H173" s="1" t="s">
        <v>126</v>
      </c>
      <c r="I173" s="1">
        <v>3</v>
      </c>
      <c r="J173" s="1">
        <v>0</v>
      </c>
      <c r="K173" s="1" t="s">
        <v>167</v>
      </c>
      <c r="L173" s="1" t="s">
        <v>14</v>
      </c>
      <c r="M173" s="1" t="str">
        <f>IF(ISNUMBER(SEARCH("Group",Table2[[#This Row],[Round]])),"Group stages",Table2[[#This Row],[Round]])</f>
        <v>Group stages</v>
      </c>
      <c r="O173" s="1">
        <f>Table2[[#This Row],[Year]]</f>
        <v>1966</v>
      </c>
      <c r="P173" s="1" t="str">
        <f>INDEX(Table2[[HomeTeam]:[Group_details]],ROWS($N$2:N173),COLUMNS($N$2:N173))</f>
        <v>Soviet Union</v>
      </c>
      <c r="Q173" s="1">
        <f>INDEX(Table2[[HomeTeam]:[Group_details]],ROWS($N$2:O173),COLUMNS($N$2:O173))</f>
        <v>3</v>
      </c>
      <c r="R173" s="1">
        <f>INDEX(Table2[[HomeTeam]:[Group_details]],ROWS($N$2:P173),COLUMNS($N$2:P173))</f>
        <v>0</v>
      </c>
      <c r="S173" s="1" t="str">
        <f>INDEX(Table2[[HomeTeam]:[Group_details]],ROWS($N$2:Q173),COLUMNS($N$2:Q173))</f>
        <v>Korea DPR</v>
      </c>
      <c r="T173" s="1" t="str">
        <f>INDEX(Table2[[HomeTeam]:[Group_details]],ROWS($N$2:R173),COLUMNS($N$2:R173))</f>
        <v xml:space="preserve"> </v>
      </c>
      <c r="U173" s="1" t="str">
        <f>INDEX(Table2[[HomeTeam]:[Group_details]],ROWS($N$2:S173),COLUMNS($N$2:S173))</f>
        <v>Group stages</v>
      </c>
      <c r="V173" s="1" t="b">
        <f t="shared" si="2"/>
        <v>0</v>
      </c>
      <c r="W173" s="1" t="str">
        <f>IF(V173=TRUE,ROWS($V$2:V173),"")</f>
        <v/>
      </c>
      <c r="X173" s="1" t="str">
        <f>IFERROR(SMALL($W$2:$W$853,ROWS($W$2:W173)),"")</f>
        <v/>
      </c>
      <c r="Y173" s="1" t="str">
        <f>IF($X173&lt;&gt;"",INDEX($P$2:$U$853,MATCH($X173,$W$2:$W$853,0),COLUMNS($X$2:X173)),"")</f>
        <v/>
      </c>
      <c r="Z173" s="1" t="str">
        <f>IF($X173&lt;&gt;"",INDEX($P$2:$U$853,MATCH($X173,$W$2:$W$853,0),COLUMNS($X$2:Y173)),"")</f>
        <v/>
      </c>
      <c r="AA173" s="1" t="str">
        <f>IF($X173&lt;&gt;"",INDEX($P$2:$U$853,MATCH($X173,$W$2:$W$853,0),COLUMNS($X$2:Z173)),"")</f>
        <v/>
      </c>
      <c r="AB173" s="1" t="str">
        <f>IF($X173&lt;&gt;"",INDEX($P$2:$U$853,MATCH($X173,$W$2:$W$853,0),COLUMNS($X$2:AA173)),"")</f>
        <v/>
      </c>
      <c r="AC173" s="1" t="str">
        <f>IF($X173&lt;&gt;"",INDEX($P$2:$U$853,MATCH($X173,$W$2:$W$853,0),COLUMNS($X$2:AB173)),"")</f>
        <v/>
      </c>
      <c r="AD173" s="1" t="str">
        <f>IF($X173&lt;&gt;"",INDEX($P$2:$U$853,MATCH($X173,$W$2:$W$853,0),COLUMNS($X$2:AC173)),"")</f>
        <v/>
      </c>
    </row>
    <row r="174" spans="1:30" x14ac:dyDescent="0.2">
      <c r="A174" s="1">
        <v>1966</v>
      </c>
      <c r="B174" s="2">
        <v>24301</v>
      </c>
      <c r="C174" s="1" t="s">
        <v>522</v>
      </c>
      <c r="D174" s="1" t="s">
        <v>9</v>
      </c>
      <c r="E174" s="1" t="s">
        <v>159</v>
      </c>
      <c r="F174" s="1" t="s">
        <v>160</v>
      </c>
      <c r="G174" s="6" t="str">
        <f>VLOOKUP(A174,WorldCups!$A$2:$B$23,2,FALSE)</f>
        <v>England</v>
      </c>
      <c r="H174" s="1" t="s">
        <v>12</v>
      </c>
      <c r="I174" s="1">
        <v>1</v>
      </c>
      <c r="J174" s="1">
        <v>1</v>
      </c>
      <c r="K174" s="1" t="s">
        <v>13</v>
      </c>
      <c r="L174" s="1" t="s">
        <v>14</v>
      </c>
      <c r="M174" s="1" t="str">
        <f>IF(ISNUMBER(SEARCH("Group",Table2[[#This Row],[Round]])),"Group stages",Table2[[#This Row],[Round]])</f>
        <v>Group stages</v>
      </c>
      <c r="O174" s="1">
        <f>Table2[[#This Row],[Year]]</f>
        <v>1966</v>
      </c>
      <c r="P174" s="1" t="str">
        <f>INDEX(Table2[[HomeTeam]:[Group_details]],ROWS($N$2:N174),COLUMNS($N$2:N174))</f>
        <v>France</v>
      </c>
      <c r="Q174" s="1">
        <f>INDEX(Table2[[HomeTeam]:[Group_details]],ROWS($N$2:O174),COLUMNS($N$2:O174))</f>
        <v>1</v>
      </c>
      <c r="R174" s="1">
        <f>INDEX(Table2[[HomeTeam]:[Group_details]],ROWS($N$2:P174),COLUMNS($N$2:P174))</f>
        <v>1</v>
      </c>
      <c r="S174" s="1" t="str">
        <f>INDEX(Table2[[HomeTeam]:[Group_details]],ROWS($N$2:Q174),COLUMNS($N$2:Q174))</f>
        <v>Mexico</v>
      </c>
      <c r="T174" s="1" t="str">
        <f>INDEX(Table2[[HomeTeam]:[Group_details]],ROWS($N$2:R174),COLUMNS($N$2:R174))</f>
        <v xml:space="preserve"> </v>
      </c>
      <c r="U174" s="1" t="str">
        <f>INDEX(Table2[[HomeTeam]:[Group_details]],ROWS($N$2:S174),COLUMNS($N$2:S174))</f>
        <v>Group stages</v>
      </c>
      <c r="V174" s="1" t="b">
        <f t="shared" si="2"/>
        <v>0</v>
      </c>
      <c r="W174" s="1" t="str">
        <f>IF(V174=TRUE,ROWS($V$2:V174),"")</f>
        <v/>
      </c>
      <c r="X174" s="1" t="str">
        <f>IFERROR(SMALL($W$2:$W$853,ROWS($W$2:W174)),"")</f>
        <v/>
      </c>
      <c r="Y174" s="1" t="str">
        <f>IF($X174&lt;&gt;"",INDEX($P$2:$U$853,MATCH($X174,$W$2:$W$853,0),COLUMNS($X$2:X174)),"")</f>
        <v/>
      </c>
      <c r="Z174" s="1" t="str">
        <f>IF($X174&lt;&gt;"",INDEX($P$2:$U$853,MATCH($X174,$W$2:$W$853,0),COLUMNS($X$2:Y174)),"")</f>
        <v/>
      </c>
      <c r="AA174" s="1" t="str">
        <f>IF($X174&lt;&gt;"",INDEX($P$2:$U$853,MATCH($X174,$W$2:$W$853,0),COLUMNS($X$2:Z174)),"")</f>
        <v/>
      </c>
      <c r="AB174" s="1" t="str">
        <f>IF($X174&lt;&gt;"",INDEX($P$2:$U$853,MATCH($X174,$W$2:$W$853,0),COLUMNS($X$2:AA174)),"")</f>
        <v/>
      </c>
      <c r="AC174" s="1" t="str">
        <f>IF($X174&lt;&gt;"",INDEX($P$2:$U$853,MATCH($X174,$W$2:$W$853,0),COLUMNS($X$2:AB174)),"")</f>
        <v/>
      </c>
      <c r="AD174" s="1" t="str">
        <f>IF($X174&lt;&gt;"",INDEX($P$2:$U$853,MATCH($X174,$W$2:$W$853,0),COLUMNS($X$2:AC174)),"")</f>
        <v/>
      </c>
    </row>
    <row r="175" spans="1:30" x14ac:dyDescent="0.2">
      <c r="A175" s="1">
        <v>1966</v>
      </c>
      <c r="B175" s="2">
        <v>24301</v>
      </c>
      <c r="C175" s="1" t="s">
        <v>522</v>
      </c>
      <c r="D175" s="1" t="s">
        <v>22</v>
      </c>
      <c r="E175" s="1" t="s">
        <v>168</v>
      </c>
      <c r="F175" s="1" t="s">
        <v>169</v>
      </c>
      <c r="G175" s="6" t="str">
        <f>VLOOKUP(A175,WorldCups!$A$2:$B$23,2,FALSE)</f>
        <v>England</v>
      </c>
      <c r="H175" s="1" t="s">
        <v>170</v>
      </c>
      <c r="I175" s="1">
        <v>3</v>
      </c>
      <c r="J175" s="1">
        <v>1</v>
      </c>
      <c r="K175" s="1" t="s">
        <v>40</v>
      </c>
      <c r="L175" s="1" t="s">
        <v>14</v>
      </c>
      <c r="M175" s="1" t="str">
        <f>IF(ISNUMBER(SEARCH("Group",Table2[[#This Row],[Round]])),"Group stages",Table2[[#This Row],[Round]])</f>
        <v>Group stages</v>
      </c>
      <c r="O175" s="1">
        <f>Table2[[#This Row],[Year]]</f>
        <v>1966</v>
      </c>
      <c r="P175" s="1" t="str">
        <f>INDEX(Table2[[HomeTeam]:[Group_details]],ROWS($N$2:N175),COLUMNS($N$2:N175))</f>
        <v>Portugal</v>
      </c>
      <c r="Q175" s="1">
        <f>INDEX(Table2[[HomeTeam]:[Group_details]],ROWS($N$2:O175),COLUMNS($N$2:O175))</f>
        <v>3</v>
      </c>
      <c r="R175" s="1">
        <f>INDEX(Table2[[HomeTeam]:[Group_details]],ROWS($N$2:P175),COLUMNS($N$2:P175))</f>
        <v>1</v>
      </c>
      <c r="S175" s="1" t="str">
        <f>INDEX(Table2[[HomeTeam]:[Group_details]],ROWS($N$2:Q175),COLUMNS($N$2:Q175))</f>
        <v>Hungary</v>
      </c>
      <c r="T175" s="1" t="str">
        <f>INDEX(Table2[[HomeTeam]:[Group_details]],ROWS($N$2:R175),COLUMNS($N$2:R175))</f>
        <v xml:space="preserve"> </v>
      </c>
      <c r="U175" s="1" t="str">
        <f>INDEX(Table2[[HomeTeam]:[Group_details]],ROWS($N$2:S175),COLUMNS($N$2:S175))</f>
        <v>Group stages</v>
      </c>
      <c r="V175" s="1" t="b">
        <f t="shared" si="2"/>
        <v>0</v>
      </c>
      <c r="W175" s="1" t="str">
        <f>IF(V175=TRUE,ROWS($V$2:V175),"")</f>
        <v/>
      </c>
      <c r="X175" s="1" t="str">
        <f>IFERROR(SMALL($W$2:$W$853,ROWS($W$2:W175)),"")</f>
        <v/>
      </c>
      <c r="Y175" s="1" t="str">
        <f>IF($X175&lt;&gt;"",INDEX($P$2:$U$853,MATCH($X175,$W$2:$W$853,0),COLUMNS($X$2:X175)),"")</f>
        <v/>
      </c>
      <c r="Z175" s="1" t="str">
        <f>IF($X175&lt;&gt;"",INDEX($P$2:$U$853,MATCH($X175,$W$2:$W$853,0),COLUMNS($X$2:Y175)),"")</f>
        <v/>
      </c>
      <c r="AA175" s="1" t="str">
        <f>IF($X175&lt;&gt;"",INDEX($P$2:$U$853,MATCH($X175,$W$2:$W$853,0),COLUMNS($X$2:Z175)),"")</f>
        <v/>
      </c>
      <c r="AB175" s="1" t="str">
        <f>IF($X175&lt;&gt;"",INDEX($P$2:$U$853,MATCH($X175,$W$2:$W$853,0),COLUMNS($X$2:AA175)),"")</f>
        <v/>
      </c>
      <c r="AC175" s="1" t="str">
        <f>IF($X175&lt;&gt;"",INDEX($P$2:$U$853,MATCH($X175,$W$2:$W$853,0),COLUMNS($X$2:AB175)),"")</f>
        <v/>
      </c>
      <c r="AD175" s="1" t="str">
        <f>IF($X175&lt;&gt;"",INDEX($P$2:$U$853,MATCH($X175,$W$2:$W$853,0),COLUMNS($X$2:AC175)),"")</f>
        <v/>
      </c>
    </row>
    <row r="176" spans="1:30" x14ac:dyDescent="0.2">
      <c r="A176" s="1">
        <v>1966</v>
      </c>
      <c r="B176" s="2">
        <v>24301</v>
      </c>
      <c r="C176" s="1" t="s">
        <v>522</v>
      </c>
      <c r="D176" s="1" t="s">
        <v>19</v>
      </c>
      <c r="E176" s="1" t="s">
        <v>171</v>
      </c>
      <c r="F176" s="1" t="s">
        <v>172</v>
      </c>
      <c r="G176" s="6" t="str">
        <f>VLOOKUP(A176,WorldCups!$A$2:$B$23,2,FALSE)</f>
        <v>England</v>
      </c>
      <c r="H176" s="1" t="s">
        <v>25</v>
      </c>
      <c r="I176" s="1">
        <v>2</v>
      </c>
      <c r="J176" s="1">
        <v>1</v>
      </c>
      <c r="K176" s="1" t="s">
        <v>54</v>
      </c>
      <c r="L176" s="1" t="s">
        <v>14</v>
      </c>
      <c r="M176" s="1" t="str">
        <f>IF(ISNUMBER(SEARCH("Group",Table2[[#This Row],[Round]])),"Group stages",Table2[[#This Row],[Round]])</f>
        <v>Group stages</v>
      </c>
      <c r="O176" s="1">
        <f>Table2[[#This Row],[Year]]</f>
        <v>1966</v>
      </c>
      <c r="P176" s="1" t="str">
        <f>INDEX(Table2[[HomeTeam]:[Group_details]],ROWS($N$2:N176),COLUMNS($N$2:N176))</f>
        <v>Argentina</v>
      </c>
      <c r="Q176" s="1">
        <f>INDEX(Table2[[HomeTeam]:[Group_details]],ROWS($N$2:O176),COLUMNS($N$2:O176))</f>
        <v>2</v>
      </c>
      <c r="R176" s="1">
        <f>INDEX(Table2[[HomeTeam]:[Group_details]],ROWS($N$2:P176),COLUMNS($N$2:P176))</f>
        <v>1</v>
      </c>
      <c r="S176" s="1" t="str">
        <f>INDEX(Table2[[HomeTeam]:[Group_details]],ROWS($N$2:Q176),COLUMNS($N$2:Q176))</f>
        <v>Spain</v>
      </c>
      <c r="T176" s="1" t="str">
        <f>INDEX(Table2[[HomeTeam]:[Group_details]],ROWS($N$2:R176),COLUMNS($N$2:R176))</f>
        <v xml:space="preserve"> </v>
      </c>
      <c r="U176" s="1" t="str">
        <f>INDEX(Table2[[HomeTeam]:[Group_details]],ROWS($N$2:S176),COLUMNS($N$2:S176))</f>
        <v>Group stages</v>
      </c>
      <c r="V176" s="1" t="b">
        <f t="shared" si="2"/>
        <v>0</v>
      </c>
      <c r="W176" s="1" t="str">
        <f>IF(V176=TRUE,ROWS($V$2:V176),"")</f>
        <v/>
      </c>
      <c r="X176" s="1" t="str">
        <f>IFERROR(SMALL($W$2:$W$853,ROWS($W$2:W176)),"")</f>
        <v/>
      </c>
      <c r="Y176" s="1" t="str">
        <f>IF($X176&lt;&gt;"",INDEX($P$2:$U$853,MATCH($X176,$W$2:$W$853,0),COLUMNS($X$2:X176)),"")</f>
        <v/>
      </c>
      <c r="Z176" s="1" t="str">
        <f>IF($X176&lt;&gt;"",INDEX($P$2:$U$853,MATCH($X176,$W$2:$W$853,0),COLUMNS($X$2:Y176)),"")</f>
        <v/>
      </c>
      <c r="AA176" s="1" t="str">
        <f>IF($X176&lt;&gt;"",INDEX($P$2:$U$853,MATCH($X176,$W$2:$W$853,0),COLUMNS($X$2:Z176)),"")</f>
        <v/>
      </c>
      <c r="AB176" s="1" t="str">
        <f>IF($X176&lt;&gt;"",INDEX($P$2:$U$853,MATCH($X176,$W$2:$W$853,0),COLUMNS($X$2:AA176)),"")</f>
        <v/>
      </c>
      <c r="AC176" s="1" t="str">
        <f>IF($X176&lt;&gt;"",INDEX($P$2:$U$853,MATCH($X176,$W$2:$W$853,0),COLUMNS($X$2:AB176)),"")</f>
        <v/>
      </c>
      <c r="AD176" s="1" t="str">
        <f>IF($X176&lt;&gt;"",INDEX($P$2:$U$853,MATCH($X176,$W$2:$W$853,0),COLUMNS($X$2:AC176)),"")</f>
        <v/>
      </c>
    </row>
    <row r="177" spans="1:30" x14ac:dyDescent="0.2">
      <c r="A177" s="1">
        <v>1966</v>
      </c>
      <c r="B177" s="2">
        <v>24301</v>
      </c>
      <c r="C177" s="1" t="s">
        <v>522</v>
      </c>
      <c r="D177" s="1" t="s">
        <v>15</v>
      </c>
      <c r="E177" s="1" t="s">
        <v>173</v>
      </c>
      <c r="F177" s="1" t="s">
        <v>174</v>
      </c>
      <c r="G177" s="6" t="str">
        <f>VLOOKUP(A177,WorldCups!$A$2:$B$23,2,FALSE)</f>
        <v>England</v>
      </c>
      <c r="H177" s="1" t="s">
        <v>57</v>
      </c>
      <c r="I177" s="1">
        <v>2</v>
      </c>
      <c r="J177" s="1">
        <v>0</v>
      </c>
      <c r="K177" s="1" t="s">
        <v>26</v>
      </c>
      <c r="L177" s="1" t="s">
        <v>14</v>
      </c>
      <c r="M177" s="1" t="str">
        <f>IF(ISNUMBER(SEARCH("Group",Table2[[#This Row],[Round]])),"Group stages",Table2[[#This Row],[Round]])</f>
        <v>Group stages</v>
      </c>
      <c r="O177" s="1">
        <f>Table2[[#This Row],[Year]]</f>
        <v>1966</v>
      </c>
      <c r="P177" s="1" t="str">
        <f>INDEX(Table2[[HomeTeam]:[Group_details]],ROWS($N$2:N177),COLUMNS($N$2:N177))</f>
        <v>Italy</v>
      </c>
      <c r="Q177" s="1">
        <f>INDEX(Table2[[HomeTeam]:[Group_details]],ROWS($N$2:O177),COLUMNS($N$2:O177))</f>
        <v>2</v>
      </c>
      <c r="R177" s="1">
        <f>INDEX(Table2[[HomeTeam]:[Group_details]],ROWS($N$2:P177),COLUMNS($N$2:P177))</f>
        <v>0</v>
      </c>
      <c r="S177" s="1" t="str">
        <f>INDEX(Table2[[HomeTeam]:[Group_details]],ROWS($N$2:Q177),COLUMNS($N$2:Q177))</f>
        <v>Chile</v>
      </c>
      <c r="T177" s="1" t="str">
        <f>INDEX(Table2[[HomeTeam]:[Group_details]],ROWS($N$2:R177),COLUMNS($N$2:R177))</f>
        <v xml:space="preserve"> </v>
      </c>
      <c r="U177" s="1" t="str">
        <f>INDEX(Table2[[HomeTeam]:[Group_details]],ROWS($N$2:S177),COLUMNS($N$2:S177))</f>
        <v>Group stages</v>
      </c>
      <c r="V177" s="1" t="b">
        <f t="shared" si="2"/>
        <v>0</v>
      </c>
      <c r="W177" s="1" t="str">
        <f>IF(V177=TRUE,ROWS($V$2:V177),"")</f>
        <v/>
      </c>
      <c r="X177" s="1" t="str">
        <f>IFERROR(SMALL($W$2:$W$853,ROWS($W$2:W177)),"")</f>
        <v/>
      </c>
      <c r="Y177" s="1" t="str">
        <f>IF($X177&lt;&gt;"",INDEX($P$2:$U$853,MATCH($X177,$W$2:$W$853,0),COLUMNS($X$2:X177)),"")</f>
        <v/>
      </c>
      <c r="Z177" s="1" t="str">
        <f>IF($X177&lt;&gt;"",INDEX($P$2:$U$853,MATCH($X177,$W$2:$W$853,0),COLUMNS($X$2:Y177)),"")</f>
        <v/>
      </c>
      <c r="AA177" s="1" t="str">
        <f>IF($X177&lt;&gt;"",INDEX($P$2:$U$853,MATCH($X177,$W$2:$W$853,0),COLUMNS($X$2:Z177)),"")</f>
        <v/>
      </c>
      <c r="AB177" s="1" t="str">
        <f>IF($X177&lt;&gt;"",INDEX($P$2:$U$853,MATCH($X177,$W$2:$W$853,0),COLUMNS($X$2:AA177)),"")</f>
        <v/>
      </c>
      <c r="AC177" s="1" t="str">
        <f>IF($X177&lt;&gt;"",INDEX($P$2:$U$853,MATCH($X177,$W$2:$W$853,0),COLUMNS($X$2:AB177)),"")</f>
        <v/>
      </c>
      <c r="AD177" s="1" t="str">
        <f>IF($X177&lt;&gt;"",INDEX($P$2:$U$853,MATCH($X177,$W$2:$W$853,0),COLUMNS($X$2:AC177)),"")</f>
        <v/>
      </c>
    </row>
    <row r="178" spans="1:30" x14ac:dyDescent="0.2">
      <c r="A178" s="1">
        <v>1966</v>
      </c>
      <c r="B178" s="2">
        <v>24303</v>
      </c>
      <c r="C178" s="1" t="s">
        <v>522</v>
      </c>
      <c r="D178" s="1" t="s">
        <v>9</v>
      </c>
      <c r="E178" s="1" t="s">
        <v>175</v>
      </c>
      <c r="F178" s="1" t="s">
        <v>160</v>
      </c>
      <c r="G178" s="6" t="str">
        <f>VLOOKUP(A178,WorldCups!$A$2:$B$23,2,FALSE)</f>
        <v>England</v>
      </c>
      <c r="H178" s="1" t="s">
        <v>30</v>
      </c>
      <c r="I178" s="1">
        <v>2</v>
      </c>
      <c r="J178" s="1">
        <v>1</v>
      </c>
      <c r="K178" s="1" t="s">
        <v>12</v>
      </c>
      <c r="L178" s="1" t="s">
        <v>14</v>
      </c>
      <c r="M178" s="1" t="str">
        <f>IF(ISNUMBER(SEARCH("Group",Table2[[#This Row],[Round]])),"Group stages",Table2[[#This Row],[Round]])</f>
        <v>Group stages</v>
      </c>
      <c r="O178" s="1">
        <f>Table2[[#This Row],[Year]]</f>
        <v>1966</v>
      </c>
      <c r="P178" s="1" t="str">
        <f>INDEX(Table2[[HomeTeam]:[Group_details]],ROWS($N$2:N178),COLUMNS($N$2:N178))</f>
        <v>Uruguay</v>
      </c>
      <c r="Q178" s="1">
        <f>INDEX(Table2[[HomeTeam]:[Group_details]],ROWS($N$2:O178),COLUMNS($N$2:O178))</f>
        <v>2</v>
      </c>
      <c r="R178" s="1">
        <f>INDEX(Table2[[HomeTeam]:[Group_details]],ROWS($N$2:P178),COLUMNS($N$2:P178))</f>
        <v>1</v>
      </c>
      <c r="S178" s="1" t="str">
        <f>INDEX(Table2[[HomeTeam]:[Group_details]],ROWS($N$2:Q178),COLUMNS($N$2:Q178))</f>
        <v>France</v>
      </c>
      <c r="T178" s="1" t="str">
        <f>INDEX(Table2[[HomeTeam]:[Group_details]],ROWS($N$2:R178),COLUMNS($N$2:R178))</f>
        <v xml:space="preserve"> </v>
      </c>
      <c r="U178" s="1" t="str">
        <f>INDEX(Table2[[HomeTeam]:[Group_details]],ROWS($N$2:S178),COLUMNS($N$2:S178))</f>
        <v>Group stages</v>
      </c>
      <c r="V178" s="1" t="b">
        <f t="shared" si="2"/>
        <v>0</v>
      </c>
      <c r="W178" s="1" t="str">
        <f>IF(V178=TRUE,ROWS($V$2:V178),"")</f>
        <v/>
      </c>
      <c r="X178" s="1" t="str">
        <f>IFERROR(SMALL($W$2:$W$853,ROWS($W$2:W178)),"")</f>
        <v/>
      </c>
      <c r="Y178" s="1" t="str">
        <f>IF($X178&lt;&gt;"",INDEX($P$2:$U$853,MATCH($X178,$W$2:$W$853,0),COLUMNS($X$2:X178)),"")</f>
        <v/>
      </c>
      <c r="Z178" s="1" t="str">
        <f>IF($X178&lt;&gt;"",INDEX($P$2:$U$853,MATCH($X178,$W$2:$W$853,0),COLUMNS($X$2:Y178)),"")</f>
        <v/>
      </c>
      <c r="AA178" s="1" t="str">
        <f>IF($X178&lt;&gt;"",INDEX($P$2:$U$853,MATCH($X178,$W$2:$W$853,0),COLUMNS($X$2:Z178)),"")</f>
        <v/>
      </c>
      <c r="AB178" s="1" t="str">
        <f>IF($X178&lt;&gt;"",INDEX($P$2:$U$853,MATCH($X178,$W$2:$W$853,0),COLUMNS($X$2:AA178)),"")</f>
        <v/>
      </c>
      <c r="AC178" s="1" t="str">
        <f>IF($X178&lt;&gt;"",INDEX($P$2:$U$853,MATCH($X178,$W$2:$W$853,0),COLUMNS($X$2:AB178)),"")</f>
        <v/>
      </c>
      <c r="AD178" s="1" t="str">
        <f>IF($X178&lt;&gt;"",INDEX($P$2:$U$853,MATCH($X178,$W$2:$W$853,0),COLUMNS($X$2:AC178)),"")</f>
        <v/>
      </c>
    </row>
    <row r="179" spans="1:30" x14ac:dyDescent="0.2">
      <c r="A179" s="1">
        <v>1966</v>
      </c>
      <c r="B179" s="2">
        <v>24303</v>
      </c>
      <c r="C179" s="1" t="s">
        <v>522</v>
      </c>
      <c r="D179" s="1" t="s">
        <v>19</v>
      </c>
      <c r="E179" s="1" t="s">
        <v>161</v>
      </c>
      <c r="F179" s="1" t="s">
        <v>162</v>
      </c>
      <c r="G179" s="6" t="str">
        <f>VLOOKUP(A179,WorldCups!$A$2:$B$23,2,FALSE)</f>
        <v>England</v>
      </c>
      <c r="H179" s="1" t="s">
        <v>54</v>
      </c>
      <c r="I179" s="1">
        <v>2</v>
      </c>
      <c r="J179" s="1">
        <v>1</v>
      </c>
      <c r="K179" s="1" t="s">
        <v>44</v>
      </c>
      <c r="L179" s="1" t="s">
        <v>14</v>
      </c>
      <c r="M179" s="1" t="str">
        <f>IF(ISNUMBER(SEARCH("Group",Table2[[#This Row],[Round]])),"Group stages",Table2[[#This Row],[Round]])</f>
        <v>Group stages</v>
      </c>
      <c r="O179" s="1">
        <f>Table2[[#This Row],[Year]]</f>
        <v>1966</v>
      </c>
      <c r="P179" s="1" t="str">
        <f>INDEX(Table2[[HomeTeam]:[Group_details]],ROWS($N$2:N179),COLUMNS($N$2:N179))</f>
        <v>Spain</v>
      </c>
      <c r="Q179" s="1">
        <f>INDEX(Table2[[HomeTeam]:[Group_details]],ROWS($N$2:O179),COLUMNS($N$2:O179))</f>
        <v>2</v>
      </c>
      <c r="R179" s="1">
        <f>INDEX(Table2[[HomeTeam]:[Group_details]],ROWS($N$2:P179),COLUMNS($N$2:P179))</f>
        <v>1</v>
      </c>
      <c r="S179" s="1" t="str">
        <f>INDEX(Table2[[HomeTeam]:[Group_details]],ROWS($N$2:Q179),COLUMNS($N$2:Q179))</f>
        <v>Switzerland</v>
      </c>
      <c r="T179" s="1" t="str">
        <f>INDEX(Table2[[HomeTeam]:[Group_details]],ROWS($N$2:R179),COLUMNS($N$2:R179))</f>
        <v xml:space="preserve"> </v>
      </c>
      <c r="U179" s="1" t="str">
        <f>INDEX(Table2[[HomeTeam]:[Group_details]],ROWS($N$2:S179),COLUMNS($N$2:S179))</f>
        <v>Group stages</v>
      </c>
      <c r="V179" s="1" t="b">
        <f t="shared" si="2"/>
        <v>0</v>
      </c>
      <c r="W179" s="1" t="str">
        <f>IF(V179=TRUE,ROWS($V$2:V179),"")</f>
        <v/>
      </c>
      <c r="X179" s="1" t="str">
        <f>IFERROR(SMALL($W$2:$W$853,ROWS($W$2:W179)),"")</f>
        <v/>
      </c>
      <c r="Y179" s="1" t="str">
        <f>IF($X179&lt;&gt;"",INDEX($P$2:$U$853,MATCH($X179,$W$2:$W$853,0),COLUMNS($X$2:X179)),"")</f>
        <v/>
      </c>
      <c r="Z179" s="1" t="str">
        <f>IF($X179&lt;&gt;"",INDEX($P$2:$U$853,MATCH($X179,$W$2:$W$853,0),COLUMNS($X$2:Y179)),"")</f>
        <v/>
      </c>
      <c r="AA179" s="1" t="str">
        <f>IF($X179&lt;&gt;"",INDEX($P$2:$U$853,MATCH($X179,$W$2:$W$853,0),COLUMNS($X$2:Z179)),"")</f>
        <v/>
      </c>
      <c r="AB179" s="1" t="str">
        <f>IF($X179&lt;&gt;"",INDEX($P$2:$U$853,MATCH($X179,$W$2:$W$853,0),COLUMNS($X$2:AA179)),"")</f>
        <v/>
      </c>
      <c r="AC179" s="1" t="str">
        <f>IF($X179&lt;&gt;"",INDEX($P$2:$U$853,MATCH($X179,$W$2:$W$853,0),COLUMNS($X$2:AB179)),"")</f>
        <v/>
      </c>
      <c r="AD179" s="1" t="str">
        <f>IF($X179&lt;&gt;"",INDEX($P$2:$U$853,MATCH($X179,$W$2:$W$853,0),COLUMNS($X$2:AC179)),"")</f>
        <v/>
      </c>
    </row>
    <row r="180" spans="1:30" x14ac:dyDescent="0.2">
      <c r="A180" s="1">
        <v>1966</v>
      </c>
      <c r="B180" s="2">
        <v>24303</v>
      </c>
      <c r="C180" s="1" t="s">
        <v>522</v>
      </c>
      <c r="D180" s="1" t="s">
        <v>22</v>
      </c>
      <c r="E180" s="1" t="s">
        <v>163</v>
      </c>
      <c r="F180" s="1" t="s">
        <v>164</v>
      </c>
      <c r="G180" s="6" t="str">
        <f>VLOOKUP(A180,WorldCups!$A$2:$B$23,2,FALSE)</f>
        <v>England</v>
      </c>
      <c r="H180" s="1" t="s">
        <v>40</v>
      </c>
      <c r="I180" s="1">
        <v>3</v>
      </c>
      <c r="J180" s="1">
        <v>1</v>
      </c>
      <c r="K180" s="1" t="s">
        <v>21</v>
      </c>
      <c r="L180" s="1" t="s">
        <v>14</v>
      </c>
      <c r="M180" s="1" t="str">
        <f>IF(ISNUMBER(SEARCH("Group",Table2[[#This Row],[Round]])),"Group stages",Table2[[#This Row],[Round]])</f>
        <v>Group stages</v>
      </c>
      <c r="O180" s="1">
        <f>Table2[[#This Row],[Year]]</f>
        <v>1966</v>
      </c>
      <c r="P180" s="1" t="str">
        <f>INDEX(Table2[[HomeTeam]:[Group_details]],ROWS($N$2:N180),COLUMNS($N$2:N180))</f>
        <v>Hungary</v>
      </c>
      <c r="Q180" s="1">
        <f>INDEX(Table2[[HomeTeam]:[Group_details]],ROWS($N$2:O180),COLUMNS($N$2:O180))</f>
        <v>3</v>
      </c>
      <c r="R180" s="1">
        <f>INDEX(Table2[[HomeTeam]:[Group_details]],ROWS($N$2:P180),COLUMNS($N$2:P180))</f>
        <v>1</v>
      </c>
      <c r="S180" s="1" t="str">
        <f>INDEX(Table2[[HomeTeam]:[Group_details]],ROWS($N$2:Q180),COLUMNS($N$2:Q180))</f>
        <v>Brazil</v>
      </c>
      <c r="T180" s="1" t="str">
        <f>INDEX(Table2[[HomeTeam]:[Group_details]],ROWS($N$2:R180),COLUMNS($N$2:R180))</f>
        <v xml:space="preserve"> </v>
      </c>
      <c r="U180" s="1" t="str">
        <f>INDEX(Table2[[HomeTeam]:[Group_details]],ROWS($N$2:S180),COLUMNS($N$2:S180))</f>
        <v>Group stages</v>
      </c>
      <c r="V180" s="1" t="b">
        <f t="shared" si="2"/>
        <v>0</v>
      </c>
      <c r="W180" s="1" t="str">
        <f>IF(V180=TRUE,ROWS($V$2:V180),"")</f>
        <v/>
      </c>
      <c r="X180" s="1" t="str">
        <f>IFERROR(SMALL($W$2:$W$853,ROWS($W$2:W180)),"")</f>
        <v/>
      </c>
      <c r="Y180" s="1" t="str">
        <f>IF($X180&lt;&gt;"",INDEX($P$2:$U$853,MATCH($X180,$W$2:$W$853,0),COLUMNS($X$2:X180)),"")</f>
        <v/>
      </c>
      <c r="Z180" s="1" t="str">
        <f>IF($X180&lt;&gt;"",INDEX($P$2:$U$853,MATCH($X180,$W$2:$W$853,0),COLUMNS($X$2:Y180)),"")</f>
        <v/>
      </c>
      <c r="AA180" s="1" t="str">
        <f>IF($X180&lt;&gt;"",INDEX($P$2:$U$853,MATCH($X180,$W$2:$W$853,0),COLUMNS($X$2:Z180)),"")</f>
        <v/>
      </c>
      <c r="AB180" s="1" t="str">
        <f>IF($X180&lt;&gt;"",INDEX($P$2:$U$853,MATCH($X180,$W$2:$W$853,0),COLUMNS($X$2:AA180)),"")</f>
        <v/>
      </c>
      <c r="AC180" s="1" t="str">
        <f>IF($X180&lt;&gt;"",INDEX($P$2:$U$853,MATCH($X180,$W$2:$W$853,0),COLUMNS($X$2:AB180)),"")</f>
        <v/>
      </c>
      <c r="AD180" s="1" t="str">
        <f>IF($X180&lt;&gt;"",INDEX($P$2:$U$853,MATCH($X180,$W$2:$W$853,0),COLUMNS($X$2:AC180)),"")</f>
        <v/>
      </c>
    </row>
    <row r="181" spans="1:30" x14ac:dyDescent="0.2">
      <c r="A181" s="1">
        <v>1966</v>
      </c>
      <c r="B181" s="2">
        <v>24303</v>
      </c>
      <c r="C181" s="1" t="s">
        <v>522</v>
      </c>
      <c r="D181" s="1" t="s">
        <v>15</v>
      </c>
      <c r="E181" s="1" t="s">
        <v>165</v>
      </c>
      <c r="F181" s="1" t="s">
        <v>166</v>
      </c>
      <c r="G181" s="6" t="str">
        <f>VLOOKUP(A181,WorldCups!$A$2:$B$23,2,FALSE)</f>
        <v>England</v>
      </c>
      <c r="H181" s="1" t="s">
        <v>167</v>
      </c>
      <c r="I181" s="1">
        <v>1</v>
      </c>
      <c r="J181" s="1">
        <v>1</v>
      </c>
      <c r="K181" s="1" t="s">
        <v>26</v>
      </c>
      <c r="L181" s="1" t="s">
        <v>14</v>
      </c>
      <c r="M181" s="1" t="str">
        <f>IF(ISNUMBER(SEARCH("Group",Table2[[#This Row],[Round]])),"Group stages",Table2[[#This Row],[Round]])</f>
        <v>Group stages</v>
      </c>
      <c r="O181" s="1">
        <f>Table2[[#This Row],[Year]]</f>
        <v>1966</v>
      </c>
      <c r="P181" s="1" t="str">
        <f>INDEX(Table2[[HomeTeam]:[Group_details]],ROWS($N$2:N181),COLUMNS($N$2:N181))</f>
        <v>Korea DPR</v>
      </c>
      <c r="Q181" s="1">
        <f>INDEX(Table2[[HomeTeam]:[Group_details]],ROWS($N$2:O181),COLUMNS($N$2:O181))</f>
        <v>1</v>
      </c>
      <c r="R181" s="1">
        <f>INDEX(Table2[[HomeTeam]:[Group_details]],ROWS($N$2:P181),COLUMNS($N$2:P181))</f>
        <v>1</v>
      </c>
      <c r="S181" s="1" t="str">
        <f>INDEX(Table2[[HomeTeam]:[Group_details]],ROWS($N$2:Q181),COLUMNS($N$2:Q181))</f>
        <v>Chile</v>
      </c>
      <c r="T181" s="1" t="str">
        <f>INDEX(Table2[[HomeTeam]:[Group_details]],ROWS($N$2:R181),COLUMNS($N$2:R181))</f>
        <v xml:space="preserve"> </v>
      </c>
      <c r="U181" s="1" t="str">
        <f>INDEX(Table2[[HomeTeam]:[Group_details]],ROWS($N$2:S181),COLUMNS($N$2:S181))</f>
        <v>Group stages</v>
      </c>
      <c r="V181" s="1" t="b">
        <f t="shared" si="2"/>
        <v>0</v>
      </c>
      <c r="W181" s="1" t="str">
        <f>IF(V181=TRUE,ROWS($V$2:V181),"")</f>
        <v/>
      </c>
      <c r="X181" s="1" t="str">
        <f>IFERROR(SMALL($W$2:$W$853,ROWS($W$2:W181)),"")</f>
        <v/>
      </c>
      <c r="Y181" s="1" t="str">
        <f>IF($X181&lt;&gt;"",INDEX($P$2:$U$853,MATCH($X181,$W$2:$W$853,0),COLUMNS($X$2:X181)),"")</f>
        <v/>
      </c>
      <c r="Z181" s="1" t="str">
        <f>IF($X181&lt;&gt;"",INDEX($P$2:$U$853,MATCH($X181,$W$2:$W$853,0),COLUMNS($X$2:Y181)),"")</f>
        <v/>
      </c>
      <c r="AA181" s="1" t="str">
        <f>IF($X181&lt;&gt;"",INDEX($P$2:$U$853,MATCH($X181,$W$2:$W$853,0),COLUMNS($X$2:Z181)),"")</f>
        <v/>
      </c>
      <c r="AB181" s="1" t="str">
        <f>IF($X181&lt;&gt;"",INDEX($P$2:$U$853,MATCH($X181,$W$2:$W$853,0),COLUMNS($X$2:AA181)),"")</f>
        <v/>
      </c>
      <c r="AC181" s="1" t="str">
        <f>IF($X181&lt;&gt;"",INDEX($P$2:$U$853,MATCH($X181,$W$2:$W$853,0),COLUMNS($X$2:AB181)),"")</f>
        <v/>
      </c>
      <c r="AD181" s="1" t="str">
        <f>IF($X181&lt;&gt;"",INDEX($P$2:$U$853,MATCH($X181,$W$2:$W$853,0),COLUMNS($X$2:AC181)),"")</f>
        <v/>
      </c>
    </row>
    <row r="182" spans="1:30" x14ac:dyDescent="0.2">
      <c r="A182" s="1">
        <v>1966</v>
      </c>
      <c r="B182" s="2">
        <v>24304</v>
      </c>
      <c r="C182" s="1" t="s">
        <v>500</v>
      </c>
      <c r="D182" s="1" t="s">
        <v>22</v>
      </c>
      <c r="E182" s="1" t="s">
        <v>168</v>
      </c>
      <c r="F182" s="1" t="s">
        <v>169</v>
      </c>
      <c r="G182" s="6" t="str">
        <f>VLOOKUP(A182,WorldCups!$A$2:$B$23,2,FALSE)</f>
        <v>England</v>
      </c>
      <c r="H182" s="1" t="s">
        <v>170</v>
      </c>
      <c r="I182" s="1">
        <v>3</v>
      </c>
      <c r="J182" s="1">
        <v>0</v>
      </c>
      <c r="K182" s="1" t="s">
        <v>156</v>
      </c>
      <c r="L182" s="1" t="s">
        <v>14</v>
      </c>
      <c r="M182" s="1" t="str">
        <f>IF(ISNUMBER(SEARCH("Group",Table2[[#This Row],[Round]])),"Group stages",Table2[[#This Row],[Round]])</f>
        <v>Group stages</v>
      </c>
      <c r="O182" s="1">
        <f>Table2[[#This Row],[Year]]</f>
        <v>1966</v>
      </c>
      <c r="P182" s="1" t="str">
        <f>INDEX(Table2[[HomeTeam]:[Group_details]],ROWS($N$2:N182),COLUMNS($N$2:N182))</f>
        <v>Portugal</v>
      </c>
      <c r="Q182" s="1">
        <f>INDEX(Table2[[HomeTeam]:[Group_details]],ROWS($N$2:O182),COLUMNS($N$2:O182))</f>
        <v>3</v>
      </c>
      <c r="R182" s="1">
        <f>INDEX(Table2[[HomeTeam]:[Group_details]],ROWS($N$2:P182),COLUMNS($N$2:P182))</f>
        <v>0</v>
      </c>
      <c r="S182" s="1" t="str">
        <f>INDEX(Table2[[HomeTeam]:[Group_details]],ROWS($N$2:Q182),COLUMNS($N$2:Q182))</f>
        <v>Bulgaria</v>
      </c>
      <c r="T182" s="1" t="str">
        <f>INDEX(Table2[[HomeTeam]:[Group_details]],ROWS($N$2:R182),COLUMNS($N$2:R182))</f>
        <v xml:space="preserve"> </v>
      </c>
      <c r="U182" s="1" t="str">
        <f>INDEX(Table2[[HomeTeam]:[Group_details]],ROWS($N$2:S182),COLUMNS($N$2:S182))</f>
        <v>Group stages</v>
      </c>
      <c r="V182" s="1" t="b">
        <f t="shared" si="2"/>
        <v>0</v>
      </c>
      <c r="W182" s="1" t="str">
        <f>IF(V182=TRUE,ROWS($V$2:V182),"")</f>
        <v/>
      </c>
      <c r="X182" s="1" t="str">
        <f>IFERROR(SMALL($W$2:$W$853,ROWS($W$2:W182)),"")</f>
        <v/>
      </c>
      <c r="Y182" s="1" t="str">
        <f>IF($X182&lt;&gt;"",INDEX($P$2:$U$853,MATCH($X182,$W$2:$W$853,0),COLUMNS($X$2:X182)),"")</f>
        <v/>
      </c>
      <c r="Z182" s="1" t="str">
        <f>IF($X182&lt;&gt;"",INDEX($P$2:$U$853,MATCH($X182,$W$2:$W$853,0),COLUMNS($X$2:Y182)),"")</f>
        <v/>
      </c>
      <c r="AA182" s="1" t="str">
        <f>IF($X182&lt;&gt;"",INDEX($P$2:$U$853,MATCH($X182,$W$2:$W$853,0),COLUMNS($X$2:Z182)),"")</f>
        <v/>
      </c>
      <c r="AB182" s="1" t="str">
        <f>IF($X182&lt;&gt;"",INDEX($P$2:$U$853,MATCH($X182,$W$2:$W$853,0),COLUMNS($X$2:AA182)),"")</f>
        <v/>
      </c>
      <c r="AC182" s="1" t="str">
        <f>IF($X182&lt;&gt;"",INDEX($P$2:$U$853,MATCH($X182,$W$2:$W$853,0),COLUMNS($X$2:AB182)),"")</f>
        <v/>
      </c>
      <c r="AD182" s="1" t="str">
        <f>IF($X182&lt;&gt;"",INDEX($P$2:$U$853,MATCH($X182,$W$2:$W$853,0),COLUMNS($X$2:AC182)),"")</f>
        <v/>
      </c>
    </row>
    <row r="183" spans="1:30" x14ac:dyDescent="0.2">
      <c r="A183" s="1">
        <v>1966</v>
      </c>
      <c r="B183" s="2">
        <v>24304</v>
      </c>
      <c r="C183" s="1" t="s">
        <v>500</v>
      </c>
      <c r="D183" s="1" t="s">
        <v>19</v>
      </c>
      <c r="E183" s="1" t="s">
        <v>171</v>
      </c>
      <c r="F183" s="1" t="s">
        <v>172</v>
      </c>
      <c r="G183" s="6" t="str">
        <f>VLOOKUP(A183,WorldCups!$A$2:$B$23,2,FALSE)</f>
        <v>England</v>
      </c>
      <c r="H183" s="1" t="s">
        <v>114</v>
      </c>
      <c r="I183" s="1">
        <v>0</v>
      </c>
      <c r="J183" s="1">
        <v>0</v>
      </c>
      <c r="K183" s="1" t="s">
        <v>25</v>
      </c>
      <c r="L183" s="1" t="s">
        <v>14</v>
      </c>
      <c r="M183" s="1" t="str">
        <f>IF(ISNUMBER(SEARCH("Group",Table2[[#This Row],[Round]])),"Group stages",Table2[[#This Row],[Round]])</f>
        <v>Group stages</v>
      </c>
      <c r="O183" s="1">
        <f>Table2[[#This Row],[Year]]</f>
        <v>1966</v>
      </c>
      <c r="P183" s="1" t="str">
        <f>INDEX(Table2[[HomeTeam]:[Group_details]],ROWS($N$2:N183),COLUMNS($N$2:N183))</f>
        <v>Germany FR</v>
      </c>
      <c r="Q183" s="1">
        <f>INDEX(Table2[[HomeTeam]:[Group_details]],ROWS($N$2:O183),COLUMNS($N$2:O183))</f>
        <v>0</v>
      </c>
      <c r="R183" s="1">
        <f>INDEX(Table2[[HomeTeam]:[Group_details]],ROWS($N$2:P183),COLUMNS($N$2:P183))</f>
        <v>0</v>
      </c>
      <c r="S183" s="1" t="str">
        <f>INDEX(Table2[[HomeTeam]:[Group_details]],ROWS($N$2:Q183),COLUMNS($N$2:Q183))</f>
        <v>Argentina</v>
      </c>
      <c r="T183" s="1" t="str">
        <f>INDEX(Table2[[HomeTeam]:[Group_details]],ROWS($N$2:R183),COLUMNS($N$2:R183))</f>
        <v xml:space="preserve"> </v>
      </c>
      <c r="U183" s="1" t="str">
        <f>INDEX(Table2[[HomeTeam]:[Group_details]],ROWS($N$2:S183),COLUMNS($N$2:S183))</f>
        <v>Group stages</v>
      </c>
      <c r="V183" s="1" t="b">
        <f t="shared" si="2"/>
        <v>0</v>
      </c>
      <c r="W183" s="1" t="str">
        <f>IF(V183=TRUE,ROWS($V$2:V183),"")</f>
        <v/>
      </c>
      <c r="X183" s="1" t="str">
        <f>IFERROR(SMALL($W$2:$W$853,ROWS($W$2:W183)),"")</f>
        <v/>
      </c>
      <c r="Y183" s="1" t="str">
        <f>IF($X183&lt;&gt;"",INDEX($P$2:$U$853,MATCH($X183,$W$2:$W$853,0),COLUMNS($X$2:X183)),"")</f>
        <v/>
      </c>
      <c r="Z183" s="1" t="str">
        <f>IF($X183&lt;&gt;"",INDEX($P$2:$U$853,MATCH($X183,$W$2:$W$853,0),COLUMNS($X$2:Y183)),"")</f>
        <v/>
      </c>
      <c r="AA183" s="1" t="str">
        <f>IF($X183&lt;&gt;"",INDEX($P$2:$U$853,MATCH($X183,$W$2:$W$853,0),COLUMNS($X$2:Z183)),"")</f>
        <v/>
      </c>
      <c r="AB183" s="1" t="str">
        <f>IF($X183&lt;&gt;"",INDEX($P$2:$U$853,MATCH($X183,$W$2:$W$853,0),COLUMNS($X$2:AA183)),"")</f>
        <v/>
      </c>
      <c r="AC183" s="1" t="str">
        <f>IF($X183&lt;&gt;"",INDEX($P$2:$U$853,MATCH($X183,$W$2:$W$853,0),COLUMNS($X$2:AB183)),"")</f>
        <v/>
      </c>
      <c r="AD183" s="1" t="str">
        <f>IF($X183&lt;&gt;"",INDEX($P$2:$U$853,MATCH($X183,$W$2:$W$853,0),COLUMNS($X$2:AC183)),"")</f>
        <v/>
      </c>
    </row>
    <row r="184" spans="1:30" x14ac:dyDescent="0.2">
      <c r="A184" s="1">
        <v>1966</v>
      </c>
      <c r="B184" s="2">
        <v>24304</v>
      </c>
      <c r="C184" s="1" t="s">
        <v>500</v>
      </c>
      <c r="D184" s="1" t="s">
        <v>15</v>
      </c>
      <c r="E184" s="1" t="s">
        <v>173</v>
      </c>
      <c r="F184" s="1" t="s">
        <v>174</v>
      </c>
      <c r="G184" s="6" t="str">
        <f>VLOOKUP(A184,WorldCups!$A$2:$B$23,2,FALSE)</f>
        <v>England</v>
      </c>
      <c r="H184" s="1" t="s">
        <v>126</v>
      </c>
      <c r="I184" s="1">
        <v>1</v>
      </c>
      <c r="J184" s="1">
        <v>0</v>
      </c>
      <c r="K184" s="1" t="s">
        <v>57</v>
      </c>
      <c r="L184" s="1" t="s">
        <v>14</v>
      </c>
      <c r="M184" s="1" t="str">
        <f>IF(ISNUMBER(SEARCH("Group",Table2[[#This Row],[Round]])),"Group stages",Table2[[#This Row],[Round]])</f>
        <v>Group stages</v>
      </c>
      <c r="O184" s="1">
        <f>Table2[[#This Row],[Year]]</f>
        <v>1966</v>
      </c>
      <c r="P184" s="1" t="str">
        <f>INDEX(Table2[[HomeTeam]:[Group_details]],ROWS($N$2:N184),COLUMNS($N$2:N184))</f>
        <v>Soviet Union</v>
      </c>
      <c r="Q184" s="1">
        <f>INDEX(Table2[[HomeTeam]:[Group_details]],ROWS($N$2:O184),COLUMNS($N$2:O184))</f>
        <v>1</v>
      </c>
      <c r="R184" s="1">
        <f>INDEX(Table2[[HomeTeam]:[Group_details]],ROWS($N$2:P184),COLUMNS($N$2:P184))</f>
        <v>0</v>
      </c>
      <c r="S184" s="1" t="str">
        <f>INDEX(Table2[[HomeTeam]:[Group_details]],ROWS($N$2:Q184),COLUMNS($N$2:Q184))</f>
        <v>Italy</v>
      </c>
      <c r="T184" s="1" t="str">
        <f>INDEX(Table2[[HomeTeam]:[Group_details]],ROWS($N$2:R184),COLUMNS($N$2:R184))</f>
        <v xml:space="preserve"> </v>
      </c>
      <c r="U184" s="1" t="str">
        <f>INDEX(Table2[[HomeTeam]:[Group_details]],ROWS($N$2:S184),COLUMNS($N$2:S184))</f>
        <v>Group stages</v>
      </c>
      <c r="V184" s="1" t="b">
        <f t="shared" si="2"/>
        <v>0</v>
      </c>
      <c r="W184" s="1" t="str">
        <f>IF(V184=TRUE,ROWS($V$2:V184),"")</f>
        <v/>
      </c>
      <c r="X184" s="1" t="str">
        <f>IFERROR(SMALL($W$2:$W$853,ROWS($W$2:W184)),"")</f>
        <v/>
      </c>
      <c r="Y184" s="1" t="str">
        <f>IF($X184&lt;&gt;"",INDEX($P$2:$U$853,MATCH($X184,$W$2:$W$853,0),COLUMNS($X$2:X184)),"")</f>
        <v/>
      </c>
      <c r="Z184" s="1" t="str">
        <f>IF($X184&lt;&gt;"",INDEX($P$2:$U$853,MATCH($X184,$W$2:$W$853,0),COLUMNS($X$2:Y184)),"")</f>
        <v/>
      </c>
      <c r="AA184" s="1" t="str">
        <f>IF($X184&lt;&gt;"",INDEX($P$2:$U$853,MATCH($X184,$W$2:$W$853,0),COLUMNS($X$2:Z184)),"")</f>
        <v/>
      </c>
      <c r="AB184" s="1" t="str">
        <f>IF($X184&lt;&gt;"",INDEX($P$2:$U$853,MATCH($X184,$W$2:$W$853,0),COLUMNS($X$2:AA184)),"")</f>
        <v/>
      </c>
      <c r="AC184" s="1" t="str">
        <f>IF($X184&lt;&gt;"",INDEX($P$2:$U$853,MATCH($X184,$W$2:$W$853,0),COLUMNS($X$2:AB184)),"")</f>
        <v/>
      </c>
      <c r="AD184" s="1" t="str">
        <f>IF($X184&lt;&gt;"",INDEX($P$2:$U$853,MATCH($X184,$W$2:$W$853,0),COLUMNS($X$2:AC184)),"")</f>
        <v/>
      </c>
    </row>
    <row r="185" spans="1:30" x14ac:dyDescent="0.2">
      <c r="A185" s="1">
        <v>1966</v>
      </c>
      <c r="B185" s="2">
        <v>24304</v>
      </c>
      <c r="C185" s="1" t="s">
        <v>522</v>
      </c>
      <c r="D185" s="1" t="s">
        <v>9</v>
      </c>
      <c r="E185" s="1" t="s">
        <v>159</v>
      </c>
      <c r="F185" s="1" t="s">
        <v>160</v>
      </c>
      <c r="G185" s="6" t="str">
        <f>VLOOKUP(A185,WorldCups!$A$2:$B$23,2,FALSE)</f>
        <v>England</v>
      </c>
      <c r="H185" s="1" t="s">
        <v>93</v>
      </c>
      <c r="I185" s="1">
        <v>2</v>
      </c>
      <c r="J185" s="1">
        <v>0</v>
      </c>
      <c r="K185" s="1" t="s">
        <v>13</v>
      </c>
      <c r="L185" s="1" t="s">
        <v>14</v>
      </c>
      <c r="M185" s="1" t="str">
        <f>IF(ISNUMBER(SEARCH("Group",Table2[[#This Row],[Round]])),"Group stages",Table2[[#This Row],[Round]])</f>
        <v>Group stages</v>
      </c>
      <c r="O185" s="1">
        <f>Table2[[#This Row],[Year]]</f>
        <v>1966</v>
      </c>
      <c r="P185" s="1" t="str">
        <f>INDEX(Table2[[HomeTeam]:[Group_details]],ROWS($N$2:N185),COLUMNS($N$2:N185))</f>
        <v>England</v>
      </c>
      <c r="Q185" s="1">
        <f>INDEX(Table2[[HomeTeam]:[Group_details]],ROWS($N$2:O185),COLUMNS($N$2:O185))</f>
        <v>2</v>
      </c>
      <c r="R185" s="1">
        <f>INDEX(Table2[[HomeTeam]:[Group_details]],ROWS($N$2:P185),COLUMNS($N$2:P185))</f>
        <v>0</v>
      </c>
      <c r="S185" s="1" t="str">
        <f>INDEX(Table2[[HomeTeam]:[Group_details]],ROWS($N$2:Q185),COLUMNS($N$2:Q185))</f>
        <v>Mexico</v>
      </c>
      <c r="T185" s="1" t="str">
        <f>INDEX(Table2[[HomeTeam]:[Group_details]],ROWS($N$2:R185),COLUMNS($N$2:R185))</f>
        <v xml:space="preserve"> </v>
      </c>
      <c r="U185" s="1" t="str">
        <f>INDEX(Table2[[HomeTeam]:[Group_details]],ROWS($N$2:S185),COLUMNS($N$2:S185))</f>
        <v>Group stages</v>
      </c>
      <c r="V185" s="1" t="b">
        <f t="shared" si="2"/>
        <v>0</v>
      </c>
      <c r="W185" s="1" t="str">
        <f>IF(V185=TRUE,ROWS($V$2:V185),"")</f>
        <v/>
      </c>
      <c r="X185" s="1" t="str">
        <f>IFERROR(SMALL($W$2:$W$853,ROWS($W$2:W185)),"")</f>
        <v/>
      </c>
      <c r="Y185" s="1" t="str">
        <f>IF($X185&lt;&gt;"",INDEX($P$2:$U$853,MATCH($X185,$W$2:$W$853,0),COLUMNS($X$2:X185)),"")</f>
        <v/>
      </c>
      <c r="Z185" s="1" t="str">
        <f>IF($X185&lt;&gt;"",INDEX($P$2:$U$853,MATCH($X185,$W$2:$W$853,0),COLUMNS($X$2:Y185)),"")</f>
        <v/>
      </c>
      <c r="AA185" s="1" t="str">
        <f>IF($X185&lt;&gt;"",INDEX($P$2:$U$853,MATCH($X185,$W$2:$W$853,0),COLUMNS($X$2:Z185)),"")</f>
        <v/>
      </c>
      <c r="AB185" s="1" t="str">
        <f>IF($X185&lt;&gt;"",INDEX($P$2:$U$853,MATCH($X185,$W$2:$W$853,0),COLUMNS($X$2:AA185)),"")</f>
        <v/>
      </c>
      <c r="AC185" s="1" t="str">
        <f>IF($X185&lt;&gt;"",INDEX($P$2:$U$853,MATCH($X185,$W$2:$W$853,0),COLUMNS($X$2:AB185)),"")</f>
        <v/>
      </c>
      <c r="AD185" s="1" t="str">
        <f>IF($X185&lt;&gt;"",INDEX($P$2:$U$853,MATCH($X185,$W$2:$W$853,0),COLUMNS($X$2:AC185)),"")</f>
        <v/>
      </c>
    </row>
    <row r="186" spans="1:30" x14ac:dyDescent="0.2">
      <c r="A186" s="1">
        <v>1966</v>
      </c>
      <c r="B186" s="2">
        <v>24307</v>
      </c>
      <c r="C186" s="1" t="s">
        <v>509</v>
      </c>
      <c r="D186" s="1" t="s">
        <v>9</v>
      </c>
      <c r="E186" s="1" t="s">
        <v>159</v>
      </c>
      <c r="F186" s="1" t="s">
        <v>160</v>
      </c>
      <c r="G186" s="6" t="str">
        <f>VLOOKUP(A186,WorldCups!$A$2:$B$23,2,FALSE)</f>
        <v>England</v>
      </c>
      <c r="H186" s="1" t="s">
        <v>30</v>
      </c>
      <c r="I186" s="1">
        <v>0</v>
      </c>
      <c r="J186" s="1">
        <v>0</v>
      </c>
      <c r="K186" s="1" t="s">
        <v>13</v>
      </c>
      <c r="L186" s="1" t="s">
        <v>14</v>
      </c>
      <c r="M186" s="1" t="str">
        <f>IF(ISNUMBER(SEARCH("Group",Table2[[#This Row],[Round]])),"Group stages",Table2[[#This Row],[Round]])</f>
        <v>Group stages</v>
      </c>
      <c r="O186" s="1">
        <f>Table2[[#This Row],[Year]]</f>
        <v>1966</v>
      </c>
      <c r="P186" s="1" t="str">
        <f>INDEX(Table2[[HomeTeam]:[Group_details]],ROWS($N$2:N186),COLUMNS($N$2:N186))</f>
        <v>Uruguay</v>
      </c>
      <c r="Q186" s="1">
        <f>INDEX(Table2[[HomeTeam]:[Group_details]],ROWS($N$2:O186),COLUMNS($N$2:O186))</f>
        <v>0</v>
      </c>
      <c r="R186" s="1">
        <f>INDEX(Table2[[HomeTeam]:[Group_details]],ROWS($N$2:P186),COLUMNS($N$2:P186))</f>
        <v>0</v>
      </c>
      <c r="S186" s="1" t="str">
        <f>INDEX(Table2[[HomeTeam]:[Group_details]],ROWS($N$2:Q186),COLUMNS($N$2:Q186))</f>
        <v>Mexico</v>
      </c>
      <c r="T186" s="1" t="str">
        <f>INDEX(Table2[[HomeTeam]:[Group_details]],ROWS($N$2:R186),COLUMNS($N$2:R186))</f>
        <v xml:space="preserve"> </v>
      </c>
      <c r="U186" s="1" t="str">
        <f>INDEX(Table2[[HomeTeam]:[Group_details]],ROWS($N$2:S186),COLUMNS($N$2:S186))</f>
        <v>Group stages</v>
      </c>
      <c r="V186" s="1" t="b">
        <f t="shared" si="2"/>
        <v>0</v>
      </c>
      <c r="W186" s="1" t="str">
        <f>IF(V186=TRUE,ROWS($V$2:V186),"")</f>
        <v/>
      </c>
      <c r="X186" s="1" t="str">
        <f>IFERROR(SMALL($W$2:$W$853,ROWS($W$2:W186)),"")</f>
        <v/>
      </c>
      <c r="Y186" s="1" t="str">
        <f>IF($X186&lt;&gt;"",INDEX($P$2:$U$853,MATCH($X186,$W$2:$W$853,0),COLUMNS($X$2:X186)),"")</f>
        <v/>
      </c>
      <c r="Z186" s="1" t="str">
        <f>IF($X186&lt;&gt;"",INDEX($P$2:$U$853,MATCH($X186,$W$2:$W$853,0),COLUMNS($X$2:Y186)),"")</f>
        <v/>
      </c>
      <c r="AA186" s="1" t="str">
        <f>IF($X186&lt;&gt;"",INDEX($P$2:$U$853,MATCH($X186,$W$2:$W$853,0),COLUMNS($X$2:Z186)),"")</f>
        <v/>
      </c>
      <c r="AB186" s="1" t="str">
        <f>IF($X186&lt;&gt;"",INDEX($P$2:$U$853,MATCH($X186,$W$2:$W$853,0),COLUMNS($X$2:AA186)),"")</f>
        <v/>
      </c>
      <c r="AC186" s="1" t="str">
        <f>IF($X186&lt;&gt;"",INDEX($P$2:$U$853,MATCH($X186,$W$2:$W$853,0),COLUMNS($X$2:AB186)),"")</f>
        <v/>
      </c>
      <c r="AD186" s="1" t="str">
        <f>IF($X186&lt;&gt;"",INDEX($P$2:$U$853,MATCH($X186,$W$2:$W$853,0),COLUMNS($X$2:AC186)),"")</f>
        <v/>
      </c>
    </row>
    <row r="187" spans="1:30" x14ac:dyDescent="0.2">
      <c r="A187" s="1">
        <v>1966</v>
      </c>
      <c r="B187" s="2">
        <v>24307</v>
      </c>
      <c r="C187" s="1" t="s">
        <v>522</v>
      </c>
      <c r="D187" s="1" t="s">
        <v>19</v>
      </c>
      <c r="E187" s="1" t="s">
        <v>161</v>
      </c>
      <c r="F187" s="1" t="s">
        <v>162</v>
      </c>
      <c r="G187" s="6" t="str">
        <f>VLOOKUP(A187,WorldCups!$A$2:$B$23,2,FALSE)</f>
        <v>England</v>
      </c>
      <c r="H187" s="1" t="s">
        <v>25</v>
      </c>
      <c r="I187" s="1">
        <v>2</v>
      </c>
      <c r="J187" s="1">
        <v>0</v>
      </c>
      <c r="K187" s="1" t="s">
        <v>44</v>
      </c>
      <c r="L187" s="1" t="s">
        <v>14</v>
      </c>
      <c r="M187" s="1" t="str">
        <f>IF(ISNUMBER(SEARCH("Group",Table2[[#This Row],[Round]])),"Group stages",Table2[[#This Row],[Round]])</f>
        <v>Group stages</v>
      </c>
      <c r="O187" s="1">
        <f>Table2[[#This Row],[Year]]</f>
        <v>1966</v>
      </c>
      <c r="P187" s="1" t="str">
        <f>INDEX(Table2[[HomeTeam]:[Group_details]],ROWS($N$2:N187),COLUMNS($N$2:N187))</f>
        <v>Argentina</v>
      </c>
      <c r="Q187" s="1">
        <f>INDEX(Table2[[HomeTeam]:[Group_details]],ROWS($N$2:O187),COLUMNS($N$2:O187))</f>
        <v>2</v>
      </c>
      <c r="R187" s="1">
        <f>INDEX(Table2[[HomeTeam]:[Group_details]],ROWS($N$2:P187),COLUMNS($N$2:P187))</f>
        <v>0</v>
      </c>
      <c r="S187" s="1" t="str">
        <f>INDEX(Table2[[HomeTeam]:[Group_details]],ROWS($N$2:Q187),COLUMNS($N$2:Q187))</f>
        <v>Switzerland</v>
      </c>
      <c r="T187" s="1" t="str">
        <f>INDEX(Table2[[HomeTeam]:[Group_details]],ROWS($N$2:R187),COLUMNS($N$2:R187))</f>
        <v xml:space="preserve"> </v>
      </c>
      <c r="U187" s="1" t="str">
        <f>INDEX(Table2[[HomeTeam]:[Group_details]],ROWS($N$2:S187),COLUMNS($N$2:S187))</f>
        <v>Group stages</v>
      </c>
      <c r="V187" s="1" t="b">
        <f t="shared" si="2"/>
        <v>0</v>
      </c>
      <c r="W187" s="1" t="str">
        <f>IF(V187=TRUE,ROWS($V$2:V187),"")</f>
        <v/>
      </c>
      <c r="X187" s="1" t="str">
        <f>IFERROR(SMALL($W$2:$W$853,ROWS($W$2:W187)),"")</f>
        <v/>
      </c>
      <c r="Y187" s="1" t="str">
        <f>IF($X187&lt;&gt;"",INDEX($P$2:$U$853,MATCH($X187,$W$2:$W$853,0),COLUMNS($X$2:X187)),"")</f>
        <v/>
      </c>
      <c r="Z187" s="1" t="str">
        <f>IF($X187&lt;&gt;"",INDEX($P$2:$U$853,MATCH($X187,$W$2:$W$853,0),COLUMNS($X$2:Y187)),"")</f>
        <v/>
      </c>
      <c r="AA187" s="1" t="str">
        <f>IF($X187&lt;&gt;"",INDEX($P$2:$U$853,MATCH($X187,$W$2:$W$853,0),COLUMNS($X$2:Z187)),"")</f>
        <v/>
      </c>
      <c r="AB187" s="1" t="str">
        <f>IF($X187&lt;&gt;"",INDEX($P$2:$U$853,MATCH($X187,$W$2:$W$853,0),COLUMNS($X$2:AA187)),"")</f>
        <v/>
      </c>
      <c r="AC187" s="1" t="str">
        <f>IF($X187&lt;&gt;"",INDEX($P$2:$U$853,MATCH($X187,$W$2:$W$853,0),COLUMNS($X$2:AB187)),"")</f>
        <v/>
      </c>
      <c r="AD187" s="1" t="str">
        <f>IF($X187&lt;&gt;"",INDEX($P$2:$U$853,MATCH($X187,$W$2:$W$853,0),COLUMNS($X$2:AC187)),"")</f>
        <v/>
      </c>
    </row>
    <row r="188" spans="1:30" x14ac:dyDescent="0.2">
      <c r="A188" s="1">
        <v>1966</v>
      </c>
      <c r="B188" s="2">
        <v>24307</v>
      </c>
      <c r="C188" s="1" t="s">
        <v>522</v>
      </c>
      <c r="D188" s="1" t="s">
        <v>22</v>
      </c>
      <c r="E188" s="1" t="s">
        <v>163</v>
      </c>
      <c r="F188" s="1" t="s">
        <v>164</v>
      </c>
      <c r="G188" s="6" t="str">
        <f>VLOOKUP(A188,WorldCups!$A$2:$B$23,2,FALSE)</f>
        <v>England</v>
      </c>
      <c r="H188" s="1" t="s">
        <v>170</v>
      </c>
      <c r="I188" s="1">
        <v>3</v>
      </c>
      <c r="J188" s="1">
        <v>1</v>
      </c>
      <c r="K188" s="1" t="s">
        <v>21</v>
      </c>
      <c r="L188" s="1" t="s">
        <v>14</v>
      </c>
      <c r="M188" s="1" t="str">
        <f>IF(ISNUMBER(SEARCH("Group",Table2[[#This Row],[Round]])),"Group stages",Table2[[#This Row],[Round]])</f>
        <v>Group stages</v>
      </c>
      <c r="O188" s="1">
        <f>Table2[[#This Row],[Year]]</f>
        <v>1966</v>
      </c>
      <c r="P188" s="1" t="str">
        <f>INDEX(Table2[[HomeTeam]:[Group_details]],ROWS($N$2:N188),COLUMNS($N$2:N188))</f>
        <v>Portugal</v>
      </c>
      <c r="Q188" s="1">
        <f>INDEX(Table2[[HomeTeam]:[Group_details]],ROWS($N$2:O188),COLUMNS($N$2:O188))</f>
        <v>3</v>
      </c>
      <c r="R188" s="1">
        <f>INDEX(Table2[[HomeTeam]:[Group_details]],ROWS($N$2:P188),COLUMNS($N$2:P188))</f>
        <v>1</v>
      </c>
      <c r="S188" s="1" t="str">
        <f>INDEX(Table2[[HomeTeam]:[Group_details]],ROWS($N$2:Q188),COLUMNS($N$2:Q188))</f>
        <v>Brazil</v>
      </c>
      <c r="T188" s="1" t="str">
        <f>INDEX(Table2[[HomeTeam]:[Group_details]],ROWS($N$2:R188),COLUMNS($N$2:R188))</f>
        <v xml:space="preserve"> </v>
      </c>
      <c r="U188" s="1" t="str">
        <f>INDEX(Table2[[HomeTeam]:[Group_details]],ROWS($N$2:S188),COLUMNS($N$2:S188))</f>
        <v>Group stages</v>
      </c>
      <c r="V188" s="1" t="b">
        <f t="shared" si="2"/>
        <v>0</v>
      </c>
      <c r="W188" s="1" t="str">
        <f>IF(V188=TRUE,ROWS($V$2:V188),"")</f>
        <v/>
      </c>
      <c r="X188" s="1" t="str">
        <f>IFERROR(SMALL($W$2:$W$853,ROWS($W$2:W188)),"")</f>
        <v/>
      </c>
      <c r="Y188" s="1" t="str">
        <f>IF($X188&lt;&gt;"",INDEX($P$2:$U$853,MATCH($X188,$W$2:$W$853,0),COLUMNS($X$2:X188)),"")</f>
        <v/>
      </c>
      <c r="Z188" s="1" t="str">
        <f>IF($X188&lt;&gt;"",INDEX($P$2:$U$853,MATCH($X188,$W$2:$W$853,0),COLUMNS($X$2:Y188)),"")</f>
        <v/>
      </c>
      <c r="AA188" s="1" t="str">
        <f>IF($X188&lt;&gt;"",INDEX($P$2:$U$853,MATCH($X188,$W$2:$W$853,0),COLUMNS($X$2:Z188)),"")</f>
        <v/>
      </c>
      <c r="AB188" s="1" t="str">
        <f>IF($X188&lt;&gt;"",INDEX($P$2:$U$853,MATCH($X188,$W$2:$W$853,0),COLUMNS($X$2:AA188)),"")</f>
        <v/>
      </c>
      <c r="AC188" s="1" t="str">
        <f>IF($X188&lt;&gt;"",INDEX($P$2:$U$853,MATCH($X188,$W$2:$W$853,0),COLUMNS($X$2:AB188)),"")</f>
        <v/>
      </c>
      <c r="AD188" s="1" t="str">
        <f>IF($X188&lt;&gt;"",INDEX($P$2:$U$853,MATCH($X188,$W$2:$W$853,0),COLUMNS($X$2:AC188)),"")</f>
        <v/>
      </c>
    </row>
    <row r="189" spans="1:30" x14ac:dyDescent="0.2">
      <c r="A189" s="1">
        <v>1966</v>
      </c>
      <c r="B189" s="2">
        <v>24307</v>
      </c>
      <c r="C189" s="1" t="s">
        <v>522</v>
      </c>
      <c r="D189" s="1" t="s">
        <v>15</v>
      </c>
      <c r="E189" s="1" t="s">
        <v>165</v>
      </c>
      <c r="F189" s="1" t="s">
        <v>166</v>
      </c>
      <c r="G189" s="6" t="str">
        <f>VLOOKUP(A189,WorldCups!$A$2:$B$23,2,FALSE)</f>
        <v>England</v>
      </c>
      <c r="H189" s="1" t="s">
        <v>167</v>
      </c>
      <c r="I189" s="1">
        <v>1</v>
      </c>
      <c r="J189" s="1">
        <v>0</v>
      </c>
      <c r="K189" s="1" t="s">
        <v>57</v>
      </c>
      <c r="L189" s="1" t="s">
        <v>14</v>
      </c>
      <c r="M189" s="1" t="str">
        <f>IF(ISNUMBER(SEARCH("Group",Table2[[#This Row],[Round]])),"Group stages",Table2[[#This Row],[Round]])</f>
        <v>Group stages</v>
      </c>
      <c r="O189" s="1">
        <f>Table2[[#This Row],[Year]]</f>
        <v>1966</v>
      </c>
      <c r="P189" s="1" t="str">
        <f>INDEX(Table2[[HomeTeam]:[Group_details]],ROWS($N$2:N189),COLUMNS($N$2:N189))</f>
        <v>Korea DPR</v>
      </c>
      <c r="Q189" s="1">
        <f>INDEX(Table2[[HomeTeam]:[Group_details]],ROWS($N$2:O189),COLUMNS($N$2:O189))</f>
        <v>1</v>
      </c>
      <c r="R189" s="1">
        <f>INDEX(Table2[[HomeTeam]:[Group_details]],ROWS($N$2:P189),COLUMNS($N$2:P189))</f>
        <v>0</v>
      </c>
      <c r="S189" s="1" t="str">
        <f>INDEX(Table2[[HomeTeam]:[Group_details]],ROWS($N$2:Q189),COLUMNS($N$2:Q189))</f>
        <v>Italy</v>
      </c>
      <c r="T189" s="1" t="str">
        <f>INDEX(Table2[[HomeTeam]:[Group_details]],ROWS($N$2:R189),COLUMNS($N$2:R189))</f>
        <v xml:space="preserve"> </v>
      </c>
      <c r="U189" s="1" t="str">
        <f>INDEX(Table2[[HomeTeam]:[Group_details]],ROWS($N$2:S189),COLUMNS($N$2:S189))</f>
        <v>Group stages</v>
      </c>
      <c r="V189" s="1" t="b">
        <f t="shared" si="2"/>
        <v>0</v>
      </c>
      <c r="W189" s="1" t="str">
        <f>IF(V189=TRUE,ROWS($V$2:V189),"")</f>
        <v/>
      </c>
      <c r="X189" s="1" t="str">
        <f>IFERROR(SMALL($W$2:$W$853,ROWS($W$2:W189)),"")</f>
        <v/>
      </c>
      <c r="Y189" s="1" t="str">
        <f>IF($X189&lt;&gt;"",INDEX($P$2:$U$853,MATCH($X189,$W$2:$W$853,0),COLUMNS($X$2:X189)),"")</f>
        <v/>
      </c>
      <c r="Z189" s="1" t="str">
        <f>IF($X189&lt;&gt;"",INDEX($P$2:$U$853,MATCH($X189,$W$2:$W$853,0),COLUMNS($X$2:Y189)),"")</f>
        <v/>
      </c>
      <c r="AA189" s="1" t="str">
        <f>IF($X189&lt;&gt;"",INDEX($P$2:$U$853,MATCH($X189,$W$2:$W$853,0),COLUMNS($X$2:Z189)),"")</f>
        <v/>
      </c>
      <c r="AB189" s="1" t="str">
        <f>IF($X189&lt;&gt;"",INDEX($P$2:$U$853,MATCH($X189,$W$2:$W$853,0),COLUMNS($X$2:AA189)),"")</f>
        <v/>
      </c>
      <c r="AC189" s="1" t="str">
        <f>IF($X189&lt;&gt;"",INDEX($P$2:$U$853,MATCH($X189,$W$2:$W$853,0),COLUMNS($X$2:AB189)),"")</f>
        <v/>
      </c>
      <c r="AD189" s="1" t="str">
        <f>IF($X189&lt;&gt;"",INDEX($P$2:$U$853,MATCH($X189,$W$2:$W$853,0),COLUMNS($X$2:AC189)),"")</f>
        <v/>
      </c>
    </row>
    <row r="190" spans="1:30" x14ac:dyDescent="0.2">
      <c r="A190" s="1">
        <v>1966</v>
      </c>
      <c r="B190" s="2">
        <v>24308</v>
      </c>
      <c r="C190" s="1" t="s">
        <v>522</v>
      </c>
      <c r="D190" s="1" t="s">
        <v>9</v>
      </c>
      <c r="E190" s="1" t="s">
        <v>159</v>
      </c>
      <c r="F190" s="1" t="s">
        <v>160</v>
      </c>
      <c r="G190" s="6" t="str">
        <f>VLOOKUP(A190,WorldCups!$A$2:$B$23,2,FALSE)</f>
        <v>England</v>
      </c>
      <c r="H190" s="1" t="s">
        <v>93</v>
      </c>
      <c r="I190" s="1">
        <v>2</v>
      </c>
      <c r="J190" s="1">
        <v>0</v>
      </c>
      <c r="K190" s="1" t="s">
        <v>12</v>
      </c>
      <c r="L190" s="1" t="s">
        <v>14</v>
      </c>
      <c r="M190" s="1" t="str">
        <f>IF(ISNUMBER(SEARCH("Group",Table2[[#This Row],[Round]])),"Group stages",Table2[[#This Row],[Round]])</f>
        <v>Group stages</v>
      </c>
      <c r="O190" s="1">
        <f>Table2[[#This Row],[Year]]</f>
        <v>1966</v>
      </c>
      <c r="P190" s="1" t="str">
        <f>INDEX(Table2[[HomeTeam]:[Group_details]],ROWS($N$2:N190),COLUMNS($N$2:N190))</f>
        <v>England</v>
      </c>
      <c r="Q190" s="1">
        <f>INDEX(Table2[[HomeTeam]:[Group_details]],ROWS($N$2:O190),COLUMNS($N$2:O190))</f>
        <v>2</v>
      </c>
      <c r="R190" s="1">
        <f>INDEX(Table2[[HomeTeam]:[Group_details]],ROWS($N$2:P190),COLUMNS($N$2:P190))</f>
        <v>0</v>
      </c>
      <c r="S190" s="1" t="str">
        <f>INDEX(Table2[[HomeTeam]:[Group_details]],ROWS($N$2:Q190),COLUMNS($N$2:Q190))</f>
        <v>France</v>
      </c>
      <c r="T190" s="1" t="str">
        <f>INDEX(Table2[[HomeTeam]:[Group_details]],ROWS($N$2:R190),COLUMNS($N$2:R190))</f>
        <v xml:space="preserve"> </v>
      </c>
      <c r="U190" s="1" t="str">
        <f>INDEX(Table2[[HomeTeam]:[Group_details]],ROWS($N$2:S190),COLUMNS($N$2:S190))</f>
        <v>Group stages</v>
      </c>
      <c r="V190" s="1" t="b">
        <f t="shared" si="2"/>
        <v>0</v>
      </c>
      <c r="W190" s="1" t="str">
        <f>IF(V190=TRUE,ROWS($V$2:V190),"")</f>
        <v/>
      </c>
      <c r="X190" s="1" t="str">
        <f>IFERROR(SMALL($W$2:$W$853,ROWS($W$2:W190)),"")</f>
        <v/>
      </c>
      <c r="Y190" s="1" t="str">
        <f>IF($X190&lt;&gt;"",INDEX($P$2:$U$853,MATCH($X190,$W$2:$W$853,0),COLUMNS($X$2:X190)),"")</f>
        <v/>
      </c>
      <c r="Z190" s="1" t="str">
        <f>IF($X190&lt;&gt;"",INDEX($P$2:$U$853,MATCH($X190,$W$2:$W$853,0),COLUMNS($X$2:Y190)),"")</f>
        <v/>
      </c>
      <c r="AA190" s="1" t="str">
        <f>IF($X190&lt;&gt;"",INDEX($P$2:$U$853,MATCH($X190,$W$2:$W$853,0),COLUMNS($X$2:Z190)),"")</f>
        <v/>
      </c>
      <c r="AB190" s="1" t="str">
        <f>IF($X190&lt;&gt;"",INDEX($P$2:$U$853,MATCH($X190,$W$2:$W$853,0),COLUMNS($X$2:AA190)),"")</f>
        <v/>
      </c>
      <c r="AC190" s="1" t="str">
        <f>IF($X190&lt;&gt;"",INDEX($P$2:$U$853,MATCH($X190,$W$2:$W$853,0),COLUMNS($X$2:AB190)),"")</f>
        <v/>
      </c>
      <c r="AD190" s="1" t="str">
        <f>IF($X190&lt;&gt;"",INDEX($P$2:$U$853,MATCH($X190,$W$2:$W$853,0),COLUMNS($X$2:AC190)),"")</f>
        <v/>
      </c>
    </row>
    <row r="191" spans="1:30" x14ac:dyDescent="0.2">
      <c r="A191" s="1">
        <v>1966</v>
      </c>
      <c r="B191" s="2">
        <v>24308</v>
      </c>
      <c r="C191" s="1" t="s">
        <v>522</v>
      </c>
      <c r="D191" s="1" t="s">
        <v>22</v>
      </c>
      <c r="E191" s="1" t="s">
        <v>168</v>
      </c>
      <c r="F191" s="1" t="s">
        <v>169</v>
      </c>
      <c r="G191" s="6" t="str">
        <f>VLOOKUP(A191,WorldCups!$A$2:$B$23,2,FALSE)</f>
        <v>England</v>
      </c>
      <c r="H191" s="1" t="s">
        <v>40</v>
      </c>
      <c r="I191" s="1">
        <v>3</v>
      </c>
      <c r="J191" s="1">
        <v>1</v>
      </c>
      <c r="K191" s="1" t="s">
        <v>156</v>
      </c>
      <c r="L191" s="1" t="s">
        <v>14</v>
      </c>
      <c r="M191" s="1" t="str">
        <f>IF(ISNUMBER(SEARCH("Group",Table2[[#This Row],[Round]])),"Group stages",Table2[[#This Row],[Round]])</f>
        <v>Group stages</v>
      </c>
      <c r="O191" s="1">
        <f>Table2[[#This Row],[Year]]</f>
        <v>1966</v>
      </c>
      <c r="P191" s="1" t="str">
        <f>INDEX(Table2[[HomeTeam]:[Group_details]],ROWS($N$2:N191),COLUMNS($N$2:N191))</f>
        <v>Hungary</v>
      </c>
      <c r="Q191" s="1">
        <f>INDEX(Table2[[HomeTeam]:[Group_details]],ROWS($N$2:O191),COLUMNS($N$2:O191))</f>
        <v>3</v>
      </c>
      <c r="R191" s="1">
        <f>INDEX(Table2[[HomeTeam]:[Group_details]],ROWS($N$2:P191),COLUMNS($N$2:P191))</f>
        <v>1</v>
      </c>
      <c r="S191" s="1" t="str">
        <f>INDEX(Table2[[HomeTeam]:[Group_details]],ROWS($N$2:Q191),COLUMNS($N$2:Q191))</f>
        <v>Bulgaria</v>
      </c>
      <c r="T191" s="1" t="str">
        <f>INDEX(Table2[[HomeTeam]:[Group_details]],ROWS($N$2:R191),COLUMNS($N$2:R191))</f>
        <v xml:space="preserve"> </v>
      </c>
      <c r="U191" s="1" t="str">
        <f>INDEX(Table2[[HomeTeam]:[Group_details]],ROWS($N$2:S191),COLUMNS($N$2:S191))</f>
        <v>Group stages</v>
      </c>
      <c r="V191" s="1" t="b">
        <f t="shared" si="2"/>
        <v>0</v>
      </c>
      <c r="W191" s="1" t="str">
        <f>IF(V191=TRUE,ROWS($V$2:V191),"")</f>
        <v/>
      </c>
      <c r="X191" s="1" t="str">
        <f>IFERROR(SMALL($W$2:$W$853,ROWS($W$2:W191)),"")</f>
        <v/>
      </c>
      <c r="Y191" s="1" t="str">
        <f>IF($X191&lt;&gt;"",INDEX($P$2:$U$853,MATCH($X191,$W$2:$W$853,0),COLUMNS($X$2:X191)),"")</f>
        <v/>
      </c>
      <c r="Z191" s="1" t="str">
        <f>IF($X191&lt;&gt;"",INDEX($P$2:$U$853,MATCH($X191,$W$2:$W$853,0),COLUMNS($X$2:Y191)),"")</f>
        <v/>
      </c>
      <c r="AA191" s="1" t="str">
        <f>IF($X191&lt;&gt;"",INDEX($P$2:$U$853,MATCH($X191,$W$2:$W$853,0),COLUMNS($X$2:Z191)),"")</f>
        <v/>
      </c>
      <c r="AB191" s="1" t="str">
        <f>IF($X191&lt;&gt;"",INDEX($P$2:$U$853,MATCH($X191,$W$2:$W$853,0),COLUMNS($X$2:AA191)),"")</f>
        <v/>
      </c>
      <c r="AC191" s="1" t="str">
        <f>IF($X191&lt;&gt;"",INDEX($P$2:$U$853,MATCH($X191,$W$2:$W$853,0),COLUMNS($X$2:AB191)),"")</f>
        <v/>
      </c>
      <c r="AD191" s="1" t="str">
        <f>IF($X191&lt;&gt;"",INDEX($P$2:$U$853,MATCH($X191,$W$2:$W$853,0),COLUMNS($X$2:AC191)),"")</f>
        <v/>
      </c>
    </row>
    <row r="192" spans="1:30" x14ac:dyDescent="0.2">
      <c r="A192" s="1">
        <v>1966</v>
      </c>
      <c r="B192" s="2">
        <v>24308</v>
      </c>
      <c r="C192" s="1" t="s">
        <v>522</v>
      </c>
      <c r="D192" s="1" t="s">
        <v>19</v>
      </c>
      <c r="E192" s="1" t="s">
        <v>171</v>
      </c>
      <c r="F192" s="1" t="s">
        <v>172</v>
      </c>
      <c r="G192" s="6" t="str">
        <f>VLOOKUP(A192,WorldCups!$A$2:$B$23,2,FALSE)</f>
        <v>England</v>
      </c>
      <c r="H192" s="1" t="s">
        <v>114</v>
      </c>
      <c r="I192" s="1">
        <v>2</v>
      </c>
      <c r="J192" s="1">
        <v>1</v>
      </c>
      <c r="K192" s="1" t="s">
        <v>54</v>
      </c>
      <c r="L192" s="1" t="s">
        <v>14</v>
      </c>
      <c r="M192" s="1" t="str">
        <f>IF(ISNUMBER(SEARCH("Group",Table2[[#This Row],[Round]])),"Group stages",Table2[[#This Row],[Round]])</f>
        <v>Group stages</v>
      </c>
      <c r="O192" s="1">
        <f>Table2[[#This Row],[Year]]</f>
        <v>1966</v>
      </c>
      <c r="P192" s="1" t="str">
        <f>INDEX(Table2[[HomeTeam]:[Group_details]],ROWS($N$2:N192),COLUMNS($N$2:N192))</f>
        <v>Germany FR</v>
      </c>
      <c r="Q192" s="1">
        <f>INDEX(Table2[[HomeTeam]:[Group_details]],ROWS($N$2:O192),COLUMNS($N$2:O192))</f>
        <v>2</v>
      </c>
      <c r="R192" s="1">
        <f>INDEX(Table2[[HomeTeam]:[Group_details]],ROWS($N$2:P192),COLUMNS($N$2:P192))</f>
        <v>1</v>
      </c>
      <c r="S192" s="1" t="str">
        <f>INDEX(Table2[[HomeTeam]:[Group_details]],ROWS($N$2:Q192),COLUMNS($N$2:Q192))</f>
        <v>Spain</v>
      </c>
      <c r="T192" s="1" t="str">
        <f>INDEX(Table2[[HomeTeam]:[Group_details]],ROWS($N$2:R192),COLUMNS($N$2:R192))</f>
        <v xml:space="preserve"> </v>
      </c>
      <c r="U192" s="1" t="str">
        <f>INDEX(Table2[[HomeTeam]:[Group_details]],ROWS($N$2:S192),COLUMNS($N$2:S192))</f>
        <v>Group stages</v>
      </c>
      <c r="V192" s="1" t="b">
        <f t="shared" si="2"/>
        <v>0</v>
      </c>
      <c r="W192" s="1" t="str">
        <f>IF(V192=TRUE,ROWS($V$2:V192),"")</f>
        <v/>
      </c>
      <c r="X192" s="1" t="str">
        <f>IFERROR(SMALL($W$2:$W$853,ROWS($W$2:W192)),"")</f>
        <v/>
      </c>
      <c r="Y192" s="1" t="str">
        <f>IF($X192&lt;&gt;"",INDEX($P$2:$U$853,MATCH($X192,$W$2:$W$853,0),COLUMNS($X$2:X192)),"")</f>
        <v/>
      </c>
      <c r="Z192" s="1" t="str">
        <f>IF($X192&lt;&gt;"",INDEX($P$2:$U$853,MATCH($X192,$W$2:$W$853,0),COLUMNS($X$2:Y192)),"")</f>
        <v/>
      </c>
      <c r="AA192" s="1" t="str">
        <f>IF($X192&lt;&gt;"",INDEX($P$2:$U$853,MATCH($X192,$W$2:$W$853,0),COLUMNS($X$2:Z192)),"")</f>
        <v/>
      </c>
      <c r="AB192" s="1" t="str">
        <f>IF($X192&lt;&gt;"",INDEX($P$2:$U$853,MATCH($X192,$W$2:$W$853,0),COLUMNS($X$2:AA192)),"")</f>
        <v/>
      </c>
      <c r="AC192" s="1" t="str">
        <f>IF($X192&lt;&gt;"",INDEX($P$2:$U$853,MATCH($X192,$W$2:$W$853,0),COLUMNS($X$2:AB192)),"")</f>
        <v/>
      </c>
      <c r="AD192" s="1" t="str">
        <f>IF($X192&lt;&gt;"",INDEX($P$2:$U$853,MATCH($X192,$W$2:$W$853,0),COLUMNS($X$2:AC192)),"")</f>
        <v/>
      </c>
    </row>
    <row r="193" spans="1:30" x14ac:dyDescent="0.2">
      <c r="A193" s="1">
        <v>1966</v>
      </c>
      <c r="B193" s="2">
        <v>24308</v>
      </c>
      <c r="C193" s="1" t="s">
        <v>522</v>
      </c>
      <c r="D193" s="1" t="s">
        <v>15</v>
      </c>
      <c r="E193" s="1" t="s">
        <v>173</v>
      </c>
      <c r="F193" s="1" t="s">
        <v>174</v>
      </c>
      <c r="G193" s="6" t="str">
        <f>VLOOKUP(A193,WorldCups!$A$2:$B$23,2,FALSE)</f>
        <v>England</v>
      </c>
      <c r="H193" s="1" t="s">
        <v>126</v>
      </c>
      <c r="I193" s="1">
        <v>2</v>
      </c>
      <c r="J193" s="1">
        <v>1</v>
      </c>
      <c r="K193" s="1" t="s">
        <v>26</v>
      </c>
      <c r="L193" s="1" t="s">
        <v>14</v>
      </c>
      <c r="M193" s="1" t="str">
        <f>IF(ISNUMBER(SEARCH("Group",Table2[[#This Row],[Round]])),"Group stages",Table2[[#This Row],[Round]])</f>
        <v>Group stages</v>
      </c>
      <c r="O193" s="1">
        <f>Table2[[#This Row],[Year]]</f>
        <v>1966</v>
      </c>
      <c r="P193" s="1" t="str">
        <f>INDEX(Table2[[HomeTeam]:[Group_details]],ROWS($N$2:N193),COLUMNS($N$2:N193))</f>
        <v>Soviet Union</v>
      </c>
      <c r="Q193" s="1">
        <f>INDEX(Table2[[HomeTeam]:[Group_details]],ROWS($N$2:O193),COLUMNS($N$2:O193))</f>
        <v>2</v>
      </c>
      <c r="R193" s="1">
        <f>INDEX(Table2[[HomeTeam]:[Group_details]],ROWS($N$2:P193),COLUMNS($N$2:P193))</f>
        <v>1</v>
      </c>
      <c r="S193" s="1" t="str">
        <f>INDEX(Table2[[HomeTeam]:[Group_details]],ROWS($N$2:Q193),COLUMNS($N$2:Q193))</f>
        <v>Chile</v>
      </c>
      <c r="T193" s="1" t="str">
        <f>INDEX(Table2[[HomeTeam]:[Group_details]],ROWS($N$2:R193),COLUMNS($N$2:R193))</f>
        <v xml:space="preserve"> </v>
      </c>
      <c r="U193" s="1" t="str">
        <f>INDEX(Table2[[HomeTeam]:[Group_details]],ROWS($N$2:S193),COLUMNS($N$2:S193))</f>
        <v>Group stages</v>
      </c>
      <c r="V193" s="1" t="b">
        <f t="shared" si="2"/>
        <v>0</v>
      </c>
      <c r="W193" s="1" t="str">
        <f>IF(V193=TRUE,ROWS($V$2:V193),"")</f>
        <v/>
      </c>
      <c r="X193" s="1" t="str">
        <f>IFERROR(SMALL($W$2:$W$853,ROWS($W$2:W193)),"")</f>
        <v/>
      </c>
      <c r="Y193" s="1" t="str">
        <f>IF($X193&lt;&gt;"",INDEX($P$2:$U$853,MATCH($X193,$W$2:$W$853,0),COLUMNS($X$2:X193)),"")</f>
        <v/>
      </c>
      <c r="Z193" s="1" t="str">
        <f>IF($X193&lt;&gt;"",INDEX($P$2:$U$853,MATCH($X193,$W$2:$W$853,0),COLUMNS($X$2:Y193)),"")</f>
        <v/>
      </c>
      <c r="AA193" s="1" t="str">
        <f>IF($X193&lt;&gt;"",INDEX($P$2:$U$853,MATCH($X193,$W$2:$W$853,0),COLUMNS($X$2:Z193)),"")</f>
        <v/>
      </c>
      <c r="AB193" s="1" t="str">
        <f>IF($X193&lt;&gt;"",INDEX($P$2:$U$853,MATCH($X193,$W$2:$W$853,0),COLUMNS($X$2:AA193)),"")</f>
        <v/>
      </c>
      <c r="AC193" s="1" t="str">
        <f>IF($X193&lt;&gt;"",INDEX($P$2:$U$853,MATCH($X193,$W$2:$W$853,0),COLUMNS($X$2:AB193)),"")</f>
        <v/>
      </c>
      <c r="AD193" s="1" t="str">
        <f>IF($X193&lt;&gt;"",INDEX($P$2:$U$853,MATCH($X193,$W$2:$W$853,0),COLUMNS($X$2:AC193)),"")</f>
        <v/>
      </c>
    </row>
    <row r="194" spans="1:30" x14ac:dyDescent="0.2">
      <c r="A194" s="1">
        <v>1966</v>
      </c>
      <c r="B194" s="2">
        <v>24311</v>
      </c>
      <c r="C194" s="1" t="s">
        <v>500</v>
      </c>
      <c r="D194" s="1" t="s">
        <v>61</v>
      </c>
      <c r="E194" s="1" t="s">
        <v>159</v>
      </c>
      <c r="F194" s="1" t="s">
        <v>160</v>
      </c>
      <c r="G194" s="6" t="str">
        <f>VLOOKUP(A194,WorldCups!$A$2:$B$23,2,FALSE)</f>
        <v>England</v>
      </c>
      <c r="H194" s="1" t="s">
        <v>93</v>
      </c>
      <c r="I194" s="1">
        <v>1</v>
      </c>
      <c r="J194" s="1">
        <v>0</v>
      </c>
      <c r="K194" s="1" t="s">
        <v>25</v>
      </c>
      <c r="L194" s="1" t="s">
        <v>14</v>
      </c>
      <c r="M194" s="1" t="str">
        <f>IF(ISNUMBER(SEARCH("Group",Table2[[#This Row],[Round]])),"Group stages",Table2[[#This Row],[Round]])</f>
        <v>Quarter-finals</v>
      </c>
      <c r="O194" s="1">
        <f>Table2[[#This Row],[Year]]</f>
        <v>1966</v>
      </c>
      <c r="P194" s="1" t="str">
        <f>INDEX(Table2[[HomeTeam]:[Group_details]],ROWS($N$2:N194),COLUMNS($N$2:N194))</f>
        <v>England</v>
      </c>
      <c r="Q194" s="1">
        <f>INDEX(Table2[[HomeTeam]:[Group_details]],ROWS($N$2:O194),COLUMNS($N$2:O194))</f>
        <v>1</v>
      </c>
      <c r="R194" s="1">
        <f>INDEX(Table2[[HomeTeam]:[Group_details]],ROWS($N$2:P194),COLUMNS($N$2:P194))</f>
        <v>0</v>
      </c>
      <c r="S194" s="1" t="str">
        <f>INDEX(Table2[[HomeTeam]:[Group_details]],ROWS($N$2:Q194),COLUMNS($N$2:Q194))</f>
        <v>Argentina</v>
      </c>
      <c r="T194" s="1" t="str">
        <f>INDEX(Table2[[HomeTeam]:[Group_details]],ROWS($N$2:R194),COLUMNS($N$2:R194))</f>
        <v xml:space="preserve"> </v>
      </c>
      <c r="U194" s="1" t="str">
        <f>INDEX(Table2[[HomeTeam]:[Group_details]],ROWS($N$2:S194),COLUMNS($N$2:S194))</f>
        <v>Quarter-finals</v>
      </c>
      <c r="V194" s="1" t="b">
        <f t="shared" si="2"/>
        <v>0</v>
      </c>
      <c r="W194" s="1" t="str">
        <f>IF(V194=TRUE,ROWS($V$2:V194),"")</f>
        <v/>
      </c>
      <c r="X194" s="1" t="str">
        <f>IFERROR(SMALL($W$2:$W$853,ROWS($W$2:W194)),"")</f>
        <v/>
      </c>
      <c r="Y194" s="1" t="str">
        <f>IF($X194&lt;&gt;"",INDEX($P$2:$U$853,MATCH($X194,$W$2:$W$853,0),COLUMNS($X$2:X194)),"")</f>
        <v/>
      </c>
      <c r="Z194" s="1" t="str">
        <f>IF($X194&lt;&gt;"",INDEX($P$2:$U$853,MATCH($X194,$W$2:$W$853,0),COLUMNS($X$2:Y194)),"")</f>
        <v/>
      </c>
      <c r="AA194" s="1" t="str">
        <f>IF($X194&lt;&gt;"",INDEX($P$2:$U$853,MATCH($X194,$W$2:$W$853,0),COLUMNS($X$2:Z194)),"")</f>
        <v/>
      </c>
      <c r="AB194" s="1" t="str">
        <f>IF($X194&lt;&gt;"",INDEX($P$2:$U$853,MATCH($X194,$W$2:$W$853,0),COLUMNS($X$2:AA194)),"")</f>
        <v/>
      </c>
      <c r="AC194" s="1" t="str">
        <f>IF($X194&lt;&gt;"",INDEX($P$2:$U$853,MATCH($X194,$W$2:$W$853,0),COLUMNS($X$2:AB194)),"")</f>
        <v/>
      </c>
      <c r="AD194" s="1" t="str">
        <f>IF($X194&lt;&gt;"",INDEX($P$2:$U$853,MATCH($X194,$W$2:$W$853,0),COLUMNS($X$2:AC194)),"")</f>
        <v/>
      </c>
    </row>
    <row r="195" spans="1:30" x14ac:dyDescent="0.2">
      <c r="A195" s="1">
        <v>1966</v>
      </c>
      <c r="B195" s="2">
        <v>24311</v>
      </c>
      <c r="C195" s="1" t="s">
        <v>500</v>
      </c>
      <c r="D195" s="1" t="s">
        <v>61</v>
      </c>
      <c r="E195" s="1" t="s">
        <v>161</v>
      </c>
      <c r="F195" s="1" t="s">
        <v>162</v>
      </c>
      <c r="G195" s="6" t="str">
        <f>VLOOKUP(A195,WorldCups!$A$2:$B$23,2,FALSE)</f>
        <v>England</v>
      </c>
      <c r="H195" s="1" t="s">
        <v>114</v>
      </c>
      <c r="I195" s="1">
        <v>4</v>
      </c>
      <c r="J195" s="1">
        <v>0</v>
      </c>
      <c r="K195" s="1" t="s">
        <v>30</v>
      </c>
      <c r="L195" s="1" t="s">
        <v>14</v>
      </c>
      <c r="M195" s="1" t="str">
        <f>IF(ISNUMBER(SEARCH("Group",Table2[[#This Row],[Round]])),"Group stages",Table2[[#This Row],[Round]])</f>
        <v>Quarter-finals</v>
      </c>
      <c r="O195" s="1">
        <f>Table2[[#This Row],[Year]]</f>
        <v>1966</v>
      </c>
      <c r="P195" s="1" t="str">
        <f>INDEX(Table2[[HomeTeam]:[Group_details]],ROWS($N$2:N195),COLUMNS($N$2:N195))</f>
        <v>Germany FR</v>
      </c>
      <c r="Q195" s="1">
        <f>INDEX(Table2[[HomeTeam]:[Group_details]],ROWS($N$2:O195),COLUMNS($N$2:O195))</f>
        <v>4</v>
      </c>
      <c r="R195" s="1">
        <f>INDEX(Table2[[HomeTeam]:[Group_details]],ROWS($N$2:P195),COLUMNS($N$2:P195))</f>
        <v>0</v>
      </c>
      <c r="S195" s="1" t="str">
        <f>INDEX(Table2[[HomeTeam]:[Group_details]],ROWS($N$2:Q195),COLUMNS($N$2:Q195))</f>
        <v>Uruguay</v>
      </c>
      <c r="T195" s="1" t="str">
        <f>INDEX(Table2[[HomeTeam]:[Group_details]],ROWS($N$2:R195),COLUMNS($N$2:R195))</f>
        <v xml:space="preserve"> </v>
      </c>
      <c r="U195" s="1" t="str">
        <f>INDEX(Table2[[HomeTeam]:[Group_details]],ROWS($N$2:S195),COLUMNS($N$2:S195))</f>
        <v>Quarter-finals</v>
      </c>
      <c r="V195" s="1" t="b">
        <f t="shared" ref="V195:V258" si="3">IF(O195=$V$1,TRUE)</f>
        <v>0</v>
      </c>
      <c r="W195" s="1" t="str">
        <f>IF(V195=TRUE,ROWS($V$2:V195),"")</f>
        <v/>
      </c>
      <c r="X195" s="1" t="str">
        <f>IFERROR(SMALL($W$2:$W$853,ROWS($W$2:W195)),"")</f>
        <v/>
      </c>
      <c r="Y195" s="1" t="str">
        <f>IF($X195&lt;&gt;"",INDEX($P$2:$U$853,MATCH($X195,$W$2:$W$853,0),COLUMNS($X$2:X195)),"")</f>
        <v/>
      </c>
      <c r="Z195" s="1" t="str">
        <f>IF($X195&lt;&gt;"",INDEX($P$2:$U$853,MATCH($X195,$W$2:$W$853,0),COLUMNS($X$2:Y195)),"")</f>
        <v/>
      </c>
      <c r="AA195" s="1" t="str">
        <f>IF($X195&lt;&gt;"",INDEX($P$2:$U$853,MATCH($X195,$W$2:$W$853,0),COLUMNS($X$2:Z195)),"")</f>
        <v/>
      </c>
      <c r="AB195" s="1" t="str">
        <f>IF($X195&lt;&gt;"",INDEX($P$2:$U$853,MATCH($X195,$W$2:$W$853,0),COLUMNS($X$2:AA195)),"")</f>
        <v/>
      </c>
      <c r="AC195" s="1" t="str">
        <f>IF($X195&lt;&gt;"",INDEX($P$2:$U$853,MATCH($X195,$W$2:$W$853,0),COLUMNS($X$2:AB195)),"")</f>
        <v/>
      </c>
      <c r="AD195" s="1" t="str">
        <f>IF($X195&lt;&gt;"",INDEX($P$2:$U$853,MATCH($X195,$W$2:$W$853,0),COLUMNS($X$2:AC195)),"")</f>
        <v/>
      </c>
    </row>
    <row r="196" spans="1:30" x14ac:dyDescent="0.2">
      <c r="A196" s="1">
        <v>1966</v>
      </c>
      <c r="B196" s="2">
        <v>24311</v>
      </c>
      <c r="C196" s="1" t="s">
        <v>500</v>
      </c>
      <c r="D196" s="1" t="s">
        <v>61</v>
      </c>
      <c r="E196" s="1" t="s">
        <v>173</v>
      </c>
      <c r="F196" s="1" t="s">
        <v>174</v>
      </c>
      <c r="G196" s="6" t="str">
        <f>VLOOKUP(A196,WorldCups!$A$2:$B$23,2,FALSE)</f>
        <v>England</v>
      </c>
      <c r="H196" s="1" t="s">
        <v>126</v>
      </c>
      <c r="I196" s="1">
        <v>2</v>
      </c>
      <c r="J196" s="1">
        <v>1</v>
      </c>
      <c r="K196" s="1" t="s">
        <v>40</v>
      </c>
      <c r="L196" s="1" t="s">
        <v>14</v>
      </c>
      <c r="M196" s="1" t="str">
        <f>IF(ISNUMBER(SEARCH("Group",Table2[[#This Row],[Round]])),"Group stages",Table2[[#This Row],[Round]])</f>
        <v>Quarter-finals</v>
      </c>
      <c r="O196" s="1">
        <f>Table2[[#This Row],[Year]]</f>
        <v>1966</v>
      </c>
      <c r="P196" s="1" t="str">
        <f>INDEX(Table2[[HomeTeam]:[Group_details]],ROWS($N$2:N196),COLUMNS($N$2:N196))</f>
        <v>Soviet Union</v>
      </c>
      <c r="Q196" s="1">
        <f>INDEX(Table2[[HomeTeam]:[Group_details]],ROWS($N$2:O196),COLUMNS($N$2:O196))</f>
        <v>2</v>
      </c>
      <c r="R196" s="1">
        <f>INDEX(Table2[[HomeTeam]:[Group_details]],ROWS($N$2:P196),COLUMNS($N$2:P196))</f>
        <v>1</v>
      </c>
      <c r="S196" s="1" t="str">
        <f>INDEX(Table2[[HomeTeam]:[Group_details]],ROWS($N$2:Q196),COLUMNS($N$2:Q196))</f>
        <v>Hungary</v>
      </c>
      <c r="T196" s="1" t="str">
        <f>INDEX(Table2[[HomeTeam]:[Group_details]],ROWS($N$2:R196),COLUMNS($N$2:R196))</f>
        <v xml:space="preserve"> </v>
      </c>
      <c r="U196" s="1" t="str">
        <f>INDEX(Table2[[HomeTeam]:[Group_details]],ROWS($N$2:S196),COLUMNS($N$2:S196))</f>
        <v>Quarter-finals</v>
      </c>
      <c r="V196" s="1" t="b">
        <f t="shared" si="3"/>
        <v>0</v>
      </c>
      <c r="W196" s="1" t="str">
        <f>IF(V196=TRUE,ROWS($V$2:V196),"")</f>
        <v/>
      </c>
      <c r="X196" s="1" t="str">
        <f>IFERROR(SMALL($W$2:$W$853,ROWS($W$2:W196)),"")</f>
        <v/>
      </c>
      <c r="Y196" s="1" t="str">
        <f>IF($X196&lt;&gt;"",INDEX($P$2:$U$853,MATCH($X196,$W$2:$W$853,0),COLUMNS($X$2:X196)),"")</f>
        <v/>
      </c>
      <c r="Z196" s="1" t="str">
        <f>IF($X196&lt;&gt;"",INDEX($P$2:$U$853,MATCH($X196,$W$2:$W$853,0),COLUMNS($X$2:Y196)),"")</f>
        <v/>
      </c>
      <c r="AA196" s="1" t="str">
        <f>IF($X196&lt;&gt;"",INDEX($P$2:$U$853,MATCH($X196,$W$2:$W$853,0),COLUMNS($X$2:Z196)),"")</f>
        <v/>
      </c>
      <c r="AB196" s="1" t="str">
        <f>IF($X196&lt;&gt;"",INDEX($P$2:$U$853,MATCH($X196,$W$2:$W$853,0),COLUMNS($X$2:AA196)),"")</f>
        <v/>
      </c>
      <c r="AC196" s="1" t="str">
        <f>IF($X196&lt;&gt;"",INDEX($P$2:$U$853,MATCH($X196,$W$2:$W$853,0),COLUMNS($X$2:AB196)),"")</f>
        <v/>
      </c>
      <c r="AD196" s="1" t="str">
        <f>IF($X196&lt;&gt;"",INDEX($P$2:$U$853,MATCH($X196,$W$2:$W$853,0),COLUMNS($X$2:AC196)),"")</f>
        <v/>
      </c>
    </row>
    <row r="197" spans="1:30" x14ac:dyDescent="0.2">
      <c r="A197" s="1">
        <v>1966</v>
      </c>
      <c r="B197" s="2">
        <v>24311</v>
      </c>
      <c r="C197" s="1" t="s">
        <v>500</v>
      </c>
      <c r="D197" s="1" t="s">
        <v>61</v>
      </c>
      <c r="E197" s="1" t="s">
        <v>163</v>
      </c>
      <c r="F197" s="1" t="s">
        <v>164</v>
      </c>
      <c r="G197" s="6" t="str">
        <f>VLOOKUP(A197,WorldCups!$A$2:$B$23,2,FALSE)</f>
        <v>England</v>
      </c>
      <c r="H197" s="1" t="s">
        <v>170</v>
      </c>
      <c r="I197" s="1">
        <v>5</v>
      </c>
      <c r="J197" s="1">
        <v>3</v>
      </c>
      <c r="K197" s="1" t="s">
        <v>167</v>
      </c>
      <c r="L197" s="1" t="s">
        <v>14</v>
      </c>
      <c r="M197" s="1" t="str">
        <f>IF(ISNUMBER(SEARCH("Group",Table2[[#This Row],[Round]])),"Group stages",Table2[[#This Row],[Round]])</f>
        <v>Quarter-finals</v>
      </c>
      <c r="O197" s="1">
        <f>Table2[[#This Row],[Year]]</f>
        <v>1966</v>
      </c>
      <c r="P197" s="1" t="str">
        <f>INDEX(Table2[[HomeTeam]:[Group_details]],ROWS($N$2:N197),COLUMNS($N$2:N197))</f>
        <v>Portugal</v>
      </c>
      <c r="Q197" s="1">
        <f>INDEX(Table2[[HomeTeam]:[Group_details]],ROWS($N$2:O197),COLUMNS($N$2:O197))</f>
        <v>5</v>
      </c>
      <c r="R197" s="1">
        <f>INDEX(Table2[[HomeTeam]:[Group_details]],ROWS($N$2:P197),COLUMNS($N$2:P197))</f>
        <v>3</v>
      </c>
      <c r="S197" s="1" t="str">
        <f>INDEX(Table2[[HomeTeam]:[Group_details]],ROWS($N$2:Q197),COLUMNS($N$2:Q197))</f>
        <v>Korea DPR</v>
      </c>
      <c r="T197" s="1" t="str">
        <f>INDEX(Table2[[HomeTeam]:[Group_details]],ROWS($N$2:R197),COLUMNS($N$2:R197))</f>
        <v xml:space="preserve"> </v>
      </c>
      <c r="U197" s="1" t="str">
        <f>INDEX(Table2[[HomeTeam]:[Group_details]],ROWS($N$2:S197),COLUMNS($N$2:S197))</f>
        <v>Quarter-finals</v>
      </c>
      <c r="V197" s="1" t="b">
        <f t="shared" si="3"/>
        <v>0</v>
      </c>
      <c r="W197" s="1" t="str">
        <f>IF(V197=TRUE,ROWS($V$2:V197),"")</f>
        <v/>
      </c>
      <c r="X197" s="1" t="str">
        <f>IFERROR(SMALL($W$2:$W$853,ROWS($W$2:W197)),"")</f>
        <v/>
      </c>
      <c r="Y197" s="1" t="str">
        <f>IF($X197&lt;&gt;"",INDEX($P$2:$U$853,MATCH($X197,$W$2:$W$853,0),COLUMNS($X$2:X197)),"")</f>
        <v/>
      </c>
      <c r="Z197" s="1" t="str">
        <f>IF($X197&lt;&gt;"",INDEX($P$2:$U$853,MATCH($X197,$W$2:$W$853,0),COLUMNS($X$2:Y197)),"")</f>
        <v/>
      </c>
      <c r="AA197" s="1" t="str">
        <f>IF($X197&lt;&gt;"",INDEX($P$2:$U$853,MATCH($X197,$W$2:$W$853,0),COLUMNS($X$2:Z197)),"")</f>
        <v/>
      </c>
      <c r="AB197" s="1" t="str">
        <f>IF($X197&lt;&gt;"",INDEX($P$2:$U$853,MATCH($X197,$W$2:$W$853,0),COLUMNS($X$2:AA197)),"")</f>
        <v/>
      </c>
      <c r="AC197" s="1" t="str">
        <f>IF($X197&lt;&gt;"",INDEX($P$2:$U$853,MATCH($X197,$W$2:$W$853,0),COLUMNS($X$2:AB197)),"")</f>
        <v/>
      </c>
      <c r="AD197" s="1" t="str">
        <f>IF($X197&lt;&gt;"",INDEX($P$2:$U$853,MATCH($X197,$W$2:$W$853,0),COLUMNS($X$2:AC197)),"")</f>
        <v/>
      </c>
    </row>
    <row r="198" spans="1:30" x14ac:dyDescent="0.2">
      <c r="A198" s="1">
        <v>1966</v>
      </c>
      <c r="B198" s="2">
        <v>24313</v>
      </c>
      <c r="C198" s="1" t="s">
        <v>522</v>
      </c>
      <c r="D198" s="1" t="s">
        <v>31</v>
      </c>
      <c r="E198" s="1" t="s">
        <v>163</v>
      </c>
      <c r="F198" s="1" t="s">
        <v>164</v>
      </c>
      <c r="G198" s="6" t="str">
        <f>VLOOKUP(A198,WorldCups!$A$2:$B$23,2,FALSE)</f>
        <v>England</v>
      </c>
      <c r="H198" s="1" t="s">
        <v>114</v>
      </c>
      <c r="I198" s="1">
        <v>2</v>
      </c>
      <c r="J198" s="1">
        <v>1</v>
      </c>
      <c r="K198" s="1" t="s">
        <v>126</v>
      </c>
      <c r="L198" s="1" t="s">
        <v>14</v>
      </c>
      <c r="M198" s="1" t="str">
        <f>IF(ISNUMBER(SEARCH("Group",Table2[[#This Row],[Round]])),"Group stages",Table2[[#This Row],[Round]])</f>
        <v>Semi-finals</v>
      </c>
      <c r="O198" s="1">
        <f>Table2[[#This Row],[Year]]</f>
        <v>1966</v>
      </c>
      <c r="P198" s="1" t="str">
        <f>INDEX(Table2[[HomeTeam]:[Group_details]],ROWS($N$2:N198),COLUMNS($N$2:N198))</f>
        <v>Germany FR</v>
      </c>
      <c r="Q198" s="1">
        <f>INDEX(Table2[[HomeTeam]:[Group_details]],ROWS($N$2:O198),COLUMNS($N$2:O198))</f>
        <v>2</v>
      </c>
      <c r="R198" s="1">
        <f>INDEX(Table2[[HomeTeam]:[Group_details]],ROWS($N$2:P198),COLUMNS($N$2:P198))</f>
        <v>1</v>
      </c>
      <c r="S198" s="1" t="str">
        <f>INDEX(Table2[[HomeTeam]:[Group_details]],ROWS($N$2:Q198),COLUMNS($N$2:Q198))</f>
        <v>Soviet Union</v>
      </c>
      <c r="T198" s="1" t="str">
        <f>INDEX(Table2[[HomeTeam]:[Group_details]],ROWS($N$2:R198),COLUMNS($N$2:R198))</f>
        <v xml:space="preserve"> </v>
      </c>
      <c r="U198" s="1" t="str">
        <f>INDEX(Table2[[HomeTeam]:[Group_details]],ROWS($N$2:S198),COLUMNS($N$2:S198))</f>
        <v>Semi-finals</v>
      </c>
      <c r="V198" s="1" t="b">
        <f t="shared" si="3"/>
        <v>0</v>
      </c>
      <c r="W198" s="1" t="str">
        <f>IF(V198=TRUE,ROWS($V$2:V198),"")</f>
        <v/>
      </c>
      <c r="X198" s="1" t="str">
        <f>IFERROR(SMALL($W$2:$W$853,ROWS($W$2:W198)),"")</f>
        <v/>
      </c>
      <c r="Y198" s="1" t="str">
        <f>IF($X198&lt;&gt;"",INDEX($P$2:$U$853,MATCH($X198,$W$2:$W$853,0),COLUMNS($X$2:X198)),"")</f>
        <v/>
      </c>
      <c r="Z198" s="1" t="str">
        <f>IF($X198&lt;&gt;"",INDEX($P$2:$U$853,MATCH($X198,$W$2:$W$853,0),COLUMNS($X$2:Y198)),"")</f>
        <v/>
      </c>
      <c r="AA198" s="1" t="str">
        <f>IF($X198&lt;&gt;"",INDEX($P$2:$U$853,MATCH($X198,$W$2:$W$853,0),COLUMNS($X$2:Z198)),"")</f>
        <v/>
      </c>
      <c r="AB198" s="1" t="str">
        <f>IF($X198&lt;&gt;"",INDEX($P$2:$U$853,MATCH($X198,$W$2:$W$853,0),COLUMNS($X$2:AA198)),"")</f>
        <v/>
      </c>
      <c r="AC198" s="1" t="str">
        <f>IF($X198&lt;&gt;"",INDEX($P$2:$U$853,MATCH($X198,$W$2:$W$853,0),COLUMNS($X$2:AB198)),"")</f>
        <v/>
      </c>
      <c r="AD198" s="1" t="str">
        <f>IF($X198&lt;&gt;"",INDEX($P$2:$U$853,MATCH($X198,$W$2:$W$853,0),COLUMNS($X$2:AC198)),"")</f>
        <v/>
      </c>
    </row>
    <row r="199" spans="1:30" x14ac:dyDescent="0.2">
      <c r="A199" s="1">
        <v>1966</v>
      </c>
      <c r="B199" s="2">
        <v>24314</v>
      </c>
      <c r="C199" s="1" t="s">
        <v>522</v>
      </c>
      <c r="D199" s="1" t="s">
        <v>31</v>
      </c>
      <c r="E199" s="1" t="s">
        <v>159</v>
      </c>
      <c r="F199" s="1" t="s">
        <v>160</v>
      </c>
      <c r="G199" s="6" t="str">
        <f>VLOOKUP(A199,WorldCups!$A$2:$B$23,2,FALSE)</f>
        <v>England</v>
      </c>
      <c r="H199" s="1" t="s">
        <v>93</v>
      </c>
      <c r="I199" s="1">
        <v>2</v>
      </c>
      <c r="J199" s="1">
        <v>1</v>
      </c>
      <c r="K199" s="1" t="s">
        <v>170</v>
      </c>
      <c r="L199" s="1" t="s">
        <v>14</v>
      </c>
      <c r="M199" s="1" t="str">
        <f>IF(ISNUMBER(SEARCH("Group",Table2[[#This Row],[Round]])),"Group stages",Table2[[#This Row],[Round]])</f>
        <v>Semi-finals</v>
      </c>
      <c r="O199" s="1">
        <f>Table2[[#This Row],[Year]]</f>
        <v>1966</v>
      </c>
      <c r="P199" s="1" t="str">
        <f>INDEX(Table2[[HomeTeam]:[Group_details]],ROWS($N$2:N199),COLUMNS($N$2:N199))</f>
        <v>England</v>
      </c>
      <c r="Q199" s="1">
        <f>INDEX(Table2[[HomeTeam]:[Group_details]],ROWS($N$2:O199),COLUMNS($N$2:O199))</f>
        <v>2</v>
      </c>
      <c r="R199" s="1">
        <f>INDEX(Table2[[HomeTeam]:[Group_details]],ROWS($N$2:P199),COLUMNS($N$2:P199))</f>
        <v>1</v>
      </c>
      <c r="S199" s="1" t="str">
        <f>INDEX(Table2[[HomeTeam]:[Group_details]],ROWS($N$2:Q199),COLUMNS($N$2:Q199))</f>
        <v>Portugal</v>
      </c>
      <c r="T199" s="1" t="str">
        <f>INDEX(Table2[[HomeTeam]:[Group_details]],ROWS($N$2:R199),COLUMNS($N$2:R199))</f>
        <v xml:space="preserve"> </v>
      </c>
      <c r="U199" s="1" t="str">
        <f>INDEX(Table2[[HomeTeam]:[Group_details]],ROWS($N$2:S199),COLUMNS($N$2:S199))</f>
        <v>Semi-finals</v>
      </c>
      <c r="V199" s="1" t="b">
        <f t="shared" si="3"/>
        <v>0</v>
      </c>
      <c r="W199" s="1" t="str">
        <f>IF(V199=TRUE,ROWS($V$2:V199),"")</f>
        <v/>
      </c>
      <c r="X199" s="1" t="str">
        <f>IFERROR(SMALL($W$2:$W$853,ROWS($W$2:W199)),"")</f>
        <v/>
      </c>
      <c r="Y199" s="1" t="str">
        <f>IF($X199&lt;&gt;"",INDEX($P$2:$U$853,MATCH($X199,$W$2:$W$853,0),COLUMNS($X$2:X199)),"")</f>
        <v/>
      </c>
      <c r="Z199" s="1" t="str">
        <f>IF($X199&lt;&gt;"",INDEX($P$2:$U$853,MATCH($X199,$W$2:$W$853,0),COLUMNS($X$2:Y199)),"")</f>
        <v/>
      </c>
      <c r="AA199" s="1" t="str">
        <f>IF($X199&lt;&gt;"",INDEX($P$2:$U$853,MATCH($X199,$W$2:$W$853,0),COLUMNS($X$2:Z199)),"")</f>
        <v/>
      </c>
      <c r="AB199" s="1" t="str">
        <f>IF($X199&lt;&gt;"",INDEX($P$2:$U$853,MATCH($X199,$W$2:$W$853,0),COLUMNS($X$2:AA199)),"")</f>
        <v/>
      </c>
      <c r="AC199" s="1" t="str">
        <f>IF($X199&lt;&gt;"",INDEX($P$2:$U$853,MATCH($X199,$W$2:$W$853,0),COLUMNS($X$2:AB199)),"")</f>
        <v/>
      </c>
      <c r="AD199" s="1" t="str">
        <f>IF($X199&lt;&gt;"",INDEX($P$2:$U$853,MATCH($X199,$W$2:$W$853,0),COLUMNS($X$2:AC199)),"")</f>
        <v/>
      </c>
    </row>
    <row r="200" spans="1:30" x14ac:dyDescent="0.2">
      <c r="A200" s="1">
        <v>1966</v>
      </c>
      <c r="B200" s="2">
        <v>24316</v>
      </c>
      <c r="C200" s="1" t="s">
        <v>522</v>
      </c>
      <c r="D200" s="1" t="s">
        <v>62</v>
      </c>
      <c r="E200" s="1" t="s">
        <v>159</v>
      </c>
      <c r="F200" s="1" t="s">
        <v>160</v>
      </c>
      <c r="G200" s="6" t="str">
        <f>VLOOKUP(A200,WorldCups!$A$2:$B$23,2,FALSE)</f>
        <v>England</v>
      </c>
      <c r="H200" s="1" t="s">
        <v>170</v>
      </c>
      <c r="I200" s="1">
        <v>2</v>
      </c>
      <c r="J200" s="1">
        <v>1</v>
      </c>
      <c r="K200" s="1" t="s">
        <v>126</v>
      </c>
      <c r="L200" s="1" t="s">
        <v>14</v>
      </c>
      <c r="M200" s="1" t="str">
        <f>IF(ISNUMBER(SEARCH("Group",Table2[[#This Row],[Round]])),"Group stages",Table2[[#This Row],[Round]])</f>
        <v>Match for third place</v>
      </c>
      <c r="O200" s="1">
        <f>Table2[[#This Row],[Year]]</f>
        <v>1966</v>
      </c>
      <c r="P200" s="1" t="str">
        <f>INDEX(Table2[[HomeTeam]:[Group_details]],ROWS($N$2:N200),COLUMNS($N$2:N200))</f>
        <v>Portugal</v>
      </c>
      <c r="Q200" s="1">
        <f>INDEX(Table2[[HomeTeam]:[Group_details]],ROWS($N$2:O200),COLUMNS($N$2:O200))</f>
        <v>2</v>
      </c>
      <c r="R200" s="1">
        <f>INDEX(Table2[[HomeTeam]:[Group_details]],ROWS($N$2:P200),COLUMNS($N$2:P200))</f>
        <v>1</v>
      </c>
      <c r="S200" s="1" t="str">
        <f>INDEX(Table2[[HomeTeam]:[Group_details]],ROWS($N$2:Q200),COLUMNS($N$2:Q200))</f>
        <v>Soviet Union</v>
      </c>
      <c r="T200" s="1" t="str">
        <f>INDEX(Table2[[HomeTeam]:[Group_details]],ROWS($N$2:R200),COLUMNS($N$2:R200))</f>
        <v xml:space="preserve"> </v>
      </c>
      <c r="U200" s="1" t="str">
        <f>INDEX(Table2[[HomeTeam]:[Group_details]],ROWS($N$2:S200),COLUMNS($N$2:S200))</f>
        <v>Match for third place</v>
      </c>
      <c r="V200" s="1" t="b">
        <f t="shared" si="3"/>
        <v>0</v>
      </c>
      <c r="W200" s="1" t="str">
        <f>IF(V200=TRUE,ROWS($V$2:V200),"")</f>
        <v/>
      </c>
      <c r="X200" s="1" t="str">
        <f>IFERROR(SMALL($W$2:$W$853,ROWS($W$2:W200)),"")</f>
        <v/>
      </c>
      <c r="Y200" s="1" t="str">
        <f>IF($X200&lt;&gt;"",INDEX($P$2:$U$853,MATCH($X200,$W$2:$W$853,0),COLUMNS($X$2:X200)),"")</f>
        <v/>
      </c>
      <c r="Z200" s="1" t="str">
        <f>IF($X200&lt;&gt;"",INDEX($P$2:$U$853,MATCH($X200,$W$2:$W$853,0),COLUMNS($X$2:Y200)),"")</f>
        <v/>
      </c>
      <c r="AA200" s="1" t="str">
        <f>IF($X200&lt;&gt;"",INDEX($P$2:$U$853,MATCH($X200,$W$2:$W$853,0),COLUMNS($X$2:Z200)),"")</f>
        <v/>
      </c>
      <c r="AB200" s="1" t="str">
        <f>IF($X200&lt;&gt;"",INDEX($P$2:$U$853,MATCH($X200,$W$2:$W$853,0),COLUMNS($X$2:AA200)),"")</f>
        <v/>
      </c>
      <c r="AC200" s="1" t="str">
        <f>IF($X200&lt;&gt;"",INDEX($P$2:$U$853,MATCH($X200,$W$2:$W$853,0),COLUMNS($X$2:AB200)),"")</f>
        <v/>
      </c>
      <c r="AD200" s="1" t="str">
        <f>IF($X200&lt;&gt;"",INDEX($P$2:$U$853,MATCH($X200,$W$2:$W$853,0),COLUMNS($X$2:AC200)),"")</f>
        <v/>
      </c>
    </row>
    <row r="201" spans="1:30" x14ac:dyDescent="0.2">
      <c r="A201" s="1">
        <v>1966</v>
      </c>
      <c r="B201" s="2">
        <v>24318</v>
      </c>
      <c r="C201" s="1" t="s">
        <v>500</v>
      </c>
      <c r="D201" s="1" t="s">
        <v>32</v>
      </c>
      <c r="E201" s="1" t="s">
        <v>159</v>
      </c>
      <c r="F201" s="1" t="s">
        <v>160</v>
      </c>
      <c r="G201" s="6" t="str">
        <f>VLOOKUP(A201,WorldCups!$A$2:$B$23,2,FALSE)</f>
        <v>England</v>
      </c>
      <c r="H201" s="1" t="s">
        <v>93</v>
      </c>
      <c r="I201" s="1">
        <v>4</v>
      </c>
      <c r="J201" s="1">
        <v>2</v>
      </c>
      <c r="K201" s="1" t="s">
        <v>114</v>
      </c>
      <c r="L201" s="1" t="s">
        <v>176</v>
      </c>
      <c r="M201" s="1" t="str">
        <f>IF(ISNUMBER(SEARCH("Group",Table2[[#This Row],[Round]])),"Group stages",Table2[[#This Row],[Round]])</f>
        <v>Final</v>
      </c>
      <c r="O201" s="1">
        <f>Table2[[#This Row],[Year]]</f>
        <v>1966</v>
      </c>
      <c r="P201" s="1" t="str">
        <f>INDEX(Table2[[HomeTeam]:[Group_details]],ROWS($N$2:N201),COLUMNS($N$2:N201))</f>
        <v>England</v>
      </c>
      <c r="Q201" s="1">
        <f>INDEX(Table2[[HomeTeam]:[Group_details]],ROWS($N$2:O201),COLUMNS($N$2:O201))</f>
        <v>4</v>
      </c>
      <c r="R201" s="1">
        <f>INDEX(Table2[[HomeTeam]:[Group_details]],ROWS($N$2:P201),COLUMNS($N$2:P201))</f>
        <v>2</v>
      </c>
      <c r="S201" s="1" t="str">
        <f>INDEX(Table2[[HomeTeam]:[Group_details]],ROWS($N$2:Q201),COLUMNS($N$2:Q201))</f>
        <v>Germany FR</v>
      </c>
      <c r="T201" s="1" t="str">
        <f>INDEX(Table2[[HomeTeam]:[Group_details]],ROWS($N$2:R201),COLUMNS($N$2:R201))</f>
        <v xml:space="preserve">England win after extra time </v>
      </c>
      <c r="U201" s="1" t="str">
        <f>INDEX(Table2[[HomeTeam]:[Group_details]],ROWS($N$2:S201),COLUMNS($N$2:S201))</f>
        <v>Final</v>
      </c>
      <c r="V201" s="1" t="b">
        <f t="shared" si="3"/>
        <v>0</v>
      </c>
      <c r="W201" s="1" t="str">
        <f>IF(V201=TRUE,ROWS($V$2:V201),"")</f>
        <v/>
      </c>
      <c r="X201" s="1" t="str">
        <f>IFERROR(SMALL($W$2:$W$853,ROWS($W$2:W201)),"")</f>
        <v/>
      </c>
      <c r="Y201" s="1" t="str">
        <f>IF($X201&lt;&gt;"",INDEX($P$2:$U$853,MATCH($X201,$W$2:$W$853,0),COLUMNS($X$2:X201)),"")</f>
        <v/>
      </c>
      <c r="Z201" s="1" t="str">
        <f>IF($X201&lt;&gt;"",INDEX($P$2:$U$853,MATCH($X201,$W$2:$W$853,0),COLUMNS($X$2:Y201)),"")</f>
        <v/>
      </c>
      <c r="AA201" s="1" t="str">
        <f>IF($X201&lt;&gt;"",INDEX($P$2:$U$853,MATCH($X201,$W$2:$W$853,0),COLUMNS($X$2:Z201)),"")</f>
        <v/>
      </c>
      <c r="AB201" s="1" t="str">
        <f>IF($X201&lt;&gt;"",INDEX($P$2:$U$853,MATCH($X201,$W$2:$W$853,0),COLUMNS($X$2:AA201)),"")</f>
        <v/>
      </c>
      <c r="AC201" s="1" t="str">
        <f>IF($X201&lt;&gt;"",INDEX($P$2:$U$853,MATCH($X201,$W$2:$W$853,0),COLUMNS($X$2:AB201)),"")</f>
        <v/>
      </c>
      <c r="AD201" s="1" t="str">
        <f>IF($X201&lt;&gt;"",INDEX($P$2:$U$853,MATCH($X201,$W$2:$W$853,0),COLUMNS($X$2:AC201)),"")</f>
        <v/>
      </c>
    </row>
    <row r="202" spans="1:30" x14ac:dyDescent="0.2">
      <c r="A202" s="1">
        <v>1970</v>
      </c>
      <c r="B202" s="2">
        <v>25719</v>
      </c>
      <c r="C202" s="1" t="s">
        <v>523</v>
      </c>
      <c r="D202" s="1" t="s">
        <v>9</v>
      </c>
      <c r="E202" s="1" t="s">
        <v>177</v>
      </c>
      <c r="F202" s="1" t="s">
        <v>178</v>
      </c>
      <c r="G202" s="6" t="str">
        <f>VLOOKUP(A202,WorldCups!$A$2:$B$23,2,FALSE)</f>
        <v>Mexico</v>
      </c>
      <c r="H202" s="1" t="s">
        <v>13</v>
      </c>
      <c r="I202" s="1">
        <v>0</v>
      </c>
      <c r="J202" s="1">
        <v>0</v>
      </c>
      <c r="K202" s="1" t="s">
        <v>126</v>
      </c>
      <c r="L202" s="1" t="s">
        <v>14</v>
      </c>
      <c r="M202" s="1" t="str">
        <f>IF(ISNUMBER(SEARCH("Group",Table2[[#This Row],[Round]])),"Group stages",Table2[[#This Row],[Round]])</f>
        <v>Group stages</v>
      </c>
      <c r="O202" s="1">
        <f>Table2[[#This Row],[Year]]</f>
        <v>1970</v>
      </c>
      <c r="P202" s="1" t="str">
        <f>INDEX(Table2[[HomeTeam]:[Group_details]],ROWS($N$2:N202),COLUMNS($N$2:N202))</f>
        <v>Mexico</v>
      </c>
      <c r="Q202" s="1">
        <f>INDEX(Table2[[HomeTeam]:[Group_details]],ROWS($N$2:O202),COLUMNS($N$2:O202))</f>
        <v>0</v>
      </c>
      <c r="R202" s="1">
        <f>INDEX(Table2[[HomeTeam]:[Group_details]],ROWS($N$2:P202),COLUMNS($N$2:P202))</f>
        <v>0</v>
      </c>
      <c r="S202" s="1" t="str">
        <f>INDEX(Table2[[HomeTeam]:[Group_details]],ROWS($N$2:Q202),COLUMNS($N$2:Q202))</f>
        <v>Soviet Union</v>
      </c>
      <c r="T202" s="1" t="str">
        <f>INDEX(Table2[[HomeTeam]:[Group_details]],ROWS($N$2:R202),COLUMNS($N$2:R202))</f>
        <v xml:space="preserve"> </v>
      </c>
      <c r="U202" s="1" t="str">
        <f>INDEX(Table2[[HomeTeam]:[Group_details]],ROWS($N$2:S202),COLUMNS($N$2:S202))</f>
        <v>Group stages</v>
      </c>
      <c r="V202" s="1" t="b">
        <f t="shared" si="3"/>
        <v>0</v>
      </c>
      <c r="W202" s="1" t="str">
        <f>IF(V202=TRUE,ROWS($V$2:V202),"")</f>
        <v/>
      </c>
      <c r="X202" s="1" t="str">
        <f>IFERROR(SMALL($W$2:$W$853,ROWS($W$2:W202)),"")</f>
        <v/>
      </c>
      <c r="Y202" s="1" t="str">
        <f>IF($X202&lt;&gt;"",INDEX($P$2:$U$853,MATCH($X202,$W$2:$W$853,0),COLUMNS($X$2:X202)),"")</f>
        <v/>
      </c>
      <c r="Z202" s="1" t="str">
        <f>IF($X202&lt;&gt;"",INDEX($P$2:$U$853,MATCH($X202,$W$2:$W$853,0),COLUMNS($X$2:Y202)),"")</f>
        <v/>
      </c>
      <c r="AA202" s="1" t="str">
        <f>IF($X202&lt;&gt;"",INDEX($P$2:$U$853,MATCH($X202,$W$2:$W$853,0),COLUMNS($X$2:Z202)),"")</f>
        <v/>
      </c>
      <c r="AB202" s="1" t="str">
        <f>IF($X202&lt;&gt;"",INDEX($P$2:$U$853,MATCH($X202,$W$2:$W$853,0),COLUMNS($X$2:AA202)),"")</f>
        <v/>
      </c>
      <c r="AC202" s="1" t="str">
        <f>IF($X202&lt;&gt;"",INDEX($P$2:$U$853,MATCH($X202,$W$2:$W$853,0),COLUMNS($X$2:AB202)),"")</f>
        <v/>
      </c>
      <c r="AD202" s="1" t="str">
        <f>IF($X202&lt;&gt;"",INDEX($P$2:$U$853,MATCH($X202,$W$2:$W$853,0),COLUMNS($X$2:AC202)),"")</f>
        <v/>
      </c>
    </row>
    <row r="203" spans="1:30" x14ac:dyDescent="0.2">
      <c r="A203" s="1">
        <v>1970</v>
      </c>
      <c r="B203" s="2">
        <v>25721</v>
      </c>
      <c r="C203" s="1" t="s">
        <v>503</v>
      </c>
      <c r="D203" s="1" t="s">
        <v>19</v>
      </c>
      <c r="E203" s="1" t="s">
        <v>179</v>
      </c>
      <c r="F203" s="1" t="s">
        <v>180</v>
      </c>
      <c r="G203" s="6" t="str">
        <f>VLOOKUP(A203,WorldCups!$A$2:$B$23,2,FALSE)</f>
        <v>Mexico</v>
      </c>
      <c r="H203" s="1" t="s">
        <v>30</v>
      </c>
      <c r="I203" s="1">
        <v>2</v>
      </c>
      <c r="J203" s="1">
        <v>0</v>
      </c>
      <c r="K203" s="1" t="s">
        <v>181</v>
      </c>
      <c r="L203" s="1" t="s">
        <v>14</v>
      </c>
      <c r="M203" s="1" t="str">
        <f>IF(ISNUMBER(SEARCH("Group",Table2[[#This Row],[Round]])),"Group stages",Table2[[#This Row],[Round]])</f>
        <v>Group stages</v>
      </c>
      <c r="O203" s="1">
        <f>Table2[[#This Row],[Year]]</f>
        <v>1970</v>
      </c>
      <c r="P203" s="1" t="str">
        <f>INDEX(Table2[[HomeTeam]:[Group_details]],ROWS($N$2:N203),COLUMNS($N$2:N203))</f>
        <v>Uruguay</v>
      </c>
      <c r="Q203" s="1">
        <f>INDEX(Table2[[HomeTeam]:[Group_details]],ROWS($N$2:O203),COLUMNS($N$2:O203))</f>
        <v>2</v>
      </c>
      <c r="R203" s="1">
        <f>INDEX(Table2[[HomeTeam]:[Group_details]],ROWS($N$2:P203),COLUMNS($N$2:P203))</f>
        <v>0</v>
      </c>
      <c r="S203" s="1" t="str">
        <f>INDEX(Table2[[HomeTeam]:[Group_details]],ROWS($N$2:Q203),COLUMNS($N$2:Q203))</f>
        <v>Israel</v>
      </c>
      <c r="T203" s="1" t="str">
        <f>INDEX(Table2[[HomeTeam]:[Group_details]],ROWS($N$2:R203),COLUMNS($N$2:R203))</f>
        <v xml:space="preserve"> </v>
      </c>
      <c r="U203" s="1" t="str">
        <f>INDEX(Table2[[HomeTeam]:[Group_details]],ROWS($N$2:S203),COLUMNS($N$2:S203))</f>
        <v>Group stages</v>
      </c>
      <c r="V203" s="1" t="b">
        <f t="shared" si="3"/>
        <v>0</v>
      </c>
      <c r="W203" s="1" t="str">
        <f>IF(V203=TRUE,ROWS($V$2:V203),"")</f>
        <v/>
      </c>
      <c r="X203" s="1" t="str">
        <f>IFERROR(SMALL($W$2:$W$853,ROWS($W$2:W203)),"")</f>
        <v/>
      </c>
      <c r="Y203" s="1" t="str">
        <f>IF($X203&lt;&gt;"",INDEX($P$2:$U$853,MATCH($X203,$W$2:$W$853,0),COLUMNS($X$2:X203)),"")</f>
        <v/>
      </c>
      <c r="Z203" s="1" t="str">
        <f>IF($X203&lt;&gt;"",INDEX($P$2:$U$853,MATCH($X203,$W$2:$W$853,0),COLUMNS($X$2:Y203)),"")</f>
        <v/>
      </c>
      <c r="AA203" s="1" t="str">
        <f>IF($X203&lt;&gt;"",INDEX($P$2:$U$853,MATCH($X203,$W$2:$W$853,0),COLUMNS($X$2:Z203)),"")</f>
        <v/>
      </c>
      <c r="AB203" s="1" t="str">
        <f>IF($X203&lt;&gt;"",INDEX($P$2:$U$853,MATCH($X203,$W$2:$W$853,0),COLUMNS($X$2:AA203)),"")</f>
        <v/>
      </c>
      <c r="AC203" s="1" t="str">
        <f>IF($X203&lt;&gt;"",INDEX($P$2:$U$853,MATCH($X203,$W$2:$W$853,0),COLUMNS($X$2:AB203)),"")</f>
        <v/>
      </c>
      <c r="AD203" s="1" t="str">
        <f>IF($X203&lt;&gt;"",INDEX($P$2:$U$853,MATCH($X203,$W$2:$W$853,0),COLUMNS($X$2:AC203)),"")</f>
        <v/>
      </c>
    </row>
    <row r="204" spans="1:30" x14ac:dyDescent="0.2">
      <c r="A204" s="1">
        <v>1970</v>
      </c>
      <c r="B204" s="2">
        <v>25721</v>
      </c>
      <c r="C204" s="1" t="s">
        <v>503</v>
      </c>
      <c r="D204" s="1" t="s">
        <v>15</v>
      </c>
      <c r="E204" s="1" t="s">
        <v>182</v>
      </c>
      <c r="F204" s="1" t="s">
        <v>183</v>
      </c>
      <c r="G204" s="6" t="str">
        <f>VLOOKUP(A204,WorldCups!$A$2:$B$23,2,FALSE)</f>
        <v>Mexico</v>
      </c>
      <c r="H204" s="1" t="s">
        <v>24</v>
      </c>
      <c r="I204" s="1">
        <v>3</v>
      </c>
      <c r="J204" s="1">
        <v>2</v>
      </c>
      <c r="K204" s="1" t="s">
        <v>156</v>
      </c>
      <c r="L204" s="1" t="s">
        <v>14</v>
      </c>
      <c r="M204" s="1" t="str">
        <f>IF(ISNUMBER(SEARCH("Group",Table2[[#This Row],[Round]])),"Group stages",Table2[[#This Row],[Round]])</f>
        <v>Group stages</v>
      </c>
      <c r="O204" s="1">
        <f>Table2[[#This Row],[Year]]</f>
        <v>1970</v>
      </c>
      <c r="P204" s="1" t="str">
        <f>INDEX(Table2[[HomeTeam]:[Group_details]],ROWS($N$2:N204),COLUMNS($N$2:N204))</f>
        <v>Peru</v>
      </c>
      <c r="Q204" s="1">
        <f>INDEX(Table2[[HomeTeam]:[Group_details]],ROWS($N$2:O204),COLUMNS($N$2:O204))</f>
        <v>3</v>
      </c>
      <c r="R204" s="1">
        <f>INDEX(Table2[[HomeTeam]:[Group_details]],ROWS($N$2:P204),COLUMNS($N$2:P204))</f>
        <v>2</v>
      </c>
      <c r="S204" s="1" t="str">
        <f>INDEX(Table2[[HomeTeam]:[Group_details]],ROWS($N$2:Q204),COLUMNS($N$2:Q204))</f>
        <v>Bulgaria</v>
      </c>
      <c r="T204" s="1" t="str">
        <f>INDEX(Table2[[HomeTeam]:[Group_details]],ROWS($N$2:R204),COLUMNS($N$2:R204))</f>
        <v xml:space="preserve"> </v>
      </c>
      <c r="U204" s="1" t="str">
        <f>INDEX(Table2[[HomeTeam]:[Group_details]],ROWS($N$2:S204),COLUMNS($N$2:S204))</f>
        <v>Group stages</v>
      </c>
      <c r="V204" s="1" t="b">
        <f t="shared" si="3"/>
        <v>0</v>
      </c>
      <c r="W204" s="1" t="str">
        <f>IF(V204=TRUE,ROWS($V$2:V204),"")</f>
        <v/>
      </c>
      <c r="X204" s="1" t="str">
        <f>IFERROR(SMALL($W$2:$W$853,ROWS($W$2:W204)),"")</f>
        <v/>
      </c>
      <c r="Y204" s="1" t="str">
        <f>IF($X204&lt;&gt;"",INDEX($P$2:$U$853,MATCH($X204,$W$2:$W$853,0),COLUMNS($X$2:X204)),"")</f>
        <v/>
      </c>
      <c r="Z204" s="1" t="str">
        <f>IF($X204&lt;&gt;"",INDEX($P$2:$U$853,MATCH($X204,$W$2:$W$853,0),COLUMNS($X$2:Y204)),"")</f>
        <v/>
      </c>
      <c r="AA204" s="1" t="str">
        <f>IF($X204&lt;&gt;"",INDEX($P$2:$U$853,MATCH($X204,$W$2:$W$853,0),COLUMNS($X$2:Z204)),"")</f>
        <v/>
      </c>
      <c r="AB204" s="1" t="str">
        <f>IF($X204&lt;&gt;"",INDEX($P$2:$U$853,MATCH($X204,$W$2:$W$853,0),COLUMNS($X$2:AA204)),"")</f>
        <v/>
      </c>
      <c r="AC204" s="1" t="str">
        <f>IF($X204&lt;&gt;"",INDEX($P$2:$U$853,MATCH($X204,$W$2:$W$853,0),COLUMNS($X$2:AB204)),"")</f>
        <v/>
      </c>
      <c r="AD204" s="1" t="str">
        <f>IF($X204&lt;&gt;"",INDEX($P$2:$U$853,MATCH($X204,$W$2:$W$853,0),COLUMNS($X$2:AC204)),"")</f>
        <v/>
      </c>
    </row>
    <row r="205" spans="1:30" x14ac:dyDescent="0.2">
      <c r="A205" s="1">
        <v>1970</v>
      </c>
      <c r="B205" s="2">
        <v>25721</v>
      </c>
      <c r="C205" s="1" t="s">
        <v>503</v>
      </c>
      <c r="D205" s="1" t="s">
        <v>22</v>
      </c>
      <c r="E205" s="1" t="s">
        <v>184</v>
      </c>
      <c r="F205" s="1" t="s">
        <v>185</v>
      </c>
      <c r="G205" s="6" t="str">
        <f>VLOOKUP(A205,WorldCups!$A$2:$B$23,2,FALSE)</f>
        <v>Mexico</v>
      </c>
      <c r="H205" s="1" t="s">
        <v>93</v>
      </c>
      <c r="I205" s="1">
        <v>1</v>
      </c>
      <c r="J205" s="1">
        <v>0</v>
      </c>
      <c r="K205" s="1" t="s">
        <v>23</v>
      </c>
      <c r="L205" s="1" t="s">
        <v>14</v>
      </c>
      <c r="M205" s="1" t="str">
        <f>IF(ISNUMBER(SEARCH("Group",Table2[[#This Row],[Round]])),"Group stages",Table2[[#This Row],[Round]])</f>
        <v>Group stages</v>
      </c>
      <c r="O205" s="1">
        <f>Table2[[#This Row],[Year]]</f>
        <v>1970</v>
      </c>
      <c r="P205" s="1" t="str">
        <f>INDEX(Table2[[HomeTeam]:[Group_details]],ROWS($N$2:N205),COLUMNS($N$2:N205))</f>
        <v>England</v>
      </c>
      <c r="Q205" s="1">
        <f>INDEX(Table2[[HomeTeam]:[Group_details]],ROWS($N$2:O205),COLUMNS($N$2:O205))</f>
        <v>1</v>
      </c>
      <c r="R205" s="1">
        <f>INDEX(Table2[[HomeTeam]:[Group_details]],ROWS($N$2:P205),COLUMNS($N$2:P205))</f>
        <v>0</v>
      </c>
      <c r="S205" s="1" t="str">
        <f>INDEX(Table2[[HomeTeam]:[Group_details]],ROWS($N$2:Q205),COLUMNS($N$2:Q205))</f>
        <v>Romania</v>
      </c>
      <c r="T205" s="1" t="str">
        <f>INDEX(Table2[[HomeTeam]:[Group_details]],ROWS($N$2:R205),COLUMNS($N$2:R205))</f>
        <v xml:space="preserve"> </v>
      </c>
      <c r="U205" s="1" t="str">
        <f>INDEX(Table2[[HomeTeam]:[Group_details]],ROWS($N$2:S205),COLUMNS($N$2:S205))</f>
        <v>Group stages</v>
      </c>
      <c r="V205" s="1" t="b">
        <f t="shared" si="3"/>
        <v>0</v>
      </c>
      <c r="W205" s="1" t="str">
        <f>IF(V205=TRUE,ROWS($V$2:V205),"")</f>
        <v/>
      </c>
      <c r="X205" s="1" t="str">
        <f>IFERROR(SMALL($W$2:$W$853,ROWS($W$2:W205)),"")</f>
        <v/>
      </c>
      <c r="Y205" s="1" t="str">
        <f>IF($X205&lt;&gt;"",INDEX($P$2:$U$853,MATCH($X205,$W$2:$W$853,0),COLUMNS($X$2:X205)),"")</f>
        <v/>
      </c>
      <c r="Z205" s="1" t="str">
        <f>IF($X205&lt;&gt;"",INDEX($P$2:$U$853,MATCH($X205,$W$2:$W$853,0),COLUMNS($X$2:Y205)),"")</f>
        <v/>
      </c>
      <c r="AA205" s="1" t="str">
        <f>IF($X205&lt;&gt;"",INDEX($P$2:$U$853,MATCH($X205,$W$2:$W$853,0),COLUMNS($X$2:Z205)),"")</f>
        <v/>
      </c>
      <c r="AB205" s="1" t="str">
        <f>IF($X205&lt;&gt;"",INDEX($P$2:$U$853,MATCH($X205,$W$2:$W$853,0),COLUMNS($X$2:AA205)),"")</f>
        <v/>
      </c>
      <c r="AC205" s="1" t="str">
        <f>IF($X205&lt;&gt;"",INDEX($P$2:$U$853,MATCH($X205,$W$2:$W$853,0),COLUMNS($X$2:AB205)),"")</f>
        <v/>
      </c>
      <c r="AD205" s="1" t="str">
        <f>IF($X205&lt;&gt;"",INDEX($P$2:$U$853,MATCH($X205,$W$2:$W$853,0),COLUMNS($X$2:AC205)),"")</f>
        <v/>
      </c>
    </row>
    <row r="206" spans="1:30" x14ac:dyDescent="0.2">
      <c r="A206" s="1">
        <v>1970</v>
      </c>
      <c r="B206" s="2">
        <v>25722</v>
      </c>
      <c r="C206" s="1" t="s">
        <v>503</v>
      </c>
      <c r="D206" s="1" t="s">
        <v>19</v>
      </c>
      <c r="E206" s="1" t="s">
        <v>186</v>
      </c>
      <c r="F206" s="1" t="s">
        <v>187</v>
      </c>
      <c r="G206" s="6" t="str">
        <f>VLOOKUP(A206,WorldCups!$A$2:$B$23,2,FALSE)</f>
        <v>Mexico</v>
      </c>
      <c r="H206" s="1" t="s">
        <v>57</v>
      </c>
      <c r="I206" s="1">
        <v>1</v>
      </c>
      <c r="J206" s="1">
        <v>0</v>
      </c>
      <c r="K206" s="1" t="s">
        <v>48</v>
      </c>
      <c r="L206" s="1" t="s">
        <v>14</v>
      </c>
      <c r="M206" s="1" t="str">
        <f>IF(ISNUMBER(SEARCH("Group",Table2[[#This Row],[Round]])),"Group stages",Table2[[#This Row],[Round]])</f>
        <v>Group stages</v>
      </c>
      <c r="O206" s="1">
        <f>Table2[[#This Row],[Year]]</f>
        <v>1970</v>
      </c>
      <c r="P206" s="1" t="str">
        <f>INDEX(Table2[[HomeTeam]:[Group_details]],ROWS($N$2:N206),COLUMNS($N$2:N206))</f>
        <v>Italy</v>
      </c>
      <c r="Q206" s="1">
        <f>INDEX(Table2[[HomeTeam]:[Group_details]],ROWS($N$2:O206),COLUMNS($N$2:O206))</f>
        <v>1</v>
      </c>
      <c r="R206" s="1">
        <f>INDEX(Table2[[HomeTeam]:[Group_details]],ROWS($N$2:P206),COLUMNS($N$2:P206))</f>
        <v>0</v>
      </c>
      <c r="S206" s="1" t="str">
        <f>INDEX(Table2[[HomeTeam]:[Group_details]],ROWS($N$2:Q206),COLUMNS($N$2:Q206))</f>
        <v>Sweden</v>
      </c>
      <c r="T206" s="1" t="str">
        <f>INDEX(Table2[[HomeTeam]:[Group_details]],ROWS($N$2:R206),COLUMNS($N$2:R206))</f>
        <v xml:space="preserve"> </v>
      </c>
      <c r="U206" s="1" t="str">
        <f>INDEX(Table2[[HomeTeam]:[Group_details]],ROWS($N$2:S206),COLUMNS($N$2:S206))</f>
        <v>Group stages</v>
      </c>
      <c r="V206" s="1" t="b">
        <f t="shared" si="3"/>
        <v>0</v>
      </c>
      <c r="W206" s="1" t="str">
        <f>IF(V206=TRUE,ROWS($V$2:V206),"")</f>
        <v/>
      </c>
      <c r="X206" s="1" t="str">
        <f>IFERROR(SMALL($W$2:$W$853,ROWS($W$2:W206)),"")</f>
        <v/>
      </c>
      <c r="Y206" s="1" t="str">
        <f>IF($X206&lt;&gt;"",INDEX($P$2:$U$853,MATCH($X206,$W$2:$W$853,0),COLUMNS($X$2:X206)),"")</f>
        <v/>
      </c>
      <c r="Z206" s="1" t="str">
        <f>IF($X206&lt;&gt;"",INDEX($P$2:$U$853,MATCH($X206,$W$2:$W$853,0),COLUMNS($X$2:Y206)),"")</f>
        <v/>
      </c>
      <c r="AA206" s="1" t="str">
        <f>IF($X206&lt;&gt;"",INDEX($P$2:$U$853,MATCH($X206,$W$2:$W$853,0),COLUMNS($X$2:Z206)),"")</f>
        <v/>
      </c>
      <c r="AB206" s="1" t="str">
        <f>IF($X206&lt;&gt;"",INDEX($P$2:$U$853,MATCH($X206,$W$2:$W$853,0),COLUMNS($X$2:AA206)),"")</f>
        <v/>
      </c>
      <c r="AC206" s="1" t="str">
        <f>IF($X206&lt;&gt;"",INDEX($P$2:$U$853,MATCH($X206,$W$2:$W$853,0),COLUMNS($X$2:AB206)),"")</f>
        <v/>
      </c>
      <c r="AD206" s="1" t="str">
        <f>IF($X206&lt;&gt;"",INDEX($P$2:$U$853,MATCH($X206,$W$2:$W$853,0),COLUMNS($X$2:AC206)),"")</f>
        <v/>
      </c>
    </row>
    <row r="207" spans="1:30" x14ac:dyDescent="0.2">
      <c r="A207" s="1">
        <v>1970</v>
      </c>
      <c r="B207" s="2">
        <v>25722</v>
      </c>
      <c r="C207" s="1" t="s">
        <v>503</v>
      </c>
      <c r="D207" s="1" t="s">
        <v>15</v>
      </c>
      <c r="E207" s="1" t="s">
        <v>182</v>
      </c>
      <c r="F207" s="1" t="s">
        <v>183</v>
      </c>
      <c r="G207" s="6" t="str">
        <f>VLOOKUP(A207,WorldCups!$A$2:$B$23,2,FALSE)</f>
        <v>Mexico</v>
      </c>
      <c r="H207" s="1" t="s">
        <v>114</v>
      </c>
      <c r="I207" s="1">
        <v>2</v>
      </c>
      <c r="J207" s="1">
        <v>1</v>
      </c>
      <c r="K207" s="1" t="s">
        <v>188</v>
      </c>
      <c r="L207" s="1" t="s">
        <v>14</v>
      </c>
      <c r="M207" s="1" t="str">
        <f>IF(ISNUMBER(SEARCH("Group",Table2[[#This Row],[Round]])),"Group stages",Table2[[#This Row],[Round]])</f>
        <v>Group stages</v>
      </c>
      <c r="O207" s="1">
        <f>Table2[[#This Row],[Year]]</f>
        <v>1970</v>
      </c>
      <c r="P207" s="1" t="str">
        <f>INDEX(Table2[[HomeTeam]:[Group_details]],ROWS($N$2:N207),COLUMNS($N$2:N207))</f>
        <v>Germany FR</v>
      </c>
      <c r="Q207" s="1">
        <f>INDEX(Table2[[HomeTeam]:[Group_details]],ROWS($N$2:O207),COLUMNS($N$2:O207))</f>
        <v>2</v>
      </c>
      <c r="R207" s="1">
        <f>INDEX(Table2[[HomeTeam]:[Group_details]],ROWS($N$2:P207),COLUMNS($N$2:P207))</f>
        <v>1</v>
      </c>
      <c r="S207" s="1" t="str">
        <f>INDEX(Table2[[HomeTeam]:[Group_details]],ROWS($N$2:Q207),COLUMNS($N$2:Q207))</f>
        <v>Morocco</v>
      </c>
      <c r="T207" s="1" t="str">
        <f>INDEX(Table2[[HomeTeam]:[Group_details]],ROWS($N$2:R207),COLUMNS($N$2:R207))</f>
        <v xml:space="preserve"> </v>
      </c>
      <c r="U207" s="1" t="str">
        <f>INDEX(Table2[[HomeTeam]:[Group_details]],ROWS($N$2:S207),COLUMNS($N$2:S207))</f>
        <v>Group stages</v>
      </c>
      <c r="V207" s="1" t="b">
        <f t="shared" si="3"/>
        <v>0</v>
      </c>
      <c r="W207" s="1" t="str">
        <f>IF(V207=TRUE,ROWS($V$2:V207),"")</f>
        <v/>
      </c>
      <c r="X207" s="1" t="str">
        <f>IFERROR(SMALL($W$2:$W$853,ROWS($W$2:W207)),"")</f>
        <v/>
      </c>
      <c r="Y207" s="1" t="str">
        <f>IF($X207&lt;&gt;"",INDEX($P$2:$U$853,MATCH($X207,$W$2:$W$853,0),COLUMNS($X$2:X207)),"")</f>
        <v/>
      </c>
      <c r="Z207" s="1" t="str">
        <f>IF($X207&lt;&gt;"",INDEX($P$2:$U$853,MATCH($X207,$W$2:$W$853,0),COLUMNS($X$2:Y207)),"")</f>
        <v/>
      </c>
      <c r="AA207" s="1" t="str">
        <f>IF($X207&lt;&gt;"",INDEX($P$2:$U$853,MATCH($X207,$W$2:$W$853,0),COLUMNS($X$2:Z207)),"")</f>
        <v/>
      </c>
      <c r="AB207" s="1" t="str">
        <f>IF($X207&lt;&gt;"",INDEX($P$2:$U$853,MATCH($X207,$W$2:$W$853,0),COLUMNS($X$2:AA207)),"")</f>
        <v/>
      </c>
      <c r="AC207" s="1" t="str">
        <f>IF($X207&lt;&gt;"",INDEX($P$2:$U$853,MATCH($X207,$W$2:$W$853,0),COLUMNS($X$2:AB207)),"")</f>
        <v/>
      </c>
      <c r="AD207" s="1" t="str">
        <f>IF($X207&lt;&gt;"",INDEX($P$2:$U$853,MATCH($X207,$W$2:$W$853,0),COLUMNS($X$2:AC207)),"")</f>
        <v/>
      </c>
    </row>
    <row r="208" spans="1:30" x14ac:dyDescent="0.2">
      <c r="A208" s="1">
        <v>1970</v>
      </c>
      <c r="B208" s="2">
        <v>25722</v>
      </c>
      <c r="C208" s="1" t="s">
        <v>503</v>
      </c>
      <c r="D208" s="1" t="s">
        <v>22</v>
      </c>
      <c r="E208" s="1" t="s">
        <v>184</v>
      </c>
      <c r="F208" s="1" t="s">
        <v>185</v>
      </c>
      <c r="G208" s="6" t="str">
        <f>VLOOKUP(A208,WorldCups!$A$2:$B$23,2,FALSE)</f>
        <v>Mexico</v>
      </c>
      <c r="H208" s="1" t="s">
        <v>21</v>
      </c>
      <c r="I208" s="1">
        <v>4</v>
      </c>
      <c r="J208" s="1">
        <v>1</v>
      </c>
      <c r="K208" s="1" t="s">
        <v>60</v>
      </c>
      <c r="L208" s="1" t="s">
        <v>14</v>
      </c>
      <c r="M208" s="1" t="str">
        <f>IF(ISNUMBER(SEARCH("Group",Table2[[#This Row],[Round]])),"Group stages",Table2[[#This Row],[Round]])</f>
        <v>Group stages</v>
      </c>
      <c r="O208" s="1">
        <f>Table2[[#This Row],[Year]]</f>
        <v>1970</v>
      </c>
      <c r="P208" s="1" t="str">
        <f>INDEX(Table2[[HomeTeam]:[Group_details]],ROWS($N$2:N208),COLUMNS($N$2:N208))</f>
        <v>Brazil</v>
      </c>
      <c r="Q208" s="1">
        <f>INDEX(Table2[[HomeTeam]:[Group_details]],ROWS($N$2:O208),COLUMNS($N$2:O208))</f>
        <v>4</v>
      </c>
      <c r="R208" s="1">
        <f>INDEX(Table2[[HomeTeam]:[Group_details]],ROWS($N$2:P208),COLUMNS($N$2:P208))</f>
        <v>1</v>
      </c>
      <c r="S208" s="1" t="str">
        <f>INDEX(Table2[[HomeTeam]:[Group_details]],ROWS($N$2:Q208),COLUMNS($N$2:Q208))</f>
        <v>Czechoslovakia</v>
      </c>
      <c r="T208" s="1" t="str">
        <f>INDEX(Table2[[HomeTeam]:[Group_details]],ROWS($N$2:R208),COLUMNS($N$2:R208))</f>
        <v xml:space="preserve"> </v>
      </c>
      <c r="U208" s="1" t="str">
        <f>INDEX(Table2[[HomeTeam]:[Group_details]],ROWS($N$2:S208),COLUMNS($N$2:S208))</f>
        <v>Group stages</v>
      </c>
      <c r="V208" s="1" t="b">
        <f t="shared" si="3"/>
        <v>0</v>
      </c>
      <c r="W208" s="1" t="str">
        <f>IF(V208=TRUE,ROWS($V$2:V208),"")</f>
        <v/>
      </c>
      <c r="X208" s="1" t="str">
        <f>IFERROR(SMALL($W$2:$W$853,ROWS($W$2:W208)),"")</f>
        <v/>
      </c>
      <c r="Y208" s="1" t="str">
        <f>IF($X208&lt;&gt;"",INDEX($P$2:$U$853,MATCH($X208,$W$2:$W$853,0),COLUMNS($X$2:X208)),"")</f>
        <v/>
      </c>
      <c r="Z208" s="1" t="str">
        <f>IF($X208&lt;&gt;"",INDEX($P$2:$U$853,MATCH($X208,$W$2:$W$853,0),COLUMNS($X$2:Y208)),"")</f>
        <v/>
      </c>
      <c r="AA208" s="1" t="str">
        <f>IF($X208&lt;&gt;"",INDEX($P$2:$U$853,MATCH($X208,$W$2:$W$853,0),COLUMNS($X$2:Z208)),"")</f>
        <v/>
      </c>
      <c r="AB208" s="1" t="str">
        <f>IF($X208&lt;&gt;"",INDEX($P$2:$U$853,MATCH($X208,$W$2:$W$853,0),COLUMNS($X$2:AA208)),"")</f>
        <v/>
      </c>
      <c r="AC208" s="1" t="str">
        <f>IF($X208&lt;&gt;"",INDEX($P$2:$U$853,MATCH($X208,$W$2:$W$853,0),COLUMNS($X$2:AB208)),"")</f>
        <v/>
      </c>
      <c r="AD208" s="1" t="str">
        <f>IF($X208&lt;&gt;"",INDEX($P$2:$U$853,MATCH($X208,$W$2:$W$853,0),COLUMNS($X$2:AC208)),"")</f>
        <v/>
      </c>
    </row>
    <row r="209" spans="1:30" x14ac:dyDescent="0.2">
      <c r="A209" s="1">
        <v>1970</v>
      </c>
      <c r="B209" s="2">
        <v>25722</v>
      </c>
      <c r="C209" s="1" t="s">
        <v>503</v>
      </c>
      <c r="D209" s="1" t="s">
        <v>9</v>
      </c>
      <c r="E209" s="1" t="s">
        <v>177</v>
      </c>
      <c r="F209" s="1" t="s">
        <v>178</v>
      </c>
      <c r="G209" s="6" t="str">
        <f>VLOOKUP(A209,WorldCups!$A$2:$B$23,2,FALSE)</f>
        <v>Mexico</v>
      </c>
      <c r="H209" s="1" t="s">
        <v>18</v>
      </c>
      <c r="I209" s="1">
        <v>3</v>
      </c>
      <c r="J209" s="1">
        <v>0</v>
      </c>
      <c r="K209" s="1" t="s">
        <v>189</v>
      </c>
      <c r="L209" s="1" t="s">
        <v>14</v>
      </c>
      <c r="M209" s="1" t="str">
        <f>IF(ISNUMBER(SEARCH("Group",Table2[[#This Row],[Round]])),"Group stages",Table2[[#This Row],[Round]])</f>
        <v>Group stages</v>
      </c>
      <c r="O209" s="1">
        <f>Table2[[#This Row],[Year]]</f>
        <v>1970</v>
      </c>
      <c r="P209" s="1" t="str">
        <f>INDEX(Table2[[HomeTeam]:[Group_details]],ROWS($N$2:N209),COLUMNS($N$2:N209))</f>
        <v>Belgium</v>
      </c>
      <c r="Q209" s="1">
        <f>INDEX(Table2[[HomeTeam]:[Group_details]],ROWS($N$2:O209),COLUMNS($N$2:O209))</f>
        <v>3</v>
      </c>
      <c r="R209" s="1">
        <f>INDEX(Table2[[HomeTeam]:[Group_details]],ROWS($N$2:P209),COLUMNS($N$2:P209))</f>
        <v>0</v>
      </c>
      <c r="S209" s="1" t="str">
        <f>INDEX(Table2[[HomeTeam]:[Group_details]],ROWS($N$2:Q209),COLUMNS($N$2:Q209))</f>
        <v>El Salvador</v>
      </c>
      <c r="T209" s="1" t="str">
        <f>INDEX(Table2[[HomeTeam]:[Group_details]],ROWS($N$2:R209),COLUMNS($N$2:R209))</f>
        <v xml:space="preserve"> </v>
      </c>
      <c r="U209" s="1" t="str">
        <f>INDEX(Table2[[HomeTeam]:[Group_details]],ROWS($N$2:S209),COLUMNS($N$2:S209))</f>
        <v>Group stages</v>
      </c>
      <c r="V209" s="1" t="b">
        <f t="shared" si="3"/>
        <v>0</v>
      </c>
      <c r="W209" s="1" t="str">
        <f>IF(V209=TRUE,ROWS($V$2:V209),"")</f>
        <v/>
      </c>
      <c r="X209" s="1" t="str">
        <f>IFERROR(SMALL($W$2:$W$853,ROWS($W$2:W209)),"")</f>
        <v/>
      </c>
      <c r="Y209" s="1" t="str">
        <f>IF($X209&lt;&gt;"",INDEX($P$2:$U$853,MATCH($X209,$W$2:$W$853,0),COLUMNS($X$2:X209)),"")</f>
        <v/>
      </c>
      <c r="Z209" s="1" t="str">
        <f>IF($X209&lt;&gt;"",INDEX($P$2:$U$853,MATCH($X209,$W$2:$W$853,0),COLUMNS($X$2:Y209)),"")</f>
        <v/>
      </c>
      <c r="AA209" s="1" t="str">
        <f>IF($X209&lt;&gt;"",INDEX($P$2:$U$853,MATCH($X209,$W$2:$W$853,0),COLUMNS($X$2:Z209)),"")</f>
        <v/>
      </c>
      <c r="AB209" s="1" t="str">
        <f>IF($X209&lt;&gt;"",INDEX($P$2:$U$853,MATCH($X209,$W$2:$W$853,0),COLUMNS($X$2:AA209)),"")</f>
        <v/>
      </c>
      <c r="AC209" s="1" t="str">
        <f>IF($X209&lt;&gt;"",INDEX($P$2:$U$853,MATCH($X209,$W$2:$W$853,0),COLUMNS($X$2:AB209)),"")</f>
        <v/>
      </c>
      <c r="AD209" s="1" t="str">
        <f>IF($X209&lt;&gt;"",INDEX($P$2:$U$853,MATCH($X209,$W$2:$W$853,0),COLUMNS($X$2:AC209)),"")</f>
        <v/>
      </c>
    </row>
    <row r="210" spans="1:30" x14ac:dyDescent="0.2">
      <c r="A210" s="1">
        <v>1970</v>
      </c>
      <c r="B210" s="2">
        <v>25725</v>
      </c>
      <c r="C210" s="1" t="s">
        <v>503</v>
      </c>
      <c r="D210" s="1" t="s">
        <v>19</v>
      </c>
      <c r="E210" s="1" t="s">
        <v>179</v>
      </c>
      <c r="F210" s="1" t="s">
        <v>180</v>
      </c>
      <c r="G210" s="6" t="str">
        <f>VLOOKUP(A210,WorldCups!$A$2:$B$23,2,FALSE)</f>
        <v>Mexico</v>
      </c>
      <c r="H210" s="1" t="s">
        <v>30</v>
      </c>
      <c r="I210" s="1">
        <v>0</v>
      </c>
      <c r="J210" s="1">
        <v>0</v>
      </c>
      <c r="K210" s="1" t="s">
        <v>57</v>
      </c>
      <c r="L210" s="1" t="s">
        <v>14</v>
      </c>
      <c r="M210" s="1" t="str">
        <f>IF(ISNUMBER(SEARCH("Group",Table2[[#This Row],[Round]])),"Group stages",Table2[[#This Row],[Round]])</f>
        <v>Group stages</v>
      </c>
      <c r="O210" s="1">
        <f>Table2[[#This Row],[Year]]</f>
        <v>1970</v>
      </c>
      <c r="P210" s="1" t="str">
        <f>INDEX(Table2[[HomeTeam]:[Group_details]],ROWS($N$2:N210),COLUMNS($N$2:N210))</f>
        <v>Uruguay</v>
      </c>
      <c r="Q210" s="1">
        <f>INDEX(Table2[[HomeTeam]:[Group_details]],ROWS($N$2:O210),COLUMNS($N$2:O210))</f>
        <v>0</v>
      </c>
      <c r="R210" s="1">
        <f>INDEX(Table2[[HomeTeam]:[Group_details]],ROWS($N$2:P210),COLUMNS($N$2:P210))</f>
        <v>0</v>
      </c>
      <c r="S210" s="1" t="str">
        <f>INDEX(Table2[[HomeTeam]:[Group_details]],ROWS($N$2:Q210),COLUMNS($N$2:Q210))</f>
        <v>Italy</v>
      </c>
      <c r="T210" s="1" t="str">
        <f>INDEX(Table2[[HomeTeam]:[Group_details]],ROWS($N$2:R210),COLUMNS($N$2:R210))</f>
        <v xml:space="preserve"> </v>
      </c>
      <c r="U210" s="1" t="str">
        <f>INDEX(Table2[[HomeTeam]:[Group_details]],ROWS($N$2:S210),COLUMNS($N$2:S210))</f>
        <v>Group stages</v>
      </c>
      <c r="V210" s="1" t="b">
        <f t="shared" si="3"/>
        <v>0</v>
      </c>
      <c r="W210" s="1" t="str">
        <f>IF(V210=TRUE,ROWS($V$2:V210),"")</f>
        <v/>
      </c>
      <c r="X210" s="1" t="str">
        <f>IFERROR(SMALL($W$2:$W$853,ROWS($W$2:W210)),"")</f>
        <v/>
      </c>
      <c r="Y210" s="1" t="str">
        <f>IF($X210&lt;&gt;"",INDEX($P$2:$U$853,MATCH($X210,$W$2:$W$853,0),COLUMNS($X$2:X210)),"")</f>
        <v/>
      </c>
      <c r="Z210" s="1" t="str">
        <f>IF($X210&lt;&gt;"",INDEX($P$2:$U$853,MATCH($X210,$W$2:$W$853,0),COLUMNS($X$2:Y210)),"")</f>
        <v/>
      </c>
      <c r="AA210" s="1" t="str">
        <f>IF($X210&lt;&gt;"",INDEX($P$2:$U$853,MATCH($X210,$W$2:$W$853,0),COLUMNS($X$2:Z210)),"")</f>
        <v/>
      </c>
      <c r="AB210" s="1" t="str">
        <f>IF($X210&lt;&gt;"",INDEX($P$2:$U$853,MATCH($X210,$W$2:$W$853,0),COLUMNS($X$2:AA210)),"")</f>
        <v/>
      </c>
      <c r="AC210" s="1" t="str">
        <f>IF($X210&lt;&gt;"",INDEX($P$2:$U$853,MATCH($X210,$W$2:$W$853,0),COLUMNS($X$2:AB210)),"")</f>
        <v/>
      </c>
      <c r="AD210" s="1" t="str">
        <f>IF($X210&lt;&gt;"",INDEX($P$2:$U$853,MATCH($X210,$W$2:$W$853,0),COLUMNS($X$2:AC210)),"")</f>
        <v/>
      </c>
    </row>
    <row r="211" spans="1:30" x14ac:dyDescent="0.2">
      <c r="A211" s="1">
        <v>1970</v>
      </c>
      <c r="B211" s="2">
        <v>25725</v>
      </c>
      <c r="C211" s="1" t="s">
        <v>503</v>
      </c>
      <c r="D211" s="1" t="s">
        <v>15</v>
      </c>
      <c r="E211" s="1" t="s">
        <v>182</v>
      </c>
      <c r="F211" s="1" t="s">
        <v>183</v>
      </c>
      <c r="G211" s="6" t="str">
        <f>VLOOKUP(A211,WorldCups!$A$2:$B$23,2,FALSE)</f>
        <v>Mexico</v>
      </c>
      <c r="H211" s="1" t="s">
        <v>24</v>
      </c>
      <c r="I211" s="1">
        <v>3</v>
      </c>
      <c r="J211" s="1">
        <v>0</v>
      </c>
      <c r="K211" s="1" t="s">
        <v>188</v>
      </c>
      <c r="L211" s="1" t="s">
        <v>14</v>
      </c>
      <c r="M211" s="1" t="str">
        <f>IF(ISNUMBER(SEARCH("Group",Table2[[#This Row],[Round]])),"Group stages",Table2[[#This Row],[Round]])</f>
        <v>Group stages</v>
      </c>
      <c r="O211" s="1">
        <f>Table2[[#This Row],[Year]]</f>
        <v>1970</v>
      </c>
      <c r="P211" s="1" t="str">
        <f>INDEX(Table2[[HomeTeam]:[Group_details]],ROWS($N$2:N211),COLUMNS($N$2:N211))</f>
        <v>Peru</v>
      </c>
      <c r="Q211" s="1">
        <f>INDEX(Table2[[HomeTeam]:[Group_details]],ROWS($N$2:O211),COLUMNS($N$2:O211))</f>
        <v>3</v>
      </c>
      <c r="R211" s="1">
        <f>INDEX(Table2[[HomeTeam]:[Group_details]],ROWS($N$2:P211),COLUMNS($N$2:P211))</f>
        <v>0</v>
      </c>
      <c r="S211" s="1" t="str">
        <f>INDEX(Table2[[HomeTeam]:[Group_details]],ROWS($N$2:Q211),COLUMNS($N$2:Q211))</f>
        <v>Morocco</v>
      </c>
      <c r="T211" s="1" t="str">
        <f>INDEX(Table2[[HomeTeam]:[Group_details]],ROWS($N$2:R211),COLUMNS($N$2:R211))</f>
        <v xml:space="preserve"> </v>
      </c>
      <c r="U211" s="1" t="str">
        <f>INDEX(Table2[[HomeTeam]:[Group_details]],ROWS($N$2:S211),COLUMNS($N$2:S211))</f>
        <v>Group stages</v>
      </c>
      <c r="V211" s="1" t="b">
        <f t="shared" si="3"/>
        <v>0</v>
      </c>
      <c r="W211" s="1" t="str">
        <f>IF(V211=TRUE,ROWS($V$2:V211),"")</f>
        <v/>
      </c>
      <c r="X211" s="1" t="str">
        <f>IFERROR(SMALL($W$2:$W$853,ROWS($W$2:W211)),"")</f>
        <v/>
      </c>
      <c r="Y211" s="1" t="str">
        <f>IF($X211&lt;&gt;"",INDEX($P$2:$U$853,MATCH($X211,$W$2:$W$853,0),COLUMNS($X$2:X211)),"")</f>
        <v/>
      </c>
      <c r="Z211" s="1" t="str">
        <f>IF($X211&lt;&gt;"",INDEX($P$2:$U$853,MATCH($X211,$W$2:$W$853,0),COLUMNS($X$2:Y211)),"")</f>
        <v/>
      </c>
      <c r="AA211" s="1" t="str">
        <f>IF($X211&lt;&gt;"",INDEX($P$2:$U$853,MATCH($X211,$W$2:$W$853,0),COLUMNS($X$2:Z211)),"")</f>
        <v/>
      </c>
      <c r="AB211" s="1" t="str">
        <f>IF($X211&lt;&gt;"",INDEX($P$2:$U$853,MATCH($X211,$W$2:$W$853,0),COLUMNS($X$2:AA211)),"")</f>
        <v/>
      </c>
      <c r="AC211" s="1" t="str">
        <f>IF($X211&lt;&gt;"",INDEX($P$2:$U$853,MATCH($X211,$W$2:$W$853,0),COLUMNS($X$2:AB211)),"")</f>
        <v/>
      </c>
      <c r="AD211" s="1" t="str">
        <f>IF($X211&lt;&gt;"",INDEX($P$2:$U$853,MATCH($X211,$W$2:$W$853,0),COLUMNS($X$2:AC211)),"")</f>
        <v/>
      </c>
    </row>
    <row r="212" spans="1:30" x14ac:dyDescent="0.2">
      <c r="A212" s="1">
        <v>1970</v>
      </c>
      <c r="B212" s="2">
        <v>25725</v>
      </c>
      <c r="C212" s="1" t="s">
        <v>503</v>
      </c>
      <c r="D212" s="1" t="s">
        <v>22</v>
      </c>
      <c r="E212" s="1" t="s">
        <v>184</v>
      </c>
      <c r="F212" s="1" t="s">
        <v>185</v>
      </c>
      <c r="G212" s="6" t="str">
        <f>VLOOKUP(A212,WorldCups!$A$2:$B$23,2,FALSE)</f>
        <v>Mexico</v>
      </c>
      <c r="H212" s="1" t="s">
        <v>23</v>
      </c>
      <c r="I212" s="1">
        <v>2</v>
      </c>
      <c r="J212" s="1">
        <v>1</v>
      </c>
      <c r="K212" s="1" t="s">
        <v>60</v>
      </c>
      <c r="L212" s="1" t="s">
        <v>14</v>
      </c>
      <c r="M212" s="1" t="str">
        <f>IF(ISNUMBER(SEARCH("Group",Table2[[#This Row],[Round]])),"Group stages",Table2[[#This Row],[Round]])</f>
        <v>Group stages</v>
      </c>
      <c r="O212" s="1">
        <f>Table2[[#This Row],[Year]]</f>
        <v>1970</v>
      </c>
      <c r="P212" s="1" t="str">
        <f>INDEX(Table2[[HomeTeam]:[Group_details]],ROWS($N$2:N212),COLUMNS($N$2:N212))</f>
        <v>Romania</v>
      </c>
      <c r="Q212" s="1">
        <f>INDEX(Table2[[HomeTeam]:[Group_details]],ROWS($N$2:O212),COLUMNS($N$2:O212))</f>
        <v>2</v>
      </c>
      <c r="R212" s="1">
        <f>INDEX(Table2[[HomeTeam]:[Group_details]],ROWS($N$2:P212),COLUMNS($N$2:P212))</f>
        <v>1</v>
      </c>
      <c r="S212" s="1" t="str">
        <f>INDEX(Table2[[HomeTeam]:[Group_details]],ROWS($N$2:Q212),COLUMNS($N$2:Q212))</f>
        <v>Czechoslovakia</v>
      </c>
      <c r="T212" s="1" t="str">
        <f>INDEX(Table2[[HomeTeam]:[Group_details]],ROWS($N$2:R212),COLUMNS($N$2:R212))</f>
        <v xml:space="preserve"> </v>
      </c>
      <c r="U212" s="1" t="str">
        <f>INDEX(Table2[[HomeTeam]:[Group_details]],ROWS($N$2:S212),COLUMNS($N$2:S212))</f>
        <v>Group stages</v>
      </c>
      <c r="V212" s="1" t="b">
        <f t="shared" si="3"/>
        <v>0</v>
      </c>
      <c r="W212" s="1" t="str">
        <f>IF(V212=TRUE,ROWS($V$2:V212),"")</f>
        <v/>
      </c>
      <c r="X212" s="1" t="str">
        <f>IFERROR(SMALL($W$2:$W$853,ROWS($W$2:W212)),"")</f>
        <v/>
      </c>
      <c r="Y212" s="1" t="str">
        <f>IF($X212&lt;&gt;"",INDEX($P$2:$U$853,MATCH($X212,$W$2:$W$853,0),COLUMNS($X$2:X212)),"")</f>
        <v/>
      </c>
      <c r="Z212" s="1" t="str">
        <f>IF($X212&lt;&gt;"",INDEX($P$2:$U$853,MATCH($X212,$W$2:$W$853,0),COLUMNS($X$2:Y212)),"")</f>
        <v/>
      </c>
      <c r="AA212" s="1" t="str">
        <f>IF($X212&lt;&gt;"",INDEX($P$2:$U$853,MATCH($X212,$W$2:$W$853,0),COLUMNS($X$2:Z212)),"")</f>
        <v/>
      </c>
      <c r="AB212" s="1" t="str">
        <f>IF($X212&lt;&gt;"",INDEX($P$2:$U$853,MATCH($X212,$W$2:$W$853,0),COLUMNS($X$2:AA212)),"")</f>
        <v/>
      </c>
      <c r="AC212" s="1" t="str">
        <f>IF($X212&lt;&gt;"",INDEX($P$2:$U$853,MATCH($X212,$W$2:$W$853,0),COLUMNS($X$2:AB212)),"")</f>
        <v/>
      </c>
      <c r="AD212" s="1" t="str">
        <f>IF($X212&lt;&gt;"",INDEX($P$2:$U$853,MATCH($X212,$W$2:$W$853,0),COLUMNS($X$2:AC212)),"")</f>
        <v/>
      </c>
    </row>
    <row r="213" spans="1:30" x14ac:dyDescent="0.2">
      <c r="A213" s="1">
        <v>1970</v>
      </c>
      <c r="B213" s="2">
        <v>25725</v>
      </c>
      <c r="C213" s="1" t="s">
        <v>503</v>
      </c>
      <c r="D213" s="1" t="s">
        <v>9</v>
      </c>
      <c r="E213" s="1" t="s">
        <v>177</v>
      </c>
      <c r="F213" s="1" t="s">
        <v>178</v>
      </c>
      <c r="G213" s="6" t="str">
        <f>VLOOKUP(A213,WorldCups!$A$2:$B$23,2,FALSE)</f>
        <v>Mexico</v>
      </c>
      <c r="H213" s="1" t="s">
        <v>126</v>
      </c>
      <c r="I213" s="1">
        <v>4</v>
      </c>
      <c r="J213" s="1">
        <v>1</v>
      </c>
      <c r="K213" s="1" t="s">
        <v>18</v>
      </c>
      <c r="L213" s="1" t="s">
        <v>14</v>
      </c>
      <c r="M213" s="1" t="str">
        <f>IF(ISNUMBER(SEARCH("Group",Table2[[#This Row],[Round]])),"Group stages",Table2[[#This Row],[Round]])</f>
        <v>Group stages</v>
      </c>
      <c r="O213" s="1">
        <f>Table2[[#This Row],[Year]]</f>
        <v>1970</v>
      </c>
      <c r="P213" s="1" t="str">
        <f>INDEX(Table2[[HomeTeam]:[Group_details]],ROWS($N$2:N213),COLUMNS($N$2:N213))</f>
        <v>Soviet Union</v>
      </c>
      <c r="Q213" s="1">
        <f>INDEX(Table2[[HomeTeam]:[Group_details]],ROWS($N$2:O213),COLUMNS($N$2:O213))</f>
        <v>4</v>
      </c>
      <c r="R213" s="1">
        <f>INDEX(Table2[[HomeTeam]:[Group_details]],ROWS($N$2:P213),COLUMNS($N$2:P213))</f>
        <v>1</v>
      </c>
      <c r="S213" s="1" t="str">
        <f>INDEX(Table2[[HomeTeam]:[Group_details]],ROWS($N$2:Q213),COLUMNS($N$2:Q213))</f>
        <v>Belgium</v>
      </c>
      <c r="T213" s="1" t="str">
        <f>INDEX(Table2[[HomeTeam]:[Group_details]],ROWS($N$2:R213),COLUMNS($N$2:R213))</f>
        <v xml:space="preserve"> </v>
      </c>
      <c r="U213" s="1" t="str">
        <f>INDEX(Table2[[HomeTeam]:[Group_details]],ROWS($N$2:S213),COLUMNS($N$2:S213))</f>
        <v>Group stages</v>
      </c>
      <c r="V213" s="1" t="b">
        <f t="shared" si="3"/>
        <v>0</v>
      </c>
      <c r="W213" s="1" t="str">
        <f>IF(V213=TRUE,ROWS($V$2:V213),"")</f>
        <v/>
      </c>
      <c r="X213" s="1" t="str">
        <f>IFERROR(SMALL($W$2:$W$853,ROWS($W$2:W213)),"")</f>
        <v/>
      </c>
      <c r="Y213" s="1" t="str">
        <f>IF($X213&lt;&gt;"",INDEX($P$2:$U$853,MATCH($X213,$W$2:$W$853,0),COLUMNS($X$2:X213)),"")</f>
        <v/>
      </c>
      <c r="Z213" s="1" t="str">
        <f>IF($X213&lt;&gt;"",INDEX($P$2:$U$853,MATCH($X213,$W$2:$W$853,0),COLUMNS($X$2:Y213)),"")</f>
        <v/>
      </c>
      <c r="AA213" s="1" t="str">
        <f>IF($X213&lt;&gt;"",INDEX($P$2:$U$853,MATCH($X213,$W$2:$W$853,0),COLUMNS($X$2:Z213)),"")</f>
        <v/>
      </c>
      <c r="AB213" s="1" t="str">
        <f>IF($X213&lt;&gt;"",INDEX($P$2:$U$853,MATCH($X213,$W$2:$W$853,0),COLUMNS($X$2:AA213)),"")</f>
        <v/>
      </c>
      <c r="AC213" s="1" t="str">
        <f>IF($X213&lt;&gt;"",INDEX($P$2:$U$853,MATCH($X213,$W$2:$W$853,0),COLUMNS($X$2:AB213)),"")</f>
        <v/>
      </c>
      <c r="AD213" s="1" t="str">
        <f>IF($X213&lt;&gt;"",INDEX($P$2:$U$853,MATCH($X213,$W$2:$W$853,0),COLUMNS($X$2:AC213)),"")</f>
        <v/>
      </c>
    </row>
    <row r="214" spans="1:30" x14ac:dyDescent="0.2">
      <c r="A214" s="1">
        <v>1970</v>
      </c>
      <c r="B214" s="2">
        <v>25726</v>
      </c>
      <c r="C214" s="1" t="s">
        <v>523</v>
      </c>
      <c r="D214" s="1" t="s">
        <v>19</v>
      </c>
      <c r="E214" s="1" t="s">
        <v>186</v>
      </c>
      <c r="F214" s="1" t="s">
        <v>187</v>
      </c>
      <c r="G214" s="6" t="str">
        <f>VLOOKUP(A214,WorldCups!$A$2:$B$23,2,FALSE)</f>
        <v>Mexico</v>
      </c>
      <c r="H214" s="1" t="s">
        <v>48</v>
      </c>
      <c r="I214" s="1">
        <v>1</v>
      </c>
      <c r="J214" s="1">
        <v>1</v>
      </c>
      <c r="K214" s="1" t="s">
        <v>181</v>
      </c>
      <c r="L214" s="1" t="s">
        <v>14</v>
      </c>
      <c r="M214" s="1" t="str">
        <f>IF(ISNUMBER(SEARCH("Group",Table2[[#This Row],[Round]])),"Group stages",Table2[[#This Row],[Round]])</f>
        <v>Group stages</v>
      </c>
      <c r="O214" s="1">
        <f>Table2[[#This Row],[Year]]</f>
        <v>1970</v>
      </c>
      <c r="P214" s="1" t="str">
        <f>INDEX(Table2[[HomeTeam]:[Group_details]],ROWS($N$2:N214),COLUMNS($N$2:N214))</f>
        <v>Sweden</v>
      </c>
      <c r="Q214" s="1">
        <f>INDEX(Table2[[HomeTeam]:[Group_details]],ROWS($N$2:O214),COLUMNS($N$2:O214))</f>
        <v>1</v>
      </c>
      <c r="R214" s="1">
        <f>INDEX(Table2[[HomeTeam]:[Group_details]],ROWS($N$2:P214),COLUMNS($N$2:P214))</f>
        <v>1</v>
      </c>
      <c r="S214" s="1" t="str">
        <f>INDEX(Table2[[HomeTeam]:[Group_details]],ROWS($N$2:Q214),COLUMNS($N$2:Q214))</f>
        <v>Israel</v>
      </c>
      <c r="T214" s="1" t="str">
        <f>INDEX(Table2[[HomeTeam]:[Group_details]],ROWS($N$2:R214),COLUMNS($N$2:R214))</f>
        <v xml:space="preserve"> </v>
      </c>
      <c r="U214" s="1" t="str">
        <f>INDEX(Table2[[HomeTeam]:[Group_details]],ROWS($N$2:S214),COLUMNS($N$2:S214))</f>
        <v>Group stages</v>
      </c>
      <c r="V214" s="1" t="b">
        <f t="shared" si="3"/>
        <v>0</v>
      </c>
      <c r="W214" s="1" t="str">
        <f>IF(V214=TRUE,ROWS($V$2:V214),"")</f>
        <v/>
      </c>
      <c r="X214" s="1" t="str">
        <f>IFERROR(SMALL($W$2:$W$853,ROWS($W$2:W214)),"")</f>
        <v/>
      </c>
      <c r="Y214" s="1" t="str">
        <f>IF($X214&lt;&gt;"",INDEX($P$2:$U$853,MATCH($X214,$W$2:$W$853,0),COLUMNS($X$2:X214)),"")</f>
        <v/>
      </c>
      <c r="Z214" s="1" t="str">
        <f>IF($X214&lt;&gt;"",INDEX($P$2:$U$853,MATCH($X214,$W$2:$W$853,0),COLUMNS($X$2:Y214)),"")</f>
        <v/>
      </c>
      <c r="AA214" s="1" t="str">
        <f>IF($X214&lt;&gt;"",INDEX($P$2:$U$853,MATCH($X214,$W$2:$W$853,0),COLUMNS($X$2:Z214)),"")</f>
        <v/>
      </c>
      <c r="AB214" s="1" t="str">
        <f>IF($X214&lt;&gt;"",INDEX($P$2:$U$853,MATCH($X214,$W$2:$W$853,0),COLUMNS($X$2:AA214)),"")</f>
        <v/>
      </c>
      <c r="AC214" s="1" t="str">
        <f>IF($X214&lt;&gt;"",INDEX($P$2:$U$853,MATCH($X214,$W$2:$W$853,0),COLUMNS($X$2:AB214)),"")</f>
        <v/>
      </c>
      <c r="AD214" s="1" t="str">
        <f>IF($X214&lt;&gt;"",INDEX($P$2:$U$853,MATCH($X214,$W$2:$W$853,0),COLUMNS($X$2:AC214)),"")</f>
        <v/>
      </c>
    </row>
    <row r="215" spans="1:30" x14ac:dyDescent="0.2">
      <c r="A215" s="1">
        <v>1970</v>
      </c>
      <c r="B215" s="2">
        <v>25726</v>
      </c>
      <c r="C215" s="1" t="s">
        <v>523</v>
      </c>
      <c r="D215" s="1" t="s">
        <v>15</v>
      </c>
      <c r="E215" s="1" t="s">
        <v>182</v>
      </c>
      <c r="F215" s="1" t="s">
        <v>183</v>
      </c>
      <c r="G215" s="6" t="str">
        <f>VLOOKUP(A215,WorldCups!$A$2:$B$23,2,FALSE)</f>
        <v>Mexico</v>
      </c>
      <c r="H215" s="1" t="s">
        <v>114</v>
      </c>
      <c r="I215" s="1">
        <v>5</v>
      </c>
      <c r="J215" s="1">
        <v>2</v>
      </c>
      <c r="K215" s="1" t="s">
        <v>156</v>
      </c>
      <c r="L215" s="1" t="s">
        <v>14</v>
      </c>
      <c r="M215" s="1" t="str">
        <f>IF(ISNUMBER(SEARCH("Group",Table2[[#This Row],[Round]])),"Group stages",Table2[[#This Row],[Round]])</f>
        <v>Group stages</v>
      </c>
      <c r="O215" s="1">
        <f>Table2[[#This Row],[Year]]</f>
        <v>1970</v>
      </c>
      <c r="P215" s="1" t="str">
        <f>INDEX(Table2[[HomeTeam]:[Group_details]],ROWS($N$2:N215),COLUMNS($N$2:N215))</f>
        <v>Germany FR</v>
      </c>
      <c r="Q215" s="1">
        <f>INDEX(Table2[[HomeTeam]:[Group_details]],ROWS($N$2:O215),COLUMNS($N$2:O215))</f>
        <v>5</v>
      </c>
      <c r="R215" s="1">
        <f>INDEX(Table2[[HomeTeam]:[Group_details]],ROWS($N$2:P215),COLUMNS($N$2:P215))</f>
        <v>2</v>
      </c>
      <c r="S215" s="1" t="str">
        <f>INDEX(Table2[[HomeTeam]:[Group_details]],ROWS($N$2:Q215),COLUMNS($N$2:Q215))</f>
        <v>Bulgaria</v>
      </c>
      <c r="T215" s="1" t="str">
        <f>INDEX(Table2[[HomeTeam]:[Group_details]],ROWS($N$2:R215),COLUMNS($N$2:R215))</f>
        <v xml:space="preserve"> </v>
      </c>
      <c r="U215" s="1" t="str">
        <f>INDEX(Table2[[HomeTeam]:[Group_details]],ROWS($N$2:S215),COLUMNS($N$2:S215))</f>
        <v>Group stages</v>
      </c>
      <c r="V215" s="1" t="b">
        <f t="shared" si="3"/>
        <v>0</v>
      </c>
      <c r="W215" s="1" t="str">
        <f>IF(V215=TRUE,ROWS($V$2:V215),"")</f>
        <v/>
      </c>
      <c r="X215" s="1" t="str">
        <f>IFERROR(SMALL($W$2:$W$853,ROWS($W$2:W215)),"")</f>
        <v/>
      </c>
      <c r="Y215" s="1" t="str">
        <f>IF($X215&lt;&gt;"",INDEX($P$2:$U$853,MATCH($X215,$W$2:$W$853,0),COLUMNS($X$2:X215)),"")</f>
        <v/>
      </c>
      <c r="Z215" s="1" t="str">
        <f>IF($X215&lt;&gt;"",INDEX($P$2:$U$853,MATCH($X215,$W$2:$W$853,0),COLUMNS($X$2:Y215)),"")</f>
        <v/>
      </c>
      <c r="AA215" s="1" t="str">
        <f>IF($X215&lt;&gt;"",INDEX($P$2:$U$853,MATCH($X215,$W$2:$W$853,0),COLUMNS($X$2:Z215)),"")</f>
        <v/>
      </c>
      <c r="AB215" s="1" t="str">
        <f>IF($X215&lt;&gt;"",INDEX($P$2:$U$853,MATCH($X215,$W$2:$W$853,0),COLUMNS($X$2:AA215)),"")</f>
        <v/>
      </c>
      <c r="AC215" s="1" t="str">
        <f>IF($X215&lt;&gt;"",INDEX($P$2:$U$853,MATCH($X215,$W$2:$W$853,0),COLUMNS($X$2:AB215)),"")</f>
        <v/>
      </c>
      <c r="AD215" s="1" t="str">
        <f>IF($X215&lt;&gt;"",INDEX($P$2:$U$853,MATCH($X215,$W$2:$W$853,0),COLUMNS($X$2:AC215)),"")</f>
        <v/>
      </c>
    </row>
    <row r="216" spans="1:30" x14ac:dyDescent="0.2">
      <c r="A216" s="1">
        <v>1970</v>
      </c>
      <c r="B216" s="2">
        <v>25726</v>
      </c>
      <c r="C216" s="1" t="s">
        <v>523</v>
      </c>
      <c r="D216" s="1" t="s">
        <v>22</v>
      </c>
      <c r="E216" s="1" t="s">
        <v>184</v>
      </c>
      <c r="F216" s="1" t="s">
        <v>185</v>
      </c>
      <c r="G216" s="6" t="str">
        <f>VLOOKUP(A216,WorldCups!$A$2:$B$23,2,FALSE)</f>
        <v>Mexico</v>
      </c>
      <c r="H216" s="1" t="s">
        <v>21</v>
      </c>
      <c r="I216" s="1">
        <v>1</v>
      </c>
      <c r="J216" s="1">
        <v>0</v>
      </c>
      <c r="K216" s="1" t="s">
        <v>93</v>
      </c>
      <c r="L216" s="1" t="s">
        <v>14</v>
      </c>
      <c r="M216" s="1" t="str">
        <f>IF(ISNUMBER(SEARCH("Group",Table2[[#This Row],[Round]])),"Group stages",Table2[[#This Row],[Round]])</f>
        <v>Group stages</v>
      </c>
      <c r="O216" s="1">
        <f>Table2[[#This Row],[Year]]</f>
        <v>1970</v>
      </c>
      <c r="P216" s="1" t="str">
        <f>INDEX(Table2[[HomeTeam]:[Group_details]],ROWS($N$2:N216),COLUMNS($N$2:N216))</f>
        <v>Brazil</v>
      </c>
      <c r="Q216" s="1">
        <f>INDEX(Table2[[HomeTeam]:[Group_details]],ROWS($N$2:O216),COLUMNS($N$2:O216))</f>
        <v>1</v>
      </c>
      <c r="R216" s="1">
        <f>INDEX(Table2[[HomeTeam]:[Group_details]],ROWS($N$2:P216),COLUMNS($N$2:P216))</f>
        <v>0</v>
      </c>
      <c r="S216" s="1" t="str">
        <f>INDEX(Table2[[HomeTeam]:[Group_details]],ROWS($N$2:Q216),COLUMNS($N$2:Q216))</f>
        <v>England</v>
      </c>
      <c r="T216" s="1" t="str">
        <f>INDEX(Table2[[HomeTeam]:[Group_details]],ROWS($N$2:R216),COLUMNS($N$2:R216))</f>
        <v xml:space="preserve"> </v>
      </c>
      <c r="U216" s="1" t="str">
        <f>INDEX(Table2[[HomeTeam]:[Group_details]],ROWS($N$2:S216),COLUMNS($N$2:S216))</f>
        <v>Group stages</v>
      </c>
      <c r="V216" s="1" t="b">
        <f t="shared" si="3"/>
        <v>0</v>
      </c>
      <c r="W216" s="1" t="str">
        <f>IF(V216=TRUE,ROWS($V$2:V216),"")</f>
        <v/>
      </c>
      <c r="X216" s="1" t="str">
        <f>IFERROR(SMALL($W$2:$W$853,ROWS($W$2:W216)),"")</f>
        <v/>
      </c>
      <c r="Y216" s="1" t="str">
        <f>IF($X216&lt;&gt;"",INDEX($P$2:$U$853,MATCH($X216,$W$2:$W$853,0),COLUMNS($X$2:X216)),"")</f>
        <v/>
      </c>
      <c r="Z216" s="1" t="str">
        <f>IF($X216&lt;&gt;"",INDEX($P$2:$U$853,MATCH($X216,$W$2:$W$853,0),COLUMNS($X$2:Y216)),"")</f>
        <v/>
      </c>
      <c r="AA216" s="1" t="str">
        <f>IF($X216&lt;&gt;"",INDEX($P$2:$U$853,MATCH($X216,$W$2:$W$853,0),COLUMNS($X$2:Z216)),"")</f>
        <v/>
      </c>
      <c r="AB216" s="1" t="str">
        <f>IF($X216&lt;&gt;"",INDEX($P$2:$U$853,MATCH($X216,$W$2:$W$853,0),COLUMNS($X$2:AA216)),"")</f>
        <v/>
      </c>
      <c r="AC216" s="1" t="str">
        <f>IF($X216&lt;&gt;"",INDEX($P$2:$U$853,MATCH($X216,$W$2:$W$853,0),COLUMNS($X$2:AB216)),"")</f>
        <v/>
      </c>
      <c r="AD216" s="1" t="str">
        <f>IF($X216&lt;&gt;"",INDEX($P$2:$U$853,MATCH($X216,$W$2:$W$853,0),COLUMNS($X$2:AC216)),"")</f>
        <v/>
      </c>
    </row>
    <row r="217" spans="1:30" x14ac:dyDescent="0.2">
      <c r="A217" s="1">
        <v>1970</v>
      </c>
      <c r="B217" s="2">
        <v>25726</v>
      </c>
      <c r="C217" s="1" t="s">
        <v>523</v>
      </c>
      <c r="D217" s="1" t="s">
        <v>9</v>
      </c>
      <c r="E217" s="1" t="s">
        <v>177</v>
      </c>
      <c r="F217" s="1" t="s">
        <v>178</v>
      </c>
      <c r="G217" s="6" t="str">
        <f>VLOOKUP(A217,WorldCups!$A$2:$B$23,2,FALSE)</f>
        <v>Mexico</v>
      </c>
      <c r="H217" s="1" t="s">
        <v>13</v>
      </c>
      <c r="I217" s="1">
        <v>4</v>
      </c>
      <c r="J217" s="1">
        <v>0</v>
      </c>
      <c r="K217" s="1" t="s">
        <v>189</v>
      </c>
      <c r="L217" s="1" t="s">
        <v>14</v>
      </c>
      <c r="M217" s="1" t="str">
        <f>IF(ISNUMBER(SEARCH("Group",Table2[[#This Row],[Round]])),"Group stages",Table2[[#This Row],[Round]])</f>
        <v>Group stages</v>
      </c>
      <c r="O217" s="1">
        <f>Table2[[#This Row],[Year]]</f>
        <v>1970</v>
      </c>
      <c r="P217" s="1" t="str">
        <f>INDEX(Table2[[HomeTeam]:[Group_details]],ROWS($N$2:N217),COLUMNS($N$2:N217))</f>
        <v>Mexico</v>
      </c>
      <c r="Q217" s="1">
        <f>INDEX(Table2[[HomeTeam]:[Group_details]],ROWS($N$2:O217),COLUMNS($N$2:O217))</f>
        <v>4</v>
      </c>
      <c r="R217" s="1">
        <f>INDEX(Table2[[HomeTeam]:[Group_details]],ROWS($N$2:P217),COLUMNS($N$2:P217))</f>
        <v>0</v>
      </c>
      <c r="S217" s="1" t="str">
        <f>INDEX(Table2[[HomeTeam]:[Group_details]],ROWS($N$2:Q217),COLUMNS($N$2:Q217))</f>
        <v>El Salvador</v>
      </c>
      <c r="T217" s="1" t="str">
        <f>INDEX(Table2[[HomeTeam]:[Group_details]],ROWS($N$2:R217),COLUMNS($N$2:R217))</f>
        <v xml:space="preserve"> </v>
      </c>
      <c r="U217" s="1" t="str">
        <f>INDEX(Table2[[HomeTeam]:[Group_details]],ROWS($N$2:S217),COLUMNS($N$2:S217))</f>
        <v>Group stages</v>
      </c>
      <c r="V217" s="1" t="b">
        <f t="shared" si="3"/>
        <v>0</v>
      </c>
      <c r="W217" s="1" t="str">
        <f>IF(V217=TRUE,ROWS($V$2:V217),"")</f>
        <v/>
      </c>
      <c r="X217" s="1" t="str">
        <f>IFERROR(SMALL($W$2:$W$853,ROWS($W$2:W217)),"")</f>
        <v/>
      </c>
      <c r="Y217" s="1" t="str">
        <f>IF($X217&lt;&gt;"",INDEX($P$2:$U$853,MATCH($X217,$W$2:$W$853,0),COLUMNS($X$2:X217)),"")</f>
        <v/>
      </c>
      <c r="Z217" s="1" t="str">
        <f>IF($X217&lt;&gt;"",INDEX($P$2:$U$853,MATCH($X217,$W$2:$W$853,0),COLUMNS($X$2:Y217)),"")</f>
        <v/>
      </c>
      <c r="AA217" s="1" t="str">
        <f>IF($X217&lt;&gt;"",INDEX($P$2:$U$853,MATCH($X217,$W$2:$W$853,0),COLUMNS($X$2:Z217)),"")</f>
        <v/>
      </c>
      <c r="AB217" s="1" t="str">
        <f>IF($X217&lt;&gt;"",INDEX($P$2:$U$853,MATCH($X217,$W$2:$W$853,0),COLUMNS($X$2:AA217)),"")</f>
        <v/>
      </c>
      <c r="AC217" s="1" t="str">
        <f>IF($X217&lt;&gt;"",INDEX($P$2:$U$853,MATCH($X217,$W$2:$W$853,0),COLUMNS($X$2:AB217)),"")</f>
        <v/>
      </c>
      <c r="AD217" s="1" t="str">
        <f>IF($X217&lt;&gt;"",INDEX($P$2:$U$853,MATCH($X217,$W$2:$W$853,0),COLUMNS($X$2:AC217)),"")</f>
        <v/>
      </c>
    </row>
    <row r="218" spans="1:30" x14ac:dyDescent="0.2">
      <c r="A218" s="1">
        <v>1970</v>
      </c>
      <c r="B218" s="2">
        <v>25729</v>
      </c>
      <c r="C218" s="1" t="s">
        <v>503</v>
      </c>
      <c r="D218" s="1" t="s">
        <v>19</v>
      </c>
      <c r="E218" s="1" t="s">
        <v>179</v>
      </c>
      <c r="F218" s="1" t="s">
        <v>180</v>
      </c>
      <c r="G218" s="6" t="str">
        <f>VLOOKUP(A218,WorldCups!$A$2:$B$23,2,FALSE)</f>
        <v>Mexico</v>
      </c>
      <c r="H218" s="1" t="s">
        <v>48</v>
      </c>
      <c r="I218" s="1">
        <v>1</v>
      </c>
      <c r="J218" s="1">
        <v>0</v>
      </c>
      <c r="K218" s="1" t="s">
        <v>30</v>
      </c>
      <c r="L218" s="1" t="s">
        <v>14</v>
      </c>
      <c r="M218" s="1" t="str">
        <f>IF(ISNUMBER(SEARCH("Group",Table2[[#This Row],[Round]])),"Group stages",Table2[[#This Row],[Round]])</f>
        <v>Group stages</v>
      </c>
      <c r="O218" s="1">
        <f>Table2[[#This Row],[Year]]</f>
        <v>1970</v>
      </c>
      <c r="P218" s="1" t="str">
        <f>INDEX(Table2[[HomeTeam]:[Group_details]],ROWS($N$2:N218),COLUMNS($N$2:N218))</f>
        <v>Sweden</v>
      </c>
      <c r="Q218" s="1">
        <f>INDEX(Table2[[HomeTeam]:[Group_details]],ROWS($N$2:O218),COLUMNS($N$2:O218))</f>
        <v>1</v>
      </c>
      <c r="R218" s="1">
        <f>INDEX(Table2[[HomeTeam]:[Group_details]],ROWS($N$2:P218),COLUMNS($N$2:P218))</f>
        <v>0</v>
      </c>
      <c r="S218" s="1" t="str">
        <f>INDEX(Table2[[HomeTeam]:[Group_details]],ROWS($N$2:Q218),COLUMNS($N$2:Q218))</f>
        <v>Uruguay</v>
      </c>
      <c r="T218" s="1" t="str">
        <f>INDEX(Table2[[HomeTeam]:[Group_details]],ROWS($N$2:R218),COLUMNS($N$2:R218))</f>
        <v xml:space="preserve"> </v>
      </c>
      <c r="U218" s="1" t="str">
        <f>INDEX(Table2[[HomeTeam]:[Group_details]],ROWS($N$2:S218),COLUMNS($N$2:S218))</f>
        <v>Group stages</v>
      </c>
      <c r="V218" s="1" t="b">
        <f t="shared" si="3"/>
        <v>0</v>
      </c>
      <c r="W218" s="1" t="str">
        <f>IF(V218=TRUE,ROWS($V$2:V218),"")</f>
        <v/>
      </c>
      <c r="X218" s="1" t="str">
        <f>IFERROR(SMALL($W$2:$W$853,ROWS($W$2:W218)),"")</f>
        <v/>
      </c>
      <c r="Y218" s="1" t="str">
        <f>IF($X218&lt;&gt;"",INDEX($P$2:$U$853,MATCH($X218,$W$2:$W$853,0),COLUMNS($X$2:X218)),"")</f>
        <v/>
      </c>
      <c r="Z218" s="1" t="str">
        <f>IF($X218&lt;&gt;"",INDEX($P$2:$U$853,MATCH($X218,$W$2:$W$853,0),COLUMNS($X$2:Y218)),"")</f>
        <v/>
      </c>
      <c r="AA218" s="1" t="str">
        <f>IF($X218&lt;&gt;"",INDEX($P$2:$U$853,MATCH($X218,$W$2:$W$853,0),COLUMNS($X$2:Z218)),"")</f>
        <v/>
      </c>
      <c r="AB218" s="1" t="str">
        <f>IF($X218&lt;&gt;"",INDEX($P$2:$U$853,MATCH($X218,$W$2:$W$853,0),COLUMNS($X$2:AA218)),"")</f>
        <v/>
      </c>
      <c r="AC218" s="1" t="str">
        <f>IF($X218&lt;&gt;"",INDEX($P$2:$U$853,MATCH($X218,$W$2:$W$853,0),COLUMNS($X$2:AB218)),"")</f>
        <v/>
      </c>
      <c r="AD218" s="1" t="str">
        <f>IF($X218&lt;&gt;"",INDEX($P$2:$U$853,MATCH($X218,$W$2:$W$853,0),COLUMNS($X$2:AC218)),"")</f>
        <v/>
      </c>
    </row>
    <row r="219" spans="1:30" x14ac:dyDescent="0.2">
      <c r="A219" s="1">
        <v>1970</v>
      </c>
      <c r="B219" s="2">
        <v>25729</v>
      </c>
      <c r="C219" s="1" t="s">
        <v>503</v>
      </c>
      <c r="D219" s="1" t="s">
        <v>15</v>
      </c>
      <c r="E219" s="1" t="s">
        <v>182</v>
      </c>
      <c r="F219" s="1" t="s">
        <v>183</v>
      </c>
      <c r="G219" s="6" t="str">
        <f>VLOOKUP(A219,WorldCups!$A$2:$B$23,2,FALSE)</f>
        <v>Mexico</v>
      </c>
      <c r="H219" s="1" t="s">
        <v>114</v>
      </c>
      <c r="I219" s="1">
        <v>3</v>
      </c>
      <c r="J219" s="1">
        <v>1</v>
      </c>
      <c r="K219" s="1" t="s">
        <v>24</v>
      </c>
      <c r="L219" s="1" t="s">
        <v>14</v>
      </c>
      <c r="M219" s="1" t="str">
        <f>IF(ISNUMBER(SEARCH("Group",Table2[[#This Row],[Round]])),"Group stages",Table2[[#This Row],[Round]])</f>
        <v>Group stages</v>
      </c>
      <c r="O219" s="1">
        <f>Table2[[#This Row],[Year]]</f>
        <v>1970</v>
      </c>
      <c r="P219" s="1" t="str">
        <f>INDEX(Table2[[HomeTeam]:[Group_details]],ROWS($N$2:N219),COLUMNS($N$2:N219))</f>
        <v>Germany FR</v>
      </c>
      <c r="Q219" s="1">
        <f>INDEX(Table2[[HomeTeam]:[Group_details]],ROWS($N$2:O219),COLUMNS($N$2:O219))</f>
        <v>3</v>
      </c>
      <c r="R219" s="1">
        <f>INDEX(Table2[[HomeTeam]:[Group_details]],ROWS($N$2:P219),COLUMNS($N$2:P219))</f>
        <v>1</v>
      </c>
      <c r="S219" s="1" t="str">
        <f>INDEX(Table2[[HomeTeam]:[Group_details]],ROWS($N$2:Q219),COLUMNS($N$2:Q219))</f>
        <v>Peru</v>
      </c>
      <c r="T219" s="1" t="str">
        <f>INDEX(Table2[[HomeTeam]:[Group_details]],ROWS($N$2:R219),COLUMNS($N$2:R219))</f>
        <v xml:space="preserve"> </v>
      </c>
      <c r="U219" s="1" t="str">
        <f>INDEX(Table2[[HomeTeam]:[Group_details]],ROWS($N$2:S219),COLUMNS($N$2:S219))</f>
        <v>Group stages</v>
      </c>
      <c r="V219" s="1" t="b">
        <f t="shared" si="3"/>
        <v>0</v>
      </c>
      <c r="W219" s="1" t="str">
        <f>IF(V219=TRUE,ROWS($V$2:V219),"")</f>
        <v/>
      </c>
      <c r="X219" s="1" t="str">
        <f>IFERROR(SMALL($W$2:$W$853,ROWS($W$2:W219)),"")</f>
        <v/>
      </c>
      <c r="Y219" s="1" t="str">
        <f>IF($X219&lt;&gt;"",INDEX($P$2:$U$853,MATCH($X219,$W$2:$W$853,0),COLUMNS($X$2:X219)),"")</f>
        <v/>
      </c>
      <c r="Z219" s="1" t="str">
        <f>IF($X219&lt;&gt;"",INDEX($P$2:$U$853,MATCH($X219,$W$2:$W$853,0),COLUMNS($X$2:Y219)),"")</f>
        <v/>
      </c>
      <c r="AA219" s="1" t="str">
        <f>IF($X219&lt;&gt;"",INDEX($P$2:$U$853,MATCH($X219,$W$2:$W$853,0),COLUMNS($X$2:Z219)),"")</f>
        <v/>
      </c>
      <c r="AB219" s="1" t="str">
        <f>IF($X219&lt;&gt;"",INDEX($P$2:$U$853,MATCH($X219,$W$2:$W$853,0),COLUMNS($X$2:AA219)),"")</f>
        <v/>
      </c>
      <c r="AC219" s="1" t="str">
        <f>IF($X219&lt;&gt;"",INDEX($P$2:$U$853,MATCH($X219,$W$2:$W$853,0),COLUMNS($X$2:AB219)),"")</f>
        <v/>
      </c>
      <c r="AD219" s="1" t="str">
        <f>IF($X219&lt;&gt;"",INDEX($P$2:$U$853,MATCH($X219,$W$2:$W$853,0),COLUMNS($X$2:AC219)),"")</f>
        <v/>
      </c>
    </row>
    <row r="220" spans="1:30" x14ac:dyDescent="0.2">
      <c r="A220" s="1">
        <v>1970</v>
      </c>
      <c r="B220" s="2">
        <v>25729</v>
      </c>
      <c r="C220" s="1" t="s">
        <v>503</v>
      </c>
      <c r="D220" s="1" t="s">
        <v>22</v>
      </c>
      <c r="E220" s="1" t="s">
        <v>184</v>
      </c>
      <c r="F220" s="1" t="s">
        <v>185</v>
      </c>
      <c r="G220" s="6" t="str">
        <f>VLOOKUP(A220,WorldCups!$A$2:$B$23,2,FALSE)</f>
        <v>Mexico</v>
      </c>
      <c r="H220" s="1" t="s">
        <v>21</v>
      </c>
      <c r="I220" s="1">
        <v>3</v>
      </c>
      <c r="J220" s="1">
        <v>2</v>
      </c>
      <c r="K220" s="1" t="s">
        <v>23</v>
      </c>
      <c r="L220" s="1" t="s">
        <v>14</v>
      </c>
      <c r="M220" s="1" t="str">
        <f>IF(ISNUMBER(SEARCH("Group",Table2[[#This Row],[Round]])),"Group stages",Table2[[#This Row],[Round]])</f>
        <v>Group stages</v>
      </c>
      <c r="O220" s="1">
        <f>Table2[[#This Row],[Year]]</f>
        <v>1970</v>
      </c>
      <c r="P220" s="1" t="str">
        <f>INDEX(Table2[[HomeTeam]:[Group_details]],ROWS($N$2:N220),COLUMNS($N$2:N220))</f>
        <v>Brazil</v>
      </c>
      <c r="Q220" s="1">
        <f>INDEX(Table2[[HomeTeam]:[Group_details]],ROWS($N$2:O220),COLUMNS($N$2:O220))</f>
        <v>3</v>
      </c>
      <c r="R220" s="1">
        <f>INDEX(Table2[[HomeTeam]:[Group_details]],ROWS($N$2:P220),COLUMNS($N$2:P220))</f>
        <v>2</v>
      </c>
      <c r="S220" s="1" t="str">
        <f>INDEX(Table2[[HomeTeam]:[Group_details]],ROWS($N$2:Q220),COLUMNS($N$2:Q220))</f>
        <v>Romania</v>
      </c>
      <c r="T220" s="1" t="str">
        <f>INDEX(Table2[[HomeTeam]:[Group_details]],ROWS($N$2:R220),COLUMNS($N$2:R220))</f>
        <v xml:space="preserve"> </v>
      </c>
      <c r="U220" s="1" t="str">
        <f>INDEX(Table2[[HomeTeam]:[Group_details]],ROWS($N$2:S220),COLUMNS($N$2:S220))</f>
        <v>Group stages</v>
      </c>
      <c r="V220" s="1" t="b">
        <f t="shared" si="3"/>
        <v>0</v>
      </c>
      <c r="W220" s="1" t="str">
        <f>IF(V220=TRUE,ROWS($V$2:V220),"")</f>
        <v/>
      </c>
      <c r="X220" s="1" t="str">
        <f>IFERROR(SMALL($W$2:$W$853,ROWS($W$2:W220)),"")</f>
        <v/>
      </c>
      <c r="Y220" s="1" t="str">
        <f>IF($X220&lt;&gt;"",INDEX($P$2:$U$853,MATCH($X220,$W$2:$W$853,0),COLUMNS($X$2:X220)),"")</f>
        <v/>
      </c>
      <c r="Z220" s="1" t="str">
        <f>IF($X220&lt;&gt;"",INDEX($P$2:$U$853,MATCH($X220,$W$2:$W$853,0),COLUMNS($X$2:Y220)),"")</f>
        <v/>
      </c>
      <c r="AA220" s="1" t="str">
        <f>IF($X220&lt;&gt;"",INDEX($P$2:$U$853,MATCH($X220,$W$2:$W$853,0),COLUMNS($X$2:Z220)),"")</f>
        <v/>
      </c>
      <c r="AB220" s="1" t="str">
        <f>IF($X220&lt;&gt;"",INDEX($P$2:$U$853,MATCH($X220,$W$2:$W$853,0),COLUMNS($X$2:AA220)),"")</f>
        <v/>
      </c>
      <c r="AC220" s="1" t="str">
        <f>IF($X220&lt;&gt;"",INDEX($P$2:$U$853,MATCH($X220,$W$2:$W$853,0),COLUMNS($X$2:AB220)),"")</f>
        <v/>
      </c>
      <c r="AD220" s="1" t="str">
        <f>IF($X220&lt;&gt;"",INDEX($P$2:$U$853,MATCH($X220,$W$2:$W$853,0),COLUMNS($X$2:AC220)),"")</f>
        <v/>
      </c>
    </row>
    <row r="221" spans="1:30" x14ac:dyDescent="0.2">
      <c r="A221" s="1">
        <v>1970</v>
      </c>
      <c r="B221" s="2">
        <v>25729</v>
      </c>
      <c r="C221" s="1" t="s">
        <v>503</v>
      </c>
      <c r="D221" s="1" t="s">
        <v>9</v>
      </c>
      <c r="E221" s="1" t="s">
        <v>177</v>
      </c>
      <c r="F221" s="1" t="s">
        <v>178</v>
      </c>
      <c r="G221" s="6" t="str">
        <f>VLOOKUP(A221,WorldCups!$A$2:$B$23,2,FALSE)</f>
        <v>Mexico</v>
      </c>
      <c r="H221" s="1" t="s">
        <v>126</v>
      </c>
      <c r="I221" s="1">
        <v>2</v>
      </c>
      <c r="J221" s="1">
        <v>0</v>
      </c>
      <c r="K221" s="1" t="s">
        <v>189</v>
      </c>
      <c r="L221" s="1" t="s">
        <v>14</v>
      </c>
      <c r="M221" s="1" t="str">
        <f>IF(ISNUMBER(SEARCH("Group",Table2[[#This Row],[Round]])),"Group stages",Table2[[#This Row],[Round]])</f>
        <v>Group stages</v>
      </c>
      <c r="O221" s="1">
        <f>Table2[[#This Row],[Year]]</f>
        <v>1970</v>
      </c>
      <c r="P221" s="1" t="str">
        <f>INDEX(Table2[[HomeTeam]:[Group_details]],ROWS($N$2:N221),COLUMNS($N$2:N221))</f>
        <v>Soviet Union</v>
      </c>
      <c r="Q221" s="1">
        <f>INDEX(Table2[[HomeTeam]:[Group_details]],ROWS($N$2:O221),COLUMNS($N$2:O221))</f>
        <v>2</v>
      </c>
      <c r="R221" s="1">
        <f>INDEX(Table2[[HomeTeam]:[Group_details]],ROWS($N$2:P221),COLUMNS($N$2:P221))</f>
        <v>0</v>
      </c>
      <c r="S221" s="1" t="str">
        <f>INDEX(Table2[[HomeTeam]:[Group_details]],ROWS($N$2:Q221),COLUMNS($N$2:Q221))</f>
        <v>El Salvador</v>
      </c>
      <c r="T221" s="1" t="str">
        <f>INDEX(Table2[[HomeTeam]:[Group_details]],ROWS($N$2:R221),COLUMNS($N$2:R221))</f>
        <v xml:space="preserve"> </v>
      </c>
      <c r="U221" s="1" t="str">
        <f>INDEX(Table2[[HomeTeam]:[Group_details]],ROWS($N$2:S221),COLUMNS($N$2:S221))</f>
        <v>Group stages</v>
      </c>
      <c r="V221" s="1" t="b">
        <f t="shared" si="3"/>
        <v>0</v>
      </c>
      <c r="W221" s="1" t="str">
        <f>IF(V221=TRUE,ROWS($V$2:V221),"")</f>
        <v/>
      </c>
      <c r="X221" s="1" t="str">
        <f>IFERROR(SMALL($W$2:$W$853,ROWS($W$2:W221)),"")</f>
        <v/>
      </c>
      <c r="Y221" s="1" t="str">
        <f>IF($X221&lt;&gt;"",INDEX($P$2:$U$853,MATCH($X221,$W$2:$W$853,0),COLUMNS($X$2:X221)),"")</f>
        <v/>
      </c>
      <c r="Z221" s="1" t="str">
        <f>IF($X221&lt;&gt;"",INDEX($P$2:$U$853,MATCH($X221,$W$2:$W$853,0),COLUMNS($X$2:Y221)),"")</f>
        <v/>
      </c>
      <c r="AA221" s="1" t="str">
        <f>IF($X221&lt;&gt;"",INDEX($P$2:$U$853,MATCH($X221,$W$2:$W$853,0),COLUMNS($X$2:Z221)),"")</f>
        <v/>
      </c>
      <c r="AB221" s="1" t="str">
        <f>IF($X221&lt;&gt;"",INDEX($P$2:$U$853,MATCH($X221,$W$2:$W$853,0),COLUMNS($X$2:AA221)),"")</f>
        <v/>
      </c>
      <c r="AC221" s="1" t="str">
        <f>IF($X221&lt;&gt;"",INDEX($P$2:$U$853,MATCH($X221,$W$2:$W$853,0),COLUMNS($X$2:AB221)),"")</f>
        <v/>
      </c>
      <c r="AD221" s="1" t="str">
        <f>IF($X221&lt;&gt;"",INDEX($P$2:$U$853,MATCH($X221,$W$2:$W$853,0),COLUMNS($X$2:AC221)),"")</f>
        <v/>
      </c>
    </row>
    <row r="222" spans="1:30" x14ac:dyDescent="0.2">
      <c r="A222" s="1">
        <v>1970</v>
      </c>
      <c r="B222" s="2">
        <v>25730</v>
      </c>
      <c r="C222" s="1" t="s">
        <v>503</v>
      </c>
      <c r="D222" s="1" t="s">
        <v>19</v>
      </c>
      <c r="E222" s="1" t="s">
        <v>186</v>
      </c>
      <c r="F222" s="1" t="s">
        <v>187</v>
      </c>
      <c r="G222" s="6" t="str">
        <f>VLOOKUP(A222,WorldCups!$A$2:$B$23,2,FALSE)</f>
        <v>Mexico</v>
      </c>
      <c r="H222" s="1" t="s">
        <v>57</v>
      </c>
      <c r="I222" s="1">
        <v>0</v>
      </c>
      <c r="J222" s="1">
        <v>0</v>
      </c>
      <c r="K222" s="1" t="s">
        <v>181</v>
      </c>
      <c r="L222" s="1" t="s">
        <v>14</v>
      </c>
      <c r="M222" s="1" t="str">
        <f>IF(ISNUMBER(SEARCH("Group",Table2[[#This Row],[Round]])),"Group stages",Table2[[#This Row],[Round]])</f>
        <v>Group stages</v>
      </c>
      <c r="O222" s="1">
        <f>Table2[[#This Row],[Year]]</f>
        <v>1970</v>
      </c>
      <c r="P222" s="1" t="str">
        <f>INDEX(Table2[[HomeTeam]:[Group_details]],ROWS($N$2:N222),COLUMNS($N$2:N222))</f>
        <v>Italy</v>
      </c>
      <c r="Q222" s="1">
        <f>INDEX(Table2[[HomeTeam]:[Group_details]],ROWS($N$2:O222),COLUMNS($N$2:O222))</f>
        <v>0</v>
      </c>
      <c r="R222" s="1">
        <f>INDEX(Table2[[HomeTeam]:[Group_details]],ROWS($N$2:P222),COLUMNS($N$2:P222))</f>
        <v>0</v>
      </c>
      <c r="S222" s="1" t="str">
        <f>INDEX(Table2[[HomeTeam]:[Group_details]],ROWS($N$2:Q222),COLUMNS($N$2:Q222))</f>
        <v>Israel</v>
      </c>
      <c r="T222" s="1" t="str">
        <f>INDEX(Table2[[HomeTeam]:[Group_details]],ROWS($N$2:R222),COLUMNS($N$2:R222))</f>
        <v xml:space="preserve"> </v>
      </c>
      <c r="U222" s="1" t="str">
        <f>INDEX(Table2[[HomeTeam]:[Group_details]],ROWS($N$2:S222),COLUMNS($N$2:S222))</f>
        <v>Group stages</v>
      </c>
      <c r="V222" s="1" t="b">
        <f t="shared" si="3"/>
        <v>0</v>
      </c>
      <c r="W222" s="1" t="str">
        <f>IF(V222=TRUE,ROWS($V$2:V222),"")</f>
        <v/>
      </c>
      <c r="X222" s="1" t="str">
        <f>IFERROR(SMALL($W$2:$W$853,ROWS($W$2:W222)),"")</f>
        <v/>
      </c>
      <c r="Y222" s="1" t="str">
        <f>IF($X222&lt;&gt;"",INDEX($P$2:$U$853,MATCH($X222,$W$2:$W$853,0),COLUMNS($X$2:X222)),"")</f>
        <v/>
      </c>
      <c r="Z222" s="1" t="str">
        <f>IF($X222&lt;&gt;"",INDEX($P$2:$U$853,MATCH($X222,$W$2:$W$853,0),COLUMNS($X$2:Y222)),"")</f>
        <v/>
      </c>
      <c r="AA222" s="1" t="str">
        <f>IF($X222&lt;&gt;"",INDEX($P$2:$U$853,MATCH($X222,$W$2:$W$853,0),COLUMNS($X$2:Z222)),"")</f>
        <v/>
      </c>
      <c r="AB222" s="1" t="str">
        <f>IF($X222&lt;&gt;"",INDEX($P$2:$U$853,MATCH($X222,$W$2:$W$853,0),COLUMNS($X$2:AA222)),"")</f>
        <v/>
      </c>
      <c r="AC222" s="1" t="str">
        <f>IF($X222&lt;&gt;"",INDEX($P$2:$U$853,MATCH($X222,$W$2:$W$853,0),COLUMNS($X$2:AB222)),"")</f>
        <v/>
      </c>
      <c r="AD222" s="1" t="str">
        <f>IF($X222&lt;&gt;"",INDEX($P$2:$U$853,MATCH($X222,$W$2:$W$853,0),COLUMNS($X$2:AC222)),"")</f>
        <v/>
      </c>
    </row>
    <row r="223" spans="1:30" x14ac:dyDescent="0.2">
      <c r="A223" s="1">
        <v>1970</v>
      </c>
      <c r="B223" s="2">
        <v>25730</v>
      </c>
      <c r="C223" s="1" t="s">
        <v>503</v>
      </c>
      <c r="D223" s="1" t="s">
        <v>15</v>
      </c>
      <c r="E223" s="1" t="s">
        <v>182</v>
      </c>
      <c r="F223" s="1" t="s">
        <v>183</v>
      </c>
      <c r="G223" s="6" t="str">
        <f>VLOOKUP(A223,WorldCups!$A$2:$B$23,2,FALSE)</f>
        <v>Mexico</v>
      </c>
      <c r="H223" s="1" t="s">
        <v>156</v>
      </c>
      <c r="I223" s="1">
        <v>1</v>
      </c>
      <c r="J223" s="1">
        <v>1</v>
      </c>
      <c r="K223" s="1" t="s">
        <v>188</v>
      </c>
      <c r="L223" s="1" t="s">
        <v>14</v>
      </c>
      <c r="M223" s="1" t="str">
        <f>IF(ISNUMBER(SEARCH("Group",Table2[[#This Row],[Round]])),"Group stages",Table2[[#This Row],[Round]])</f>
        <v>Group stages</v>
      </c>
      <c r="O223" s="1">
        <f>Table2[[#This Row],[Year]]</f>
        <v>1970</v>
      </c>
      <c r="P223" s="1" t="str">
        <f>INDEX(Table2[[HomeTeam]:[Group_details]],ROWS($N$2:N223),COLUMNS($N$2:N223))</f>
        <v>Bulgaria</v>
      </c>
      <c r="Q223" s="1">
        <f>INDEX(Table2[[HomeTeam]:[Group_details]],ROWS($N$2:O223),COLUMNS($N$2:O223))</f>
        <v>1</v>
      </c>
      <c r="R223" s="1">
        <f>INDEX(Table2[[HomeTeam]:[Group_details]],ROWS($N$2:P223),COLUMNS($N$2:P223))</f>
        <v>1</v>
      </c>
      <c r="S223" s="1" t="str">
        <f>INDEX(Table2[[HomeTeam]:[Group_details]],ROWS($N$2:Q223),COLUMNS($N$2:Q223))</f>
        <v>Morocco</v>
      </c>
      <c r="T223" s="1" t="str">
        <f>INDEX(Table2[[HomeTeam]:[Group_details]],ROWS($N$2:R223),COLUMNS($N$2:R223))</f>
        <v xml:space="preserve"> </v>
      </c>
      <c r="U223" s="1" t="str">
        <f>INDEX(Table2[[HomeTeam]:[Group_details]],ROWS($N$2:S223),COLUMNS($N$2:S223))</f>
        <v>Group stages</v>
      </c>
      <c r="V223" s="1" t="b">
        <f t="shared" si="3"/>
        <v>0</v>
      </c>
      <c r="W223" s="1" t="str">
        <f>IF(V223=TRUE,ROWS($V$2:V223),"")</f>
        <v/>
      </c>
      <c r="X223" s="1" t="str">
        <f>IFERROR(SMALL($W$2:$W$853,ROWS($W$2:W223)),"")</f>
        <v/>
      </c>
      <c r="Y223" s="1" t="str">
        <f>IF($X223&lt;&gt;"",INDEX($P$2:$U$853,MATCH($X223,$W$2:$W$853,0),COLUMNS($X$2:X223)),"")</f>
        <v/>
      </c>
      <c r="Z223" s="1" t="str">
        <f>IF($X223&lt;&gt;"",INDEX($P$2:$U$853,MATCH($X223,$W$2:$W$853,0),COLUMNS($X$2:Y223)),"")</f>
        <v/>
      </c>
      <c r="AA223" s="1" t="str">
        <f>IF($X223&lt;&gt;"",INDEX($P$2:$U$853,MATCH($X223,$W$2:$W$853,0),COLUMNS($X$2:Z223)),"")</f>
        <v/>
      </c>
      <c r="AB223" s="1" t="str">
        <f>IF($X223&lt;&gt;"",INDEX($P$2:$U$853,MATCH($X223,$W$2:$W$853,0),COLUMNS($X$2:AA223)),"")</f>
        <v/>
      </c>
      <c r="AC223" s="1" t="str">
        <f>IF($X223&lt;&gt;"",INDEX($P$2:$U$853,MATCH($X223,$W$2:$W$853,0),COLUMNS($X$2:AB223)),"")</f>
        <v/>
      </c>
      <c r="AD223" s="1" t="str">
        <f>IF($X223&lt;&gt;"",INDEX($P$2:$U$853,MATCH($X223,$W$2:$W$853,0),COLUMNS($X$2:AC223)),"")</f>
        <v/>
      </c>
    </row>
    <row r="224" spans="1:30" x14ac:dyDescent="0.2">
      <c r="A224" s="1">
        <v>1970</v>
      </c>
      <c r="B224" s="2">
        <v>25730</v>
      </c>
      <c r="C224" s="1" t="s">
        <v>503</v>
      </c>
      <c r="D224" s="1" t="s">
        <v>22</v>
      </c>
      <c r="E224" s="1" t="s">
        <v>184</v>
      </c>
      <c r="F224" s="1" t="s">
        <v>185</v>
      </c>
      <c r="G224" s="6" t="str">
        <f>VLOOKUP(A224,WorldCups!$A$2:$B$23,2,FALSE)</f>
        <v>Mexico</v>
      </c>
      <c r="H224" s="1" t="s">
        <v>93</v>
      </c>
      <c r="I224" s="1">
        <v>1</v>
      </c>
      <c r="J224" s="1">
        <v>0</v>
      </c>
      <c r="K224" s="1" t="s">
        <v>60</v>
      </c>
      <c r="L224" s="1" t="s">
        <v>14</v>
      </c>
      <c r="M224" s="1" t="str">
        <f>IF(ISNUMBER(SEARCH("Group",Table2[[#This Row],[Round]])),"Group stages",Table2[[#This Row],[Round]])</f>
        <v>Group stages</v>
      </c>
      <c r="O224" s="1">
        <f>Table2[[#This Row],[Year]]</f>
        <v>1970</v>
      </c>
      <c r="P224" s="1" t="str">
        <f>INDEX(Table2[[HomeTeam]:[Group_details]],ROWS($N$2:N224),COLUMNS($N$2:N224))</f>
        <v>England</v>
      </c>
      <c r="Q224" s="1">
        <f>INDEX(Table2[[HomeTeam]:[Group_details]],ROWS($N$2:O224),COLUMNS($N$2:O224))</f>
        <v>1</v>
      </c>
      <c r="R224" s="1">
        <f>INDEX(Table2[[HomeTeam]:[Group_details]],ROWS($N$2:P224),COLUMNS($N$2:P224))</f>
        <v>0</v>
      </c>
      <c r="S224" s="1" t="str">
        <f>INDEX(Table2[[HomeTeam]:[Group_details]],ROWS($N$2:Q224),COLUMNS($N$2:Q224))</f>
        <v>Czechoslovakia</v>
      </c>
      <c r="T224" s="1" t="str">
        <f>INDEX(Table2[[HomeTeam]:[Group_details]],ROWS($N$2:R224),COLUMNS($N$2:R224))</f>
        <v xml:space="preserve"> </v>
      </c>
      <c r="U224" s="1" t="str">
        <f>INDEX(Table2[[HomeTeam]:[Group_details]],ROWS($N$2:S224),COLUMNS($N$2:S224))</f>
        <v>Group stages</v>
      </c>
      <c r="V224" s="1" t="b">
        <f t="shared" si="3"/>
        <v>0</v>
      </c>
      <c r="W224" s="1" t="str">
        <f>IF(V224=TRUE,ROWS($V$2:V224),"")</f>
        <v/>
      </c>
      <c r="X224" s="1" t="str">
        <f>IFERROR(SMALL($W$2:$W$853,ROWS($W$2:W224)),"")</f>
        <v/>
      </c>
      <c r="Y224" s="1" t="str">
        <f>IF($X224&lt;&gt;"",INDEX($P$2:$U$853,MATCH($X224,$W$2:$W$853,0),COLUMNS($X$2:X224)),"")</f>
        <v/>
      </c>
      <c r="Z224" s="1" t="str">
        <f>IF($X224&lt;&gt;"",INDEX($P$2:$U$853,MATCH($X224,$W$2:$W$853,0),COLUMNS($X$2:Y224)),"")</f>
        <v/>
      </c>
      <c r="AA224" s="1" t="str">
        <f>IF($X224&lt;&gt;"",INDEX($P$2:$U$853,MATCH($X224,$W$2:$W$853,0),COLUMNS($X$2:Z224)),"")</f>
        <v/>
      </c>
      <c r="AB224" s="1" t="str">
        <f>IF($X224&lt;&gt;"",INDEX($P$2:$U$853,MATCH($X224,$W$2:$W$853,0),COLUMNS($X$2:AA224)),"")</f>
        <v/>
      </c>
      <c r="AC224" s="1" t="str">
        <f>IF($X224&lt;&gt;"",INDEX($P$2:$U$853,MATCH($X224,$W$2:$W$853,0),COLUMNS($X$2:AB224)),"")</f>
        <v/>
      </c>
      <c r="AD224" s="1" t="str">
        <f>IF($X224&lt;&gt;"",INDEX($P$2:$U$853,MATCH($X224,$W$2:$W$853,0),COLUMNS($X$2:AC224)),"")</f>
        <v/>
      </c>
    </row>
    <row r="225" spans="1:30" x14ac:dyDescent="0.2">
      <c r="A225" s="1">
        <v>1970</v>
      </c>
      <c r="B225" s="2">
        <v>25730</v>
      </c>
      <c r="C225" s="1" t="s">
        <v>503</v>
      </c>
      <c r="D225" s="1" t="s">
        <v>9</v>
      </c>
      <c r="E225" s="1" t="s">
        <v>177</v>
      </c>
      <c r="F225" s="1" t="s">
        <v>178</v>
      </c>
      <c r="G225" s="6" t="str">
        <f>VLOOKUP(A225,WorldCups!$A$2:$B$23,2,FALSE)</f>
        <v>Mexico</v>
      </c>
      <c r="H225" s="1" t="s">
        <v>13</v>
      </c>
      <c r="I225" s="1">
        <v>1</v>
      </c>
      <c r="J225" s="1">
        <v>0</v>
      </c>
      <c r="K225" s="1" t="s">
        <v>18</v>
      </c>
      <c r="L225" s="1" t="s">
        <v>14</v>
      </c>
      <c r="M225" s="1" t="str">
        <f>IF(ISNUMBER(SEARCH("Group",Table2[[#This Row],[Round]])),"Group stages",Table2[[#This Row],[Round]])</f>
        <v>Group stages</v>
      </c>
      <c r="O225" s="1">
        <f>Table2[[#This Row],[Year]]</f>
        <v>1970</v>
      </c>
      <c r="P225" s="1" t="str">
        <f>INDEX(Table2[[HomeTeam]:[Group_details]],ROWS($N$2:N225),COLUMNS($N$2:N225))</f>
        <v>Mexico</v>
      </c>
      <c r="Q225" s="1">
        <f>INDEX(Table2[[HomeTeam]:[Group_details]],ROWS($N$2:O225),COLUMNS($N$2:O225))</f>
        <v>1</v>
      </c>
      <c r="R225" s="1">
        <f>INDEX(Table2[[HomeTeam]:[Group_details]],ROWS($N$2:P225),COLUMNS($N$2:P225))</f>
        <v>0</v>
      </c>
      <c r="S225" s="1" t="str">
        <f>INDEX(Table2[[HomeTeam]:[Group_details]],ROWS($N$2:Q225),COLUMNS($N$2:Q225))</f>
        <v>Belgium</v>
      </c>
      <c r="T225" s="1" t="str">
        <f>INDEX(Table2[[HomeTeam]:[Group_details]],ROWS($N$2:R225),COLUMNS($N$2:R225))</f>
        <v xml:space="preserve"> </v>
      </c>
      <c r="U225" s="1" t="str">
        <f>INDEX(Table2[[HomeTeam]:[Group_details]],ROWS($N$2:S225),COLUMNS($N$2:S225))</f>
        <v>Group stages</v>
      </c>
      <c r="V225" s="1" t="b">
        <f t="shared" si="3"/>
        <v>0</v>
      </c>
      <c r="W225" s="1" t="str">
        <f>IF(V225=TRUE,ROWS($V$2:V225),"")</f>
        <v/>
      </c>
      <c r="X225" s="1" t="str">
        <f>IFERROR(SMALL($W$2:$W$853,ROWS($W$2:W225)),"")</f>
        <v/>
      </c>
      <c r="Y225" s="1" t="str">
        <f>IF($X225&lt;&gt;"",INDEX($P$2:$U$853,MATCH($X225,$W$2:$W$853,0),COLUMNS($X$2:X225)),"")</f>
        <v/>
      </c>
      <c r="Z225" s="1" t="str">
        <f>IF($X225&lt;&gt;"",INDEX($P$2:$U$853,MATCH($X225,$W$2:$W$853,0),COLUMNS($X$2:Y225)),"")</f>
        <v/>
      </c>
      <c r="AA225" s="1" t="str">
        <f>IF($X225&lt;&gt;"",INDEX($P$2:$U$853,MATCH($X225,$W$2:$W$853,0),COLUMNS($X$2:Z225)),"")</f>
        <v/>
      </c>
      <c r="AB225" s="1" t="str">
        <f>IF($X225&lt;&gt;"",INDEX($P$2:$U$853,MATCH($X225,$W$2:$W$853,0),COLUMNS($X$2:AA225)),"")</f>
        <v/>
      </c>
      <c r="AC225" s="1" t="str">
        <f>IF($X225&lt;&gt;"",INDEX($P$2:$U$853,MATCH($X225,$W$2:$W$853,0),COLUMNS($X$2:AB225)),"")</f>
        <v/>
      </c>
      <c r="AD225" s="1" t="str">
        <f>IF($X225&lt;&gt;"",INDEX($P$2:$U$853,MATCH($X225,$W$2:$W$853,0),COLUMNS($X$2:AC225)),"")</f>
        <v/>
      </c>
    </row>
    <row r="226" spans="1:30" x14ac:dyDescent="0.2">
      <c r="A226" s="1">
        <v>1970</v>
      </c>
      <c r="B226" s="2">
        <v>25733</v>
      </c>
      <c r="C226" s="1" t="s">
        <v>523</v>
      </c>
      <c r="D226" s="1" t="s">
        <v>61</v>
      </c>
      <c r="E226" s="1" t="s">
        <v>186</v>
      </c>
      <c r="F226" s="1" t="s">
        <v>187</v>
      </c>
      <c r="G226" s="6" t="str">
        <f>VLOOKUP(A226,WorldCups!$A$2:$B$23,2,FALSE)</f>
        <v>Mexico</v>
      </c>
      <c r="H226" s="1" t="s">
        <v>57</v>
      </c>
      <c r="I226" s="1">
        <v>4</v>
      </c>
      <c r="J226" s="1">
        <v>1</v>
      </c>
      <c r="K226" s="1" t="s">
        <v>13</v>
      </c>
      <c r="L226" s="1" t="s">
        <v>14</v>
      </c>
      <c r="M226" s="1" t="str">
        <f>IF(ISNUMBER(SEARCH("Group",Table2[[#This Row],[Round]])),"Group stages",Table2[[#This Row],[Round]])</f>
        <v>Quarter-finals</v>
      </c>
      <c r="O226" s="1">
        <f>Table2[[#This Row],[Year]]</f>
        <v>1970</v>
      </c>
      <c r="P226" s="1" t="str">
        <f>INDEX(Table2[[HomeTeam]:[Group_details]],ROWS($N$2:N226),COLUMNS($N$2:N226))</f>
        <v>Italy</v>
      </c>
      <c r="Q226" s="1">
        <f>INDEX(Table2[[HomeTeam]:[Group_details]],ROWS($N$2:O226),COLUMNS($N$2:O226))</f>
        <v>4</v>
      </c>
      <c r="R226" s="1">
        <f>INDEX(Table2[[HomeTeam]:[Group_details]],ROWS($N$2:P226),COLUMNS($N$2:P226))</f>
        <v>1</v>
      </c>
      <c r="S226" s="1" t="str">
        <f>INDEX(Table2[[HomeTeam]:[Group_details]],ROWS($N$2:Q226),COLUMNS($N$2:Q226))</f>
        <v>Mexico</v>
      </c>
      <c r="T226" s="1" t="str">
        <f>INDEX(Table2[[HomeTeam]:[Group_details]],ROWS($N$2:R226),COLUMNS($N$2:R226))</f>
        <v xml:space="preserve"> </v>
      </c>
      <c r="U226" s="1" t="str">
        <f>INDEX(Table2[[HomeTeam]:[Group_details]],ROWS($N$2:S226),COLUMNS($N$2:S226))</f>
        <v>Quarter-finals</v>
      </c>
      <c r="V226" s="1" t="b">
        <f t="shared" si="3"/>
        <v>0</v>
      </c>
      <c r="W226" s="1" t="str">
        <f>IF(V226=TRUE,ROWS($V$2:V226),"")</f>
        <v/>
      </c>
      <c r="X226" s="1" t="str">
        <f>IFERROR(SMALL($W$2:$W$853,ROWS($W$2:W226)),"")</f>
        <v/>
      </c>
      <c r="Y226" s="1" t="str">
        <f>IF($X226&lt;&gt;"",INDEX($P$2:$U$853,MATCH($X226,$W$2:$W$853,0),COLUMNS($X$2:X226)),"")</f>
        <v/>
      </c>
      <c r="Z226" s="1" t="str">
        <f>IF($X226&lt;&gt;"",INDEX($P$2:$U$853,MATCH($X226,$W$2:$W$853,0),COLUMNS($X$2:Y226)),"")</f>
        <v/>
      </c>
      <c r="AA226" s="1" t="str">
        <f>IF($X226&lt;&gt;"",INDEX($P$2:$U$853,MATCH($X226,$W$2:$W$853,0),COLUMNS($X$2:Z226)),"")</f>
        <v/>
      </c>
      <c r="AB226" s="1" t="str">
        <f>IF($X226&lt;&gt;"",INDEX($P$2:$U$853,MATCH($X226,$W$2:$W$853,0),COLUMNS($X$2:AA226)),"")</f>
        <v/>
      </c>
      <c r="AC226" s="1" t="str">
        <f>IF($X226&lt;&gt;"",INDEX($P$2:$U$853,MATCH($X226,$W$2:$W$853,0),COLUMNS($X$2:AB226)),"")</f>
        <v/>
      </c>
      <c r="AD226" s="1" t="str">
        <f>IF($X226&lt;&gt;"",INDEX($P$2:$U$853,MATCH($X226,$W$2:$W$853,0),COLUMNS($X$2:AC226)),"")</f>
        <v/>
      </c>
    </row>
    <row r="227" spans="1:30" x14ac:dyDescent="0.2">
      <c r="A227" s="1">
        <v>1970</v>
      </c>
      <c r="B227" s="2">
        <v>25733</v>
      </c>
      <c r="C227" s="1" t="s">
        <v>523</v>
      </c>
      <c r="D227" s="1" t="s">
        <v>61</v>
      </c>
      <c r="E227" s="1" t="s">
        <v>182</v>
      </c>
      <c r="F227" s="1" t="s">
        <v>183</v>
      </c>
      <c r="G227" s="6" t="str">
        <f>VLOOKUP(A227,WorldCups!$A$2:$B$23,2,FALSE)</f>
        <v>Mexico</v>
      </c>
      <c r="H227" s="1" t="s">
        <v>114</v>
      </c>
      <c r="I227" s="1">
        <v>3</v>
      </c>
      <c r="J227" s="1">
        <v>2</v>
      </c>
      <c r="K227" s="1" t="s">
        <v>93</v>
      </c>
      <c r="L227" s="1" t="s">
        <v>190</v>
      </c>
      <c r="M227" s="1" t="str">
        <f>IF(ISNUMBER(SEARCH("Group",Table2[[#This Row],[Round]])),"Group stages",Table2[[#This Row],[Round]])</f>
        <v>Quarter-finals</v>
      </c>
      <c r="O227" s="1">
        <f>Table2[[#This Row],[Year]]</f>
        <v>1970</v>
      </c>
      <c r="P227" s="1" t="str">
        <f>INDEX(Table2[[HomeTeam]:[Group_details]],ROWS($N$2:N227),COLUMNS($N$2:N227))</f>
        <v>Germany FR</v>
      </c>
      <c r="Q227" s="1">
        <f>INDEX(Table2[[HomeTeam]:[Group_details]],ROWS($N$2:O227),COLUMNS($N$2:O227))</f>
        <v>3</v>
      </c>
      <c r="R227" s="1">
        <f>INDEX(Table2[[HomeTeam]:[Group_details]],ROWS($N$2:P227),COLUMNS($N$2:P227))</f>
        <v>2</v>
      </c>
      <c r="S227" s="1" t="str">
        <f>INDEX(Table2[[HomeTeam]:[Group_details]],ROWS($N$2:Q227),COLUMNS($N$2:Q227))</f>
        <v>England</v>
      </c>
      <c r="T227" s="1" t="str">
        <f>INDEX(Table2[[HomeTeam]:[Group_details]],ROWS($N$2:R227),COLUMNS($N$2:R227))</f>
        <v xml:space="preserve">Germany FR win after extra time </v>
      </c>
      <c r="U227" s="1" t="str">
        <f>INDEX(Table2[[HomeTeam]:[Group_details]],ROWS($N$2:S227),COLUMNS($N$2:S227))</f>
        <v>Quarter-finals</v>
      </c>
      <c r="V227" s="1" t="b">
        <f t="shared" si="3"/>
        <v>0</v>
      </c>
      <c r="W227" s="1" t="str">
        <f>IF(V227=TRUE,ROWS($V$2:V227),"")</f>
        <v/>
      </c>
      <c r="X227" s="1" t="str">
        <f>IFERROR(SMALL($W$2:$W$853,ROWS($W$2:W227)),"")</f>
        <v/>
      </c>
      <c r="Y227" s="1" t="str">
        <f>IF($X227&lt;&gt;"",INDEX($P$2:$U$853,MATCH($X227,$W$2:$W$853,0),COLUMNS($X$2:X227)),"")</f>
        <v/>
      </c>
      <c r="Z227" s="1" t="str">
        <f>IF($X227&lt;&gt;"",INDEX($P$2:$U$853,MATCH($X227,$W$2:$W$853,0),COLUMNS($X$2:Y227)),"")</f>
        <v/>
      </c>
      <c r="AA227" s="1" t="str">
        <f>IF($X227&lt;&gt;"",INDEX($P$2:$U$853,MATCH($X227,$W$2:$W$853,0),COLUMNS($X$2:Z227)),"")</f>
        <v/>
      </c>
      <c r="AB227" s="1" t="str">
        <f>IF($X227&lt;&gt;"",INDEX($P$2:$U$853,MATCH($X227,$W$2:$W$853,0),COLUMNS($X$2:AA227)),"")</f>
        <v/>
      </c>
      <c r="AC227" s="1" t="str">
        <f>IF($X227&lt;&gt;"",INDEX($P$2:$U$853,MATCH($X227,$W$2:$W$853,0),COLUMNS($X$2:AB227)),"")</f>
        <v/>
      </c>
      <c r="AD227" s="1" t="str">
        <f>IF($X227&lt;&gt;"",INDEX($P$2:$U$853,MATCH($X227,$W$2:$W$853,0),COLUMNS($X$2:AC227)),"")</f>
        <v/>
      </c>
    </row>
    <row r="228" spans="1:30" x14ac:dyDescent="0.2">
      <c r="A228" s="1">
        <v>1970</v>
      </c>
      <c r="B228" s="2">
        <v>25733</v>
      </c>
      <c r="C228" s="1" t="s">
        <v>523</v>
      </c>
      <c r="D228" s="1" t="s">
        <v>61</v>
      </c>
      <c r="E228" s="1" t="s">
        <v>184</v>
      </c>
      <c r="F228" s="1" t="s">
        <v>185</v>
      </c>
      <c r="G228" s="6" t="str">
        <f>VLOOKUP(A228,WorldCups!$A$2:$B$23,2,FALSE)</f>
        <v>Mexico</v>
      </c>
      <c r="H228" s="1" t="s">
        <v>21</v>
      </c>
      <c r="I228" s="1">
        <v>4</v>
      </c>
      <c r="J228" s="1">
        <v>2</v>
      </c>
      <c r="K228" s="1" t="s">
        <v>24</v>
      </c>
      <c r="L228" s="1" t="s">
        <v>14</v>
      </c>
      <c r="M228" s="1" t="str">
        <f>IF(ISNUMBER(SEARCH("Group",Table2[[#This Row],[Round]])),"Group stages",Table2[[#This Row],[Round]])</f>
        <v>Quarter-finals</v>
      </c>
      <c r="O228" s="1">
        <f>Table2[[#This Row],[Year]]</f>
        <v>1970</v>
      </c>
      <c r="P228" s="1" t="str">
        <f>INDEX(Table2[[HomeTeam]:[Group_details]],ROWS($N$2:N228),COLUMNS($N$2:N228))</f>
        <v>Brazil</v>
      </c>
      <c r="Q228" s="1">
        <f>INDEX(Table2[[HomeTeam]:[Group_details]],ROWS($N$2:O228),COLUMNS($N$2:O228))</f>
        <v>4</v>
      </c>
      <c r="R228" s="1">
        <f>INDEX(Table2[[HomeTeam]:[Group_details]],ROWS($N$2:P228),COLUMNS($N$2:P228))</f>
        <v>2</v>
      </c>
      <c r="S228" s="1" t="str">
        <f>INDEX(Table2[[HomeTeam]:[Group_details]],ROWS($N$2:Q228),COLUMNS($N$2:Q228))</f>
        <v>Peru</v>
      </c>
      <c r="T228" s="1" t="str">
        <f>INDEX(Table2[[HomeTeam]:[Group_details]],ROWS($N$2:R228),COLUMNS($N$2:R228))</f>
        <v xml:space="preserve"> </v>
      </c>
      <c r="U228" s="1" t="str">
        <f>INDEX(Table2[[HomeTeam]:[Group_details]],ROWS($N$2:S228),COLUMNS($N$2:S228))</f>
        <v>Quarter-finals</v>
      </c>
      <c r="V228" s="1" t="b">
        <f t="shared" si="3"/>
        <v>0</v>
      </c>
      <c r="W228" s="1" t="str">
        <f>IF(V228=TRUE,ROWS($V$2:V228),"")</f>
        <v/>
      </c>
      <c r="X228" s="1" t="str">
        <f>IFERROR(SMALL($W$2:$W$853,ROWS($W$2:W228)),"")</f>
        <v/>
      </c>
      <c r="Y228" s="1" t="str">
        <f>IF($X228&lt;&gt;"",INDEX($P$2:$U$853,MATCH($X228,$W$2:$W$853,0),COLUMNS($X$2:X228)),"")</f>
        <v/>
      </c>
      <c r="Z228" s="1" t="str">
        <f>IF($X228&lt;&gt;"",INDEX($P$2:$U$853,MATCH($X228,$W$2:$W$853,0),COLUMNS($X$2:Y228)),"")</f>
        <v/>
      </c>
      <c r="AA228" s="1" t="str">
        <f>IF($X228&lt;&gt;"",INDEX($P$2:$U$853,MATCH($X228,$W$2:$W$853,0),COLUMNS($X$2:Z228)),"")</f>
        <v/>
      </c>
      <c r="AB228" s="1" t="str">
        <f>IF($X228&lt;&gt;"",INDEX($P$2:$U$853,MATCH($X228,$W$2:$W$853,0),COLUMNS($X$2:AA228)),"")</f>
        <v/>
      </c>
      <c r="AC228" s="1" t="str">
        <f>IF($X228&lt;&gt;"",INDEX($P$2:$U$853,MATCH($X228,$W$2:$W$853,0),COLUMNS($X$2:AB228)),"")</f>
        <v/>
      </c>
      <c r="AD228" s="1" t="str">
        <f>IF($X228&lt;&gt;"",INDEX($P$2:$U$853,MATCH($X228,$W$2:$W$853,0),COLUMNS($X$2:AC228)),"")</f>
        <v/>
      </c>
    </row>
    <row r="229" spans="1:30" x14ac:dyDescent="0.2">
      <c r="A229" s="1">
        <v>1970</v>
      </c>
      <c r="B229" s="2">
        <v>25733</v>
      </c>
      <c r="C229" s="1" t="s">
        <v>523</v>
      </c>
      <c r="D229" s="1" t="s">
        <v>61</v>
      </c>
      <c r="E229" s="1" t="s">
        <v>177</v>
      </c>
      <c r="F229" s="1" t="s">
        <v>178</v>
      </c>
      <c r="G229" s="6" t="str">
        <f>VLOOKUP(A229,WorldCups!$A$2:$B$23,2,FALSE)</f>
        <v>Mexico</v>
      </c>
      <c r="H229" s="1" t="s">
        <v>30</v>
      </c>
      <c r="I229" s="1">
        <v>1</v>
      </c>
      <c r="J229" s="1">
        <v>0</v>
      </c>
      <c r="K229" s="1" t="s">
        <v>126</v>
      </c>
      <c r="L229" s="1" t="s">
        <v>191</v>
      </c>
      <c r="M229" s="1" t="str">
        <f>IF(ISNUMBER(SEARCH("Group",Table2[[#This Row],[Round]])),"Group stages",Table2[[#This Row],[Round]])</f>
        <v>Quarter-finals</v>
      </c>
      <c r="O229" s="1">
        <f>Table2[[#This Row],[Year]]</f>
        <v>1970</v>
      </c>
      <c r="P229" s="1" t="str">
        <f>INDEX(Table2[[HomeTeam]:[Group_details]],ROWS($N$2:N229),COLUMNS($N$2:N229))</f>
        <v>Uruguay</v>
      </c>
      <c r="Q229" s="1">
        <f>INDEX(Table2[[HomeTeam]:[Group_details]],ROWS($N$2:O229),COLUMNS($N$2:O229))</f>
        <v>1</v>
      </c>
      <c r="R229" s="1">
        <f>INDEX(Table2[[HomeTeam]:[Group_details]],ROWS($N$2:P229),COLUMNS($N$2:P229))</f>
        <v>0</v>
      </c>
      <c r="S229" s="1" t="str">
        <f>INDEX(Table2[[HomeTeam]:[Group_details]],ROWS($N$2:Q229),COLUMNS($N$2:Q229))</f>
        <v>Soviet Union</v>
      </c>
      <c r="T229" s="1" t="str">
        <f>INDEX(Table2[[HomeTeam]:[Group_details]],ROWS($N$2:R229),COLUMNS($N$2:R229))</f>
        <v xml:space="preserve">Uruguay win after extra time </v>
      </c>
      <c r="U229" s="1" t="str">
        <f>INDEX(Table2[[HomeTeam]:[Group_details]],ROWS($N$2:S229),COLUMNS($N$2:S229))</f>
        <v>Quarter-finals</v>
      </c>
      <c r="V229" s="1" t="b">
        <f t="shared" si="3"/>
        <v>0</v>
      </c>
      <c r="W229" s="1" t="str">
        <f>IF(V229=TRUE,ROWS($V$2:V229),"")</f>
        <v/>
      </c>
      <c r="X229" s="1" t="str">
        <f>IFERROR(SMALL($W$2:$W$853,ROWS($W$2:W229)),"")</f>
        <v/>
      </c>
      <c r="Y229" s="1" t="str">
        <f>IF($X229&lt;&gt;"",INDEX($P$2:$U$853,MATCH($X229,$W$2:$W$853,0),COLUMNS($X$2:X229)),"")</f>
        <v/>
      </c>
      <c r="Z229" s="1" t="str">
        <f>IF($X229&lt;&gt;"",INDEX($P$2:$U$853,MATCH($X229,$W$2:$W$853,0),COLUMNS($X$2:Y229)),"")</f>
        <v/>
      </c>
      <c r="AA229" s="1" t="str">
        <f>IF($X229&lt;&gt;"",INDEX($P$2:$U$853,MATCH($X229,$W$2:$W$853,0),COLUMNS($X$2:Z229)),"")</f>
        <v/>
      </c>
      <c r="AB229" s="1" t="str">
        <f>IF($X229&lt;&gt;"",INDEX($P$2:$U$853,MATCH($X229,$W$2:$W$853,0),COLUMNS($X$2:AA229)),"")</f>
        <v/>
      </c>
      <c r="AC229" s="1" t="str">
        <f>IF($X229&lt;&gt;"",INDEX($P$2:$U$853,MATCH($X229,$W$2:$W$853,0),COLUMNS($X$2:AB229)),"")</f>
        <v/>
      </c>
      <c r="AD229" s="1" t="str">
        <f>IF($X229&lt;&gt;"",INDEX($P$2:$U$853,MATCH($X229,$W$2:$W$853,0),COLUMNS($X$2:AC229)),"")</f>
        <v/>
      </c>
    </row>
    <row r="230" spans="1:30" x14ac:dyDescent="0.2">
      <c r="A230" s="1">
        <v>1970</v>
      </c>
      <c r="B230" s="2">
        <v>25736</v>
      </c>
      <c r="C230" s="1" t="s">
        <v>503</v>
      </c>
      <c r="D230" s="1" t="s">
        <v>31</v>
      </c>
      <c r="E230" s="1" t="s">
        <v>184</v>
      </c>
      <c r="F230" s="1" t="s">
        <v>185</v>
      </c>
      <c r="G230" s="6" t="str">
        <f>VLOOKUP(A230,WorldCups!$A$2:$B$23,2,FALSE)</f>
        <v>Mexico</v>
      </c>
      <c r="H230" s="1" t="s">
        <v>21</v>
      </c>
      <c r="I230" s="1">
        <v>3</v>
      </c>
      <c r="J230" s="1">
        <v>1</v>
      </c>
      <c r="K230" s="1" t="s">
        <v>30</v>
      </c>
      <c r="L230" s="1" t="s">
        <v>14</v>
      </c>
      <c r="M230" s="1" t="str">
        <f>IF(ISNUMBER(SEARCH("Group",Table2[[#This Row],[Round]])),"Group stages",Table2[[#This Row],[Round]])</f>
        <v>Semi-finals</v>
      </c>
      <c r="O230" s="1">
        <f>Table2[[#This Row],[Year]]</f>
        <v>1970</v>
      </c>
      <c r="P230" s="1" t="str">
        <f>INDEX(Table2[[HomeTeam]:[Group_details]],ROWS($N$2:N230),COLUMNS($N$2:N230))</f>
        <v>Brazil</v>
      </c>
      <c r="Q230" s="1">
        <f>INDEX(Table2[[HomeTeam]:[Group_details]],ROWS($N$2:O230),COLUMNS($N$2:O230))</f>
        <v>3</v>
      </c>
      <c r="R230" s="1">
        <f>INDEX(Table2[[HomeTeam]:[Group_details]],ROWS($N$2:P230),COLUMNS($N$2:P230))</f>
        <v>1</v>
      </c>
      <c r="S230" s="1" t="str">
        <f>INDEX(Table2[[HomeTeam]:[Group_details]],ROWS($N$2:Q230),COLUMNS($N$2:Q230))</f>
        <v>Uruguay</v>
      </c>
      <c r="T230" s="1" t="str">
        <f>INDEX(Table2[[HomeTeam]:[Group_details]],ROWS($N$2:R230),COLUMNS($N$2:R230))</f>
        <v xml:space="preserve"> </v>
      </c>
      <c r="U230" s="1" t="str">
        <f>INDEX(Table2[[HomeTeam]:[Group_details]],ROWS($N$2:S230),COLUMNS($N$2:S230))</f>
        <v>Semi-finals</v>
      </c>
      <c r="V230" s="1" t="b">
        <f t="shared" si="3"/>
        <v>0</v>
      </c>
      <c r="W230" s="1" t="str">
        <f>IF(V230=TRUE,ROWS($V$2:V230),"")</f>
        <v/>
      </c>
      <c r="X230" s="1" t="str">
        <f>IFERROR(SMALL($W$2:$W$853,ROWS($W$2:W230)),"")</f>
        <v/>
      </c>
      <c r="Y230" s="1" t="str">
        <f>IF($X230&lt;&gt;"",INDEX($P$2:$U$853,MATCH($X230,$W$2:$W$853,0),COLUMNS($X$2:X230)),"")</f>
        <v/>
      </c>
      <c r="Z230" s="1" t="str">
        <f>IF($X230&lt;&gt;"",INDEX($P$2:$U$853,MATCH($X230,$W$2:$W$853,0),COLUMNS($X$2:Y230)),"")</f>
        <v/>
      </c>
      <c r="AA230" s="1" t="str">
        <f>IF($X230&lt;&gt;"",INDEX($P$2:$U$853,MATCH($X230,$W$2:$W$853,0),COLUMNS($X$2:Z230)),"")</f>
        <v/>
      </c>
      <c r="AB230" s="1" t="str">
        <f>IF($X230&lt;&gt;"",INDEX($P$2:$U$853,MATCH($X230,$W$2:$W$853,0),COLUMNS($X$2:AA230)),"")</f>
        <v/>
      </c>
      <c r="AC230" s="1" t="str">
        <f>IF($X230&lt;&gt;"",INDEX($P$2:$U$853,MATCH($X230,$W$2:$W$853,0),COLUMNS($X$2:AB230)),"")</f>
        <v/>
      </c>
      <c r="AD230" s="1" t="str">
        <f>IF($X230&lt;&gt;"",INDEX($P$2:$U$853,MATCH($X230,$W$2:$W$853,0),COLUMNS($X$2:AC230)),"")</f>
        <v/>
      </c>
    </row>
    <row r="231" spans="1:30" x14ac:dyDescent="0.2">
      <c r="A231" s="1">
        <v>1970</v>
      </c>
      <c r="B231" s="2">
        <v>25736</v>
      </c>
      <c r="C231" s="1" t="s">
        <v>503</v>
      </c>
      <c r="D231" s="1" t="s">
        <v>31</v>
      </c>
      <c r="E231" s="1" t="s">
        <v>177</v>
      </c>
      <c r="F231" s="1" t="s">
        <v>178</v>
      </c>
      <c r="G231" s="6" t="str">
        <f>VLOOKUP(A231,WorldCups!$A$2:$B$23,2,FALSE)</f>
        <v>Mexico</v>
      </c>
      <c r="H231" s="1" t="s">
        <v>57</v>
      </c>
      <c r="I231" s="1">
        <v>4</v>
      </c>
      <c r="J231" s="1">
        <v>3</v>
      </c>
      <c r="K231" s="1" t="s">
        <v>114</v>
      </c>
      <c r="L231" s="1" t="s">
        <v>63</v>
      </c>
      <c r="M231" s="1" t="str">
        <f>IF(ISNUMBER(SEARCH("Group",Table2[[#This Row],[Round]])),"Group stages",Table2[[#This Row],[Round]])</f>
        <v>Semi-finals</v>
      </c>
      <c r="O231" s="1">
        <f>Table2[[#This Row],[Year]]</f>
        <v>1970</v>
      </c>
      <c r="P231" s="1" t="str">
        <f>INDEX(Table2[[HomeTeam]:[Group_details]],ROWS($N$2:N231),COLUMNS($N$2:N231))</f>
        <v>Italy</v>
      </c>
      <c r="Q231" s="1">
        <f>INDEX(Table2[[HomeTeam]:[Group_details]],ROWS($N$2:O231),COLUMNS($N$2:O231))</f>
        <v>4</v>
      </c>
      <c r="R231" s="1">
        <f>INDEX(Table2[[HomeTeam]:[Group_details]],ROWS($N$2:P231),COLUMNS($N$2:P231))</f>
        <v>3</v>
      </c>
      <c r="S231" s="1" t="str">
        <f>INDEX(Table2[[HomeTeam]:[Group_details]],ROWS($N$2:Q231),COLUMNS($N$2:Q231))</f>
        <v>Germany FR</v>
      </c>
      <c r="T231" s="1" t="str">
        <f>INDEX(Table2[[HomeTeam]:[Group_details]],ROWS($N$2:R231),COLUMNS($N$2:R231))</f>
        <v xml:space="preserve">Italy win after extra time </v>
      </c>
      <c r="U231" s="1" t="str">
        <f>INDEX(Table2[[HomeTeam]:[Group_details]],ROWS($N$2:S231),COLUMNS($N$2:S231))</f>
        <v>Semi-finals</v>
      </c>
      <c r="V231" s="1" t="b">
        <f t="shared" si="3"/>
        <v>0</v>
      </c>
      <c r="W231" s="1" t="str">
        <f>IF(V231=TRUE,ROWS($V$2:V231),"")</f>
        <v/>
      </c>
      <c r="X231" s="1" t="str">
        <f>IFERROR(SMALL($W$2:$W$853,ROWS($W$2:W231)),"")</f>
        <v/>
      </c>
      <c r="Y231" s="1" t="str">
        <f>IF($X231&lt;&gt;"",INDEX($P$2:$U$853,MATCH($X231,$W$2:$W$853,0),COLUMNS($X$2:X231)),"")</f>
        <v/>
      </c>
      <c r="Z231" s="1" t="str">
        <f>IF($X231&lt;&gt;"",INDEX($P$2:$U$853,MATCH($X231,$W$2:$W$853,0),COLUMNS($X$2:Y231)),"")</f>
        <v/>
      </c>
      <c r="AA231" s="1" t="str">
        <f>IF($X231&lt;&gt;"",INDEX($P$2:$U$853,MATCH($X231,$W$2:$W$853,0),COLUMNS($X$2:Z231)),"")</f>
        <v/>
      </c>
      <c r="AB231" s="1" t="str">
        <f>IF($X231&lt;&gt;"",INDEX($P$2:$U$853,MATCH($X231,$W$2:$W$853,0),COLUMNS($X$2:AA231)),"")</f>
        <v/>
      </c>
      <c r="AC231" s="1" t="str">
        <f>IF($X231&lt;&gt;"",INDEX($P$2:$U$853,MATCH($X231,$W$2:$W$853,0),COLUMNS($X$2:AB231)),"")</f>
        <v/>
      </c>
      <c r="AD231" s="1" t="str">
        <f>IF($X231&lt;&gt;"",INDEX($P$2:$U$853,MATCH($X231,$W$2:$W$853,0),COLUMNS($X$2:AC231)),"")</f>
        <v/>
      </c>
    </row>
    <row r="232" spans="1:30" x14ac:dyDescent="0.2">
      <c r="A232" s="1">
        <v>1970</v>
      </c>
      <c r="B232" s="2">
        <v>25739</v>
      </c>
      <c r="C232" s="1" t="s">
        <v>503</v>
      </c>
      <c r="D232" s="1" t="s">
        <v>62</v>
      </c>
      <c r="E232" s="1" t="s">
        <v>177</v>
      </c>
      <c r="F232" s="1" t="s">
        <v>178</v>
      </c>
      <c r="G232" s="6" t="str">
        <f>VLOOKUP(A232,WorldCups!$A$2:$B$23,2,FALSE)</f>
        <v>Mexico</v>
      </c>
      <c r="H232" s="1" t="s">
        <v>114</v>
      </c>
      <c r="I232" s="1">
        <v>1</v>
      </c>
      <c r="J232" s="1">
        <v>0</v>
      </c>
      <c r="K232" s="1" t="s">
        <v>30</v>
      </c>
      <c r="L232" s="1" t="s">
        <v>14</v>
      </c>
      <c r="M232" s="1" t="str">
        <f>IF(ISNUMBER(SEARCH("Group",Table2[[#This Row],[Round]])),"Group stages",Table2[[#This Row],[Round]])</f>
        <v>Match for third place</v>
      </c>
      <c r="O232" s="1">
        <f>Table2[[#This Row],[Year]]</f>
        <v>1970</v>
      </c>
      <c r="P232" s="1" t="str">
        <f>INDEX(Table2[[HomeTeam]:[Group_details]],ROWS($N$2:N232),COLUMNS($N$2:N232))</f>
        <v>Germany FR</v>
      </c>
      <c r="Q232" s="1">
        <f>INDEX(Table2[[HomeTeam]:[Group_details]],ROWS($N$2:O232),COLUMNS($N$2:O232))</f>
        <v>1</v>
      </c>
      <c r="R232" s="1">
        <f>INDEX(Table2[[HomeTeam]:[Group_details]],ROWS($N$2:P232),COLUMNS($N$2:P232))</f>
        <v>0</v>
      </c>
      <c r="S232" s="1" t="str">
        <f>INDEX(Table2[[HomeTeam]:[Group_details]],ROWS($N$2:Q232),COLUMNS($N$2:Q232))</f>
        <v>Uruguay</v>
      </c>
      <c r="T232" s="1" t="str">
        <f>INDEX(Table2[[HomeTeam]:[Group_details]],ROWS($N$2:R232),COLUMNS($N$2:R232))</f>
        <v xml:space="preserve"> </v>
      </c>
      <c r="U232" s="1" t="str">
        <f>INDEX(Table2[[HomeTeam]:[Group_details]],ROWS($N$2:S232),COLUMNS($N$2:S232))</f>
        <v>Match for third place</v>
      </c>
      <c r="V232" s="1" t="b">
        <f t="shared" si="3"/>
        <v>0</v>
      </c>
      <c r="W232" s="1" t="str">
        <f>IF(V232=TRUE,ROWS($V$2:V232),"")</f>
        <v/>
      </c>
      <c r="X232" s="1" t="str">
        <f>IFERROR(SMALL($W$2:$W$853,ROWS($W$2:W232)),"")</f>
        <v/>
      </c>
      <c r="Y232" s="1" t="str">
        <f>IF($X232&lt;&gt;"",INDEX($P$2:$U$853,MATCH($X232,$W$2:$W$853,0),COLUMNS($X$2:X232)),"")</f>
        <v/>
      </c>
      <c r="Z232" s="1" t="str">
        <f>IF($X232&lt;&gt;"",INDEX($P$2:$U$853,MATCH($X232,$W$2:$W$853,0),COLUMNS($X$2:Y232)),"")</f>
        <v/>
      </c>
      <c r="AA232" s="1" t="str">
        <f>IF($X232&lt;&gt;"",INDEX($P$2:$U$853,MATCH($X232,$W$2:$W$853,0),COLUMNS($X$2:Z232)),"")</f>
        <v/>
      </c>
      <c r="AB232" s="1" t="str">
        <f>IF($X232&lt;&gt;"",INDEX($P$2:$U$853,MATCH($X232,$W$2:$W$853,0),COLUMNS($X$2:AA232)),"")</f>
        <v/>
      </c>
      <c r="AC232" s="1" t="str">
        <f>IF($X232&lt;&gt;"",INDEX($P$2:$U$853,MATCH($X232,$W$2:$W$853,0),COLUMNS($X$2:AB232)),"")</f>
        <v/>
      </c>
      <c r="AD232" s="1" t="str">
        <f>IF($X232&lt;&gt;"",INDEX($P$2:$U$853,MATCH($X232,$W$2:$W$853,0),COLUMNS($X$2:AC232)),"")</f>
        <v/>
      </c>
    </row>
    <row r="233" spans="1:30" x14ac:dyDescent="0.2">
      <c r="A233" s="1">
        <v>1970</v>
      </c>
      <c r="B233" s="2">
        <v>25740</v>
      </c>
      <c r="C233" s="1" t="s">
        <v>523</v>
      </c>
      <c r="D233" s="1" t="s">
        <v>32</v>
      </c>
      <c r="E233" s="1" t="s">
        <v>177</v>
      </c>
      <c r="F233" s="1" t="s">
        <v>178</v>
      </c>
      <c r="G233" s="6" t="str">
        <f>VLOOKUP(A233,WorldCups!$A$2:$B$23,2,FALSE)</f>
        <v>Mexico</v>
      </c>
      <c r="H233" s="1" t="s">
        <v>21</v>
      </c>
      <c r="I233" s="1">
        <v>4</v>
      </c>
      <c r="J233" s="1">
        <v>1</v>
      </c>
      <c r="K233" s="1" t="s">
        <v>57</v>
      </c>
      <c r="L233" s="1" t="s">
        <v>14</v>
      </c>
      <c r="M233" s="1" t="str">
        <f>IF(ISNUMBER(SEARCH("Group",Table2[[#This Row],[Round]])),"Group stages",Table2[[#This Row],[Round]])</f>
        <v>Final</v>
      </c>
      <c r="O233" s="1">
        <f>Table2[[#This Row],[Year]]</f>
        <v>1970</v>
      </c>
      <c r="P233" s="1" t="str">
        <f>INDEX(Table2[[HomeTeam]:[Group_details]],ROWS($N$2:N233),COLUMNS($N$2:N233))</f>
        <v>Brazil</v>
      </c>
      <c r="Q233" s="1">
        <f>INDEX(Table2[[HomeTeam]:[Group_details]],ROWS($N$2:O233),COLUMNS($N$2:O233))</f>
        <v>4</v>
      </c>
      <c r="R233" s="1">
        <f>INDEX(Table2[[HomeTeam]:[Group_details]],ROWS($N$2:P233),COLUMNS($N$2:P233))</f>
        <v>1</v>
      </c>
      <c r="S233" s="1" t="str">
        <f>INDEX(Table2[[HomeTeam]:[Group_details]],ROWS($N$2:Q233),COLUMNS($N$2:Q233))</f>
        <v>Italy</v>
      </c>
      <c r="T233" s="1" t="str">
        <f>INDEX(Table2[[HomeTeam]:[Group_details]],ROWS($N$2:R233),COLUMNS($N$2:R233))</f>
        <v xml:space="preserve"> </v>
      </c>
      <c r="U233" s="1" t="str">
        <f>INDEX(Table2[[HomeTeam]:[Group_details]],ROWS($N$2:S233),COLUMNS($N$2:S233))</f>
        <v>Final</v>
      </c>
      <c r="V233" s="1" t="b">
        <f t="shared" si="3"/>
        <v>0</v>
      </c>
      <c r="W233" s="1" t="str">
        <f>IF(V233=TRUE,ROWS($V$2:V233),"")</f>
        <v/>
      </c>
      <c r="X233" s="1" t="str">
        <f>IFERROR(SMALL($W$2:$W$853,ROWS($W$2:W233)),"")</f>
        <v/>
      </c>
      <c r="Y233" s="1" t="str">
        <f>IF($X233&lt;&gt;"",INDEX($P$2:$U$853,MATCH($X233,$W$2:$W$853,0),COLUMNS($X$2:X233)),"")</f>
        <v/>
      </c>
      <c r="Z233" s="1" t="str">
        <f>IF($X233&lt;&gt;"",INDEX($P$2:$U$853,MATCH($X233,$W$2:$W$853,0),COLUMNS($X$2:Y233)),"")</f>
        <v/>
      </c>
      <c r="AA233" s="1" t="str">
        <f>IF($X233&lt;&gt;"",INDEX($P$2:$U$853,MATCH($X233,$W$2:$W$853,0),COLUMNS($X$2:Z233)),"")</f>
        <v/>
      </c>
      <c r="AB233" s="1" t="str">
        <f>IF($X233&lt;&gt;"",INDEX($P$2:$U$853,MATCH($X233,$W$2:$W$853,0),COLUMNS($X$2:AA233)),"")</f>
        <v/>
      </c>
      <c r="AC233" s="1" t="str">
        <f>IF($X233&lt;&gt;"",INDEX($P$2:$U$853,MATCH($X233,$W$2:$W$853,0),COLUMNS($X$2:AB233)),"")</f>
        <v/>
      </c>
      <c r="AD233" s="1" t="str">
        <f>IF($X233&lt;&gt;"",INDEX($P$2:$U$853,MATCH($X233,$W$2:$W$853,0),COLUMNS($X$2:AC233)),"")</f>
        <v/>
      </c>
    </row>
    <row r="234" spans="1:30" x14ac:dyDescent="0.2">
      <c r="A234" s="1">
        <v>1974</v>
      </c>
      <c r="B234" s="2">
        <v>27193</v>
      </c>
      <c r="C234" s="1" t="s">
        <v>512</v>
      </c>
      <c r="D234" s="1" t="s">
        <v>19</v>
      </c>
      <c r="E234" s="1" t="s">
        <v>192</v>
      </c>
      <c r="F234" s="1" t="s">
        <v>193</v>
      </c>
      <c r="G234" s="6" t="str">
        <f>VLOOKUP(A234,WorldCups!$A$2:$B$23,2,FALSE)</f>
        <v>Germany</v>
      </c>
      <c r="H234" s="1" t="s">
        <v>21</v>
      </c>
      <c r="I234" s="1">
        <v>0</v>
      </c>
      <c r="J234" s="1">
        <v>0</v>
      </c>
      <c r="K234" s="1" t="s">
        <v>20</v>
      </c>
      <c r="L234" s="1" t="s">
        <v>14</v>
      </c>
      <c r="M234" s="1" t="str">
        <f>IF(ISNUMBER(SEARCH("Group",Table2[[#This Row],[Round]])),"Group stages",Table2[[#This Row],[Round]])</f>
        <v>Group stages</v>
      </c>
      <c r="O234" s="1">
        <f>Table2[[#This Row],[Year]]</f>
        <v>1974</v>
      </c>
      <c r="P234" s="1" t="str">
        <f>INDEX(Table2[[HomeTeam]:[Group_details]],ROWS($N$2:N234),COLUMNS($N$2:N234))</f>
        <v>Brazil</v>
      </c>
      <c r="Q234" s="1">
        <f>INDEX(Table2[[HomeTeam]:[Group_details]],ROWS($N$2:O234),COLUMNS($N$2:O234))</f>
        <v>0</v>
      </c>
      <c r="R234" s="1">
        <f>INDEX(Table2[[HomeTeam]:[Group_details]],ROWS($N$2:P234),COLUMNS($N$2:P234))</f>
        <v>0</v>
      </c>
      <c r="S234" s="1" t="str">
        <f>INDEX(Table2[[HomeTeam]:[Group_details]],ROWS($N$2:Q234),COLUMNS($N$2:Q234))</f>
        <v>Yugoslavia</v>
      </c>
      <c r="T234" s="1" t="str">
        <f>INDEX(Table2[[HomeTeam]:[Group_details]],ROWS($N$2:R234),COLUMNS($N$2:R234))</f>
        <v xml:space="preserve"> </v>
      </c>
      <c r="U234" s="1" t="str">
        <f>INDEX(Table2[[HomeTeam]:[Group_details]],ROWS($N$2:S234),COLUMNS($N$2:S234))</f>
        <v>Group stages</v>
      </c>
      <c r="V234" s="1" t="b">
        <f t="shared" si="3"/>
        <v>0</v>
      </c>
      <c r="W234" s="1" t="str">
        <f>IF(V234=TRUE,ROWS($V$2:V234),"")</f>
        <v/>
      </c>
      <c r="X234" s="1" t="str">
        <f>IFERROR(SMALL($W$2:$W$853,ROWS($W$2:W234)),"")</f>
        <v/>
      </c>
      <c r="Y234" s="1" t="str">
        <f>IF($X234&lt;&gt;"",INDEX($P$2:$U$853,MATCH($X234,$W$2:$W$853,0),COLUMNS($X$2:X234)),"")</f>
        <v/>
      </c>
      <c r="Z234" s="1" t="str">
        <f>IF($X234&lt;&gt;"",INDEX($P$2:$U$853,MATCH($X234,$W$2:$W$853,0),COLUMNS($X$2:Y234)),"")</f>
        <v/>
      </c>
      <c r="AA234" s="1" t="str">
        <f>IF($X234&lt;&gt;"",INDEX($P$2:$U$853,MATCH($X234,$W$2:$W$853,0),COLUMNS($X$2:Z234)),"")</f>
        <v/>
      </c>
      <c r="AB234" s="1" t="str">
        <f>IF($X234&lt;&gt;"",INDEX($P$2:$U$853,MATCH($X234,$W$2:$W$853,0),COLUMNS($X$2:AA234)),"")</f>
        <v/>
      </c>
      <c r="AC234" s="1" t="str">
        <f>IF($X234&lt;&gt;"",INDEX($P$2:$U$853,MATCH($X234,$W$2:$W$853,0),COLUMNS($X$2:AB234)),"")</f>
        <v/>
      </c>
      <c r="AD234" s="1" t="str">
        <f>IF($X234&lt;&gt;"",INDEX($P$2:$U$853,MATCH($X234,$W$2:$W$853,0),COLUMNS($X$2:AC234)),"")</f>
        <v/>
      </c>
    </row>
    <row r="235" spans="1:30" x14ac:dyDescent="0.2">
      <c r="A235" s="1">
        <v>1974</v>
      </c>
      <c r="B235" s="2">
        <v>27194</v>
      </c>
      <c r="C235" s="1" t="s">
        <v>503</v>
      </c>
      <c r="D235" s="1" t="s">
        <v>9</v>
      </c>
      <c r="E235" s="1" t="s">
        <v>194</v>
      </c>
      <c r="F235" s="1" t="s">
        <v>195</v>
      </c>
      <c r="G235" s="6" t="str">
        <f>VLOOKUP(A235,WorldCups!$A$2:$B$23,2,FALSE)</f>
        <v>Germany</v>
      </c>
      <c r="H235" s="1" t="s">
        <v>114</v>
      </c>
      <c r="I235" s="1">
        <v>1</v>
      </c>
      <c r="J235" s="1">
        <v>0</v>
      </c>
      <c r="K235" s="1" t="s">
        <v>26</v>
      </c>
      <c r="L235" s="1" t="s">
        <v>14</v>
      </c>
      <c r="M235" s="1" t="str">
        <f>IF(ISNUMBER(SEARCH("Group",Table2[[#This Row],[Round]])),"Group stages",Table2[[#This Row],[Round]])</f>
        <v>Group stages</v>
      </c>
      <c r="O235" s="1">
        <f>Table2[[#This Row],[Year]]</f>
        <v>1974</v>
      </c>
      <c r="P235" s="1" t="str">
        <f>INDEX(Table2[[HomeTeam]:[Group_details]],ROWS($N$2:N235),COLUMNS($N$2:N235))</f>
        <v>Germany FR</v>
      </c>
      <c r="Q235" s="1">
        <f>INDEX(Table2[[HomeTeam]:[Group_details]],ROWS($N$2:O235),COLUMNS($N$2:O235))</f>
        <v>1</v>
      </c>
      <c r="R235" s="1">
        <f>INDEX(Table2[[HomeTeam]:[Group_details]],ROWS($N$2:P235),COLUMNS($N$2:P235))</f>
        <v>0</v>
      </c>
      <c r="S235" s="1" t="str">
        <f>INDEX(Table2[[HomeTeam]:[Group_details]],ROWS($N$2:Q235),COLUMNS($N$2:Q235))</f>
        <v>Chile</v>
      </c>
      <c r="T235" s="1" t="str">
        <f>INDEX(Table2[[HomeTeam]:[Group_details]],ROWS($N$2:R235),COLUMNS($N$2:R235))</f>
        <v xml:space="preserve"> </v>
      </c>
      <c r="U235" s="1" t="str">
        <f>INDEX(Table2[[HomeTeam]:[Group_details]],ROWS($N$2:S235),COLUMNS($N$2:S235))</f>
        <v>Group stages</v>
      </c>
      <c r="V235" s="1" t="b">
        <f t="shared" si="3"/>
        <v>0</v>
      </c>
      <c r="W235" s="1" t="str">
        <f>IF(V235=TRUE,ROWS($V$2:V235),"")</f>
        <v/>
      </c>
      <c r="X235" s="1" t="str">
        <f>IFERROR(SMALL($W$2:$W$853,ROWS($W$2:W235)),"")</f>
        <v/>
      </c>
      <c r="Y235" s="1" t="str">
        <f>IF($X235&lt;&gt;"",INDEX($P$2:$U$853,MATCH($X235,$W$2:$W$853,0),COLUMNS($X$2:X235)),"")</f>
        <v/>
      </c>
      <c r="Z235" s="1" t="str">
        <f>IF($X235&lt;&gt;"",INDEX($P$2:$U$853,MATCH($X235,$W$2:$W$853,0),COLUMNS($X$2:Y235)),"")</f>
        <v/>
      </c>
      <c r="AA235" s="1" t="str">
        <f>IF($X235&lt;&gt;"",INDEX($P$2:$U$853,MATCH($X235,$W$2:$W$853,0),COLUMNS($X$2:Z235)),"")</f>
        <v/>
      </c>
      <c r="AB235" s="1" t="str">
        <f>IF($X235&lt;&gt;"",INDEX($P$2:$U$853,MATCH($X235,$W$2:$W$853,0),COLUMNS($X$2:AA235)),"")</f>
        <v/>
      </c>
      <c r="AC235" s="1" t="str">
        <f>IF($X235&lt;&gt;"",INDEX($P$2:$U$853,MATCH($X235,$W$2:$W$853,0),COLUMNS($X$2:AB235)),"")</f>
        <v/>
      </c>
      <c r="AD235" s="1" t="str">
        <f>IF($X235&lt;&gt;"",INDEX($P$2:$U$853,MATCH($X235,$W$2:$W$853,0),COLUMNS($X$2:AC235)),"")</f>
        <v/>
      </c>
    </row>
    <row r="236" spans="1:30" x14ac:dyDescent="0.2">
      <c r="A236" s="1">
        <v>1974</v>
      </c>
      <c r="B236" s="2">
        <v>27194</v>
      </c>
      <c r="C236" s="1" t="s">
        <v>522</v>
      </c>
      <c r="D236" s="1" t="s">
        <v>9</v>
      </c>
      <c r="E236" s="1" t="s">
        <v>196</v>
      </c>
      <c r="F236" s="1" t="s">
        <v>197</v>
      </c>
      <c r="G236" s="6" t="str">
        <f>VLOOKUP(A236,WorldCups!$A$2:$B$23,2,FALSE)</f>
        <v>Germany</v>
      </c>
      <c r="H236" s="1" t="s">
        <v>198</v>
      </c>
      <c r="I236" s="1">
        <v>2</v>
      </c>
      <c r="J236" s="1">
        <v>0</v>
      </c>
      <c r="K236" s="1" t="s">
        <v>199</v>
      </c>
      <c r="L236" s="1" t="s">
        <v>14</v>
      </c>
      <c r="M236" s="1" t="str">
        <f>IF(ISNUMBER(SEARCH("Group",Table2[[#This Row],[Round]])),"Group stages",Table2[[#This Row],[Round]])</f>
        <v>Group stages</v>
      </c>
      <c r="O236" s="1">
        <f>Table2[[#This Row],[Year]]</f>
        <v>1974</v>
      </c>
      <c r="P236" s="1" t="str">
        <f>INDEX(Table2[[HomeTeam]:[Group_details]],ROWS($N$2:N236),COLUMNS($N$2:N236))</f>
        <v>German DR</v>
      </c>
      <c r="Q236" s="1">
        <f>INDEX(Table2[[HomeTeam]:[Group_details]],ROWS($N$2:O236),COLUMNS($N$2:O236))</f>
        <v>2</v>
      </c>
      <c r="R236" s="1">
        <f>INDEX(Table2[[HomeTeam]:[Group_details]],ROWS($N$2:P236),COLUMNS($N$2:P236))</f>
        <v>0</v>
      </c>
      <c r="S236" s="1" t="str">
        <f>INDEX(Table2[[HomeTeam]:[Group_details]],ROWS($N$2:Q236),COLUMNS($N$2:Q236))</f>
        <v>Australia</v>
      </c>
      <c r="T236" s="1" t="str">
        <f>INDEX(Table2[[HomeTeam]:[Group_details]],ROWS($N$2:R236),COLUMNS($N$2:R236))</f>
        <v xml:space="preserve"> </v>
      </c>
      <c r="U236" s="1" t="str">
        <f>INDEX(Table2[[HomeTeam]:[Group_details]],ROWS($N$2:S236),COLUMNS($N$2:S236))</f>
        <v>Group stages</v>
      </c>
      <c r="V236" s="1" t="b">
        <f t="shared" si="3"/>
        <v>0</v>
      </c>
      <c r="W236" s="1" t="str">
        <f>IF(V236=TRUE,ROWS($V$2:V236),"")</f>
        <v/>
      </c>
      <c r="X236" s="1" t="str">
        <f>IFERROR(SMALL($W$2:$W$853,ROWS($W$2:W236)),"")</f>
        <v/>
      </c>
      <c r="Y236" s="1" t="str">
        <f>IF($X236&lt;&gt;"",INDEX($P$2:$U$853,MATCH($X236,$W$2:$W$853,0),COLUMNS($X$2:X236)),"")</f>
        <v/>
      </c>
      <c r="Z236" s="1" t="str">
        <f>IF($X236&lt;&gt;"",INDEX($P$2:$U$853,MATCH($X236,$W$2:$W$853,0),COLUMNS($X$2:Y236)),"")</f>
        <v/>
      </c>
      <c r="AA236" s="1" t="str">
        <f>IF($X236&lt;&gt;"",INDEX($P$2:$U$853,MATCH($X236,$W$2:$W$853,0),COLUMNS($X$2:Z236)),"")</f>
        <v/>
      </c>
      <c r="AB236" s="1" t="str">
        <f>IF($X236&lt;&gt;"",INDEX($P$2:$U$853,MATCH($X236,$W$2:$W$853,0),COLUMNS($X$2:AA236)),"")</f>
        <v/>
      </c>
      <c r="AC236" s="1" t="str">
        <f>IF($X236&lt;&gt;"",INDEX($P$2:$U$853,MATCH($X236,$W$2:$W$853,0),COLUMNS($X$2:AB236)),"")</f>
        <v/>
      </c>
      <c r="AD236" s="1" t="str">
        <f>IF($X236&lt;&gt;"",INDEX($P$2:$U$853,MATCH($X236,$W$2:$W$853,0),COLUMNS($X$2:AC236)),"")</f>
        <v/>
      </c>
    </row>
    <row r="237" spans="1:30" x14ac:dyDescent="0.2">
      <c r="A237" s="1">
        <v>1974</v>
      </c>
      <c r="B237" s="2">
        <v>27194</v>
      </c>
      <c r="C237" s="1" t="s">
        <v>522</v>
      </c>
      <c r="D237" s="1" t="s">
        <v>19</v>
      </c>
      <c r="E237" s="1" t="s">
        <v>200</v>
      </c>
      <c r="F237" s="1" t="s">
        <v>201</v>
      </c>
      <c r="G237" s="6" t="str">
        <f>VLOOKUP(A237,WorldCups!$A$2:$B$23,2,FALSE)</f>
        <v>Germany</v>
      </c>
      <c r="H237" s="1" t="s">
        <v>202</v>
      </c>
      <c r="I237" s="1">
        <v>0</v>
      </c>
      <c r="J237" s="1">
        <v>2</v>
      </c>
      <c r="K237" s="1" t="s">
        <v>109</v>
      </c>
      <c r="L237" s="1" t="s">
        <v>14</v>
      </c>
      <c r="M237" s="1" t="str">
        <f>IF(ISNUMBER(SEARCH("Group",Table2[[#This Row],[Round]])),"Group stages",Table2[[#This Row],[Round]])</f>
        <v>Group stages</v>
      </c>
      <c r="O237" s="1">
        <f>Table2[[#This Row],[Year]]</f>
        <v>1974</v>
      </c>
      <c r="P237" s="1" t="str">
        <f>INDEX(Table2[[HomeTeam]:[Group_details]],ROWS($N$2:N237),COLUMNS($N$2:N237))</f>
        <v>Zaire</v>
      </c>
      <c r="Q237" s="1">
        <f>INDEX(Table2[[HomeTeam]:[Group_details]],ROWS($N$2:O237),COLUMNS($N$2:O237))</f>
        <v>0</v>
      </c>
      <c r="R237" s="1">
        <f>INDEX(Table2[[HomeTeam]:[Group_details]],ROWS($N$2:P237),COLUMNS($N$2:P237))</f>
        <v>2</v>
      </c>
      <c r="S237" s="1" t="str">
        <f>INDEX(Table2[[HomeTeam]:[Group_details]],ROWS($N$2:Q237),COLUMNS($N$2:Q237))</f>
        <v>Scotland</v>
      </c>
      <c r="T237" s="1" t="str">
        <f>INDEX(Table2[[HomeTeam]:[Group_details]],ROWS($N$2:R237),COLUMNS($N$2:R237))</f>
        <v xml:space="preserve"> </v>
      </c>
      <c r="U237" s="1" t="str">
        <f>INDEX(Table2[[HomeTeam]:[Group_details]],ROWS($N$2:S237),COLUMNS($N$2:S237))</f>
        <v>Group stages</v>
      </c>
      <c r="V237" s="1" t="b">
        <f t="shared" si="3"/>
        <v>0</v>
      </c>
      <c r="W237" s="1" t="str">
        <f>IF(V237=TRUE,ROWS($V$2:V237),"")</f>
        <v/>
      </c>
      <c r="X237" s="1" t="str">
        <f>IFERROR(SMALL($W$2:$W$853,ROWS($W$2:W237)),"")</f>
        <v/>
      </c>
      <c r="Y237" s="1" t="str">
        <f>IF($X237&lt;&gt;"",INDEX($P$2:$U$853,MATCH($X237,$W$2:$W$853,0),COLUMNS($X$2:X237)),"")</f>
        <v/>
      </c>
      <c r="Z237" s="1" t="str">
        <f>IF($X237&lt;&gt;"",INDEX($P$2:$U$853,MATCH($X237,$W$2:$W$853,0),COLUMNS($X$2:Y237)),"")</f>
        <v/>
      </c>
      <c r="AA237" s="1" t="str">
        <f>IF($X237&lt;&gt;"",INDEX($P$2:$U$853,MATCH($X237,$W$2:$W$853,0),COLUMNS($X$2:Z237)),"")</f>
        <v/>
      </c>
      <c r="AB237" s="1" t="str">
        <f>IF($X237&lt;&gt;"",INDEX($P$2:$U$853,MATCH($X237,$W$2:$W$853,0),COLUMNS($X$2:AA237)),"")</f>
        <v/>
      </c>
      <c r="AC237" s="1" t="str">
        <f>IF($X237&lt;&gt;"",INDEX($P$2:$U$853,MATCH($X237,$W$2:$W$853,0),COLUMNS($X$2:AB237)),"")</f>
        <v/>
      </c>
      <c r="AD237" s="1" t="str">
        <f>IF($X237&lt;&gt;"",INDEX($P$2:$U$853,MATCH($X237,$W$2:$W$853,0),COLUMNS($X$2:AC237)),"")</f>
        <v/>
      </c>
    </row>
    <row r="238" spans="1:30" x14ac:dyDescent="0.2">
      <c r="A238" s="1">
        <v>1974</v>
      </c>
      <c r="B238" s="2">
        <v>27195</v>
      </c>
      <c r="C238" s="1" t="s">
        <v>503</v>
      </c>
      <c r="D238" s="1" t="s">
        <v>22</v>
      </c>
      <c r="E238" s="1" t="s">
        <v>203</v>
      </c>
      <c r="F238" s="1" t="s">
        <v>204</v>
      </c>
      <c r="G238" s="6" t="str">
        <f>VLOOKUP(A238,WorldCups!$A$2:$B$23,2,FALSE)</f>
        <v>Germany</v>
      </c>
      <c r="H238" s="1" t="s">
        <v>30</v>
      </c>
      <c r="I238" s="1">
        <v>0</v>
      </c>
      <c r="J238" s="1">
        <v>2</v>
      </c>
      <c r="K238" s="1" t="s">
        <v>45</v>
      </c>
      <c r="L238" s="1" t="s">
        <v>14</v>
      </c>
      <c r="M238" s="1" t="str">
        <f>IF(ISNUMBER(SEARCH("Group",Table2[[#This Row],[Round]])),"Group stages",Table2[[#This Row],[Round]])</f>
        <v>Group stages</v>
      </c>
      <c r="O238" s="1">
        <f>Table2[[#This Row],[Year]]</f>
        <v>1974</v>
      </c>
      <c r="P238" s="1" t="str">
        <f>INDEX(Table2[[HomeTeam]:[Group_details]],ROWS($N$2:N238),COLUMNS($N$2:N238))</f>
        <v>Uruguay</v>
      </c>
      <c r="Q238" s="1">
        <f>INDEX(Table2[[HomeTeam]:[Group_details]],ROWS($N$2:O238),COLUMNS($N$2:O238))</f>
        <v>0</v>
      </c>
      <c r="R238" s="1">
        <f>INDEX(Table2[[HomeTeam]:[Group_details]],ROWS($N$2:P238),COLUMNS($N$2:P238))</f>
        <v>2</v>
      </c>
      <c r="S238" s="1" t="str">
        <f>INDEX(Table2[[HomeTeam]:[Group_details]],ROWS($N$2:Q238),COLUMNS($N$2:Q238))</f>
        <v>Netherlands</v>
      </c>
      <c r="T238" s="1" t="str">
        <f>INDEX(Table2[[HomeTeam]:[Group_details]],ROWS($N$2:R238),COLUMNS($N$2:R238))</f>
        <v xml:space="preserve"> </v>
      </c>
      <c r="U238" s="1" t="str">
        <f>INDEX(Table2[[HomeTeam]:[Group_details]],ROWS($N$2:S238),COLUMNS($N$2:S238))</f>
        <v>Group stages</v>
      </c>
      <c r="V238" s="1" t="b">
        <f t="shared" si="3"/>
        <v>0</v>
      </c>
      <c r="W238" s="1" t="str">
        <f>IF(V238=TRUE,ROWS($V$2:V238),"")</f>
        <v/>
      </c>
      <c r="X238" s="1" t="str">
        <f>IFERROR(SMALL($W$2:$W$853,ROWS($W$2:W238)),"")</f>
        <v/>
      </c>
      <c r="Y238" s="1" t="str">
        <f>IF($X238&lt;&gt;"",INDEX($P$2:$U$853,MATCH($X238,$W$2:$W$853,0),COLUMNS($X$2:X238)),"")</f>
        <v/>
      </c>
      <c r="Z238" s="1" t="str">
        <f>IF($X238&lt;&gt;"",INDEX($P$2:$U$853,MATCH($X238,$W$2:$W$853,0),COLUMNS($X$2:Y238)),"")</f>
        <v/>
      </c>
      <c r="AA238" s="1" t="str">
        <f>IF($X238&lt;&gt;"",INDEX($P$2:$U$853,MATCH($X238,$W$2:$W$853,0),COLUMNS($X$2:Z238)),"")</f>
        <v/>
      </c>
      <c r="AB238" s="1" t="str">
        <f>IF($X238&lt;&gt;"",INDEX($P$2:$U$853,MATCH($X238,$W$2:$W$853,0),COLUMNS($X$2:AA238)),"")</f>
        <v/>
      </c>
      <c r="AC238" s="1" t="str">
        <f>IF($X238&lt;&gt;"",INDEX($P$2:$U$853,MATCH($X238,$W$2:$W$853,0),COLUMNS($X$2:AB238)),"")</f>
        <v/>
      </c>
      <c r="AD238" s="1" t="str">
        <f>IF($X238&lt;&gt;"",INDEX($P$2:$U$853,MATCH($X238,$W$2:$W$853,0),COLUMNS($X$2:AC238)),"")</f>
        <v/>
      </c>
    </row>
    <row r="239" spans="1:30" x14ac:dyDescent="0.2">
      <c r="A239" s="1">
        <v>1974</v>
      </c>
      <c r="B239" s="2">
        <v>27195</v>
      </c>
      <c r="C239" s="1" t="s">
        <v>503</v>
      </c>
      <c r="D239" s="1" t="s">
        <v>22</v>
      </c>
      <c r="E239" s="1" t="s">
        <v>205</v>
      </c>
      <c r="F239" s="1" t="s">
        <v>206</v>
      </c>
      <c r="G239" s="6" t="str">
        <f>VLOOKUP(A239,WorldCups!$A$2:$B$23,2,FALSE)</f>
        <v>Germany</v>
      </c>
      <c r="H239" s="1" t="s">
        <v>48</v>
      </c>
      <c r="I239" s="1">
        <v>0</v>
      </c>
      <c r="J239" s="1">
        <v>0</v>
      </c>
      <c r="K239" s="1" t="s">
        <v>156</v>
      </c>
      <c r="L239" s="1" t="s">
        <v>14</v>
      </c>
      <c r="M239" s="1" t="str">
        <f>IF(ISNUMBER(SEARCH("Group",Table2[[#This Row],[Round]])),"Group stages",Table2[[#This Row],[Round]])</f>
        <v>Group stages</v>
      </c>
      <c r="O239" s="1">
        <f>Table2[[#This Row],[Year]]</f>
        <v>1974</v>
      </c>
      <c r="P239" s="1" t="str">
        <f>INDEX(Table2[[HomeTeam]:[Group_details]],ROWS($N$2:N239),COLUMNS($N$2:N239))</f>
        <v>Sweden</v>
      </c>
      <c r="Q239" s="1">
        <f>INDEX(Table2[[HomeTeam]:[Group_details]],ROWS($N$2:O239),COLUMNS($N$2:O239))</f>
        <v>0</v>
      </c>
      <c r="R239" s="1">
        <f>INDEX(Table2[[HomeTeam]:[Group_details]],ROWS($N$2:P239),COLUMNS($N$2:P239))</f>
        <v>0</v>
      </c>
      <c r="S239" s="1" t="str">
        <f>INDEX(Table2[[HomeTeam]:[Group_details]],ROWS($N$2:Q239),COLUMNS($N$2:Q239))</f>
        <v>Bulgaria</v>
      </c>
      <c r="T239" s="1" t="str">
        <f>INDEX(Table2[[HomeTeam]:[Group_details]],ROWS($N$2:R239),COLUMNS($N$2:R239))</f>
        <v xml:space="preserve"> </v>
      </c>
      <c r="U239" s="1" t="str">
        <f>INDEX(Table2[[HomeTeam]:[Group_details]],ROWS($N$2:S239),COLUMNS($N$2:S239))</f>
        <v>Group stages</v>
      </c>
      <c r="V239" s="1" t="b">
        <f t="shared" si="3"/>
        <v>0</v>
      </c>
      <c r="W239" s="1" t="str">
        <f>IF(V239=TRUE,ROWS($V$2:V239),"")</f>
        <v/>
      </c>
      <c r="X239" s="1" t="str">
        <f>IFERROR(SMALL($W$2:$W$853,ROWS($W$2:W239)),"")</f>
        <v/>
      </c>
      <c r="Y239" s="1" t="str">
        <f>IF($X239&lt;&gt;"",INDEX($P$2:$U$853,MATCH($X239,$W$2:$W$853,0),COLUMNS($X$2:X239)),"")</f>
        <v/>
      </c>
      <c r="Z239" s="1" t="str">
        <f>IF($X239&lt;&gt;"",INDEX($P$2:$U$853,MATCH($X239,$W$2:$W$853,0),COLUMNS($X$2:Y239)),"")</f>
        <v/>
      </c>
      <c r="AA239" s="1" t="str">
        <f>IF($X239&lt;&gt;"",INDEX($P$2:$U$853,MATCH($X239,$W$2:$W$853,0),COLUMNS($X$2:Z239)),"")</f>
        <v/>
      </c>
      <c r="AB239" s="1" t="str">
        <f>IF($X239&lt;&gt;"",INDEX($P$2:$U$853,MATCH($X239,$W$2:$W$853,0),COLUMNS($X$2:AA239)),"")</f>
        <v/>
      </c>
      <c r="AC239" s="1" t="str">
        <f>IF($X239&lt;&gt;"",INDEX($P$2:$U$853,MATCH($X239,$W$2:$W$853,0),COLUMNS($X$2:AB239)),"")</f>
        <v/>
      </c>
      <c r="AD239" s="1" t="str">
        <f>IF($X239&lt;&gt;"",INDEX($P$2:$U$853,MATCH($X239,$W$2:$W$853,0),COLUMNS($X$2:AC239)),"")</f>
        <v/>
      </c>
    </row>
    <row r="240" spans="1:30" x14ac:dyDescent="0.2">
      <c r="A240" s="1">
        <v>1974</v>
      </c>
      <c r="B240" s="2">
        <v>27195</v>
      </c>
      <c r="C240" s="1" t="s">
        <v>510</v>
      </c>
      <c r="D240" s="1" t="s">
        <v>15</v>
      </c>
      <c r="E240" s="1" t="s">
        <v>194</v>
      </c>
      <c r="F240" s="1" t="s">
        <v>207</v>
      </c>
      <c r="G240" s="6" t="str">
        <f>VLOOKUP(A240,WorldCups!$A$2:$B$23,2,FALSE)</f>
        <v>Germany</v>
      </c>
      <c r="H240" s="1" t="s">
        <v>57</v>
      </c>
      <c r="I240" s="1">
        <v>3</v>
      </c>
      <c r="J240" s="1">
        <v>1</v>
      </c>
      <c r="K240" s="1" t="s">
        <v>208</v>
      </c>
      <c r="L240" s="1" t="s">
        <v>14</v>
      </c>
      <c r="M240" s="1" t="str">
        <f>IF(ISNUMBER(SEARCH("Group",Table2[[#This Row],[Round]])),"Group stages",Table2[[#This Row],[Round]])</f>
        <v>Group stages</v>
      </c>
      <c r="O240" s="1">
        <f>Table2[[#This Row],[Year]]</f>
        <v>1974</v>
      </c>
      <c r="P240" s="1" t="str">
        <f>INDEX(Table2[[HomeTeam]:[Group_details]],ROWS($N$2:N240),COLUMNS($N$2:N240))</f>
        <v>Italy</v>
      </c>
      <c r="Q240" s="1">
        <f>INDEX(Table2[[HomeTeam]:[Group_details]],ROWS($N$2:O240),COLUMNS($N$2:O240))</f>
        <v>3</v>
      </c>
      <c r="R240" s="1">
        <f>INDEX(Table2[[HomeTeam]:[Group_details]],ROWS($N$2:P240),COLUMNS($N$2:P240))</f>
        <v>1</v>
      </c>
      <c r="S240" s="1" t="str">
        <f>INDEX(Table2[[HomeTeam]:[Group_details]],ROWS($N$2:Q240),COLUMNS($N$2:Q240))</f>
        <v>Haiti</v>
      </c>
      <c r="T240" s="1" t="str">
        <f>INDEX(Table2[[HomeTeam]:[Group_details]],ROWS($N$2:R240),COLUMNS($N$2:R240))</f>
        <v xml:space="preserve"> </v>
      </c>
      <c r="U240" s="1" t="str">
        <f>INDEX(Table2[[HomeTeam]:[Group_details]],ROWS($N$2:S240),COLUMNS($N$2:S240))</f>
        <v>Group stages</v>
      </c>
      <c r="V240" s="1" t="b">
        <f t="shared" si="3"/>
        <v>0</v>
      </c>
      <c r="W240" s="1" t="str">
        <f>IF(V240=TRUE,ROWS($V$2:V240),"")</f>
        <v/>
      </c>
      <c r="X240" s="1" t="str">
        <f>IFERROR(SMALL($W$2:$W$853,ROWS($W$2:W240)),"")</f>
        <v/>
      </c>
      <c r="Y240" s="1" t="str">
        <f>IF($X240&lt;&gt;"",INDEX($P$2:$U$853,MATCH($X240,$W$2:$W$853,0),COLUMNS($X$2:X240)),"")</f>
        <v/>
      </c>
      <c r="Z240" s="1" t="str">
        <f>IF($X240&lt;&gt;"",INDEX($P$2:$U$853,MATCH($X240,$W$2:$W$853,0),COLUMNS($X$2:Y240)),"")</f>
        <v/>
      </c>
      <c r="AA240" s="1" t="str">
        <f>IF($X240&lt;&gt;"",INDEX($P$2:$U$853,MATCH($X240,$W$2:$W$853,0),COLUMNS($X$2:Z240)),"")</f>
        <v/>
      </c>
      <c r="AB240" s="1" t="str">
        <f>IF($X240&lt;&gt;"",INDEX($P$2:$U$853,MATCH($X240,$W$2:$W$853,0),COLUMNS($X$2:AA240)),"")</f>
        <v/>
      </c>
      <c r="AC240" s="1" t="str">
        <f>IF($X240&lt;&gt;"",INDEX($P$2:$U$853,MATCH($X240,$W$2:$W$853,0),COLUMNS($X$2:AB240)),"")</f>
        <v/>
      </c>
      <c r="AD240" s="1" t="str">
        <f>IF($X240&lt;&gt;"",INDEX($P$2:$U$853,MATCH($X240,$W$2:$W$853,0),COLUMNS($X$2:AC240)),"")</f>
        <v/>
      </c>
    </row>
    <row r="241" spans="1:30" x14ac:dyDescent="0.2">
      <c r="A241" s="1">
        <v>1974</v>
      </c>
      <c r="B241" s="2">
        <v>27195</v>
      </c>
      <c r="C241" s="1" t="s">
        <v>510</v>
      </c>
      <c r="D241" s="1" t="s">
        <v>15</v>
      </c>
      <c r="E241" s="1" t="s">
        <v>209</v>
      </c>
      <c r="F241" s="1" t="s">
        <v>210</v>
      </c>
      <c r="G241" s="6" t="str">
        <f>VLOOKUP(A241,WorldCups!$A$2:$B$23,2,FALSE)</f>
        <v>Germany</v>
      </c>
      <c r="H241" s="1" t="s">
        <v>80</v>
      </c>
      <c r="I241" s="1">
        <v>3</v>
      </c>
      <c r="J241" s="1">
        <v>2</v>
      </c>
      <c r="K241" s="1" t="s">
        <v>25</v>
      </c>
      <c r="L241" s="1" t="s">
        <v>14</v>
      </c>
      <c r="M241" s="1" t="str">
        <f>IF(ISNUMBER(SEARCH("Group",Table2[[#This Row],[Round]])),"Group stages",Table2[[#This Row],[Round]])</f>
        <v>Group stages</v>
      </c>
      <c r="O241" s="1">
        <f>Table2[[#This Row],[Year]]</f>
        <v>1974</v>
      </c>
      <c r="P241" s="1" t="str">
        <f>INDEX(Table2[[HomeTeam]:[Group_details]],ROWS($N$2:N241),COLUMNS($N$2:N241))</f>
        <v>Poland</v>
      </c>
      <c r="Q241" s="1">
        <f>INDEX(Table2[[HomeTeam]:[Group_details]],ROWS($N$2:O241),COLUMNS($N$2:O241))</f>
        <v>3</v>
      </c>
      <c r="R241" s="1">
        <f>INDEX(Table2[[HomeTeam]:[Group_details]],ROWS($N$2:P241),COLUMNS($N$2:P241))</f>
        <v>2</v>
      </c>
      <c r="S241" s="1" t="str">
        <f>INDEX(Table2[[HomeTeam]:[Group_details]],ROWS($N$2:Q241),COLUMNS($N$2:Q241))</f>
        <v>Argentina</v>
      </c>
      <c r="T241" s="1" t="str">
        <f>INDEX(Table2[[HomeTeam]:[Group_details]],ROWS($N$2:R241),COLUMNS($N$2:R241))</f>
        <v xml:space="preserve"> </v>
      </c>
      <c r="U241" s="1" t="str">
        <f>INDEX(Table2[[HomeTeam]:[Group_details]],ROWS($N$2:S241),COLUMNS($N$2:S241))</f>
        <v>Group stages</v>
      </c>
      <c r="V241" s="1" t="b">
        <f t="shared" si="3"/>
        <v>0</v>
      </c>
      <c r="W241" s="1" t="str">
        <f>IF(V241=TRUE,ROWS($V$2:V241),"")</f>
        <v/>
      </c>
      <c r="X241" s="1" t="str">
        <f>IFERROR(SMALL($W$2:$W$853,ROWS($W$2:W241)),"")</f>
        <v/>
      </c>
      <c r="Y241" s="1" t="str">
        <f>IF($X241&lt;&gt;"",INDEX($P$2:$U$853,MATCH($X241,$W$2:$W$853,0),COLUMNS($X$2:X241)),"")</f>
        <v/>
      </c>
      <c r="Z241" s="1" t="str">
        <f>IF($X241&lt;&gt;"",INDEX($P$2:$U$853,MATCH($X241,$W$2:$W$853,0),COLUMNS($X$2:Y241)),"")</f>
        <v/>
      </c>
      <c r="AA241" s="1" t="str">
        <f>IF($X241&lt;&gt;"",INDEX($P$2:$U$853,MATCH($X241,$W$2:$W$853,0),COLUMNS($X$2:Z241)),"")</f>
        <v/>
      </c>
      <c r="AB241" s="1" t="str">
        <f>IF($X241&lt;&gt;"",INDEX($P$2:$U$853,MATCH($X241,$W$2:$W$853,0),COLUMNS($X$2:AA241)),"")</f>
        <v/>
      </c>
      <c r="AC241" s="1" t="str">
        <f>IF($X241&lt;&gt;"",INDEX($P$2:$U$853,MATCH($X241,$W$2:$W$853,0),COLUMNS($X$2:AB241)),"")</f>
        <v/>
      </c>
      <c r="AD241" s="1" t="str">
        <f>IF($X241&lt;&gt;"",INDEX($P$2:$U$853,MATCH($X241,$W$2:$W$853,0),COLUMNS($X$2:AC241)),"")</f>
        <v/>
      </c>
    </row>
    <row r="242" spans="1:30" x14ac:dyDescent="0.2">
      <c r="A242" s="1">
        <v>1974</v>
      </c>
      <c r="B242" s="2">
        <v>27198</v>
      </c>
      <c r="C242" s="1" t="s">
        <v>503</v>
      </c>
      <c r="D242" s="1" t="s">
        <v>9</v>
      </c>
      <c r="E242" s="1" t="s">
        <v>196</v>
      </c>
      <c r="F242" s="1" t="s">
        <v>197</v>
      </c>
      <c r="G242" s="6" t="str">
        <f>VLOOKUP(A242,WorldCups!$A$2:$B$23,2,FALSE)</f>
        <v>Germany</v>
      </c>
      <c r="H242" s="1" t="s">
        <v>199</v>
      </c>
      <c r="I242" s="1">
        <v>0</v>
      </c>
      <c r="J242" s="1">
        <v>3</v>
      </c>
      <c r="K242" s="1" t="s">
        <v>114</v>
      </c>
      <c r="L242" s="1" t="s">
        <v>14</v>
      </c>
      <c r="M242" s="1" t="str">
        <f>IF(ISNUMBER(SEARCH("Group",Table2[[#This Row],[Round]])),"Group stages",Table2[[#This Row],[Round]])</f>
        <v>Group stages</v>
      </c>
      <c r="O242" s="1">
        <f>Table2[[#This Row],[Year]]</f>
        <v>1974</v>
      </c>
      <c r="P242" s="1" t="str">
        <f>INDEX(Table2[[HomeTeam]:[Group_details]],ROWS($N$2:N242),COLUMNS($N$2:N242))</f>
        <v>Australia</v>
      </c>
      <c r="Q242" s="1">
        <f>INDEX(Table2[[HomeTeam]:[Group_details]],ROWS($N$2:O242),COLUMNS($N$2:O242))</f>
        <v>0</v>
      </c>
      <c r="R242" s="1">
        <f>INDEX(Table2[[HomeTeam]:[Group_details]],ROWS($N$2:P242),COLUMNS($N$2:P242))</f>
        <v>3</v>
      </c>
      <c r="S242" s="1" t="str">
        <f>INDEX(Table2[[HomeTeam]:[Group_details]],ROWS($N$2:Q242),COLUMNS($N$2:Q242))</f>
        <v>Germany FR</v>
      </c>
      <c r="T242" s="1" t="str">
        <f>INDEX(Table2[[HomeTeam]:[Group_details]],ROWS($N$2:R242),COLUMNS($N$2:R242))</f>
        <v xml:space="preserve"> </v>
      </c>
      <c r="U242" s="1" t="str">
        <f>INDEX(Table2[[HomeTeam]:[Group_details]],ROWS($N$2:S242),COLUMNS($N$2:S242))</f>
        <v>Group stages</v>
      </c>
      <c r="V242" s="1" t="b">
        <f t="shared" si="3"/>
        <v>0</v>
      </c>
      <c r="W242" s="1" t="str">
        <f>IF(V242=TRUE,ROWS($V$2:V242),"")</f>
        <v/>
      </c>
      <c r="X242" s="1" t="str">
        <f>IFERROR(SMALL($W$2:$W$853,ROWS($W$2:W242)),"")</f>
        <v/>
      </c>
      <c r="Y242" s="1" t="str">
        <f>IF($X242&lt;&gt;"",INDEX($P$2:$U$853,MATCH($X242,$W$2:$W$853,0),COLUMNS($X$2:X242)),"")</f>
        <v/>
      </c>
      <c r="Z242" s="1" t="str">
        <f>IF($X242&lt;&gt;"",INDEX($P$2:$U$853,MATCH($X242,$W$2:$W$853,0),COLUMNS($X$2:Y242)),"")</f>
        <v/>
      </c>
      <c r="AA242" s="1" t="str">
        <f>IF($X242&lt;&gt;"",INDEX($P$2:$U$853,MATCH($X242,$W$2:$W$853,0),COLUMNS($X$2:Z242)),"")</f>
        <v/>
      </c>
      <c r="AB242" s="1" t="str">
        <f>IF($X242&lt;&gt;"",INDEX($P$2:$U$853,MATCH($X242,$W$2:$W$853,0),COLUMNS($X$2:AA242)),"")</f>
        <v/>
      </c>
      <c r="AC242" s="1" t="str">
        <f>IF($X242&lt;&gt;"",INDEX($P$2:$U$853,MATCH($X242,$W$2:$W$853,0),COLUMNS($X$2:AB242)),"")</f>
        <v/>
      </c>
      <c r="AD242" s="1" t="str">
        <f>IF($X242&lt;&gt;"",INDEX($P$2:$U$853,MATCH($X242,$W$2:$W$853,0),COLUMNS($X$2:AC242)),"")</f>
        <v/>
      </c>
    </row>
    <row r="243" spans="1:30" x14ac:dyDescent="0.2">
      <c r="A243" s="1">
        <v>1974</v>
      </c>
      <c r="B243" s="2">
        <v>27198</v>
      </c>
      <c r="C243" s="1" t="s">
        <v>522</v>
      </c>
      <c r="D243" s="1" t="s">
        <v>19</v>
      </c>
      <c r="E243" s="1" t="s">
        <v>192</v>
      </c>
      <c r="F243" s="1" t="s">
        <v>193</v>
      </c>
      <c r="G243" s="6" t="str">
        <f>VLOOKUP(A243,WorldCups!$A$2:$B$23,2,FALSE)</f>
        <v>Germany</v>
      </c>
      <c r="H243" s="1" t="s">
        <v>109</v>
      </c>
      <c r="I243" s="1">
        <v>0</v>
      </c>
      <c r="J243" s="1">
        <v>0</v>
      </c>
      <c r="K243" s="1" t="s">
        <v>21</v>
      </c>
      <c r="L243" s="1" t="s">
        <v>14</v>
      </c>
      <c r="M243" s="1" t="str">
        <f>IF(ISNUMBER(SEARCH("Group",Table2[[#This Row],[Round]])),"Group stages",Table2[[#This Row],[Round]])</f>
        <v>Group stages</v>
      </c>
      <c r="O243" s="1">
        <f>Table2[[#This Row],[Year]]</f>
        <v>1974</v>
      </c>
      <c r="P243" s="1" t="str">
        <f>INDEX(Table2[[HomeTeam]:[Group_details]],ROWS($N$2:N243),COLUMNS($N$2:N243))</f>
        <v>Scotland</v>
      </c>
      <c r="Q243" s="1">
        <f>INDEX(Table2[[HomeTeam]:[Group_details]],ROWS($N$2:O243),COLUMNS($N$2:O243))</f>
        <v>0</v>
      </c>
      <c r="R243" s="1">
        <f>INDEX(Table2[[HomeTeam]:[Group_details]],ROWS($N$2:P243),COLUMNS($N$2:P243))</f>
        <v>0</v>
      </c>
      <c r="S243" s="1" t="str">
        <f>INDEX(Table2[[HomeTeam]:[Group_details]],ROWS($N$2:Q243),COLUMNS($N$2:Q243))</f>
        <v>Brazil</v>
      </c>
      <c r="T243" s="1" t="str">
        <f>INDEX(Table2[[HomeTeam]:[Group_details]],ROWS($N$2:R243),COLUMNS($N$2:R243))</f>
        <v xml:space="preserve"> </v>
      </c>
      <c r="U243" s="1" t="str">
        <f>INDEX(Table2[[HomeTeam]:[Group_details]],ROWS($N$2:S243),COLUMNS($N$2:S243))</f>
        <v>Group stages</v>
      </c>
      <c r="V243" s="1" t="b">
        <f t="shared" si="3"/>
        <v>0</v>
      </c>
      <c r="W243" s="1" t="str">
        <f>IF(V243=TRUE,ROWS($V$2:V243),"")</f>
        <v/>
      </c>
      <c r="X243" s="1" t="str">
        <f>IFERROR(SMALL($W$2:$W$853,ROWS($W$2:W243)),"")</f>
        <v/>
      </c>
      <c r="Y243" s="1" t="str">
        <f>IF($X243&lt;&gt;"",INDEX($P$2:$U$853,MATCH($X243,$W$2:$W$853,0),COLUMNS($X$2:X243)),"")</f>
        <v/>
      </c>
      <c r="Z243" s="1" t="str">
        <f>IF($X243&lt;&gt;"",INDEX($P$2:$U$853,MATCH($X243,$W$2:$W$853,0),COLUMNS($X$2:Y243)),"")</f>
        <v/>
      </c>
      <c r="AA243" s="1" t="str">
        <f>IF($X243&lt;&gt;"",INDEX($P$2:$U$853,MATCH($X243,$W$2:$W$853,0),COLUMNS($X$2:Z243)),"")</f>
        <v/>
      </c>
      <c r="AB243" s="1" t="str">
        <f>IF($X243&lt;&gt;"",INDEX($P$2:$U$853,MATCH($X243,$W$2:$W$853,0),COLUMNS($X$2:AA243)),"")</f>
        <v/>
      </c>
      <c r="AC243" s="1" t="str">
        <f>IF($X243&lt;&gt;"",INDEX($P$2:$U$853,MATCH($X243,$W$2:$W$853,0),COLUMNS($X$2:AB243)),"")</f>
        <v/>
      </c>
      <c r="AD243" s="1" t="str">
        <f>IF($X243&lt;&gt;"",INDEX($P$2:$U$853,MATCH($X243,$W$2:$W$853,0),COLUMNS($X$2:AC243)),"")</f>
        <v/>
      </c>
    </row>
    <row r="244" spans="1:30" x14ac:dyDescent="0.2">
      <c r="A244" s="1">
        <v>1974</v>
      </c>
      <c r="B244" s="2">
        <v>27198</v>
      </c>
      <c r="C244" s="1" t="s">
        <v>522</v>
      </c>
      <c r="D244" s="1" t="s">
        <v>9</v>
      </c>
      <c r="E244" s="1" t="s">
        <v>194</v>
      </c>
      <c r="F244" s="1" t="s">
        <v>195</v>
      </c>
      <c r="G244" s="6" t="str">
        <f>VLOOKUP(A244,WorldCups!$A$2:$B$23,2,FALSE)</f>
        <v>Germany</v>
      </c>
      <c r="H244" s="1" t="s">
        <v>26</v>
      </c>
      <c r="I244" s="1">
        <v>1</v>
      </c>
      <c r="J244" s="1">
        <v>1</v>
      </c>
      <c r="K244" s="1" t="s">
        <v>198</v>
      </c>
      <c r="L244" s="1" t="s">
        <v>14</v>
      </c>
      <c r="M244" s="1" t="str">
        <f>IF(ISNUMBER(SEARCH("Group",Table2[[#This Row],[Round]])),"Group stages",Table2[[#This Row],[Round]])</f>
        <v>Group stages</v>
      </c>
      <c r="O244" s="1">
        <f>Table2[[#This Row],[Year]]</f>
        <v>1974</v>
      </c>
      <c r="P244" s="1" t="str">
        <f>INDEX(Table2[[HomeTeam]:[Group_details]],ROWS($N$2:N244),COLUMNS($N$2:N244))</f>
        <v>Chile</v>
      </c>
      <c r="Q244" s="1">
        <f>INDEX(Table2[[HomeTeam]:[Group_details]],ROWS($N$2:O244),COLUMNS($N$2:O244))</f>
        <v>1</v>
      </c>
      <c r="R244" s="1">
        <f>INDEX(Table2[[HomeTeam]:[Group_details]],ROWS($N$2:P244),COLUMNS($N$2:P244))</f>
        <v>1</v>
      </c>
      <c r="S244" s="1" t="str">
        <f>INDEX(Table2[[HomeTeam]:[Group_details]],ROWS($N$2:Q244),COLUMNS($N$2:Q244))</f>
        <v>German DR</v>
      </c>
      <c r="T244" s="1" t="str">
        <f>INDEX(Table2[[HomeTeam]:[Group_details]],ROWS($N$2:R244),COLUMNS($N$2:R244))</f>
        <v xml:space="preserve"> </v>
      </c>
      <c r="U244" s="1" t="str">
        <f>INDEX(Table2[[HomeTeam]:[Group_details]],ROWS($N$2:S244),COLUMNS($N$2:S244))</f>
        <v>Group stages</v>
      </c>
      <c r="V244" s="1" t="b">
        <f t="shared" si="3"/>
        <v>0</v>
      </c>
      <c r="W244" s="1" t="str">
        <f>IF(V244=TRUE,ROWS($V$2:V244),"")</f>
        <v/>
      </c>
      <c r="X244" s="1" t="str">
        <f>IFERROR(SMALL($W$2:$W$853,ROWS($W$2:W244)),"")</f>
        <v/>
      </c>
      <c r="Y244" s="1" t="str">
        <f>IF($X244&lt;&gt;"",INDEX($P$2:$U$853,MATCH($X244,$W$2:$W$853,0),COLUMNS($X$2:X244)),"")</f>
        <v/>
      </c>
      <c r="Z244" s="1" t="str">
        <f>IF($X244&lt;&gt;"",INDEX($P$2:$U$853,MATCH($X244,$W$2:$W$853,0),COLUMNS($X$2:Y244)),"")</f>
        <v/>
      </c>
      <c r="AA244" s="1" t="str">
        <f>IF($X244&lt;&gt;"",INDEX($P$2:$U$853,MATCH($X244,$W$2:$W$853,0),COLUMNS($X$2:Z244)),"")</f>
        <v/>
      </c>
      <c r="AB244" s="1" t="str">
        <f>IF($X244&lt;&gt;"",INDEX($P$2:$U$853,MATCH($X244,$W$2:$W$853,0),COLUMNS($X$2:AA244)),"")</f>
        <v/>
      </c>
      <c r="AC244" s="1" t="str">
        <f>IF($X244&lt;&gt;"",INDEX($P$2:$U$853,MATCH($X244,$W$2:$W$853,0),COLUMNS($X$2:AB244)),"")</f>
        <v/>
      </c>
      <c r="AD244" s="1" t="str">
        <f>IF($X244&lt;&gt;"",INDEX($P$2:$U$853,MATCH($X244,$W$2:$W$853,0),COLUMNS($X$2:AC244)),"")</f>
        <v/>
      </c>
    </row>
    <row r="245" spans="1:30" x14ac:dyDescent="0.2">
      <c r="A245" s="1">
        <v>1974</v>
      </c>
      <c r="B245" s="2">
        <v>27198</v>
      </c>
      <c r="C245" s="1" t="s">
        <v>522</v>
      </c>
      <c r="D245" s="1" t="s">
        <v>19</v>
      </c>
      <c r="E245" s="1" t="s">
        <v>211</v>
      </c>
      <c r="F245" s="1" t="s">
        <v>212</v>
      </c>
      <c r="G245" s="6" t="str">
        <f>VLOOKUP(A245,WorldCups!$A$2:$B$23,2,FALSE)</f>
        <v>Germany</v>
      </c>
      <c r="H245" s="1" t="s">
        <v>20</v>
      </c>
      <c r="I245" s="1">
        <v>9</v>
      </c>
      <c r="J245" s="1">
        <v>0</v>
      </c>
      <c r="K245" s="1" t="s">
        <v>202</v>
      </c>
      <c r="L245" s="1" t="s">
        <v>14</v>
      </c>
      <c r="M245" s="1" t="str">
        <f>IF(ISNUMBER(SEARCH("Group",Table2[[#This Row],[Round]])),"Group stages",Table2[[#This Row],[Round]])</f>
        <v>Group stages</v>
      </c>
      <c r="O245" s="1">
        <f>Table2[[#This Row],[Year]]</f>
        <v>1974</v>
      </c>
      <c r="P245" s="1" t="str">
        <f>INDEX(Table2[[HomeTeam]:[Group_details]],ROWS($N$2:N245),COLUMNS($N$2:N245))</f>
        <v>Yugoslavia</v>
      </c>
      <c r="Q245" s="1">
        <f>INDEX(Table2[[HomeTeam]:[Group_details]],ROWS($N$2:O245),COLUMNS($N$2:O245))</f>
        <v>9</v>
      </c>
      <c r="R245" s="1">
        <f>INDEX(Table2[[HomeTeam]:[Group_details]],ROWS($N$2:P245),COLUMNS($N$2:P245))</f>
        <v>0</v>
      </c>
      <c r="S245" s="1" t="str">
        <f>INDEX(Table2[[HomeTeam]:[Group_details]],ROWS($N$2:Q245),COLUMNS($N$2:Q245))</f>
        <v>Zaire</v>
      </c>
      <c r="T245" s="1" t="str">
        <f>INDEX(Table2[[HomeTeam]:[Group_details]],ROWS($N$2:R245),COLUMNS($N$2:R245))</f>
        <v xml:space="preserve"> </v>
      </c>
      <c r="U245" s="1" t="str">
        <f>INDEX(Table2[[HomeTeam]:[Group_details]],ROWS($N$2:S245),COLUMNS($N$2:S245))</f>
        <v>Group stages</v>
      </c>
      <c r="V245" s="1" t="b">
        <f t="shared" si="3"/>
        <v>0</v>
      </c>
      <c r="W245" s="1" t="str">
        <f>IF(V245=TRUE,ROWS($V$2:V245),"")</f>
        <v/>
      </c>
      <c r="X245" s="1" t="str">
        <f>IFERROR(SMALL($W$2:$W$853,ROWS($W$2:W245)),"")</f>
        <v/>
      </c>
      <c r="Y245" s="1" t="str">
        <f>IF($X245&lt;&gt;"",INDEX($P$2:$U$853,MATCH($X245,$W$2:$W$853,0),COLUMNS($X$2:X245)),"")</f>
        <v/>
      </c>
      <c r="Z245" s="1" t="str">
        <f>IF($X245&lt;&gt;"",INDEX($P$2:$U$853,MATCH($X245,$W$2:$W$853,0),COLUMNS($X$2:Y245)),"")</f>
        <v/>
      </c>
      <c r="AA245" s="1" t="str">
        <f>IF($X245&lt;&gt;"",INDEX($P$2:$U$853,MATCH($X245,$W$2:$W$853,0),COLUMNS($X$2:Z245)),"")</f>
        <v/>
      </c>
      <c r="AB245" s="1" t="str">
        <f>IF($X245&lt;&gt;"",INDEX($P$2:$U$853,MATCH($X245,$W$2:$W$853,0),COLUMNS($X$2:AA245)),"")</f>
        <v/>
      </c>
      <c r="AC245" s="1" t="str">
        <f>IF($X245&lt;&gt;"",INDEX($P$2:$U$853,MATCH($X245,$W$2:$W$853,0),COLUMNS($X$2:AB245)),"")</f>
        <v/>
      </c>
      <c r="AD245" s="1" t="str">
        <f>IF($X245&lt;&gt;"",INDEX($P$2:$U$853,MATCH($X245,$W$2:$W$853,0),COLUMNS($X$2:AC245)),"")</f>
        <v/>
      </c>
    </row>
    <row r="246" spans="1:30" x14ac:dyDescent="0.2">
      <c r="A246" s="1">
        <v>1974</v>
      </c>
      <c r="B246" s="2">
        <v>27199</v>
      </c>
      <c r="C246" s="1" t="s">
        <v>522</v>
      </c>
      <c r="D246" s="1" t="s">
        <v>22</v>
      </c>
      <c r="E246" s="1" t="s">
        <v>200</v>
      </c>
      <c r="F246" s="1" t="s">
        <v>201</v>
      </c>
      <c r="G246" s="6" t="str">
        <f>VLOOKUP(A246,WorldCups!$A$2:$B$23,2,FALSE)</f>
        <v>Germany</v>
      </c>
      <c r="H246" s="1" t="s">
        <v>45</v>
      </c>
      <c r="I246" s="1">
        <v>0</v>
      </c>
      <c r="J246" s="1">
        <v>0</v>
      </c>
      <c r="K246" s="1" t="s">
        <v>48</v>
      </c>
      <c r="L246" s="1" t="s">
        <v>14</v>
      </c>
      <c r="M246" s="1" t="str">
        <f>IF(ISNUMBER(SEARCH("Group",Table2[[#This Row],[Round]])),"Group stages",Table2[[#This Row],[Round]])</f>
        <v>Group stages</v>
      </c>
      <c r="O246" s="1">
        <f>Table2[[#This Row],[Year]]</f>
        <v>1974</v>
      </c>
      <c r="P246" s="1" t="str">
        <f>INDEX(Table2[[HomeTeam]:[Group_details]],ROWS($N$2:N246),COLUMNS($N$2:N246))</f>
        <v>Netherlands</v>
      </c>
      <c r="Q246" s="1">
        <f>INDEX(Table2[[HomeTeam]:[Group_details]],ROWS($N$2:O246),COLUMNS($N$2:O246))</f>
        <v>0</v>
      </c>
      <c r="R246" s="1">
        <f>INDEX(Table2[[HomeTeam]:[Group_details]],ROWS($N$2:P246),COLUMNS($N$2:P246))</f>
        <v>0</v>
      </c>
      <c r="S246" s="1" t="str">
        <f>INDEX(Table2[[HomeTeam]:[Group_details]],ROWS($N$2:Q246),COLUMNS($N$2:Q246))</f>
        <v>Sweden</v>
      </c>
      <c r="T246" s="1" t="str">
        <f>INDEX(Table2[[HomeTeam]:[Group_details]],ROWS($N$2:R246),COLUMNS($N$2:R246))</f>
        <v xml:space="preserve"> </v>
      </c>
      <c r="U246" s="1" t="str">
        <f>INDEX(Table2[[HomeTeam]:[Group_details]],ROWS($N$2:S246),COLUMNS($N$2:S246))</f>
        <v>Group stages</v>
      </c>
      <c r="V246" s="1" t="b">
        <f t="shared" si="3"/>
        <v>0</v>
      </c>
      <c r="W246" s="1" t="str">
        <f>IF(V246=TRUE,ROWS($V$2:V246),"")</f>
        <v/>
      </c>
      <c r="X246" s="1" t="str">
        <f>IFERROR(SMALL($W$2:$W$853,ROWS($W$2:W246)),"")</f>
        <v/>
      </c>
      <c r="Y246" s="1" t="str">
        <f>IF($X246&lt;&gt;"",INDEX($P$2:$U$853,MATCH($X246,$W$2:$W$853,0),COLUMNS($X$2:X246)),"")</f>
        <v/>
      </c>
      <c r="Z246" s="1" t="str">
        <f>IF($X246&lt;&gt;"",INDEX($P$2:$U$853,MATCH($X246,$W$2:$W$853,0),COLUMNS($X$2:Y246)),"")</f>
        <v/>
      </c>
      <c r="AA246" s="1" t="str">
        <f>IF($X246&lt;&gt;"",INDEX($P$2:$U$853,MATCH($X246,$W$2:$W$853,0),COLUMNS($X$2:Z246)),"")</f>
        <v/>
      </c>
      <c r="AB246" s="1" t="str">
        <f>IF($X246&lt;&gt;"",INDEX($P$2:$U$853,MATCH($X246,$W$2:$W$853,0),COLUMNS($X$2:AA246)),"")</f>
        <v/>
      </c>
      <c r="AC246" s="1" t="str">
        <f>IF($X246&lt;&gt;"",INDEX($P$2:$U$853,MATCH($X246,$W$2:$W$853,0),COLUMNS($X$2:AB246)),"")</f>
        <v/>
      </c>
      <c r="AD246" s="1" t="str">
        <f>IF($X246&lt;&gt;"",INDEX($P$2:$U$853,MATCH($X246,$W$2:$W$853,0),COLUMNS($X$2:AC246)),"")</f>
        <v/>
      </c>
    </row>
    <row r="247" spans="1:30" x14ac:dyDescent="0.2">
      <c r="A247" s="1">
        <v>1974</v>
      </c>
      <c r="B247" s="2">
        <v>27199</v>
      </c>
      <c r="C247" s="1" t="s">
        <v>522</v>
      </c>
      <c r="D247" s="1" t="s">
        <v>22</v>
      </c>
      <c r="E247" s="1" t="s">
        <v>203</v>
      </c>
      <c r="F247" s="1" t="s">
        <v>204</v>
      </c>
      <c r="G247" s="6" t="str">
        <f>VLOOKUP(A247,WorldCups!$A$2:$B$23,2,FALSE)</f>
        <v>Germany</v>
      </c>
      <c r="H247" s="1" t="s">
        <v>156</v>
      </c>
      <c r="I247" s="1">
        <v>1</v>
      </c>
      <c r="J247" s="1">
        <v>1</v>
      </c>
      <c r="K247" s="1" t="s">
        <v>30</v>
      </c>
      <c r="L247" s="1" t="s">
        <v>14</v>
      </c>
      <c r="M247" s="1" t="str">
        <f>IF(ISNUMBER(SEARCH("Group",Table2[[#This Row],[Round]])),"Group stages",Table2[[#This Row],[Round]])</f>
        <v>Group stages</v>
      </c>
      <c r="O247" s="1">
        <f>Table2[[#This Row],[Year]]</f>
        <v>1974</v>
      </c>
      <c r="P247" s="1" t="str">
        <f>INDEX(Table2[[HomeTeam]:[Group_details]],ROWS($N$2:N247),COLUMNS($N$2:N247))</f>
        <v>Bulgaria</v>
      </c>
      <c r="Q247" s="1">
        <f>INDEX(Table2[[HomeTeam]:[Group_details]],ROWS($N$2:O247),COLUMNS($N$2:O247))</f>
        <v>1</v>
      </c>
      <c r="R247" s="1">
        <f>INDEX(Table2[[HomeTeam]:[Group_details]],ROWS($N$2:P247),COLUMNS($N$2:P247))</f>
        <v>1</v>
      </c>
      <c r="S247" s="1" t="str">
        <f>INDEX(Table2[[HomeTeam]:[Group_details]],ROWS($N$2:Q247),COLUMNS($N$2:Q247))</f>
        <v>Uruguay</v>
      </c>
      <c r="T247" s="1" t="str">
        <f>INDEX(Table2[[HomeTeam]:[Group_details]],ROWS($N$2:R247),COLUMNS($N$2:R247))</f>
        <v xml:space="preserve"> </v>
      </c>
      <c r="U247" s="1" t="str">
        <f>INDEX(Table2[[HomeTeam]:[Group_details]],ROWS($N$2:S247),COLUMNS($N$2:S247))</f>
        <v>Group stages</v>
      </c>
      <c r="V247" s="1" t="b">
        <f t="shared" si="3"/>
        <v>0</v>
      </c>
      <c r="W247" s="1" t="str">
        <f>IF(V247=TRUE,ROWS($V$2:V247),"")</f>
        <v/>
      </c>
      <c r="X247" s="1" t="str">
        <f>IFERROR(SMALL($W$2:$W$853,ROWS($W$2:W247)),"")</f>
        <v/>
      </c>
      <c r="Y247" s="1" t="str">
        <f>IF($X247&lt;&gt;"",INDEX($P$2:$U$853,MATCH($X247,$W$2:$W$853,0),COLUMNS($X$2:X247)),"")</f>
        <v/>
      </c>
      <c r="Z247" s="1" t="str">
        <f>IF($X247&lt;&gt;"",INDEX($P$2:$U$853,MATCH($X247,$W$2:$W$853,0),COLUMNS($X$2:Y247)),"")</f>
        <v/>
      </c>
      <c r="AA247" s="1" t="str">
        <f>IF($X247&lt;&gt;"",INDEX($P$2:$U$853,MATCH($X247,$W$2:$W$853,0),COLUMNS($X$2:Z247)),"")</f>
        <v/>
      </c>
      <c r="AB247" s="1" t="str">
        <f>IF($X247&lt;&gt;"",INDEX($P$2:$U$853,MATCH($X247,$W$2:$W$853,0),COLUMNS($X$2:AA247)),"")</f>
        <v/>
      </c>
      <c r="AC247" s="1" t="str">
        <f>IF($X247&lt;&gt;"",INDEX($P$2:$U$853,MATCH($X247,$W$2:$W$853,0),COLUMNS($X$2:AB247)),"")</f>
        <v/>
      </c>
      <c r="AD247" s="1" t="str">
        <f>IF($X247&lt;&gt;"",INDEX($P$2:$U$853,MATCH($X247,$W$2:$W$853,0),COLUMNS($X$2:AC247)),"")</f>
        <v/>
      </c>
    </row>
    <row r="248" spans="1:30" x14ac:dyDescent="0.2">
      <c r="A248" s="1">
        <v>1974</v>
      </c>
      <c r="B248" s="2">
        <v>27199</v>
      </c>
      <c r="C248" s="1" t="s">
        <v>522</v>
      </c>
      <c r="D248" s="1" t="s">
        <v>15</v>
      </c>
      <c r="E248" s="1" t="s">
        <v>194</v>
      </c>
      <c r="F248" s="1" t="s">
        <v>207</v>
      </c>
      <c r="G248" s="6" t="str">
        <f>VLOOKUP(A248,WorldCups!$A$2:$B$23,2,FALSE)</f>
        <v>Germany</v>
      </c>
      <c r="H248" s="1" t="s">
        <v>208</v>
      </c>
      <c r="I248" s="1">
        <v>0</v>
      </c>
      <c r="J248" s="1">
        <v>7</v>
      </c>
      <c r="K248" s="1" t="s">
        <v>80</v>
      </c>
      <c r="L248" s="1" t="s">
        <v>14</v>
      </c>
      <c r="M248" s="1" t="str">
        <f>IF(ISNUMBER(SEARCH("Group",Table2[[#This Row],[Round]])),"Group stages",Table2[[#This Row],[Round]])</f>
        <v>Group stages</v>
      </c>
      <c r="O248" s="1">
        <f>Table2[[#This Row],[Year]]</f>
        <v>1974</v>
      </c>
      <c r="P248" s="1" t="str">
        <f>INDEX(Table2[[HomeTeam]:[Group_details]],ROWS($N$2:N248),COLUMNS($N$2:N248))</f>
        <v>Haiti</v>
      </c>
      <c r="Q248" s="1">
        <f>INDEX(Table2[[HomeTeam]:[Group_details]],ROWS($N$2:O248),COLUMNS($N$2:O248))</f>
        <v>0</v>
      </c>
      <c r="R248" s="1">
        <f>INDEX(Table2[[HomeTeam]:[Group_details]],ROWS($N$2:P248),COLUMNS($N$2:P248))</f>
        <v>7</v>
      </c>
      <c r="S248" s="1" t="str">
        <f>INDEX(Table2[[HomeTeam]:[Group_details]],ROWS($N$2:Q248),COLUMNS($N$2:Q248))</f>
        <v>Poland</v>
      </c>
      <c r="T248" s="1" t="str">
        <f>INDEX(Table2[[HomeTeam]:[Group_details]],ROWS($N$2:R248),COLUMNS($N$2:R248))</f>
        <v xml:space="preserve"> </v>
      </c>
      <c r="U248" s="1" t="str">
        <f>INDEX(Table2[[HomeTeam]:[Group_details]],ROWS($N$2:S248),COLUMNS($N$2:S248))</f>
        <v>Group stages</v>
      </c>
      <c r="V248" s="1" t="b">
        <f t="shared" si="3"/>
        <v>0</v>
      </c>
      <c r="W248" s="1" t="str">
        <f>IF(V248=TRUE,ROWS($V$2:V248),"")</f>
        <v/>
      </c>
      <c r="X248" s="1" t="str">
        <f>IFERROR(SMALL($W$2:$W$853,ROWS($W$2:W248)),"")</f>
        <v/>
      </c>
      <c r="Y248" s="1" t="str">
        <f>IF($X248&lt;&gt;"",INDEX($P$2:$U$853,MATCH($X248,$W$2:$W$853,0),COLUMNS($X$2:X248)),"")</f>
        <v/>
      </c>
      <c r="Z248" s="1" t="str">
        <f>IF($X248&lt;&gt;"",INDEX($P$2:$U$853,MATCH($X248,$W$2:$W$853,0),COLUMNS($X$2:Y248)),"")</f>
        <v/>
      </c>
      <c r="AA248" s="1" t="str">
        <f>IF($X248&lt;&gt;"",INDEX($P$2:$U$853,MATCH($X248,$W$2:$W$853,0),COLUMNS($X$2:Z248)),"")</f>
        <v/>
      </c>
      <c r="AB248" s="1" t="str">
        <f>IF($X248&lt;&gt;"",INDEX($P$2:$U$853,MATCH($X248,$W$2:$W$853,0),COLUMNS($X$2:AA248)),"")</f>
        <v/>
      </c>
      <c r="AC248" s="1" t="str">
        <f>IF($X248&lt;&gt;"",INDEX($P$2:$U$853,MATCH($X248,$W$2:$W$853,0),COLUMNS($X$2:AB248)),"")</f>
        <v/>
      </c>
      <c r="AD248" s="1" t="str">
        <f>IF($X248&lt;&gt;"",INDEX($P$2:$U$853,MATCH($X248,$W$2:$W$853,0),COLUMNS($X$2:AC248)),"")</f>
        <v/>
      </c>
    </row>
    <row r="249" spans="1:30" x14ac:dyDescent="0.2">
      <c r="A249" s="1">
        <v>1974</v>
      </c>
      <c r="B249" s="2">
        <v>27199</v>
      </c>
      <c r="C249" s="1" t="s">
        <v>522</v>
      </c>
      <c r="D249" s="1" t="s">
        <v>15</v>
      </c>
      <c r="E249" s="1" t="s">
        <v>209</v>
      </c>
      <c r="F249" s="1" t="s">
        <v>210</v>
      </c>
      <c r="G249" s="6" t="str">
        <f>VLOOKUP(A249,WorldCups!$A$2:$B$23,2,FALSE)</f>
        <v>Germany</v>
      </c>
      <c r="H249" s="1" t="s">
        <v>25</v>
      </c>
      <c r="I249" s="1">
        <v>1</v>
      </c>
      <c r="J249" s="1">
        <v>1</v>
      </c>
      <c r="K249" s="1" t="s">
        <v>57</v>
      </c>
      <c r="L249" s="1" t="s">
        <v>14</v>
      </c>
      <c r="M249" s="1" t="str">
        <f>IF(ISNUMBER(SEARCH("Group",Table2[[#This Row],[Round]])),"Group stages",Table2[[#This Row],[Round]])</f>
        <v>Group stages</v>
      </c>
      <c r="O249" s="1">
        <f>Table2[[#This Row],[Year]]</f>
        <v>1974</v>
      </c>
      <c r="P249" s="1" t="str">
        <f>INDEX(Table2[[HomeTeam]:[Group_details]],ROWS($N$2:N249),COLUMNS($N$2:N249))</f>
        <v>Argentina</v>
      </c>
      <c r="Q249" s="1">
        <f>INDEX(Table2[[HomeTeam]:[Group_details]],ROWS($N$2:O249),COLUMNS($N$2:O249))</f>
        <v>1</v>
      </c>
      <c r="R249" s="1">
        <f>INDEX(Table2[[HomeTeam]:[Group_details]],ROWS($N$2:P249),COLUMNS($N$2:P249))</f>
        <v>1</v>
      </c>
      <c r="S249" s="1" t="str">
        <f>INDEX(Table2[[HomeTeam]:[Group_details]],ROWS($N$2:Q249),COLUMNS($N$2:Q249))</f>
        <v>Italy</v>
      </c>
      <c r="T249" s="1" t="str">
        <f>INDEX(Table2[[HomeTeam]:[Group_details]],ROWS($N$2:R249),COLUMNS($N$2:R249))</f>
        <v xml:space="preserve"> </v>
      </c>
      <c r="U249" s="1" t="str">
        <f>INDEX(Table2[[HomeTeam]:[Group_details]],ROWS($N$2:S249),COLUMNS($N$2:S249))</f>
        <v>Group stages</v>
      </c>
      <c r="V249" s="1" t="b">
        <f t="shared" si="3"/>
        <v>0</v>
      </c>
      <c r="W249" s="1" t="str">
        <f>IF(V249=TRUE,ROWS($V$2:V249),"")</f>
        <v/>
      </c>
      <c r="X249" s="1" t="str">
        <f>IFERROR(SMALL($W$2:$W$853,ROWS($W$2:W249)),"")</f>
        <v/>
      </c>
      <c r="Y249" s="1" t="str">
        <f>IF($X249&lt;&gt;"",INDEX($P$2:$U$853,MATCH($X249,$W$2:$W$853,0),COLUMNS($X$2:X249)),"")</f>
        <v/>
      </c>
      <c r="Z249" s="1" t="str">
        <f>IF($X249&lt;&gt;"",INDEX($P$2:$U$853,MATCH($X249,$W$2:$W$853,0),COLUMNS($X$2:Y249)),"")</f>
        <v/>
      </c>
      <c r="AA249" s="1" t="str">
        <f>IF($X249&lt;&gt;"",INDEX($P$2:$U$853,MATCH($X249,$W$2:$W$853,0),COLUMNS($X$2:Z249)),"")</f>
        <v/>
      </c>
      <c r="AB249" s="1" t="str">
        <f>IF($X249&lt;&gt;"",INDEX($P$2:$U$853,MATCH($X249,$W$2:$W$853,0),COLUMNS($X$2:AA249)),"")</f>
        <v/>
      </c>
      <c r="AC249" s="1" t="str">
        <f>IF($X249&lt;&gt;"",INDEX($P$2:$U$853,MATCH($X249,$W$2:$W$853,0),COLUMNS($X$2:AB249)),"")</f>
        <v/>
      </c>
      <c r="AD249" s="1" t="str">
        <f>IF($X249&lt;&gt;"",INDEX($P$2:$U$853,MATCH($X249,$W$2:$W$853,0),COLUMNS($X$2:AC249)),"")</f>
        <v/>
      </c>
    </row>
    <row r="250" spans="1:30" x14ac:dyDescent="0.2">
      <c r="A250" s="1">
        <v>1974</v>
      </c>
      <c r="B250" s="2">
        <v>27202</v>
      </c>
      <c r="C250" s="1" t="s">
        <v>503</v>
      </c>
      <c r="D250" s="1" t="s">
        <v>19</v>
      </c>
      <c r="E250" s="1" t="s">
        <v>192</v>
      </c>
      <c r="F250" s="1" t="s">
        <v>193</v>
      </c>
      <c r="G250" s="6" t="str">
        <f>VLOOKUP(A250,WorldCups!$A$2:$B$23,2,FALSE)</f>
        <v>Germany</v>
      </c>
      <c r="H250" s="1" t="s">
        <v>109</v>
      </c>
      <c r="I250" s="1">
        <v>1</v>
      </c>
      <c r="J250" s="1">
        <v>1</v>
      </c>
      <c r="K250" s="1" t="s">
        <v>20</v>
      </c>
      <c r="L250" s="1" t="s">
        <v>14</v>
      </c>
      <c r="M250" s="1" t="str">
        <f>IF(ISNUMBER(SEARCH("Group",Table2[[#This Row],[Round]])),"Group stages",Table2[[#This Row],[Round]])</f>
        <v>Group stages</v>
      </c>
      <c r="O250" s="1">
        <f>Table2[[#This Row],[Year]]</f>
        <v>1974</v>
      </c>
      <c r="P250" s="1" t="str">
        <f>INDEX(Table2[[HomeTeam]:[Group_details]],ROWS($N$2:N250),COLUMNS($N$2:N250))</f>
        <v>Scotland</v>
      </c>
      <c r="Q250" s="1">
        <f>INDEX(Table2[[HomeTeam]:[Group_details]],ROWS($N$2:O250),COLUMNS($N$2:O250))</f>
        <v>1</v>
      </c>
      <c r="R250" s="1">
        <f>INDEX(Table2[[HomeTeam]:[Group_details]],ROWS($N$2:P250),COLUMNS($N$2:P250))</f>
        <v>1</v>
      </c>
      <c r="S250" s="1" t="str">
        <f>INDEX(Table2[[HomeTeam]:[Group_details]],ROWS($N$2:Q250),COLUMNS($N$2:Q250))</f>
        <v>Yugoslavia</v>
      </c>
      <c r="T250" s="1" t="str">
        <f>INDEX(Table2[[HomeTeam]:[Group_details]],ROWS($N$2:R250),COLUMNS($N$2:R250))</f>
        <v xml:space="preserve"> </v>
      </c>
      <c r="U250" s="1" t="str">
        <f>INDEX(Table2[[HomeTeam]:[Group_details]],ROWS($N$2:S250),COLUMNS($N$2:S250))</f>
        <v>Group stages</v>
      </c>
      <c r="V250" s="1" t="b">
        <f t="shared" si="3"/>
        <v>0</v>
      </c>
      <c r="W250" s="1" t="str">
        <f>IF(V250=TRUE,ROWS($V$2:V250),"")</f>
        <v/>
      </c>
      <c r="X250" s="1" t="str">
        <f>IFERROR(SMALL($W$2:$W$853,ROWS($W$2:W250)),"")</f>
        <v/>
      </c>
      <c r="Y250" s="1" t="str">
        <f>IF($X250&lt;&gt;"",INDEX($P$2:$U$853,MATCH($X250,$W$2:$W$853,0),COLUMNS($X$2:X250)),"")</f>
        <v/>
      </c>
      <c r="Z250" s="1" t="str">
        <f>IF($X250&lt;&gt;"",INDEX($P$2:$U$853,MATCH($X250,$W$2:$W$853,0),COLUMNS($X$2:Y250)),"")</f>
        <v/>
      </c>
      <c r="AA250" s="1" t="str">
        <f>IF($X250&lt;&gt;"",INDEX($P$2:$U$853,MATCH($X250,$W$2:$W$853,0),COLUMNS($X$2:Z250)),"")</f>
        <v/>
      </c>
      <c r="AB250" s="1" t="str">
        <f>IF($X250&lt;&gt;"",INDEX($P$2:$U$853,MATCH($X250,$W$2:$W$853,0),COLUMNS($X$2:AA250)),"")</f>
        <v/>
      </c>
      <c r="AC250" s="1" t="str">
        <f>IF($X250&lt;&gt;"",INDEX($P$2:$U$853,MATCH($X250,$W$2:$W$853,0),COLUMNS($X$2:AB250)),"")</f>
        <v/>
      </c>
      <c r="AD250" s="1" t="str">
        <f>IF($X250&lt;&gt;"",INDEX($P$2:$U$853,MATCH($X250,$W$2:$W$853,0),COLUMNS($X$2:AC250)),"")</f>
        <v/>
      </c>
    </row>
    <row r="251" spans="1:30" x14ac:dyDescent="0.2">
      <c r="A251" s="1">
        <v>1974</v>
      </c>
      <c r="B251" s="2">
        <v>27202</v>
      </c>
      <c r="C251" s="1" t="s">
        <v>503</v>
      </c>
      <c r="D251" s="1" t="s">
        <v>9</v>
      </c>
      <c r="E251" s="1" t="s">
        <v>194</v>
      </c>
      <c r="F251" s="1" t="s">
        <v>195</v>
      </c>
      <c r="G251" s="6" t="str">
        <f>VLOOKUP(A251,WorldCups!$A$2:$B$23,2,FALSE)</f>
        <v>Germany</v>
      </c>
      <c r="H251" s="1" t="s">
        <v>199</v>
      </c>
      <c r="I251" s="1">
        <v>0</v>
      </c>
      <c r="J251" s="1">
        <v>0</v>
      </c>
      <c r="K251" s="1" t="s">
        <v>26</v>
      </c>
      <c r="L251" s="1" t="s">
        <v>14</v>
      </c>
      <c r="M251" s="1" t="str">
        <f>IF(ISNUMBER(SEARCH("Group",Table2[[#This Row],[Round]])),"Group stages",Table2[[#This Row],[Round]])</f>
        <v>Group stages</v>
      </c>
      <c r="O251" s="1">
        <f>Table2[[#This Row],[Year]]</f>
        <v>1974</v>
      </c>
      <c r="P251" s="1" t="str">
        <f>INDEX(Table2[[HomeTeam]:[Group_details]],ROWS($N$2:N251),COLUMNS($N$2:N251))</f>
        <v>Australia</v>
      </c>
      <c r="Q251" s="1">
        <f>INDEX(Table2[[HomeTeam]:[Group_details]],ROWS($N$2:O251),COLUMNS($N$2:O251))</f>
        <v>0</v>
      </c>
      <c r="R251" s="1">
        <f>INDEX(Table2[[HomeTeam]:[Group_details]],ROWS($N$2:P251),COLUMNS($N$2:P251))</f>
        <v>0</v>
      </c>
      <c r="S251" s="1" t="str">
        <f>INDEX(Table2[[HomeTeam]:[Group_details]],ROWS($N$2:Q251),COLUMNS($N$2:Q251))</f>
        <v>Chile</v>
      </c>
      <c r="T251" s="1" t="str">
        <f>INDEX(Table2[[HomeTeam]:[Group_details]],ROWS($N$2:R251),COLUMNS($N$2:R251))</f>
        <v xml:space="preserve"> </v>
      </c>
      <c r="U251" s="1" t="str">
        <f>INDEX(Table2[[HomeTeam]:[Group_details]],ROWS($N$2:S251),COLUMNS($N$2:S251))</f>
        <v>Group stages</v>
      </c>
      <c r="V251" s="1" t="b">
        <f t="shared" si="3"/>
        <v>0</v>
      </c>
      <c r="W251" s="1" t="str">
        <f>IF(V251=TRUE,ROWS($V$2:V251),"")</f>
        <v/>
      </c>
      <c r="X251" s="1" t="str">
        <f>IFERROR(SMALL($W$2:$W$853,ROWS($W$2:W251)),"")</f>
        <v/>
      </c>
      <c r="Y251" s="1" t="str">
        <f>IF($X251&lt;&gt;"",INDEX($P$2:$U$853,MATCH($X251,$W$2:$W$853,0),COLUMNS($X$2:X251)),"")</f>
        <v/>
      </c>
      <c r="Z251" s="1" t="str">
        <f>IF($X251&lt;&gt;"",INDEX($P$2:$U$853,MATCH($X251,$W$2:$W$853,0),COLUMNS($X$2:Y251)),"")</f>
        <v/>
      </c>
      <c r="AA251" s="1" t="str">
        <f>IF($X251&lt;&gt;"",INDEX($P$2:$U$853,MATCH($X251,$W$2:$W$853,0),COLUMNS($X$2:Z251)),"")</f>
        <v/>
      </c>
      <c r="AB251" s="1" t="str">
        <f>IF($X251&lt;&gt;"",INDEX($P$2:$U$853,MATCH($X251,$W$2:$W$853,0),COLUMNS($X$2:AA251)),"")</f>
        <v/>
      </c>
      <c r="AC251" s="1" t="str">
        <f>IF($X251&lt;&gt;"",INDEX($P$2:$U$853,MATCH($X251,$W$2:$W$853,0),COLUMNS($X$2:AB251)),"")</f>
        <v/>
      </c>
      <c r="AD251" s="1" t="str">
        <f>IF($X251&lt;&gt;"",INDEX($P$2:$U$853,MATCH($X251,$W$2:$W$853,0),COLUMNS($X$2:AC251)),"")</f>
        <v/>
      </c>
    </row>
    <row r="252" spans="1:30" x14ac:dyDescent="0.2">
      <c r="A252" s="1">
        <v>1974</v>
      </c>
      <c r="B252" s="2">
        <v>27202</v>
      </c>
      <c r="C252" s="1" t="s">
        <v>503</v>
      </c>
      <c r="D252" s="1" t="s">
        <v>19</v>
      </c>
      <c r="E252" s="1" t="s">
        <v>211</v>
      </c>
      <c r="F252" s="1" t="s">
        <v>212</v>
      </c>
      <c r="G252" s="6" t="str">
        <f>VLOOKUP(A252,WorldCups!$A$2:$B$23,2,FALSE)</f>
        <v>Germany</v>
      </c>
      <c r="H252" s="1" t="s">
        <v>202</v>
      </c>
      <c r="I252" s="1">
        <v>0</v>
      </c>
      <c r="J252" s="1">
        <v>3</v>
      </c>
      <c r="K252" s="1" t="s">
        <v>21</v>
      </c>
      <c r="L252" s="1" t="s">
        <v>14</v>
      </c>
      <c r="M252" s="1" t="str">
        <f>IF(ISNUMBER(SEARCH("Group",Table2[[#This Row],[Round]])),"Group stages",Table2[[#This Row],[Round]])</f>
        <v>Group stages</v>
      </c>
      <c r="O252" s="1">
        <f>Table2[[#This Row],[Year]]</f>
        <v>1974</v>
      </c>
      <c r="P252" s="1" t="str">
        <f>INDEX(Table2[[HomeTeam]:[Group_details]],ROWS($N$2:N252),COLUMNS($N$2:N252))</f>
        <v>Zaire</v>
      </c>
      <c r="Q252" s="1">
        <f>INDEX(Table2[[HomeTeam]:[Group_details]],ROWS($N$2:O252),COLUMNS($N$2:O252))</f>
        <v>0</v>
      </c>
      <c r="R252" s="1">
        <f>INDEX(Table2[[HomeTeam]:[Group_details]],ROWS($N$2:P252),COLUMNS($N$2:P252))</f>
        <v>3</v>
      </c>
      <c r="S252" s="1" t="str">
        <f>INDEX(Table2[[HomeTeam]:[Group_details]],ROWS($N$2:Q252),COLUMNS($N$2:Q252))</f>
        <v>Brazil</v>
      </c>
      <c r="T252" s="1" t="str">
        <f>INDEX(Table2[[HomeTeam]:[Group_details]],ROWS($N$2:R252),COLUMNS($N$2:R252))</f>
        <v xml:space="preserve"> </v>
      </c>
      <c r="U252" s="1" t="str">
        <f>INDEX(Table2[[HomeTeam]:[Group_details]],ROWS($N$2:S252),COLUMNS($N$2:S252))</f>
        <v>Group stages</v>
      </c>
      <c r="V252" s="1" t="b">
        <f t="shared" si="3"/>
        <v>0</v>
      </c>
      <c r="W252" s="1" t="str">
        <f>IF(V252=TRUE,ROWS($V$2:V252),"")</f>
        <v/>
      </c>
      <c r="X252" s="1" t="str">
        <f>IFERROR(SMALL($W$2:$W$853,ROWS($W$2:W252)),"")</f>
        <v/>
      </c>
      <c r="Y252" s="1" t="str">
        <f>IF($X252&lt;&gt;"",INDEX($P$2:$U$853,MATCH($X252,$W$2:$W$853,0),COLUMNS($X$2:X252)),"")</f>
        <v/>
      </c>
      <c r="Z252" s="1" t="str">
        <f>IF($X252&lt;&gt;"",INDEX($P$2:$U$853,MATCH($X252,$W$2:$W$853,0),COLUMNS($X$2:Y252)),"")</f>
        <v/>
      </c>
      <c r="AA252" s="1" t="str">
        <f>IF($X252&lt;&gt;"",INDEX($P$2:$U$853,MATCH($X252,$W$2:$W$853,0),COLUMNS($X$2:Z252)),"")</f>
        <v/>
      </c>
      <c r="AB252" s="1" t="str">
        <f>IF($X252&lt;&gt;"",INDEX($P$2:$U$853,MATCH($X252,$W$2:$W$853,0),COLUMNS($X$2:AA252)),"")</f>
        <v/>
      </c>
      <c r="AC252" s="1" t="str">
        <f>IF($X252&lt;&gt;"",INDEX($P$2:$U$853,MATCH($X252,$W$2:$W$853,0),COLUMNS($X$2:AB252)),"")</f>
        <v/>
      </c>
      <c r="AD252" s="1" t="str">
        <f>IF($X252&lt;&gt;"",INDEX($P$2:$U$853,MATCH($X252,$W$2:$W$853,0),COLUMNS($X$2:AC252)),"")</f>
        <v/>
      </c>
    </row>
    <row r="253" spans="1:30" x14ac:dyDescent="0.2">
      <c r="A253" s="1">
        <v>1974</v>
      </c>
      <c r="B253" s="2">
        <v>27202</v>
      </c>
      <c r="C253" s="1" t="s">
        <v>522</v>
      </c>
      <c r="D253" s="1" t="s">
        <v>9</v>
      </c>
      <c r="E253" s="1" t="s">
        <v>196</v>
      </c>
      <c r="F253" s="1" t="s">
        <v>197</v>
      </c>
      <c r="G253" s="6" t="str">
        <f>VLOOKUP(A253,WorldCups!$A$2:$B$23,2,FALSE)</f>
        <v>Germany</v>
      </c>
      <c r="H253" s="1" t="s">
        <v>198</v>
      </c>
      <c r="I253" s="1">
        <v>1</v>
      </c>
      <c r="J253" s="1">
        <v>0</v>
      </c>
      <c r="K253" s="1" t="s">
        <v>114</v>
      </c>
      <c r="L253" s="1" t="s">
        <v>14</v>
      </c>
      <c r="M253" s="1" t="str">
        <f>IF(ISNUMBER(SEARCH("Group",Table2[[#This Row],[Round]])),"Group stages",Table2[[#This Row],[Round]])</f>
        <v>Group stages</v>
      </c>
      <c r="O253" s="1">
        <f>Table2[[#This Row],[Year]]</f>
        <v>1974</v>
      </c>
      <c r="P253" s="1" t="str">
        <f>INDEX(Table2[[HomeTeam]:[Group_details]],ROWS($N$2:N253),COLUMNS($N$2:N253))</f>
        <v>German DR</v>
      </c>
      <c r="Q253" s="1">
        <f>INDEX(Table2[[HomeTeam]:[Group_details]],ROWS($N$2:O253),COLUMNS($N$2:O253))</f>
        <v>1</v>
      </c>
      <c r="R253" s="1">
        <f>INDEX(Table2[[HomeTeam]:[Group_details]],ROWS($N$2:P253),COLUMNS($N$2:P253))</f>
        <v>0</v>
      </c>
      <c r="S253" s="1" t="str">
        <f>INDEX(Table2[[HomeTeam]:[Group_details]],ROWS($N$2:Q253),COLUMNS($N$2:Q253))</f>
        <v>Germany FR</v>
      </c>
      <c r="T253" s="1" t="str">
        <f>INDEX(Table2[[HomeTeam]:[Group_details]],ROWS($N$2:R253),COLUMNS($N$2:R253))</f>
        <v xml:space="preserve"> </v>
      </c>
      <c r="U253" s="1" t="str">
        <f>INDEX(Table2[[HomeTeam]:[Group_details]],ROWS($N$2:S253),COLUMNS($N$2:S253))</f>
        <v>Group stages</v>
      </c>
      <c r="V253" s="1" t="b">
        <f t="shared" si="3"/>
        <v>0</v>
      </c>
      <c r="W253" s="1" t="str">
        <f>IF(V253=TRUE,ROWS($V$2:V253),"")</f>
        <v/>
      </c>
      <c r="X253" s="1" t="str">
        <f>IFERROR(SMALL($W$2:$W$853,ROWS($W$2:W253)),"")</f>
        <v/>
      </c>
      <c r="Y253" s="1" t="str">
        <f>IF($X253&lt;&gt;"",INDEX($P$2:$U$853,MATCH($X253,$W$2:$W$853,0),COLUMNS($X$2:X253)),"")</f>
        <v/>
      </c>
      <c r="Z253" s="1" t="str">
        <f>IF($X253&lt;&gt;"",INDEX($P$2:$U$853,MATCH($X253,$W$2:$W$853,0),COLUMNS($X$2:Y253)),"")</f>
        <v/>
      </c>
      <c r="AA253" s="1" t="str">
        <f>IF($X253&lt;&gt;"",INDEX($P$2:$U$853,MATCH($X253,$W$2:$W$853,0),COLUMNS($X$2:Z253)),"")</f>
        <v/>
      </c>
      <c r="AB253" s="1" t="str">
        <f>IF($X253&lt;&gt;"",INDEX($P$2:$U$853,MATCH($X253,$W$2:$W$853,0),COLUMNS($X$2:AA253)),"")</f>
        <v/>
      </c>
      <c r="AC253" s="1" t="str">
        <f>IF($X253&lt;&gt;"",INDEX($P$2:$U$853,MATCH($X253,$W$2:$W$853,0),COLUMNS($X$2:AB253)),"")</f>
        <v/>
      </c>
      <c r="AD253" s="1" t="str">
        <f>IF($X253&lt;&gt;"",INDEX($P$2:$U$853,MATCH($X253,$W$2:$W$853,0),COLUMNS($X$2:AC253)),"")</f>
        <v/>
      </c>
    </row>
    <row r="254" spans="1:30" x14ac:dyDescent="0.2">
      <c r="A254" s="1">
        <v>1974</v>
      </c>
      <c r="B254" s="2">
        <v>27203</v>
      </c>
      <c r="C254" s="1" t="s">
        <v>503</v>
      </c>
      <c r="D254" s="1" t="s">
        <v>22</v>
      </c>
      <c r="E254" s="1" t="s">
        <v>200</v>
      </c>
      <c r="F254" s="1" t="s">
        <v>201</v>
      </c>
      <c r="G254" s="6" t="str">
        <f>VLOOKUP(A254,WorldCups!$A$2:$B$23,2,FALSE)</f>
        <v>Germany</v>
      </c>
      <c r="H254" s="1" t="s">
        <v>156</v>
      </c>
      <c r="I254" s="1">
        <v>1</v>
      </c>
      <c r="J254" s="1">
        <v>4</v>
      </c>
      <c r="K254" s="1" t="s">
        <v>45</v>
      </c>
      <c r="L254" s="1" t="s">
        <v>14</v>
      </c>
      <c r="M254" s="1" t="str">
        <f>IF(ISNUMBER(SEARCH("Group",Table2[[#This Row],[Round]])),"Group stages",Table2[[#This Row],[Round]])</f>
        <v>Group stages</v>
      </c>
      <c r="O254" s="1">
        <f>Table2[[#This Row],[Year]]</f>
        <v>1974</v>
      </c>
      <c r="P254" s="1" t="str">
        <f>INDEX(Table2[[HomeTeam]:[Group_details]],ROWS($N$2:N254),COLUMNS($N$2:N254))</f>
        <v>Bulgaria</v>
      </c>
      <c r="Q254" s="1">
        <f>INDEX(Table2[[HomeTeam]:[Group_details]],ROWS($N$2:O254),COLUMNS($N$2:O254))</f>
        <v>1</v>
      </c>
      <c r="R254" s="1">
        <f>INDEX(Table2[[HomeTeam]:[Group_details]],ROWS($N$2:P254),COLUMNS($N$2:P254))</f>
        <v>4</v>
      </c>
      <c r="S254" s="1" t="str">
        <f>INDEX(Table2[[HomeTeam]:[Group_details]],ROWS($N$2:Q254),COLUMNS($N$2:Q254))</f>
        <v>Netherlands</v>
      </c>
      <c r="T254" s="1" t="str">
        <f>INDEX(Table2[[HomeTeam]:[Group_details]],ROWS($N$2:R254),COLUMNS($N$2:R254))</f>
        <v xml:space="preserve"> </v>
      </c>
      <c r="U254" s="1" t="str">
        <f>INDEX(Table2[[HomeTeam]:[Group_details]],ROWS($N$2:S254),COLUMNS($N$2:S254))</f>
        <v>Group stages</v>
      </c>
      <c r="V254" s="1" t="b">
        <f t="shared" si="3"/>
        <v>0</v>
      </c>
      <c r="W254" s="1" t="str">
        <f>IF(V254=TRUE,ROWS($V$2:V254),"")</f>
        <v/>
      </c>
      <c r="X254" s="1" t="str">
        <f>IFERROR(SMALL($W$2:$W$853,ROWS($W$2:W254)),"")</f>
        <v/>
      </c>
      <c r="Y254" s="1" t="str">
        <f>IF($X254&lt;&gt;"",INDEX($P$2:$U$853,MATCH($X254,$W$2:$W$853,0),COLUMNS($X$2:X254)),"")</f>
        <v/>
      </c>
      <c r="Z254" s="1" t="str">
        <f>IF($X254&lt;&gt;"",INDEX($P$2:$U$853,MATCH($X254,$W$2:$W$853,0),COLUMNS($X$2:Y254)),"")</f>
        <v/>
      </c>
      <c r="AA254" s="1" t="str">
        <f>IF($X254&lt;&gt;"",INDEX($P$2:$U$853,MATCH($X254,$W$2:$W$853,0),COLUMNS($X$2:Z254)),"")</f>
        <v/>
      </c>
      <c r="AB254" s="1" t="str">
        <f>IF($X254&lt;&gt;"",INDEX($P$2:$U$853,MATCH($X254,$W$2:$W$853,0),COLUMNS($X$2:AA254)),"")</f>
        <v/>
      </c>
      <c r="AC254" s="1" t="str">
        <f>IF($X254&lt;&gt;"",INDEX($P$2:$U$853,MATCH($X254,$W$2:$W$853,0),COLUMNS($X$2:AB254)),"")</f>
        <v/>
      </c>
      <c r="AD254" s="1" t="str">
        <f>IF($X254&lt;&gt;"",INDEX($P$2:$U$853,MATCH($X254,$W$2:$W$853,0),COLUMNS($X$2:AC254)),"")</f>
        <v/>
      </c>
    </row>
    <row r="255" spans="1:30" x14ac:dyDescent="0.2">
      <c r="A255" s="1">
        <v>1974</v>
      </c>
      <c r="B255" s="2">
        <v>27203</v>
      </c>
      <c r="C255" s="1" t="s">
        <v>503</v>
      </c>
      <c r="D255" s="1" t="s">
        <v>15</v>
      </c>
      <c r="E255" s="1" t="s">
        <v>194</v>
      </c>
      <c r="F255" s="1" t="s">
        <v>207</v>
      </c>
      <c r="G255" s="6" t="str">
        <f>VLOOKUP(A255,WorldCups!$A$2:$B$23,2,FALSE)</f>
        <v>Germany</v>
      </c>
      <c r="H255" s="1" t="s">
        <v>25</v>
      </c>
      <c r="I255" s="1">
        <v>4</v>
      </c>
      <c r="J255" s="1">
        <v>1</v>
      </c>
      <c r="K255" s="1" t="s">
        <v>208</v>
      </c>
      <c r="L255" s="1" t="s">
        <v>14</v>
      </c>
      <c r="M255" s="1" t="str">
        <f>IF(ISNUMBER(SEARCH("Group",Table2[[#This Row],[Round]])),"Group stages",Table2[[#This Row],[Round]])</f>
        <v>Group stages</v>
      </c>
      <c r="O255" s="1">
        <f>Table2[[#This Row],[Year]]</f>
        <v>1974</v>
      </c>
      <c r="P255" s="1" t="str">
        <f>INDEX(Table2[[HomeTeam]:[Group_details]],ROWS($N$2:N255),COLUMNS($N$2:N255))</f>
        <v>Argentina</v>
      </c>
      <c r="Q255" s="1">
        <f>INDEX(Table2[[HomeTeam]:[Group_details]],ROWS($N$2:O255),COLUMNS($N$2:O255))</f>
        <v>4</v>
      </c>
      <c r="R255" s="1">
        <f>INDEX(Table2[[HomeTeam]:[Group_details]],ROWS($N$2:P255),COLUMNS($N$2:P255))</f>
        <v>1</v>
      </c>
      <c r="S255" s="1" t="str">
        <f>INDEX(Table2[[HomeTeam]:[Group_details]],ROWS($N$2:Q255),COLUMNS($N$2:Q255))</f>
        <v>Haiti</v>
      </c>
      <c r="T255" s="1" t="str">
        <f>INDEX(Table2[[HomeTeam]:[Group_details]],ROWS($N$2:R255),COLUMNS($N$2:R255))</f>
        <v xml:space="preserve"> </v>
      </c>
      <c r="U255" s="1" t="str">
        <f>INDEX(Table2[[HomeTeam]:[Group_details]],ROWS($N$2:S255),COLUMNS($N$2:S255))</f>
        <v>Group stages</v>
      </c>
      <c r="V255" s="1" t="b">
        <f t="shared" si="3"/>
        <v>0</v>
      </c>
      <c r="W255" s="1" t="str">
        <f>IF(V255=TRUE,ROWS($V$2:V255),"")</f>
        <v/>
      </c>
      <c r="X255" s="1" t="str">
        <f>IFERROR(SMALL($W$2:$W$853,ROWS($W$2:W255)),"")</f>
        <v/>
      </c>
      <c r="Y255" s="1" t="str">
        <f>IF($X255&lt;&gt;"",INDEX($P$2:$U$853,MATCH($X255,$W$2:$W$853,0),COLUMNS($X$2:X255)),"")</f>
        <v/>
      </c>
      <c r="Z255" s="1" t="str">
        <f>IF($X255&lt;&gt;"",INDEX($P$2:$U$853,MATCH($X255,$W$2:$W$853,0),COLUMNS($X$2:Y255)),"")</f>
        <v/>
      </c>
      <c r="AA255" s="1" t="str">
        <f>IF($X255&lt;&gt;"",INDEX($P$2:$U$853,MATCH($X255,$W$2:$W$853,0),COLUMNS($X$2:Z255)),"")</f>
        <v/>
      </c>
      <c r="AB255" s="1" t="str">
        <f>IF($X255&lt;&gt;"",INDEX($P$2:$U$853,MATCH($X255,$W$2:$W$853,0),COLUMNS($X$2:AA255)),"")</f>
        <v/>
      </c>
      <c r="AC255" s="1" t="str">
        <f>IF($X255&lt;&gt;"",INDEX($P$2:$U$853,MATCH($X255,$W$2:$W$853,0),COLUMNS($X$2:AB255)),"")</f>
        <v/>
      </c>
      <c r="AD255" s="1" t="str">
        <f>IF($X255&lt;&gt;"",INDEX($P$2:$U$853,MATCH($X255,$W$2:$W$853,0),COLUMNS($X$2:AC255)),"")</f>
        <v/>
      </c>
    </row>
    <row r="256" spans="1:30" x14ac:dyDescent="0.2">
      <c r="A256" s="1">
        <v>1974</v>
      </c>
      <c r="B256" s="2">
        <v>27203</v>
      </c>
      <c r="C256" s="1" t="s">
        <v>503</v>
      </c>
      <c r="D256" s="1" t="s">
        <v>22</v>
      </c>
      <c r="E256" s="1" t="s">
        <v>205</v>
      </c>
      <c r="F256" s="1" t="s">
        <v>206</v>
      </c>
      <c r="G256" s="6" t="str">
        <f>VLOOKUP(A256,WorldCups!$A$2:$B$23,2,FALSE)</f>
        <v>Germany</v>
      </c>
      <c r="H256" s="1" t="s">
        <v>48</v>
      </c>
      <c r="I256" s="1">
        <v>3</v>
      </c>
      <c r="J256" s="1">
        <v>0</v>
      </c>
      <c r="K256" s="1" t="s">
        <v>30</v>
      </c>
      <c r="L256" s="1" t="s">
        <v>14</v>
      </c>
      <c r="M256" s="1" t="str">
        <f>IF(ISNUMBER(SEARCH("Group",Table2[[#This Row],[Round]])),"Group stages",Table2[[#This Row],[Round]])</f>
        <v>Group stages</v>
      </c>
      <c r="O256" s="1">
        <f>Table2[[#This Row],[Year]]</f>
        <v>1974</v>
      </c>
      <c r="P256" s="1" t="str">
        <f>INDEX(Table2[[HomeTeam]:[Group_details]],ROWS($N$2:N256),COLUMNS($N$2:N256))</f>
        <v>Sweden</v>
      </c>
      <c r="Q256" s="1">
        <f>INDEX(Table2[[HomeTeam]:[Group_details]],ROWS($N$2:O256),COLUMNS($N$2:O256))</f>
        <v>3</v>
      </c>
      <c r="R256" s="1">
        <f>INDEX(Table2[[HomeTeam]:[Group_details]],ROWS($N$2:P256),COLUMNS($N$2:P256))</f>
        <v>0</v>
      </c>
      <c r="S256" s="1" t="str">
        <f>INDEX(Table2[[HomeTeam]:[Group_details]],ROWS($N$2:Q256),COLUMNS($N$2:Q256))</f>
        <v>Uruguay</v>
      </c>
      <c r="T256" s="1" t="str">
        <f>INDEX(Table2[[HomeTeam]:[Group_details]],ROWS($N$2:R256),COLUMNS($N$2:R256))</f>
        <v xml:space="preserve"> </v>
      </c>
      <c r="U256" s="1" t="str">
        <f>INDEX(Table2[[HomeTeam]:[Group_details]],ROWS($N$2:S256),COLUMNS($N$2:S256))</f>
        <v>Group stages</v>
      </c>
      <c r="V256" s="1" t="b">
        <f t="shared" si="3"/>
        <v>0</v>
      </c>
      <c r="W256" s="1" t="str">
        <f>IF(V256=TRUE,ROWS($V$2:V256),"")</f>
        <v/>
      </c>
      <c r="X256" s="1" t="str">
        <f>IFERROR(SMALL($W$2:$W$853,ROWS($W$2:W256)),"")</f>
        <v/>
      </c>
      <c r="Y256" s="1" t="str">
        <f>IF($X256&lt;&gt;"",INDEX($P$2:$U$853,MATCH($X256,$W$2:$W$853,0),COLUMNS($X$2:X256)),"")</f>
        <v/>
      </c>
      <c r="Z256" s="1" t="str">
        <f>IF($X256&lt;&gt;"",INDEX($P$2:$U$853,MATCH($X256,$W$2:$W$853,0),COLUMNS($X$2:Y256)),"")</f>
        <v/>
      </c>
      <c r="AA256" s="1" t="str">
        <f>IF($X256&lt;&gt;"",INDEX($P$2:$U$853,MATCH($X256,$W$2:$W$853,0),COLUMNS($X$2:Z256)),"")</f>
        <v/>
      </c>
      <c r="AB256" s="1" t="str">
        <f>IF($X256&lt;&gt;"",INDEX($P$2:$U$853,MATCH($X256,$W$2:$W$853,0),COLUMNS($X$2:AA256)),"")</f>
        <v/>
      </c>
      <c r="AC256" s="1" t="str">
        <f>IF($X256&lt;&gt;"",INDEX($P$2:$U$853,MATCH($X256,$W$2:$W$853,0),COLUMNS($X$2:AB256)),"")</f>
        <v/>
      </c>
      <c r="AD256" s="1" t="str">
        <f>IF($X256&lt;&gt;"",INDEX($P$2:$U$853,MATCH($X256,$W$2:$W$853,0),COLUMNS($X$2:AC256)),"")</f>
        <v/>
      </c>
    </row>
    <row r="257" spans="1:30" x14ac:dyDescent="0.2">
      <c r="A257" s="1">
        <v>1974</v>
      </c>
      <c r="B257" s="2">
        <v>27203</v>
      </c>
      <c r="C257" s="1" t="s">
        <v>503</v>
      </c>
      <c r="D257" s="1" t="s">
        <v>15</v>
      </c>
      <c r="E257" s="1" t="s">
        <v>209</v>
      </c>
      <c r="F257" s="1" t="s">
        <v>210</v>
      </c>
      <c r="G257" s="6" t="str">
        <f>VLOOKUP(A257,WorldCups!$A$2:$B$23,2,FALSE)</f>
        <v>Germany</v>
      </c>
      <c r="H257" s="1" t="s">
        <v>80</v>
      </c>
      <c r="I257" s="1">
        <v>2</v>
      </c>
      <c r="J257" s="1">
        <v>1</v>
      </c>
      <c r="K257" s="1" t="s">
        <v>57</v>
      </c>
      <c r="L257" s="1" t="s">
        <v>14</v>
      </c>
      <c r="M257" s="1" t="str">
        <f>IF(ISNUMBER(SEARCH("Group",Table2[[#This Row],[Round]])),"Group stages",Table2[[#This Row],[Round]])</f>
        <v>Group stages</v>
      </c>
      <c r="O257" s="1">
        <f>Table2[[#This Row],[Year]]</f>
        <v>1974</v>
      </c>
      <c r="P257" s="1" t="str">
        <f>INDEX(Table2[[HomeTeam]:[Group_details]],ROWS($N$2:N257),COLUMNS($N$2:N257))</f>
        <v>Poland</v>
      </c>
      <c r="Q257" s="1">
        <f>INDEX(Table2[[HomeTeam]:[Group_details]],ROWS($N$2:O257),COLUMNS($N$2:O257))</f>
        <v>2</v>
      </c>
      <c r="R257" s="1">
        <f>INDEX(Table2[[HomeTeam]:[Group_details]],ROWS($N$2:P257),COLUMNS($N$2:P257))</f>
        <v>1</v>
      </c>
      <c r="S257" s="1" t="str">
        <f>INDEX(Table2[[HomeTeam]:[Group_details]],ROWS($N$2:Q257),COLUMNS($N$2:Q257))</f>
        <v>Italy</v>
      </c>
      <c r="T257" s="1" t="str">
        <f>INDEX(Table2[[HomeTeam]:[Group_details]],ROWS($N$2:R257),COLUMNS($N$2:R257))</f>
        <v xml:space="preserve"> </v>
      </c>
      <c r="U257" s="1" t="str">
        <f>INDEX(Table2[[HomeTeam]:[Group_details]],ROWS($N$2:S257),COLUMNS($N$2:S257))</f>
        <v>Group stages</v>
      </c>
      <c r="V257" s="1" t="b">
        <f t="shared" si="3"/>
        <v>0</v>
      </c>
      <c r="W257" s="1" t="str">
        <f>IF(V257=TRUE,ROWS($V$2:V257),"")</f>
        <v/>
      </c>
      <c r="X257" s="1" t="str">
        <f>IFERROR(SMALL($W$2:$W$853,ROWS($W$2:W257)),"")</f>
        <v/>
      </c>
      <c r="Y257" s="1" t="str">
        <f>IF($X257&lt;&gt;"",INDEX($P$2:$U$853,MATCH($X257,$W$2:$W$853,0),COLUMNS($X$2:X257)),"")</f>
        <v/>
      </c>
      <c r="Z257" s="1" t="str">
        <f>IF($X257&lt;&gt;"",INDEX($P$2:$U$853,MATCH($X257,$W$2:$W$853,0),COLUMNS($X$2:Y257)),"")</f>
        <v/>
      </c>
      <c r="AA257" s="1" t="str">
        <f>IF($X257&lt;&gt;"",INDEX($P$2:$U$853,MATCH($X257,$W$2:$W$853,0),COLUMNS($X$2:Z257)),"")</f>
        <v/>
      </c>
      <c r="AB257" s="1" t="str">
        <f>IF($X257&lt;&gt;"",INDEX($P$2:$U$853,MATCH($X257,$W$2:$W$853,0),COLUMNS($X$2:AA257)),"")</f>
        <v/>
      </c>
      <c r="AC257" s="1" t="str">
        <f>IF($X257&lt;&gt;"",INDEX($P$2:$U$853,MATCH($X257,$W$2:$W$853,0),COLUMNS($X$2:AB257)),"")</f>
        <v/>
      </c>
      <c r="AD257" s="1" t="str">
        <f>IF($X257&lt;&gt;"",INDEX($P$2:$U$853,MATCH($X257,$W$2:$W$853,0),COLUMNS($X$2:AC257)),"")</f>
        <v/>
      </c>
    </row>
    <row r="258" spans="1:30" x14ac:dyDescent="0.2">
      <c r="A258" s="1">
        <v>1974</v>
      </c>
      <c r="B258" s="2">
        <v>27206</v>
      </c>
      <c r="C258" s="1" t="s">
        <v>503</v>
      </c>
      <c r="D258" s="1" t="s">
        <v>213</v>
      </c>
      <c r="E258" s="1" t="s">
        <v>205</v>
      </c>
      <c r="F258" s="1" t="s">
        <v>206</v>
      </c>
      <c r="G258" s="6" t="str">
        <f>VLOOKUP(A258,WorldCups!$A$2:$B$23,2,FALSE)</f>
        <v>Germany</v>
      </c>
      <c r="H258" s="1" t="s">
        <v>20</v>
      </c>
      <c r="I258" s="1">
        <v>0</v>
      </c>
      <c r="J258" s="1">
        <v>2</v>
      </c>
      <c r="K258" s="1" t="s">
        <v>114</v>
      </c>
      <c r="L258" s="1" t="s">
        <v>14</v>
      </c>
      <c r="M258" s="1" t="str">
        <f>IF(ISNUMBER(SEARCH("Group",Table2[[#This Row],[Round]])),"Group stages",Table2[[#This Row],[Round]])</f>
        <v>Group stages</v>
      </c>
      <c r="O258" s="1">
        <f>Table2[[#This Row],[Year]]</f>
        <v>1974</v>
      </c>
      <c r="P258" s="1" t="str">
        <f>INDEX(Table2[[HomeTeam]:[Group_details]],ROWS($N$2:N258),COLUMNS($N$2:N258))</f>
        <v>Yugoslavia</v>
      </c>
      <c r="Q258" s="1">
        <f>INDEX(Table2[[HomeTeam]:[Group_details]],ROWS($N$2:O258),COLUMNS($N$2:O258))</f>
        <v>0</v>
      </c>
      <c r="R258" s="1">
        <f>INDEX(Table2[[HomeTeam]:[Group_details]],ROWS($N$2:P258),COLUMNS($N$2:P258))</f>
        <v>2</v>
      </c>
      <c r="S258" s="1" t="str">
        <f>INDEX(Table2[[HomeTeam]:[Group_details]],ROWS($N$2:Q258),COLUMNS($N$2:Q258))</f>
        <v>Germany FR</v>
      </c>
      <c r="T258" s="1" t="str">
        <f>INDEX(Table2[[HomeTeam]:[Group_details]],ROWS($N$2:R258),COLUMNS($N$2:R258))</f>
        <v xml:space="preserve"> </v>
      </c>
      <c r="U258" s="1" t="str">
        <f>INDEX(Table2[[HomeTeam]:[Group_details]],ROWS($N$2:S258),COLUMNS($N$2:S258))</f>
        <v>Group stages</v>
      </c>
      <c r="V258" s="1" t="b">
        <f t="shared" si="3"/>
        <v>0</v>
      </c>
      <c r="W258" s="1" t="str">
        <f>IF(V258=TRUE,ROWS($V$2:V258),"")</f>
        <v/>
      </c>
      <c r="X258" s="1" t="str">
        <f>IFERROR(SMALL($W$2:$W$853,ROWS($W$2:W258)),"")</f>
        <v/>
      </c>
      <c r="Y258" s="1" t="str">
        <f>IF($X258&lt;&gt;"",INDEX($P$2:$U$853,MATCH($X258,$W$2:$W$853,0),COLUMNS($X$2:X258)),"")</f>
        <v/>
      </c>
      <c r="Z258" s="1" t="str">
        <f>IF($X258&lt;&gt;"",INDEX($P$2:$U$853,MATCH($X258,$W$2:$W$853,0),COLUMNS($X$2:Y258)),"")</f>
        <v/>
      </c>
      <c r="AA258" s="1" t="str">
        <f>IF($X258&lt;&gt;"",INDEX($P$2:$U$853,MATCH($X258,$W$2:$W$853,0),COLUMNS($X$2:Z258)),"")</f>
        <v/>
      </c>
      <c r="AB258" s="1" t="str">
        <f>IF($X258&lt;&gt;"",INDEX($P$2:$U$853,MATCH($X258,$W$2:$W$853,0),COLUMNS($X$2:AA258)),"")</f>
        <v/>
      </c>
      <c r="AC258" s="1" t="str">
        <f>IF($X258&lt;&gt;"",INDEX($P$2:$U$853,MATCH($X258,$W$2:$W$853,0),COLUMNS($X$2:AB258)),"")</f>
        <v/>
      </c>
      <c r="AD258" s="1" t="str">
        <f>IF($X258&lt;&gt;"",INDEX($P$2:$U$853,MATCH($X258,$W$2:$W$853,0),COLUMNS($X$2:AC258)),"")</f>
        <v/>
      </c>
    </row>
    <row r="259" spans="1:30" x14ac:dyDescent="0.2">
      <c r="A259" s="1">
        <v>1974</v>
      </c>
      <c r="B259" s="2">
        <v>27206</v>
      </c>
      <c r="C259" s="1" t="s">
        <v>522</v>
      </c>
      <c r="D259" s="1" t="s">
        <v>214</v>
      </c>
      <c r="E259" s="1" t="s">
        <v>203</v>
      </c>
      <c r="F259" s="1" t="s">
        <v>204</v>
      </c>
      <c r="G259" s="6" t="str">
        <f>VLOOKUP(A259,WorldCups!$A$2:$B$23,2,FALSE)</f>
        <v>Germany</v>
      </c>
      <c r="H259" s="1" t="s">
        <v>21</v>
      </c>
      <c r="I259" s="1">
        <v>1</v>
      </c>
      <c r="J259" s="1">
        <v>0</v>
      </c>
      <c r="K259" s="1" t="s">
        <v>198</v>
      </c>
      <c r="L259" s="1" t="s">
        <v>14</v>
      </c>
      <c r="M259" s="1" t="str">
        <f>IF(ISNUMBER(SEARCH("Group",Table2[[#This Row],[Round]])),"Group stages",Table2[[#This Row],[Round]])</f>
        <v>Group stages</v>
      </c>
      <c r="O259" s="1">
        <f>Table2[[#This Row],[Year]]</f>
        <v>1974</v>
      </c>
      <c r="P259" s="1" t="str">
        <f>INDEX(Table2[[HomeTeam]:[Group_details]],ROWS($N$2:N259),COLUMNS($N$2:N259))</f>
        <v>Brazil</v>
      </c>
      <c r="Q259" s="1">
        <f>INDEX(Table2[[HomeTeam]:[Group_details]],ROWS($N$2:O259),COLUMNS($N$2:O259))</f>
        <v>1</v>
      </c>
      <c r="R259" s="1">
        <f>INDEX(Table2[[HomeTeam]:[Group_details]],ROWS($N$2:P259),COLUMNS($N$2:P259))</f>
        <v>0</v>
      </c>
      <c r="S259" s="1" t="str">
        <f>INDEX(Table2[[HomeTeam]:[Group_details]],ROWS($N$2:Q259),COLUMNS($N$2:Q259))</f>
        <v>German DR</v>
      </c>
      <c r="T259" s="1" t="str">
        <f>INDEX(Table2[[HomeTeam]:[Group_details]],ROWS($N$2:R259),COLUMNS($N$2:R259))</f>
        <v xml:space="preserve"> </v>
      </c>
      <c r="U259" s="1" t="str">
        <f>INDEX(Table2[[HomeTeam]:[Group_details]],ROWS($N$2:S259),COLUMNS($N$2:S259))</f>
        <v>Group stages</v>
      </c>
      <c r="V259" s="1" t="b">
        <f t="shared" ref="V259:V322" si="4">IF(O259=$V$1,TRUE)</f>
        <v>0</v>
      </c>
      <c r="W259" s="1" t="str">
        <f>IF(V259=TRUE,ROWS($V$2:V259),"")</f>
        <v/>
      </c>
      <c r="X259" s="1" t="str">
        <f>IFERROR(SMALL($W$2:$W$853,ROWS($W$2:W259)),"")</f>
        <v/>
      </c>
      <c r="Y259" s="1" t="str">
        <f>IF($X259&lt;&gt;"",INDEX($P$2:$U$853,MATCH($X259,$W$2:$W$853,0),COLUMNS($X$2:X259)),"")</f>
        <v/>
      </c>
      <c r="Z259" s="1" t="str">
        <f>IF($X259&lt;&gt;"",INDEX($P$2:$U$853,MATCH($X259,$W$2:$W$853,0),COLUMNS($X$2:Y259)),"")</f>
        <v/>
      </c>
      <c r="AA259" s="1" t="str">
        <f>IF($X259&lt;&gt;"",INDEX($P$2:$U$853,MATCH($X259,$W$2:$W$853,0),COLUMNS($X$2:Z259)),"")</f>
        <v/>
      </c>
      <c r="AB259" s="1" t="str">
        <f>IF($X259&lt;&gt;"",INDEX($P$2:$U$853,MATCH($X259,$W$2:$W$853,0),COLUMNS($X$2:AA259)),"")</f>
        <v/>
      </c>
      <c r="AC259" s="1" t="str">
        <f>IF($X259&lt;&gt;"",INDEX($P$2:$U$853,MATCH($X259,$W$2:$W$853,0),COLUMNS($X$2:AB259)),"")</f>
        <v/>
      </c>
      <c r="AD259" s="1" t="str">
        <f>IF($X259&lt;&gt;"",INDEX($P$2:$U$853,MATCH($X259,$W$2:$W$853,0),COLUMNS($X$2:AC259)),"")</f>
        <v/>
      </c>
    </row>
    <row r="260" spans="1:30" x14ac:dyDescent="0.2">
      <c r="A260" s="1">
        <v>1974</v>
      </c>
      <c r="B260" s="2">
        <v>27206</v>
      </c>
      <c r="C260" s="1" t="s">
        <v>522</v>
      </c>
      <c r="D260" s="1" t="s">
        <v>214</v>
      </c>
      <c r="E260" s="1" t="s">
        <v>211</v>
      </c>
      <c r="F260" s="1" t="s">
        <v>212</v>
      </c>
      <c r="G260" s="6" t="str">
        <f>VLOOKUP(A260,WorldCups!$A$2:$B$23,2,FALSE)</f>
        <v>Germany</v>
      </c>
      <c r="H260" s="1" t="s">
        <v>45</v>
      </c>
      <c r="I260" s="1">
        <v>4</v>
      </c>
      <c r="J260" s="1">
        <v>0</v>
      </c>
      <c r="K260" s="1" t="s">
        <v>25</v>
      </c>
      <c r="L260" s="1" t="s">
        <v>14</v>
      </c>
      <c r="M260" s="1" t="str">
        <f>IF(ISNUMBER(SEARCH("Group",Table2[[#This Row],[Round]])),"Group stages",Table2[[#This Row],[Round]])</f>
        <v>Group stages</v>
      </c>
      <c r="O260" s="1">
        <f>Table2[[#This Row],[Year]]</f>
        <v>1974</v>
      </c>
      <c r="P260" s="1" t="str">
        <f>INDEX(Table2[[HomeTeam]:[Group_details]],ROWS($N$2:N260),COLUMNS($N$2:N260))</f>
        <v>Netherlands</v>
      </c>
      <c r="Q260" s="1">
        <f>INDEX(Table2[[HomeTeam]:[Group_details]],ROWS($N$2:O260),COLUMNS($N$2:O260))</f>
        <v>4</v>
      </c>
      <c r="R260" s="1">
        <f>INDEX(Table2[[HomeTeam]:[Group_details]],ROWS($N$2:P260),COLUMNS($N$2:P260))</f>
        <v>0</v>
      </c>
      <c r="S260" s="1" t="str">
        <f>INDEX(Table2[[HomeTeam]:[Group_details]],ROWS($N$2:Q260),COLUMNS($N$2:Q260))</f>
        <v>Argentina</v>
      </c>
      <c r="T260" s="1" t="str">
        <f>INDEX(Table2[[HomeTeam]:[Group_details]],ROWS($N$2:R260),COLUMNS($N$2:R260))</f>
        <v xml:space="preserve"> </v>
      </c>
      <c r="U260" s="1" t="str">
        <f>INDEX(Table2[[HomeTeam]:[Group_details]],ROWS($N$2:S260),COLUMNS($N$2:S260))</f>
        <v>Group stages</v>
      </c>
      <c r="V260" s="1" t="b">
        <f t="shared" si="4"/>
        <v>0</v>
      </c>
      <c r="W260" s="1" t="str">
        <f>IF(V260=TRUE,ROWS($V$2:V260),"")</f>
        <v/>
      </c>
      <c r="X260" s="1" t="str">
        <f>IFERROR(SMALL($W$2:$W$853,ROWS($W$2:W260)),"")</f>
        <v/>
      </c>
      <c r="Y260" s="1" t="str">
        <f>IF($X260&lt;&gt;"",INDEX($P$2:$U$853,MATCH($X260,$W$2:$W$853,0),COLUMNS($X$2:X260)),"")</f>
        <v/>
      </c>
      <c r="Z260" s="1" t="str">
        <f>IF($X260&lt;&gt;"",INDEX($P$2:$U$853,MATCH($X260,$W$2:$W$853,0),COLUMNS($X$2:Y260)),"")</f>
        <v/>
      </c>
      <c r="AA260" s="1" t="str">
        <f>IF($X260&lt;&gt;"",INDEX($P$2:$U$853,MATCH($X260,$W$2:$W$853,0),COLUMNS($X$2:Z260)),"")</f>
        <v/>
      </c>
      <c r="AB260" s="1" t="str">
        <f>IF($X260&lt;&gt;"",INDEX($P$2:$U$853,MATCH($X260,$W$2:$W$853,0),COLUMNS($X$2:AA260)),"")</f>
        <v/>
      </c>
      <c r="AC260" s="1" t="str">
        <f>IF($X260&lt;&gt;"",INDEX($P$2:$U$853,MATCH($X260,$W$2:$W$853,0),COLUMNS($X$2:AB260)),"")</f>
        <v/>
      </c>
      <c r="AD260" s="1" t="str">
        <f>IF($X260&lt;&gt;"",INDEX($P$2:$U$853,MATCH($X260,$W$2:$W$853,0),COLUMNS($X$2:AC260)),"")</f>
        <v/>
      </c>
    </row>
    <row r="261" spans="1:30" x14ac:dyDescent="0.2">
      <c r="A261" s="1">
        <v>1974</v>
      </c>
      <c r="B261" s="2">
        <v>27206</v>
      </c>
      <c r="C261" s="1" t="s">
        <v>522</v>
      </c>
      <c r="D261" s="1" t="s">
        <v>213</v>
      </c>
      <c r="E261" s="1" t="s">
        <v>209</v>
      </c>
      <c r="F261" s="1" t="s">
        <v>210</v>
      </c>
      <c r="G261" s="6" t="str">
        <f>VLOOKUP(A261,WorldCups!$A$2:$B$23,2,FALSE)</f>
        <v>Germany</v>
      </c>
      <c r="H261" s="1" t="s">
        <v>48</v>
      </c>
      <c r="I261" s="1">
        <v>0</v>
      </c>
      <c r="J261" s="1">
        <v>1</v>
      </c>
      <c r="K261" s="1" t="s">
        <v>80</v>
      </c>
      <c r="L261" s="1" t="s">
        <v>14</v>
      </c>
      <c r="M261" s="1" t="str">
        <f>IF(ISNUMBER(SEARCH("Group",Table2[[#This Row],[Round]])),"Group stages",Table2[[#This Row],[Round]])</f>
        <v>Group stages</v>
      </c>
      <c r="O261" s="1">
        <f>Table2[[#This Row],[Year]]</f>
        <v>1974</v>
      </c>
      <c r="P261" s="1" t="str">
        <f>INDEX(Table2[[HomeTeam]:[Group_details]],ROWS($N$2:N261),COLUMNS($N$2:N261))</f>
        <v>Sweden</v>
      </c>
      <c r="Q261" s="1">
        <f>INDEX(Table2[[HomeTeam]:[Group_details]],ROWS($N$2:O261),COLUMNS($N$2:O261))</f>
        <v>0</v>
      </c>
      <c r="R261" s="1">
        <f>INDEX(Table2[[HomeTeam]:[Group_details]],ROWS($N$2:P261),COLUMNS($N$2:P261))</f>
        <v>1</v>
      </c>
      <c r="S261" s="1" t="str">
        <f>INDEX(Table2[[HomeTeam]:[Group_details]],ROWS($N$2:Q261),COLUMNS($N$2:Q261))</f>
        <v>Poland</v>
      </c>
      <c r="T261" s="1" t="str">
        <f>INDEX(Table2[[HomeTeam]:[Group_details]],ROWS($N$2:R261),COLUMNS($N$2:R261))</f>
        <v xml:space="preserve"> </v>
      </c>
      <c r="U261" s="1" t="str">
        <f>INDEX(Table2[[HomeTeam]:[Group_details]],ROWS($N$2:S261),COLUMNS($N$2:S261))</f>
        <v>Group stages</v>
      </c>
      <c r="V261" s="1" t="b">
        <f t="shared" si="4"/>
        <v>0</v>
      </c>
      <c r="W261" s="1" t="str">
        <f>IF(V261=TRUE,ROWS($V$2:V261),"")</f>
        <v/>
      </c>
      <c r="X261" s="1" t="str">
        <f>IFERROR(SMALL($W$2:$W$853,ROWS($W$2:W261)),"")</f>
        <v/>
      </c>
      <c r="Y261" s="1" t="str">
        <f>IF($X261&lt;&gt;"",INDEX($P$2:$U$853,MATCH($X261,$W$2:$W$853,0),COLUMNS($X$2:X261)),"")</f>
        <v/>
      </c>
      <c r="Z261" s="1" t="str">
        <f>IF($X261&lt;&gt;"",INDEX($P$2:$U$853,MATCH($X261,$W$2:$W$853,0),COLUMNS($X$2:Y261)),"")</f>
        <v/>
      </c>
      <c r="AA261" s="1" t="str">
        <f>IF($X261&lt;&gt;"",INDEX($P$2:$U$853,MATCH($X261,$W$2:$W$853,0),COLUMNS($X$2:Z261)),"")</f>
        <v/>
      </c>
      <c r="AB261" s="1" t="str">
        <f>IF($X261&lt;&gt;"",INDEX($P$2:$U$853,MATCH($X261,$W$2:$W$853,0),COLUMNS($X$2:AA261)),"")</f>
        <v/>
      </c>
      <c r="AC261" s="1" t="str">
        <f>IF($X261&lt;&gt;"",INDEX($P$2:$U$853,MATCH($X261,$W$2:$W$853,0),COLUMNS($X$2:AB261)),"")</f>
        <v/>
      </c>
      <c r="AD261" s="1" t="str">
        <f>IF($X261&lt;&gt;"",INDEX($P$2:$U$853,MATCH($X261,$W$2:$W$853,0),COLUMNS($X$2:AC261)),"")</f>
        <v/>
      </c>
    </row>
    <row r="262" spans="1:30" x14ac:dyDescent="0.2">
      <c r="A262" s="1">
        <v>1974</v>
      </c>
      <c r="B262" s="2">
        <v>27210</v>
      </c>
      <c r="C262" s="1" t="s">
        <v>503</v>
      </c>
      <c r="D262" s="1" t="s">
        <v>214</v>
      </c>
      <c r="E262" s="1" t="s">
        <v>203</v>
      </c>
      <c r="F262" s="1" t="s">
        <v>204</v>
      </c>
      <c r="G262" s="6" t="str">
        <f>VLOOKUP(A262,WorldCups!$A$2:$B$23,2,FALSE)</f>
        <v>Germany</v>
      </c>
      <c r="H262" s="1" t="s">
        <v>25</v>
      </c>
      <c r="I262" s="1">
        <v>1</v>
      </c>
      <c r="J262" s="1">
        <v>2</v>
      </c>
      <c r="K262" s="1" t="s">
        <v>21</v>
      </c>
      <c r="L262" s="1" t="s">
        <v>14</v>
      </c>
      <c r="M262" s="1" t="str">
        <f>IF(ISNUMBER(SEARCH("Group",Table2[[#This Row],[Round]])),"Group stages",Table2[[#This Row],[Round]])</f>
        <v>Group stages</v>
      </c>
      <c r="O262" s="1">
        <f>Table2[[#This Row],[Year]]</f>
        <v>1974</v>
      </c>
      <c r="P262" s="1" t="str">
        <f>INDEX(Table2[[HomeTeam]:[Group_details]],ROWS($N$2:N262),COLUMNS($N$2:N262))</f>
        <v>Argentina</v>
      </c>
      <c r="Q262" s="1">
        <f>INDEX(Table2[[HomeTeam]:[Group_details]],ROWS($N$2:O262),COLUMNS($N$2:O262))</f>
        <v>1</v>
      </c>
      <c r="R262" s="1">
        <f>INDEX(Table2[[HomeTeam]:[Group_details]],ROWS($N$2:P262),COLUMNS($N$2:P262))</f>
        <v>2</v>
      </c>
      <c r="S262" s="1" t="str">
        <f>INDEX(Table2[[HomeTeam]:[Group_details]],ROWS($N$2:Q262),COLUMNS($N$2:Q262))</f>
        <v>Brazil</v>
      </c>
      <c r="T262" s="1" t="str">
        <f>INDEX(Table2[[HomeTeam]:[Group_details]],ROWS($N$2:R262),COLUMNS($N$2:R262))</f>
        <v xml:space="preserve"> </v>
      </c>
      <c r="U262" s="1" t="str">
        <f>INDEX(Table2[[HomeTeam]:[Group_details]],ROWS($N$2:S262),COLUMNS($N$2:S262))</f>
        <v>Group stages</v>
      </c>
      <c r="V262" s="1" t="b">
        <f t="shared" si="4"/>
        <v>0</v>
      </c>
      <c r="W262" s="1" t="str">
        <f>IF(V262=TRUE,ROWS($V$2:V262),"")</f>
        <v/>
      </c>
      <c r="X262" s="1" t="str">
        <f>IFERROR(SMALL($W$2:$W$853,ROWS($W$2:W262)),"")</f>
        <v/>
      </c>
      <c r="Y262" s="1" t="str">
        <f>IF($X262&lt;&gt;"",INDEX($P$2:$U$853,MATCH($X262,$W$2:$W$853,0),COLUMNS($X$2:X262)),"")</f>
        <v/>
      </c>
      <c r="Z262" s="1" t="str">
        <f>IF($X262&lt;&gt;"",INDEX($P$2:$U$853,MATCH($X262,$W$2:$W$853,0),COLUMNS($X$2:Y262)),"")</f>
        <v/>
      </c>
      <c r="AA262" s="1" t="str">
        <f>IF($X262&lt;&gt;"",INDEX($P$2:$U$853,MATCH($X262,$W$2:$W$853,0),COLUMNS($X$2:Z262)),"")</f>
        <v/>
      </c>
      <c r="AB262" s="1" t="str">
        <f>IF($X262&lt;&gt;"",INDEX($P$2:$U$853,MATCH($X262,$W$2:$W$853,0),COLUMNS($X$2:AA262)),"")</f>
        <v/>
      </c>
      <c r="AC262" s="1" t="str">
        <f>IF($X262&lt;&gt;"",INDEX($P$2:$U$853,MATCH($X262,$W$2:$W$853,0),COLUMNS($X$2:AB262)),"")</f>
        <v/>
      </c>
      <c r="AD262" s="1" t="str">
        <f>IF($X262&lt;&gt;"",INDEX($P$2:$U$853,MATCH($X262,$W$2:$W$853,0),COLUMNS($X$2:AC262)),"")</f>
        <v/>
      </c>
    </row>
    <row r="263" spans="1:30" x14ac:dyDescent="0.2">
      <c r="A263" s="1">
        <v>1974</v>
      </c>
      <c r="B263" s="2">
        <v>27210</v>
      </c>
      <c r="C263" s="1" t="s">
        <v>503</v>
      </c>
      <c r="D263" s="1" t="s">
        <v>213</v>
      </c>
      <c r="E263" s="1" t="s">
        <v>192</v>
      </c>
      <c r="F263" s="1" t="s">
        <v>193</v>
      </c>
      <c r="G263" s="6" t="str">
        <f>VLOOKUP(A263,WorldCups!$A$2:$B$23,2,FALSE)</f>
        <v>Germany</v>
      </c>
      <c r="H263" s="1" t="s">
        <v>80</v>
      </c>
      <c r="I263" s="1">
        <v>2</v>
      </c>
      <c r="J263" s="1">
        <v>1</v>
      </c>
      <c r="K263" s="1" t="s">
        <v>20</v>
      </c>
      <c r="L263" s="1" t="s">
        <v>14</v>
      </c>
      <c r="M263" s="1" t="str">
        <f>IF(ISNUMBER(SEARCH("Group",Table2[[#This Row],[Round]])),"Group stages",Table2[[#This Row],[Round]])</f>
        <v>Group stages</v>
      </c>
      <c r="O263" s="1">
        <f>Table2[[#This Row],[Year]]</f>
        <v>1974</v>
      </c>
      <c r="P263" s="1" t="str">
        <f>INDEX(Table2[[HomeTeam]:[Group_details]],ROWS($N$2:N263),COLUMNS($N$2:N263))</f>
        <v>Poland</v>
      </c>
      <c r="Q263" s="1">
        <f>INDEX(Table2[[HomeTeam]:[Group_details]],ROWS($N$2:O263),COLUMNS($N$2:O263))</f>
        <v>2</v>
      </c>
      <c r="R263" s="1">
        <f>INDEX(Table2[[HomeTeam]:[Group_details]],ROWS($N$2:P263),COLUMNS($N$2:P263))</f>
        <v>1</v>
      </c>
      <c r="S263" s="1" t="str">
        <f>INDEX(Table2[[HomeTeam]:[Group_details]],ROWS($N$2:Q263),COLUMNS($N$2:Q263))</f>
        <v>Yugoslavia</v>
      </c>
      <c r="T263" s="1" t="str">
        <f>INDEX(Table2[[HomeTeam]:[Group_details]],ROWS($N$2:R263),COLUMNS($N$2:R263))</f>
        <v xml:space="preserve"> </v>
      </c>
      <c r="U263" s="1" t="str">
        <f>INDEX(Table2[[HomeTeam]:[Group_details]],ROWS($N$2:S263),COLUMNS($N$2:S263))</f>
        <v>Group stages</v>
      </c>
      <c r="V263" s="1" t="b">
        <f t="shared" si="4"/>
        <v>0</v>
      </c>
      <c r="W263" s="1" t="str">
        <f>IF(V263=TRUE,ROWS($V$2:V263),"")</f>
        <v/>
      </c>
      <c r="X263" s="1" t="str">
        <f>IFERROR(SMALL($W$2:$W$853,ROWS($W$2:W263)),"")</f>
        <v/>
      </c>
      <c r="Y263" s="1" t="str">
        <f>IF($X263&lt;&gt;"",INDEX($P$2:$U$853,MATCH($X263,$W$2:$W$853,0),COLUMNS($X$2:X263)),"")</f>
        <v/>
      </c>
      <c r="Z263" s="1" t="str">
        <f>IF($X263&lt;&gt;"",INDEX($P$2:$U$853,MATCH($X263,$W$2:$W$853,0),COLUMNS($X$2:Y263)),"")</f>
        <v/>
      </c>
      <c r="AA263" s="1" t="str">
        <f>IF($X263&lt;&gt;"",INDEX($P$2:$U$853,MATCH($X263,$W$2:$W$853,0),COLUMNS($X$2:Z263)),"")</f>
        <v/>
      </c>
      <c r="AB263" s="1" t="str">
        <f>IF($X263&lt;&gt;"",INDEX($P$2:$U$853,MATCH($X263,$W$2:$W$853,0),COLUMNS($X$2:AA263)),"")</f>
        <v/>
      </c>
      <c r="AC263" s="1" t="str">
        <f>IF($X263&lt;&gt;"",INDEX($P$2:$U$853,MATCH($X263,$W$2:$W$853,0),COLUMNS($X$2:AB263)),"")</f>
        <v/>
      </c>
      <c r="AD263" s="1" t="str">
        <f>IF($X263&lt;&gt;"",INDEX($P$2:$U$853,MATCH($X263,$W$2:$W$853,0),COLUMNS($X$2:AC263)),"")</f>
        <v/>
      </c>
    </row>
    <row r="264" spans="1:30" x14ac:dyDescent="0.2">
      <c r="A264" s="1">
        <v>1974</v>
      </c>
      <c r="B264" s="2">
        <v>27210</v>
      </c>
      <c r="C264" s="1" t="s">
        <v>503</v>
      </c>
      <c r="D264" s="1" t="s">
        <v>214</v>
      </c>
      <c r="E264" s="1" t="s">
        <v>211</v>
      </c>
      <c r="F264" s="1" t="s">
        <v>212</v>
      </c>
      <c r="G264" s="6" t="str">
        <f>VLOOKUP(A264,WorldCups!$A$2:$B$23,2,FALSE)</f>
        <v>Germany</v>
      </c>
      <c r="H264" s="1" t="s">
        <v>198</v>
      </c>
      <c r="I264" s="1">
        <v>0</v>
      </c>
      <c r="J264" s="1">
        <v>2</v>
      </c>
      <c r="K264" s="1" t="s">
        <v>45</v>
      </c>
      <c r="L264" s="1" t="s">
        <v>14</v>
      </c>
      <c r="M264" s="1" t="str">
        <f>IF(ISNUMBER(SEARCH("Group",Table2[[#This Row],[Round]])),"Group stages",Table2[[#This Row],[Round]])</f>
        <v>Group stages</v>
      </c>
      <c r="O264" s="1">
        <f>Table2[[#This Row],[Year]]</f>
        <v>1974</v>
      </c>
      <c r="P264" s="1" t="str">
        <f>INDEX(Table2[[HomeTeam]:[Group_details]],ROWS($N$2:N264),COLUMNS($N$2:N264))</f>
        <v>German DR</v>
      </c>
      <c r="Q264" s="1">
        <f>INDEX(Table2[[HomeTeam]:[Group_details]],ROWS($N$2:O264),COLUMNS($N$2:O264))</f>
        <v>0</v>
      </c>
      <c r="R264" s="1">
        <f>INDEX(Table2[[HomeTeam]:[Group_details]],ROWS($N$2:P264),COLUMNS($N$2:P264))</f>
        <v>2</v>
      </c>
      <c r="S264" s="1" t="str">
        <f>INDEX(Table2[[HomeTeam]:[Group_details]],ROWS($N$2:Q264),COLUMNS($N$2:Q264))</f>
        <v>Netherlands</v>
      </c>
      <c r="T264" s="1" t="str">
        <f>INDEX(Table2[[HomeTeam]:[Group_details]],ROWS($N$2:R264),COLUMNS($N$2:R264))</f>
        <v xml:space="preserve"> </v>
      </c>
      <c r="U264" s="1" t="str">
        <f>INDEX(Table2[[HomeTeam]:[Group_details]],ROWS($N$2:S264),COLUMNS($N$2:S264))</f>
        <v>Group stages</v>
      </c>
      <c r="V264" s="1" t="b">
        <f t="shared" si="4"/>
        <v>0</v>
      </c>
      <c r="W264" s="1" t="str">
        <f>IF(V264=TRUE,ROWS($V$2:V264),"")</f>
        <v/>
      </c>
      <c r="X264" s="1" t="str">
        <f>IFERROR(SMALL($W$2:$W$853,ROWS($W$2:W264)),"")</f>
        <v/>
      </c>
      <c r="Y264" s="1" t="str">
        <f>IF($X264&lt;&gt;"",INDEX($P$2:$U$853,MATCH($X264,$W$2:$W$853,0),COLUMNS($X$2:X264)),"")</f>
        <v/>
      </c>
      <c r="Z264" s="1" t="str">
        <f>IF($X264&lt;&gt;"",INDEX($P$2:$U$853,MATCH($X264,$W$2:$W$853,0),COLUMNS($X$2:Y264)),"")</f>
        <v/>
      </c>
      <c r="AA264" s="1" t="str">
        <f>IF($X264&lt;&gt;"",INDEX($P$2:$U$853,MATCH($X264,$W$2:$W$853,0),COLUMNS($X$2:Z264)),"")</f>
        <v/>
      </c>
      <c r="AB264" s="1" t="str">
        <f>IF($X264&lt;&gt;"",INDEX($P$2:$U$853,MATCH($X264,$W$2:$W$853,0),COLUMNS($X$2:AA264)),"")</f>
        <v/>
      </c>
      <c r="AC264" s="1" t="str">
        <f>IF($X264&lt;&gt;"",INDEX($P$2:$U$853,MATCH($X264,$W$2:$W$853,0),COLUMNS($X$2:AB264)),"")</f>
        <v/>
      </c>
      <c r="AD264" s="1" t="str">
        <f>IF($X264&lt;&gt;"",INDEX($P$2:$U$853,MATCH($X264,$W$2:$W$853,0),COLUMNS($X$2:AC264)),"")</f>
        <v/>
      </c>
    </row>
    <row r="265" spans="1:30" x14ac:dyDescent="0.2">
      <c r="A265" s="1">
        <v>1974</v>
      </c>
      <c r="B265" s="2">
        <v>27210</v>
      </c>
      <c r="C265" s="1" t="s">
        <v>522</v>
      </c>
      <c r="D265" s="1" t="s">
        <v>213</v>
      </c>
      <c r="E265" s="1" t="s">
        <v>205</v>
      </c>
      <c r="F265" s="1" t="s">
        <v>206</v>
      </c>
      <c r="G265" s="6" t="str">
        <f>VLOOKUP(A265,WorldCups!$A$2:$B$23,2,FALSE)</f>
        <v>Germany</v>
      </c>
      <c r="H265" s="1" t="s">
        <v>114</v>
      </c>
      <c r="I265" s="1">
        <v>4</v>
      </c>
      <c r="J265" s="1">
        <v>2</v>
      </c>
      <c r="K265" s="1" t="s">
        <v>48</v>
      </c>
      <c r="L265" s="1" t="s">
        <v>14</v>
      </c>
      <c r="M265" s="1" t="str">
        <f>IF(ISNUMBER(SEARCH("Group",Table2[[#This Row],[Round]])),"Group stages",Table2[[#This Row],[Round]])</f>
        <v>Group stages</v>
      </c>
      <c r="O265" s="1">
        <f>Table2[[#This Row],[Year]]</f>
        <v>1974</v>
      </c>
      <c r="P265" s="1" t="str">
        <f>INDEX(Table2[[HomeTeam]:[Group_details]],ROWS($N$2:N265),COLUMNS($N$2:N265))</f>
        <v>Germany FR</v>
      </c>
      <c r="Q265" s="1">
        <f>INDEX(Table2[[HomeTeam]:[Group_details]],ROWS($N$2:O265),COLUMNS($N$2:O265))</f>
        <v>4</v>
      </c>
      <c r="R265" s="1">
        <f>INDEX(Table2[[HomeTeam]:[Group_details]],ROWS($N$2:P265),COLUMNS($N$2:P265))</f>
        <v>2</v>
      </c>
      <c r="S265" s="1" t="str">
        <f>INDEX(Table2[[HomeTeam]:[Group_details]],ROWS($N$2:Q265),COLUMNS($N$2:Q265))</f>
        <v>Sweden</v>
      </c>
      <c r="T265" s="1" t="str">
        <f>INDEX(Table2[[HomeTeam]:[Group_details]],ROWS($N$2:R265),COLUMNS($N$2:R265))</f>
        <v xml:space="preserve"> </v>
      </c>
      <c r="U265" s="1" t="str">
        <f>INDEX(Table2[[HomeTeam]:[Group_details]],ROWS($N$2:S265),COLUMNS($N$2:S265))</f>
        <v>Group stages</v>
      </c>
      <c r="V265" s="1" t="b">
        <f t="shared" si="4"/>
        <v>0</v>
      </c>
      <c r="W265" s="1" t="str">
        <f>IF(V265=TRUE,ROWS($V$2:V265),"")</f>
        <v/>
      </c>
      <c r="X265" s="1" t="str">
        <f>IFERROR(SMALL($W$2:$W$853,ROWS($W$2:W265)),"")</f>
        <v/>
      </c>
      <c r="Y265" s="1" t="str">
        <f>IF($X265&lt;&gt;"",INDEX($P$2:$U$853,MATCH($X265,$W$2:$W$853,0),COLUMNS($X$2:X265)),"")</f>
        <v/>
      </c>
      <c r="Z265" s="1" t="str">
        <f>IF($X265&lt;&gt;"",INDEX($P$2:$U$853,MATCH($X265,$W$2:$W$853,0),COLUMNS($X$2:Y265)),"")</f>
        <v/>
      </c>
      <c r="AA265" s="1" t="str">
        <f>IF($X265&lt;&gt;"",INDEX($P$2:$U$853,MATCH($X265,$W$2:$W$853,0),COLUMNS($X$2:Z265)),"")</f>
        <v/>
      </c>
      <c r="AB265" s="1" t="str">
        <f>IF($X265&lt;&gt;"",INDEX($P$2:$U$853,MATCH($X265,$W$2:$W$853,0),COLUMNS($X$2:AA265)),"")</f>
        <v/>
      </c>
      <c r="AC265" s="1" t="str">
        <f>IF($X265&lt;&gt;"",INDEX($P$2:$U$853,MATCH($X265,$W$2:$W$853,0),COLUMNS($X$2:AB265)),"")</f>
        <v/>
      </c>
      <c r="AD265" s="1" t="str">
        <f>IF($X265&lt;&gt;"",INDEX($P$2:$U$853,MATCH($X265,$W$2:$W$853,0),COLUMNS($X$2:AC265)),"")</f>
        <v/>
      </c>
    </row>
    <row r="266" spans="1:30" x14ac:dyDescent="0.2">
      <c r="A266" s="1">
        <v>1974</v>
      </c>
      <c r="B266" s="2">
        <v>27213</v>
      </c>
      <c r="C266" s="1" t="s">
        <v>512</v>
      </c>
      <c r="D266" s="1" t="s">
        <v>213</v>
      </c>
      <c r="E266" s="1" t="s">
        <v>192</v>
      </c>
      <c r="F266" s="1" t="s">
        <v>193</v>
      </c>
      <c r="G266" s="6" t="str">
        <f>VLOOKUP(A266,WorldCups!$A$2:$B$23,2,FALSE)</f>
        <v>Germany</v>
      </c>
      <c r="H266" s="1" t="s">
        <v>80</v>
      </c>
      <c r="I266" s="1">
        <v>0</v>
      </c>
      <c r="J266" s="1">
        <v>1</v>
      </c>
      <c r="K266" s="1" t="s">
        <v>114</v>
      </c>
      <c r="L266" s="1" t="s">
        <v>14</v>
      </c>
      <c r="M266" s="1" t="str">
        <f>IF(ISNUMBER(SEARCH("Group",Table2[[#This Row],[Round]])),"Group stages",Table2[[#This Row],[Round]])</f>
        <v>Group stages</v>
      </c>
      <c r="O266" s="1">
        <f>Table2[[#This Row],[Year]]</f>
        <v>1974</v>
      </c>
      <c r="P266" s="1" t="str">
        <f>INDEX(Table2[[HomeTeam]:[Group_details]],ROWS($N$2:N266),COLUMNS($N$2:N266))</f>
        <v>Poland</v>
      </c>
      <c r="Q266" s="1">
        <f>INDEX(Table2[[HomeTeam]:[Group_details]],ROWS($N$2:O266),COLUMNS($N$2:O266))</f>
        <v>0</v>
      </c>
      <c r="R266" s="1">
        <f>INDEX(Table2[[HomeTeam]:[Group_details]],ROWS($N$2:P266),COLUMNS($N$2:P266))</f>
        <v>1</v>
      </c>
      <c r="S266" s="1" t="str">
        <f>INDEX(Table2[[HomeTeam]:[Group_details]],ROWS($N$2:Q266),COLUMNS($N$2:Q266))</f>
        <v>Germany FR</v>
      </c>
      <c r="T266" s="1" t="str">
        <f>INDEX(Table2[[HomeTeam]:[Group_details]],ROWS($N$2:R266),COLUMNS($N$2:R266))</f>
        <v xml:space="preserve"> </v>
      </c>
      <c r="U266" s="1" t="str">
        <f>INDEX(Table2[[HomeTeam]:[Group_details]],ROWS($N$2:S266),COLUMNS($N$2:S266))</f>
        <v>Group stages</v>
      </c>
      <c r="V266" s="1" t="b">
        <f t="shared" si="4"/>
        <v>0</v>
      </c>
      <c r="W266" s="1" t="str">
        <f>IF(V266=TRUE,ROWS($V$2:V266),"")</f>
        <v/>
      </c>
      <c r="X266" s="1" t="str">
        <f>IFERROR(SMALL($W$2:$W$853,ROWS($W$2:W266)),"")</f>
        <v/>
      </c>
      <c r="Y266" s="1" t="str">
        <f>IF($X266&lt;&gt;"",INDEX($P$2:$U$853,MATCH($X266,$W$2:$W$853,0),COLUMNS($X$2:X266)),"")</f>
        <v/>
      </c>
      <c r="Z266" s="1" t="str">
        <f>IF($X266&lt;&gt;"",INDEX($P$2:$U$853,MATCH($X266,$W$2:$W$853,0),COLUMNS($X$2:Y266)),"")</f>
        <v/>
      </c>
      <c r="AA266" s="1" t="str">
        <f>IF($X266&lt;&gt;"",INDEX($P$2:$U$853,MATCH($X266,$W$2:$W$853,0),COLUMNS($X$2:Z266)),"")</f>
        <v/>
      </c>
      <c r="AB266" s="1" t="str">
        <f>IF($X266&lt;&gt;"",INDEX($P$2:$U$853,MATCH($X266,$W$2:$W$853,0),COLUMNS($X$2:AA266)),"")</f>
        <v/>
      </c>
      <c r="AC266" s="1" t="str">
        <f>IF($X266&lt;&gt;"",INDEX($P$2:$U$853,MATCH($X266,$W$2:$W$853,0),COLUMNS($X$2:AB266)),"")</f>
        <v/>
      </c>
      <c r="AD266" s="1" t="str">
        <f>IF($X266&lt;&gt;"",INDEX($P$2:$U$853,MATCH($X266,$W$2:$W$853,0),COLUMNS($X$2:AC266)),"")</f>
        <v/>
      </c>
    </row>
    <row r="267" spans="1:30" x14ac:dyDescent="0.2">
      <c r="A267" s="1">
        <v>1974</v>
      </c>
      <c r="B267" s="2">
        <v>27213</v>
      </c>
      <c r="C267" s="1" t="s">
        <v>522</v>
      </c>
      <c r="D267" s="1" t="s">
        <v>214</v>
      </c>
      <c r="E267" s="1" t="s">
        <v>200</v>
      </c>
      <c r="F267" s="1" t="s">
        <v>201</v>
      </c>
      <c r="G267" s="6" t="str">
        <f>VLOOKUP(A267,WorldCups!$A$2:$B$23,2,FALSE)</f>
        <v>Germany</v>
      </c>
      <c r="H267" s="1" t="s">
        <v>45</v>
      </c>
      <c r="I267" s="1">
        <v>2</v>
      </c>
      <c r="J267" s="1">
        <v>0</v>
      </c>
      <c r="K267" s="1" t="s">
        <v>21</v>
      </c>
      <c r="L267" s="1" t="s">
        <v>14</v>
      </c>
      <c r="M267" s="1" t="str">
        <f>IF(ISNUMBER(SEARCH("Group",Table2[[#This Row],[Round]])),"Group stages",Table2[[#This Row],[Round]])</f>
        <v>Group stages</v>
      </c>
      <c r="O267" s="1">
        <f>Table2[[#This Row],[Year]]</f>
        <v>1974</v>
      </c>
      <c r="P267" s="1" t="str">
        <f>INDEX(Table2[[HomeTeam]:[Group_details]],ROWS($N$2:N267),COLUMNS($N$2:N267))</f>
        <v>Netherlands</v>
      </c>
      <c r="Q267" s="1">
        <f>INDEX(Table2[[HomeTeam]:[Group_details]],ROWS($N$2:O267),COLUMNS($N$2:O267))</f>
        <v>2</v>
      </c>
      <c r="R267" s="1">
        <f>INDEX(Table2[[HomeTeam]:[Group_details]],ROWS($N$2:P267),COLUMNS($N$2:P267))</f>
        <v>0</v>
      </c>
      <c r="S267" s="1" t="str">
        <f>INDEX(Table2[[HomeTeam]:[Group_details]],ROWS($N$2:Q267),COLUMNS($N$2:Q267))</f>
        <v>Brazil</v>
      </c>
      <c r="T267" s="1" t="str">
        <f>INDEX(Table2[[HomeTeam]:[Group_details]],ROWS($N$2:R267),COLUMNS($N$2:R267))</f>
        <v xml:space="preserve"> </v>
      </c>
      <c r="U267" s="1" t="str">
        <f>INDEX(Table2[[HomeTeam]:[Group_details]],ROWS($N$2:S267),COLUMNS($N$2:S267))</f>
        <v>Group stages</v>
      </c>
      <c r="V267" s="1" t="b">
        <f t="shared" si="4"/>
        <v>0</v>
      </c>
      <c r="W267" s="1" t="str">
        <f>IF(V267=TRUE,ROWS($V$2:V267),"")</f>
        <v/>
      </c>
      <c r="X267" s="1" t="str">
        <f>IFERROR(SMALL($W$2:$W$853,ROWS($W$2:W267)),"")</f>
        <v/>
      </c>
      <c r="Y267" s="1" t="str">
        <f>IF($X267&lt;&gt;"",INDEX($P$2:$U$853,MATCH($X267,$W$2:$W$853,0),COLUMNS($X$2:X267)),"")</f>
        <v/>
      </c>
      <c r="Z267" s="1" t="str">
        <f>IF($X267&lt;&gt;"",INDEX($P$2:$U$853,MATCH($X267,$W$2:$W$853,0),COLUMNS($X$2:Y267)),"")</f>
        <v/>
      </c>
      <c r="AA267" s="1" t="str">
        <f>IF($X267&lt;&gt;"",INDEX($P$2:$U$853,MATCH($X267,$W$2:$W$853,0),COLUMNS($X$2:Z267)),"")</f>
        <v/>
      </c>
      <c r="AB267" s="1" t="str">
        <f>IF($X267&lt;&gt;"",INDEX($P$2:$U$853,MATCH($X267,$W$2:$W$853,0),COLUMNS($X$2:AA267)),"")</f>
        <v/>
      </c>
      <c r="AC267" s="1" t="str">
        <f>IF($X267&lt;&gt;"",INDEX($P$2:$U$853,MATCH($X267,$W$2:$W$853,0),COLUMNS($X$2:AB267)),"")</f>
        <v/>
      </c>
      <c r="AD267" s="1" t="str">
        <f>IF($X267&lt;&gt;"",INDEX($P$2:$U$853,MATCH($X267,$W$2:$W$853,0),COLUMNS($X$2:AC267)),"")</f>
        <v/>
      </c>
    </row>
    <row r="268" spans="1:30" x14ac:dyDescent="0.2">
      <c r="A268" s="1">
        <v>1974</v>
      </c>
      <c r="B268" s="2">
        <v>27213</v>
      </c>
      <c r="C268" s="1" t="s">
        <v>522</v>
      </c>
      <c r="D268" s="1" t="s">
        <v>214</v>
      </c>
      <c r="E268" s="1" t="s">
        <v>211</v>
      </c>
      <c r="F268" s="1" t="s">
        <v>212</v>
      </c>
      <c r="G268" s="6" t="str">
        <f>VLOOKUP(A268,WorldCups!$A$2:$B$23,2,FALSE)</f>
        <v>Germany</v>
      </c>
      <c r="H268" s="1" t="s">
        <v>25</v>
      </c>
      <c r="I268" s="1">
        <v>1</v>
      </c>
      <c r="J268" s="1">
        <v>1</v>
      </c>
      <c r="K268" s="1" t="s">
        <v>198</v>
      </c>
      <c r="L268" s="1" t="s">
        <v>14</v>
      </c>
      <c r="M268" s="1" t="str">
        <f>IF(ISNUMBER(SEARCH("Group",Table2[[#This Row],[Round]])),"Group stages",Table2[[#This Row],[Round]])</f>
        <v>Group stages</v>
      </c>
      <c r="O268" s="1">
        <f>Table2[[#This Row],[Year]]</f>
        <v>1974</v>
      </c>
      <c r="P268" s="1" t="str">
        <f>INDEX(Table2[[HomeTeam]:[Group_details]],ROWS($N$2:N268),COLUMNS($N$2:N268))</f>
        <v>Argentina</v>
      </c>
      <c r="Q268" s="1">
        <f>INDEX(Table2[[HomeTeam]:[Group_details]],ROWS($N$2:O268),COLUMNS($N$2:O268))</f>
        <v>1</v>
      </c>
      <c r="R268" s="1">
        <f>INDEX(Table2[[HomeTeam]:[Group_details]],ROWS($N$2:P268),COLUMNS($N$2:P268))</f>
        <v>1</v>
      </c>
      <c r="S268" s="1" t="str">
        <f>INDEX(Table2[[HomeTeam]:[Group_details]],ROWS($N$2:Q268),COLUMNS($N$2:Q268))</f>
        <v>German DR</v>
      </c>
      <c r="T268" s="1" t="str">
        <f>INDEX(Table2[[HomeTeam]:[Group_details]],ROWS($N$2:R268),COLUMNS($N$2:R268))</f>
        <v xml:space="preserve"> </v>
      </c>
      <c r="U268" s="1" t="str">
        <f>INDEX(Table2[[HomeTeam]:[Group_details]],ROWS($N$2:S268),COLUMNS($N$2:S268))</f>
        <v>Group stages</v>
      </c>
      <c r="V268" s="1" t="b">
        <f t="shared" si="4"/>
        <v>0</v>
      </c>
      <c r="W268" s="1" t="str">
        <f>IF(V268=TRUE,ROWS($V$2:V268),"")</f>
        <v/>
      </c>
      <c r="X268" s="1" t="str">
        <f>IFERROR(SMALL($W$2:$W$853,ROWS($W$2:W268)),"")</f>
        <v/>
      </c>
      <c r="Y268" s="1" t="str">
        <f>IF($X268&lt;&gt;"",INDEX($P$2:$U$853,MATCH($X268,$W$2:$W$853,0),COLUMNS($X$2:X268)),"")</f>
        <v/>
      </c>
      <c r="Z268" s="1" t="str">
        <f>IF($X268&lt;&gt;"",INDEX($P$2:$U$853,MATCH($X268,$W$2:$W$853,0),COLUMNS($X$2:Y268)),"")</f>
        <v/>
      </c>
      <c r="AA268" s="1" t="str">
        <f>IF($X268&lt;&gt;"",INDEX($P$2:$U$853,MATCH($X268,$W$2:$W$853,0),COLUMNS($X$2:Z268)),"")</f>
        <v/>
      </c>
      <c r="AB268" s="1" t="str">
        <f>IF($X268&lt;&gt;"",INDEX($P$2:$U$853,MATCH($X268,$W$2:$W$853,0),COLUMNS($X$2:AA268)),"")</f>
        <v/>
      </c>
      <c r="AC268" s="1" t="str">
        <f>IF($X268&lt;&gt;"",INDEX($P$2:$U$853,MATCH($X268,$W$2:$W$853,0),COLUMNS($X$2:AB268)),"")</f>
        <v/>
      </c>
      <c r="AD268" s="1" t="str">
        <f>IF($X268&lt;&gt;"",INDEX($P$2:$U$853,MATCH($X268,$W$2:$W$853,0),COLUMNS($X$2:AC268)),"")</f>
        <v/>
      </c>
    </row>
    <row r="269" spans="1:30" x14ac:dyDescent="0.2">
      <c r="A269" s="1">
        <v>1974</v>
      </c>
      <c r="B269" s="2">
        <v>27213</v>
      </c>
      <c r="C269" s="1" t="s">
        <v>522</v>
      </c>
      <c r="D269" s="1" t="s">
        <v>213</v>
      </c>
      <c r="E269" s="1" t="s">
        <v>205</v>
      </c>
      <c r="F269" s="1" t="s">
        <v>206</v>
      </c>
      <c r="G269" s="6" t="str">
        <f>VLOOKUP(A269,WorldCups!$A$2:$B$23,2,FALSE)</f>
        <v>Germany</v>
      </c>
      <c r="H269" s="1" t="s">
        <v>48</v>
      </c>
      <c r="I269" s="1">
        <v>2</v>
      </c>
      <c r="J269" s="1">
        <v>1</v>
      </c>
      <c r="K269" s="1" t="s">
        <v>20</v>
      </c>
      <c r="L269" s="1" t="s">
        <v>14</v>
      </c>
      <c r="M269" s="1" t="str">
        <f>IF(ISNUMBER(SEARCH("Group",Table2[[#This Row],[Round]])),"Group stages",Table2[[#This Row],[Round]])</f>
        <v>Group stages</v>
      </c>
      <c r="O269" s="1">
        <f>Table2[[#This Row],[Year]]</f>
        <v>1974</v>
      </c>
      <c r="P269" s="1" t="str">
        <f>INDEX(Table2[[HomeTeam]:[Group_details]],ROWS($N$2:N269),COLUMNS($N$2:N269))</f>
        <v>Sweden</v>
      </c>
      <c r="Q269" s="1">
        <f>INDEX(Table2[[HomeTeam]:[Group_details]],ROWS($N$2:O269),COLUMNS($N$2:O269))</f>
        <v>2</v>
      </c>
      <c r="R269" s="1">
        <f>INDEX(Table2[[HomeTeam]:[Group_details]],ROWS($N$2:P269),COLUMNS($N$2:P269))</f>
        <v>1</v>
      </c>
      <c r="S269" s="1" t="str">
        <f>INDEX(Table2[[HomeTeam]:[Group_details]],ROWS($N$2:Q269),COLUMNS($N$2:Q269))</f>
        <v>Yugoslavia</v>
      </c>
      <c r="T269" s="1" t="str">
        <f>INDEX(Table2[[HomeTeam]:[Group_details]],ROWS($N$2:R269),COLUMNS($N$2:R269))</f>
        <v xml:space="preserve"> </v>
      </c>
      <c r="U269" s="1" t="str">
        <f>INDEX(Table2[[HomeTeam]:[Group_details]],ROWS($N$2:S269),COLUMNS($N$2:S269))</f>
        <v>Group stages</v>
      </c>
      <c r="V269" s="1" t="b">
        <f t="shared" si="4"/>
        <v>0</v>
      </c>
      <c r="W269" s="1" t="str">
        <f>IF(V269=TRUE,ROWS($V$2:V269),"")</f>
        <v/>
      </c>
      <c r="X269" s="1" t="str">
        <f>IFERROR(SMALL($W$2:$W$853,ROWS($W$2:W269)),"")</f>
        <v/>
      </c>
      <c r="Y269" s="1" t="str">
        <f>IF($X269&lt;&gt;"",INDEX($P$2:$U$853,MATCH($X269,$W$2:$W$853,0),COLUMNS($X$2:X269)),"")</f>
        <v/>
      </c>
      <c r="Z269" s="1" t="str">
        <f>IF($X269&lt;&gt;"",INDEX($P$2:$U$853,MATCH($X269,$W$2:$W$853,0),COLUMNS($X$2:Y269)),"")</f>
        <v/>
      </c>
      <c r="AA269" s="1" t="str">
        <f>IF($X269&lt;&gt;"",INDEX($P$2:$U$853,MATCH($X269,$W$2:$W$853,0),COLUMNS($X$2:Z269)),"")</f>
        <v/>
      </c>
      <c r="AB269" s="1" t="str">
        <f>IF($X269&lt;&gt;"",INDEX($P$2:$U$853,MATCH($X269,$W$2:$W$853,0),COLUMNS($X$2:AA269)),"")</f>
        <v/>
      </c>
      <c r="AC269" s="1" t="str">
        <f>IF($X269&lt;&gt;"",INDEX($P$2:$U$853,MATCH($X269,$W$2:$W$853,0),COLUMNS($X$2:AB269)),"")</f>
        <v/>
      </c>
      <c r="AD269" s="1" t="str">
        <f>IF($X269&lt;&gt;"",INDEX($P$2:$U$853,MATCH($X269,$W$2:$W$853,0),COLUMNS($X$2:AC269)),"")</f>
        <v/>
      </c>
    </row>
    <row r="270" spans="1:30" x14ac:dyDescent="0.2">
      <c r="A270" s="1">
        <v>1974</v>
      </c>
      <c r="B270" s="2">
        <v>27216</v>
      </c>
      <c r="C270" s="1" t="s">
        <v>503</v>
      </c>
      <c r="D270" s="1" t="s">
        <v>62</v>
      </c>
      <c r="E270" s="1" t="s">
        <v>194</v>
      </c>
      <c r="F270" s="1" t="s">
        <v>207</v>
      </c>
      <c r="G270" s="6" t="str">
        <f>VLOOKUP(A270,WorldCups!$A$2:$B$23,2,FALSE)</f>
        <v>Germany</v>
      </c>
      <c r="H270" s="1" t="s">
        <v>21</v>
      </c>
      <c r="I270" s="1">
        <v>0</v>
      </c>
      <c r="J270" s="1">
        <v>1</v>
      </c>
      <c r="K270" s="1" t="s">
        <v>80</v>
      </c>
      <c r="L270" s="1" t="s">
        <v>14</v>
      </c>
      <c r="M270" s="1" t="str">
        <f>IF(ISNUMBER(SEARCH("Group",Table2[[#This Row],[Round]])),"Group stages",Table2[[#This Row],[Round]])</f>
        <v>Match for third place</v>
      </c>
      <c r="O270" s="1">
        <f>Table2[[#This Row],[Year]]</f>
        <v>1974</v>
      </c>
      <c r="P270" s="1" t="str">
        <f>INDEX(Table2[[HomeTeam]:[Group_details]],ROWS($N$2:N270),COLUMNS($N$2:N270))</f>
        <v>Brazil</v>
      </c>
      <c r="Q270" s="1">
        <f>INDEX(Table2[[HomeTeam]:[Group_details]],ROWS($N$2:O270),COLUMNS($N$2:O270))</f>
        <v>0</v>
      </c>
      <c r="R270" s="1">
        <f>INDEX(Table2[[HomeTeam]:[Group_details]],ROWS($N$2:P270),COLUMNS($N$2:P270))</f>
        <v>1</v>
      </c>
      <c r="S270" s="1" t="str">
        <f>INDEX(Table2[[HomeTeam]:[Group_details]],ROWS($N$2:Q270),COLUMNS($N$2:Q270))</f>
        <v>Poland</v>
      </c>
      <c r="T270" s="1" t="str">
        <f>INDEX(Table2[[HomeTeam]:[Group_details]],ROWS($N$2:R270),COLUMNS($N$2:R270))</f>
        <v xml:space="preserve"> </v>
      </c>
      <c r="U270" s="1" t="str">
        <f>INDEX(Table2[[HomeTeam]:[Group_details]],ROWS($N$2:S270),COLUMNS($N$2:S270))</f>
        <v>Match for third place</v>
      </c>
      <c r="V270" s="1" t="b">
        <f t="shared" si="4"/>
        <v>0</v>
      </c>
      <c r="W270" s="1" t="str">
        <f>IF(V270=TRUE,ROWS($V$2:V270),"")</f>
        <v/>
      </c>
      <c r="X270" s="1" t="str">
        <f>IFERROR(SMALL($W$2:$W$853,ROWS($W$2:W270)),"")</f>
        <v/>
      </c>
      <c r="Y270" s="1" t="str">
        <f>IF($X270&lt;&gt;"",INDEX($P$2:$U$853,MATCH($X270,$W$2:$W$853,0),COLUMNS($X$2:X270)),"")</f>
        <v/>
      </c>
      <c r="Z270" s="1" t="str">
        <f>IF($X270&lt;&gt;"",INDEX($P$2:$U$853,MATCH($X270,$W$2:$W$853,0),COLUMNS($X$2:Y270)),"")</f>
        <v/>
      </c>
      <c r="AA270" s="1" t="str">
        <f>IF($X270&lt;&gt;"",INDEX($P$2:$U$853,MATCH($X270,$W$2:$W$853,0),COLUMNS($X$2:Z270)),"")</f>
        <v/>
      </c>
      <c r="AB270" s="1" t="str">
        <f>IF($X270&lt;&gt;"",INDEX($P$2:$U$853,MATCH($X270,$W$2:$W$853,0),COLUMNS($X$2:AA270)),"")</f>
        <v/>
      </c>
      <c r="AC270" s="1" t="str">
        <f>IF($X270&lt;&gt;"",INDEX($P$2:$U$853,MATCH($X270,$W$2:$W$853,0),COLUMNS($X$2:AB270)),"")</f>
        <v/>
      </c>
      <c r="AD270" s="1" t="str">
        <f>IF($X270&lt;&gt;"",INDEX($P$2:$U$853,MATCH($X270,$W$2:$W$853,0),COLUMNS($X$2:AC270)),"")</f>
        <v/>
      </c>
    </row>
    <row r="271" spans="1:30" x14ac:dyDescent="0.2">
      <c r="A271" s="1">
        <v>1974</v>
      </c>
      <c r="B271" s="2">
        <v>27217</v>
      </c>
      <c r="C271" s="1" t="s">
        <v>503</v>
      </c>
      <c r="D271" s="1" t="s">
        <v>32</v>
      </c>
      <c r="E271" s="1" t="s">
        <v>194</v>
      </c>
      <c r="F271" s="1" t="s">
        <v>207</v>
      </c>
      <c r="G271" s="6" t="str">
        <f>VLOOKUP(A271,WorldCups!$A$2:$B$23,2,FALSE)</f>
        <v>Germany</v>
      </c>
      <c r="H271" s="1" t="s">
        <v>45</v>
      </c>
      <c r="I271" s="1">
        <v>1</v>
      </c>
      <c r="J271" s="1">
        <v>2</v>
      </c>
      <c r="K271" s="1" t="s">
        <v>114</v>
      </c>
      <c r="L271" s="1" t="s">
        <v>14</v>
      </c>
      <c r="M271" s="1" t="str">
        <f>IF(ISNUMBER(SEARCH("Group",Table2[[#This Row],[Round]])),"Group stages",Table2[[#This Row],[Round]])</f>
        <v>Final</v>
      </c>
      <c r="O271" s="1">
        <f>Table2[[#This Row],[Year]]</f>
        <v>1974</v>
      </c>
      <c r="P271" s="1" t="str">
        <f>INDEX(Table2[[HomeTeam]:[Group_details]],ROWS($N$2:N271),COLUMNS($N$2:N271))</f>
        <v>Netherlands</v>
      </c>
      <c r="Q271" s="1">
        <f>INDEX(Table2[[HomeTeam]:[Group_details]],ROWS($N$2:O271),COLUMNS($N$2:O271))</f>
        <v>1</v>
      </c>
      <c r="R271" s="1">
        <f>INDEX(Table2[[HomeTeam]:[Group_details]],ROWS($N$2:P271),COLUMNS($N$2:P271))</f>
        <v>2</v>
      </c>
      <c r="S271" s="1" t="str">
        <f>INDEX(Table2[[HomeTeam]:[Group_details]],ROWS($N$2:Q271),COLUMNS($N$2:Q271))</f>
        <v>Germany FR</v>
      </c>
      <c r="T271" s="1" t="str">
        <f>INDEX(Table2[[HomeTeam]:[Group_details]],ROWS($N$2:R271),COLUMNS($N$2:R271))</f>
        <v xml:space="preserve"> </v>
      </c>
      <c r="U271" s="1" t="str">
        <f>INDEX(Table2[[HomeTeam]:[Group_details]],ROWS($N$2:S271),COLUMNS($N$2:S271))</f>
        <v>Final</v>
      </c>
      <c r="V271" s="1" t="b">
        <f t="shared" si="4"/>
        <v>0</v>
      </c>
      <c r="W271" s="1" t="str">
        <f>IF(V271=TRUE,ROWS($V$2:V271),"")</f>
        <v/>
      </c>
      <c r="X271" s="1" t="str">
        <f>IFERROR(SMALL($W$2:$W$853,ROWS($W$2:W271)),"")</f>
        <v/>
      </c>
      <c r="Y271" s="1" t="str">
        <f>IF($X271&lt;&gt;"",INDEX($P$2:$U$853,MATCH($X271,$W$2:$W$853,0),COLUMNS($X$2:X271)),"")</f>
        <v/>
      </c>
      <c r="Z271" s="1" t="str">
        <f>IF($X271&lt;&gt;"",INDEX($P$2:$U$853,MATCH($X271,$W$2:$W$853,0),COLUMNS($X$2:Y271)),"")</f>
        <v/>
      </c>
      <c r="AA271" s="1" t="str">
        <f>IF($X271&lt;&gt;"",INDEX($P$2:$U$853,MATCH($X271,$W$2:$W$853,0),COLUMNS($X$2:Z271)),"")</f>
        <v/>
      </c>
      <c r="AB271" s="1" t="str">
        <f>IF($X271&lt;&gt;"",INDEX($P$2:$U$853,MATCH($X271,$W$2:$W$853,0),COLUMNS($X$2:AA271)),"")</f>
        <v/>
      </c>
      <c r="AC271" s="1" t="str">
        <f>IF($X271&lt;&gt;"",INDEX($P$2:$U$853,MATCH($X271,$W$2:$W$853,0),COLUMNS($X$2:AB271)),"")</f>
        <v/>
      </c>
      <c r="AD271" s="1" t="str">
        <f>IF($X271&lt;&gt;"",INDEX($P$2:$U$853,MATCH($X271,$W$2:$W$853,0),COLUMNS($X$2:AC271)),"")</f>
        <v/>
      </c>
    </row>
    <row r="272" spans="1:30" x14ac:dyDescent="0.2">
      <c r="A272" s="1">
        <v>1978</v>
      </c>
      <c r="B272" s="2">
        <v>28642</v>
      </c>
      <c r="C272" s="1" t="s">
        <v>500</v>
      </c>
      <c r="D272" s="1" t="s">
        <v>19</v>
      </c>
      <c r="E272" s="1" t="s">
        <v>215</v>
      </c>
      <c r="F272" s="1" t="s">
        <v>216</v>
      </c>
      <c r="G272" s="6" t="str">
        <f>VLOOKUP(A272,WorldCups!$A$2:$B$23,2,FALSE)</f>
        <v>Argentina</v>
      </c>
      <c r="H272" s="1" t="s">
        <v>114</v>
      </c>
      <c r="I272" s="1">
        <v>0</v>
      </c>
      <c r="J272" s="1">
        <v>0</v>
      </c>
      <c r="K272" s="1" t="s">
        <v>80</v>
      </c>
      <c r="L272" s="1" t="s">
        <v>14</v>
      </c>
      <c r="M272" s="1" t="str">
        <f>IF(ISNUMBER(SEARCH("Group",Table2[[#This Row],[Round]])),"Group stages",Table2[[#This Row],[Round]])</f>
        <v>Group stages</v>
      </c>
      <c r="O272" s="1">
        <f>Table2[[#This Row],[Year]]</f>
        <v>1978</v>
      </c>
      <c r="P272" s="1" t="str">
        <f>INDEX(Table2[[HomeTeam]:[Group_details]],ROWS($N$2:N272),COLUMNS($N$2:N272))</f>
        <v>Germany FR</v>
      </c>
      <c r="Q272" s="1">
        <f>INDEX(Table2[[HomeTeam]:[Group_details]],ROWS($N$2:O272),COLUMNS($N$2:O272))</f>
        <v>0</v>
      </c>
      <c r="R272" s="1">
        <f>INDEX(Table2[[HomeTeam]:[Group_details]],ROWS($N$2:P272),COLUMNS($N$2:P272))</f>
        <v>0</v>
      </c>
      <c r="S272" s="1" t="str">
        <f>INDEX(Table2[[HomeTeam]:[Group_details]],ROWS($N$2:Q272),COLUMNS($N$2:Q272))</f>
        <v>Poland</v>
      </c>
      <c r="T272" s="1" t="str">
        <f>INDEX(Table2[[HomeTeam]:[Group_details]],ROWS($N$2:R272),COLUMNS($N$2:R272))</f>
        <v xml:space="preserve"> </v>
      </c>
      <c r="U272" s="1" t="str">
        <f>INDEX(Table2[[HomeTeam]:[Group_details]],ROWS($N$2:S272),COLUMNS($N$2:S272))</f>
        <v>Group stages</v>
      </c>
      <c r="V272" s="1" t="b">
        <f t="shared" si="4"/>
        <v>0</v>
      </c>
      <c r="W272" s="1" t="str">
        <f>IF(V272=TRUE,ROWS($V$2:V272),"")</f>
        <v/>
      </c>
      <c r="X272" s="1" t="str">
        <f>IFERROR(SMALL($W$2:$W$853,ROWS($W$2:W272)),"")</f>
        <v/>
      </c>
      <c r="Y272" s="1" t="str">
        <f>IF($X272&lt;&gt;"",INDEX($P$2:$U$853,MATCH($X272,$W$2:$W$853,0),COLUMNS($X$2:X272)),"")</f>
        <v/>
      </c>
      <c r="Z272" s="1" t="str">
        <f>IF($X272&lt;&gt;"",INDEX($P$2:$U$853,MATCH($X272,$W$2:$W$853,0),COLUMNS($X$2:Y272)),"")</f>
        <v/>
      </c>
      <c r="AA272" s="1" t="str">
        <f>IF($X272&lt;&gt;"",INDEX($P$2:$U$853,MATCH($X272,$W$2:$W$853,0),COLUMNS($X$2:Z272)),"")</f>
        <v/>
      </c>
      <c r="AB272" s="1" t="str">
        <f>IF($X272&lt;&gt;"",INDEX($P$2:$U$853,MATCH($X272,$W$2:$W$853,0),COLUMNS($X$2:AA272)),"")</f>
        <v/>
      </c>
      <c r="AC272" s="1" t="str">
        <f>IF($X272&lt;&gt;"",INDEX($P$2:$U$853,MATCH($X272,$W$2:$W$853,0),COLUMNS($X$2:AB272)),"")</f>
        <v/>
      </c>
      <c r="AD272" s="1" t="str">
        <f>IF($X272&lt;&gt;"",INDEX($P$2:$U$853,MATCH($X272,$W$2:$W$853,0),COLUMNS($X$2:AC272)),"")</f>
        <v/>
      </c>
    </row>
    <row r="273" spans="1:30" x14ac:dyDescent="0.2">
      <c r="A273" s="1">
        <v>1978</v>
      </c>
      <c r="B273" s="2">
        <v>28643</v>
      </c>
      <c r="C273" s="1" t="s">
        <v>524</v>
      </c>
      <c r="D273" s="1" t="s">
        <v>9</v>
      </c>
      <c r="E273" s="1" t="s">
        <v>217</v>
      </c>
      <c r="F273" s="1" t="s">
        <v>218</v>
      </c>
      <c r="G273" s="6" t="str">
        <f>VLOOKUP(A273,WorldCups!$A$2:$B$23,2,FALSE)</f>
        <v>Argentina</v>
      </c>
      <c r="H273" s="1" t="s">
        <v>57</v>
      </c>
      <c r="I273" s="1">
        <v>2</v>
      </c>
      <c r="J273" s="1">
        <v>1</v>
      </c>
      <c r="K273" s="1" t="s">
        <v>12</v>
      </c>
      <c r="L273" s="1" t="s">
        <v>14</v>
      </c>
      <c r="M273" s="1" t="str">
        <f>IF(ISNUMBER(SEARCH("Group",Table2[[#This Row],[Round]])),"Group stages",Table2[[#This Row],[Round]])</f>
        <v>Group stages</v>
      </c>
      <c r="O273" s="1">
        <f>Table2[[#This Row],[Year]]</f>
        <v>1978</v>
      </c>
      <c r="P273" s="1" t="str">
        <f>INDEX(Table2[[HomeTeam]:[Group_details]],ROWS($N$2:N273),COLUMNS($N$2:N273))</f>
        <v>Italy</v>
      </c>
      <c r="Q273" s="1">
        <f>INDEX(Table2[[HomeTeam]:[Group_details]],ROWS($N$2:O273),COLUMNS($N$2:O273))</f>
        <v>2</v>
      </c>
      <c r="R273" s="1">
        <f>INDEX(Table2[[HomeTeam]:[Group_details]],ROWS($N$2:P273),COLUMNS($N$2:P273))</f>
        <v>1</v>
      </c>
      <c r="S273" s="1" t="str">
        <f>INDEX(Table2[[HomeTeam]:[Group_details]],ROWS($N$2:Q273),COLUMNS($N$2:Q273))</f>
        <v>France</v>
      </c>
      <c r="T273" s="1" t="str">
        <f>INDEX(Table2[[HomeTeam]:[Group_details]],ROWS($N$2:R273),COLUMNS($N$2:R273))</f>
        <v xml:space="preserve"> </v>
      </c>
      <c r="U273" s="1" t="str">
        <f>INDEX(Table2[[HomeTeam]:[Group_details]],ROWS($N$2:S273),COLUMNS($N$2:S273))</f>
        <v>Group stages</v>
      </c>
      <c r="V273" s="1" t="b">
        <f t="shared" si="4"/>
        <v>0</v>
      </c>
      <c r="W273" s="1" t="str">
        <f>IF(V273=TRUE,ROWS($V$2:V273),"")</f>
        <v/>
      </c>
      <c r="X273" s="1" t="str">
        <f>IFERROR(SMALL($W$2:$W$853,ROWS($W$2:W273)),"")</f>
        <v/>
      </c>
      <c r="Y273" s="1" t="str">
        <f>IF($X273&lt;&gt;"",INDEX($P$2:$U$853,MATCH($X273,$W$2:$W$853,0),COLUMNS($X$2:X273)),"")</f>
        <v/>
      </c>
      <c r="Z273" s="1" t="str">
        <f>IF($X273&lt;&gt;"",INDEX($P$2:$U$853,MATCH($X273,$W$2:$W$853,0),COLUMNS($X$2:Y273)),"")</f>
        <v/>
      </c>
      <c r="AA273" s="1" t="str">
        <f>IF($X273&lt;&gt;"",INDEX($P$2:$U$853,MATCH($X273,$W$2:$W$853,0),COLUMNS($X$2:Z273)),"")</f>
        <v/>
      </c>
      <c r="AB273" s="1" t="str">
        <f>IF($X273&lt;&gt;"",INDEX($P$2:$U$853,MATCH($X273,$W$2:$W$853,0),COLUMNS($X$2:AA273)),"")</f>
        <v/>
      </c>
      <c r="AC273" s="1" t="str">
        <f>IF($X273&lt;&gt;"",INDEX($P$2:$U$853,MATCH($X273,$W$2:$W$853,0),COLUMNS($X$2:AB273)),"")</f>
        <v/>
      </c>
      <c r="AD273" s="1" t="str">
        <f>IF($X273&lt;&gt;"",INDEX($P$2:$U$853,MATCH($X273,$W$2:$W$853,0),COLUMNS($X$2:AC273)),"")</f>
        <v/>
      </c>
    </row>
    <row r="274" spans="1:30" x14ac:dyDescent="0.2">
      <c r="A274" s="1">
        <v>1978</v>
      </c>
      <c r="B274" s="2">
        <v>28643</v>
      </c>
      <c r="C274" s="1" t="s">
        <v>525</v>
      </c>
      <c r="D274" s="1" t="s">
        <v>19</v>
      </c>
      <c r="E274" s="1" t="s">
        <v>219</v>
      </c>
      <c r="F274" s="1" t="s">
        <v>220</v>
      </c>
      <c r="G274" s="6" t="str">
        <f>VLOOKUP(A274,WorldCups!$A$2:$B$23,2,FALSE)</f>
        <v>Argentina</v>
      </c>
      <c r="H274" s="1" t="s">
        <v>221</v>
      </c>
      <c r="I274" s="1">
        <v>3</v>
      </c>
      <c r="J274" s="1">
        <v>1</v>
      </c>
      <c r="K274" s="1" t="s">
        <v>13</v>
      </c>
      <c r="L274" s="1" t="s">
        <v>14</v>
      </c>
      <c r="M274" s="1" t="str">
        <f>IF(ISNUMBER(SEARCH("Group",Table2[[#This Row],[Round]])),"Group stages",Table2[[#This Row],[Round]])</f>
        <v>Group stages</v>
      </c>
      <c r="O274" s="1">
        <f>Table2[[#This Row],[Year]]</f>
        <v>1978</v>
      </c>
      <c r="P274" s="1" t="str">
        <f>INDEX(Table2[[HomeTeam]:[Group_details]],ROWS($N$2:N274),COLUMNS($N$2:N274))</f>
        <v>Tunisia</v>
      </c>
      <c r="Q274" s="1">
        <f>INDEX(Table2[[HomeTeam]:[Group_details]],ROWS($N$2:O274),COLUMNS($N$2:O274))</f>
        <v>3</v>
      </c>
      <c r="R274" s="1">
        <f>INDEX(Table2[[HomeTeam]:[Group_details]],ROWS($N$2:P274),COLUMNS($N$2:P274))</f>
        <v>1</v>
      </c>
      <c r="S274" s="1" t="str">
        <f>INDEX(Table2[[HomeTeam]:[Group_details]],ROWS($N$2:Q274),COLUMNS($N$2:Q274))</f>
        <v>Mexico</v>
      </c>
      <c r="T274" s="1" t="str">
        <f>INDEX(Table2[[HomeTeam]:[Group_details]],ROWS($N$2:R274),COLUMNS($N$2:R274))</f>
        <v xml:space="preserve"> </v>
      </c>
      <c r="U274" s="1" t="str">
        <f>INDEX(Table2[[HomeTeam]:[Group_details]],ROWS($N$2:S274),COLUMNS($N$2:S274))</f>
        <v>Group stages</v>
      </c>
      <c r="V274" s="1" t="b">
        <f t="shared" si="4"/>
        <v>0</v>
      </c>
      <c r="W274" s="1" t="str">
        <f>IF(V274=TRUE,ROWS($V$2:V274),"")</f>
        <v/>
      </c>
      <c r="X274" s="1" t="str">
        <f>IFERROR(SMALL($W$2:$W$853,ROWS($W$2:W274)),"")</f>
        <v/>
      </c>
      <c r="Y274" s="1" t="str">
        <f>IF($X274&lt;&gt;"",INDEX($P$2:$U$853,MATCH($X274,$W$2:$W$853,0),COLUMNS($X$2:X274)),"")</f>
        <v/>
      </c>
      <c r="Z274" s="1" t="str">
        <f>IF($X274&lt;&gt;"",INDEX($P$2:$U$853,MATCH($X274,$W$2:$W$853,0),COLUMNS($X$2:Y274)),"")</f>
        <v/>
      </c>
      <c r="AA274" s="1" t="str">
        <f>IF($X274&lt;&gt;"",INDEX($P$2:$U$853,MATCH($X274,$W$2:$W$853,0),COLUMNS($X$2:Z274)),"")</f>
        <v/>
      </c>
      <c r="AB274" s="1" t="str">
        <f>IF($X274&lt;&gt;"",INDEX($P$2:$U$853,MATCH($X274,$W$2:$W$853,0),COLUMNS($X$2:AA274)),"")</f>
        <v/>
      </c>
      <c r="AC274" s="1" t="str">
        <f>IF($X274&lt;&gt;"",INDEX($P$2:$U$853,MATCH($X274,$W$2:$W$853,0),COLUMNS($X$2:AB274)),"")</f>
        <v/>
      </c>
      <c r="AD274" s="1" t="str">
        <f>IF($X274&lt;&gt;"",INDEX($P$2:$U$853,MATCH($X274,$W$2:$W$853,0),COLUMNS($X$2:AC274)),"")</f>
        <v/>
      </c>
    </row>
    <row r="275" spans="1:30" x14ac:dyDescent="0.2">
      <c r="A275" s="1">
        <v>1978</v>
      </c>
      <c r="B275" s="2">
        <v>28643</v>
      </c>
      <c r="C275" s="1" t="s">
        <v>526</v>
      </c>
      <c r="D275" s="1" t="s">
        <v>9</v>
      </c>
      <c r="E275" s="1" t="s">
        <v>215</v>
      </c>
      <c r="F275" s="1" t="s">
        <v>216</v>
      </c>
      <c r="G275" s="6" t="str">
        <f>VLOOKUP(A275,WorldCups!$A$2:$B$23,2,FALSE)</f>
        <v>Argentina</v>
      </c>
      <c r="H275" s="1" t="s">
        <v>25</v>
      </c>
      <c r="I275" s="1">
        <v>2</v>
      </c>
      <c r="J275" s="1">
        <v>1</v>
      </c>
      <c r="K275" s="1" t="s">
        <v>40</v>
      </c>
      <c r="L275" s="1" t="s">
        <v>14</v>
      </c>
      <c r="M275" s="1" t="str">
        <f>IF(ISNUMBER(SEARCH("Group",Table2[[#This Row],[Round]])),"Group stages",Table2[[#This Row],[Round]])</f>
        <v>Group stages</v>
      </c>
      <c r="O275" s="1">
        <f>Table2[[#This Row],[Year]]</f>
        <v>1978</v>
      </c>
      <c r="P275" s="1" t="str">
        <f>INDEX(Table2[[HomeTeam]:[Group_details]],ROWS($N$2:N275),COLUMNS($N$2:N275))</f>
        <v>Argentina</v>
      </c>
      <c r="Q275" s="1">
        <f>INDEX(Table2[[HomeTeam]:[Group_details]],ROWS($N$2:O275),COLUMNS($N$2:O275))</f>
        <v>2</v>
      </c>
      <c r="R275" s="1">
        <f>INDEX(Table2[[HomeTeam]:[Group_details]],ROWS($N$2:P275),COLUMNS($N$2:P275))</f>
        <v>1</v>
      </c>
      <c r="S275" s="1" t="str">
        <f>INDEX(Table2[[HomeTeam]:[Group_details]],ROWS($N$2:Q275),COLUMNS($N$2:Q275))</f>
        <v>Hungary</v>
      </c>
      <c r="T275" s="1" t="str">
        <f>INDEX(Table2[[HomeTeam]:[Group_details]],ROWS($N$2:R275),COLUMNS($N$2:R275))</f>
        <v xml:space="preserve"> </v>
      </c>
      <c r="U275" s="1" t="str">
        <f>INDEX(Table2[[HomeTeam]:[Group_details]],ROWS($N$2:S275),COLUMNS($N$2:S275))</f>
        <v>Group stages</v>
      </c>
      <c r="V275" s="1" t="b">
        <f t="shared" si="4"/>
        <v>0</v>
      </c>
      <c r="W275" s="1" t="str">
        <f>IF(V275=TRUE,ROWS($V$2:V275),"")</f>
        <v/>
      </c>
      <c r="X275" s="1" t="str">
        <f>IFERROR(SMALL($W$2:$W$853,ROWS($W$2:W275)),"")</f>
        <v/>
      </c>
      <c r="Y275" s="1" t="str">
        <f>IF($X275&lt;&gt;"",INDEX($P$2:$U$853,MATCH($X275,$W$2:$W$853,0),COLUMNS($X$2:X275)),"")</f>
        <v/>
      </c>
      <c r="Z275" s="1" t="str">
        <f>IF($X275&lt;&gt;"",INDEX($P$2:$U$853,MATCH($X275,$W$2:$W$853,0),COLUMNS($X$2:Y275)),"")</f>
        <v/>
      </c>
      <c r="AA275" s="1" t="str">
        <f>IF($X275&lt;&gt;"",INDEX($P$2:$U$853,MATCH($X275,$W$2:$W$853,0),COLUMNS($X$2:Z275)),"")</f>
        <v/>
      </c>
      <c r="AB275" s="1" t="str">
        <f>IF($X275&lt;&gt;"",INDEX($P$2:$U$853,MATCH($X275,$W$2:$W$853,0),COLUMNS($X$2:AA275)),"")</f>
        <v/>
      </c>
      <c r="AC275" s="1" t="str">
        <f>IF($X275&lt;&gt;"",INDEX($P$2:$U$853,MATCH($X275,$W$2:$W$853,0),COLUMNS($X$2:AB275)),"")</f>
        <v/>
      </c>
      <c r="AD275" s="1" t="str">
        <f>IF($X275&lt;&gt;"",INDEX($P$2:$U$853,MATCH($X275,$W$2:$W$853,0),COLUMNS($X$2:AC275)),"")</f>
        <v/>
      </c>
    </row>
    <row r="276" spans="1:30" x14ac:dyDescent="0.2">
      <c r="A276" s="1">
        <v>1978</v>
      </c>
      <c r="B276" s="2">
        <v>28644</v>
      </c>
      <c r="C276" s="1" t="s">
        <v>524</v>
      </c>
      <c r="D276" s="1" t="s">
        <v>22</v>
      </c>
      <c r="E276" s="1" t="s">
        <v>217</v>
      </c>
      <c r="F276" s="1" t="s">
        <v>218</v>
      </c>
      <c r="G276" s="6" t="str">
        <f>VLOOKUP(A276,WorldCups!$A$2:$B$23,2,FALSE)</f>
        <v>Argentina</v>
      </c>
      <c r="H276" s="1" t="s">
        <v>48</v>
      </c>
      <c r="I276" s="1">
        <v>1</v>
      </c>
      <c r="J276" s="1">
        <v>1</v>
      </c>
      <c r="K276" s="1" t="s">
        <v>21</v>
      </c>
      <c r="L276" s="1" t="s">
        <v>14</v>
      </c>
      <c r="M276" s="1" t="str">
        <f>IF(ISNUMBER(SEARCH("Group",Table2[[#This Row],[Round]])),"Group stages",Table2[[#This Row],[Round]])</f>
        <v>Group stages</v>
      </c>
      <c r="O276" s="1">
        <f>Table2[[#This Row],[Year]]</f>
        <v>1978</v>
      </c>
      <c r="P276" s="1" t="str">
        <f>INDEX(Table2[[HomeTeam]:[Group_details]],ROWS($N$2:N276),COLUMNS($N$2:N276))</f>
        <v>Sweden</v>
      </c>
      <c r="Q276" s="1">
        <f>INDEX(Table2[[HomeTeam]:[Group_details]],ROWS($N$2:O276),COLUMNS($N$2:O276))</f>
        <v>1</v>
      </c>
      <c r="R276" s="1">
        <f>INDEX(Table2[[HomeTeam]:[Group_details]],ROWS($N$2:P276),COLUMNS($N$2:P276))</f>
        <v>1</v>
      </c>
      <c r="S276" s="1" t="str">
        <f>INDEX(Table2[[HomeTeam]:[Group_details]],ROWS($N$2:Q276),COLUMNS($N$2:Q276))</f>
        <v>Brazil</v>
      </c>
      <c r="T276" s="1" t="str">
        <f>INDEX(Table2[[HomeTeam]:[Group_details]],ROWS($N$2:R276),COLUMNS($N$2:R276))</f>
        <v xml:space="preserve"> </v>
      </c>
      <c r="U276" s="1" t="str">
        <f>INDEX(Table2[[HomeTeam]:[Group_details]],ROWS($N$2:S276),COLUMNS($N$2:S276))</f>
        <v>Group stages</v>
      </c>
      <c r="V276" s="1" t="b">
        <f t="shared" si="4"/>
        <v>0</v>
      </c>
      <c r="W276" s="1" t="str">
        <f>IF(V276=TRUE,ROWS($V$2:V276),"")</f>
        <v/>
      </c>
      <c r="X276" s="1" t="str">
        <f>IFERROR(SMALL($W$2:$W$853,ROWS($W$2:W276)),"")</f>
        <v/>
      </c>
      <c r="Y276" s="1" t="str">
        <f>IF($X276&lt;&gt;"",INDEX($P$2:$U$853,MATCH($X276,$W$2:$W$853,0),COLUMNS($X$2:X276)),"")</f>
        <v/>
      </c>
      <c r="Z276" s="1" t="str">
        <f>IF($X276&lt;&gt;"",INDEX($P$2:$U$853,MATCH($X276,$W$2:$W$853,0),COLUMNS($X$2:Y276)),"")</f>
        <v/>
      </c>
      <c r="AA276" s="1" t="str">
        <f>IF($X276&lt;&gt;"",INDEX($P$2:$U$853,MATCH($X276,$W$2:$W$853,0),COLUMNS($X$2:Z276)),"")</f>
        <v/>
      </c>
      <c r="AB276" s="1" t="str">
        <f>IF($X276&lt;&gt;"",INDEX($P$2:$U$853,MATCH($X276,$W$2:$W$853,0),COLUMNS($X$2:AA276)),"")</f>
        <v/>
      </c>
      <c r="AC276" s="1" t="str">
        <f>IF($X276&lt;&gt;"",INDEX($P$2:$U$853,MATCH($X276,$W$2:$W$853,0),COLUMNS($X$2:AB276)),"")</f>
        <v/>
      </c>
      <c r="AD276" s="1" t="str">
        <f>IF($X276&lt;&gt;"",INDEX($P$2:$U$853,MATCH($X276,$W$2:$W$853,0),COLUMNS($X$2:AC276)),"")</f>
        <v/>
      </c>
    </row>
    <row r="277" spans="1:30" x14ac:dyDescent="0.2">
      <c r="A277" s="1">
        <v>1978</v>
      </c>
      <c r="B277" s="2">
        <v>28644</v>
      </c>
      <c r="C277" s="1" t="s">
        <v>524</v>
      </c>
      <c r="D277" s="1" t="s">
        <v>22</v>
      </c>
      <c r="E277" s="1" t="s">
        <v>222</v>
      </c>
      <c r="F277" s="1" t="s">
        <v>216</v>
      </c>
      <c r="G277" s="6" t="str">
        <f>VLOOKUP(A277,WorldCups!$A$2:$B$23,2,FALSE)</f>
        <v>Argentina</v>
      </c>
      <c r="H277" s="1" t="s">
        <v>36</v>
      </c>
      <c r="I277" s="1">
        <v>2</v>
      </c>
      <c r="J277" s="1">
        <v>1</v>
      </c>
      <c r="K277" s="1" t="s">
        <v>54</v>
      </c>
      <c r="L277" s="1" t="s">
        <v>14</v>
      </c>
      <c r="M277" s="1" t="str">
        <f>IF(ISNUMBER(SEARCH("Group",Table2[[#This Row],[Round]])),"Group stages",Table2[[#This Row],[Round]])</f>
        <v>Group stages</v>
      </c>
      <c r="O277" s="1">
        <f>Table2[[#This Row],[Year]]</f>
        <v>1978</v>
      </c>
      <c r="P277" s="1" t="str">
        <f>INDEX(Table2[[HomeTeam]:[Group_details]],ROWS($N$2:N277),COLUMNS($N$2:N277))</f>
        <v>Austria</v>
      </c>
      <c r="Q277" s="1">
        <f>INDEX(Table2[[HomeTeam]:[Group_details]],ROWS($N$2:O277),COLUMNS($N$2:O277))</f>
        <v>2</v>
      </c>
      <c r="R277" s="1">
        <f>INDEX(Table2[[HomeTeam]:[Group_details]],ROWS($N$2:P277),COLUMNS($N$2:P277))</f>
        <v>1</v>
      </c>
      <c r="S277" s="1" t="str">
        <f>INDEX(Table2[[HomeTeam]:[Group_details]],ROWS($N$2:Q277),COLUMNS($N$2:Q277))</f>
        <v>Spain</v>
      </c>
      <c r="T277" s="1" t="str">
        <f>INDEX(Table2[[HomeTeam]:[Group_details]],ROWS($N$2:R277),COLUMNS($N$2:R277))</f>
        <v xml:space="preserve"> </v>
      </c>
      <c r="U277" s="1" t="str">
        <f>INDEX(Table2[[HomeTeam]:[Group_details]],ROWS($N$2:S277),COLUMNS($N$2:S277))</f>
        <v>Group stages</v>
      </c>
      <c r="V277" s="1" t="b">
        <f t="shared" si="4"/>
        <v>0</v>
      </c>
      <c r="W277" s="1" t="str">
        <f>IF(V277=TRUE,ROWS($V$2:V277),"")</f>
        <v/>
      </c>
      <c r="X277" s="1" t="str">
        <f>IFERROR(SMALL($W$2:$W$853,ROWS($W$2:W277)),"")</f>
        <v/>
      </c>
      <c r="Y277" s="1" t="str">
        <f>IF($X277&lt;&gt;"",INDEX($P$2:$U$853,MATCH($X277,$W$2:$W$853,0),COLUMNS($X$2:X277)),"")</f>
        <v/>
      </c>
      <c r="Z277" s="1" t="str">
        <f>IF($X277&lt;&gt;"",INDEX($P$2:$U$853,MATCH($X277,$W$2:$W$853,0),COLUMNS($X$2:Y277)),"")</f>
        <v/>
      </c>
      <c r="AA277" s="1" t="str">
        <f>IF($X277&lt;&gt;"",INDEX($P$2:$U$853,MATCH($X277,$W$2:$W$853,0),COLUMNS($X$2:Z277)),"")</f>
        <v/>
      </c>
      <c r="AB277" s="1" t="str">
        <f>IF($X277&lt;&gt;"",INDEX($P$2:$U$853,MATCH($X277,$W$2:$W$853,0),COLUMNS($X$2:AA277)),"")</f>
        <v/>
      </c>
      <c r="AC277" s="1" t="str">
        <f>IF($X277&lt;&gt;"",INDEX($P$2:$U$853,MATCH($X277,$W$2:$W$853,0),COLUMNS($X$2:AB277)),"")</f>
        <v/>
      </c>
      <c r="AD277" s="1" t="str">
        <f>IF($X277&lt;&gt;"",INDEX($P$2:$U$853,MATCH($X277,$W$2:$W$853,0),COLUMNS($X$2:AC277)),"")</f>
        <v/>
      </c>
    </row>
    <row r="278" spans="1:30" x14ac:dyDescent="0.2">
      <c r="A278" s="1">
        <v>1978</v>
      </c>
      <c r="B278" s="2">
        <v>28644</v>
      </c>
      <c r="C278" s="1" t="s">
        <v>525</v>
      </c>
      <c r="D278" s="1" t="s">
        <v>15</v>
      </c>
      <c r="E278" s="1" t="s">
        <v>223</v>
      </c>
      <c r="F278" s="1" t="s">
        <v>224</v>
      </c>
      <c r="G278" s="6" t="str">
        <f>VLOOKUP(A278,WorldCups!$A$2:$B$23,2,FALSE)</f>
        <v>Argentina</v>
      </c>
      <c r="H278" s="1" t="s">
        <v>24</v>
      </c>
      <c r="I278" s="1">
        <v>3</v>
      </c>
      <c r="J278" s="1">
        <v>1</v>
      </c>
      <c r="K278" s="1" t="s">
        <v>109</v>
      </c>
      <c r="L278" s="1" t="s">
        <v>14</v>
      </c>
      <c r="M278" s="1" t="str">
        <f>IF(ISNUMBER(SEARCH("Group",Table2[[#This Row],[Round]])),"Group stages",Table2[[#This Row],[Round]])</f>
        <v>Group stages</v>
      </c>
      <c r="O278" s="1">
        <f>Table2[[#This Row],[Year]]</f>
        <v>1978</v>
      </c>
      <c r="P278" s="1" t="str">
        <f>INDEX(Table2[[HomeTeam]:[Group_details]],ROWS($N$2:N278),COLUMNS($N$2:N278))</f>
        <v>Peru</v>
      </c>
      <c r="Q278" s="1">
        <f>INDEX(Table2[[HomeTeam]:[Group_details]],ROWS($N$2:O278),COLUMNS($N$2:O278))</f>
        <v>3</v>
      </c>
      <c r="R278" s="1">
        <f>INDEX(Table2[[HomeTeam]:[Group_details]],ROWS($N$2:P278),COLUMNS($N$2:P278))</f>
        <v>1</v>
      </c>
      <c r="S278" s="1" t="str">
        <f>INDEX(Table2[[HomeTeam]:[Group_details]],ROWS($N$2:Q278),COLUMNS($N$2:Q278))</f>
        <v>Scotland</v>
      </c>
      <c r="T278" s="1" t="str">
        <f>INDEX(Table2[[HomeTeam]:[Group_details]],ROWS($N$2:R278),COLUMNS($N$2:R278))</f>
        <v xml:space="preserve"> </v>
      </c>
      <c r="U278" s="1" t="str">
        <f>INDEX(Table2[[HomeTeam]:[Group_details]],ROWS($N$2:S278),COLUMNS($N$2:S278))</f>
        <v>Group stages</v>
      </c>
      <c r="V278" s="1" t="b">
        <f t="shared" si="4"/>
        <v>0</v>
      </c>
      <c r="W278" s="1" t="str">
        <f>IF(V278=TRUE,ROWS($V$2:V278),"")</f>
        <v/>
      </c>
      <c r="X278" s="1" t="str">
        <f>IFERROR(SMALL($W$2:$W$853,ROWS($W$2:W278)),"")</f>
        <v/>
      </c>
      <c r="Y278" s="1" t="str">
        <f>IF($X278&lt;&gt;"",INDEX($P$2:$U$853,MATCH($X278,$W$2:$W$853,0),COLUMNS($X$2:X278)),"")</f>
        <v/>
      </c>
      <c r="Z278" s="1" t="str">
        <f>IF($X278&lt;&gt;"",INDEX($P$2:$U$853,MATCH($X278,$W$2:$W$853,0),COLUMNS($X$2:Y278)),"")</f>
        <v/>
      </c>
      <c r="AA278" s="1" t="str">
        <f>IF($X278&lt;&gt;"",INDEX($P$2:$U$853,MATCH($X278,$W$2:$W$853,0),COLUMNS($X$2:Z278)),"")</f>
        <v/>
      </c>
      <c r="AB278" s="1" t="str">
        <f>IF($X278&lt;&gt;"",INDEX($P$2:$U$853,MATCH($X278,$W$2:$W$853,0),COLUMNS($X$2:AA278)),"")</f>
        <v/>
      </c>
      <c r="AC278" s="1" t="str">
        <f>IF($X278&lt;&gt;"",INDEX($P$2:$U$853,MATCH($X278,$W$2:$W$853,0),COLUMNS($X$2:AB278)),"")</f>
        <v/>
      </c>
      <c r="AD278" s="1" t="str">
        <f>IF($X278&lt;&gt;"",INDEX($P$2:$U$853,MATCH($X278,$W$2:$W$853,0),COLUMNS($X$2:AC278)),"")</f>
        <v/>
      </c>
    </row>
    <row r="279" spans="1:30" x14ac:dyDescent="0.2">
      <c r="A279" s="1">
        <v>1978</v>
      </c>
      <c r="B279" s="2">
        <v>28644</v>
      </c>
      <c r="C279" s="1" t="s">
        <v>525</v>
      </c>
      <c r="D279" s="1" t="s">
        <v>15</v>
      </c>
      <c r="E279" s="1" t="s">
        <v>225</v>
      </c>
      <c r="F279" s="1" t="s">
        <v>226</v>
      </c>
      <c r="G279" s="6" t="str">
        <f>VLOOKUP(A279,WorldCups!$A$2:$B$23,2,FALSE)</f>
        <v>Argentina</v>
      </c>
      <c r="H279" s="1" t="s">
        <v>45</v>
      </c>
      <c r="I279" s="1">
        <v>3</v>
      </c>
      <c r="J279" s="1">
        <v>0</v>
      </c>
      <c r="K279" s="1" t="s">
        <v>227</v>
      </c>
      <c r="L279" s="1" t="s">
        <v>14</v>
      </c>
      <c r="M279" s="1" t="str">
        <f>IF(ISNUMBER(SEARCH("Group",Table2[[#This Row],[Round]])),"Group stages",Table2[[#This Row],[Round]])</f>
        <v>Group stages</v>
      </c>
      <c r="O279" s="1">
        <f>Table2[[#This Row],[Year]]</f>
        <v>1978</v>
      </c>
      <c r="P279" s="1" t="str">
        <f>INDEX(Table2[[HomeTeam]:[Group_details]],ROWS($N$2:N279),COLUMNS($N$2:N279))</f>
        <v>Netherlands</v>
      </c>
      <c r="Q279" s="1">
        <f>INDEX(Table2[[HomeTeam]:[Group_details]],ROWS($N$2:O279),COLUMNS($N$2:O279))</f>
        <v>3</v>
      </c>
      <c r="R279" s="1">
        <f>INDEX(Table2[[HomeTeam]:[Group_details]],ROWS($N$2:P279),COLUMNS($N$2:P279))</f>
        <v>0</v>
      </c>
      <c r="S279" s="1" t="str">
        <f>INDEX(Table2[[HomeTeam]:[Group_details]],ROWS($N$2:Q279),COLUMNS($N$2:Q279))</f>
        <v>IR Iran</v>
      </c>
      <c r="T279" s="1" t="str">
        <f>INDEX(Table2[[HomeTeam]:[Group_details]],ROWS($N$2:R279),COLUMNS($N$2:R279))</f>
        <v xml:space="preserve"> </v>
      </c>
      <c r="U279" s="1" t="str">
        <f>INDEX(Table2[[HomeTeam]:[Group_details]],ROWS($N$2:S279),COLUMNS($N$2:S279))</f>
        <v>Group stages</v>
      </c>
      <c r="V279" s="1" t="b">
        <f t="shared" si="4"/>
        <v>0</v>
      </c>
      <c r="W279" s="1" t="str">
        <f>IF(V279=TRUE,ROWS($V$2:V279),"")</f>
        <v/>
      </c>
      <c r="X279" s="1" t="str">
        <f>IFERROR(SMALL($W$2:$W$853,ROWS($W$2:W279)),"")</f>
        <v/>
      </c>
      <c r="Y279" s="1" t="str">
        <f>IF($X279&lt;&gt;"",INDEX($P$2:$U$853,MATCH($X279,$W$2:$W$853,0),COLUMNS($X$2:X279)),"")</f>
        <v/>
      </c>
      <c r="Z279" s="1" t="str">
        <f>IF($X279&lt;&gt;"",INDEX($P$2:$U$853,MATCH($X279,$W$2:$W$853,0),COLUMNS($X$2:Y279)),"")</f>
        <v/>
      </c>
      <c r="AA279" s="1" t="str">
        <f>IF($X279&lt;&gt;"",INDEX($P$2:$U$853,MATCH($X279,$W$2:$W$853,0),COLUMNS($X$2:Z279)),"")</f>
        <v/>
      </c>
      <c r="AB279" s="1" t="str">
        <f>IF($X279&lt;&gt;"",INDEX($P$2:$U$853,MATCH($X279,$W$2:$W$853,0),COLUMNS($X$2:AA279)),"")</f>
        <v/>
      </c>
      <c r="AC279" s="1" t="str">
        <f>IF($X279&lt;&gt;"",INDEX($P$2:$U$853,MATCH($X279,$W$2:$W$853,0),COLUMNS($X$2:AB279)),"")</f>
        <v/>
      </c>
      <c r="AD279" s="1" t="str">
        <f>IF($X279&lt;&gt;"",INDEX($P$2:$U$853,MATCH($X279,$W$2:$W$853,0),COLUMNS($X$2:AC279)),"")</f>
        <v/>
      </c>
    </row>
    <row r="280" spans="1:30" x14ac:dyDescent="0.2">
      <c r="A280" s="1">
        <v>1978</v>
      </c>
      <c r="B280" s="2">
        <v>28647</v>
      </c>
      <c r="C280" s="1" t="s">
        <v>524</v>
      </c>
      <c r="D280" s="1" t="s">
        <v>9</v>
      </c>
      <c r="E280" s="1" t="s">
        <v>217</v>
      </c>
      <c r="F280" s="1" t="s">
        <v>218</v>
      </c>
      <c r="G280" s="6" t="str">
        <f>VLOOKUP(A280,WorldCups!$A$2:$B$23,2,FALSE)</f>
        <v>Argentina</v>
      </c>
      <c r="H280" s="1" t="s">
        <v>57</v>
      </c>
      <c r="I280" s="1">
        <v>3</v>
      </c>
      <c r="J280" s="1">
        <v>1</v>
      </c>
      <c r="K280" s="1" t="s">
        <v>40</v>
      </c>
      <c r="L280" s="1" t="s">
        <v>14</v>
      </c>
      <c r="M280" s="1" t="str">
        <f>IF(ISNUMBER(SEARCH("Group",Table2[[#This Row],[Round]])),"Group stages",Table2[[#This Row],[Round]])</f>
        <v>Group stages</v>
      </c>
      <c r="O280" s="1">
        <f>Table2[[#This Row],[Year]]</f>
        <v>1978</v>
      </c>
      <c r="P280" s="1" t="str">
        <f>INDEX(Table2[[HomeTeam]:[Group_details]],ROWS($N$2:N280),COLUMNS($N$2:N280))</f>
        <v>Italy</v>
      </c>
      <c r="Q280" s="1">
        <f>INDEX(Table2[[HomeTeam]:[Group_details]],ROWS($N$2:O280),COLUMNS($N$2:O280))</f>
        <v>3</v>
      </c>
      <c r="R280" s="1">
        <f>INDEX(Table2[[HomeTeam]:[Group_details]],ROWS($N$2:P280),COLUMNS($N$2:P280))</f>
        <v>1</v>
      </c>
      <c r="S280" s="1" t="str">
        <f>INDEX(Table2[[HomeTeam]:[Group_details]],ROWS($N$2:Q280),COLUMNS($N$2:Q280))</f>
        <v>Hungary</v>
      </c>
      <c r="T280" s="1" t="str">
        <f>INDEX(Table2[[HomeTeam]:[Group_details]],ROWS($N$2:R280),COLUMNS($N$2:R280))</f>
        <v xml:space="preserve"> </v>
      </c>
      <c r="U280" s="1" t="str">
        <f>INDEX(Table2[[HomeTeam]:[Group_details]],ROWS($N$2:S280),COLUMNS($N$2:S280))</f>
        <v>Group stages</v>
      </c>
      <c r="V280" s="1" t="b">
        <f t="shared" si="4"/>
        <v>0</v>
      </c>
      <c r="W280" s="1" t="str">
        <f>IF(V280=TRUE,ROWS($V$2:V280),"")</f>
        <v/>
      </c>
      <c r="X280" s="1" t="str">
        <f>IFERROR(SMALL($W$2:$W$853,ROWS($W$2:W280)),"")</f>
        <v/>
      </c>
      <c r="Y280" s="1" t="str">
        <f>IF($X280&lt;&gt;"",INDEX($P$2:$U$853,MATCH($X280,$W$2:$W$853,0),COLUMNS($X$2:X280)),"")</f>
        <v/>
      </c>
      <c r="Z280" s="1" t="str">
        <f>IF($X280&lt;&gt;"",INDEX($P$2:$U$853,MATCH($X280,$W$2:$W$853,0),COLUMNS($X$2:Y280)),"")</f>
        <v/>
      </c>
      <c r="AA280" s="1" t="str">
        <f>IF($X280&lt;&gt;"",INDEX($P$2:$U$853,MATCH($X280,$W$2:$W$853,0),COLUMNS($X$2:Z280)),"")</f>
        <v/>
      </c>
      <c r="AB280" s="1" t="str">
        <f>IF($X280&lt;&gt;"",INDEX($P$2:$U$853,MATCH($X280,$W$2:$W$853,0),COLUMNS($X$2:AA280)),"")</f>
        <v/>
      </c>
      <c r="AC280" s="1" t="str">
        <f>IF($X280&lt;&gt;"",INDEX($P$2:$U$853,MATCH($X280,$W$2:$W$853,0),COLUMNS($X$2:AB280)),"")</f>
        <v/>
      </c>
      <c r="AD280" s="1" t="str">
        <f>IF($X280&lt;&gt;"",INDEX($P$2:$U$853,MATCH($X280,$W$2:$W$853,0),COLUMNS($X$2:AC280)),"")</f>
        <v/>
      </c>
    </row>
    <row r="281" spans="1:30" x14ac:dyDescent="0.2">
      <c r="A281" s="1">
        <v>1978</v>
      </c>
      <c r="B281" s="2">
        <v>28647</v>
      </c>
      <c r="C281" s="1" t="s">
        <v>525</v>
      </c>
      <c r="D281" s="1" t="s">
        <v>19</v>
      </c>
      <c r="E281" s="1" t="s">
        <v>219</v>
      </c>
      <c r="F281" s="1" t="s">
        <v>220</v>
      </c>
      <c r="G281" s="6" t="str">
        <f>VLOOKUP(A281,WorldCups!$A$2:$B$23,2,FALSE)</f>
        <v>Argentina</v>
      </c>
      <c r="H281" s="1" t="s">
        <v>80</v>
      </c>
      <c r="I281" s="1">
        <v>1</v>
      </c>
      <c r="J281" s="1">
        <v>0</v>
      </c>
      <c r="K281" s="1" t="s">
        <v>221</v>
      </c>
      <c r="L281" s="1" t="s">
        <v>14</v>
      </c>
      <c r="M281" s="1" t="str">
        <f>IF(ISNUMBER(SEARCH("Group",Table2[[#This Row],[Round]])),"Group stages",Table2[[#This Row],[Round]])</f>
        <v>Group stages</v>
      </c>
      <c r="O281" s="1">
        <f>Table2[[#This Row],[Year]]</f>
        <v>1978</v>
      </c>
      <c r="P281" s="1" t="str">
        <f>INDEX(Table2[[HomeTeam]:[Group_details]],ROWS($N$2:N281),COLUMNS($N$2:N281))</f>
        <v>Poland</v>
      </c>
      <c r="Q281" s="1">
        <f>INDEX(Table2[[HomeTeam]:[Group_details]],ROWS($N$2:O281),COLUMNS($N$2:O281))</f>
        <v>1</v>
      </c>
      <c r="R281" s="1">
        <f>INDEX(Table2[[HomeTeam]:[Group_details]],ROWS($N$2:P281),COLUMNS($N$2:P281))</f>
        <v>0</v>
      </c>
      <c r="S281" s="1" t="str">
        <f>INDEX(Table2[[HomeTeam]:[Group_details]],ROWS($N$2:Q281),COLUMNS($N$2:Q281))</f>
        <v>Tunisia</v>
      </c>
      <c r="T281" s="1" t="str">
        <f>INDEX(Table2[[HomeTeam]:[Group_details]],ROWS($N$2:R281),COLUMNS($N$2:R281))</f>
        <v xml:space="preserve"> </v>
      </c>
      <c r="U281" s="1" t="str">
        <f>INDEX(Table2[[HomeTeam]:[Group_details]],ROWS($N$2:S281),COLUMNS($N$2:S281))</f>
        <v>Group stages</v>
      </c>
      <c r="V281" s="1" t="b">
        <f t="shared" si="4"/>
        <v>0</v>
      </c>
      <c r="W281" s="1" t="str">
        <f>IF(V281=TRUE,ROWS($V$2:V281),"")</f>
        <v/>
      </c>
      <c r="X281" s="1" t="str">
        <f>IFERROR(SMALL($W$2:$W$853,ROWS($W$2:W281)),"")</f>
        <v/>
      </c>
      <c r="Y281" s="1" t="str">
        <f>IF($X281&lt;&gt;"",INDEX($P$2:$U$853,MATCH($X281,$W$2:$W$853,0),COLUMNS($X$2:X281)),"")</f>
        <v/>
      </c>
      <c r="Z281" s="1" t="str">
        <f>IF($X281&lt;&gt;"",INDEX($P$2:$U$853,MATCH($X281,$W$2:$W$853,0),COLUMNS($X$2:Y281)),"")</f>
        <v/>
      </c>
      <c r="AA281" s="1" t="str">
        <f>IF($X281&lt;&gt;"",INDEX($P$2:$U$853,MATCH($X281,$W$2:$W$853,0),COLUMNS($X$2:Z281)),"")</f>
        <v/>
      </c>
      <c r="AB281" s="1" t="str">
        <f>IF($X281&lt;&gt;"",INDEX($P$2:$U$853,MATCH($X281,$W$2:$W$853,0),COLUMNS($X$2:AA281)),"")</f>
        <v/>
      </c>
      <c r="AC281" s="1" t="str">
        <f>IF($X281&lt;&gt;"",INDEX($P$2:$U$853,MATCH($X281,$W$2:$W$853,0),COLUMNS($X$2:AB281)),"")</f>
        <v/>
      </c>
      <c r="AD281" s="1" t="str">
        <f>IF($X281&lt;&gt;"",INDEX($P$2:$U$853,MATCH($X281,$W$2:$W$853,0),COLUMNS($X$2:AC281)),"")</f>
        <v/>
      </c>
    </row>
    <row r="282" spans="1:30" x14ac:dyDescent="0.2">
      <c r="A282" s="1">
        <v>1978</v>
      </c>
      <c r="B282" s="2">
        <v>28647</v>
      </c>
      <c r="C282" s="1" t="s">
        <v>525</v>
      </c>
      <c r="D282" s="1" t="s">
        <v>19</v>
      </c>
      <c r="E282" s="1" t="s">
        <v>223</v>
      </c>
      <c r="F282" s="1" t="s">
        <v>224</v>
      </c>
      <c r="G282" s="6" t="str">
        <f>VLOOKUP(A282,WorldCups!$A$2:$B$23,2,FALSE)</f>
        <v>Argentina</v>
      </c>
      <c r="H282" s="1" t="s">
        <v>114</v>
      </c>
      <c r="I282" s="1">
        <v>6</v>
      </c>
      <c r="J282" s="1">
        <v>0</v>
      </c>
      <c r="K282" s="1" t="s">
        <v>13</v>
      </c>
      <c r="L282" s="1" t="s">
        <v>14</v>
      </c>
      <c r="M282" s="1" t="str">
        <f>IF(ISNUMBER(SEARCH("Group",Table2[[#This Row],[Round]])),"Group stages",Table2[[#This Row],[Round]])</f>
        <v>Group stages</v>
      </c>
      <c r="O282" s="1">
        <f>Table2[[#This Row],[Year]]</f>
        <v>1978</v>
      </c>
      <c r="P282" s="1" t="str">
        <f>INDEX(Table2[[HomeTeam]:[Group_details]],ROWS($N$2:N282),COLUMNS($N$2:N282))</f>
        <v>Germany FR</v>
      </c>
      <c r="Q282" s="1">
        <f>INDEX(Table2[[HomeTeam]:[Group_details]],ROWS($N$2:O282),COLUMNS($N$2:O282))</f>
        <v>6</v>
      </c>
      <c r="R282" s="1">
        <f>INDEX(Table2[[HomeTeam]:[Group_details]],ROWS($N$2:P282),COLUMNS($N$2:P282))</f>
        <v>0</v>
      </c>
      <c r="S282" s="1" t="str">
        <f>INDEX(Table2[[HomeTeam]:[Group_details]],ROWS($N$2:Q282),COLUMNS($N$2:Q282))</f>
        <v>Mexico</v>
      </c>
      <c r="T282" s="1" t="str">
        <f>INDEX(Table2[[HomeTeam]:[Group_details]],ROWS($N$2:R282),COLUMNS($N$2:R282))</f>
        <v xml:space="preserve"> </v>
      </c>
      <c r="U282" s="1" t="str">
        <f>INDEX(Table2[[HomeTeam]:[Group_details]],ROWS($N$2:S282),COLUMNS($N$2:S282))</f>
        <v>Group stages</v>
      </c>
      <c r="V282" s="1" t="b">
        <f t="shared" si="4"/>
        <v>0</v>
      </c>
      <c r="W282" s="1" t="str">
        <f>IF(V282=TRUE,ROWS($V$2:V282),"")</f>
        <v/>
      </c>
      <c r="X282" s="1" t="str">
        <f>IFERROR(SMALL($W$2:$W$853,ROWS($W$2:W282)),"")</f>
        <v/>
      </c>
      <c r="Y282" s="1" t="str">
        <f>IF($X282&lt;&gt;"",INDEX($P$2:$U$853,MATCH($X282,$W$2:$W$853,0),COLUMNS($X$2:X282)),"")</f>
        <v/>
      </c>
      <c r="Z282" s="1" t="str">
        <f>IF($X282&lt;&gt;"",INDEX($P$2:$U$853,MATCH($X282,$W$2:$W$853,0),COLUMNS($X$2:Y282)),"")</f>
        <v/>
      </c>
      <c r="AA282" s="1" t="str">
        <f>IF($X282&lt;&gt;"",INDEX($P$2:$U$853,MATCH($X282,$W$2:$W$853,0),COLUMNS($X$2:Z282)),"")</f>
        <v/>
      </c>
      <c r="AB282" s="1" t="str">
        <f>IF($X282&lt;&gt;"",INDEX($P$2:$U$853,MATCH($X282,$W$2:$W$853,0),COLUMNS($X$2:AA282)),"")</f>
        <v/>
      </c>
      <c r="AC282" s="1" t="str">
        <f>IF($X282&lt;&gt;"",INDEX($P$2:$U$853,MATCH($X282,$W$2:$W$853,0),COLUMNS($X$2:AB282)),"")</f>
        <v/>
      </c>
      <c r="AD282" s="1" t="str">
        <f>IF($X282&lt;&gt;"",INDEX($P$2:$U$853,MATCH($X282,$W$2:$W$853,0),COLUMNS($X$2:AC282)),"")</f>
        <v/>
      </c>
    </row>
    <row r="283" spans="1:30" x14ac:dyDescent="0.2">
      <c r="A283" s="1">
        <v>1978</v>
      </c>
      <c r="B283" s="2">
        <v>28647</v>
      </c>
      <c r="C283" s="1" t="s">
        <v>526</v>
      </c>
      <c r="D283" s="1" t="s">
        <v>9</v>
      </c>
      <c r="E283" s="1" t="s">
        <v>215</v>
      </c>
      <c r="F283" s="1" t="s">
        <v>216</v>
      </c>
      <c r="G283" s="6" t="str">
        <f>VLOOKUP(A283,WorldCups!$A$2:$B$23,2,FALSE)</f>
        <v>Argentina</v>
      </c>
      <c r="H283" s="1" t="s">
        <v>25</v>
      </c>
      <c r="I283" s="1">
        <v>2</v>
      </c>
      <c r="J283" s="1">
        <v>1</v>
      </c>
      <c r="K283" s="1" t="s">
        <v>12</v>
      </c>
      <c r="L283" s="1" t="s">
        <v>14</v>
      </c>
      <c r="M283" s="1" t="str">
        <f>IF(ISNUMBER(SEARCH("Group",Table2[[#This Row],[Round]])),"Group stages",Table2[[#This Row],[Round]])</f>
        <v>Group stages</v>
      </c>
      <c r="O283" s="1">
        <f>Table2[[#This Row],[Year]]</f>
        <v>1978</v>
      </c>
      <c r="P283" s="1" t="str">
        <f>INDEX(Table2[[HomeTeam]:[Group_details]],ROWS($N$2:N283),COLUMNS($N$2:N283))</f>
        <v>Argentina</v>
      </c>
      <c r="Q283" s="1">
        <f>INDEX(Table2[[HomeTeam]:[Group_details]],ROWS($N$2:O283),COLUMNS($N$2:O283))</f>
        <v>2</v>
      </c>
      <c r="R283" s="1">
        <f>INDEX(Table2[[HomeTeam]:[Group_details]],ROWS($N$2:P283),COLUMNS($N$2:P283))</f>
        <v>1</v>
      </c>
      <c r="S283" s="1" t="str">
        <f>INDEX(Table2[[HomeTeam]:[Group_details]],ROWS($N$2:Q283),COLUMNS($N$2:Q283))</f>
        <v>France</v>
      </c>
      <c r="T283" s="1" t="str">
        <f>INDEX(Table2[[HomeTeam]:[Group_details]],ROWS($N$2:R283),COLUMNS($N$2:R283))</f>
        <v xml:space="preserve"> </v>
      </c>
      <c r="U283" s="1" t="str">
        <f>INDEX(Table2[[HomeTeam]:[Group_details]],ROWS($N$2:S283),COLUMNS($N$2:S283))</f>
        <v>Group stages</v>
      </c>
      <c r="V283" s="1" t="b">
        <f t="shared" si="4"/>
        <v>0</v>
      </c>
      <c r="W283" s="1" t="str">
        <f>IF(V283=TRUE,ROWS($V$2:V283),"")</f>
        <v/>
      </c>
      <c r="X283" s="1" t="str">
        <f>IFERROR(SMALL($W$2:$W$853,ROWS($W$2:W283)),"")</f>
        <v/>
      </c>
      <c r="Y283" s="1" t="str">
        <f>IF($X283&lt;&gt;"",INDEX($P$2:$U$853,MATCH($X283,$W$2:$W$853,0),COLUMNS($X$2:X283)),"")</f>
        <v/>
      </c>
      <c r="Z283" s="1" t="str">
        <f>IF($X283&lt;&gt;"",INDEX($P$2:$U$853,MATCH($X283,$W$2:$W$853,0),COLUMNS($X$2:Y283)),"")</f>
        <v/>
      </c>
      <c r="AA283" s="1" t="str">
        <f>IF($X283&lt;&gt;"",INDEX($P$2:$U$853,MATCH($X283,$W$2:$W$853,0),COLUMNS($X$2:Z283)),"")</f>
        <v/>
      </c>
      <c r="AB283" s="1" t="str">
        <f>IF($X283&lt;&gt;"",INDEX($P$2:$U$853,MATCH($X283,$W$2:$W$853,0),COLUMNS($X$2:AA283)),"")</f>
        <v/>
      </c>
      <c r="AC283" s="1" t="str">
        <f>IF($X283&lt;&gt;"",INDEX($P$2:$U$853,MATCH($X283,$W$2:$W$853,0),COLUMNS($X$2:AB283)),"")</f>
        <v/>
      </c>
      <c r="AD283" s="1" t="str">
        <f>IF($X283&lt;&gt;"",INDEX($P$2:$U$853,MATCH($X283,$W$2:$W$853,0),COLUMNS($X$2:AC283)),"")</f>
        <v/>
      </c>
    </row>
    <row r="284" spans="1:30" x14ac:dyDescent="0.2">
      <c r="A284" s="1">
        <v>1978</v>
      </c>
      <c r="B284" s="2">
        <v>28648</v>
      </c>
      <c r="C284" s="1" t="s">
        <v>524</v>
      </c>
      <c r="D284" s="1" t="s">
        <v>22</v>
      </c>
      <c r="E284" s="1" t="s">
        <v>217</v>
      </c>
      <c r="F284" s="1" t="s">
        <v>218</v>
      </c>
      <c r="G284" s="6" t="str">
        <f>VLOOKUP(A284,WorldCups!$A$2:$B$23,2,FALSE)</f>
        <v>Argentina</v>
      </c>
      <c r="H284" s="1" t="s">
        <v>21</v>
      </c>
      <c r="I284" s="1">
        <v>0</v>
      </c>
      <c r="J284" s="1">
        <v>0</v>
      </c>
      <c r="K284" s="1" t="s">
        <v>54</v>
      </c>
      <c r="L284" s="1" t="s">
        <v>14</v>
      </c>
      <c r="M284" s="1" t="str">
        <f>IF(ISNUMBER(SEARCH("Group",Table2[[#This Row],[Round]])),"Group stages",Table2[[#This Row],[Round]])</f>
        <v>Group stages</v>
      </c>
      <c r="O284" s="1">
        <f>Table2[[#This Row],[Year]]</f>
        <v>1978</v>
      </c>
      <c r="P284" s="1" t="str">
        <f>INDEX(Table2[[HomeTeam]:[Group_details]],ROWS($N$2:N284),COLUMNS($N$2:N284))</f>
        <v>Brazil</v>
      </c>
      <c r="Q284" s="1">
        <f>INDEX(Table2[[HomeTeam]:[Group_details]],ROWS($N$2:O284),COLUMNS($N$2:O284))</f>
        <v>0</v>
      </c>
      <c r="R284" s="1">
        <f>INDEX(Table2[[HomeTeam]:[Group_details]],ROWS($N$2:P284),COLUMNS($N$2:P284))</f>
        <v>0</v>
      </c>
      <c r="S284" s="1" t="str">
        <f>INDEX(Table2[[HomeTeam]:[Group_details]],ROWS($N$2:Q284),COLUMNS($N$2:Q284))</f>
        <v>Spain</v>
      </c>
      <c r="T284" s="1" t="str">
        <f>INDEX(Table2[[HomeTeam]:[Group_details]],ROWS($N$2:R284),COLUMNS($N$2:R284))</f>
        <v xml:space="preserve"> </v>
      </c>
      <c r="U284" s="1" t="str">
        <f>INDEX(Table2[[HomeTeam]:[Group_details]],ROWS($N$2:S284),COLUMNS($N$2:S284))</f>
        <v>Group stages</v>
      </c>
      <c r="V284" s="1" t="b">
        <f t="shared" si="4"/>
        <v>0</v>
      </c>
      <c r="W284" s="1" t="str">
        <f>IF(V284=TRUE,ROWS($V$2:V284),"")</f>
        <v/>
      </c>
      <c r="X284" s="1" t="str">
        <f>IFERROR(SMALL($W$2:$W$853,ROWS($W$2:W284)),"")</f>
        <v/>
      </c>
      <c r="Y284" s="1" t="str">
        <f>IF($X284&lt;&gt;"",INDEX($P$2:$U$853,MATCH($X284,$W$2:$W$853,0),COLUMNS($X$2:X284)),"")</f>
        <v/>
      </c>
      <c r="Z284" s="1" t="str">
        <f>IF($X284&lt;&gt;"",INDEX($P$2:$U$853,MATCH($X284,$W$2:$W$853,0),COLUMNS($X$2:Y284)),"")</f>
        <v/>
      </c>
      <c r="AA284" s="1" t="str">
        <f>IF($X284&lt;&gt;"",INDEX($P$2:$U$853,MATCH($X284,$W$2:$W$853,0),COLUMNS($X$2:Z284)),"")</f>
        <v/>
      </c>
      <c r="AB284" s="1" t="str">
        <f>IF($X284&lt;&gt;"",INDEX($P$2:$U$853,MATCH($X284,$W$2:$W$853,0),COLUMNS($X$2:AA284)),"")</f>
        <v/>
      </c>
      <c r="AC284" s="1" t="str">
        <f>IF($X284&lt;&gt;"",INDEX($P$2:$U$853,MATCH($X284,$W$2:$W$853,0),COLUMNS($X$2:AB284)),"")</f>
        <v/>
      </c>
      <c r="AD284" s="1" t="str">
        <f>IF($X284&lt;&gt;"",INDEX($P$2:$U$853,MATCH($X284,$W$2:$W$853,0),COLUMNS($X$2:AC284)),"")</f>
        <v/>
      </c>
    </row>
    <row r="285" spans="1:30" x14ac:dyDescent="0.2">
      <c r="A285" s="1">
        <v>1978</v>
      </c>
      <c r="B285" s="2">
        <v>28648</v>
      </c>
      <c r="C285" s="1" t="s">
        <v>524</v>
      </c>
      <c r="D285" s="1" t="s">
        <v>22</v>
      </c>
      <c r="E285" s="1" t="s">
        <v>222</v>
      </c>
      <c r="F285" s="1" t="s">
        <v>216</v>
      </c>
      <c r="G285" s="6" t="str">
        <f>VLOOKUP(A285,WorldCups!$A$2:$B$23,2,FALSE)</f>
        <v>Argentina</v>
      </c>
      <c r="H285" s="1" t="s">
        <v>36</v>
      </c>
      <c r="I285" s="1">
        <v>1</v>
      </c>
      <c r="J285" s="1">
        <v>0</v>
      </c>
      <c r="K285" s="1" t="s">
        <v>48</v>
      </c>
      <c r="L285" s="1" t="s">
        <v>14</v>
      </c>
      <c r="M285" s="1" t="str">
        <f>IF(ISNUMBER(SEARCH("Group",Table2[[#This Row],[Round]])),"Group stages",Table2[[#This Row],[Round]])</f>
        <v>Group stages</v>
      </c>
      <c r="O285" s="1">
        <f>Table2[[#This Row],[Year]]</f>
        <v>1978</v>
      </c>
      <c r="P285" s="1" t="str">
        <f>INDEX(Table2[[HomeTeam]:[Group_details]],ROWS($N$2:N285),COLUMNS($N$2:N285))</f>
        <v>Austria</v>
      </c>
      <c r="Q285" s="1">
        <f>INDEX(Table2[[HomeTeam]:[Group_details]],ROWS($N$2:O285),COLUMNS($N$2:O285))</f>
        <v>1</v>
      </c>
      <c r="R285" s="1">
        <f>INDEX(Table2[[HomeTeam]:[Group_details]],ROWS($N$2:P285),COLUMNS($N$2:P285))</f>
        <v>0</v>
      </c>
      <c r="S285" s="1" t="str">
        <f>INDEX(Table2[[HomeTeam]:[Group_details]],ROWS($N$2:Q285),COLUMNS($N$2:Q285))</f>
        <v>Sweden</v>
      </c>
      <c r="T285" s="1" t="str">
        <f>INDEX(Table2[[HomeTeam]:[Group_details]],ROWS($N$2:R285),COLUMNS($N$2:R285))</f>
        <v xml:space="preserve"> </v>
      </c>
      <c r="U285" s="1" t="str">
        <f>INDEX(Table2[[HomeTeam]:[Group_details]],ROWS($N$2:S285),COLUMNS($N$2:S285))</f>
        <v>Group stages</v>
      </c>
      <c r="V285" s="1" t="b">
        <f t="shared" si="4"/>
        <v>0</v>
      </c>
      <c r="W285" s="1" t="str">
        <f>IF(V285=TRUE,ROWS($V$2:V285),"")</f>
        <v/>
      </c>
      <c r="X285" s="1" t="str">
        <f>IFERROR(SMALL($W$2:$W$853,ROWS($W$2:W285)),"")</f>
        <v/>
      </c>
      <c r="Y285" s="1" t="str">
        <f>IF($X285&lt;&gt;"",INDEX($P$2:$U$853,MATCH($X285,$W$2:$W$853,0),COLUMNS($X$2:X285)),"")</f>
        <v/>
      </c>
      <c r="Z285" s="1" t="str">
        <f>IF($X285&lt;&gt;"",INDEX($P$2:$U$853,MATCH($X285,$W$2:$W$853,0),COLUMNS($X$2:Y285)),"")</f>
        <v/>
      </c>
      <c r="AA285" s="1" t="str">
        <f>IF($X285&lt;&gt;"",INDEX($P$2:$U$853,MATCH($X285,$W$2:$W$853,0),COLUMNS($X$2:Z285)),"")</f>
        <v/>
      </c>
      <c r="AB285" s="1" t="str">
        <f>IF($X285&lt;&gt;"",INDEX($P$2:$U$853,MATCH($X285,$W$2:$W$853,0),COLUMNS($X$2:AA285)),"")</f>
        <v/>
      </c>
      <c r="AC285" s="1" t="str">
        <f>IF($X285&lt;&gt;"",INDEX($P$2:$U$853,MATCH($X285,$W$2:$W$853,0),COLUMNS($X$2:AB285)),"")</f>
        <v/>
      </c>
      <c r="AD285" s="1" t="str">
        <f>IF($X285&lt;&gt;"",INDEX($P$2:$U$853,MATCH($X285,$W$2:$W$853,0),COLUMNS($X$2:AC285)),"")</f>
        <v/>
      </c>
    </row>
    <row r="286" spans="1:30" x14ac:dyDescent="0.2">
      <c r="A286" s="1">
        <v>1978</v>
      </c>
      <c r="B286" s="2">
        <v>28648</v>
      </c>
      <c r="C286" s="1" t="s">
        <v>525</v>
      </c>
      <c r="D286" s="1" t="s">
        <v>15</v>
      </c>
      <c r="E286" s="1" t="s">
        <v>223</v>
      </c>
      <c r="F286" s="1" t="s">
        <v>224</v>
      </c>
      <c r="G286" s="6" t="str">
        <f>VLOOKUP(A286,WorldCups!$A$2:$B$23,2,FALSE)</f>
        <v>Argentina</v>
      </c>
      <c r="H286" s="1" t="s">
        <v>109</v>
      </c>
      <c r="I286" s="1">
        <v>1</v>
      </c>
      <c r="J286" s="1">
        <v>1</v>
      </c>
      <c r="K286" s="1" t="s">
        <v>227</v>
      </c>
      <c r="L286" s="1" t="s">
        <v>14</v>
      </c>
      <c r="M286" s="1" t="str">
        <f>IF(ISNUMBER(SEARCH("Group",Table2[[#This Row],[Round]])),"Group stages",Table2[[#This Row],[Round]])</f>
        <v>Group stages</v>
      </c>
      <c r="O286" s="1">
        <f>Table2[[#This Row],[Year]]</f>
        <v>1978</v>
      </c>
      <c r="P286" s="1" t="str">
        <f>INDEX(Table2[[HomeTeam]:[Group_details]],ROWS($N$2:N286),COLUMNS($N$2:N286))</f>
        <v>Scotland</v>
      </c>
      <c r="Q286" s="1">
        <f>INDEX(Table2[[HomeTeam]:[Group_details]],ROWS($N$2:O286),COLUMNS($N$2:O286))</f>
        <v>1</v>
      </c>
      <c r="R286" s="1">
        <f>INDEX(Table2[[HomeTeam]:[Group_details]],ROWS($N$2:P286),COLUMNS($N$2:P286))</f>
        <v>1</v>
      </c>
      <c r="S286" s="1" t="str">
        <f>INDEX(Table2[[HomeTeam]:[Group_details]],ROWS($N$2:Q286),COLUMNS($N$2:Q286))</f>
        <v>IR Iran</v>
      </c>
      <c r="T286" s="1" t="str">
        <f>INDEX(Table2[[HomeTeam]:[Group_details]],ROWS($N$2:R286),COLUMNS($N$2:R286))</f>
        <v xml:space="preserve"> </v>
      </c>
      <c r="U286" s="1" t="str">
        <f>INDEX(Table2[[HomeTeam]:[Group_details]],ROWS($N$2:S286),COLUMNS($N$2:S286))</f>
        <v>Group stages</v>
      </c>
      <c r="V286" s="1" t="b">
        <f t="shared" si="4"/>
        <v>0</v>
      </c>
      <c r="W286" s="1" t="str">
        <f>IF(V286=TRUE,ROWS($V$2:V286),"")</f>
        <v/>
      </c>
      <c r="X286" s="1" t="str">
        <f>IFERROR(SMALL($W$2:$W$853,ROWS($W$2:W286)),"")</f>
        <v/>
      </c>
      <c r="Y286" s="1" t="str">
        <f>IF($X286&lt;&gt;"",INDEX($P$2:$U$853,MATCH($X286,$W$2:$W$853,0),COLUMNS($X$2:X286)),"")</f>
        <v/>
      </c>
      <c r="Z286" s="1" t="str">
        <f>IF($X286&lt;&gt;"",INDEX($P$2:$U$853,MATCH($X286,$W$2:$W$853,0),COLUMNS($X$2:Y286)),"")</f>
        <v/>
      </c>
      <c r="AA286" s="1" t="str">
        <f>IF($X286&lt;&gt;"",INDEX($P$2:$U$853,MATCH($X286,$W$2:$W$853,0),COLUMNS($X$2:Z286)),"")</f>
        <v/>
      </c>
      <c r="AB286" s="1" t="str">
        <f>IF($X286&lt;&gt;"",INDEX($P$2:$U$853,MATCH($X286,$W$2:$W$853,0),COLUMNS($X$2:AA286)),"")</f>
        <v/>
      </c>
      <c r="AC286" s="1" t="str">
        <f>IF($X286&lt;&gt;"",INDEX($P$2:$U$853,MATCH($X286,$W$2:$W$853,0),COLUMNS($X$2:AB286)),"")</f>
        <v/>
      </c>
      <c r="AD286" s="1" t="str">
        <f>IF($X286&lt;&gt;"",INDEX($P$2:$U$853,MATCH($X286,$W$2:$W$853,0),COLUMNS($X$2:AC286)),"")</f>
        <v/>
      </c>
    </row>
    <row r="287" spans="1:30" x14ac:dyDescent="0.2">
      <c r="A287" s="1">
        <v>1978</v>
      </c>
      <c r="B287" s="2">
        <v>28648</v>
      </c>
      <c r="C287" s="1" t="s">
        <v>525</v>
      </c>
      <c r="D287" s="1" t="s">
        <v>15</v>
      </c>
      <c r="E287" s="1" t="s">
        <v>225</v>
      </c>
      <c r="F287" s="1" t="s">
        <v>226</v>
      </c>
      <c r="G287" s="6" t="str">
        <f>VLOOKUP(A287,WorldCups!$A$2:$B$23,2,FALSE)</f>
        <v>Argentina</v>
      </c>
      <c r="H287" s="1" t="s">
        <v>45</v>
      </c>
      <c r="I287" s="1">
        <v>0</v>
      </c>
      <c r="J287" s="1">
        <v>0</v>
      </c>
      <c r="K287" s="1" t="s">
        <v>24</v>
      </c>
      <c r="L287" s="1" t="s">
        <v>14</v>
      </c>
      <c r="M287" s="1" t="str">
        <f>IF(ISNUMBER(SEARCH("Group",Table2[[#This Row],[Round]])),"Group stages",Table2[[#This Row],[Round]])</f>
        <v>Group stages</v>
      </c>
      <c r="O287" s="1">
        <f>Table2[[#This Row],[Year]]</f>
        <v>1978</v>
      </c>
      <c r="P287" s="1" t="str">
        <f>INDEX(Table2[[HomeTeam]:[Group_details]],ROWS($N$2:N287),COLUMNS($N$2:N287))</f>
        <v>Netherlands</v>
      </c>
      <c r="Q287" s="1">
        <f>INDEX(Table2[[HomeTeam]:[Group_details]],ROWS($N$2:O287),COLUMNS($N$2:O287))</f>
        <v>0</v>
      </c>
      <c r="R287" s="1">
        <f>INDEX(Table2[[HomeTeam]:[Group_details]],ROWS($N$2:P287),COLUMNS($N$2:P287))</f>
        <v>0</v>
      </c>
      <c r="S287" s="1" t="str">
        <f>INDEX(Table2[[HomeTeam]:[Group_details]],ROWS($N$2:Q287),COLUMNS($N$2:Q287))</f>
        <v>Peru</v>
      </c>
      <c r="T287" s="1" t="str">
        <f>INDEX(Table2[[HomeTeam]:[Group_details]],ROWS($N$2:R287),COLUMNS($N$2:R287))</f>
        <v xml:space="preserve"> </v>
      </c>
      <c r="U287" s="1" t="str">
        <f>INDEX(Table2[[HomeTeam]:[Group_details]],ROWS($N$2:S287),COLUMNS($N$2:S287))</f>
        <v>Group stages</v>
      </c>
      <c r="V287" s="1" t="b">
        <f t="shared" si="4"/>
        <v>0</v>
      </c>
      <c r="W287" s="1" t="str">
        <f>IF(V287=TRUE,ROWS($V$2:V287),"")</f>
        <v/>
      </c>
      <c r="X287" s="1" t="str">
        <f>IFERROR(SMALL($W$2:$W$853,ROWS($W$2:W287)),"")</f>
        <v/>
      </c>
      <c r="Y287" s="1" t="str">
        <f>IF($X287&lt;&gt;"",INDEX($P$2:$U$853,MATCH($X287,$W$2:$W$853,0),COLUMNS($X$2:X287)),"")</f>
        <v/>
      </c>
      <c r="Z287" s="1" t="str">
        <f>IF($X287&lt;&gt;"",INDEX($P$2:$U$853,MATCH($X287,$W$2:$W$853,0),COLUMNS($X$2:Y287)),"")</f>
        <v/>
      </c>
      <c r="AA287" s="1" t="str">
        <f>IF($X287&lt;&gt;"",INDEX($P$2:$U$853,MATCH($X287,$W$2:$W$853,0),COLUMNS($X$2:Z287)),"")</f>
        <v/>
      </c>
      <c r="AB287" s="1" t="str">
        <f>IF($X287&lt;&gt;"",INDEX($P$2:$U$853,MATCH($X287,$W$2:$W$853,0),COLUMNS($X$2:AA287)),"")</f>
        <v/>
      </c>
      <c r="AC287" s="1" t="str">
        <f>IF($X287&lt;&gt;"",INDEX($P$2:$U$853,MATCH($X287,$W$2:$W$853,0),COLUMNS($X$2:AB287)),"")</f>
        <v/>
      </c>
      <c r="AD287" s="1" t="str">
        <f>IF($X287&lt;&gt;"",INDEX($P$2:$U$853,MATCH($X287,$W$2:$W$853,0),COLUMNS($X$2:AC287)),"")</f>
        <v/>
      </c>
    </row>
    <row r="288" spans="1:30" x14ac:dyDescent="0.2">
      <c r="A288" s="1">
        <v>1978</v>
      </c>
      <c r="B288" s="2">
        <v>28651</v>
      </c>
      <c r="C288" s="1" t="s">
        <v>527</v>
      </c>
      <c r="D288" s="1" t="s">
        <v>9</v>
      </c>
      <c r="E288" s="1" t="s">
        <v>217</v>
      </c>
      <c r="F288" s="1" t="s">
        <v>218</v>
      </c>
      <c r="G288" s="6" t="str">
        <f>VLOOKUP(A288,WorldCups!$A$2:$B$23,2,FALSE)</f>
        <v>Argentina</v>
      </c>
      <c r="H288" s="1" t="s">
        <v>12</v>
      </c>
      <c r="I288" s="1">
        <v>3</v>
      </c>
      <c r="J288" s="1">
        <v>1</v>
      </c>
      <c r="K288" s="1" t="s">
        <v>40</v>
      </c>
      <c r="L288" s="1" t="s">
        <v>14</v>
      </c>
      <c r="M288" s="1" t="str">
        <f>IF(ISNUMBER(SEARCH("Group",Table2[[#This Row],[Round]])),"Group stages",Table2[[#This Row],[Round]])</f>
        <v>Group stages</v>
      </c>
      <c r="O288" s="1">
        <f>Table2[[#This Row],[Year]]</f>
        <v>1978</v>
      </c>
      <c r="P288" s="1" t="str">
        <f>INDEX(Table2[[HomeTeam]:[Group_details]],ROWS($N$2:N288),COLUMNS($N$2:N288))</f>
        <v>France</v>
      </c>
      <c r="Q288" s="1">
        <f>INDEX(Table2[[HomeTeam]:[Group_details]],ROWS($N$2:O288),COLUMNS($N$2:O288))</f>
        <v>3</v>
      </c>
      <c r="R288" s="1">
        <f>INDEX(Table2[[HomeTeam]:[Group_details]],ROWS($N$2:P288),COLUMNS($N$2:P288))</f>
        <v>1</v>
      </c>
      <c r="S288" s="1" t="str">
        <f>INDEX(Table2[[HomeTeam]:[Group_details]],ROWS($N$2:Q288),COLUMNS($N$2:Q288))</f>
        <v>Hungary</v>
      </c>
      <c r="T288" s="1" t="str">
        <f>INDEX(Table2[[HomeTeam]:[Group_details]],ROWS($N$2:R288),COLUMNS($N$2:R288))</f>
        <v xml:space="preserve"> </v>
      </c>
      <c r="U288" s="1" t="str">
        <f>INDEX(Table2[[HomeTeam]:[Group_details]],ROWS($N$2:S288),COLUMNS($N$2:S288))</f>
        <v>Group stages</v>
      </c>
      <c r="V288" s="1" t="b">
        <f t="shared" si="4"/>
        <v>0</v>
      </c>
      <c r="W288" s="1" t="str">
        <f>IF(V288=TRUE,ROWS($V$2:V288),"")</f>
        <v/>
      </c>
      <c r="X288" s="1" t="str">
        <f>IFERROR(SMALL($W$2:$W$853,ROWS($W$2:W288)),"")</f>
        <v/>
      </c>
      <c r="Y288" s="1" t="str">
        <f>IF($X288&lt;&gt;"",INDEX($P$2:$U$853,MATCH($X288,$W$2:$W$853,0),COLUMNS($X$2:X288)),"")</f>
        <v/>
      </c>
      <c r="Z288" s="1" t="str">
        <f>IF($X288&lt;&gt;"",INDEX($P$2:$U$853,MATCH($X288,$W$2:$W$853,0),COLUMNS($X$2:Y288)),"")</f>
        <v/>
      </c>
      <c r="AA288" s="1" t="str">
        <f>IF($X288&lt;&gt;"",INDEX($P$2:$U$853,MATCH($X288,$W$2:$W$853,0),COLUMNS($X$2:Z288)),"")</f>
        <v/>
      </c>
      <c r="AB288" s="1" t="str">
        <f>IF($X288&lt;&gt;"",INDEX($P$2:$U$853,MATCH($X288,$W$2:$W$853,0),COLUMNS($X$2:AA288)),"")</f>
        <v/>
      </c>
      <c r="AC288" s="1" t="str">
        <f>IF($X288&lt;&gt;"",INDEX($P$2:$U$853,MATCH($X288,$W$2:$W$853,0),COLUMNS($X$2:AB288)),"")</f>
        <v/>
      </c>
      <c r="AD288" s="1" t="str">
        <f>IF($X288&lt;&gt;"",INDEX($P$2:$U$853,MATCH($X288,$W$2:$W$853,0),COLUMNS($X$2:AC288)),"")</f>
        <v/>
      </c>
    </row>
    <row r="289" spans="1:30" x14ac:dyDescent="0.2">
      <c r="A289" s="1">
        <v>1978</v>
      </c>
      <c r="B289" s="2">
        <v>28651</v>
      </c>
      <c r="C289" s="1" t="s">
        <v>525</v>
      </c>
      <c r="D289" s="1" t="s">
        <v>19</v>
      </c>
      <c r="E289" s="1" t="s">
        <v>219</v>
      </c>
      <c r="F289" s="1" t="s">
        <v>220</v>
      </c>
      <c r="G289" s="6" t="str">
        <f>VLOOKUP(A289,WorldCups!$A$2:$B$23,2,FALSE)</f>
        <v>Argentina</v>
      </c>
      <c r="H289" s="1" t="s">
        <v>80</v>
      </c>
      <c r="I289" s="1">
        <v>3</v>
      </c>
      <c r="J289" s="1">
        <v>1</v>
      </c>
      <c r="K289" s="1" t="s">
        <v>13</v>
      </c>
      <c r="L289" s="1" t="s">
        <v>14</v>
      </c>
      <c r="M289" s="1" t="str">
        <f>IF(ISNUMBER(SEARCH("Group",Table2[[#This Row],[Round]])),"Group stages",Table2[[#This Row],[Round]])</f>
        <v>Group stages</v>
      </c>
      <c r="O289" s="1">
        <f>Table2[[#This Row],[Year]]</f>
        <v>1978</v>
      </c>
      <c r="P289" s="1" t="str">
        <f>INDEX(Table2[[HomeTeam]:[Group_details]],ROWS($N$2:N289),COLUMNS($N$2:N289))</f>
        <v>Poland</v>
      </c>
      <c r="Q289" s="1">
        <f>INDEX(Table2[[HomeTeam]:[Group_details]],ROWS($N$2:O289),COLUMNS($N$2:O289))</f>
        <v>3</v>
      </c>
      <c r="R289" s="1">
        <f>INDEX(Table2[[HomeTeam]:[Group_details]],ROWS($N$2:P289),COLUMNS($N$2:P289))</f>
        <v>1</v>
      </c>
      <c r="S289" s="1" t="str">
        <f>INDEX(Table2[[HomeTeam]:[Group_details]],ROWS($N$2:Q289),COLUMNS($N$2:Q289))</f>
        <v>Mexico</v>
      </c>
      <c r="T289" s="1" t="str">
        <f>INDEX(Table2[[HomeTeam]:[Group_details]],ROWS($N$2:R289),COLUMNS($N$2:R289))</f>
        <v xml:space="preserve"> </v>
      </c>
      <c r="U289" s="1" t="str">
        <f>INDEX(Table2[[HomeTeam]:[Group_details]],ROWS($N$2:S289),COLUMNS($N$2:S289))</f>
        <v>Group stages</v>
      </c>
      <c r="V289" s="1" t="b">
        <f t="shared" si="4"/>
        <v>0</v>
      </c>
      <c r="W289" s="1" t="str">
        <f>IF(V289=TRUE,ROWS($V$2:V289),"")</f>
        <v/>
      </c>
      <c r="X289" s="1" t="str">
        <f>IFERROR(SMALL($W$2:$W$853,ROWS($W$2:W289)),"")</f>
        <v/>
      </c>
      <c r="Y289" s="1" t="str">
        <f>IF($X289&lt;&gt;"",INDEX($P$2:$U$853,MATCH($X289,$W$2:$W$853,0),COLUMNS($X$2:X289)),"")</f>
        <v/>
      </c>
      <c r="Z289" s="1" t="str">
        <f>IF($X289&lt;&gt;"",INDEX($P$2:$U$853,MATCH($X289,$W$2:$W$853,0),COLUMNS($X$2:Y289)),"")</f>
        <v/>
      </c>
      <c r="AA289" s="1" t="str">
        <f>IF($X289&lt;&gt;"",INDEX($P$2:$U$853,MATCH($X289,$W$2:$W$853,0),COLUMNS($X$2:Z289)),"")</f>
        <v/>
      </c>
      <c r="AB289" s="1" t="str">
        <f>IF($X289&lt;&gt;"",INDEX($P$2:$U$853,MATCH($X289,$W$2:$W$853,0),COLUMNS($X$2:AA289)),"")</f>
        <v/>
      </c>
      <c r="AC289" s="1" t="str">
        <f>IF($X289&lt;&gt;"",INDEX($P$2:$U$853,MATCH($X289,$W$2:$W$853,0),COLUMNS($X$2:AB289)),"")</f>
        <v/>
      </c>
      <c r="AD289" s="1" t="str">
        <f>IF($X289&lt;&gt;"",INDEX($P$2:$U$853,MATCH($X289,$W$2:$W$853,0),COLUMNS($X$2:AC289)),"")</f>
        <v/>
      </c>
    </row>
    <row r="290" spans="1:30" x14ac:dyDescent="0.2">
      <c r="A290" s="1">
        <v>1978</v>
      </c>
      <c r="B290" s="2">
        <v>28651</v>
      </c>
      <c r="C290" s="1" t="s">
        <v>525</v>
      </c>
      <c r="D290" s="1" t="s">
        <v>19</v>
      </c>
      <c r="E290" s="1" t="s">
        <v>223</v>
      </c>
      <c r="F290" s="1" t="s">
        <v>224</v>
      </c>
      <c r="G290" s="6" t="str">
        <f>VLOOKUP(A290,WorldCups!$A$2:$B$23,2,FALSE)</f>
        <v>Argentina</v>
      </c>
      <c r="H290" s="1" t="s">
        <v>114</v>
      </c>
      <c r="I290" s="1">
        <v>0</v>
      </c>
      <c r="J290" s="1">
        <v>0</v>
      </c>
      <c r="K290" s="1" t="s">
        <v>221</v>
      </c>
      <c r="L290" s="1" t="s">
        <v>14</v>
      </c>
      <c r="M290" s="1" t="str">
        <f>IF(ISNUMBER(SEARCH("Group",Table2[[#This Row],[Round]])),"Group stages",Table2[[#This Row],[Round]])</f>
        <v>Group stages</v>
      </c>
      <c r="O290" s="1">
        <f>Table2[[#This Row],[Year]]</f>
        <v>1978</v>
      </c>
      <c r="P290" s="1" t="str">
        <f>INDEX(Table2[[HomeTeam]:[Group_details]],ROWS($N$2:N290),COLUMNS($N$2:N290))</f>
        <v>Germany FR</v>
      </c>
      <c r="Q290" s="1">
        <f>INDEX(Table2[[HomeTeam]:[Group_details]],ROWS($N$2:O290),COLUMNS($N$2:O290))</f>
        <v>0</v>
      </c>
      <c r="R290" s="1">
        <f>INDEX(Table2[[HomeTeam]:[Group_details]],ROWS($N$2:P290),COLUMNS($N$2:P290))</f>
        <v>0</v>
      </c>
      <c r="S290" s="1" t="str">
        <f>INDEX(Table2[[HomeTeam]:[Group_details]],ROWS($N$2:Q290),COLUMNS($N$2:Q290))</f>
        <v>Tunisia</v>
      </c>
      <c r="T290" s="1" t="str">
        <f>INDEX(Table2[[HomeTeam]:[Group_details]],ROWS($N$2:R290),COLUMNS($N$2:R290))</f>
        <v xml:space="preserve"> </v>
      </c>
      <c r="U290" s="1" t="str">
        <f>INDEX(Table2[[HomeTeam]:[Group_details]],ROWS($N$2:S290),COLUMNS($N$2:S290))</f>
        <v>Group stages</v>
      </c>
      <c r="V290" s="1" t="b">
        <f t="shared" si="4"/>
        <v>0</v>
      </c>
      <c r="W290" s="1" t="str">
        <f>IF(V290=TRUE,ROWS($V$2:V290),"")</f>
        <v/>
      </c>
      <c r="X290" s="1" t="str">
        <f>IFERROR(SMALL($W$2:$W$853,ROWS($W$2:W290)),"")</f>
        <v/>
      </c>
      <c r="Y290" s="1" t="str">
        <f>IF($X290&lt;&gt;"",INDEX($P$2:$U$853,MATCH($X290,$W$2:$W$853,0),COLUMNS($X$2:X290)),"")</f>
        <v/>
      </c>
      <c r="Z290" s="1" t="str">
        <f>IF($X290&lt;&gt;"",INDEX($P$2:$U$853,MATCH($X290,$W$2:$W$853,0),COLUMNS($X$2:Y290)),"")</f>
        <v/>
      </c>
      <c r="AA290" s="1" t="str">
        <f>IF($X290&lt;&gt;"",INDEX($P$2:$U$853,MATCH($X290,$W$2:$W$853,0),COLUMNS($X$2:Z290)),"")</f>
        <v/>
      </c>
      <c r="AB290" s="1" t="str">
        <f>IF($X290&lt;&gt;"",INDEX($P$2:$U$853,MATCH($X290,$W$2:$W$853,0),COLUMNS($X$2:AA290)),"")</f>
        <v/>
      </c>
      <c r="AC290" s="1" t="str">
        <f>IF($X290&lt;&gt;"",INDEX($P$2:$U$853,MATCH($X290,$W$2:$W$853,0),COLUMNS($X$2:AB290)),"")</f>
        <v/>
      </c>
      <c r="AD290" s="1" t="str">
        <f>IF($X290&lt;&gt;"",INDEX($P$2:$U$853,MATCH($X290,$W$2:$W$853,0),COLUMNS($X$2:AC290)),"")</f>
        <v/>
      </c>
    </row>
    <row r="291" spans="1:30" x14ac:dyDescent="0.2">
      <c r="A291" s="1">
        <v>1978</v>
      </c>
      <c r="B291" s="2">
        <v>28651</v>
      </c>
      <c r="C291" s="1" t="s">
        <v>526</v>
      </c>
      <c r="D291" s="1" t="s">
        <v>9</v>
      </c>
      <c r="E291" s="1" t="s">
        <v>215</v>
      </c>
      <c r="F291" s="1" t="s">
        <v>216</v>
      </c>
      <c r="G291" s="6" t="str">
        <f>VLOOKUP(A291,WorldCups!$A$2:$B$23,2,FALSE)</f>
        <v>Argentina</v>
      </c>
      <c r="H291" s="1" t="s">
        <v>57</v>
      </c>
      <c r="I291" s="1">
        <v>1</v>
      </c>
      <c r="J291" s="1">
        <v>0</v>
      </c>
      <c r="K291" s="1" t="s">
        <v>25</v>
      </c>
      <c r="L291" s="1" t="s">
        <v>14</v>
      </c>
      <c r="M291" s="1" t="str">
        <f>IF(ISNUMBER(SEARCH("Group",Table2[[#This Row],[Round]])),"Group stages",Table2[[#This Row],[Round]])</f>
        <v>Group stages</v>
      </c>
      <c r="O291" s="1">
        <f>Table2[[#This Row],[Year]]</f>
        <v>1978</v>
      </c>
      <c r="P291" s="1" t="str">
        <f>INDEX(Table2[[HomeTeam]:[Group_details]],ROWS($N$2:N291),COLUMNS($N$2:N291))</f>
        <v>Italy</v>
      </c>
      <c r="Q291" s="1">
        <f>INDEX(Table2[[HomeTeam]:[Group_details]],ROWS($N$2:O291),COLUMNS($N$2:O291))</f>
        <v>1</v>
      </c>
      <c r="R291" s="1">
        <f>INDEX(Table2[[HomeTeam]:[Group_details]],ROWS($N$2:P291),COLUMNS($N$2:P291))</f>
        <v>0</v>
      </c>
      <c r="S291" s="1" t="str">
        <f>INDEX(Table2[[HomeTeam]:[Group_details]],ROWS($N$2:Q291),COLUMNS($N$2:Q291))</f>
        <v>Argentina</v>
      </c>
      <c r="T291" s="1" t="str">
        <f>INDEX(Table2[[HomeTeam]:[Group_details]],ROWS($N$2:R291),COLUMNS($N$2:R291))</f>
        <v xml:space="preserve"> </v>
      </c>
      <c r="U291" s="1" t="str">
        <f>INDEX(Table2[[HomeTeam]:[Group_details]],ROWS($N$2:S291),COLUMNS($N$2:S291))</f>
        <v>Group stages</v>
      </c>
      <c r="V291" s="1" t="b">
        <f t="shared" si="4"/>
        <v>0</v>
      </c>
      <c r="W291" s="1" t="str">
        <f>IF(V291=TRUE,ROWS($V$2:V291),"")</f>
        <v/>
      </c>
      <c r="X291" s="1" t="str">
        <f>IFERROR(SMALL($W$2:$W$853,ROWS($W$2:W291)),"")</f>
        <v/>
      </c>
      <c r="Y291" s="1" t="str">
        <f>IF($X291&lt;&gt;"",INDEX($P$2:$U$853,MATCH($X291,$W$2:$W$853,0),COLUMNS($X$2:X291)),"")</f>
        <v/>
      </c>
      <c r="Z291" s="1" t="str">
        <f>IF($X291&lt;&gt;"",INDEX($P$2:$U$853,MATCH($X291,$W$2:$W$853,0),COLUMNS($X$2:Y291)),"")</f>
        <v/>
      </c>
      <c r="AA291" s="1" t="str">
        <f>IF($X291&lt;&gt;"",INDEX($P$2:$U$853,MATCH($X291,$W$2:$W$853,0),COLUMNS($X$2:Z291)),"")</f>
        <v/>
      </c>
      <c r="AB291" s="1" t="str">
        <f>IF($X291&lt;&gt;"",INDEX($P$2:$U$853,MATCH($X291,$W$2:$W$853,0),COLUMNS($X$2:AA291)),"")</f>
        <v/>
      </c>
      <c r="AC291" s="1" t="str">
        <f>IF($X291&lt;&gt;"",INDEX($P$2:$U$853,MATCH($X291,$W$2:$W$853,0),COLUMNS($X$2:AB291)),"")</f>
        <v/>
      </c>
      <c r="AD291" s="1" t="str">
        <f>IF($X291&lt;&gt;"",INDEX($P$2:$U$853,MATCH($X291,$W$2:$W$853,0),COLUMNS($X$2:AC291)),"")</f>
        <v/>
      </c>
    </row>
    <row r="292" spans="1:30" x14ac:dyDescent="0.2">
      <c r="A292" s="1">
        <v>1978</v>
      </c>
      <c r="B292" s="2">
        <v>28652</v>
      </c>
      <c r="C292" s="1" t="s">
        <v>524</v>
      </c>
      <c r="D292" s="1" t="s">
        <v>22</v>
      </c>
      <c r="E292" s="1" t="s">
        <v>217</v>
      </c>
      <c r="F292" s="1" t="s">
        <v>218</v>
      </c>
      <c r="G292" s="6" t="str">
        <f>VLOOKUP(A292,WorldCups!$A$2:$B$23,2,FALSE)</f>
        <v>Argentina</v>
      </c>
      <c r="H292" s="1" t="s">
        <v>21</v>
      </c>
      <c r="I292" s="1">
        <v>1</v>
      </c>
      <c r="J292" s="1">
        <v>0</v>
      </c>
      <c r="K292" s="1" t="s">
        <v>36</v>
      </c>
      <c r="L292" s="1" t="s">
        <v>14</v>
      </c>
      <c r="M292" s="1" t="str">
        <f>IF(ISNUMBER(SEARCH("Group",Table2[[#This Row],[Round]])),"Group stages",Table2[[#This Row],[Round]])</f>
        <v>Group stages</v>
      </c>
      <c r="O292" s="1">
        <f>Table2[[#This Row],[Year]]</f>
        <v>1978</v>
      </c>
      <c r="P292" s="1" t="str">
        <f>INDEX(Table2[[HomeTeam]:[Group_details]],ROWS($N$2:N292),COLUMNS($N$2:N292))</f>
        <v>Brazil</v>
      </c>
      <c r="Q292" s="1">
        <f>INDEX(Table2[[HomeTeam]:[Group_details]],ROWS($N$2:O292),COLUMNS($N$2:O292))</f>
        <v>1</v>
      </c>
      <c r="R292" s="1">
        <f>INDEX(Table2[[HomeTeam]:[Group_details]],ROWS($N$2:P292),COLUMNS($N$2:P292))</f>
        <v>0</v>
      </c>
      <c r="S292" s="1" t="str">
        <f>INDEX(Table2[[HomeTeam]:[Group_details]],ROWS($N$2:Q292),COLUMNS($N$2:Q292))</f>
        <v>Austria</v>
      </c>
      <c r="T292" s="1" t="str">
        <f>INDEX(Table2[[HomeTeam]:[Group_details]],ROWS($N$2:R292),COLUMNS($N$2:R292))</f>
        <v xml:space="preserve"> </v>
      </c>
      <c r="U292" s="1" t="str">
        <f>INDEX(Table2[[HomeTeam]:[Group_details]],ROWS($N$2:S292),COLUMNS($N$2:S292))</f>
        <v>Group stages</v>
      </c>
      <c r="V292" s="1" t="b">
        <f t="shared" si="4"/>
        <v>0</v>
      </c>
      <c r="W292" s="1" t="str">
        <f>IF(V292=TRUE,ROWS($V$2:V292),"")</f>
        <v/>
      </c>
      <c r="X292" s="1" t="str">
        <f>IFERROR(SMALL($W$2:$W$853,ROWS($W$2:W292)),"")</f>
        <v/>
      </c>
      <c r="Y292" s="1" t="str">
        <f>IF($X292&lt;&gt;"",INDEX($P$2:$U$853,MATCH($X292,$W$2:$W$853,0),COLUMNS($X$2:X292)),"")</f>
        <v/>
      </c>
      <c r="Z292" s="1" t="str">
        <f>IF($X292&lt;&gt;"",INDEX($P$2:$U$853,MATCH($X292,$W$2:$W$853,0),COLUMNS($X$2:Y292)),"")</f>
        <v/>
      </c>
      <c r="AA292" s="1" t="str">
        <f>IF($X292&lt;&gt;"",INDEX($P$2:$U$853,MATCH($X292,$W$2:$W$853,0),COLUMNS($X$2:Z292)),"")</f>
        <v/>
      </c>
      <c r="AB292" s="1" t="str">
        <f>IF($X292&lt;&gt;"",INDEX($P$2:$U$853,MATCH($X292,$W$2:$W$853,0),COLUMNS($X$2:AA292)),"")</f>
        <v/>
      </c>
      <c r="AC292" s="1" t="str">
        <f>IF($X292&lt;&gt;"",INDEX($P$2:$U$853,MATCH($X292,$W$2:$W$853,0),COLUMNS($X$2:AB292)),"")</f>
        <v/>
      </c>
      <c r="AD292" s="1" t="str">
        <f>IF($X292&lt;&gt;"",INDEX($P$2:$U$853,MATCH($X292,$W$2:$W$853,0),COLUMNS($X$2:AC292)),"")</f>
        <v/>
      </c>
    </row>
    <row r="293" spans="1:30" x14ac:dyDescent="0.2">
      <c r="A293" s="1">
        <v>1978</v>
      </c>
      <c r="B293" s="2">
        <v>28652</v>
      </c>
      <c r="C293" s="1" t="s">
        <v>524</v>
      </c>
      <c r="D293" s="1" t="s">
        <v>22</v>
      </c>
      <c r="E293" s="1" t="s">
        <v>222</v>
      </c>
      <c r="F293" s="1" t="s">
        <v>216</v>
      </c>
      <c r="G293" s="6" t="str">
        <f>VLOOKUP(A293,WorldCups!$A$2:$B$23,2,FALSE)</f>
        <v>Argentina</v>
      </c>
      <c r="H293" s="1" t="s">
        <v>54</v>
      </c>
      <c r="I293" s="1">
        <v>1</v>
      </c>
      <c r="J293" s="1">
        <v>0</v>
      </c>
      <c r="K293" s="1" t="s">
        <v>48</v>
      </c>
      <c r="L293" s="1" t="s">
        <v>14</v>
      </c>
      <c r="M293" s="1" t="str">
        <f>IF(ISNUMBER(SEARCH("Group",Table2[[#This Row],[Round]])),"Group stages",Table2[[#This Row],[Round]])</f>
        <v>Group stages</v>
      </c>
      <c r="O293" s="1">
        <f>Table2[[#This Row],[Year]]</f>
        <v>1978</v>
      </c>
      <c r="P293" s="1" t="str">
        <f>INDEX(Table2[[HomeTeam]:[Group_details]],ROWS($N$2:N293),COLUMNS($N$2:N293))</f>
        <v>Spain</v>
      </c>
      <c r="Q293" s="1">
        <f>INDEX(Table2[[HomeTeam]:[Group_details]],ROWS($N$2:O293),COLUMNS($N$2:O293))</f>
        <v>1</v>
      </c>
      <c r="R293" s="1">
        <f>INDEX(Table2[[HomeTeam]:[Group_details]],ROWS($N$2:P293),COLUMNS($N$2:P293))</f>
        <v>0</v>
      </c>
      <c r="S293" s="1" t="str">
        <f>INDEX(Table2[[HomeTeam]:[Group_details]],ROWS($N$2:Q293),COLUMNS($N$2:Q293))</f>
        <v>Sweden</v>
      </c>
      <c r="T293" s="1" t="str">
        <f>INDEX(Table2[[HomeTeam]:[Group_details]],ROWS($N$2:R293),COLUMNS($N$2:R293))</f>
        <v xml:space="preserve"> </v>
      </c>
      <c r="U293" s="1" t="str">
        <f>INDEX(Table2[[HomeTeam]:[Group_details]],ROWS($N$2:S293),COLUMNS($N$2:S293))</f>
        <v>Group stages</v>
      </c>
      <c r="V293" s="1" t="b">
        <f t="shared" si="4"/>
        <v>0</v>
      </c>
      <c r="W293" s="1" t="str">
        <f>IF(V293=TRUE,ROWS($V$2:V293),"")</f>
        <v/>
      </c>
      <c r="X293" s="1" t="str">
        <f>IFERROR(SMALL($W$2:$W$853,ROWS($W$2:W293)),"")</f>
        <v/>
      </c>
      <c r="Y293" s="1" t="str">
        <f>IF($X293&lt;&gt;"",INDEX($P$2:$U$853,MATCH($X293,$W$2:$W$853,0),COLUMNS($X$2:X293)),"")</f>
        <v/>
      </c>
      <c r="Z293" s="1" t="str">
        <f>IF($X293&lt;&gt;"",INDEX($P$2:$U$853,MATCH($X293,$W$2:$W$853,0),COLUMNS($X$2:Y293)),"")</f>
        <v/>
      </c>
      <c r="AA293" s="1" t="str">
        <f>IF($X293&lt;&gt;"",INDEX($P$2:$U$853,MATCH($X293,$W$2:$W$853,0),COLUMNS($X$2:Z293)),"")</f>
        <v/>
      </c>
      <c r="AB293" s="1" t="str">
        <f>IF($X293&lt;&gt;"",INDEX($P$2:$U$853,MATCH($X293,$W$2:$W$853,0),COLUMNS($X$2:AA293)),"")</f>
        <v/>
      </c>
      <c r="AC293" s="1" t="str">
        <f>IF($X293&lt;&gt;"",INDEX($P$2:$U$853,MATCH($X293,$W$2:$W$853,0),COLUMNS($X$2:AB293)),"")</f>
        <v/>
      </c>
      <c r="AD293" s="1" t="str">
        <f>IF($X293&lt;&gt;"",INDEX($P$2:$U$853,MATCH($X293,$W$2:$W$853,0),COLUMNS($X$2:AC293)),"")</f>
        <v/>
      </c>
    </row>
    <row r="294" spans="1:30" x14ac:dyDescent="0.2">
      <c r="A294" s="1">
        <v>1978</v>
      </c>
      <c r="B294" s="2">
        <v>28652</v>
      </c>
      <c r="C294" s="1" t="s">
        <v>525</v>
      </c>
      <c r="D294" s="1" t="s">
        <v>15</v>
      </c>
      <c r="E294" s="1" t="s">
        <v>223</v>
      </c>
      <c r="F294" s="1" t="s">
        <v>224</v>
      </c>
      <c r="G294" s="6" t="str">
        <f>VLOOKUP(A294,WorldCups!$A$2:$B$23,2,FALSE)</f>
        <v>Argentina</v>
      </c>
      <c r="H294" s="1" t="s">
        <v>24</v>
      </c>
      <c r="I294" s="1">
        <v>4</v>
      </c>
      <c r="J294" s="1">
        <v>1</v>
      </c>
      <c r="K294" s="1" t="s">
        <v>228</v>
      </c>
      <c r="L294" s="1" t="s">
        <v>14</v>
      </c>
      <c r="M294" s="1" t="str">
        <f>IF(ISNUMBER(SEARCH("Group",Table2[[#This Row],[Round]])),"Group stages",Table2[[#This Row],[Round]])</f>
        <v>Group stages</v>
      </c>
      <c r="O294" s="1">
        <f>Table2[[#This Row],[Year]]</f>
        <v>1978</v>
      </c>
      <c r="P294" s="1" t="str">
        <f>INDEX(Table2[[HomeTeam]:[Group_details]],ROWS($N$2:N294),COLUMNS($N$2:N294))</f>
        <v>Peru</v>
      </c>
      <c r="Q294" s="1">
        <f>INDEX(Table2[[HomeTeam]:[Group_details]],ROWS($N$2:O294),COLUMNS($N$2:O294))</f>
        <v>4</v>
      </c>
      <c r="R294" s="1">
        <f>INDEX(Table2[[HomeTeam]:[Group_details]],ROWS($N$2:P294),COLUMNS($N$2:P294))</f>
        <v>1</v>
      </c>
      <c r="S294" s="1" t="str">
        <f>INDEX(Table2[[HomeTeam]:[Group_details]],ROWS($N$2:Q294),COLUMNS($N$2:Q294))</f>
        <v>Iran</v>
      </c>
      <c r="T294" s="1" t="str">
        <f>INDEX(Table2[[HomeTeam]:[Group_details]],ROWS($N$2:R294),COLUMNS($N$2:R294))</f>
        <v xml:space="preserve"> </v>
      </c>
      <c r="U294" s="1" t="str">
        <f>INDEX(Table2[[HomeTeam]:[Group_details]],ROWS($N$2:S294),COLUMNS($N$2:S294))</f>
        <v>Group stages</v>
      </c>
      <c r="V294" s="1" t="b">
        <f t="shared" si="4"/>
        <v>0</v>
      </c>
      <c r="W294" s="1" t="str">
        <f>IF(V294=TRUE,ROWS($V$2:V294),"")</f>
        <v/>
      </c>
      <c r="X294" s="1" t="str">
        <f>IFERROR(SMALL($W$2:$W$853,ROWS($W$2:W294)),"")</f>
        <v/>
      </c>
      <c r="Y294" s="1" t="str">
        <f>IF($X294&lt;&gt;"",INDEX($P$2:$U$853,MATCH($X294,$W$2:$W$853,0),COLUMNS($X$2:X294)),"")</f>
        <v/>
      </c>
      <c r="Z294" s="1" t="str">
        <f>IF($X294&lt;&gt;"",INDEX($P$2:$U$853,MATCH($X294,$W$2:$W$853,0),COLUMNS($X$2:Y294)),"")</f>
        <v/>
      </c>
      <c r="AA294" s="1" t="str">
        <f>IF($X294&lt;&gt;"",INDEX($P$2:$U$853,MATCH($X294,$W$2:$W$853,0),COLUMNS($X$2:Z294)),"")</f>
        <v/>
      </c>
      <c r="AB294" s="1" t="str">
        <f>IF($X294&lt;&gt;"",INDEX($P$2:$U$853,MATCH($X294,$W$2:$W$853,0),COLUMNS($X$2:AA294)),"")</f>
        <v/>
      </c>
      <c r="AC294" s="1" t="str">
        <f>IF($X294&lt;&gt;"",INDEX($P$2:$U$853,MATCH($X294,$W$2:$W$853,0),COLUMNS($X$2:AB294)),"")</f>
        <v/>
      </c>
      <c r="AD294" s="1" t="str">
        <f>IF($X294&lt;&gt;"",INDEX($P$2:$U$853,MATCH($X294,$W$2:$W$853,0),COLUMNS($X$2:AC294)),"")</f>
        <v/>
      </c>
    </row>
    <row r="295" spans="1:30" x14ac:dyDescent="0.2">
      <c r="A295" s="1">
        <v>1978</v>
      </c>
      <c r="B295" s="2">
        <v>28652</v>
      </c>
      <c r="C295" s="1" t="s">
        <v>525</v>
      </c>
      <c r="D295" s="1" t="s">
        <v>15</v>
      </c>
      <c r="E295" s="1" t="s">
        <v>225</v>
      </c>
      <c r="F295" s="1" t="s">
        <v>226</v>
      </c>
      <c r="G295" s="6" t="str">
        <f>VLOOKUP(A295,WorldCups!$A$2:$B$23,2,FALSE)</f>
        <v>Argentina</v>
      </c>
      <c r="H295" s="1" t="s">
        <v>109</v>
      </c>
      <c r="I295" s="1">
        <v>3</v>
      </c>
      <c r="J295" s="1">
        <v>2</v>
      </c>
      <c r="K295" s="1" t="s">
        <v>45</v>
      </c>
      <c r="L295" s="1" t="s">
        <v>14</v>
      </c>
      <c r="M295" s="1" t="str">
        <f>IF(ISNUMBER(SEARCH("Group",Table2[[#This Row],[Round]])),"Group stages",Table2[[#This Row],[Round]])</f>
        <v>Group stages</v>
      </c>
      <c r="O295" s="1">
        <f>Table2[[#This Row],[Year]]</f>
        <v>1978</v>
      </c>
      <c r="P295" s="1" t="str">
        <f>INDEX(Table2[[HomeTeam]:[Group_details]],ROWS($N$2:N295),COLUMNS($N$2:N295))</f>
        <v>Scotland</v>
      </c>
      <c r="Q295" s="1">
        <f>INDEX(Table2[[HomeTeam]:[Group_details]],ROWS($N$2:O295),COLUMNS($N$2:O295))</f>
        <v>3</v>
      </c>
      <c r="R295" s="1">
        <f>INDEX(Table2[[HomeTeam]:[Group_details]],ROWS($N$2:P295),COLUMNS($N$2:P295))</f>
        <v>2</v>
      </c>
      <c r="S295" s="1" t="str">
        <f>INDEX(Table2[[HomeTeam]:[Group_details]],ROWS($N$2:Q295),COLUMNS($N$2:Q295))</f>
        <v>Netherlands</v>
      </c>
      <c r="T295" s="1" t="str">
        <f>INDEX(Table2[[HomeTeam]:[Group_details]],ROWS($N$2:R295),COLUMNS($N$2:R295))</f>
        <v xml:space="preserve"> </v>
      </c>
      <c r="U295" s="1" t="str">
        <f>INDEX(Table2[[HomeTeam]:[Group_details]],ROWS($N$2:S295),COLUMNS($N$2:S295))</f>
        <v>Group stages</v>
      </c>
      <c r="V295" s="1" t="b">
        <f t="shared" si="4"/>
        <v>0</v>
      </c>
      <c r="W295" s="1" t="str">
        <f>IF(V295=TRUE,ROWS($V$2:V295),"")</f>
        <v/>
      </c>
      <c r="X295" s="1" t="str">
        <f>IFERROR(SMALL($W$2:$W$853,ROWS($W$2:W295)),"")</f>
        <v/>
      </c>
      <c r="Y295" s="1" t="str">
        <f>IF($X295&lt;&gt;"",INDEX($P$2:$U$853,MATCH($X295,$W$2:$W$853,0),COLUMNS($X$2:X295)),"")</f>
        <v/>
      </c>
      <c r="Z295" s="1" t="str">
        <f>IF($X295&lt;&gt;"",INDEX($P$2:$U$853,MATCH($X295,$W$2:$W$853,0),COLUMNS($X$2:Y295)),"")</f>
        <v/>
      </c>
      <c r="AA295" s="1" t="str">
        <f>IF($X295&lt;&gt;"",INDEX($P$2:$U$853,MATCH($X295,$W$2:$W$853,0),COLUMNS($X$2:Z295)),"")</f>
        <v/>
      </c>
      <c r="AB295" s="1" t="str">
        <f>IF($X295&lt;&gt;"",INDEX($P$2:$U$853,MATCH($X295,$W$2:$W$853,0),COLUMNS($X$2:AA295)),"")</f>
        <v/>
      </c>
      <c r="AC295" s="1" t="str">
        <f>IF($X295&lt;&gt;"",INDEX($P$2:$U$853,MATCH($X295,$W$2:$W$853,0),COLUMNS($X$2:AB295)),"")</f>
        <v/>
      </c>
      <c r="AD295" s="1" t="str">
        <f>IF($X295&lt;&gt;"",INDEX($P$2:$U$853,MATCH($X295,$W$2:$W$853,0),COLUMNS($X$2:AC295)),"")</f>
        <v/>
      </c>
    </row>
    <row r="296" spans="1:30" x14ac:dyDescent="0.2">
      <c r="A296" s="1">
        <v>1978</v>
      </c>
      <c r="B296" s="2">
        <v>28655</v>
      </c>
      <c r="C296" s="1" t="s">
        <v>524</v>
      </c>
      <c r="D296" s="1" t="s">
        <v>214</v>
      </c>
      <c r="E296" s="1" t="s">
        <v>215</v>
      </c>
      <c r="F296" s="1" t="s">
        <v>216</v>
      </c>
      <c r="G296" s="6" t="str">
        <f>VLOOKUP(A296,WorldCups!$A$2:$B$23,2,FALSE)</f>
        <v>Argentina</v>
      </c>
      <c r="H296" s="1" t="s">
        <v>114</v>
      </c>
      <c r="I296" s="1">
        <v>0</v>
      </c>
      <c r="J296" s="1">
        <v>0</v>
      </c>
      <c r="K296" s="1" t="s">
        <v>57</v>
      </c>
      <c r="L296" s="1" t="s">
        <v>14</v>
      </c>
      <c r="M296" s="1" t="str">
        <f>IF(ISNUMBER(SEARCH("Group",Table2[[#This Row],[Round]])),"Group stages",Table2[[#This Row],[Round]])</f>
        <v>Group stages</v>
      </c>
      <c r="O296" s="1">
        <f>Table2[[#This Row],[Year]]</f>
        <v>1978</v>
      </c>
      <c r="P296" s="1" t="str">
        <f>INDEX(Table2[[HomeTeam]:[Group_details]],ROWS($N$2:N296),COLUMNS($N$2:N296))</f>
        <v>Germany FR</v>
      </c>
      <c r="Q296" s="1">
        <f>INDEX(Table2[[HomeTeam]:[Group_details]],ROWS($N$2:O296),COLUMNS($N$2:O296))</f>
        <v>0</v>
      </c>
      <c r="R296" s="1">
        <f>INDEX(Table2[[HomeTeam]:[Group_details]],ROWS($N$2:P296),COLUMNS($N$2:P296))</f>
        <v>0</v>
      </c>
      <c r="S296" s="1" t="str">
        <f>INDEX(Table2[[HomeTeam]:[Group_details]],ROWS($N$2:Q296),COLUMNS($N$2:Q296))</f>
        <v>Italy</v>
      </c>
      <c r="T296" s="1" t="str">
        <f>INDEX(Table2[[HomeTeam]:[Group_details]],ROWS($N$2:R296),COLUMNS($N$2:R296))</f>
        <v xml:space="preserve"> </v>
      </c>
      <c r="U296" s="1" t="str">
        <f>INDEX(Table2[[HomeTeam]:[Group_details]],ROWS($N$2:S296),COLUMNS($N$2:S296))</f>
        <v>Group stages</v>
      </c>
      <c r="V296" s="1" t="b">
        <f t="shared" si="4"/>
        <v>0</v>
      </c>
      <c r="W296" s="1" t="str">
        <f>IF(V296=TRUE,ROWS($V$2:V296),"")</f>
        <v/>
      </c>
      <c r="X296" s="1" t="str">
        <f>IFERROR(SMALL($W$2:$W$853,ROWS($W$2:W296)),"")</f>
        <v/>
      </c>
      <c r="Y296" s="1" t="str">
        <f>IF($X296&lt;&gt;"",INDEX($P$2:$U$853,MATCH($X296,$W$2:$W$853,0),COLUMNS($X$2:X296)),"")</f>
        <v/>
      </c>
      <c r="Z296" s="1" t="str">
        <f>IF($X296&lt;&gt;"",INDEX($P$2:$U$853,MATCH($X296,$W$2:$W$853,0),COLUMNS($X$2:Y296)),"")</f>
        <v/>
      </c>
      <c r="AA296" s="1" t="str">
        <f>IF($X296&lt;&gt;"",INDEX($P$2:$U$853,MATCH($X296,$W$2:$W$853,0),COLUMNS($X$2:Z296)),"")</f>
        <v/>
      </c>
      <c r="AB296" s="1" t="str">
        <f>IF($X296&lt;&gt;"",INDEX($P$2:$U$853,MATCH($X296,$W$2:$W$853,0),COLUMNS($X$2:AA296)),"")</f>
        <v/>
      </c>
      <c r="AC296" s="1" t="str">
        <f>IF($X296&lt;&gt;"",INDEX($P$2:$U$853,MATCH($X296,$W$2:$W$853,0),COLUMNS($X$2:AB296)),"")</f>
        <v/>
      </c>
      <c r="AD296" s="1" t="str">
        <f>IF($X296&lt;&gt;"",INDEX($P$2:$U$853,MATCH($X296,$W$2:$W$853,0),COLUMNS($X$2:AC296)),"")</f>
        <v/>
      </c>
    </row>
    <row r="297" spans="1:30" x14ac:dyDescent="0.2">
      <c r="A297" s="1">
        <v>1978</v>
      </c>
      <c r="B297" s="2">
        <v>28655</v>
      </c>
      <c r="C297" s="1" t="s">
        <v>524</v>
      </c>
      <c r="D297" s="1" t="s">
        <v>214</v>
      </c>
      <c r="E297" s="1" t="s">
        <v>223</v>
      </c>
      <c r="F297" s="1" t="s">
        <v>224</v>
      </c>
      <c r="G297" s="6" t="str">
        <f>VLOOKUP(A297,WorldCups!$A$2:$B$23,2,FALSE)</f>
        <v>Argentina</v>
      </c>
      <c r="H297" s="1" t="s">
        <v>45</v>
      </c>
      <c r="I297" s="1">
        <v>5</v>
      </c>
      <c r="J297" s="1">
        <v>1</v>
      </c>
      <c r="K297" s="1" t="s">
        <v>36</v>
      </c>
      <c r="L297" s="1" t="s">
        <v>14</v>
      </c>
      <c r="M297" s="1" t="str">
        <f>IF(ISNUMBER(SEARCH("Group",Table2[[#This Row],[Round]])),"Group stages",Table2[[#This Row],[Round]])</f>
        <v>Group stages</v>
      </c>
      <c r="O297" s="1">
        <f>Table2[[#This Row],[Year]]</f>
        <v>1978</v>
      </c>
      <c r="P297" s="1" t="str">
        <f>INDEX(Table2[[HomeTeam]:[Group_details]],ROWS($N$2:N297),COLUMNS($N$2:N297))</f>
        <v>Netherlands</v>
      </c>
      <c r="Q297" s="1">
        <f>INDEX(Table2[[HomeTeam]:[Group_details]],ROWS($N$2:O297),COLUMNS($N$2:O297))</f>
        <v>5</v>
      </c>
      <c r="R297" s="1">
        <f>INDEX(Table2[[HomeTeam]:[Group_details]],ROWS($N$2:P297),COLUMNS($N$2:P297))</f>
        <v>1</v>
      </c>
      <c r="S297" s="1" t="str">
        <f>INDEX(Table2[[HomeTeam]:[Group_details]],ROWS($N$2:Q297),COLUMNS($N$2:Q297))</f>
        <v>Austria</v>
      </c>
      <c r="T297" s="1" t="str">
        <f>INDEX(Table2[[HomeTeam]:[Group_details]],ROWS($N$2:R297),COLUMNS($N$2:R297))</f>
        <v xml:space="preserve"> </v>
      </c>
      <c r="U297" s="1" t="str">
        <f>INDEX(Table2[[HomeTeam]:[Group_details]],ROWS($N$2:S297),COLUMNS($N$2:S297))</f>
        <v>Group stages</v>
      </c>
      <c r="V297" s="1" t="b">
        <f t="shared" si="4"/>
        <v>0</v>
      </c>
      <c r="W297" s="1" t="str">
        <f>IF(V297=TRUE,ROWS($V$2:V297),"")</f>
        <v/>
      </c>
      <c r="X297" s="1" t="str">
        <f>IFERROR(SMALL($W$2:$W$853,ROWS($W$2:W297)),"")</f>
        <v/>
      </c>
      <c r="Y297" s="1" t="str">
        <f>IF($X297&lt;&gt;"",INDEX($P$2:$U$853,MATCH($X297,$W$2:$W$853,0),COLUMNS($X$2:X297)),"")</f>
        <v/>
      </c>
      <c r="Z297" s="1" t="str">
        <f>IF($X297&lt;&gt;"",INDEX($P$2:$U$853,MATCH($X297,$W$2:$W$853,0),COLUMNS($X$2:Y297)),"")</f>
        <v/>
      </c>
      <c r="AA297" s="1" t="str">
        <f>IF($X297&lt;&gt;"",INDEX($P$2:$U$853,MATCH($X297,$W$2:$W$853,0),COLUMNS($X$2:Z297)),"")</f>
        <v/>
      </c>
      <c r="AB297" s="1" t="str">
        <f>IF($X297&lt;&gt;"",INDEX($P$2:$U$853,MATCH($X297,$W$2:$W$853,0),COLUMNS($X$2:AA297)),"")</f>
        <v/>
      </c>
      <c r="AC297" s="1" t="str">
        <f>IF($X297&lt;&gt;"",INDEX($P$2:$U$853,MATCH($X297,$W$2:$W$853,0),COLUMNS($X$2:AB297)),"")</f>
        <v/>
      </c>
      <c r="AD297" s="1" t="str">
        <f>IF($X297&lt;&gt;"",INDEX($P$2:$U$853,MATCH($X297,$W$2:$W$853,0),COLUMNS($X$2:AC297)),"")</f>
        <v/>
      </c>
    </row>
    <row r="298" spans="1:30" x14ac:dyDescent="0.2">
      <c r="A298" s="1">
        <v>1978</v>
      </c>
      <c r="B298" s="2">
        <v>28655</v>
      </c>
      <c r="C298" s="1" t="s">
        <v>525</v>
      </c>
      <c r="D298" s="1" t="s">
        <v>213</v>
      </c>
      <c r="E298" s="1" t="s">
        <v>225</v>
      </c>
      <c r="F298" s="1" t="s">
        <v>226</v>
      </c>
      <c r="G298" s="6" t="str">
        <f>VLOOKUP(A298,WorldCups!$A$2:$B$23,2,FALSE)</f>
        <v>Argentina</v>
      </c>
      <c r="H298" s="1" t="s">
        <v>21</v>
      </c>
      <c r="I298" s="1">
        <v>3</v>
      </c>
      <c r="J298" s="1">
        <v>0</v>
      </c>
      <c r="K298" s="1" t="s">
        <v>24</v>
      </c>
      <c r="L298" s="1" t="s">
        <v>14</v>
      </c>
      <c r="M298" s="1" t="str">
        <f>IF(ISNUMBER(SEARCH("Group",Table2[[#This Row],[Round]])),"Group stages",Table2[[#This Row],[Round]])</f>
        <v>Group stages</v>
      </c>
      <c r="O298" s="1">
        <f>Table2[[#This Row],[Year]]</f>
        <v>1978</v>
      </c>
      <c r="P298" s="1" t="str">
        <f>INDEX(Table2[[HomeTeam]:[Group_details]],ROWS($N$2:N298),COLUMNS($N$2:N298))</f>
        <v>Brazil</v>
      </c>
      <c r="Q298" s="1">
        <f>INDEX(Table2[[HomeTeam]:[Group_details]],ROWS($N$2:O298),COLUMNS($N$2:O298))</f>
        <v>3</v>
      </c>
      <c r="R298" s="1">
        <f>INDEX(Table2[[HomeTeam]:[Group_details]],ROWS($N$2:P298),COLUMNS($N$2:P298))</f>
        <v>0</v>
      </c>
      <c r="S298" s="1" t="str">
        <f>INDEX(Table2[[HomeTeam]:[Group_details]],ROWS($N$2:Q298),COLUMNS($N$2:Q298))</f>
        <v>Peru</v>
      </c>
      <c r="T298" s="1" t="str">
        <f>INDEX(Table2[[HomeTeam]:[Group_details]],ROWS($N$2:R298),COLUMNS($N$2:R298))</f>
        <v xml:space="preserve"> </v>
      </c>
      <c r="U298" s="1" t="str">
        <f>INDEX(Table2[[HomeTeam]:[Group_details]],ROWS($N$2:S298),COLUMNS($N$2:S298))</f>
        <v>Group stages</v>
      </c>
      <c r="V298" s="1" t="b">
        <f t="shared" si="4"/>
        <v>0</v>
      </c>
      <c r="W298" s="1" t="str">
        <f>IF(V298=TRUE,ROWS($V$2:V298),"")</f>
        <v/>
      </c>
      <c r="X298" s="1" t="str">
        <f>IFERROR(SMALL($W$2:$W$853,ROWS($W$2:W298)),"")</f>
        <v/>
      </c>
      <c r="Y298" s="1" t="str">
        <f>IF($X298&lt;&gt;"",INDEX($P$2:$U$853,MATCH($X298,$W$2:$W$853,0),COLUMNS($X$2:X298)),"")</f>
        <v/>
      </c>
      <c r="Z298" s="1" t="str">
        <f>IF($X298&lt;&gt;"",INDEX($P$2:$U$853,MATCH($X298,$W$2:$W$853,0),COLUMNS($X$2:Y298)),"")</f>
        <v/>
      </c>
      <c r="AA298" s="1" t="str">
        <f>IF($X298&lt;&gt;"",INDEX($P$2:$U$853,MATCH($X298,$W$2:$W$853,0),COLUMNS($X$2:Z298)),"")</f>
        <v/>
      </c>
      <c r="AB298" s="1" t="str">
        <f>IF($X298&lt;&gt;"",INDEX($P$2:$U$853,MATCH($X298,$W$2:$W$853,0),COLUMNS($X$2:AA298)),"")</f>
        <v/>
      </c>
      <c r="AC298" s="1" t="str">
        <f>IF($X298&lt;&gt;"",INDEX($P$2:$U$853,MATCH($X298,$W$2:$W$853,0),COLUMNS($X$2:AB298)),"")</f>
        <v/>
      </c>
      <c r="AD298" s="1" t="str">
        <f>IF($X298&lt;&gt;"",INDEX($P$2:$U$853,MATCH($X298,$W$2:$W$853,0),COLUMNS($X$2:AC298)),"")</f>
        <v/>
      </c>
    </row>
    <row r="299" spans="1:30" x14ac:dyDescent="0.2">
      <c r="A299" s="1">
        <v>1978</v>
      </c>
      <c r="B299" s="2">
        <v>28655</v>
      </c>
      <c r="C299" s="1" t="s">
        <v>526</v>
      </c>
      <c r="D299" s="1" t="s">
        <v>213</v>
      </c>
      <c r="E299" s="1" t="s">
        <v>219</v>
      </c>
      <c r="F299" s="1" t="s">
        <v>220</v>
      </c>
      <c r="G299" s="6" t="str">
        <f>VLOOKUP(A299,WorldCups!$A$2:$B$23,2,FALSE)</f>
        <v>Argentina</v>
      </c>
      <c r="H299" s="1" t="s">
        <v>25</v>
      </c>
      <c r="I299" s="1">
        <v>2</v>
      </c>
      <c r="J299" s="1">
        <v>0</v>
      </c>
      <c r="K299" s="1" t="s">
        <v>80</v>
      </c>
      <c r="L299" s="1" t="s">
        <v>14</v>
      </c>
      <c r="M299" s="1" t="str">
        <f>IF(ISNUMBER(SEARCH("Group",Table2[[#This Row],[Round]])),"Group stages",Table2[[#This Row],[Round]])</f>
        <v>Group stages</v>
      </c>
      <c r="O299" s="1">
        <f>Table2[[#This Row],[Year]]</f>
        <v>1978</v>
      </c>
      <c r="P299" s="1" t="str">
        <f>INDEX(Table2[[HomeTeam]:[Group_details]],ROWS($N$2:N299),COLUMNS($N$2:N299))</f>
        <v>Argentina</v>
      </c>
      <c r="Q299" s="1">
        <f>INDEX(Table2[[HomeTeam]:[Group_details]],ROWS($N$2:O299),COLUMNS($N$2:O299))</f>
        <v>2</v>
      </c>
      <c r="R299" s="1">
        <f>INDEX(Table2[[HomeTeam]:[Group_details]],ROWS($N$2:P299),COLUMNS($N$2:P299))</f>
        <v>0</v>
      </c>
      <c r="S299" s="1" t="str">
        <f>INDEX(Table2[[HomeTeam]:[Group_details]],ROWS($N$2:Q299),COLUMNS($N$2:Q299))</f>
        <v>Poland</v>
      </c>
      <c r="T299" s="1" t="str">
        <f>INDEX(Table2[[HomeTeam]:[Group_details]],ROWS($N$2:R299),COLUMNS($N$2:R299))</f>
        <v xml:space="preserve"> </v>
      </c>
      <c r="U299" s="1" t="str">
        <f>INDEX(Table2[[HomeTeam]:[Group_details]],ROWS($N$2:S299),COLUMNS($N$2:S299))</f>
        <v>Group stages</v>
      </c>
      <c r="V299" s="1" t="b">
        <f t="shared" si="4"/>
        <v>0</v>
      </c>
      <c r="W299" s="1" t="str">
        <f>IF(V299=TRUE,ROWS($V$2:V299),"")</f>
        <v/>
      </c>
      <c r="X299" s="1" t="str">
        <f>IFERROR(SMALL($W$2:$W$853,ROWS($W$2:W299)),"")</f>
        <v/>
      </c>
      <c r="Y299" s="1" t="str">
        <f>IF($X299&lt;&gt;"",INDEX($P$2:$U$853,MATCH($X299,$W$2:$W$853,0),COLUMNS($X$2:X299)),"")</f>
        <v/>
      </c>
      <c r="Z299" s="1" t="str">
        <f>IF($X299&lt;&gt;"",INDEX($P$2:$U$853,MATCH($X299,$W$2:$W$853,0),COLUMNS($X$2:Y299)),"")</f>
        <v/>
      </c>
      <c r="AA299" s="1" t="str">
        <f>IF($X299&lt;&gt;"",INDEX($P$2:$U$853,MATCH($X299,$W$2:$W$853,0),COLUMNS($X$2:Z299)),"")</f>
        <v/>
      </c>
      <c r="AB299" s="1" t="str">
        <f>IF($X299&lt;&gt;"",INDEX($P$2:$U$853,MATCH($X299,$W$2:$W$853,0),COLUMNS($X$2:AA299)),"")</f>
        <v/>
      </c>
      <c r="AC299" s="1" t="str">
        <f>IF($X299&lt;&gt;"",INDEX($P$2:$U$853,MATCH($X299,$W$2:$W$853,0),COLUMNS($X$2:AB299)),"")</f>
        <v/>
      </c>
      <c r="AD299" s="1" t="str">
        <f>IF($X299&lt;&gt;"",INDEX($P$2:$U$853,MATCH($X299,$W$2:$W$853,0),COLUMNS($X$2:AC299)),"")</f>
        <v/>
      </c>
    </row>
    <row r="300" spans="1:30" x14ac:dyDescent="0.2">
      <c r="A300" s="1">
        <v>1978</v>
      </c>
      <c r="B300" s="2">
        <v>28659</v>
      </c>
      <c r="C300" s="1" t="s">
        <v>524</v>
      </c>
      <c r="D300" s="1" t="s">
        <v>213</v>
      </c>
      <c r="E300" s="1" t="s">
        <v>225</v>
      </c>
      <c r="F300" s="1" t="s">
        <v>226</v>
      </c>
      <c r="G300" s="6" t="str">
        <f>VLOOKUP(A300,WorldCups!$A$2:$B$23,2,FALSE)</f>
        <v>Argentina</v>
      </c>
      <c r="H300" s="1" t="s">
        <v>80</v>
      </c>
      <c r="I300" s="1">
        <v>1</v>
      </c>
      <c r="J300" s="1">
        <v>0</v>
      </c>
      <c r="K300" s="1" t="s">
        <v>24</v>
      </c>
      <c r="L300" s="1" t="s">
        <v>14</v>
      </c>
      <c r="M300" s="1" t="str">
        <f>IF(ISNUMBER(SEARCH("Group",Table2[[#This Row],[Round]])),"Group stages",Table2[[#This Row],[Round]])</f>
        <v>Group stages</v>
      </c>
      <c r="O300" s="1">
        <f>Table2[[#This Row],[Year]]</f>
        <v>1978</v>
      </c>
      <c r="P300" s="1" t="str">
        <f>INDEX(Table2[[HomeTeam]:[Group_details]],ROWS($N$2:N300),COLUMNS($N$2:N300))</f>
        <v>Poland</v>
      </c>
      <c r="Q300" s="1">
        <f>INDEX(Table2[[HomeTeam]:[Group_details]],ROWS($N$2:O300),COLUMNS($N$2:O300))</f>
        <v>1</v>
      </c>
      <c r="R300" s="1">
        <f>INDEX(Table2[[HomeTeam]:[Group_details]],ROWS($N$2:P300),COLUMNS($N$2:P300))</f>
        <v>0</v>
      </c>
      <c r="S300" s="1" t="str">
        <f>INDEX(Table2[[HomeTeam]:[Group_details]],ROWS($N$2:Q300),COLUMNS($N$2:Q300))</f>
        <v>Peru</v>
      </c>
      <c r="T300" s="1" t="str">
        <f>INDEX(Table2[[HomeTeam]:[Group_details]],ROWS($N$2:R300),COLUMNS($N$2:R300))</f>
        <v xml:space="preserve"> </v>
      </c>
      <c r="U300" s="1" t="str">
        <f>INDEX(Table2[[HomeTeam]:[Group_details]],ROWS($N$2:S300),COLUMNS($N$2:S300))</f>
        <v>Group stages</v>
      </c>
      <c r="V300" s="1" t="b">
        <f t="shared" si="4"/>
        <v>0</v>
      </c>
      <c r="W300" s="1" t="str">
        <f>IF(V300=TRUE,ROWS($V$2:V300),"")</f>
        <v/>
      </c>
      <c r="X300" s="1" t="str">
        <f>IFERROR(SMALL($W$2:$W$853,ROWS($W$2:W300)),"")</f>
        <v/>
      </c>
      <c r="Y300" s="1" t="str">
        <f>IF($X300&lt;&gt;"",INDEX($P$2:$U$853,MATCH($X300,$W$2:$W$853,0),COLUMNS($X$2:X300)),"")</f>
        <v/>
      </c>
      <c r="Z300" s="1" t="str">
        <f>IF($X300&lt;&gt;"",INDEX($P$2:$U$853,MATCH($X300,$W$2:$W$853,0),COLUMNS($X$2:Y300)),"")</f>
        <v/>
      </c>
      <c r="AA300" s="1" t="str">
        <f>IF($X300&lt;&gt;"",INDEX($P$2:$U$853,MATCH($X300,$W$2:$W$853,0),COLUMNS($X$2:Z300)),"")</f>
        <v/>
      </c>
      <c r="AB300" s="1" t="str">
        <f>IF($X300&lt;&gt;"",INDEX($P$2:$U$853,MATCH($X300,$W$2:$W$853,0),COLUMNS($X$2:AA300)),"")</f>
        <v/>
      </c>
      <c r="AC300" s="1" t="str">
        <f>IF($X300&lt;&gt;"",INDEX($P$2:$U$853,MATCH($X300,$W$2:$W$853,0),COLUMNS($X$2:AB300)),"")</f>
        <v/>
      </c>
      <c r="AD300" s="1" t="str">
        <f>IF($X300&lt;&gt;"",INDEX($P$2:$U$853,MATCH($X300,$W$2:$W$853,0),COLUMNS($X$2:AC300)),"")</f>
        <v/>
      </c>
    </row>
    <row r="301" spans="1:30" x14ac:dyDescent="0.2">
      <c r="A301" s="1">
        <v>1978</v>
      </c>
      <c r="B301" s="2">
        <v>28659</v>
      </c>
      <c r="C301" s="1" t="s">
        <v>525</v>
      </c>
      <c r="D301" s="1" t="s">
        <v>214</v>
      </c>
      <c r="E301" s="1" t="s">
        <v>215</v>
      </c>
      <c r="F301" s="1" t="s">
        <v>216</v>
      </c>
      <c r="G301" s="6" t="str">
        <f>VLOOKUP(A301,WorldCups!$A$2:$B$23,2,FALSE)</f>
        <v>Argentina</v>
      </c>
      <c r="H301" s="1" t="s">
        <v>57</v>
      </c>
      <c r="I301" s="1">
        <v>1</v>
      </c>
      <c r="J301" s="1">
        <v>0</v>
      </c>
      <c r="K301" s="1" t="s">
        <v>36</v>
      </c>
      <c r="L301" s="1" t="s">
        <v>14</v>
      </c>
      <c r="M301" s="1" t="str">
        <f>IF(ISNUMBER(SEARCH("Group",Table2[[#This Row],[Round]])),"Group stages",Table2[[#This Row],[Round]])</f>
        <v>Group stages</v>
      </c>
      <c r="O301" s="1">
        <f>Table2[[#This Row],[Year]]</f>
        <v>1978</v>
      </c>
      <c r="P301" s="1" t="str">
        <f>INDEX(Table2[[HomeTeam]:[Group_details]],ROWS($N$2:N301),COLUMNS($N$2:N301))</f>
        <v>Italy</v>
      </c>
      <c r="Q301" s="1">
        <f>INDEX(Table2[[HomeTeam]:[Group_details]],ROWS($N$2:O301),COLUMNS($N$2:O301))</f>
        <v>1</v>
      </c>
      <c r="R301" s="1">
        <f>INDEX(Table2[[HomeTeam]:[Group_details]],ROWS($N$2:P301),COLUMNS($N$2:P301))</f>
        <v>0</v>
      </c>
      <c r="S301" s="1" t="str">
        <f>INDEX(Table2[[HomeTeam]:[Group_details]],ROWS($N$2:Q301),COLUMNS($N$2:Q301))</f>
        <v>Austria</v>
      </c>
      <c r="T301" s="1" t="str">
        <f>INDEX(Table2[[HomeTeam]:[Group_details]],ROWS($N$2:R301),COLUMNS($N$2:R301))</f>
        <v xml:space="preserve"> </v>
      </c>
      <c r="U301" s="1" t="str">
        <f>INDEX(Table2[[HomeTeam]:[Group_details]],ROWS($N$2:S301),COLUMNS($N$2:S301))</f>
        <v>Group stages</v>
      </c>
      <c r="V301" s="1" t="b">
        <f t="shared" si="4"/>
        <v>0</v>
      </c>
      <c r="W301" s="1" t="str">
        <f>IF(V301=TRUE,ROWS($V$2:V301),"")</f>
        <v/>
      </c>
      <c r="X301" s="1" t="str">
        <f>IFERROR(SMALL($W$2:$W$853,ROWS($W$2:W301)),"")</f>
        <v/>
      </c>
      <c r="Y301" s="1" t="str">
        <f>IF($X301&lt;&gt;"",INDEX($P$2:$U$853,MATCH($X301,$W$2:$W$853,0),COLUMNS($X$2:X301)),"")</f>
        <v/>
      </c>
      <c r="Z301" s="1" t="str">
        <f>IF($X301&lt;&gt;"",INDEX($P$2:$U$853,MATCH($X301,$W$2:$W$853,0),COLUMNS($X$2:Y301)),"")</f>
        <v/>
      </c>
      <c r="AA301" s="1" t="str">
        <f>IF($X301&lt;&gt;"",INDEX($P$2:$U$853,MATCH($X301,$W$2:$W$853,0),COLUMNS($X$2:Z301)),"")</f>
        <v/>
      </c>
      <c r="AB301" s="1" t="str">
        <f>IF($X301&lt;&gt;"",INDEX($P$2:$U$853,MATCH($X301,$W$2:$W$853,0),COLUMNS($X$2:AA301)),"")</f>
        <v/>
      </c>
      <c r="AC301" s="1" t="str">
        <f>IF($X301&lt;&gt;"",INDEX($P$2:$U$853,MATCH($X301,$W$2:$W$853,0),COLUMNS($X$2:AB301)),"")</f>
        <v/>
      </c>
      <c r="AD301" s="1" t="str">
        <f>IF($X301&lt;&gt;"",INDEX($P$2:$U$853,MATCH($X301,$W$2:$W$853,0),COLUMNS($X$2:AC301)),"")</f>
        <v/>
      </c>
    </row>
    <row r="302" spans="1:30" x14ac:dyDescent="0.2">
      <c r="A302" s="1">
        <v>1978</v>
      </c>
      <c r="B302" s="2">
        <v>28659</v>
      </c>
      <c r="C302" s="1" t="s">
        <v>525</v>
      </c>
      <c r="D302" s="1" t="s">
        <v>214</v>
      </c>
      <c r="E302" s="1" t="s">
        <v>223</v>
      </c>
      <c r="F302" s="1" t="s">
        <v>224</v>
      </c>
      <c r="G302" s="6" t="str">
        <f>VLOOKUP(A302,WorldCups!$A$2:$B$23,2,FALSE)</f>
        <v>Argentina</v>
      </c>
      <c r="H302" s="1" t="s">
        <v>114</v>
      </c>
      <c r="I302" s="1">
        <v>2</v>
      </c>
      <c r="J302" s="1">
        <v>2</v>
      </c>
      <c r="K302" s="1" t="s">
        <v>45</v>
      </c>
      <c r="L302" s="1" t="s">
        <v>14</v>
      </c>
      <c r="M302" s="1" t="str">
        <f>IF(ISNUMBER(SEARCH("Group",Table2[[#This Row],[Round]])),"Group stages",Table2[[#This Row],[Round]])</f>
        <v>Group stages</v>
      </c>
      <c r="O302" s="1">
        <f>Table2[[#This Row],[Year]]</f>
        <v>1978</v>
      </c>
      <c r="P302" s="1" t="str">
        <f>INDEX(Table2[[HomeTeam]:[Group_details]],ROWS($N$2:N302),COLUMNS($N$2:N302))</f>
        <v>Germany FR</v>
      </c>
      <c r="Q302" s="1">
        <f>INDEX(Table2[[HomeTeam]:[Group_details]],ROWS($N$2:O302),COLUMNS($N$2:O302))</f>
        <v>2</v>
      </c>
      <c r="R302" s="1">
        <f>INDEX(Table2[[HomeTeam]:[Group_details]],ROWS($N$2:P302),COLUMNS($N$2:P302))</f>
        <v>2</v>
      </c>
      <c r="S302" s="1" t="str">
        <f>INDEX(Table2[[HomeTeam]:[Group_details]],ROWS($N$2:Q302),COLUMNS($N$2:Q302))</f>
        <v>Netherlands</v>
      </c>
      <c r="T302" s="1" t="str">
        <f>INDEX(Table2[[HomeTeam]:[Group_details]],ROWS($N$2:R302),COLUMNS($N$2:R302))</f>
        <v xml:space="preserve"> </v>
      </c>
      <c r="U302" s="1" t="str">
        <f>INDEX(Table2[[HomeTeam]:[Group_details]],ROWS($N$2:S302),COLUMNS($N$2:S302))</f>
        <v>Group stages</v>
      </c>
      <c r="V302" s="1" t="b">
        <f t="shared" si="4"/>
        <v>0</v>
      </c>
      <c r="W302" s="1" t="str">
        <f>IF(V302=TRUE,ROWS($V$2:V302),"")</f>
        <v/>
      </c>
      <c r="X302" s="1" t="str">
        <f>IFERROR(SMALL($W$2:$W$853,ROWS($W$2:W302)),"")</f>
        <v/>
      </c>
      <c r="Y302" s="1" t="str">
        <f>IF($X302&lt;&gt;"",INDEX($P$2:$U$853,MATCH($X302,$W$2:$W$853,0),COLUMNS($X$2:X302)),"")</f>
        <v/>
      </c>
      <c r="Z302" s="1" t="str">
        <f>IF($X302&lt;&gt;"",INDEX($P$2:$U$853,MATCH($X302,$W$2:$W$853,0),COLUMNS($X$2:Y302)),"")</f>
        <v/>
      </c>
      <c r="AA302" s="1" t="str">
        <f>IF($X302&lt;&gt;"",INDEX($P$2:$U$853,MATCH($X302,$W$2:$W$853,0),COLUMNS($X$2:Z302)),"")</f>
        <v/>
      </c>
      <c r="AB302" s="1" t="str">
        <f>IF($X302&lt;&gt;"",INDEX($P$2:$U$853,MATCH($X302,$W$2:$W$853,0),COLUMNS($X$2:AA302)),"")</f>
        <v/>
      </c>
      <c r="AC302" s="1" t="str">
        <f>IF($X302&lt;&gt;"",INDEX($P$2:$U$853,MATCH($X302,$W$2:$W$853,0),COLUMNS($X$2:AB302)),"")</f>
        <v/>
      </c>
      <c r="AD302" s="1" t="str">
        <f>IF($X302&lt;&gt;"",INDEX($P$2:$U$853,MATCH($X302,$W$2:$W$853,0),COLUMNS($X$2:AC302)),"")</f>
        <v/>
      </c>
    </row>
    <row r="303" spans="1:30" x14ac:dyDescent="0.2">
      <c r="A303" s="1">
        <v>1978</v>
      </c>
      <c r="B303" s="2">
        <v>28659</v>
      </c>
      <c r="C303" s="1" t="s">
        <v>526</v>
      </c>
      <c r="D303" s="1" t="s">
        <v>213</v>
      </c>
      <c r="E303" s="1" t="s">
        <v>219</v>
      </c>
      <c r="F303" s="1" t="s">
        <v>220</v>
      </c>
      <c r="G303" s="6" t="str">
        <f>VLOOKUP(A303,WorldCups!$A$2:$B$23,2,FALSE)</f>
        <v>Argentina</v>
      </c>
      <c r="H303" s="1" t="s">
        <v>25</v>
      </c>
      <c r="I303" s="1">
        <v>0</v>
      </c>
      <c r="J303" s="1">
        <v>0</v>
      </c>
      <c r="K303" s="1" t="s">
        <v>21</v>
      </c>
      <c r="L303" s="1" t="s">
        <v>14</v>
      </c>
      <c r="M303" s="1" t="str">
        <f>IF(ISNUMBER(SEARCH("Group",Table2[[#This Row],[Round]])),"Group stages",Table2[[#This Row],[Round]])</f>
        <v>Group stages</v>
      </c>
      <c r="O303" s="1">
        <f>Table2[[#This Row],[Year]]</f>
        <v>1978</v>
      </c>
      <c r="P303" s="1" t="str">
        <f>INDEX(Table2[[HomeTeam]:[Group_details]],ROWS($N$2:N303),COLUMNS($N$2:N303))</f>
        <v>Argentina</v>
      </c>
      <c r="Q303" s="1">
        <f>INDEX(Table2[[HomeTeam]:[Group_details]],ROWS($N$2:O303),COLUMNS($N$2:O303))</f>
        <v>0</v>
      </c>
      <c r="R303" s="1">
        <f>INDEX(Table2[[HomeTeam]:[Group_details]],ROWS($N$2:P303),COLUMNS($N$2:P303))</f>
        <v>0</v>
      </c>
      <c r="S303" s="1" t="str">
        <f>INDEX(Table2[[HomeTeam]:[Group_details]],ROWS($N$2:Q303),COLUMNS($N$2:Q303))</f>
        <v>Brazil</v>
      </c>
      <c r="T303" s="1" t="str">
        <f>INDEX(Table2[[HomeTeam]:[Group_details]],ROWS($N$2:R303),COLUMNS($N$2:R303))</f>
        <v xml:space="preserve"> </v>
      </c>
      <c r="U303" s="1" t="str">
        <f>INDEX(Table2[[HomeTeam]:[Group_details]],ROWS($N$2:S303),COLUMNS($N$2:S303))</f>
        <v>Group stages</v>
      </c>
      <c r="V303" s="1" t="b">
        <f t="shared" si="4"/>
        <v>0</v>
      </c>
      <c r="W303" s="1" t="str">
        <f>IF(V303=TRUE,ROWS($V$2:V303),"")</f>
        <v/>
      </c>
      <c r="X303" s="1" t="str">
        <f>IFERROR(SMALL($W$2:$W$853,ROWS($W$2:W303)),"")</f>
        <v/>
      </c>
      <c r="Y303" s="1" t="str">
        <f>IF($X303&lt;&gt;"",INDEX($P$2:$U$853,MATCH($X303,$W$2:$W$853,0),COLUMNS($X$2:X303)),"")</f>
        <v/>
      </c>
      <c r="Z303" s="1" t="str">
        <f>IF($X303&lt;&gt;"",INDEX($P$2:$U$853,MATCH($X303,$W$2:$W$853,0),COLUMNS($X$2:Y303)),"")</f>
        <v/>
      </c>
      <c r="AA303" s="1" t="str">
        <f>IF($X303&lt;&gt;"",INDEX($P$2:$U$853,MATCH($X303,$W$2:$W$853,0),COLUMNS($X$2:Z303)),"")</f>
        <v/>
      </c>
      <c r="AB303" s="1" t="str">
        <f>IF($X303&lt;&gt;"",INDEX($P$2:$U$853,MATCH($X303,$W$2:$W$853,0),COLUMNS($X$2:AA303)),"")</f>
        <v/>
      </c>
      <c r="AC303" s="1" t="str">
        <f>IF($X303&lt;&gt;"",INDEX($P$2:$U$853,MATCH($X303,$W$2:$W$853,0),COLUMNS($X$2:AB303)),"")</f>
        <v/>
      </c>
      <c r="AD303" s="1" t="str">
        <f>IF($X303&lt;&gt;"",INDEX($P$2:$U$853,MATCH($X303,$W$2:$W$853,0),COLUMNS($X$2:AC303)),"")</f>
        <v/>
      </c>
    </row>
    <row r="304" spans="1:30" x14ac:dyDescent="0.2">
      <c r="A304" s="1">
        <v>1978</v>
      </c>
      <c r="B304" s="2">
        <v>28662</v>
      </c>
      <c r="C304" s="1" t="s">
        <v>524</v>
      </c>
      <c r="D304" s="1" t="s">
        <v>214</v>
      </c>
      <c r="E304" s="1" t="s">
        <v>215</v>
      </c>
      <c r="F304" s="1" t="s">
        <v>216</v>
      </c>
      <c r="G304" s="6" t="str">
        <f>VLOOKUP(A304,WorldCups!$A$2:$B$23,2,FALSE)</f>
        <v>Argentina</v>
      </c>
      <c r="H304" s="1" t="s">
        <v>45</v>
      </c>
      <c r="I304" s="1">
        <v>2</v>
      </c>
      <c r="J304" s="1">
        <v>1</v>
      </c>
      <c r="K304" s="1" t="s">
        <v>57</v>
      </c>
      <c r="L304" s="1" t="s">
        <v>14</v>
      </c>
      <c r="M304" s="1" t="str">
        <f>IF(ISNUMBER(SEARCH("Group",Table2[[#This Row],[Round]])),"Group stages",Table2[[#This Row],[Round]])</f>
        <v>Group stages</v>
      </c>
      <c r="O304" s="1">
        <f>Table2[[#This Row],[Year]]</f>
        <v>1978</v>
      </c>
      <c r="P304" s="1" t="str">
        <f>INDEX(Table2[[HomeTeam]:[Group_details]],ROWS($N$2:N304),COLUMNS($N$2:N304))</f>
        <v>Netherlands</v>
      </c>
      <c r="Q304" s="1">
        <f>INDEX(Table2[[HomeTeam]:[Group_details]],ROWS($N$2:O304),COLUMNS($N$2:O304))</f>
        <v>2</v>
      </c>
      <c r="R304" s="1">
        <f>INDEX(Table2[[HomeTeam]:[Group_details]],ROWS($N$2:P304),COLUMNS($N$2:P304))</f>
        <v>1</v>
      </c>
      <c r="S304" s="1" t="str">
        <f>INDEX(Table2[[HomeTeam]:[Group_details]],ROWS($N$2:Q304),COLUMNS($N$2:Q304))</f>
        <v>Italy</v>
      </c>
      <c r="T304" s="1" t="str">
        <f>INDEX(Table2[[HomeTeam]:[Group_details]],ROWS($N$2:R304),COLUMNS($N$2:R304))</f>
        <v xml:space="preserve"> </v>
      </c>
      <c r="U304" s="1" t="str">
        <f>INDEX(Table2[[HomeTeam]:[Group_details]],ROWS($N$2:S304),COLUMNS($N$2:S304))</f>
        <v>Group stages</v>
      </c>
      <c r="V304" s="1" t="b">
        <f t="shared" si="4"/>
        <v>0</v>
      </c>
      <c r="W304" s="1" t="str">
        <f>IF(V304=TRUE,ROWS($V$2:V304),"")</f>
        <v/>
      </c>
      <c r="X304" s="1" t="str">
        <f>IFERROR(SMALL($W$2:$W$853,ROWS($W$2:W304)),"")</f>
        <v/>
      </c>
      <c r="Y304" s="1" t="str">
        <f>IF($X304&lt;&gt;"",INDEX($P$2:$U$853,MATCH($X304,$W$2:$W$853,0),COLUMNS($X$2:X304)),"")</f>
        <v/>
      </c>
      <c r="Z304" s="1" t="str">
        <f>IF($X304&lt;&gt;"",INDEX($P$2:$U$853,MATCH($X304,$W$2:$W$853,0),COLUMNS($X$2:Y304)),"")</f>
        <v/>
      </c>
      <c r="AA304" s="1" t="str">
        <f>IF($X304&lt;&gt;"",INDEX($P$2:$U$853,MATCH($X304,$W$2:$W$853,0),COLUMNS($X$2:Z304)),"")</f>
        <v/>
      </c>
      <c r="AB304" s="1" t="str">
        <f>IF($X304&lt;&gt;"",INDEX($P$2:$U$853,MATCH($X304,$W$2:$W$853,0),COLUMNS($X$2:AA304)),"")</f>
        <v/>
      </c>
      <c r="AC304" s="1" t="str">
        <f>IF($X304&lt;&gt;"",INDEX($P$2:$U$853,MATCH($X304,$W$2:$W$853,0),COLUMNS($X$2:AB304)),"")</f>
        <v/>
      </c>
      <c r="AD304" s="1" t="str">
        <f>IF($X304&lt;&gt;"",INDEX($P$2:$U$853,MATCH($X304,$W$2:$W$853,0),COLUMNS($X$2:AC304)),"")</f>
        <v/>
      </c>
    </row>
    <row r="305" spans="1:30" x14ac:dyDescent="0.2">
      <c r="A305" s="1">
        <v>1978</v>
      </c>
      <c r="B305" s="2">
        <v>28662</v>
      </c>
      <c r="C305" s="1" t="s">
        <v>524</v>
      </c>
      <c r="D305" s="1" t="s">
        <v>214</v>
      </c>
      <c r="E305" s="1" t="s">
        <v>223</v>
      </c>
      <c r="F305" s="1" t="s">
        <v>224</v>
      </c>
      <c r="G305" s="6" t="str">
        <f>VLOOKUP(A305,WorldCups!$A$2:$B$23,2,FALSE)</f>
        <v>Argentina</v>
      </c>
      <c r="H305" s="1" t="s">
        <v>36</v>
      </c>
      <c r="I305" s="1">
        <v>3</v>
      </c>
      <c r="J305" s="1">
        <v>2</v>
      </c>
      <c r="K305" s="1" t="s">
        <v>114</v>
      </c>
      <c r="L305" s="1" t="s">
        <v>14</v>
      </c>
      <c r="M305" s="1" t="str">
        <f>IF(ISNUMBER(SEARCH("Group",Table2[[#This Row],[Round]])),"Group stages",Table2[[#This Row],[Round]])</f>
        <v>Group stages</v>
      </c>
      <c r="O305" s="1">
        <f>Table2[[#This Row],[Year]]</f>
        <v>1978</v>
      </c>
      <c r="P305" s="1" t="str">
        <f>INDEX(Table2[[HomeTeam]:[Group_details]],ROWS($N$2:N305),COLUMNS($N$2:N305))</f>
        <v>Austria</v>
      </c>
      <c r="Q305" s="1">
        <f>INDEX(Table2[[HomeTeam]:[Group_details]],ROWS($N$2:O305),COLUMNS($N$2:O305))</f>
        <v>3</v>
      </c>
      <c r="R305" s="1">
        <f>INDEX(Table2[[HomeTeam]:[Group_details]],ROWS($N$2:P305),COLUMNS($N$2:P305))</f>
        <v>2</v>
      </c>
      <c r="S305" s="1" t="str">
        <f>INDEX(Table2[[HomeTeam]:[Group_details]],ROWS($N$2:Q305),COLUMNS($N$2:Q305))</f>
        <v>Germany FR</v>
      </c>
      <c r="T305" s="1" t="str">
        <f>INDEX(Table2[[HomeTeam]:[Group_details]],ROWS($N$2:R305),COLUMNS($N$2:R305))</f>
        <v xml:space="preserve"> </v>
      </c>
      <c r="U305" s="1" t="str">
        <f>INDEX(Table2[[HomeTeam]:[Group_details]],ROWS($N$2:S305),COLUMNS($N$2:S305))</f>
        <v>Group stages</v>
      </c>
      <c r="V305" s="1" t="b">
        <f t="shared" si="4"/>
        <v>0</v>
      </c>
      <c r="W305" s="1" t="str">
        <f>IF(V305=TRUE,ROWS($V$2:V305),"")</f>
        <v/>
      </c>
      <c r="X305" s="1" t="str">
        <f>IFERROR(SMALL($W$2:$W$853,ROWS($W$2:W305)),"")</f>
        <v/>
      </c>
      <c r="Y305" s="1" t="str">
        <f>IF($X305&lt;&gt;"",INDEX($P$2:$U$853,MATCH($X305,$W$2:$W$853,0),COLUMNS($X$2:X305)),"")</f>
        <v/>
      </c>
      <c r="Z305" s="1" t="str">
        <f>IF($X305&lt;&gt;"",INDEX($P$2:$U$853,MATCH($X305,$W$2:$W$853,0),COLUMNS($X$2:Y305)),"")</f>
        <v/>
      </c>
      <c r="AA305" s="1" t="str">
        <f>IF($X305&lt;&gt;"",INDEX($P$2:$U$853,MATCH($X305,$W$2:$W$853,0),COLUMNS($X$2:Z305)),"")</f>
        <v/>
      </c>
      <c r="AB305" s="1" t="str">
        <f>IF($X305&lt;&gt;"",INDEX($P$2:$U$853,MATCH($X305,$W$2:$W$853,0),COLUMNS($X$2:AA305)),"")</f>
        <v/>
      </c>
      <c r="AC305" s="1" t="str">
        <f>IF($X305&lt;&gt;"",INDEX($P$2:$U$853,MATCH($X305,$W$2:$W$853,0),COLUMNS($X$2:AB305)),"")</f>
        <v/>
      </c>
      <c r="AD305" s="1" t="str">
        <f>IF($X305&lt;&gt;"",INDEX($P$2:$U$853,MATCH($X305,$W$2:$W$853,0),COLUMNS($X$2:AC305)),"")</f>
        <v/>
      </c>
    </row>
    <row r="306" spans="1:30" x14ac:dyDescent="0.2">
      <c r="A306" s="1">
        <v>1978</v>
      </c>
      <c r="B306" s="2">
        <v>28662</v>
      </c>
      <c r="C306" s="1" t="s">
        <v>525</v>
      </c>
      <c r="D306" s="1" t="s">
        <v>213</v>
      </c>
      <c r="E306" s="1" t="s">
        <v>225</v>
      </c>
      <c r="F306" s="1" t="s">
        <v>226</v>
      </c>
      <c r="G306" s="6" t="str">
        <f>VLOOKUP(A306,WorldCups!$A$2:$B$23,2,FALSE)</f>
        <v>Argentina</v>
      </c>
      <c r="H306" s="1" t="s">
        <v>21</v>
      </c>
      <c r="I306" s="1">
        <v>3</v>
      </c>
      <c r="J306" s="1">
        <v>1</v>
      </c>
      <c r="K306" s="1" t="s">
        <v>80</v>
      </c>
      <c r="L306" s="1" t="s">
        <v>14</v>
      </c>
      <c r="M306" s="1" t="str">
        <f>IF(ISNUMBER(SEARCH("Group",Table2[[#This Row],[Round]])),"Group stages",Table2[[#This Row],[Round]])</f>
        <v>Group stages</v>
      </c>
      <c r="O306" s="1">
        <f>Table2[[#This Row],[Year]]</f>
        <v>1978</v>
      </c>
      <c r="P306" s="1" t="str">
        <f>INDEX(Table2[[HomeTeam]:[Group_details]],ROWS($N$2:N306),COLUMNS($N$2:N306))</f>
        <v>Brazil</v>
      </c>
      <c r="Q306" s="1">
        <f>INDEX(Table2[[HomeTeam]:[Group_details]],ROWS($N$2:O306),COLUMNS($N$2:O306))</f>
        <v>3</v>
      </c>
      <c r="R306" s="1">
        <f>INDEX(Table2[[HomeTeam]:[Group_details]],ROWS($N$2:P306),COLUMNS($N$2:P306))</f>
        <v>1</v>
      </c>
      <c r="S306" s="1" t="str">
        <f>INDEX(Table2[[HomeTeam]:[Group_details]],ROWS($N$2:Q306),COLUMNS($N$2:Q306))</f>
        <v>Poland</v>
      </c>
      <c r="T306" s="1" t="str">
        <f>INDEX(Table2[[HomeTeam]:[Group_details]],ROWS($N$2:R306),COLUMNS($N$2:R306))</f>
        <v xml:space="preserve"> </v>
      </c>
      <c r="U306" s="1" t="str">
        <f>INDEX(Table2[[HomeTeam]:[Group_details]],ROWS($N$2:S306),COLUMNS($N$2:S306))</f>
        <v>Group stages</v>
      </c>
      <c r="V306" s="1" t="b">
        <f t="shared" si="4"/>
        <v>0</v>
      </c>
      <c r="W306" s="1" t="str">
        <f>IF(V306=TRUE,ROWS($V$2:V306),"")</f>
        <v/>
      </c>
      <c r="X306" s="1" t="str">
        <f>IFERROR(SMALL($W$2:$W$853,ROWS($W$2:W306)),"")</f>
        <v/>
      </c>
      <c r="Y306" s="1" t="str">
        <f>IF($X306&lt;&gt;"",INDEX($P$2:$U$853,MATCH($X306,$W$2:$W$853,0),COLUMNS($X$2:X306)),"")</f>
        <v/>
      </c>
      <c r="Z306" s="1" t="str">
        <f>IF($X306&lt;&gt;"",INDEX($P$2:$U$853,MATCH($X306,$W$2:$W$853,0),COLUMNS($X$2:Y306)),"")</f>
        <v/>
      </c>
      <c r="AA306" s="1" t="str">
        <f>IF($X306&lt;&gt;"",INDEX($P$2:$U$853,MATCH($X306,$W$2:$W$853,0),COLUMNS($X$2:Z306)),"")</f>
        <v/>
      </c>
      <c r="AB306" s="1" t="str">
        <f>IF($X306&lt;&gt;"",INDEX($P$2:$U$853,MATCH($X306,$W$2:$W$853,0),COLUMNS($X$2:AA306)),"")</f>
        <v/>
      </c>
      <c r="AC306" s="1" t="str">
        <f>IF($X306&lt;&gt;"",INDEX($P$2:$U$853,MATCH($X306,$W$2:$W$853,0),COLUMNS($X$2:AB306)),"")</f>
        <v/>
      </c>
      <c r="AD306" s="1" t="str">
        <f>IF($X306&lt;&gt;"",INDEX($P$2:$U$853,MATCH($X306,$W$2:$W$853,0),COLUMNS($X$2:AC306)),"")</f>
        <v/>
      </c>
    </row>
    <row r="307" spans="1:30" x14ac:dyDescent="0.2">
      <c r="A307" s="1">
        <v>1978</v>
      </c>
      <c r="B307" s="2">
        <v>28662</v>
      </c>
      <c r="C307" s="1" t="s">
        <v>526</v>
      </c>
      <c r="D307" s="1" t="s">
        <v>213</v>
      </c>
      <c r="E307" s="1" t="s">
        <v>219</v>
      </c>
      <c r="F307" s="1" t="s">
        <v>220</v>
      </c>
      <c r="G307" s="6" t="str">
        <f>VLOOKUP(A307,WorldCups!$A$2:$B$23,2,FALSE)</f>
        <v>Argentina</v>
      </c>
      <c r="H307" s="1" t="s">
        <v>25</v>
      </c>
      <c r="I307" s="1">
        <v>6</v>
      </c>
      <c r="J307" s="1">
        <v>0</v>
      </c>
      <c r="K307" s="1" t="s">
        <v>24</v>
      </c>
      <c r="L307" s="1" t="s">
        <v>14</v>
      </c>
      <c r="M307" s="1" t="str">
        <f>IF(ISNUMBER(SEARCH("Group",Table2[[#This Row],[Round]])),"Group stages",Table2[[#This Row],[Round]])</f>
        <v>Group stages</v>
      </c>
      <c r="O307" s="1">
        <f>Table2[[#This Row],[Year]]</f>
        <v>1978</v>
      </c>
      <c r="P307" s="1" t="str">
        <f>INDEX(Table2[[HomeTeam]:[Group_details]],ROWS($N$2:N307),COLUMNS($N$2:N307))</f>
        <v>Argentina</v>
      </c>
      <c r="Q307" s="1">
        <f>INDEX(Table2[[HomeTeam]:[Group_details]],ROWS($N$2:O307),COLUMNS($N$2:O307))</f>
        <v>6</v>
      </c>
      <c r="R307" s="1">
        <f>INDEX(Table2[[HomeTeam]:[Group_details]],ROWS($N$2:P307),COLUMNS($N$2:P307))</f>
        <v>0</v>
      </c>
      <c r="S307" s="1" t="str">
        <f>INDEX(Table2[[HomeTeam]:[Group_details]],ROWS($N$2:Q307),COLUMNS($N$2:Q307))</f>
        <v>Peru</v>
      </c>
      <c r="T307" s="1" t="str">
        <f>INDEX(Table2[[HomeTeam]:[Group_details]],ROWS($N$2:R307),COLUMNS($N$2:R307))</f>
        <v xml:space="preserve"> </v>
      </c>
      <c r="U307" s="1" t="str">
        <f>INDEX(Table2[[HomeTeam]:[Group_details]],ROWS($N$2:S307),COLUMNS($N$2:S307))</f>
        <v>Group stages</v>
      </c>
      <c r="V307" s="1" t="b">
        <f t="shared" si="4"/>
        <v>0</v>
      </c>
      <c r="W307" s="1" t="str">
        <f>IF(V307=TRUE,ROWS($V$2:V307),"")</f>
        <v/>
      </c>
      <c r="X307" s="1" t="str">
        <f>IFERROR(SMALL($W$2:$W$853,ROWS($W$2:W307)),"")</f>
        <v/>
      </c>
      <c r="Y307" s="1" t="str">
        <f>IF($X307&lt;&gt;"",INDEX($P$2:$U$853,MATCH($X307,$W$2:$W$853,0),COLUMNS($X$2:X307)),"")</f>
        <v/>
      </c>
      <c r="Z307" s="1" t="str">
        <f>IF($X307&lt;&gt;"",INDEX($P$2:$U$853,MATCH($X307,$W$2:$W$853,0),COLUMNS($X$2:Y307)),"")</f>
        <v/>
      </c>
      <c r="AA307" s="1" t="str">
        <f>IF($X307&lt;&gt;"",INDEX($P$2:$U$853,MATCH($X307,$W$2:$W$853,0),COLUMNS($X$2:Z307)),"")</f>
        <v/>
      </c>
      <c r="AB307" s="1" t="str">
        <f>IF($X307&lt;&gt;"",INDEX($P$2:$U$853,MATCH($X307,$W$2:$W$853,0),COLUMNS($X$2:AA307)),"")</f>
        <v/>
      </c>
      <c r="AC307" s="1" t="str">
        <f>IF($X307&lt;&gt;"",INDEX($P$2:$U$853,MATCH($X307,$W$2:$W$853,0),COLUMNS($X$2:AB307)),"")</f>
        <v/>
      </c>
      <c r="AD307" s="1" t="str">
        <f>IF($X307&lt;&gt;"",INDEX($P$2:$U$853,MATCH($X307,$W$2:$W$853,0),COLUMNS($X$2:AC307)),"")</f>
        <v/>
      </c>
    </row>
    <row r="308" spans="1:30" x14ac:dyDescent="0.2">
      <c r="A308" s="1">
        <v>1978</v>
      </c>
      <c r="B308" s="2">
        <v>28665</v>
      </c>
      <c r="C308" s="1" t="s">
        <v>500</v>
      </c>
      <c r="D308" s="1" t="s">
        <v>62</v>
      </c>
      <c r="E308" s="1" t="s">
        <v>215</v>
      </c>
      <c r="F308" s="1" t="s">
        <v>216</v>
      </c>
      <c r="G308" s="6" t="str">
        <f>VLOOKUP(A308,WorldCups!$A$2:$B$23,2,FALSE)</f>
        <v>Argentina</v>
      </c>
      <c r="H308" s="1" t="s">
        <v>21</v>
      </c>
      <c r="I308" s="1">
        <v>2</v>
      </c>
      <c r="J308" s="1">
        <v>1</v>
      </c>
      <c r="K308" s="1" t="s">
        <v>57</v>
      </c>
      <c r="L308" s="1" t="s">
        <v>14</v>
      </c>
      <c r="M308" s="1" t="str">
        <f>IF(ISNUMBER(SEARCH("Group",Table2[[#This Row],[Round]])),"Group stages",Table2[[#This Row],[Round]])</f>
        <v>Match for third place</v>
      </c>
      <c r="O308" s="1">
        <f>Table2[[#This Row],[Year]]</f>
        <v>1978</v>
      </c>
      <c r="P308" s="1" t="str">
        <f>INDEX(Table2[[HomeTeam]:[Group_details]],ROWS($N$2:N308),COLUMNS($N$2:N308))</f>
        <v>Brazil</v>
      </c>
      <c r="Q308" s="1">
        <f>INDEX(Table2[[HomeTeam]:[Group_details]],ROWS($N$2:O308),COLUMNS($N$2:O308))</f>
        <v>2</v>
      </c>
      <c r="R308" s="1">
        <f>INDEX(Table2[[HomeTeam]:[Group_details]],ROWS($N$2:P308),COLUMNS($N$2:P308))</f>
        <v>1</v>
      </c>
      <c r="S308" s="1" t="str">
        <f>INDEX(Table2[[HomeTeam]:[Group_details]],ROWS($N$2:Q308),COLUMNS($N$2:Q308))</f>
        <v>Italy</v>
      </c>
      <c r="T308" s="1" t="str">
        <f>INDEX(Table2[[HomeTeam]:[Group_details]],ROWS($N$2:R308),COLUMNS($N$2:R308))</f>
        <v xml:space="preserve"> </v>
      </c>
      <c r="U308" s="1" t="str">
        <f>INDEX(Table2[[HomeTeam]:[Group_details]],ROWS($N$2:S308),COLUMNS($N$2:S308))</f>
        <v>Match for third place</v>
      </c>
      <c r="V308" s="1" t="b">
        <f t="shared" si="4"/>
        <v>0</v>
      </c>
      <c r="W308" s="1" t="str">
        <f>IF(V308=TRUE,ROWS($V$2:V308),"")</f>
        <v/>
      </c>
      <c r="X308" s="1" t="str">
        <f>IFERROR(SMALL($W$2:$W$853,ROWS($W$2:W308)),"")</f>
        <v/>
      </c>
      <c r="Y308" s="1" t="str">
        <f>IF($X308&lt;&gt;"",INDEX($P$2:$U$853,MATCH($X308,$W$2:$W$853,0),COLUMNS($X$2:X308)),"")</f>
        <v/>
      </c>
      <c r="Z308" s="1" t="str">
        <f>IF($X308&lt;&gt;"",INDEX($P$2:$U$853,MATCH($X308,$W$2:$W$853,0),COLUMNS($X$2:Y308)),"")</f>
        <v/>
      </c>
      <c r="AA308" s="1" t="str">
        <f>IF($X308&lt;&gt;"",INDEX($P$2:$U$853,MATCH($X308,$W$2:$W$853,0),COLUMNS($X$2:Z308)),"")</f>
        <v/>
      </c>
      <c r="AB308" s="1" t="str">
        <f>IF($X308&lt;&gt;"",INDEX($P$2:$U$853,MATCH($X308,$W$2:$W$853,0),COLUMNS($X$2:AA308)),"")</f>
        <v/>
      </c>
      <c r="AC308" s="1" t="str">
        <f>IF($X308&lt;&gt;"",INDEX($P$2:$U$853,MATCH($X308,$W$2:$W$853,0),COLUMNS($X$2:AB308)),"")</f>
        <v/>
      </c>
      <c r="AD308" s="1" t="str">
        <f>IF($X308&lt;&gt;"",INDEX($P$2:$U$853,MATCH($X308,$W$2:$W$853,0),COLUMNS($X$2:AC308)),"")</f>
        <v/>
      </c>
    </row>
    <row r="309" spans="1:30" x14ac:dyDescent="0.2">
      <c r="A309" s="1">
        <v>1978</v>
      </c>
      <c r="B309" s="2">
        <v>28666</v>
      </c>
      <c r="C309" s="1" t="s">
        <v>500</v>
      </c>
      <c r="D309" s="1" t="s">
        <v>32</v>
      </c>
      <c r="E309" s="1" t="s">
        <v>215</v>
      </c>
      <c r="F309" s="1" t="s">
        <v>216</v>
      </c>
      <c r="G309" s="6" t="str">
        <f>VLOOKUP(A309,WorldCups!$A$2:$B$23,2,FALSE)</f>
        <v>Argentina</v>
      </c>
      <c r="H309" s="1" t="s">
        <v>25</v>
      </c>
      <c r="I309" s="1">
        <v>3</v>
      </c>
      <c r="J309" s="1">
        <v>1</v>
      </c>
      <c r="K309" s="1" t="s">
        <v>45</v>
      </c>
      <c r="L309" s="1" t="s">
        <v>229</v>
      </c>
      <c r="M309" s="1" t="str">
        <f>IF(ISNUMBER(SEARCH("Group",Table2[[#This Row],[Round]])),"Group stages",Table2[[#This Row],[Round]])</f>
        <v>Final</v>
      </c>
      <c r="O309" s="1">
        <f>Table2[[#This Row],[Year]]</f>
        <v>1978</v>
      </c>
      <c r="P309" s="1" t="str">
        <f>INDEX(Table2[[HomeTeam]:[Group_details]],ROWS($N$2:N309),COLUMNS($N$2:N309))</f>
        <v>Argentina</v>
      </c>
      <c r="Q309" s="1">
        <f>INDEX(Table2[[HomeTeam]:[Group_details]],ROWS($N$2:O309),COLUMNS($N$2:O309))</f>
        <v>3</v>
      </c>
      <c r="R309" s="1">
        <f>INDEX(Table2[[HomeTeam]:[Group_details]],ROWS($N$2:P309),COLUMNS($N$2:P309))</f>
        <v>1</v>
      </c>
      <c r="S309" s="1" t="str">
        <f>INDEX(Table2[[HomeTeam]:[Group_details]],ROWS($N$2:Q309),COLUMNS($N$2:Q309))</f>
        <v>Netherlands</v>
      </c>
      <c r="T309" s="1" t="str">
        <f>INDEX(Table2[[HomeTeam]:[Group_details]],ROWS($N$2:R309),COLUMNS($N$2:R309))</f>
        <v xml:space="preserve">Argentina win after extra time </v>
      </c>
      <c r="U309" s="1" t="str">
        <f>INDEX(Table2[[HomeTeam]:[Group_details]],ROWS($N$2:S309),COLUMNS($N$2:S309))</f>
        <v>Final</v>
      </c>
      <c r="V309" s="1" t="b">
        <f t="shared" si="4"/>
        <v>0</v>
      </c>
      <c r="W309" s="1" t="str">
        <f>IF(V309=TRUE,ROWS($V$2:V309),"")</f>
        <v/>
      </c>
      <c r="X309" s="1" t="str">
        <f>IFERROR(SMALL($W$2:$W$853,ROWS($W$2:W309)),"")</f>
        <v/>
      </c>
      <c r="Y309" s="1" t="str">
        <f>IF($X309&lt;&gt;"",INDEX($P$2:$U$853,MATCH($X309,$W$2:$W$853,0),COLUMNS($X$2:X309)),"")</f>
        <v/>
      </c>
      <c r="Z309" s="1" t="str">
        <f>IF($X309&lt;&gt;"",INDEX($P$2:$U$853,MATCH($X309,$W$2:$W$853,0),COLUMNS($X$2:Y309)),"")</f>
        <v/>
      </c>
      <c r="AA309" s="1" t="str">
        <f>IF($X309&lt;&gt;"",INDEX($P$2:$U$853,MATCH($X309,$W$2:$W$853,0),COLUMNS($X$2:Z309)),"")</f>
        <v/>
      </c>
      <c r="AB309" s="1" t="str">
        <f>IF($X309&lt;&gt;"",INDEX($P$2:$U$853,MATCH($X309,$W$2:$W$853,0),COLUMNS($X$2:AA309)),"")</f>
        <v/>
      </c>
      <c r="AC309" s="1" t="str">
        <f>IF($X309&lt;&gt;"",INDEX($P$2:$U$853,MATCH($X309,$W$2:$W$853,0),COLUMNS($X$2:AB309)),"")</f>
        <v/>
      </c>
      <c r="AD309" s="1" t="str">
        <f>IF($X309&lt;&gt;"",INDEX($P$2:$U$853,MATCH($X309,$W$2:$W$853,0),COLUMNS($X$2:AC309)),"")</f>
        <v/>
      </c>
    </row>
    <row r="310" spans="1:30" x14ac:dyDescent="0.2">
      <c r="A310" s="1">
        <v>1982</v>
      </c>
      <c r="B310" s="2">
        <v>30115</v>
      </c>
      <c r="C310" s="1" t="s">
        <v>528</v>
      </c>
      <c r="D310" s="1" t="s">
        <v>22</v>
      </c>
      <c r="E310" s="1" t="s">
        <v>230</v>
      </c>
      <c r="F310" s="1" t="s">
        <v>231</v>
      </c>
      <c r="G310" s="6" t="str">
        <f>VLOOKUP(A310,WorldCups!$A$2:$B$23,2,FALSE)</f>
        <v>Spain</v>
      </c>
      <c r="H310" s="1" t="s">
        <v>25</v>
      </c>
      <c r="I310" s="1">
        <v>0</v>
      </c>
      <c r="J310" s="1">
        <v>1</v>
      </c>
      <c r="K310" s="1" t="s">
        <v>18</v>
      </c>
      <c r="L310" s="1" t="s">
        <v>14</v>
      </c>
      <c r="M310" s="1" t="str">
        <f>IF(ISNUMBER(SEARCH("Group",Table2[[#This Row],[Round]])),"Group stages",Table2[[#This Row],[Round]])</f>
        <v>Group stages</v>
      </c>
      <c r="O310" s="1">
        <f>Table2[[#This Row],[Year]]</f>
        <v>1982</v>
      </c>
      <c r="P310" s="1" t="str">
        <f>INDEX(Table2[[HomeTeam]:[Group_details]],ROWS($N$2:N310),COLUMNS($N$2:N310))</f>
        <v>Argentina</v>
      </c>
      <c r="Q310" s="1">
        <f>INDEX(Table2[[HomeTeam]:[Group_details]],ROWS($N$2:O310),COLUMNS($N$2:O310))</f>
        <v>0</v>
      </c>
      <c r="R310" s="1">
        <f>INDEX(Table2[[HomeTeam]:[Group_details]],ROWS($N$2:P310),COLUMNS($N$2:P310))</f>
        <v>1</v>
      </c>
      <c r="S310" s="1" t="str">
        <f>INDEX(Table2[[HomeTeam]:[Group_details]],ROWS($N$2:Q310),COLUMNS($N$2:Q310))</f>
        <v>Belgium</v>
      </c>
      <c r="T310" s="1" t="str">
        <f>INDEX(Table2[[HomeTeam]:[Group_details]],ROWS($N$2:R310),COLUMNS($N$2:R310))</f>
        <v xml:space="preserve"> </v>
      </c>
      <c r="U310" s="1" t="str">
        <f>INDEX(Table2[[HomeTeam]:[Group_details]],ROWS($N$2:S310),COLUMNS($N$2:S310))</f>
        <v>Group stages</v>
      </c>
      <c r="V310" s="1" t="b">
        <f t="shared" si="4"/>
        <v>0</v>
      </c>
      <c r="W310" s="1" t="str">
        <f>IF(V310=TRUE,ROWS($V$2:V310),"")</f>
        <v/>
      </c>
      <c r="X310" s="1" t="str">
        <f>IFERROR(SMALL($W$2:$W$853,ROWS($W$2:W310)),"")</f>
        <v/>
      </c>
      <c r="Y310" s="1" t="str">
        <f>IF($X310&lt;&gt;"",INDEX($P$2:$U$853,MATCH($X310,$W$2:$W$853,0),COLUMNS($X$2:X310)),"")</f>
        <v/>
      </c>
      <c r="Z310" s="1" t="str">
        <f>IF($X310&lt;&gt;"",INDEX($P$2:$U$853,MATCH($X310,$W$2:$W$853,0),COLUMNS($X$2:Y310)),"")</f>
        <v/>
      </c>
      <c r="AA310" s="1" t="str">
        <f>IF($X310&lt;&gt;"",INDEX($P$2:$U$853,MATCH($X310,$W$2:$W$853,0),COLUMNS($X$2:Z310)),"")</f>
        <v/>
      </c>
      <c r="AB310" s="1" t="str">
        <f>IF($X310&lt;&gt;"",INDEX($P$2:$U$853,MATCH($X310,$W$2:$W$853,0),COLUMNS($X$2:AA310)),"")</f>
        <v/>
      </c>
      <c r="AC310" s="1" t="str">
        <f>IF($X310&lt;&gt;"",INDEX($P$2:$U$853,MATCH($X310,$W$2:$W$853,0),COLUMNS($X$2:AB310)),"")</f>
        <v/>
      </c>
      <c r="AD310" s="1" t="str">
        <f>IF($X310&lt;&gt;"",INDEX($P$2:$U$853,MATCH($X310,$W$2:$W$853,0),COLUMNS($X$2:AC310)),"")</f>
        <v/>
      </c>
    </row>
    <row r="311" spans="1:30" x14ac:dyDescent="0.2">
      <c r="A311" s="1">
        <v>1982</v>
      </c>
      <c r="B311" s="2">
        <v>30116</v>
      </c>
      <c r="C311" s="1" t="s">
        <v>529</v>
      </c>
      <c r="D311" s="1" t="s">
        <v>9</v>
      </c>
      <c r="E311" s="1" t="s">
        <v>232</v>
      </c>
      <c r="F311" s="1" t="s">
        <v>233</v>
      </c>
      <c r="G311" s="6" t="str">
        <f>VLOOKUP(A311,WorldCups!$A$2:$B$23,2,FALSE)</f>
        <v>Spain</v>
      </c>
      <c r="H311" s="1" t="s">
        <v>57</v>
      </c>
      <c r="I311" s="1">
        <v>0</v>
      </c>
      <c r="J311" s="1">
        <v>0</v>
      </c>
      <c r="K311" s="1" t="s">
        <v>80</v>
      </c>
      <c r="L311" s="1" t="s">
        <v>14</v>
      </c>
      <c r="M311" s="1" t="str">
        <f>IF(ISNUMBER(SEARCH("Group",Table2[[#This Row],[Round]])),"Group stages",Table2[[#This Row],[Round]])</f>
        <v>Group stages</v>
      </c>
      <c r="O311" s="1">
        <f>Table2[[#This Row],[Year]]</f>
        <v>1982</v>
      </c>
      <c r="P311" s="1" t="str">
        <f>INDEX(Table2[[HomeTeam]:[Group_details]],ROWS($N$2:N311),COLUMNS($N$2:N311))</f>
        <v>Italy</v>
      </c>
      <c r="Q311" s="1">
        <f>INDEX(Table2[[HomeTeam]:[Group_details]],ROWS($N$2:O311),COLUMNS($N$2:O311))</f>
        <v>0</v>
      </c>
      <c r="R311" s="1">
        <f>INDEX(Table2[[HomeTeam]:[Group_details]],ROWS($N$2:P311),COLUMNS($N$2:P311))</f>
        <v>0</v>
      </c>
      <c r="S311" s="1" t="str">
        <f>INDEX(Table2[[HomeTeam]:[Group_details]],ROWS($N$2:Q311),COLUMNS($N$2:Q311))</f>
        <v>Poland</v>
      </c>
      <c r="T311" s="1" t="str">
        <f>INDEX(Table2[[HomeTeam]:[Group_details]],ROWS($N$2:R311),COLUMNS($N$2:R311))</f>
        <v xml:space="preserve"> </v>
      </c>
      <c r="U311" s="1" t="str">
        <f>INDEX(Table2[[HomeTeam]:[Group_details]],ROWS($N$2:S311),COLUMNS($N$2:S311))</f>
        <v>Group stages</v>
      </c>
      <c r="V311" s="1" t="b">
        <f t="shared" si="4"/>
        <v>0</v>
      </c>
      <c r="W311" s="1" t="str">
        <f>IF(V311=TRUE,ROWS($V$2:V311),"")</f>
        <v/>
      </c>
      <c r="X311" s="1" t="str">
        <f>IFERROR(SMALL($W$2:$W$853,ROWS($W$2:W311)),"")</f>
        <v/>
      </c>
      <c r="Y311" s="1" t="str">
        <f>IF($X311&lt;&gt;"",INDEX($P$2:$U$853,MATCH($X311,$W$2:$W$853,0),COLUMNS($X$2:X311)),"")</f>
        <v/>
      </c>
      <c r="Z311" s="1" t="str">
        <f>IF($X311&lt;&gt;"",INDEX($P$2:$U$853,MATCH($X311,$W$2:$W$853,0),COLUMNS($X$2:Y311)),"")</f>
        <v/>
      </c>
      <c r="AA311" s="1" t="str">
        <f>IF($X311&lt;&gt;"",INDEX($P$2:$U$853,MATCH($X311,$W$2:$W$853,0),COLUMNS($X$2:Z311)),"")</f>
        <v/>
      </c>
      <c r="AB311" s="1" t="str">
        <f>IF($X311&lt;&gt;"",INDEX($P$2:$U$853,MATCH($X311,$W$2:$W$853,0),COLUMNS($X$2:AA311)),"")</f>
        <v/>
      </c>
      <c r="AC311" s="1" t="str">
        <f>IF($X311&lt;&gt;"",INDEX($P$2:$U$853,MATCH($X311,$W$2:$W$853,0),COLUMNS($X$2:AB311)),"")</f>
        <v/>
      </c>
      <c r="AD311" s="1" t="str">
        <f>IF($X311&lt;&gt;"",INDEX($P$2:$U$853,MATCH($X311,$W$2:$W$853,0),COLUMNS($X$2:AC311)),"")</f>
        <v/>
      </c>
    </row>
    <row r="312" spans="1:30" x14ac:dyDescent="0.2">
      <c r="A312" s="1">
        <v>1982</v>
      </c>
      <c r="B312" s="2">
        <v>30116</v>
      </c>
      <c r="C312" s="1" t="s">
        <v>530</v>
      </c>
      <c r="D312" s="1" t="s">
        <v>104</v>
      </c>
      <c r="E312" s="1" t="s">
        <v>234</v>
      </c>
      <c r="F312" s="1" t="s">
        <v>235</v>
      </c>
      <c r="G312" s="6" t="str">
        <f>VLOOKUP(A312,WorldCups!$A$2:$B$23,2,FALSE)</f>
        <v>Spain</v>
      </c>
      <c r="H312" s="1" t="s">
        <v>21</v>
      </c>
      <c r="I312" s="1">
        <v>2</v>
      </c>
      <c r="J312" s="1">
        <v>1</v>
      </c>
      <c r="K312" s="1" t="s">
        <v>126</v>
      </c>
      <c r="L312" s="1" t="s">
        <v>14</v>
      </c>
      <c r="M312" s="1" t="str">
        <f>IF(ISNUMBER(SEARCH("Group",Table2[[#This Row],[Round]])),"Group stages",Table2[[#This Row],[Round]])</f>
        <v>Group stages</v>
      </c>
      <c r="O312" s="1">
        <f>Table2[[#This Row],[Year]]</f>
        <v>1982</v>
      </c>
      <c r="P312" s="1" t="str">
        <f>INDEX(Table2[[HomeTeam]:[Group_details]],ROWS($N$2:N312),COLUMNS($N$2:N312))</f>
        <v>Brazil</v>
      </c>
      <c r="Q312" s="1">
        <f>INDEX(Table2[[HomeTeam]:[Group_details]],ROWS($N$2:O312),COLUMNS($N$2:O312))</f>
        <v>2</v>
      </c>
      <c r="R312" s="1">
        <f>INDEX(Table2[[HomeTeam]:[Group_details]],ROWS($N$2:P312),COLUMNS($N$2:P312))</f>
        <v>1</v>
      </c>
      <c r="S312" s="1" t="str">
        <f>INDEX(Table2[[HomeTeam]:[Group_details]],ROWS($N$2:Q312),COLUMNS($N$2:Q312))</f>
        <v>Soviet Union</v>
      </c>
      <c r="T312" s="1" t="str">
        <f>INDEX(Table2[[HomeTeam]:[Group_details]],ROWS($N$2:R312),COLUMNS($N$2:R312))</f>
        <v xml:space="preserve"> </v>
      </c>
      <c r="U312" s="1" t="str">
        <f>INDEX(Table2[[HomeTeam]:[Group_details]],ROWS($N$2:S312),COLUMNS($N$2:S312))</f>
        <v>Group stages</v>
      </c>
      <c r="V312" s="1" t="b">
        <f t="shared" si="4"/>
        <v>0</v>
      </c>
      <c r="W312" s="1" t="str">
        <f>IF(V312=TRUE,ROWS($V$2:V312),"")</f>
        <v/>
      </c>
      <c r="X312" s="1" t="str">
        <f>IFERROR(SMALL($W$2:$W$853,ROWS($W$2:W312)),"")</f>
        <v/>
      </c>
      <c r="Y312" s="1" t="str">
        <f>IF($X312&lt;&gt;"",INDEX($P$2:$U$853,MATCH($X312,$W$2:$W$853,0),COLUMNS($X$2:X312)),"")</f>
        <v/>
      </c>
      <c r="Z312" s="1" t="str">
        <f>IF($X312&lt;&gt;"",INDEX($P$2:$U$853,MATCH($X312,$W$2:$W$853,0),COLUMNS($X$2:Y312)),"")</f>
        <v/>
      </c>
      <c r="AA312" s="1" t="str">
        <f>IF($X312&lt;&gt;"",INDEX($P$2:$U$853,MATCH($X312,$W$2:$W$853,0),COLUMNS($X$2:Z312)),"")</f>
        <v/>
      </c>
      <c r="AB312" s="1" t="str">
        <f>IF($X312&lt;&gt;"",INDEX($P$2:$U$853,MATCH($X312,$W$2:$W$853,0),COLUMNS($X$2:AA312)),"")</f>
        <v/>
      </c>
      <c r="AC312" s="1" t="str">
        <f>IF($X312&lt;&gt;"",INDEX($P$2:$U$853,MATCH($X312,$W$2:$W$853,0),COLUMNS($X$2:AB312)),"")</f>
        <v/>
      </c>
      <c r="AD312" s="1" t="str">
        <f>IF($X312&lt;&gt;"",INDEX($P$2:$U$853,MATCH($X312,$W$2:$W$853,0),COLUMNS($X$2:AC312)),"")</f>
        <v/>
      </c>
    </row>
    <row r="313" spans="1:30" x14ac:dyDescent="0.2">
      <c r="A313" s="1">
        <v>1982</v>
      </c>
      <c r="B313" s="2">
        <v>30117</v>
      </c>
      <c r="C313" s="1" t="s">
        <v>529</v>
      </c>
      <c r="D313" s="1" t="s">
        <v>9</v>
      </c>
      <c r="E313" s="1" t="s">
        <v>236</v>
      </c>
      <c r="F313" s="1" t="s">
        <v>237</v>
      </c>
      <c r="G313" s="6" t="str">
        <f>VLOOKUP(A313,WorldCups!$A$2:$B$23,2,FALSE)</f>
        <v>Spain</v>
      </c>
      <c r="H313" s="1" t="s">
        <v>24</v>
      </c>
      <c r="I313" s="1">
        <v>0</v>
      </c>
      <c r="J313" s="1">
        <v>0</v>
      </c>
      <c r="K313" s="1" t="s">
        <v>238</v>
      </c>
      <c r="L313" s="1" t="s">
        <v>14</v>
      </c>
      <c r="M313" s="1" t="str">
        <f>IF(ISNUMBER(SEARCH("Group",Table2[[#This Row],[Round]])),"Group stages",Table2[[#This Row],[Round]])</f>
        <v>Group stages</v>
      </c>
      <c r="O313" s="1">
        <f>Table2[[#This Row],[Year]]</f>
        <v>1982</v>
      </c>
      <c r="P313" s="1" t="str">
        <f>INDEX(Table2[[HomeTeam]:[Group_details]],ROWS($N$2:N313),COLUMNS($N$2:N313))</f>
        <v>Peru</v>
      </c>
      <c r="Q313" s="1">
        <f>INDEX(Table2[[HomeTeam]:[Group_details]],ROWS($N$2:O313),COLUMNS($N$2:O313))</f>
        <v>0</v>
      </c>
      <c r="R313" s="1">
        <f>INDEX(Table2[[HomeTeam]:[Group_details]],ROWS($N$2:P313),COLUMNS($N$2:P313))</f>
        <v>0</v>
      </c>
      <c r="S313" s="1" t="str">
        <f>INDEX(Table2[[HomeTeam]:[Group_details]],ROWS($N$2:Q313),COLUMNS($N$2:Q313))</f>
        <v>Cameroon</v>
      </c>
      <c r="T313" s="1" t="str">
        <f>INDEX(Table2[[HomeTeam]:[Group_details]],ROWS($N$2:R313),COLUMNS($N$2:R313))</f>
        <v xml:space="preserve"> </v>
      </c>
      <c r="U313" s="1" t="str">
        <f>INDEX(Table2[[HomeTeam]:[Group_details]],ROWS($N$2:S313),COLUMNS($N$2:S313))</f>
        <v>Group stages</v>
      </c>
      <c r="V313" s="1" t="b">
        <f t="shared" si="4"/>
        <v>0</v>
      </c>
      <c r="W313" s="1" t="str">
        <f>IF(V313=TRUE,ROWS($V$2:V313),"")</f>
        <v/>
      </c>
      <c r="X313" s="1" t="str">
        <f>IFERROR(SMALL($W$2:$W$853,ROWS($W$2:W313)),"")</f>
        <v/>
      </c>
      <c r="Y313" s="1" t="str">
        <f>IF($X313&lt;&gt;"",INDEX($P$2:$U$853,MATCH($X313,$W$2:$W$853,0),COLUMNS($X$2:X313)),"")</f>
        <v/>
      </c>
      <c r="Z313" s="1" t="str">
        <f>IF($X313&lt;&gt;"",INDEX($P$2:$U$853,MATCH($X313,$W$2:$W$853,0),COLUMNS($X$2:Y313)),"")</f>
        <v/>
      </c>
      <c r="AA313" s="1" t="str">
        <f>IF($X313&lt;&gt;"",INDEX($P$2:$U$853,MATCH($X313,$W$2:$W$853,0),COLUMNS($X$2:Z313)),"")</f>
        <v/>
      </c>
      <c r="AB313" s="1" t="str">
        <f>IF($X313&lt;&gt;"",INDEX($P$2:$U$853,MATCH($X313,$W$2:$W$853,0),COLUMNS($X$2:AA313)),"")</f>
        <v/>
      </c>
      <c r="AC313" s="1" t="str">
        <f>IF($X313&lt;&gt;"",INDEX($P$2:$U$853,MATCH($X313,$W$2:$W$853,0),COLUMNS($X$2:AB313)),"")</f>
        <v/>
      </c>
      <c r="AD313" s="1" t="str">
        <f>IF($X313&lt;&gt;"",INDEX($P$2:$U$853,MATCH($X313,$W$2:$W$853,0),COLUMNS($X$2:AC313)),"")</f>
        <v/>
      </c>
    </row>
    <row r="314" spans="1:30" x14ac:dyDescent="0.2">
      <c r="A314" s="1">
        <v>1982</v>
      </c>
      <c r="B314" s="2">
        <v>30117</v>
      </c>
      <c r="C314" s="1" t="s">
        <v>530</v>
      </c>
      <c r="D314" s="1" t="s">
        <v>22</v>
      </c>
      <c r="E314" s="1" t="s">
        <v>239</v>
      </c>
      <c r="F314" s="1" t="s">
        <v>240</v>
      </c>
      <c r="G314" s="6" t="str">
        <f>VLOOKUP(A314,WorldCups!$A$2:$B$23,2,FALSE)</f>
        <v>Spain</v>
      </c>
      <c r="H314" s="1" t="s">
        <v>40</v>
      </c>
      <c r="I314" s="1">
        <v>10</v>
      </c>
      <c r="J314" s="1">
        <v>1</v>
      </c>
      <c r="K314" s="1" t="s">
        <v>189</v>
      </c>
      <c r="L314" s="1" t="s">
        <v>14</v>
      </c>
      <c r="M314" s="1" t="str">
        <f>IF(ISNUMBER(SEARCH("Group",Table2[[#This Row],[Round]])),"Group stages",Table2[[#This Row],[Round]])</f>
        <v>Group stages</v>
      </c>
      <c r="O314" s="1">
        <f>Table2[[#This Row],[Year]]</f>
        <v>1982</v>
      </c>
      <c r="P314" s="1" t="str">
        <f>INDEX(Table2[[HomeTeam]:[Group_details]],ROWS($N$2:N314),COLUMNS($N$2:N314))</f>
        <v>Hungary</v>
      </c>
      <c r="Q314" s="1">
        <f>INDEX(Table2[[HomeTeam]:[Group_details]],ROWS($N$2:O314),COLUMNS($N$2:O314))</f>
        <v>10</v>
      </c>
      <c r="R314" s="1">
        <f>INDEX(Table2[[HomeTeam]:[Group_details]],ROWS($N$2:P314),COLUMNS($N$2:P314))</f>
        <v>1</v>
      </c>
      <c r="S314" s="1" t="str">
        <f>INDEX(Table2[[HomeTeam]:[Group_details]],ROWS($N$2:Q314),COLUMNS($N$2:Q314))</f>
        <v>El Salvador</v>
      </c>
      <c r="T314" s="1" t="str">
        <f>INDEX(Table2[[HomeTeam]:[Group_details]],ROWS($N$2:R314),COLUMNS($N$2:R314))</f>
        <v xml:space="preserve"> </v>
      </c>
      <c r="U314" s="1" t="str">
        <f>INDEX(Table2[[HomeTeam]:[Group_details]],ROWS($N$2:S314),COLUMNS($N$2:S314))</f>
        <v>Group stages</v>
      </c>
      <c r="V314" s="1" t="b">
        <f t="shared" si="4"/>
        <v>0</v>
      </c>
      <c r="W314" s="1" t="str">
        <f>IF(V314=TRUE,ROWS($V$2:V314),"")</f>
        <v/>
      </c>
      <c r="X314" s="1" t="str">
        <f>IFERROR(SMALL($W$2:$W$853,ROWS($W$2:W314)),"")</f>
        <v/>
      </c>
      <c r="Y314" s="1" t="str">
        <f>IF($X314&lt;&gt;"",INDEX($P$2:$U$853,MATCH($X314,$W$2:$W$853,0),COLUMNS($X$2:X314)),"")</f>
        <v/>
      </c>
      <c r="Z314" s="1" t="str">
        <f>IF($X314&lt;&gt;"",INDEX($P$2:$U$853,MATCH($X314,$W$2:$W$853,0),COLUMNS($X$2:Y314)),"")</f>
        <v/>
      </c>
      <c r="AA314" s="1" t="str">
        <f>IF($X314&lt;&gt;"",INDEX($P$2:$U$853,MATCH($X314,$W$2:$W$853,0),COLUMNS($X$2:Z314)),"")</f>
        <v/>
      </c>
      <c r="AB314" s="1" t="str">
        <f>IF($X314&lt;&gt;"",INDEX($P$2:$U$853,MATCH($X314,$W$2:$W$853,0),COLUMNS($X$2:AA314)),"")</f>
        <v/>
      </c>
      <c r="AC314" s="1" t="str">
        <f>IF($X314&lt;&gt;"",INDEX($P$2:$U$853,MATCH($X314,$W$2:$W$853,0),COLUMNS($X$2:AB314)),"")</f>
        <v/>
      </c>
      <c r="AD314" s="1" t="str">
        <f>IF($X314&lt;&gt;"",INDEX($P$2:$U$853,MATCH($X314,$W$2:$W$853,0),COLUMNS($X$2:AC314)),"")</f>
        <v/>
      </c>
    </row>
    <row r="315" spans="1:30" x14ac:dyDescent="0.2">
      <c r="A315" s="1">
        <v>1982</v>
      </c>
      <c r="B315" s="2">
        <v>30117</v>
      </c>
      <c r="C315" s="1" t="s">
        <v>530</v>
      </c>
      <c r="D315" s="1" t="s">
        <v>104</v>
      </c>
      <c r="E315" s="1" t="s">
        <v>241</v>
      </c>
      <c r="F315" s="1" t="s">
        <v>242</v>
      </c>
      <c r="G315" s="6" t="str">
        <f>VLOOKUP(A315,WorldCups!$A$2:$B$23,2,FALSE)</f>
        <v>Spain</v>
      </c>
      <c r="H315" s="1" t="s">
        <v>109</v>
      </c>
      <c r="I315" s="1">
        <v>5</v>
      </c>
      <c r="J315" s="1">
        <v>2</v>
      </c>
      <c r="K315" s="1" t="s">
        <v>243</v>
      </c>
      <c r="L315" s="1" t="s">
        <v>14</v>
      </c>
      <c r="M315" s="1" t="str">
        <f>IF(ISNUMBER(SEARCH("Group",Table2[[#This Row],[Round]])),"Group stages",Table2[[#This Row],[Round]])</f>
        <v>Group stages</v>
      </c>
      <c r="O315" s="1">
        <f>Table2[[#This Row],[Year]]</f>
        <v>1982</v>
      </c>
      <c r="P315" s="1" t="str">
        <f>INDEX(Table2[[HomeTeam]:[Group_details]],ROWS($N$2:N315),COLUMNS($N$2:N315))</f>
        <v>Scotland</v>
      </c>
      <c r="Q315" s="1">
        <f>INDEX(Table2[[HomeTeam]:[Group_details]],ROWS($N$2:O315),COLUMNS($N$2:O315))</f>
        <v>5</v>
      </c>
      <c r="R315" s="1">
        <f>INDEX(Table2[[HomeTeam]:[Group_details]],ROWS($N$2:P315),COLUMNS($N$2:P315))</f>
        <v>2</v>
      </c>
      <c r="S315" s="1" t="str">
        <f>INDEX(Table2[[HomeTeam]:[Group_details]],ROWS($N$2:Q315),COLUMNS($N$2:Q315))</f>
        <v>New Zealand</v>
      </c>
      <c r="T315" s="1" t="str">
        <f>INDEX(Table2[[HomeTeam]:[Group_details]],ROWS($N$2:R315),COLUMNS($N$2:R315))</f>
        <v xml:space="preserve"> </v>
      </c>
      <c r="U315" s="1" t="str">
        <f>INDEX(Table2[[HomeTeam]:[Group_details]],ROWS($N$2:S315),COLUMNS($N$2:S315))</f>
        <v>Group stages</v>
      </c>
      <c r="V315" s="1" t="b">
        <f t="shared" si="4"/>
        <v>0</v>
      </c>
      <c r="W315" s="1" t="str">
        <f>IF(V315=TRUE,ROWS($V$2:V315),"")</f>
        <v/>
      </c>
      <c r="X315" s="1" t="str">
        <f>IFERROR(SMALL($W$2:$W$853,ROWS($W$2:W315)),"")</f>
        <v/>
      </c>
      <c r="Y315" s="1" t="str">
        <f>IF($X315&lt;&gt;"",INDEX($P$2:$U$853,MATCH($X315,$W$2:$W$853,0),COLUMNS($X$2:X315)),"")</f>
        <v/>
      </c>
      <c r="Z315" s="1" t="str">
        <f>IF($X315&lt;&gt;"",INDEX($P$2:$U$853,MATCH($X315,$W$2:$W$853,0),COLUMNS($X$2:Y315)),"")</f>
        <v/>
      </c>
      <c r="AA315" s="1" t="str">
        <f>IF($X315&lt;&gt;"",INDEX($P$2:$U$853,MATCH($X315,$W$2:$W$853,0),COLUMNS($X$2:Z315)),"")</f>
        <v/>
      </c>
      <c r="AB315" s="1" t="str">
        <f>IF($X315&lt;&gt;"",INDEX($P$2:$U$853,MATCH($X315,$W$2:$W$853,0),COLUMNS($X$2:AA315)),"")</f>
        <v/>
      </c>
      <c r="AC315" s="1" t="str">
        <f>IF($X315&lt;&gt;"",INDEX($P$2:$U$853,MATCH($X315,$W$2:$W$853,0),COLUMNS($X$2:AB315)),"")</f>
        <v/>
      </c>
      <c r="AD315" s="1" t="str">
        <f>IF($X315&lt;&gt;"",INDEX($P$2:$U$853,MATCH($X315,$W$2:$W$853,0),COLUMNS($X$2:AC315)),"")</f>
        <v/>
      </c>
    </row>
    <row r="316" spans="1:30" x14ac:dyDescent="0.2">
      <c r="A316" s="1">
        <v>1982</v>
      </c>
      <c r="B316" s="2">
        <v>30118</v>
      </c>
      <c r="C316" s="1" t="s">
        <v>529</v>
      </c>
      <c r="D316" s="1" t="s">
        <v>19</v>
      </c>
      <c r="E316" s="1" t="s">
        <v>244</v>
      </c>
      <c r="F316" s="1" t="s">
        <v>245</v>
      </c>
      <c r="G316" s="6" t="str">
        <f>VLOOKUP(A316,WorldCups!$A$2:$B$23,2,FALSE)</f>
        <v>Spain</v>
      </c>
      <c r="H316" s="1" t="s">
        <v>114</v>
      </c>
      <c r="I316" s="1">
        <v>1</v>
      </c>
      <c r="J316" s="1">
        <v>2</v>
      </c>
      <c r="K316" s="1" t="s">
        <v>246</v>
      </c>
      <c r="L316" s="1" t="s">
        <v>14</v>
      </c>
      <c r="M316" s="1" t="str">
        <f>IF(ISNUMBER(SEARCH("Group",Table2[[#This Row],[Round]])),"Group stages",Table2[[#This Row],[Round]])</f>
        <v>Group stages</v>
      </c>
      <c r="O316" s="1">
        <f>Table2[[#This Row],[Year]]</f>
        <v>1982</v>
      </c>
      <c r="P316" s="1" t="str">
        <f>INDEX(Table2[[HomeTeam]:[Group_details]],ROWS($N$2:N316),COLUMNS($N$2:N316))</f>
        <v>Germany FR</v>
      </c>
      <c r="Q316" s="1">
        <f>INDEX(Table2[[HomeTeam]:[Group_details]],ROWS($N$2:O316),COLUMNS($N$2:O316))</f>
        <v>1</v>
      </c>
      <c r="R316" s="1">
        <f>INDEX(Table2[[HomeTeam]:[Group_details]],ROWS($N$2:P316),COLUMNS($N$2:P316))</f>
        <v>2</v>
      </c>
      <c r="S316" s="1" t="str">
        <f>INDEX(Table2[[HomeTeam]:[Group_details]],ROWS($N$2:Q316),COLUMNS($N$2:Q316))</f>
        <v>Algeria</v>
      </c>
      <c r="T316" s="1" t="str">
        <f>INDEX(Table2[[HomeTeam]:[Group_details]],ROWS($N$2:R316),COLUMNS($N$2:R316))</f>
        <v xml:space="preserve"> </v>
      </c>
      <c r="U316" s="1" t="str">
        <f>INDEX(Table2[[HomeTeam]:[Group_details]],ROWS($N$2:S316),COLUMNS($N$2:S316))</f>
        <v>Group stages</v>
      </c>
      <c r="V316" s="1" t="b">
        <f t="shared" si="4"/>
        <v>0</v>
      </c>
      <c r="W316" s="1" t="str">
        <f>IF(V316=TRUE,ROWS($V$2:V316),"")</f>
        <v/>
      </c>
      <c r="X316" s="1" t="str">
        <f>IFERROR(SMALL($W$2:$W$853,ROWS($W$2:W316)),"")</f>
        <v/>
      </c>
      <c r="Y316" s="1" t="str">
        <f>IF($X316&lt;&gt;"",INDEX($P$2:$U$853,MATCH($X316,$W$2:$W$853,0),COLUMNS($X$2:X316)),"")</f>
        <v/>
      </c>
      <c r="Z316" s="1" t="str">
        <f>IF($X316&lt;&gt;"",INDEX($P$2:$U$853,MATCH($X316,$W$2:$W$853,0),COLUMNS($X$2:Y316)),"")</f>
        <v/>
      </c>
      <c r="AA316" s="1" t="str">
        <f>IF($X316&lt;&gt;"",INDEX($P$2:$U$853,MATCH($X316,$W$2:$W$853,0),COLUMNS($X$2:Z316)),"")</f>
        <v/>
      </c>
      <c r="AB316" s="1" t="str">
        <f>IF($X316&lt;&gt;"",INDEX($P$2:$U$853,MATCH($X316,$W$2:$W$853,0),COLUMNS($X$2:AA316)),"")</f>
        <v/>
      </c>
      <c r="AC316" s="1" t="str">
        <f>IF($X316&lt;&gt;"",INDEX($P$2:$U$853,MATCH($X316,$W$2:$W$853,0),COLUMNS($X$2:AB316)),"")</f>
        <v/>
      </c>
      <c r="AD316" s="1" t="str">
        <f>IF($X316&lt;&gt;"",INDEX($P$2:$U$853,MATCH($X316,$W$2:$W$853,0),COLUMNS($X$2:AC316)),"")</f>
        <v/>
      </c>
    </row>
    <row r="317" spans="1:30" x14ac:dyDescent="0.2">
      <c r="A317" s="1">
        <v>1982</v>
      </c>
      <c r="B317" s="2">
        <v>30118</v>
      </c>
      <c r="C317" s="1" t="s">
        <v>529</v>
      </c>
      <c r="D317" s="1" t="s">
        <v>15</v>
      </c>
      <c r="E317" s="1" t="s">
        <v>247</v>
      </c>
      <c r="F317" s="1" t="s">
        <v>248</v>
      </c>
      <c r="G317" s="6" t="str">
        <f>VLOOKUP(A317,WorldCups!$A$2:$B$23,2,FALSE)</f>
        <v>Spain</v>
      </c>
      <c r="H317" s="1" t="s">
        <v>93</v>
      </c>
      <c r="I317" s="1">
        <v>3</v>
      </c>
      <c r="J317" s="1">
        <v>1</v>
      </c>
      <c r="K317" s="1" t="s">
        <v>12</v>
      </c>
      <c r="L317" s="1" t="s">
        <v>14</v>
      </c>
      <c r="M317" s="1" t="str">
        <f>IF(ISNUMBER(SEARCH("Group",Table2[[#This Row],[Round]])),"Group stages",Table2[[#This Row],[Round]])</f>
        <v>Group stages</v>
      </c>
      <c r="O317" s="1">
        <f>Table2[[#This Row],[Year]]</f>
        <v>1982</v>
      </c>
      <c r="P317" s="1" t="str">
        <f>INDEX(Table2[[HomeTeam]:[Group_details]],ROWS($N$2:N317),COLUMNS($N$2:N317))</f>
        <v>England</v>
      </c>
      <c r="Q317" s="1">
        <f>INDEX(Table2[[HomeTeam]:[Group_details]],ROWS($N$2:O317),COLUMNS($N$2:O317))</f>
        <v>3</v>
      </c>
      <c r="R317" s="1">
        <f>INDEX(Table2[[HomeTeam]:[Group_details]],ROWS($N$2:P317),COLUMNS($N$2:P317))</f>
        <v>1</v>
      </c>
      <c r="S317" s="1" t="str">
        <f>INDEX(Table2[[HomeTeam]:[Group_details]],ROWS($N$2:Q317),COLUMNS($N$2:Q317))</f>
        <v>France</v>
      </c>
      <c r="T317" s="1" t="str">
        <f>INDEX(Table2[[HomeTeam]:[Group_details]],ROWS($N$2:R317),COLUMNS($N$2:R317))</f>
        <v xml:space="preserve"> </v>
      </c>
      <c r="U317" s="1" t="str">
        <f>INDEX(Table2[[HomeTeam]:[Group_details]],ROWS($N$2:S317),COLUMNS($N$2:S317))</f>
        <v>Group stages</v>
      </c>
      <c r="V317" s="1" t="b">
        <f t="shared" si="4"/>
        <v>0</v>
      </c>
      <c r="W317" s="1" t="str">
        <f>IF(V317=TRUE,ROWS($V$2:V317),"")</f>
        <v/>
      </c>
      <c r="X317" s="1" t="str">
        <f>IFERROR(SMALL($W$2:$W$853,ROWS($W$2:W317)),"")</f>
        <v/>
      </c>
      <c r="Y317" s="1" t="str">
        <f>IF($X317&lt;&gt;"",INDEX($P$2:$U$853,MATCH($X317,$W$2:$W$853,0),COLUMNS($X$2:X317)),"")</f>
        <v/>
      </c>
      <c r="Z317" s="1" t="str">
        <f>IF($X317&lt;&gt;"",INDEX($P$2:$U$853,MATCH($X317,$W$2:$W$853,0),COLUMNS($X$2:Y317)),"")</f>
        <v/>
      </c>
      <c r="AA317" s="1" t="str">
        <f>IF($X317&lt;&gt;"",INDEX($P$2:$U$853,MATCH($X317,$W$2:$W$853,0),COLUMNS($X$2:Z317)),"")</f>
        <v/>
      </c>
      <c r="AB317" s="1" t="str">
        <f>IF($X317&lt;&gt;"",INDEX($P$2:$U$853,MATCH($X317,$W$2:$W$853,0),COLUMNS($X$2:AA317)),"")</f>
        <v/>
      </c>
      <c r="AC317" s="1" t="str">
        <f>IF($X317&lt;&gt;"",INDEX($P$2:$U$853,MATCH($X317,$W$2:$W$853,0),COLUMNS($X$2:AB317)),"")</f>
        <v/>
      </c>
      <c r="AD317" s="1" t="str">
        <f>IF($X317&lt;&gt;"",INDEX($P$2:$U$853,MATCH($X317,$W$2:$W$853,0),COLUMNS($X$2:AC317)),"")</f>
        <v/>
      </c>
    </row>
    <row r="318" spans="1:30" x14ac:dyDescent="0.2">
      <c r="A318" s="1">
        <v>1982</v>
      </c>
      <c r="B318" s="2">
        <v>30118</v>
      </c>
      <c r="C318" s="1" t="s">
        <v>530</v>
      </c>
      <c r="D318" s="1" t="s">
        <v>249</v>
      </c>
      <c r="E318" s="1" t="s">
        <v>250</v>
      </c>
      <c r="F318" s="1" t="s">
        <v>251</v>
      </c>
      <c r="G318" s="6" t="str">
        <f>VLOOKUP(A318,WorldCups!$A$2:$B$23,2,FALSE)</f>
        <v>Spain</v>
      </c>
      <c r="H318" s="1" t="s">
        <v>54</v>
      </c>
      <c r="I318" s="1">
        <v>1</v>
      </c>
      <c r="J318" s="1">
        <v>1</v>
      </c>
      <c r="K318" s="1" t="s">
        <v>252</v>
      </c>
      <c r="L318" s="1" t="s">
        <v>14</v>
      </c>
      <c r="M318" s="1" t="str">
        <f>IF(ISNUMBER(SEARCH("Group",Table2[[#This Row],[Round]])),"Group stages",Table2[[#This Row],[Round]])</f>
        <v>Group stages</v>
      </c>
      <c r="O318" s="1">
        <f>Table2[[#This Row],[Year]]</f>
        <v>1982</v>
      </c>
      <c r="P318" s="1" t="str">
        <f>INDEX(Table2[[HomeTeam]:[Group_details]],ROWS($N$2:N318),COLUMNS($N$2:N318))</f>
        <v>Spain</v>
      </c>
      <c r="Q318" s="1">
        <f>INDEX(Table2[[HomeTeam]:[Group_details]],ROWS($N$2:O318),COLUMNS($N$2:O318))</f>
        <v>1</v>
      </c>
      <c r="R318" s="1">
        <f>INDEX(Table2[[HomeTeam]:[Group_details]],ROWS($N$2:P318),COLUMNS($N$2:P318))</f>
        <v>1</v>
      </c>
      <c r="S318" s="1" t="str">
        <f>INDEX(Table2[[HomeTeam]:[Group_details]],ROWS($N$2:Q318),COLUMNS($N$2:Q318))</f>
        <v>Honduras</v>
      </c>
      <c r="T318" s="1" t="str">
        <f>INDEX(Table2[[HomeTeam]:[Group_details]],ROWS($N$2:R318),COLUMNS($N$2:R318))</f>
        <v xml:space="preserve"> </v>
      </c>
      <c r="U318" s="1" t="str">
        <f>INDEX(Table2[[HomeTeam]:[Group_details]],ROWS($N$2:S318),COLUMNS($N$2:S318))</f>
        <v>Group stages</v>
      </c>
      <c r="V318" s="1" t="b">
        <f t="shared" si="4"/>
        <v>0</v>
      </c>
      <c r="W318" s="1" t="str">
        <f>IF(V318=TRUE,ROWS($V$2:V318),"")</f>
        <v/>
      </c>
      <c r="X318" s="1" t="str">
        <f>IFERROR(SMALL($W$2:$W$853,ROWS($W$2:W318)),"")</f>
        <v/>
      </c>
      <c r="Y318" s="1" t="str">
        <f>IF($X318&lt;&gt;"",INDEX($P$2:$U$853,MATCH($X318,$W$2:$W$853,0),COLUMNS($X$2:X318)),"")</f>
        <v/>
      </c>
      <c r="Z318" s="1" t="str">
        <f>IF($X318&lt;&gt;"",INDEX($P$2:$U$853,MATCH($X318,$W$2:$W$853,0),COLUMNS($X$2:Y318)),"")</f>
        <v/>
      </c>
      <c r="AA318" s="1" t="str">
        <f>IF($X318&lt;&gt;"",INDEX($P$2:$U$853,MATCH($X318,$W$2:$W$853,0),COLUMNS($X$2:Z318)),"")</f>
        <v/>
      </c>
      <c r="AB318" s="1" t="str">
        <f>IF($X318&lt;&gt;"",INDEX($P$2:$U$853,MATCH($X318,$W$2:$W$853,0),COLUMNS($X$2:AA318)),"")</f>
        <v/>
      </c>
      <c r="AC318" s="1" t="str">
        <f>IF($X318&lt;&gt;"",INDEX($P$2:$U$853,MATCH($X318,$W$2:$W$853,0),COLUMNS($X$2:AB318)),"")</f>
        <v/>
      </c>
      <c r="AD318" s="1" t="str">
        <f>IF($X318&lt;&gt;"",INDEX($P$2:$U$853,MATCH($X318,$W$2:$W$853,0),COLUMNS($X$2:AC318)),"")</f>
        <v/>
      </c>
    </row>
    <row r="319" spans="1:30" x14ac:dyDescent="0.2">
      <c r="A319" s="1">
        <v>1982</v>
      </c>
      <c r="B319" s="2">
        <v>30119</v>
      </c>
      <c r="C319" s="1" t="s">
        <v>529</v>
      </c>
      <c r="D319" s="1" t="s">
        <v>19</v>
      </c>
      <c r="E319" s="1" t="s">
        <v>253</v>
      </c>
      <c r="F319" s="1" t="s">
        <v>254</v>
      </c>
      <c r="G319" s="6" t="str">
        <f>VLOOKUP(A319,WorldCups!$A$2:$B$23,2,FALSE)</f>
        <v>Spain</v>
      </c>
      <c r="H319" s="1" t="s">
        <v>26</v>
      </c>
      <c r="I319" s="1">
        <v>0</v>
      </c>
      <c r="J319" s="1">
        <v>1</v>
      </c>
      <c r="K319" s="1" t="s">
        <v>36</v>
      </c>
      <c r="L319" s="1" t="s">
        <v>14</v>
      </c>
      <c r="M319" s="1" t="str">
        <f>IF(ISNUMBER(SEARCH("Group",Table2[[#This Row],[Round]])),"Group stages",Table2[[#This Row],[Round]])</f>
        <v>Group stages</v>
      </c>
      <c r="O319" s="1">
        <f>Table2[[#This Row],[Year]]</f>
        <v>1982</v>
      </c>
      <c r="P319" s="1" t="str">
        <f>INDEX(Table2[[HomeTeam]:[Group_details]],ROWS($N$2:N319),COLUMNS($N$2:N319))</f>
        <v>Chile</v>
      </c>
      <c r="Q319" s="1">
        <f>INDEX(Table2[[HomeTeam]:[Group_details]],ROWS($N$2:O319),COLUMNS($N$2:O319))</f>
        <v>0</v>
      </c>
      <c r="R319" s="1">
        <f>INDEX(Table2[[HomeTeam]:[Group_details]],ROWS($N$2:P319),COLUMNS($N$2:P319))</f>
        <v>1</v>
      </c>
      <c r="S319" s="1" t="str">
        <f>INDEX(Table2[[HomeTeam]:[Group_details]],ROWS($N$2:Q319),COLUMNS($N$2:Q319))</f>
        <v>Austria</v>
      </c>
      <c r="T319" s="1" t="str">
        <f>INDEX(Table2[[HomeTeam]:[Group_details]],ROWS($N$2:R319),COLUMNS($N$2:R319))</f>
        <v xml:space="preserve"> </v>
      </c>
      <c r="U319" s="1" t="str">
        <f>INDEX(Table2[[HomeTeam]:[Group_details]],ROWS($N$2:S319),COLUMNS($N$2:S319))</f>
        <v>Group stages</v>
      </c>
      <c r="V319" s="1" t="b">
        <f t="shared" si="4"/>
        <v>0</v>
      </c>
      <c r="W319" s="1" t="str">
        <f>IF(V319=TRUE,ROWS($V$2:V319),"")</f>
        <v/>
      </c>
      <c r="X319" s="1" t="str">
        <f>IFERROR(SMALL($W$2:$W$853,ROWS($W$2:W319)),"")</f>
        <v/>
      </c>
      <c r="Y319" s="1" t="str">
        <f>IF($X319&lt;&gt;"",INDEX($P$2:$U$853,MATCH($X319,$W$2:$W$853,0),COLUMNS($X$2:X319)),"")</f>
        <v/>
      </c>
      <c r="Z319" s="1" t="str">
        <f>IF($X319&lt;&gt;"",INDEX($P$2:$U$853,MATCH($X319,$W$2:$W$853,0),COLUMNS($X$2:Y319)),"")</f>
        <v/>
      </c>
      <c r="AA319" s="1" t="str">
        <f>IF($X319&lt;&gt;"",INDEX($P$2:$U$853,MATCH($X319,$W$2:$W$853,0),COLUMNS($X$2:Z319)),"")</f>
        <v/>
      </c>
      <c r="AB319" s="1" t="str">
        <f>IF($X319&lt;&gt;"",INDEX($P$2:$U$853,MATCH($X319,$W$2:$W$853,0),COLUMNS($X$2:AA319)),"")</f>
        <v/>
      </c>
      <c r="AC319" s="1" t="str">
        <f>IF($X319&lt;&gt;"",INDEX($P$2:$U$853,MATCH($X319,$W$2:$W$853,0),COLUMNS($X$2:AB319)),"")</f>
        <v/>
      </c>
      <c r="AD319" s="1" t="str">
        <f>IF($X319&lt;&gt;"",INDEX($P$2:$U$853,MATCH($X319,$W$2:$W$853,0),COLUMNS($X$2:AC319)),"")</f>
        <v/>
      </c>
    </row>
    <row r="320" spans="1:30" x14ac:dyDescent="0.2">
      <c r="A320" s="1">
        <v>1982</v>
      </c>
      <c r="B320" s="2">
        <v>30119</v>
      </c>
      <c r="C320" s="1" t="s">
        <v>531</v>
      </c>
      <c r="D320" s="1" t="s">
        <v>15</v>
      </c>
      <c r="E320" s="1" t="s">
        <v>255</v>
      </c>
      <c r="F320" s="1" t="s">
        <v>256</v>
      </c>
      <c r="G320" s="6" t="str">
        <f>VLOOKUP(A320,WorldCups!$A$2:$B$23,2,FALSE)</f>
        <v>Spain</v>
      </c>
      <c r="H320" s="1" t="s">
        <v>60</v>
      </c>
      <c r="I320" s="1">
        <v>1</v>
      </c>
      <c r="J320" s="1">
        <v>1</v>
      </c>
      <c r="K320" s="1" t="s">
        <v>257</v>
      </c>
      <c r="L320" s="1" t="s">
        <v>14</v>
      </c>
      <c r="M320" s="1" t="str">
        <f>IF(ISNUMBER(SEARCH("Group",Table2[[#This Row],[Round]])),"Group stages",Table2[[#This Row],[Round]])</f>
        <v>Group stages</v>
      </c>
      <c r="O320" s="1">
        <f>Table2[[#This Row],[Year]]</f>
        <v>1982</v>
      </c>
      <c r="P320" s="1" t="str">
        <f>INDEX(Table2[[HomeTeam]:[Group_details]],ROWS($N$2:N320),COLUMNS($N$2:N320))</f>
        <v>Czechoslovakia</v>
      </c>
      <c r="Q320" s="1">
        <f>INDEX(Table2[[HomeTeam]:[Group_details]],ROWS($N$2:O320),COLUMNS($N$2:O320))</f>
        <v>1</v>
      </c>
      <c r="R320" s="1">
        <f>INDEX(Table2[[HomeTeam]:[Group_details]],ROWS($N$2:P320),COLUMNS($N$2:P320))</f>
        <v>1</v>
      </c>
      <c r="S320" s="1" t="str">
        <f>INDEX(Table2[[HomeTeam]:[Group_details]],ROWS($N$2:Q320),COLUMNS($N$2:Q320))</f>
        <v>Kuwait</v>
      </c>
      <c r="T320" s="1" t="str">
        <f>INDEX(Table2[[HomeTeam]:[Group_details]],ROWS($N$2:R320),COLUMNS($N$2:R320))</f>
        <v xml:space="preserve"> </v>
      </c>
      <c r="U320" s="1" t="str">
        <f>INDEX(Table2[[HomeTeam]:[Group_details]],ROWS($N$2:S320),COLUMNS($N$2:S320))</f>
        <v>Group stages</v>
      </c>
      <c r="V320" s="1" t="b">
        <f t="shared" si="4"/>
        <v>0</v>
      </c>
      <c r="W320" s="1" t="str">
        <f>IF(V320=TRUE,ROWS($V$2:V320),"")</f>
        <v/>
      </c>
      <c r="X320" s="1" t="str">
        <f>IFERROR(SMALL($W$2:$W$853,ROWS($W$2:W320)),"")</f>
        <v/>
      </c>
      <c r="Y320" s="1" t="str">
        <f>IF($X320&lt;&gt;"",INDEX($P$2:$U$853,MATCH($X320,$W$2:$W$853,0),COLUMNS($X$2:X320)),"")</f>
        <v/>
      </c>
      <c r="Z320" s="1" t="str">
        <f>IF($X320&lt;&gt;"",INDEX($P$2:$U$853,MATCH($X320,$W$2:$W$853,0),COLUMNS($X$2:Y320)),"")</f>
        <v/>
      </c>
      <c r="AA320" s="1" t="str">
        <f>IF($X320&lt;&gt;"",INDEX($P$2:$U$853,MATCH($X320,$W$2:$W$853,0),COLUMNS($X$2:Z320)),"")</f>
        <v/>
      </c>
      <c r="AB320" s="1" t="str">
        <f>IF($X320&lt;&gt;"",INDEX($P$2:$U$853,MATCH($X320,$W$2:$W$853,0),COLUMNS($X$2:AA320)),"")</f>
        <v/>
      </c>
      <c r="AC320" s="1" t="str">
        <f>IF($X320&lt;&gt;"",INDEX($P$2:$U$853,MATCH($X320,$W$2:$W$853,0),COLUMNS($X$2:AB320)),"")</f>
        <v/>
      </c>
      <c r="AD320" s="1" t="str">
        <f>IF($X320&lt;&gt;"",INDEX($P$2:$U$853,MATCH($X320,$W$2:$W$853,0),COLUMNS($X$2:AC320)),"")</f>
        <v/>
      </c>
    </row>
    <row r="321" spans="1:30" x14ac:dyDescent="0.2">
      <c r="A321" s="1">
        <v>1982</v>
      </c>
      <c r="B321" s="2">
        <v>30119</v>
      </c>
      <c r="C321" s="1" t="s">
        <v>530</v>
      </c>
      <c r="D321" s="1" t="s">
        <v>249</v>
      </c>
      <c r="E321" s="1" t="s">
        <v>258</v>
      </c>
      <c r="F321" s="1" t="s">
        <v>259</v>
      </c>
      <c r="G321" s="6" t="str">
        <f>VLOOKUP(A321,WorldCups!$A$2:$B$23,2,FALSE)</f>
        <v>Spain</v>
      </c>
      <c r="H321" s="1" t="s">
        <v>20</v>
      </c>
      <c r="I321" s="1">
        <v>0</v>
      </c>
      <c r="J321" s="1">
        <v>0</v>
      </c>
      <c r="K321" s="1" t="s">
        <v>537</v>
      </c>
      <c r="L321" s="1" t="s">
        <v>14</v>
      </c>
      <c r="M321" s="1" t="str">
        <f>IF(ISNUMBER(SEARCH("Group",Table2[[#This Row],[Round]])),"Group stages",Table2[[#This Row],[Round]])</f>
        <v>Group stages</v>
      </c>
      <c r="O321" s="1">
        <f>Table2[[#This Row],[Year]]</f>
        <v>1982</v>
      </c>
      <c r="P321" s="1" t="str">
        <f>INDEX(Table2[[HomeTeam]:[Group_details]],ROWS($N$2:N321),COLUMNS($N$2:N321))</f>
        <v>Yugoslavia</v>
      </c>
      <c r="Q321" s="1">
        <f>INDEX(Table2[[HomeTeam]:[Group_details]],ROWS($N$2:O321),COLUMNS($N$2:O321))</f>
        <v>0</v>
      </c>
      <c r="R321" s="1">
        <f>INDEX(Table2[[HomeTeam]:[Group_details]],ROWS($N$2:P321),COLUMNS($N$2:P321))</f>
        <v>0</v>
      </c>
      <c r="S321" s="1" t="str">
        <f>INDEX(Table2[[HomeTeam]:[Group_details]],ROWS($N$2:Q321),COLUMNS($N$2:Q321))</f>
        <v>Northern Ireland</v>
      </c>
      <c r="T321" s="1" t="str">
        <f>INDEX(Table2[[HomeTeam]:[Group_details]],ROWS($N$2:R321),COLUMNS($N$2:R321))</f>
        <v xml:space="preserve"> </v>
      </c>
      <c r="U321" s="1" t="str">
        <f>INDEX(Table2[[HomeTeam]:[Group_details]],ROWS($N$2:S321),COLUMNS($N$2:S321))</f>
        <v>Group stages</v>
      </c>
      <c r="V321" s="1" t="b">
        <f t="shared" si="4"/>
        <v>0</v>
      </c>
      <c r="W321" s="1" t="str">
        <f>IF(V321=TRUE,ROWS($V$2:V321),"")</f>
        <v/>
      </c>
      <c r="X321" s="1" t="str">
        <f>IFERROR(SMALL($W$2:$W$853,ROWS($W$2:W321)),"")</f>
        <v/>
      </c>
      <c r="Y321" s="1" t="str">
        <f>IF($X321&lt;&gt;"",INDEX($P$2:$U$853,MATCH($X321,$W$2:$W$853,0),COLUMNS($X$2:X321)),"")</f>
        <v/>
      </c>
      <c r="Z321" s="1" t="str">
        <f>IF($X321&lt;&gt;"",INDEX($P$2:$U$853,MATCH($X321,$W$2:$W$853,0),COLUMNS($X$2:Y321)),"")</f>
        <v/>
      </c>
      <c r="AA321" s="1" t="str">
        <f>IF($X321&lt;&gt;"",INDEX($P$2:$U$853,MATCH($X321,$W$2:$W$853,0),COLUMNS($X$2:Z321)),"")</f>
        <v/>
      </c>
      <c r="AB321" s="1" t="str">
        <f>IF($X321&lt;&gt;"",INDEX($P$2:$U$853,MATCH($X321,$W$2:$W$853,0),COLUMNS($X$2:AA321)),"")</f>
        <v/>
      </c>
      <c r="AC321" s="1" t="str">
        <f>IF($X321&lt;&gt;"",INDEX($P$2:$U$853,MATCH($X321,$W$2:$W$853,0),COLUMNS($X$2:AB321)),"")</f>
        <v/>
      </c>
      <c r="AD321" s="1" t="str">
        <f>IF($X321&lt;&gt;"",INDEX($P$2:$U$853,MATCH($X321,$W$2:$W$853,0),COLUMNS($X$2:AC321)),"")</f>
        <v/>
      </c>
    </row>
    <row r="322" spans="1:30" x14ac:dyDescent="0.2">
      <c r="A322" s="1">
        <v>1982</v>
      </c>
      <c r="B322" s="2">
        <v>30120</v>
      </c>
      <c r="C322" s="1" t="s">
        <v>529</v>
      </c>
      <c r="D322" s="1" t="s">
        <v>9</v>
      </c>
      <c r="E322" s="1" t="s">
        <v>232</v>
      </c>
      <c r="F322" s="1" t="s">
        <v>233</v>
      </c>
      <c r="G322" s="6" t="str">
        <f>VLOOKUP(A322,WorldCups!$A$2:$B$23,2,FALSE)</f>
        <v>Spain</v>
      </c>
      <c r="H322" s="1" t="s">
        <v>57</v>
      </c>
      <c r="I322" s="1">
        <v>1</v>
      </c>
      <c r="J322" s="1">
        <v>1</v>
      </c>
      <c r="K322" s="1" t="s">
        <v>24</v>
      </c>
      <c r="L322" s="1" t="s">
        <v>14</v>
      </c>
      <c r="M322" s="1" t="str">
        <f>IF(ISNUMBER(SEARCH("Group",Table2[[#This Row],[Round]])),"Group stages",Table2[[#This Row],[Round]])</f>
        <v>Group stages</v>
      </c>
      <c r="O322" s="1">
        <f>Table2[[#This Row],[Year]]</f>
        <v>1982</v>
      </c>
      <c r="P322" s="1" t="str">
        <f>INDEX(Table2[[HomeTeam]:[Group_details]],ROWS($N$2:N322),COLUMNS($N$2:N322))</f>
        <v>Italy</v>
      </c>
      <c r="Q322" s="1">
        <f>INDEX(Table2[[HomeTeam]:[Group_details]],ROWS($N$2:O322),COLUMNS($N$2:O322))</f>
        <v>1</v>
      </c>
      <c r="R322" s="1">
        <f>INDEX(Table2[[HomeTeam]:[Group_details]],ROWS($N$2:P322),COLUMNS($N$2:P322))</f>
        <v>1</v>
      </c>
      <c r="S322" s="1" t="str">
        <f>INDEX(Table2[[HomeTeam]:[Group_details]],ROWS($N$2:Q322),COLUMNS($N$2:Q322))</f>
        <v>Peru</v>
      </c>
      <c r="T322" s="1" t="str">
        <f>INDEX(Table2[[HomeTeam]:[Group_details]],ROWS($N$2:R322),COLUMNS($N$2:R322))</f>
        <v xml:space="preserve"> </v>
      </c>
      <c r="U322" s="1" t="str">
        <f>INDEX(Table2[[HomeTeam]:[Group_details]],ROWS($N$2:S322),COLUMNS($N$2:S322))</f>
        <v>Group stages</v>
      </c>
      <c r="V322" s="1" t="b">
        <f t="shared" si="4"/>
        <v>0</v>
      </c>
      <c r="W322" s="1" t="str">
        <f>IF(V322=TRUE,ROWS($V$2:V322),"")</f>
        <v/>
      </c>
      <c r="X322" s="1" t="str">
        <f>IFERROR(SMALL($W$2:$W$853,ROWS($W$2:W322)),"")</f>
        <v/>
      </c>
      <c r="Y322" s="1" t="str">
        <f>IF($X322&lt;&gt;"",INDEX($P$2:$U$853,MATCH($X322,$W$2:$W$853,0),COLUMNS($X$2:X322)),"")</f>
        <v/>
      </c>
      <c r="Z322" s="1" t="str">
        <f>IF($X322&lt;&gt;"",INDEX($P$2:$U$853,MATCH($X322,$W$2:$W$853,0),COLUMNS($X$2:Y322)),"")</f>
        <v/>
      </c>
      <c r="AA322" s="1" t="str">
        <f>IF($X322&lt;&gt;"",INDEX($P$2:$U$853,MATCH($X322,$W$2:$W$853,0),COLUMNS($X$2:Z322)),"")</f>
        <v/>
      </c>
      <c r="AB322" s="1" t="str">
        <f>IF($X322&lt;&gt;"",INDEX($P$2:$U$853,MATCH($X322,$W$2:$W$853,0),COLUMNS($X$2:AA322)),"")</f>
        <v/>
      </c>
      <c r="AC322" s="1" t="str">
        <f>IF($X322&lt;&gt;"",INDEX($P$2:$U$853,MATCH($X322,$W$2:$W$853,0),COLUMNS($X$2:AB322)),"")</f>
        <v/>
      </c>
      <c r="AD322" s="1" t="str">
        <f>IF($X322&lt;&gt;"",INDEX($P$2:$U$853,MATCH($X322,$W$2:$W$853,0),COLUMNS($X$2:AC322)),"")</f>
        <v/>
      </c>
    </row>
    <row r="323" spans="1:30" x14ac:dyDescent="0.2">
      <c r="A323" s="1">
        <v>1982</v>
      </c>
      <c r="B323" s="2">
        <v>30120</v>
      </c>
      <c r="C323" s="1" t="s">
        <v>530</v>
      </c>
      <c r="D323" s="1" t="s">
        <v>22</v>
      </c>
      <c r="E323" s="1" t="s">
        <v>260</v>
      </c>
      <c r="F323" s="1" t="s">
        <v>261</v>
      </c>
      <c r="G323" s="6" t="str">
        <f>VLOOKUP(A323,WorldCups!$A$2:$B$23,2,FALSE)</f>
        <v>Spain</v>
      </c>
      <c r="H323" s="1" t="s">
        <v>25</v>
      </c>
      <c r="I323" s="1">
        <v>4</v>
      </c>
      <c r="J323" s="1">
        <v>1</v>
      </c>
      <c r="K323" s="1" t="s">
        <v>40</v>
      </c>
      <c r="L323" s="1" t="s">
        <v>14</v>
      </c>
      <c r="M323" s="1" t="str">
        <f>IF(ISNUMBER(SEARCH("Group",Table2[[#This Row],[Round]])),"Group stages",Table2[[#This Row],[Round]])</f>
        <v>Group stages</v>
      </c>
      <c r="O323" s="1">
        <f>Table2[[#This Row],[Year]]</f>
        <v>1982</v>
      </c>
      <c r="P323" s="1" t="str">
        <f>INDEX(Table2[[HomeTeam]:[Group_details]],ROWS($N$2:N323),COLUMNS($N$2:N323))</f>
        <v>Argentina</v>
      </c>
      <c r="Q323" s="1">
        <f>INDEX(Table2[[HomeTeam]:[Group_details]],ROWS($N$2:O323),COLUMNS($N$2:O323))</f>
        <v>4</v>
      </c>
      <c r="R323" s="1">
        <f>INDEX(Table2[[HomeTeam]:[Group_details]],ROWS($N$2:P323),COLUMNS($N$2:P323))</f>
        <v>1</v>
      </c>
      <c r="S323" s="1" t="str">
        <f>INDEX(Table2[[HomeTeam]:[Group_details]],ROWS($N$2:Q323),COLUMNS($N$2:Q323))</f>
        <v>Hungary</v>
      </c>
      <c r="T323" s="1" t="str">
        <f>INDEX(Table2[[HomeTeam]:[Group_details]],ROWS($N$2:R323),COLUMNS($N$2:R323))</f>
        <v xml:space="preserve"> </v>
      </c>
      <c r="U323" s="1" t="str">
        <f>INDEX(Table2[[HomeTeam]:[Group_details]],ROWS($N$2:S323),COLUMNS($N$2:S323))</f>
        <v>Group stages</v>
      </c>
      <c r="V323" s="1" t="b">
        <f t="shared" ref="V323:V386" si="5">IF(O323=$V$1,TRUE)</f>
        <v>0</v>
      </c>
      <c r="W323" s="1" t="str">
        <f>IF(V323=TRUE,ROWS($V$2:V323),"")</f>
        <v/>
      </c>
      <c r="X323" s="1" t="str">
        <f>IFERROR(SMALL($W$2:$W$853,ROWS($W$2:W323)),"")</f>
        <v/>
      </c>
      <c r="Y323" s="1" t="str">
        <f>IF($X323&lt;&gt;"",INDEX($P$2:$U$853,MATCH($X323,$W$2:$W$853,0),COLUMNS($X$2:X323)),"")</f>
        <v/>
      </c>
      <c r="Z323" s="1" t="str">
        <f>IF($X323&lt;&gt;"",INDEX($P$2:$U$853,MATCH($X323,$W$2:$W$853,0),COLUMNS($X$2:Y323)),"")</f>
        <v/>
      </c>
      <c r="AA323" s="1" t="str">
        <f>IF($X323&lt;&gt;"",INDEX($P$2:$U$853,MATCH($X323,$W$2:$W$853,0),COLUMNS($X$2:Z323)),"")</f>
        <v/>
      </c>
      <c r="AB323" s="1" t="str">
        <f>IF($X323&lt;&gt;"",INDEX($P$2:$U$853,MATCH($X323,$W$2:$W$853,0),COLUMNS($X$2:AA323)),"")</f>
        <v/>
      </c>
      <c r="AC323" s="1" t="str">
        <f>IF($X323&lt;&gt;"",INDEX($P$2:$U$853,MATCH($X323,$W$2:$W$853,0),COLUMNS($X$2:AB323)),"")</f>
        <v/>
      </c>
      <c r="AD323" s="1" t="str">
        <f>IF($X323&lt;&gt;"",INDEX($P$2:$U$853,MATCH($X323,$W$2:$W$853,0),COLUMNS($X$2:AC323)),"")</f>
        <v/>
      </c>
    </row>
    <row r="324" spans="1:30" x14ac:dyDescent="0.2">
      <c r="A324" s="1">
        <v>1982</v>
      </c>
      <c r="B324" s="2">
        <v>30120</v>
      </c>
      <c r="C324" s="1" t="s">
        <v>530</v>
      </c>
      <c r="D324" s="1" t="s">
        <v>104</v>
      </c>
      <c r="E324" s="1" t="s">
        <v>262</v>
      </c>
      <c r="F324" s="1" t="s">
        <v>235</v>
      </c>
      <c r="G324" s="6" t="str">
        <f>VLOOKUP(A324,WorldCups!$A$2:$B$23,2,FALSE)</f>
        <v>Spain</v>
      </c>
      <c r="H324" s="1" t="s">
        <v>21</v>
      </c>
      <c r="I324" s="1">
        <v>4</v>
      </c>
      <c r="J324" s="1">
        <v>1</v>
      </c>
      <c r="K324" s="1" t="s">
        <v>109</v>
      </c>
      <c r="L324" s="1" t="s">
        <v>14</v>
      </c>
      <c r="M324" s="1" t="str">
        <f>IF(ISNUMBER(SEARCH("Group",Table2[[#This Row],[Round]])),"Group stages",Table2[[#This Row],[Round]])</f>
        <v>Group stages</v>
      </c>
      <c r="O324" s="1">
        <f>Table2[[#This Row],[Year]]</f>
        <v>1982</v>
      </c>
      <c r="P324" s="1" t="str">
        <f>INDEX(Table2[[HomeTeam]:[Group_details]],ROWS($N$2:N324),COLUMNS($N$2:N324))</f>
        <v>Brazil</v>
      </c>
      <c r="Q324" s="1">
        <f>INDEX(Table2[[HomeTeam]:[Group_details]],ROWS($N$2:O324),COLUMNS($N$2:O324))</f>
        <v>4</v>
      </c>
      <c r="R324" s="1">
        <f>INDEX(Table2[[HomeTeam]:[Group_details]],ROWS($N$2:P324),COLUMNS($N$2:P324))</f>
        <v>1</v>
      </c>
      <c r="S324" s="1" t="str">
        <f>INDEX(Table2[[HomeTeam]:[Group_details]],ROWS($N$2:Q324),COLUMNS($N$2:Q324))</f>
        <v>Scotland</v>
      </c>
      <c r="T324" s="1" t="str">
        <f>INDEX(Table2[[HomeTeam]:[Group_details]],ROWS($N$2:R324),COLUMNS($N$2:R324))</f>
        <v xml:space="preserve"> </v>
      </c>
      <c r="U324" s="1" t="str">
        <f>INDEX(Table2[[HomeTeam]:[Group_details]],ROWS($N$2:S324),COLUMNS($N$2:S324))</f>
        <v>Group stages</v>
      </c>
      <c r="V324" s="1" t="b">
        <f t="shared" si="5"/>
        <v>0</v>
      </c>
      <c r="W324" s="1" t="str">
        <f>IF(V324=TRUE,ROWS($V$2:V324),"")</f>
        <v/>
      </c>
      <c r="X324" s="1" t="str">
        <f>IFERROR(SMALL($W$2:$W$853,ROWS($W$2:W324)),"")</f>
        <v/>
      </c>
      <c r="Y324" s="1" t="str">
        <f>IF($X324&lt;&gt;"",INDEX($P$2:$U$853,MATCH($X324,$W$2:$W$853,0),COLUMNS($X$2:X324)),"")</f>
        <v/>
      </c>
      <c r="Z324" s="1" t="str">
        <f>IF($X324&lt;&gt;"",INDEX($P$2:$U$853,MATCH($X324,$W$2:$W$853,0),COLUMNS($X$2:Y324)),"")</f>
        <v/>
      </c>
      <c r="AA324" s="1" t="str">
        <f>IF($X324&lt;&gt;"",INDEX($P$2:$U$853,MATCH($X324,$W$2:$W$853,0),COLUMNS($X$2:Z324)),"")</f>
        <v/>
      </c>
      <c r="AB324" s="1" t="str">
        <f>IF($X324&lt;&gt;"",INDEX($P$2:$U$853,MATCH($X324,$W$2:$W$853,0),COLUMNS($X$2:AA324)),"")</f>
        <v/>
      </c>
      <c r="AC324" s="1" t="str">
        <f>IF($X324&lt;&gt;"",INDEX($P$2:$U$853,MATCH($X324,$W$2:$W$853,0),COLUMNS($X$2:AB324)),"")</f>
        <v/>
      </c>
      <c r="AD324" s="1" t="str">
        <f>IF($X324&lt;&gt;"",INDEX($P$2:$U$853,MATCH($X324,$W$2:$W$853,0),COLUMNS($X$2:AC324)),"")</f>
        <v/>
      </c>
    </row>
    <row r="325" spans="1:30" x14ac:dyDescent="0.2">
      <c r="A325" s="1">
        <v>1982</v>
      </c>
      <c r="B325" s="2">
        <v>30121</v>
      </c>
      <c r="C325" s="1" t="s">
        <v>526</v>
      </c>
      <c r="D325" s="1" t="s">
        <v>9</v>
      </c>
      <c r="E325" s="1" t="s">
        <v>236</v>
      </c>
      <c r="F325" s="1" t="s">
        <v>237</v>
      </c>
      <c r="G325" s="6" t="str">
        <f>VLOOKUP(A325,WorldCups!$A$2:$B$23,2,FALSE)</f>
        <v>Spain</v>
      </c>
      <c r="H325" s="1" t="s">
        <v>80</v>
      </c>
      <c r="I325" s="1">
        <v>0</v>
      </c>
      <c r="J325" s="1">
        <v>0</v>
      </c>
      <c r="K325" s="1" t="s">
        <v>238</v>
      </c>
      <c r="L325" s="1" t="s">
        <v>14</v>
      </c>
      <c r="M325" s="1" t="str">
        <f>IF(ISNUMBER(SEARCH("Group",Table2[[#This Row],[Round]])),"Group stages",Table2[[#This Row],[Round]])</f>
        <v>Group stages</v>
      </c>
      <c r="O325" s="1">
        <f>Table2[[#This Row],[Year]]</f>
        <v>1982</v>
      </c>
      <c r="P325" s="1" t="str">
        <f>INDEX(Table2[[HomeTeam]:[Group_details]],ROWS($N$2:N325),COLUMNS($N$2:N325))</f>
        <v>Poland</v>
      </c>
      <c r="Q325" s="1">
        <f>INDEX(Table2[[HomeTeam]:[Group_details]],ROWS($N$2:O325),COLUMNS($N$2:O325))</f>
        <v>0</v>
      </c>
      <c r="R325" s="1">
        <f>INDEX(Table2[[HomeTeam]:[Group_details]],ROWS($N$2:P325),COLUMNS($N$2:P325))</f>
        <v>0</v>
      </c>
      <c r="S325" s="1" t="str">
        <f>INDEX(Table2[[HomeTeam]:[Group_details]],ROWS($N$2:Q325),COLUMNS($N$2:Q325))</f>
        <v>Cameroon</v>
      </c>
      <c r="T325" s="1" t="str">
        <f>INDEX(Table2[[HomeTeam]:[Group_details]],ROWS($N$2:R325),COLUMNS($N$2:R325))</f>
        <v xml:space="preserve"> </v>
      </c>
      <c r="U325" s="1" t="str">
        <f>INDEX(Table2[[HomeTeam]:[Group_details]],ROWS($N$2:S325),COLUMNS($N$2:S325))</f>
        <v>Group stages</v>
      </c>
      <c r="V325" s="1" t="b">
        <f t="shared" si="5"/>
        <v>0</v>
      </c>
      <c r="W325" s="1" t="str">
        <f>IF(V325=TRUE,ROWS($V$2:V325),"")</f>
        <v/>
      </c>
      <c r="X325" s="1" t="str">
        <f>IFERROR(SMALL($W$2:$W$853,ROWS($W$2:W325)),"")</f>
        <v/>
      </c>
      <c r="Y325" s="1" t="str">
        <f>IF($X325&lt;&gt;"",INDEX($P$2:$U$853,MATCH($X325,$W$2:$W$853,0),COLUMNS($X$2:X325)),"")</f>
        <v/>
      </c>
      <c r="Z325" s="1" t="str">
        <f>IF($X325&lt;&gt;"",INDEX($P$2:$U$853,MATCH($X325,$W$2:$W$853,0),COLUMNS($X$2:Y325)),"")</f>
        <v/>
      </c>
      <c r="AA325" s="1" t="str">
        <f>IF($X325&lt;&gt;"",INDEX($P$2:$U$853,MATCH($X325,$W$2:$W$853,0),COLUMNS($X$2:Z325)),"")</f>
        <v/>
      </c>
      <c r="AB325" s="1" t="str">
        <f>IF($X325&lt;&gt;"",INDEX($P$2:$U$853,MATCH($X325,$W$2:$W$853,0),COLUMNS($X$2:AA325)),"")</f>
        <v/>
      </c>
      <c r="AC325" s="1" t="str">
        <f>IF($X325&lt;&gt;"",INDEX($P$2:$U$853,MATCH($X325,$W$2:$W$853,0),COLUMNS($X$2:AB325)),"")</f>
        <v/>
      </c>
      <c r="AD325" s="1" t="str">
        <f>IF($X325&lt;&gt;"",INDEX($P$2:$U$853,MATCH($X325,$W$2:$W$853,0),COLUMNS($X$2:AC325)),"")</f>
        <v/>
      </c>
    </row>
    <row r="326" spans="1:30" x14ac:dyDescent="0.2">
      <c r="A326" s="1">
        <v>1982</v>
      </c>
      <c r="B326" s="2">
        <v>30121</v>
      </c>
      <c r="C326" s="1" t="s">
        <v>530</v>
      </c>
      <c r="D326" s="1" t="s">
        <v>22</v>
      </c>
      <c r="E326" s="1" t="s">
        <v>239</v>
      </c>
      <c r="F326" s="1" t="s">
        <v>240</v>
      </c>
      <c r="G326" s="6" t="str">
        <f>VLOOKUP(A326,WorldCups!$A$2:$B$23,2,FALSE)</f>
        <v>Spain</v>
      </c>
      <c r="H326" s="1" t="s">
        <v>18</v>
      </c>
      <c r="I326" s="1">
        <v>1</v>
      </c>
      <c r="J326" s="1">
        <v>0</v>
      </c>
      <c r="K326" s="1" t="s">
        <v>189</v>
      </c>
      <c r="L326" s="1" t="s">
        <v>14</v>
      </c>
      <c r="M326" s="1" t="str">
        <f>IF(ISNUMBER(SEARCH("Group",Table2[[#This Row],[Round]])),"Group stages",Table2[[#This Row],[Round]])</f>
        <v>Group stages</v>
      </c>
      <c r="O326" s="1">
        <f>Table2[[#This Row],[Year]]</f>
        <v>1982</v>
      </c>
      <c r="P326" s="1" t="str">
        <f>INDEX(Table2[[HomeTeam]:[Group_details]],ROWS($N$2:N326),COLUMNS($N$2:N326))</f>
        <v>Belgium</v>
      </c>
      <c r="Q326" s="1">
        <f>INDEX(Table2[[HomeTeam]:[Group_details]],ROWS($N$2:O326),COLUMNS($N$2:O326))</f>
        <v>1</v>
      </c>
      <c r="R326" s="1">
        <f>INDEX(Table2[[HomeTeam]:[Group_details]],ROWS($N$2:P326),COLUMNS($N$2:P326))</f>
        <v>0</v>
      </c>
      <c r="S326" s="1" t="str">
        <f>INDEX(Table2[[HomeTeam]:[Group_details]],ROWS($N$2:Q326),COLUMNS($N$2:Q326))</f>
        <v>El Salvador</v>
      </c>
      <c r="T326" s="1" t="str">
        <f>INDEX(Table2[[HomeTeam]:[Group_details]],ROWS($N$2:R326),COLUMNS($N$2:R326))</f>
        <v xml:space="preserve"> </v>
      </c>
      <c r="U326" s="1" t="str">
        <f>INDEX(Table2[[HomeTeam]:[Group_details]],ROWS($N$2:S326),COLUMNS($N$2:S326))</f>
        <v>Group stages</v>
      </c>
      <c r="V326" s="1" t="b">
        <f t="shared" si="5"/>
        <v>0</v>
      </c>
      <c r="W326" s="1" t="str">
        <f>IF(V326=TRUE,ROWS($V$2:V326),"")</f>
        <v/>
      </c>
      <c r="X326" s="1" t="str">
        <f>IFERROR(SMALL($W$2:$W$853,ROWS($W$2:W326)),"")</f>
        <v/>
      </c>
      <c r="Y326" s="1" t="str">
        <f>IF($X326&lt;&gt;"",INDEX($P$2:$U$853,MATCH($X326,$W$2:$W$853,0),COLUMNS($X$2:X326)),"")</f>
        <v/>
      </c>
      <c r="Z326" s="1" t="str">
        <f>IF($X326&lt;&gt;"",INDEX($P$2:$U$853,MATCH($X326,$W$2:$W$853,0),COLUMNS($X$2:Y326)),"")</f>
        <v/>
      </c>
      <c r="AA326" s="1" t="str">
        <f>IF($X326&lt;&gt;"",INDEX($P$2:$U$853,MATCH($X326,$W$2:$W$853,0),COLUMNS($X$2:Z326)),"")</f>
        <v/>
      </c>
      <c r="AB326" s="1" t="str">
        <f>IF($X326&lt;&gt;"",INDEX($P$2:$U$853,MATCH($X326,$W$2:$W$853,0),COLUMNS($X$2:AA326)),"")</f>
        <v/>
      </c>
      <c r="AC326" s="1" t="str">
        <f>IF($X326&lt;&gt;"",INDEX($P$2:$U$853,MATCH($X326,$W$2:$W$853,0),COLUMNS($X$2:AB326)),"")</f>
        <v/>
      </c>
      <c r="AD326" s="1" t="str">
        <f>IF($X326&lt;&gt;"",INDEX($P$2:$U$853,MATCH($X326,$W$2:$W$853,0),COLUMNS($X$2:AC326)),"")</f>
        <v/>
      </c>
    </row>
    <row r="327" spans="1:30" x14ac:dyDescent="0.2">
      <c r="A327" s="1">
        <v>1982</v>
      </c>
      <c r="B327" s="2">
        <v>30121</v>
      </c>
      <c r="C327" s="1" t="s">
        <v>530</v>
      </c>
      <c r="D327" s="1" t="s">
        <v>104</v>
      </c>
      <c r="E327" s="1" t="s">
        <v>241</v>
      </c>
      <c r="F327" s="1" t="s">
        <v>242</v>
      </c>
      <c r="G327" s="6" t="str">
        <f>VLOOKUP(A327,WorldCups!$A$2:$B$23,2,FALSE)</f>
        <v>Spain</v>
      </c>
      <c r="H327" s="1" t="s">
        <v>126</v>
      </c>
      <c r="I327" s="1">
        <v>3</v>
      </c>
      <c r="J327" s="1">
        <v>0</v>
      </c>
      <c r="K327" s="1" t="s">
        <v>243</v>
      </c>
      <c r="L327" s="1" t="s">
        <v>14</v>
      </c>
      <c r="M327" s="1" t="str">
        <f>IF(ISNUMBER(SEARCH("Group",Table2[[#This Row],[Round]])),"Group stages",Table2[[#This Row],[Round]])</f>
        <v>Group stages</v>
      </c>
      <c r="O327" s="1">
        <f>Table2[[#This Row],[Year]]</f>
        <v>1982</v>
      </c>
      <c r="P327" s="1" t="str">
        <f>INDEX(Table2[[HomeTeam]:[Group_details]],ROWS($N$2:N327),COLUMNS($N$2:N327))</f>
        <v>Soviet Union</v>
      </c>
      <c r="Q327" s="1">
        <f>INDEX(Table2[[HomeTeam]:[Group_details]],ROWS($N$2:O327),COLUMNS($N$2:O327))</f>
        <v>3</v>
      </c>
      <c r="R327" s="1">
        <f>INDEX(Table2[[HomeTeam]:[Group_details]],ROWS($N$2:P327),COLUMNS($N$2:P327))</f>
        <v>0</v>
      </c>
      <c r="S327" s="1" t="str">
        <f>INDEX(Table2[[HomeTeam]:[Group_details]],ROWS($N$2:Q327),COLUMNS($N$2:Q327))</f>
        <v>New Zealand</v>
      </c>
      <c r="T327" s="1" t="str">
        <f>INDEX(Table2[[HomeTeam]:[Group_details]],ROWS($N$2:R327),COLUMNS($N$2:R327))</f>
        <v xml:space="preserve"> </v>
      </c>
      <c r="U327" s="1" t="str">
        <f>INDEX(Table2[[HomeTeam]:[Group_details]],ROWS($N$2:S327),COLUMNS($N$2:S327))</f>
        <v>Group stages</v>
      </c>
      <c r="V327" s="1" t="b">
        <f t="shared" si="5"/>
        <v>0</v>
      </c>
      <c r="W327" s="1" t="str">
        <f>IF(V327=TRUE,ROWS($V$2:V327),"")</f>
        <v/>
      </c>
      <c r="X327" s="1" t="str">
        <f>IFERROR(SMALL($W$2:$W$853,ROWS($W$2:W327)),"")</f>
        <v/>
      </c>
      <c r="Y327" s="1" t="str">
        <f>IF($X327&lt;&gt;"",INDEX($P$2:$U$853,MATCH($X327,$W$2:$W$853,0),COLUMNS($X$2:X327)),"")</f>
        <v/>
      </c>
      <c r="Z327" s="1" t="str">
        <f>IF($X327&lt;&gt;"",INDEX($P$2:$U$853,MATCH($X327,$W$2:$W$853,0),COLUMNS($X$2:Y327)),"")</f>
        <v/>
      </c>
      <c r="AA327" s="1" t="str">
        <f>IF($X327&lt;&gt;"",INDEX($P$2:$U$853,MATCH($X327,$W$2:$W$853,0),COLUMNS($X$2:Z327)),"")</f>
        <v/>
      </c>
      <c r="AB327" s="1" t="str">
        <f>IF($X327&lt;&gt;"",INDEX($P$2:$U$853,MATCH($X327,$W$2:$W$853,0),COLUMNS($X$2:AA327)),"")</f>
        <v/>
      </c>
      <c r="AC327" s="1" t="str">
        <f>IF($X327&lt;&gt;"",INDEX($P$2:$U$853,MATCH($X327,$W$2:$W$853,0),COLUMNS($X$2:AB327)),"")</f>
        <v/>
      </c>
      <c r="AD327" s="1" t="str">
        <f>IF($X327&lt;&gt;"",INDEX($P$2:$U$853,MATCH($X327,$W$2:$W$853,0),COLUMNS($X$2:AC327)),"")</f>
        <v/>
      </c>
    </row>
    <row r="328" spans="1:30" x14ac:dyDescent="0.2">
      <c r="A328" s="1">
        <v>1982</v>
      </c>
      <c r="B328" s="2">
        <v>30122</v>
      </c>
      <c r="C328" s="1" t="s">
        <v>529</v>
      </c>
      <c r="D328" s="1" t="s">
        <v>19</v>
      </c>
      <c r="E328" s="1" t="s">
        <v>244</v>
      </c>
      <c r="F328" s="1" t="s">
        <v>245</v>
      </c>
      <c r="G328" s="6" t="str">
        <f>VLOOKUP(A328,WorldCups!$A$2:$B$23,2,FALSE)</f>
        <v>Spain</v>
      </c>
      <c r="H328" s="1" t="s">
        <v>114</v>
      </c>
      <c r="I328" s="1">
        <v>4</v>
      </c>
      <c r="J328" s="1">
        <v>1</v>
      </c>
      <c r="K328" s="1" t="s">
        <v>26</v>
      </c>
      <c r="L328" s="1" t="s">
        <v>14</v>
      </c>
      <c r="M328" s="1" t="str">
        <f>IF(ISNUMBER(SEARCH("Group",Table2[[#This Row],[Round]])),"Group stages",Table2[[#This Row],[Round]])</f>
        <v>Group stages</v>
      </c>
      <c r="O328" s="1">
        <f>Table2[[#This Row],[Year]]</f>
        <v>1982</v>
      </c>
      <c r="P328" s="1" t="str">
        <f>INDEX(Table2[[HomeTeam]:[Group_details]],ROWS($N$2:N328),COLUMNS($N$2:N328))</f>
        <v>Germany FR</v>
      </c>
      <c r="Q328" s="1">
        <f>INDEX(Table2[[HomeTeam]:[Group_details]],ROWS($N$2:O328),COLUMNS($N$2:O328))</f>
        <v>4</v>
      </c>
      <c r="R328" s="1">
        <f>INDEX(Table2[[HomeTeam]:[Group_details]],ROWS($N$2:P328),COLUMNS($N$2:P328))</f>
        <v>1</v>
      </c>
      <c r="S328" s="1" t="str">
        <f>INDEX(Table2[[HomeTeam]:[Group_details]],ROWS($N$2:Q328),COLUMNS($N$2:Q328))</f>
        <v>Chile</v>
      </c>
      <c r="T328" s="1" t="str">
        <f>INDEX(Table2[[HomeTeam]:[Group_details]],ROWS($N$2:R328),COLUMNS($N$2:R328))</f>
        <v xml:space="preserve"> </v>
      </c>
      <c r="U328" s="1" t="str">
        <f>INDEX(Table2[[HomeTeam]:[Group_details]],ROWS($N$2:S328),COLUMNS($N$2:S328))</f>
        <v>Group stages</v>
      </c>
      <c r="V328" s="1" t="b">
        <f t="shared" si="5"/>
        <v>0</v>
      </c>
      <c r="W328" s="1" t="str">
        <f>IF(V328=TRUE,ROWS($V$2:V328),"")</f>
        <v/>
      </c>
      <c r="X328" s="1" t="str">
        <f>IFERROR(SMALL($W$2:$W$853,ROWS($W$2:W328)),"")</f>
        <v/>
      </c>
      <c r="Y328" s="1" t="str">
        <f>IF($X328&lt;&gt;"",INDEX($P$2:$U$853,MATCH($X328,$W$2:$W$853,0),COLUMNS($X$2:X328)),"")</f>
        <v/>
      </c>
      <c r="Z328" s="1" t="str">
        <f>IF($X328&lt;&gt;"",INDEX($P$2:$U$853,MATCH($X328,$W$2:$W$853,0),COLUMNS($X$2:Y328)),"")</f>
        <v/>
      </c>
      <c r="AA328" s="1" t="str">
        <f>IF($X328&lt;&gt;"",INDEX($P$2:$U$853,MATCH($X328,$W$2:$W$853,0),COLUMNS($X$2:Z328)),"")</f>
        <v/>
      </c>
      <c r="AB328" s="1" t="str">
        <f>IF($X328&lt;&gt;"",INDEX($P$2:$U$853,MATCH($X328,$W$2:$W$853,0),COLUMNS($X$2:AA328)),"")</f>
        <v/>
      </c>
      <c r="AC328" s="1" t="str">
        <f>IF($X328&lt;&gt;"",INDEX($P$2:$U$853,MATCH($X328,$W$2:$W$853,0),COLUMNS($X$2:AB328)),"")</f>
        <v/>
      </c>
      <c r="AD328" s="1" t="str">
        <f>IF($X328&lt;&gt;"",INDEX($P$2:$U$853,MATCH($X328,$W$2:$W$853,0),COLUMNS($X$2:AC328)),"")</f>
        <v/>
      </c>
    </row>
    <row r="329" spans="1:30" x14ac:dyDescent="0.2">
      <c r="A329" s="1">
        <v>1982</v>
      </c>
      <c r="B329" s="2">
        <v>30122</v>
      </c>
      <c r="C329" s="1" t="s">
        <v>529</v>
      </c>
      <c r="D329" s="1" t="s">
        <v>15</v>
      </c>
      <c r="E329" s="1" t="s">
        <v>247</v>
      </c>
      <c r="F329" s="1" t="s">
        <v>248</v>
      </c>
      <c r="G329" s="6" t="str">
        <f>VLOOKUP(A329,WorldCups!$A$2:$B$23,2,FALSE)</f>
        <v>Spain</v>
      </c>
      <c r="H329" s="1" t="s">
        <v>93</v>
      </c>
      <c r="I329" s="1">
        <v>2</v>
      </c>
      <c r="J329" s="1">
        <v>0</v>
      </c>
      <c r="K329" s="1" t="s">
        <v>60</v>
      </c>
      <c r="L329" s="1" t="s">
        <v>14</v>
      </c>
      <c r="M329" s="1" t="str">
        <f>IF(ISNUMBER(SEARCH("Group",Table2[[#This Row],[Round]])),"Group stages",Table2[[#This Row],[Round]])</f>
        <v>Group stages</v>
      </c>
      <c r="O329" s="1">
        <f>Table2[[#This Row],[Year]]</f>
        <v>1982</v>
      </c>
      <c r="P329" s="1" t="str">
        <f>INDEX(Table2[[HomeTeam]:[Group_details]],ROWS($N$2:N329),COLUMNS($N$2:N329))</f>
        <v>England</v>
      </c>
      <c r="Q329" s="1">
        <f>INDEX(Table2[[HomeTeam]:[Group_details]],ROWS($N$2:O329),COLUMNS($N$2:O329))</f>
        <v>2</v>
      </c>
      <c r="R329" s="1">
        <f>INDEX(Table2[[HomeTeam]:[Group_details]],ROWS($N$2:P329),COLUMNS($N$2:P329))</f>
        <v>0</v>
      </c>
      <c r="S329" s="1" t="str">
        <f>INDEX(Table2[[HomeTeam]:[Group_details]],ROWS($N$2:Q329),COLUMNS($N$2:Q329))</f>
        <v>Czechoslovakia</v>
      </c>
      <c r="T329" s="1" t="str">
        <f>INDEX(Table2[[HomeTeam]:[Group_details]],ROWS($N$2:R329),COLUMNS($N$2:R329))</f>
        <v xml:space="preserve"> </v>
      </c>
      <c r="U329" s="1" t="str">
        <f>INDEX(Table2[[HomeTeam]:[Group_details]],ROWS($N$2:S329),COLUMNS($N$2:S329))</f>
        <v>Group stages</v>
      </c>
      <c r="V329" s="1" t="b">
        <f t="shared" si="5"/>
        <v>0</v>
      </c>
      <c r="W329" s="1" t="str">
        <f>IF(V329=TRUE,ROWS($V$2:V329),"")</f>
        <v/>
      </c>
      <c r="X329" s="1" t="str">
        <f>IFERROR(SMALL($W$2:$W$853,ROWS($W$2:W329)),"")</f>
        <v/>
      </c>
      <c r="Y329" s="1" t="str">
        <f>IF($X329&lt;&gt;"",INDEX($P$2:$U$853,MATCH($X329,$W$2:$W$853,0),COLUMNS($X$2:X329)),"")</f>
        <v/>
      </c>
      <c r="Z329" s="1" t="str">
        <f>IF($X329&lt;&gt;"",INDEX($P$2:$U$853,MATCH($X329,$W$2:$W$853,0),COLUMNS($X$2:Y329)),"")</f>
        <v/>
      </c>
      <c r="AA329" s="1" t="str">
        <f>IF($X329&lt;&gt;"",INDEX($P$2:$U$853,MATCH($X329,$W$2:$W$853,0),COLUMNS($X$2:Z329)),"")</f>
        <v/>
      </c>
      <c r="AB329" s="1" t="str">
        <f>IF($X329&lt;&gt;"",INDEX($P$2:$U$853,MATCH($X329,$W$2:$W$853,0),COLUMNS($X$2:AA329)),"")</f>
        <v/>
      </c>
      <c r="AC329" s="1" t="str">
        <f>IF($X329&lt;&gt;"",INDEX($P$2:$U$853,MATCH($X329,$W$2:$W$853,0),COLUMNS($X$2:AB329)),"")</f>
        <v/>
      </c>
      <c r="AD329" s="1" t="str">
        <f>IF($X329&lt;&gt;"",INDEX($P$2:$U$853,MATCH($X329,$W$2:$W$853,0),COLUMNS($X$2:AC329)),"")</f>
        <v/>
      </c>
    </row>
    <row r="330" spans="1:30" x14ac:dyDescent="0.2">
      <c r="A330" s="1">
        <v>1982</v>
      </c>
      <c r="B330" s="2">
        <v>30122</v>
      </c>
      <c r="C330" s="1" t="s">
        <v>530</v>
      </c>
      <c r="D330" s="1" t="s">
        <v>249</v>
      </c>
      <c r="E330" s="1" t="s">
        <v>250</v>
      </c>
      <c r="F330" s="1" t="s">
        <v>251</v>
      </c>
      <c r="G330" s="6" t="str">
        <f>VLOOKUP(A330,WorldCups!$A$2:$B$23,2,FALSE)</f>
        <v>Spain</v>
      </c>
      <c r="H330" s="1" t="s">
        <v>54</v>
      </c>
      <c r="I330" s="1">
        <v>2</v>
      </c>
      <c r="J330" s="1">
        <v>1</v>
      </c>
      <c r="K330" s="1" t="s">
        <v>20</v>
      </c>
      <c r="L330" s="1" t="s">
        <v>14</v>
      </c>
      <c r="M330" s="1" t="str">
        <f>IF(ISNUMBER(SEARCH("Group",Table2[[#This Row],[Round]])),"Group stages",Table2[[#This Row],[Round]])</f>
        <v>Group stages</v>
      </c>
      <c r="O330" s="1">
        <f>Table2[[#This Row],[Year]]</f>
        <v>1982</v>
      </c>
      <c r="P330" s="1" t="str">
        <f>INDEX(Table2[[HomeTeam]:[Group_details]],ROWS($N$2:N330),COLUMNS($N$2:N330))</f>
        <v>Spain</v>
      </c>
      <c r="Q330" s="1">
        <f>INDEX(Table2[[HomeTeam]:[Group_details]],ROWS($N$2:O330),COLUMNS($N$2:O330))</f>
        <v>2</v>
      </c>
      <c r="R330" s="1">
        <f>INDEX(Table2[[HomeTeam]:[Group_details]],ROWS($N$2:P330),COLUMNS($N$2:P330))</f>
        <v>1</v>
      </c>
      <c r="S330" s="1" t="str">
        <f>INDEX(Table2[[HomeTeam]:[Group_details]],ROWS($N$2:Q330),COLUMNS($N$2:Q330))</f>
        <v>Yugoslavia</v>
      </c>
      <c r="T330" s="1" t="str">
        <f>INDEX(Table2[[HomeTeam]:[Group_details]],ROWS($N$2:R330),COLUMNS($N$2:R330))</f>
        <v xml:space="preserve"> </v>
      </c>
      <c r="U330" s="1" t="str">
        <f>INDEX(Table2[[HomeTeam]:[Group_details]],ROWS($N$2:S330),COLUMNS($N$2:S330))</f>
        <v>Group stages</v>
      </c>
      <c r="V330" s="1" t="b">
        <f t="shared" si="5"/>
        <v>0</v>
      </c>
      <c r="W330" s="1" t="str">
        <f>IF(V330=TRUE,ROWS($V$2:V330),"")</f>
        <v/>
      </c>
      <c r="X330" s="1" t="str">
        <f>IFERROR(SMALL($W$2:$W$853,ROWS($W$2:W330)),"")</f>
        <v/>
      </c>
      <c r="Y330" s="1" t="str">
        <f>IF($X330&lt;&gt;"",INDEX($P$2:$U$853,MATCH($X330,$W$2:$W$853,0),COLUMNS($X$2:X330)),"")</f>
        <v/>
      </c>
      <c r="Z330" s="1" t="str">
        <f>IF($X330&lt;&gt;"",INDEX($P$2:$U$853,MATCH($X330,$W$2:$W$853,0),COLUMNS($X$2:Y330)),"")</f>
        <v/>
      </c>
      <c r="AA330" s="1" t="str">
        <f>IF($X330&lt;&gt;"",INDEX($P$2:$U$853,MATCH($X330,$W$2:$W$853,0),COLUMNS($X$2:Z330)),"")</f>
        <v/>
      </c>
      <c r="AB330" s="1" t="str">
        <f>IF($X330&lt;&gt;"",INDEX($P$2:$U$853,MATCH($X330,$W$2:$W$853,0),COLUMNS($X$2:AA330)),"")</f>
        <v/>
      </c>
      <c r="AC330" s="1" t="str">
        <f>IF($X330&lt;&gt;"",INDEX($P$2:$U$853,MATCH($X330,$W$2:$W$853,0),COLUMNS($X$2:AB330)),"")</f>
        <v/>
      </c>
      <c r="AD330" s="1" t="str">
        <f>IF($X330&lt;&gt;"",INDEX($P$2:$U$853,MATCH($X330,$W$2:$W$853,0),COLUMNS($X$2:AC330)),"")</f>
        <v/>
      </c>
    </row>
    <row r="331" spans="1:30" x14ac:dyDescent="0.2">
      <c r="A331" s="1">
        <v>1982</v>
      </c>
      <c r="B331" s="2">
        <v>30123</v>
      </c>
      <c r="C331" s="1" t="s">
        <v>529</v>
      </c>
      <c r="D331" s="1" t="s">
        <v>19</v>
      </c>
      <c r="E331" s="1" t="s">
        <v>253</v>
      </c>
      <c r="F331" s="1" t="s">
        <v>254</v>
      </c>
      <c r="G331" s="6" t="str">
        <f>VLOOKUP(A331,WorldCups!$A$2:$B$23,2,FALSE)</f>
        <v>Spain</v>
      </c>
      <c r="H331" s="1" t="s">
        <v>246</v>
      </c>
      <c r="I331" s="1">
        <v>0</v>
      </c>
      <c r="J331" s="1">
        <v>2</v>
      </c>
      <c r="K331" s="1" t="s">
        <v>36</v>
      </c>
      <c r="L331" s="1" t="s">
        <v>14</v>
      </c>
      <c r="M331" s="1" t="str">
        <f>IF(ISNUMBER(SEARCH("Group",Table2[[#This Row],[Round]])),"Group stages",Table2[[#This Row],[Round]])</f>
        <v>Group stages</v>
      </c>
      <c r="O331" s="1">
        <f>Table2[[#This Row],[Year]]</f>
        <v>1982</v>
      </c>
      <c r="P331" s="1" t="str">
        <f>INDEX(Table2[[HomeTeam]:[Group_details]],ROWS($N$2:N331),COLUMNS($N$2:N331))</f>
        <v>Algeria</v>
      </c>
      <c r="Q331" s="1">
        <f>INDEX(Table2[[HomeTeam]:[Group_details]],ROWS($N$2:O331),COLUMNS($N$2:O331))</f>
        <v>0</v>
      </c>
      <c r="R331" s="1">
        <f>INDEX(Table2[[HomeTeam]:[Group_details]],ROWS($N$2:P331),COLUMNS($N$2:P331))</f>
        <v>2</v>
      </c>
      <c r="S331" s="1" t="str">
        <f>INDEX(Table2[[HomeTeam]:[Group_details]],ROWS($N$2:Q331),COLUMNS($N$2:Q331))</f>
        <v>Austria</v>
      </c>
      <c r="T331" s="1" t="str">
        <f>INDEX(Table2[[HomeTeam]:[Group_details]],ROWS($N$2:R331),COLUMNS($N$2:R331))</f>
        <v xml:space="preserve"> </v>
      </c>
      <c r="U331" s="1" t="str">
        <f>INDEX(Table2[[HomeTeam]:[Group_details]],ROWS($N$2:S331),COLUMNS($N$2:S331))</f>
        <v>Group stages</v>
      </c>
      <c r="V331" s="1" t="b">
        <f t="shared" si="5"/>
        <v>0</v>
      </c>
      <c r="W331" s="1" t="str">
        <f>IF(V331=TRUE,ROWS($V$2:V331),"")</f>
        <v/>
      </c>
      <c r="X331" s="1" t="str">
        <f>IFERROR(SMALL($W$2:$W$853,ROWS($W$2:W331)),"")</f>
        <v/>
      </c>
      <c r="Y331" s="1" t="str">
        <f>IF($X331&lt;&gt;"",INDEX($P$2:$U$853,MATCH($X331,$W$2:$W$853,0),COLUMNS($X$2:X331)),"")</f>
        <v/>
      </c>
      <c r="Z331" s="1" t="str">
        <f>IF($X331&lt;&gt;"",INDEX($P$2:$U$853,MATCH($X331,$W$2:$W$853,0),COLUMNS($X$2:Y331)),"")</f>
        <v/>
      </c>
      <c r="AA331" s="1" t="str">
        <f>IF($X331&lt;&gt;"",INDEX($P$2:$U$853,MATCH($X331,$W$2:$W$853,0),COLUMNS($X$2:Z331)),"")</f>
        <v/>
      </c>
      <c r="AB331" s="1" t="str">
        <f>IF($X331&lt;&gt;"",INDEX($P$2:$U$853,MATCH($X331,$W$2:$W$853,0),COLUMNS($X$2:AA331)),"")</f>
        <v/>
      </c>
      <c r="AC331" s="1" t="str">
        <f>IF($X331&lt;&gt;"",INDEX($P$2:$U$853,MATCH($X331,$W$2:$W$853,0),COLUMNS($X$2:AB331)),"")</f>
        <v/>
      </c>
      <c r="AD331" s="1" t="str">
        <f>IF($X331&lt;&gt;"",INDEX($P$2:$U$853,MATCH($X331,$W$2:$W$853,0),COLUMNS($X$2:AC331)),"")</f>
        <v/>
      </c>
    </row>
    <row r="332" spans="1:30" x14ac:dyDescent="0.2">
      <c r="A332" s="1">
        <v>1982</v>
      </c>
      <c r="B332" s="2">
        <v>30123</v>
      </c>
      <c r="C332" s="1" t="s">
        <v>529</v>
      </c>
      <c r="D332" s="1" t="s">
        <v>15</v>
      </c>
      <c r="E332" s="1" t="s">
        <v>255</v>
      </c>
      <c r="F332" s="1" t="s">
        <v>256</v>
      </c>
      <c r="G332" s="6" t="str">
        <f>VLOOKUP(A332,WorldCups!$A$2:$B$23,2,FALSE)</f>
        <v>Spain</v>
      </c>
      <c r="H332" s="1" t="s">
        <v>12</v>
      </c>
      <c r="I332" s="1">
        <v>4</v>
      </c>
      <c r="J332" s="1">
        <v>1</v>
      </c>
      <c r="K332" s="1" t="s">
        <v>257</v>
      </c>
      <c r="L332" s="1" t="s">
        <v>14</v>
      </c>
      <c r="M332" s="1" t="str">
        <f>IF(ISNUMBER(SEARCH("Group",Table2[[#This Row],[Round]])),"Group stages",Table2[[#This Row],[Round]])</f>
        <v>Group stages</v>
      </c>
      <c r="O332" s="1">
        <f>Table2[[#This Row],[Year]]</f>
        <v>1982</v>
      </c>
      <c r="P332" s="1" t="str">
        <f>INDEX(Table2[[HomeTeam]:[Group_details]],ROWS($N$2:N332),COLUMNS($N$2:N332))</f>
        <v>France</v>
      </c>
      <c r="Q332" s="1">
        <f>INDEX(Table2[[HomeTeam]:[Group_details]],ROWS($N$2:O332),COLUMNS($N$2:O332))</f>
        <v>4</v>
      </c>
      <c r="R332" s="1">
        <f>INDEX(Table2[[HomeTeam]:[Group_details]],ROWS($N$2:P332),COLUMNS($N$2:P332))</f>
        <v>1</v>
      </c>
      <c r="S332" s="1" t="str">
        <f>INDEX(Table2[[HomeTeam]:[Group_details]],ROWS($N$2:Q332),COLUMNS($N$2:Q332))</f>
        <v>Kuwait</v>
      </c>
      <c r="T332" s="1" t="str">
        <f>INDEX(Table2[[HomeTeam]:[Group_details]],ROWS($N$2:R332),COLUMNS($N$2:R332))</f>
        <v xml:space="preserve"> </v>
      </c>
      <c r="U332" s="1" t="str">
        <f>INDEX(Table2[[HomeTeam]:[Group_details]],ROWS($N$2:S332),COLUMNS($N$2:S332))</f>
        <v>Group stages</v>
      </c>
      <c r="V332" s="1" t="b">
        <f t="shared" si="5"/>
        <v>0</v>
      </c>
      <c r="W332" s="1" t="str">
        <f>IF(V332=TRUE,ROWS($V$2:V332),"")</f>
        <v/>
      </c>
      <c r="X332" s="1" t="str">
        <f>IFERROR(SMALL($W$2:$W$853,ROWS($W$2:W332)),"")</f>
        <v/>
      </c>
      <c r="Y332" s="1" t="str">
        <f>IF($X332&lt;&gt;"",INDEX($P$2:$U$853,MATCH($X332,$W$2:$W$853,0),COLUMNS($X$2:X332)),"")</f>
        <v/>
      </c>
      <c r="Z332" s="1" t="str">
        <f>IF($X332&lt;&gt;"",INDEX($P$2:$U$853,MATCH($X332,$W$2:$W$853,0),COLUMNS($X$2:Y332)),"")</f>
        <v/>
      </c>
      <c r="AA332" s="1" t="str">
        <f>IF($X332&lt;&gt;"",INDEX($P$2:$U$853,MATCH($X332,$W$2:$W$853,0),COLUMNS($X$2:Z332)),"")</f>
        <v/>
      </c>
      <c r="AB332" s="1" t="str">
        <f>IF($X332&lt;&gt;"",INDEX($P$2:$U$853,MATCH($X332,$W$2:$W$853,0),COLUMNS($X$2:AA332)),"")</f>
        <v/>
      </c>
      <c r="AC332" s="1" t="str">
        <f>IF($X332&lt;&gt;"",INDEX($P$2:$U$853,MATCH($X332,$W$2:$W$853,0),COLUMNS($X$2:AB332)),"")</f>
        <v/>
      </c>
      <c r="AD332" s="1" t="str">
        <f>IF($X332&lt;&gt;"",INDEX($P$2:$U$853,MATCH($X332,$W$2:$W$853,0),COLUMNS($X$2:AC332)),"")</f>
        <v/>
      </c>
    </row>
    <row r="333" spans="1:30" x14ac:dyDescent="0.2">
      <c r="A333" s="1">
        <v>1982</v>
      </c>
      <c r="B333" s="2">
        <v>30123</v>
      </c>
      <c r="C333" s="1" t="s">
        <v>530</v>
      </c>
      <c r="D333" s="1" t="s">
        <v>249</v>
      </c>
      <c r="E333" s="1" t="s">
        <v>258</v>
      </c>
      <c r="F333" s="1" t="s">
        <v>259</v>
      </c>
      <c r="G333" s="6" t="str">
        <f>VLOOKUP(A333,WorldCups!$A$2:$B$23,2,FALSE)</f>
        <v>Spain</v>
      </c>
      <c r="H333" s="1" t="s">
        <v>252</v>
      </c>
      <c r="I333" s="1">
        <v>1</v>
      </c>
      <c r="J333" s="1">
        <v>1</v>
      </c>
      <c r="K333" s="1" t="s">
        <v>537</v>
      </c>
      <c r="L333" s="1" t="s">
        <v>14</v>
      </c>
      <c r="M333" s="1" t="str">
        <f>IF(ISNUMBER(SEARCH("Group",Table2[[#This Row],[Round]])),"Group stages",Table2[[#This Row],[Round]])</f>
        <v>Group stages</v>
      </c>
      <c r="O333" s="1">
        <f>Table2[[#This Row],[Year]]</f>
        <v>1982</v>
      </c>
      <c r="P333" s="1" t="str">
        <f>INDEX(Table2[[HomeTeam]:[Group_details]],ROWS($N$2:N333),COLUMNS($N$2:N333))</f>
        <v>Honduras</v>
      </c>
      <c r="Q333" s="1">
        <f>INDEX(Table2[[HomeTeam]:[Group_details]],ROWS($N$2:O333),COLUMNS($N$2:O333))</f>
        <v>1</v>
      </c>
      <c r="R333" s="1">
        <f>INDEX(Table2[[HomeTeam]:[Group_details]],ROWS($N$2:P333),COLUMNS($N$2:P333))</f>
        <v>1</v>
      </c>
      <c r="S333" s="1" t="str">
        <f>INDEX(Table2[[HomeTeam]:[Group_details]],ROWS($N$2:Q333),COLUMNS($N$2:Q333))</f>
        <v>Northern Ireland</v>
      </c>
      <c r="T333" s="1" t="str">
        <f>INDEX(Table2[[HomeTeam]:[Group_details]],ROWS($N$2:R333),COLUMNS($N$2:R333))</f>
        <v xml:space="preserve"> </v>
      </c>
      <c r="U333" s="1" t="str">
        <f>INDEX(Table2[[HomeTeam]:[Group_details]],ROWS($N$2:S333),COLUMNS($N$2:S333))</f>
        <v>Group stages</v>
      </c>
      <c r="V333" s="1" t="b">
        <f t="shared" si="5"/>
        <v>0</v>
      </c>
      <c r="W333" s="1" t="str">
        <f>IF(V333=TRUE,ROWS($V$2:V333),"")</f>
        <v/>
      </c>
      <c r="X333" s="1" t="str">
        <f>IFERROR(SMALL($W$2:$W$853,ROWS($W$2:W333)),"")</f>
        <v/>
      </c>
      <c r="Y333" s="1" t="str">
        <f>IF($X333&lt;&gt;"",INDEX($P$2:$U$853,MATCH($X333,$W$2:$W$853,0),COLUMNS($X$2:X333)),"")</f>
        <v/>
      </c>
      <c r="Z333" s="1" t="str">
        <f>IF($X333&lt;&gt;"",INDEX($P$2:$U$853,MATCH($X333,$W$2:$W$853,0),COLUMNS($X$2:Y333)),"")</f>
        <v/>
      </c>
      <c r="AA333" s="1" t="str">
        <f>IF($X333&lt;&gt;"",INDEX($P$2:$U$853,MATCH($X333,$W$2:$W$853,0),COLUMNS($X$2:Z333)),"")</f>
        <v/>
      </c>
      <c r="AB333" s="1" t="str">
        <f>IF($X333&lt;&gt;"",INDEX($P$2:$U$853,MATCH($X333,$W$2:$W$853,0),COLUMNS($X$2:AA333)),"")</f>
        <v/>
      </c>
      <c r="AC333" s="1" t="str">
        <f>IF($X333&lt;&gt;"",INDEX($P$2:$U$853,MATCH($X333,$W$2:$W$853,0),COLUMNS($X$2:AB333)),"")</f>
        <v/>
      </c>
      <c r="AD333" s="1" t="str">
        <f>IF($X333&lt;&gt;"",INDEX($P$2:$U$853,MATCH($X333,$W$2:$W$853,0),COLUMNS($X$2:AC333)),"")</f>
        <v/>
      </c>
    </row>
    <row r="334" spans="1:30" x14ac:dyDescent="0.2">
      <c r="A334" s="1">
        <v>1982</v>
      </c>
      <c r="B334" s="2">
        <v>30124</v>
      </c>
      <c r="C334" s="1" t="s">
        <v>529</v>
      </c>
      <c r="D334" s="1" t="s">
        <v>9</v>
      </c>
      <c r="E334" s="1" t="s">
        <v>236</v>
      </c>
      <c r="F334" s="1" t="s">
        <v>237</v>
      </c>
      <c r="G334" s="6" t="str">
        <f>VLOOKUP(A334,WorldCups!$A$2:$B$23,2,FALSE)</f>
        <v>Spain</v>
      </c>
      <c r="H334" s="1" t="s">
        <v>80</v>
      </c>
      <c r="I334" s="1">
        <v>5</v>
      </c>
      <c r="J334" s="1">
        <v>1</v>
      </c>
      <c r="K334" s="1" t="s">
        <v>24</v>
      </c>
      <c r="L334" s="1" t="s">
        <v>14</v>
      </c>
      <c r="M334" s="1" t="str">
        <f>IF(ISNUMBER(SEARCH("Group",Table2[[#This Row],[Round]])),"Group stages",Table2[[#This Row],[Round]])</f>
        <v>Group stages</v>
      </c>
      <c r="O334" s="1">
        <f>Table2[[#This Row],[Year]]</f>
        <v>1982</v>
      </c>
      <c r="P334" s="1" t="str">
        <f>INDEX(Table2[[HomeTeam]:[Group_details]],ROWS($N$2:N334),COLUMNS($N$2:N334))</f>
        <v>Poland</v>
      </c>
      <c r="Q334" s="1">
        <f>INDEX(Table2[[HomeTeam]:[Group_details]],ROWS($N$2:O334),COLUMNS($N$2:O334))</f>
        <v>5</v>
      </c>
      <c r="R334" s="1">
        <f>INDEX(Table2[[HomeTeam]:[Group_details]],ROWS($N$2:P334),COLUMNS($N$2:P334))</f>
        <v>1</v>
      </c>
      <c r="S334" s="1" t="str">
        <f>INDEX(Table2[[HomeTeam]:[Group_details]],ROWS($N$2:Q334),COLUMNS($N$2:Q334))</f>
        <v>Peru</v>
      </c>
      <c r="T334" s="1" t="str">
        <f>INDEX(Table2[[HomeTeam]:[Group_details]],ROWS($N$2:R334),COLUMNS($N$2:R334))</f>
        <v xml:space="preserve"> </v>
      </c>
      <c r="U334" s="1" t="str">
        <f>INDEX(Table2[[HomeTeam]:[Group_details]],ROWS($N$2:S334),COLUMNS($N$2:S334))</f>
        <v>Group stages</v>
      </c>
      <c r="V334" s="1" t="b">
        <f t="shared" si="5"/>
        <v>0</v>
      </c>
      <c r="W334" s="1" t="str">
        <f>IF(V334=TRUE,ROWS($V$2:V334),"")</f>
        <v/>
      </c>
      <c r="X334" s="1" t="str">
        <f>IFERROR(SMALL($W$2:$W$853,ROWS($W$2:W334)),"")</f>
        <v/>
      </c>
      <c r="Y334" s="1" t="str">
        <f>IF($X334&lt;&gt;"",INDEX($P$2:$U$853,MATCH($X334,$W$2:$W$853,0),COLUMNS($X$2:X334)),"")</f>
        <v/>
      </c>
      <c r="Z334" s="1" t="str">
        <f>IF($X334&lt;&gt;"",INDEX($P$2:$U$853,MATCH($X334,$W$2:$W$853,0),COLUMNS($X$2:Y334)),"")</f>
        <v/>
      </c>
      <c r="AA334" s="1" t="str">
        <f>IF($X334&lt;&gt;"",INDEX($P$2:$U$853,MATCH($X334,$W$2:$W$853,0),COLUMNS($X$2:Z334)),"")</f>
        <v/>
      </c>
      <c r="AB334" s="1" t="str">
        <f>IF($X334&lt;&gt;"",INDEX($P$2:$U$853,MATCH($X334,$W$2:$W$853,0),COLUMNS($X$2:AA334)),"")</f>
        <v/>
      </c>
      <c r="AC334" s="1" t="str">
        <f>IF($X334&lt;&gt;"",INDEX($P$2:$U$853,MATCH($X334,$W$2:$W$853,0),COLUMNS($X$2:AB334)),"")</f>
        <v/>
      </c>
      <c r="AD334" s="1" t="str">
        <f>IF($X334&lt;&gt;"",INDEX($P$2:$U$853,MATCH($X334,$W$2:$W$853,0),COLUMNS($X$2:AC334)),"")</f>
        <v/>
      </c>
    </row>
    <row r="335" spans="1:30" x14ac:dyDescent="0.2">
      <c r="A335" s="1">
        <v>1982</v>
      </c>
      <c r="B335" s="2">
        <v>30124</v>
      </c>
      <c r="C335" s="1" t="s">
        <v>530</v>
      </c>
      <c r="D335" s="1" t="s">
        <v>22</v>
      </c>
      <c r="E335" s="1" t="s">
        <v>239</v>
      </c>
      <c r="F335" s="1" t="s">
        <v>240</v>
      </c>
      <c r="G335" s="6" t="str">
        <f>VLOOKUP(A335,WorldCups!$A$2:$B$23,2,FALSE)</f>
        <v>Spain</v>
      </c>
      <c r="H335" s="1" t="s">
        <v>18</v>
      </c>
      <c r="I335" s="1">
        <v>1</v>
      </c>
      <c r="J335" s="1">
        <v>1</v>
      </c>
      <c r="K335" s="1" t="s">
        <v>40</v>
      </c>
      <c r="L335" s="1" t="s">
        <v>14</v>
      </c>
      <c r="M335" s="1" t="str">
        <f>IF(ISNUMBER(SEARCH("Group",Table2[[#This Row],[Round]])),"Group stages",Table2[[#This Row],[Round]])</f>
        <v>Group stages</v>
      </c>
      <c r="O335" s="1">
        <f>Table2[[#This Row],[Year]]</f>
        <v>1982</v>
      </c>
      <c r="P335" s="1" t="str">
        <f>INDEX(Table2[[HomeTeam]:[Group_details]],ROWS($N$2:N335),COLUMNS($N$2:N335))</f>
        <v>Belgium</v>
      </c>
      <c r="Q335" s="1">
        <f>INDEX(Table2[[HomeTeam]:[Group_details]],ROWS($N$2:O335),COLUMNS($N$2:O335))</f>
        <v>1</v>
      </c>
      <c r="R335" s="1">
        <f>INDEX(Table2[[HomeTeam]:[Group_details]],ROWS($N$2:P335),COLUMNS($N$2:P335))</f>
        <v>1</v>
      </c>
      <c r="S335" s="1" t="str">
        <f>INDEX(Table2[[HomeTeam]:[Group_details]],ROWS($N$2:Q335),COLUMNS($N$2:Q335))</f>
        <v>Hungary</v>
      </c>
      <c r="T335" s="1" t="str">
        <f>INDEX(Table2[[HomeTeam]:[Group_details]],ROWS($N$2:R335),COLUMNS($N$2:R335))</f>
        <v xml:space="preserve"> </v>
      </c>
      <c r="U335" s="1" t="str">
        <f>INDEX(Table2[[HomeTeam]:[Group_details]],ROWS($N$2:S335),COLUMNS($N$2:S335))</f>
        <v>Group stages</v>
      </c>
      <c r="V335" s="1" t="b">
        <f t="shared" si="5"/>
        <v>0</v>
      </c>
      <c r="W335" s="1" t="str">
        <f>IF(V335=TRUE,ROWS($V$2:V335),"")</f>
        <v/>
      </c>
      <c r="X335" s="1" t="str">
        <f>IFERROR(SMALL($W$2:$W$853,ROWS($W$2:W335)),"")</f>
        <v/>
      </c>
      <c r="Y335" s="1" t="str">
        <f>IF($X335&lt;&gt;"",INDEX($P$2:$U$853,MATCH($X335,$W$2:$W$853,0),COLUMNS($X$2:X335)),"")</f>
        <v/>
      </c>
      <c r="Z335" s="1" t="str">
        <f>IF($X335&lt;&gt;"",INDEX($P$2:$U$853,MATCH($X335,$W$2:$W$853,0),COLUMNS($X$2:Y335)),"")</f>
        <v/>
      </c>
      <c r="AA335" s="1" t="str">
        <f>IF($X335&lt;&gt;"",INDEX($P$2:$U$853,MATCH($X335,$W$2:$W$853,0),COLUMNS($X$2:Z335)),"")</f>
        <v/>
      </c>
      <c r="AB335" s="1" t="str">
        <f>IF($X335&lt;&gt;"",INDEX($P$2:$U$853,MATCH($X335,$W$2:$W$853,0),COLUMNS($X$2:AA335)),"")</f>
        <v/>
      </c>
      <c r="AC335" s="1" t="str">
        <f>IF($X335&lt;&gt;"",INDEX($P$2:$U$853,MATCH($X335,$W$2:$W$853,0),COLUMNS($X$2:AB335)),"")</f>
        <v/>
      </c>
      <c r="AD335" s="1" t="str">
        <f>IF($X335&lt;&gt;"",INDEX($P$2:$U$853,MATCH($X335,$W$2:$W$853,0),COLUMNS($X$2:AC335)),"")</f>
        <v/>
      </c>
    </row>
    <row r="336" spans="1:30" x14ac:dyDescent="0.2">
      <c r="A336" s="1">
        <v>1982</v>
      </c>
      <c r="B336" s="2">
        <v>30124</v>
      </c>
      <c r="C336" s="1" t="s">
        <v>530</v>
      </c>
      <c r="D336" s="1" t="s">
        <v>104</v>
      </c>
      <c r="E336" s="1" t="s">
        <v>241</v>
      </c>
      <c r="F336" s="1" t="s">
        <v>242</v>
      </c>
      <c r="G336" s="6" t="str">
        <f>VLOOKUP(A336,WorldCups!$A$2:$B$23,2,FALSE)</f>
        <v>Spain</v>
      </c>
      <c r="H336" s="1" t="s">
        <v>126</v>
      </c>
      <c r="I336" s="1">
        <v>2</v>
      </c>
      <c r="J336" s="1">
        <v>2</v>
      </c>
      <c r="K336" s="1" t="s">
        <v>109</v>
      </c>
      <c r="L336" s="1" t="s">
        <v>14</v>
      </c>
      <c r="M336" s="1" t="str">
        <f>IF(ISNUMBER(SEARCH("Group",Table2[[#This Row],[Round]])),"Group stages",Table2[[#This Row],[Round]])</f>
        <v>Group stages</v>
      </c>
      <c r="O336" s="1">
        <f>Table2[[#This Row],[Year]]</f>
        <v>1982</v>
      </c>
      <c r="P336" s="1" t="str">
        <f>INDEX(Table2[[HomeTeam]:[Group_details]],ROWS($N$2:N336),COLUMNS($N$2:N336))</f>
        <v>Soviet Union</v>
      </c>
      <c r="Q336" s="1">
        <f>INDEX(Table2[[HomeTeam]:[Group_details]],ROWS($N$2:O336),COLUMNS($N$2:O336))</f>
        <v>2</v>
      </c>
      <c r="R336" s="1">
        <f>INDEX(Table2[[HomeTeam]:[Group_details]],ROWS($N$2:P336),COLUMNS($N$2:P336))</f>
        <v>2</v>
      </c>
      <c r="S336" s="1" t="str">
        <f>INDEX(Table2[[HomeTeam]:[Group_details]],ROWS($N$2:Q336),COLUMNS($N$2:Q336))</f>
        <v>Scotland</v>
      </c>
      <c r="T336" s="1" t="str">
        <f>INDEX(Table2[[HomeTeam]:[Group_details]],ROWS($N$2:R336),COLUMNS($N$2:R336))</f>
        <v xml:space="preserve"> </v>
      </c>
      <c r="U336" s="1" t="str">
        <f>INDEX(Table2[[HomeTeam]:[Group_details]],ROWS($N$2:S336),COLUMNS($N$2:S336))</f>
        <v>Group stages</v>
      </c>
      <c r="V336" s="1" t="b">
        <f t="shared" si="5"/>
        <v>0</v>
      </c>
      <c r="W336" s="1" t="str">
        <f>IF(V336=TRUE,ROWS($V$2:V336),"")</f>
        <v/>
      </c>
      <c r="X336" s="1" t="str">
        <f>IFERROR(SMALL($W$2:$W$853,ROWS($W$2:W336)),"")</f>
        <v/>
      </c>
      <c r="Y336" s="1" t="str">
        <f>IF($X336&lt;&gt;"",INDEX($P$2:$U$853,MATCH($X336,$W$2:$W$853,0),COLUMNS($X$2:X336)),"")</f>
        <v/>
      </c>
      <c r="Z336" s="1" t="str">
        <f>IF($X336&lt;&gt;"",INDEX($P$2:$U$853,MATCH($X336,$W$2:$W$853,0),COLUMNS($X$2:Y336)),"")</f>
        <v/>
      </c>
      <c r="AA336" s="1" t="str">
        <f>IF($X336&lt;&gt;"",INDEX($P$2:$U$853,MATCH($X336,$W$2:$W$853,0),COLUMNS($X$2:Z336)),"")</f>
        <v/>
      </c>
      <c r="AB336" s="1" t="str">
        <f>IF($X336&lt;&gt;"",INDEX($P$2:$U$853,MATCH($X336,$W$2:$W$853,0),COLUMNS($X$2:AA336)),"")</f>
        <v/>
      </c>
      <c r="AC336" s="1" t="str">
        <f>IF($X336&lt;&gt;"",INDEX($P$2:$U$853,MATCH($X336,$W$2:$W$853,0),COLUMNS($X$2:AB336)),"")</f>
        <v/>
      </c>
      <c r="AD336" s="1" t="str">
        <f>IF($X336&lt;&gt;"",INDEX($P$2:$U$853,MATCH($X336,$W$2:$W$853,0),COLUMNS($X$2:AC336)),"")</f>
        <v/>
      </c>
    </row>
    <row r="337" spans="1:30" x14ac:dyDescent="0.2">
      <c r="A337" s="1">
        <v>1982</v>
      </c>
      <c r="B337" s="2">
        <v>30125</v>
      </c>
      <c r="C337" s="1" t="s">
        <v>529</v>
      </c>
      <c r="D337" s="1" t="s">
        <v>9</v>
      </c>
      <c r="E337" s="1" t="s">
        <v>232</v>
      </c>
      <c r="F337" s="1" t="s">
        <v>233</v>
      </c>
      <c r="G337" s="6" t="str">
        <f>VLOOKUP(A337,WorldCups!$A$2:$B$23,2,FALSE)</f>
        <v>Spain</v>
      </c>
      <c r="H337" s="1" t="s">
        <v>57</v>
      </c>
      <c r="I337" s="1">
        <v>1</v>
      </c>
      <c r="J337" s="1">
        <v>1</v>
      </c>
      <c r="K337" s="1" t="s">
        <v>238</v>
      </c>
      <c r="L337" s="1" t="s">
        <v>14</v>
      </c>
      <c r="M337" s="1" t="str">
        <f>IF(ISNUMBER(SEARCH("Group",Table2[[#This Row],[Round]])),"Group stages",Table2[[#This Row],[Round]])</f>
        <v>Group stages</v>
      </c>
      <c r="O337" s="1">
        <f>Table2[[#This Row],[Year]]</f>
        <v>1982</v>
      </c>
      <c r="P337" s="1" t="str">
        <f>INDEX(Table2[[HomeTeam]:[Group_details]],ROWS($N$2:N337),COLUMNS($N$2:N337))</f>
        <v>Italy</v>
      </c>
      <c r="Q337" s="1">
        <f>INDEX(Table2[[HomeTeam]:[Group_details]],ROWS($N$2:O337),COLUMNS($N$2:O337))</f>
        <v>1</v>
      </c>
      <c r="R337" s="1">
        <f>INDEX(Table2[[HomeTeam]:[Group_details]],ROWS($N$2:P337),COLUMNS($N$2:P337))</f>
        <v>1</v>
      </c>
      <c r="S337" s="1" t="str">
        <f>INDEX(Table2[[HomeTeam]:[Group_details]],ROWS($N$2:Q337),COLUMNS($N$2:Q337))</f>
        <v>Cameroon</v>
      </c>
      <c r="T337" s="1" t="str">
        <f>INDEX(Table2[[HomeTeam]:[Group_details]],ROWS($N$2:R337),COLUMNS($N$2:R337))</f>
        <v xml:space="preserve"> </v>
      </c>
      <c r="U337" s="1" t="str">
        <f>INDEX(Table2[[HomeTeam]:[Group_details]],ROWS($N$2:S337),COLUMNS($N$2:S337))</f>
        <v>Group stages</v>
      </c>
      <c r="V337" s="1" t="b">
        <f t="shared" si="5"/>
        <v>0</v>
      </c>
      <c r="W337" s="1" t="str">
        <f>IF(V337=TRUE,ROWS($V$2:V337),"")</f>
        <v/>
      </c>
      <c r="X337" s="1" t="str">
        <f>IFERROR(SMALL($W$2:$W$853,ROWS($W$2:W337)),"")</f>
        <v/>
      </c>
      <c r="Y337" s="1" t="str">
        <f>IF($X337&lt;&gt;"",INDEX($P$2:$U$853,MATCH($X337,$W$2:$W$853,0),COLUMNS($X$2:X337)),"")</f>
        <v/>
      </c>
      <c r="Z337" s="1" t="str">
        <f>IF($X337&lt;&gt;"",INDEX($P$2:$U$853,MATCH($X337,$W$2:$W$853,0),COLUMNS($X$2:Y337)),"")</f>
        <v/>
      </c>
      <c r="AA337" s="1" t="str">
        <f>IF($X337&lt;&gt;"",INDEX($P$2:$U$853,MATCH($X337,$W$2:$W$853,0),COLUMNS($X$2:Z337)),"")</f>
        <v/>
      </c>
      <c r="AB337" s="1" t="str">
        <f>IF($X337&lt;&gt;"",INDEX($P$2:$U$853,MATCH($X337,$W$2:$W$853,0),COLUMNS($X$2:AA337)),"")</f>
        <v/>
      </c>
      <c r="AC337" s="1" t="str">
        <f>IF($X337&lt;&gt;"",INDEX($P$2:$U$853,MATCH($X337,$W$2:$W$853,0),COLUMNS($X$2:AB337)),"")</f>
        <v/>
      </c>
      <c r="AD337" s="1" t="str">
        <f>IF($X337&lt;&gt;"",INDEX($P$2:$U$853,MATCH($X337,$W$2:$W$853,0),COLUMNS($X$2:AC337)),"")</f>
        <v/>
      </c>
    </row>
    <row r="338" spans="1:30" x14ac:dyDescent="0.2">
      <c r="A338" s="1">
        <v>1982</v>
      </c>
      <c r="B338" s="2">
        <v>30125</v>
      </c>
      <c r="C338" s="1" t="s">
        <v>530</v>
      </c>
      <c r="D338" s="1" t="s">
        <v>22</v>
      </c>
      <c r="E338" s="1" t="s">
        <v>260</v>
      </c>
      <c r="F338" s="1" t="s">
        <v>261</v>
      </c>
      <c r="G338" s="6" t="str">
        <f>VLOOKUP(A338,WorldCups!$A$2:$B$23,2,FALSE)</f>
        <v>Spain</v>
      </c>
      <c r="H338" s="1" t="s">
        <v>25</v>
      </c>
      <c r="I338" s="1">
        <v>2</v>
      </c>
      <c r="J338" s="1">
        <v>0</v>
      </c>
      <c r="K338" s="1" t="s">
        <v>189</v>
      </c>
      <c r="L338" s="1" t="s">
        <v>14</v>
      </c>
      <c r="M338" s="1" t="str">
        <f>IF(ISNUMBER(SEARCH("Group",Table2[[#This Row],[Round]])),"Group stages",Table2[[#This Row],[Round]])</f>
        <v>Group stages</v>
      </c>
      <c r="O338" s="1">
        <f>Table2[[#This Row],[Year]]</f>
        <v>1982</v>
      </c>
      <c r="P338" s="1" t="str">
        <f>INDEX(Table2[[HomeTeam]:[Group_details]],ROWS($N$2:N338),COLUMNS($N$2:N338))</f>
        <v>Argentina</v>
      </c>
      <c r="Q338" s="1">
        <f>INDEX(Table2[[HomeTeam]:[Group_details]],ROWS($N$2:O338),COLUMNS($N$2:O338))</f>
        <v>2</v>
      </c>
      <c r="R338" s="1">
        <f>INDEX(Table2[[HomeTeam]:[Group_details]],ROWS($N$2:P338),COLUMNS($N$2:P338))</f>
        <v>0</v>
      </c>
      <c r="S338" s="1" t="str">
        <f>INDEX(Table2[[HomeTeam]:[Group_details]],ROWS($N$2:Q338),COLUMNS($N$2:Q338))</f>
        <v>El Salvador</v>
      </c>
      <c r="T338" s="1" t="str">
        <f>INDEX(Table2[[HomeTeam]:[Group_details]],ROWS($N$2:R338),COLUMNS($N$2:R338))</f>
        <v xml:space="preserve"> </v>
      </c>
      <c r="U338" s="1" t="str">
        <f>INDEX(Table2[[HomeTeam]:[Group_details]],ROWS($N$2:S338),COLUMNS($N$2:S338))</f>
        <v>Group stages</v>
      </c>
      <c r="V338" s="1" t="b">
        <f t="shared" si="5"/>
        <v>0</v>
      </c>
      <c r="W338" s="1" t="str">
        <f>IF(V338=TRUE,ROWS($V$2:V338),"")</f>
        <v/>
      </c>
      <c r="X338" s="1" t="str">
        <f>IFERROR(SMALL($W$2:$W$853,ROWS($W$2:W338)),"")</f>
        <v/>
      </c>
      <c r="Y338" s="1" t="str">
        <f>IF($X338&lt;&gt;"",INDEX($P$2:$U$853,MATCH($X338,$W$2:$W$853,0),COLUMNS($X$2:X338)),"")</f>
        <v/>
      </c>
      <c r="Z338" s="1" t="str">
        <f>IF($X338&lt;&gt;"",INDEX($P$2:$U$853,MATCH($X338,$W$2:$W$853,0),COLUMNS($X$2:Y338)),"")</f>
        <v/>
      </c>
      <c r="AA338" s="1" t="str">
        <f>IF($X338&lt;&gt;"",INDEX($P$2:$U$853,MATCH($X338,$W$2:$W$853,0),COLUMNS($X$2:Z338)),"")</f>
        <v/>
      </c>
      <c r="AB338" s="1" t="str">
        <f>IF($X338&lt;&gt;"",INDEX($P$2:$U$853,MATCH($X338,$W$2:$W$853,0),COLUMNS($X$2:AA338)),"")</f>
        <v/>
      </c>
      <c r="AC338" s="1" t="str">
        <f>IF($X338&lt;&gt;"",INDEX($P$2:$U$853,MATCH($X338,$W$2:$W$853,0),COLUMNS($X$2:AB338)),"")</f>
        <v/>
      </c>
      <c r="AD338" s="1" t="str">
        <f>IF($X338&lt;&gt;"",INDEX($P$2:$U$853,MATCH($X338,$W$2:$W$853,0),COLUMNS($X$2:AC338)),"")</f>
        <v/>
      </c>
    </row>
    <row r="339" spans="1:30" x14ac:dyDescent="0.2">
      <c r="A339" s="1">
        <v>1982</v>
      </c>
      <c r="B339" s="2">
        <v>30125</v>
      </c>
      <c r="C339" s="1" t="s">
        <v>530</v>
      </c>
      <c r="D339" s="1" t="s">
        <v>104</v>
      </c>
      <c r="E339" s="1" t="s">
        <v>262</v>
      </c>
      <c r="F339" s="1" t="s">
        <v>235</v>
      </c>
      <c r="G339" s="6" t="str">
        <f>VLOOKUP(A339,WorldCups!$A$2:$B$23,2,FALSE)</f>
        <v>Spain</v>
      </c>
      <c r="H339" s="1" t="s">
        <v>21</v>
      </c>
      <c r="I339" s="1">
        <v>4</v>
      </c>
      <c r="J339" s="1">
        <v>0</v>
      </c>
      <c r="K339" s="1" t="s">
        <v>243</v>
      </c>
      <c r="L339" s="1" t="s">
        <v>14</v>
      </c>
      <c r="M339" s="1" t="str">
        <f>IF(ISNUMBER(SEARCH("Group",Table2[[#This Row],[Round]])),"Group stages",Table2[[#This Row],[Round]])</f>
        <v>Group stages</v>
      </c>
      <c r="O339" s="1">
        <f>Table2[[#This Row],[Year]]</f>
        <v>1982</v>
      </c>
      <c r="P339" s="1" t="str">
        <f>INDEX(Table2[[HomeTeam]:[Group_details]],ROWS($N$2:N339),COLUMNS($N$2:N339))</f>
        <v>Brazil</v>
      </c>
      <c r="Q339" s="1">
        <f>INDEX(Table2[[HomeTeam]:[Group_details]],ROWS($N$2:O339),COLUMNS($N$2:O339))</f>
        <v>4</v>
      </c>
      <c r="R339" s="1">
        <f>INDEX(Table2[[HomeTeam]:[Group_details]],ROWS($N$2:P339),COLUMNS($N$2:P339))</f>
        <v>0</v>
      </c>
      <c r="S339" s="1" t="str">
        <f>INDEX(Table2[[HomeTeam]:[Group_details]],ROWS($N$2:Q339),COLUMNS($N$2:Q339))</f>
        <v>New Zealand</v>
      </c>
      <c r="T339" s="1" t="str">
        <f>INDEX(Table2[[HomeTeam]:[Group_details]],ROWS($N$2:R339),COLUMNS($N$2:R339))</f>
        <v xml:space="preserve"> </v>
      </c>
      <c r="U339" s="1" t="str">
        <f>INDEX(Table2[[HomeTeam]:[Group_details]],ROWS($N$2:S339),COLUMNS($N$2:S339))</f>
        <v>Group stages</v>
      </c>
      <c r="V339" s="1" t="b">
        <f t="shared" si="5"/>
        <v>0</v>
      </c>
      <c r="W339" s="1" t="str">
        <f>IF(V339=TRUE,ROWS($V$2:V339),"")</f>
        <v/>
      </c>
      <c r="X339" s="1" t="str">
        <f>IFERROR(SMALL($W$2:$W$853,ROWS($W$2:W339)),"")</f>
        <v/>
      </c>
      <c r="Y339" s="1" t="str">
        <f>IF($X339&lt;&gt;"",INDEX($P$2:$U$853,MATCH($X339,$W$2:$W$853,0),COLUMNS($X$2:X339)),"")</f>
        <v/>
      </c>
      <c r="Z339" s="1" t="str">
        <f>IF($X339&lt;&gt;"",INDEX($P$2:$U$853,MATCH($X339,$W$2:$W$853,0),COLUMNS($X$2:Y339)),"")</f>
        <v/>
      </c>
      <c r="AA339" s="1" t="str">
        <f>IF($X339&lt;&gt;"",INDEX($P$2:$U$853,MATCH($X339,$W$2:$W$853,0),COLUMNS($X$2:Z339)),"")</f>
        <v/>
      </c>
      <c r="AB339" s="1" t="str">
        <f>IF($X339&lt;&gt;"",INDEX($P$2:$U$853,MATCH($X339,$W$2:$W$853,0),COLUMNS($X$2:AA339)),"")</f>
        <v/>
      </c>
      <c r="AC339" s="1" t="str">
        <f>IF($X339&lt;&gt;"",INDEX($P$2:$U$853,MATCH($X339,$W$2:$W$853,0),COLUMNS($X$2:AB339)),"")</f>
        <v/>
      </c>
      <c r="AD339" s="1" t="str">
        <f>IF($X339&lt;&gt;"",INDEX($P$2:$U$853,MATCH($X339,$W$2:$W$853,0),COLUMNS($X$2:AC339)),"")</f>
        <v/>
      </c>
    </row>
    <row r="340" spans="1:30" x14ac:dyDescent="0.2">
      <c r="A340" s="1">
        <v>1982</v>
      </c>
      <c r="B340" s="2">
        <v>30126</v>
      </c>
      <c r="C340" s="1" t="s">
        <v>529</v>
      </c>
      <c r="D340" s="1" t="s">
        <v>19</v>
      </c>
      <c r="E340" s="1" t="s">
        <v>253</v>
      </c>
      <c r="F340" s="1" t="s">
        <v>254</v>
      </c>
      <c r="G340" s="6" t="str">
        <f>VLOOKUP(A340,WorldCups!$A$2:$B$23,2,FALSE)</f>
        <v>Spain</v>
      </c>
      <c r="H340" s="1" t="s">
        <v>246</v>
      </c>
      <c r="I340" s="1">
        <v>3</v>
      </c>
      <c r="J340" s="1">
        <v>2</v>
      </c>
      <c r="K340" s="1" t="s">
        <v>26</v>
      </c>
      <c r="L340" s="1" t="s">
        <v>14</v>
      </c>
      <c r="M340" s="1" t="str">
        <f>IF(ISNUMBER(SEARCH("Group",Table2[[#This Row],[Round]])),"Group stages",Table2[[#This Row],[Round]])</f>
        <v>Group stages</v>
      </c>
      <c r="O340" s="1">
        <f>Table2[[#This Row],[Year]]</f>
        <v>1982</v>
      </c>
      <c r="P340" s="1" t="str">
        <f>INDEX(Table2[[HomeTeam]:[Group_details]],ROWS($N$2:N340),COLUMNS($N$2:N340))</f>
        <v>Algeria</v>
      </c>
      <c r="Q340" s="1">
        <f>INDEX(Table2[[HomeTeam]:[Group_details]],ROWS($N$2:O340),COLUMNS($N$2:O340))</f>
        <v>3</v>
      </c>
      <c r="R340" s="1">
        <f>INDEX(Table2[[HomeTeam]:[Group_details]],ROWS($N$2:P340),COLUMNS($N$2:P340))</f>
        <v>2</v>
      </c>
      <c r="S340" s="1" t="str">
        <f>INDEX(Table2[[HomeTeam]:[Group_details]],ROWS($N$2:Q340),COLUMNS($N$2:Q340))</f>
        <v>Chile</v>
      </c>
      <c r="T340" s="1" t="str">
        <f>INDEX(Table2[[HomeTeam]:[Group_details]],ROWS($N$2:R340),COLUMNS($N$2:R340))</f>
        <v xml:space="preserve"> </v>
      </c>
      <c r="U340" s="1" t="str">
        <f>INDEX(Table2[[HomeTeam]:[Group_details]],ROWS($N$2:S340),COLUMNS($N$2:S340))</f>
        <v>Group stages</v>
      </c>
      <c r="V340" s="1" t="b">
        <f t="shared" si="5"/>
        <v>0</v>
      </c>
      <c r="W340" s="1" t="str">
        <f>IF(V340=TRUE,ROWS($V$2:V340),"")</f>
        <v/>
      </c>
      <c r="X340" s="1" t="str">
        <f>IFERROR(SMALL($W$2:$W$853,ROWS($W$2:W340)),"")</f>
        <v/>
      </c>
      <c r="Y340" s="1" t="str">
        <f>IF($X340&lt;&gt;"",INDEX($P$2:$U$853,MATCH($X340,$W$2:$W$853,0),COLUMNS($X$2:X340)),"")</f>
        <v/>
      </c>
      <c r="Z340" s="1" t="str">
        <f>IF($X340&lt;&gt;"",INDEX($P$2:$U$853,MATCH($X340,$W$2:$W$853,0),COLUMNS($X$2:Y340)),"")</f>
        <v/>
      </c>
      <c r="AA340" s="1" t="str">
        <f>IF($X340&lt;&gt;"",INDEX($P$2:$U$853,MATCH($X340,$W$2:$W$853,0),COLUMNS($X$2:Z340)),"")</f>
        <v/>
      </c>
      <c r="AB340" s="1" t="str">
        <f>IF($X340&lt;&gt;"",INDEX($P$2:$U$853,MATCH($X340,$W$2:$W$853,0),COLUMNS($X$2:AA340)),"")</f>
        <v/>
      </c>
      <c r="AC340" s="1" t="str">
        <f>IF($X340&lt;&gt;"",INDEX($P$2:$U$853,MATCH($X340,$W$2:$W$853,0),COLUMNS($X$2:AB340)),"")</f>
        <v/>
      </c>
      <c r="AD340" s="1" t="str">
        <f>IF($X340&lt;&gt;"",INDEX($P$2:$U$853,MATCH($X340,$W$2:$W$853,0),COLUMNS($X$2:AC340)),"")</f>
        <v/>
      </c>
    </row>
    <row r="341" spans="1:30" x14ac:dyDescent="0.2">
      <c r="A341" s="1">
        <v>1982</v>
      </c>
      <c r="B341" s="2">
        <v>30126</v>
      </c>
      <c r="C341" s="1" t="s">
        <v>529</v>
      </c>
      <c r="D341" s="1" t="s">
        <v>15</v>
      </c>
      <c r="E341" s="1" t="s">
        <v>255</v>
      </c>
      <c r="F341" s="1" t="s">
        <v>256</v>
      </c>
      <c r="G341" s="6" t="str">
        <f>VLOOKUP(A341,WorldCups!$A$2:$B$23,2,FALSE)</f>
        <v>Spain</v>
      </c>
      <c r="H341" s="1" t="s">
        <v>12</v>
      </c>
      <c r="I341" s="1">
        <v>1</v>
      </c>
      <c r="J341" s="1">
        <v>1</v>
      </c>
      <c r="K341" s="1" t="s">
        <v>60</v>
      </c>
      <c r="L341" s="1" t="s">
        <v>14</v>
      </c>
      <c r="M341" s="1" t="str">
        <f>IF(ISNUMBER(SEARCH("Group",Table2[[#This Row],[Round]])),"Group stages",Table2[[#This Row],[Round]])</f>
        <v>Group stages</v>
      </c>
      <c r="O341" s="1">
        <f>Table2[[#This Row],[Year]]</f>
        <v>1982</v>
      </c>
      <c r="P341" s="1" t="str">
        <f>INDEX(Table2[[HomeTeam]:[Group_details]],ROWS($N$2:N341),COLUMNS($N$2:N341))</f>
        <v>France</v>
      </c>
      <c r="Q341" s="1">
        <f>INDEX(Table2[[HomeTeam]:[Group_details]],ROWS($N$2:O341),COLUMNS($N$2:O341))</f>
        <v>1</v>
      </c>
      <c r="R341" s="1">
        <f>INDEX(Table2[[HomeTeam]:[Group_details]],ROWS($N$2:P341),COLUMNS($N$2:P341))</f>
        <v>1</v>
      </c>
      <c r="S341" s="1" t="str">
        <f>INDEX(Table2[[HomeTeam]:[Group_details]],ROWS($N$2:Q341),COLUMNS($N$2:Q341))</f>
        <v>Czechoslovakia</v>
      </c>
      <c r="T341" s="1" t="str">
        <f>INDEX(Table2[[HomeTeam]:[Group_details]],ROWS($N$2:R341),COLUMNS($N$2:R341))</f>
        <v xml:space="preserve"> </v>
      </c>
      <c r="U341" s="1" t="str">
        <f>INDEX(Table2[[HomeTeam]:[Group_details]],ROWS($N$2:S341),COLUMNS($N$2:S341))</f>
        <v>Group stages</v>
      </c>
      <c r="V341" s="1" t="b">
        <f t="shared" si="5"/>
        <v>0</v>
      </c>
      <c r="W341" s="1" t="str">
        <f>IF(V341=TRUE,ROWS($V$2:V341),"")</f>
        <v/>
      </c>
      <c r="X341" s="1" t="str">
        <f>IFERROR(SMALL($W$2:$W$853,ROWS($W$2:W341)),"")</f>
        <v/>
      </c>
      <c r="Y341" s="1" t="str">
        <f>IF($X341&lt;&gt;"",INDEX($P$2:$U$853,MATCH($X341,$W$2:$W$853,0),COLUMNS($X$2:X341)),"")</f>
        <v/>
      </c>
      <c r="Z341" s="1" t="str">
        <f>IF($X341&lt;&gt;"",INDEX($P$2:$U$853,MATCH($X341,$W$2:$W$853,0),COLUMNS($X$2:Y341)),"")</f>
        <v/>
      </c>
      <c r="AA341" s="1" t="str">
        <f>IF($X341&lt;&gt;"",INDEX($P$2:$U$853,MATCH($X341,$W$2:$W$853,0),COLUMNS($X$2:Z341)),"")</f>
        <v/>
      </c>
      <c r="AB341" s="1" t="str">
        <f>IF($X341&lt;&gt;"",INDEX($P$2:$U$853,MATCH($X341,$W$2:$W$853,0),COLUMNS($X$2:AA341)),"")</f>
        <v/>
      </c>
      <c r="AC341" s="1" t="str">
        <f>IF($X341&lt;&gt;"",INDEX($P$2:$U$853,MATCH($X341,$W$2:$W$853,0),COLUMNS($X$2:AB341)),"")</f>
        <v/>
      </c>
      <c r="AD341" s="1" t="str">
        <f>IF($X341&lt;&gt;"",INDEX($P$2:$U$853,MATCH($X341,$W$2:$W$853,0),COLUMNS($X$2:AC341)),"")</f>
        <v/>
      </c>
    </row>
    <row r="342" spans="1:30" x14ac:dyDescent="0.2">
      <c r="A342" s="1">
        <v>1982</v>
      </c>
      <c r="B342" s="2">
        <v>30126</v>
      </c>
      <c r="C342" s="1" t="s">
        <v>530</v>
      </c>
      <c r="D342" s="1" t="s">
        <v>249</v>
      </c>
      <c r="E342" s="1" t="s">
        <v>258</v>
      </c>
      <c r="F342" s="1" t="s">
        <v>259</v>
      </c>
      <c r="G342" s="6" t="str">
        <f>VLOOKUP(A342,WorldCups!$A$2:$B$23,2,FALSE)</f>
        <v>Spain</v>
      </c>
      <c r="H342" s="1" t="s">
        <v>252</v>
      </c>
      <c r="I342" s="1">
        <v>0</v>
      </c>
      <c r="J342" s="1">
        <v>1</v>
      </c>
      <c r="K342" s="1" t="s">
        <v>20</v>
      </c>
      <c r="L342" s="1" t="s">
        <v>14</v>
      </c>
      <c r="M342" s="1" t="str">
        <f>IF(ISNUMBER(SEARCH("Group",Table2[[#This Row],[Round]])),"Group stages",Table2[[#This Row],[Round]])</f>
        <v>Group stages</v>
      </c>
      <c r="O342" s="1">
        <f>Table2[[#This Row],[Year]]</f>
        <v>1982</v>
      </c>
      <c r="P342" s="1" t="str">
        <f>INDEX(Table2[[HomeTeam]:[Group_details]],ROWS($N$2:N342),COLUMNS($N$2:N342))</f>
        <v>Honduras</v>
      </c>
      <c r="Q342" s="1">
        <f>INDEX(Table2[[HomeTeam]:[Group_details]],ROWS($N$2:O342),COLUMNS($N$2:O342))</f>
        <v>0</v>
      </c>
      <c r="R342" s="1">
        <f>INDEX(Table2[[HomeTeam]:[Group_details]],ROWS($N$2:P342),COLUMNS($N$2:P342))</f>
        <v>1</v>
      </c>
      <c r="S342" s="1" t="str">
        <f>INDEX(Table2[[HomeTeam]:[Group_details]],ROWS($N$2:Q342),COLUMNS($N$2:Q342))</f>
        <v>Yugoslavia</v>
      </c>
      <c r="T342" s="1" t="str">
        <f>INDEX(Table2[[HomeTeam]:[Group_details]],ROWS($N$2:R342),COLUMNS($N$2:R342))</f>
        <v xml:space="preserve"> </v>
      </c>
      <c r="U342" s="1" t="str">
        <f>INDEX(Table2[[HomeTeam]:[Group_details]],ROWS($N$2:S342),COLUMNS($N$2:S342))</f>
        <v>Group stages</v>
      </c>
      <c r="V342" s="1" t="b">
        <f t="shared" si="5"/>
        <v>0</v>
      </c>
      <c r="W342" s="1" t="str">
        <f>IF(V342=TRUE,ROWS($V$2:V342),"")</f>
        <v/>
      </c>
      <c r="X342" s="1" t="str">
        <f>IFERROR(SMALL($W$2:$W$853,ROWS($W$2:W342)),"")</f>
        <v/>
      </c>
      <c r="Y342" s="1" t="str">
        <f>IF($X342&lt;&gt;"",INDEX($P$2:$U$853,MATCH($X342,$W$2:$W$853,0),COLUMNS($X$2:X342)),"")</f>
        <v/>
      </c>
      <c r="Z342" s="1" t="str">
        <f>IF($X342&lt;&gt;"",INDEX($P$2:$U$853,MATCH($X342,$W$2:$W$853,0),COLUMNS($X$2:Y342)),"")</f>
        <v/>
      </c>
      <c r="AA342" s="1" t="str">
        <f>IF($X342&lt;&gt;"",INDEX($P$2:$U$853,MATCH($X342,$W$2:$W$853,0),COLUMNS($X$2:Z342)),"")</f>
        <v/>
      </c>
      <c r="AB342" s="1" t="str">
        <f>IF($X342&lt;&gt;"",INDEX($P$2:$U$853,MATCH($X342,$W$2:$W$853,0),COLUMNS($X$2:AA342)),"")</f>
        <v/>
      </c>
      <c r="AC342" s="1" t="str">
        <f>IF($X342&lt;&gt;"",INDEX($P$2:$U$853,MATCH($X342,$W$2:$W$853,0),COLUMNS($X$2:AB342)),"")</f>
        <v/>
      </c>
      <c r="AD342" s="1" t="str">
        <f>IF($X342&lt;&gt;"",INDEX($P$2:$U$853,MATCH($X342,$W$2:$W$853,0),COLUMNS($X$2:AC342)),"")</f>
        <v/>
      </c>
    </row>
    <row r="343" spans="1:30" x14ac:dyDescent="0.2">
      <c r="A343" s="1">
        <v>1982</v>
      </c>
      <c r="B343" s="2">
        <v>30127</v>
      </c>
      <c r="C343" s="1" t="s">
        <v>529</v>
      </c>
      <c r="D343" s="1" t="s">
        <v>19</v>
      </c>
      <c r="E343" s="1" t="s">
        <v>244</v>
      </c>
      <c r="F343" s="1" t="s">
        <v>245</v>
      </c>
      <c r="G343" s="6" t="str">
        <f>VLOOKUP(A343,WorldCups!$A$2:$B$23,2,FALSE)</f>
        <v>Spain</v>
      </c>
      <c r="H343" s="1" t="s">
        <v>114</v>
      </c>
      <c r="I343" s="1">
        <v>1</v>
      </c>
      <c r="J343" s="1">
        <v>0</v>
      </c>
      <c r="K343" s="1" t="s">
        <v>36</v>
      </c>
      <c r="L343" s="1" t="s">
        <v>14</v>
      </c>
      <c r="M343" s="1" t="str">
        <f>IF(ISNUMBER(SEARCH("Group",Table2[[#This Row],[Round]])),"Group stages",Table2[[#This Row],[Round]])</f>
        <v>Group stages</v>
      </c>
      <c r="O343" s="1">
        <f>Table2[[#This Row],[Year]]</f>
        <v>1982</v>
      </c>
      <c r="P343" s="1" t="str">
        <f>INDEX(Table2[[HomeTeam]:[Group_details]],ROWS($N$2:N343),COLUMNS($N$2:N343))</f>
        <v>Germany FR</v>
      </c>
      <c r="Q343" s="1">
        <f>INDEX(Table2[[HomeTeam]:[Group_details]],ROWS($N$2:O343),COLUMNS($N$2:O343))</f>
        <v>1</v>
      </c>
      <c r="R343" s="1">
        <f>INDEX(Table2[[HomeTeam]:[Group_details]],ROWS($N$2:P343),COLUMNS($N$2:P343))</f>
        <v>0</v>
      </c>
      <c r="S343" s="1" t="str">
        <f>INDEX(Table2[[HomeTeam]:[Group_details]],ROWS($N$2:Q343),COLUMNS($N$2:Q343))</f>
        <v>Austria</v>
      </c>
      <c r="T343" s="1" t="str">
        <f>INDEX(Table2[[HomeTeam]:[Group_details]],ROWS($N$2:R343),COLUMNS($N$2:R343))</f>
        <v xml:space="preserve"> </v>
      </c>
      <c r="U343" s="1" t="str">
        <f>INDEX(Table2[[HomeTeam]:[Group_details]],ROWS($N$2:S343),COLUMNS($N$2:S343))</f>
        <v>Group stages</v>
      </c>
      <c r="V343" s="1" t="b">
        <f t="shared" si="5"/>
        <v>0</v>
      </c>
      <c r="W343" s="1" t="str">
        <f>IF(V343=TRUE,ROWS($V$2:V343),"")</f>
        <v/>
      </c>
      <c r="X343" s="1" t="str">
        <f>IFERROR(SMALL($W$2:$W$853,ROWS($W$2:W343)),"")</f>
        <v/>
      </c>
      <c r="Y343" s="1" t="str">
        <f>IF($X343&lt;&gt;"",INDEX($P$2:$U$853,MATCH($X343,$W$2:$W$853,0),COLUMNS($X$2:X343)),"")</f>
        <v/>
      </c>
      <c r="Z343" s="1" t="str">
        <f>IF($X343&lt;&gt;"",INDEX($P$2:$U$853,MATCH($X343,$W$2:$W$853,0),COLUMNS($X$2:Y343)),"")</f>
        <v/>
      </c>
      <c r="AA343" s="1" t="str">
        <f>IF($X343&lt;&gt;"",INDEX($P$2:$U$853,MATCH($X343,$W$2:$W$853,0),COLUMNS($X$2:Z343)),"")</f>
        <v/>
      </c>
      <c r="AB343" s="1" t="str">
        <f>IF($X343&lt;&gt;"",INDEX($P$2:$U$853,MATCH($X343,$W$2:$W$853,0),COLUMNS($X$2:AA343)),"")</f>
        <v/>
      </c>
      <c r="AC343" s="1" t="str">
        <f>IF($X343&lt;&gt;"",INDEX($P$2:$U$853,MATCH($X343,$W$2:$W$853,0),COLUMNS($X$2:AB343)),"")</f>
        <v/>
      </c>
      <c r="AD343" s="1" t="str">
        <f>IF($X343&lt;&gt;"",INDEX($P$2:$U$853,MATCH($X343,$W$2:$W$853,0),COLUMNS($X$2:AC343)),"")</f>
        <v/>
      </c>
    </row>
    <row r="344" spans="1:30" x14ac:dyDescent="0.2">
      <c r="A344" s="1">
        <v>1982</v>
      </c>
      <c r="B344" s="2">
        <v>30127</v>
      </c>
      <c r="C344" s="1" t="s">
        <v>529</v>
      </c>
      <c r="D344" s="1" t="s">
        <v>15</v>
      </c>
      <c r="E344" s="1" t="s">
        <v>247</v>
      </c>
      <c r="F344" s="1" t="s">
        <v>248</v>
      </c>
      <c r="G344" s="6" t="str">
        <f>VLOOKUP(A344,WorldCups!$A$2:$B$23,2,FALSE)</f>
        <v>Spain</v>
      </c>
      <c r="H344" s="1" t="s">
        <v>93</v>
      </c>
      <c r="I344" s="1">
        <v>1</v>
      </c>
      <c r="J344" s="1">
        <v>0</v>
      </c>
      <c r="K344" s="1" t="s">
        <v>257</v>
      </c>
      <c r="L344" s="1" t="s">
        <v>14</v>
      </c>
      <c r="M344" s="1" t="str">
        <f>IF(ISNUMBER(SEARCH("Group",Table2[[#This Row],[Round]])),"Group stages",Table2[[#This Row],[Round]])</f>
        <v>Group stages</v>
      </c>
      <c r="O344" s="1">
        <f>Table2[[#This Row],[Year]]</f>
        <v>1982</v>
      </c>
      <c r="P344" s="1" t="str">
        <f>INDEX(Table2[[HomeTeam]:[Group_details]],ROWS($N$2:N344),COLUMNS($N$2:N344))</f>
        <v>England</v>
      </c>
      <c r="Q344" s="1">
        <f>INDEX(Table2[[HomeTeam]:[Group_details]],ROWS($N$2:O344),COLUMNS($N$2:O344))</f>
        <v>1</v>
      </c>
      <c r="R344" s="1">
        <f>INDEX(Table2[[HomeTeam]:[Group_details]],ROWS($N$2:P344),COLUMNS($N$2:P344))</f>
        <v>0</v>
      </c>
      <c r="S344" s="1" t="str">
        <f>INDEX(Table2[[HomeTeam]:[Group_details]],ROWS($N$2:Q344),COLUMNS($N$2:Q344))</f>
        <v>Kuwait</v>
      </c>
      <c r="T344" s="1" t="str">
        <f>INDEX(Table2[[HomeTeam]:[Group_details]],ROWS($N$2:R344),COLUMNS($N$2:R344))</f>
        <v xml:space="preserve"> </v>
      </c>
      <c r="U344" s="1" t="str">
        <f>INDEX(Table2[[HomeTeam]:[Group_details]],ROWS($N$2:S344),COLUMNS($N$2:S344))</f>
        <v>Group stages</v>
      </c>
      <c r="V344" s="1" t="b">
        <f t="shared" si="5"/>
        <v>0</v>
      </c>
      <c r="W344" s="1" t="str">
        <f>IF(V344=TRUE,ROWS($V$2:V344),"")</f>
        <v/>
      </c>
      <c r="X344" s="1" t="str">
        <f>IFERROR(SMALL($W$2:$W$853,ROWS($W$2:W344)),"")</f>
        <v/>
      </c>
      <c r="Y344" s="1" t="str">
        <f>IF($X344&lt;&gt;"",INDEX($P$2:$U$853,MATCH($X344,$W$2:$W$853,0),COLUMNS($X$2:X344)),"")</f>
        <v/>
      </c>
      <c r="Z344" s="1" t="str">
        <f>IF($X344&lt;&gt;"",INDEX($P$2:$U$853,MATCH($X344,$W$2:$W$853,0),COLUMNS($X$2:Y344)),"")</f>
        <v/>
      </c>
      <c r="AA344" s="1" t="str">
        <f>IF($X344&lt;&gt;"",INDEX($P$2:$U$853,MATCH($X344,$W$2:$W$853,0),COLUMNS($X$2:Z344)),"")</f>
        <v/>
      </c>
      <c r="AB344" s="1" t="str">
        <f>IF($X344&lt;&gt;"",INDEX($P$2:$U$853,MATCH($X344,$W$2:$W$853,0),COLUMNS($X$2:AA344)),"")</f>
        <v/>
      </c>
      <c r="AC344" s="1" t="str">
        <f>IF($X344&lt;&gt;"",INDEX($P$2:$U$853,MATCH($X344,$W$2:$W$853,0),COLUMNS($X$2:AB344)),"")</f>
        <v/>
      </c>
      <c r="AD344" s="1" t="str">
        <f>IF($X344&lt;&gt;"",INDEX($P$2:$U$853,MATCH($X344,$W$2:$W$853,0),COLUMNS($X$2:AC344)),"")</f>
        <v/>
      </c>
    </row>
    <row r="345" spans="1:30" x14ac:dyDescent="0.2">
      <c r="A345" s="1">
        <v>1982</v>
      </c>
      <c r="B345" s="2">
        <v>30127</v>
      </c>
      <c r="C345" s="1" t="s">
        <v>530</v>
      </c>
      <c r="D345" s="1" t="s">
        <v>249</v>
      </c>
      <c r="E345" s="1" t="s">
        <v>250</v>
      </c>
      <c r="F345" s="1" t="s">
        <v>251</v>
      </c>
      <c r="G345" s="6" t="str">
        <f>VLOOKUP(A345,WorldCups!$A$2:$B$23,2,FALSE)</f>
        <v>Spain</v>
      </c>
      <c r="H345" s="1" t="s">
        <v>537</v>
      </c>
      <c r="I345" s="1">
        <v>1</v>
      </c>
      <c r="J345" s="1">
        <v>0</v>
      </c>
      <c r="K345" s="1" t="s">
        <v>54</v>
      </c>
      <c r="L345" s="1" t="s">
        <v>14</v>
      </c>
      <c r="M345" s="1" t="str">
        <f>IF(ISNUMBER(SEARCH("Group",Table2[[#This Row],[Round]])),"Group stages",Table2[[#This Row],[Round]])</f>
        <v>Group stages</v>
      </c>
      <c r="O345" s="1">
        <f>Table2[[#This Row],[Year]]</f>
        <v>1982</v>
      </c>
      <c r="P345" s="1" t="str">
        <f>INDEX(Table2[[HomeTeam]:[Group_details]],ROWS($N$2:N345),COLUMNS($N$2:N345))</f>
        <v>Northern Ireland</v>
      </c>
      <c r="Q345" s="1">
        <f>INDEX(Table2[[HomeTeam]:[Group_details]],ROWS($N$2:O345),COLUMNS($N$2:O345))</f>
        <v>1</v>
      </c>
      <c r="R345" s="1">
        <f>INDEX(Table2[[HomeTeam]:[Group_details]],ROWS($N$2:P345),COLUMNS($N$2:P345))</f>
        <v>0</v>
      </c>
      <c r="S345" s="1" t="str">
        <f>INDEX(Table2[[HomeTeam]:[Group_details]],ROWS($N$2:Q345),COLUMNS($N$2:Q345))</f>
        <v>Spain</v>
      </c>
      <c r="T345" s="1" t="str">
        <f>INDEX(Table2[[HomeTeam]:[Group_details]],ROWS($N$2:R345),COLUMNS($N$2:R345))</f>
        <v xml:space="preserve"> </v>
      </c>
      <c r="U345" s="1" t="str">
        <f>INDEX(Table2[[HomeTeam]:[Group_details]],ROWS($N$2:S345),COLUMNS($N$2:S345))</f>
        <v>Group stages</v>
      </c>
      <c r="V345" s="1" t="b">
        <f t="shared" si="5"/>
        <v>0</v>
      </c>
      <c r="W345" s="1" t="str">
        <f>IF(V345=TRUE,ROWS($V$2:V345),"")</f>
        <v/>
      </c>
      <c r="X345" s="1" t="str">
        <f>IFERROR(SMALL($W$2:$W$853,ROWS($W$2:W345)),"")</f>
        <v/>
      </c>
      <c r="Y345" s="1" t="str">
        <f>IF($X345&lt;&gt;"",INDEX($P$2:$U$853,MATCH($X345,$W$2:$W$853,0),COLUMNS($X$2:X345)),"")</f>
        <v/>
      </c>
      <c r="Z345" s="1" t="str">
        <f>IF($X345&lt;&gt;"",INDEX($P$2:$U$853,MATCH($X345,$W$2:$W$853,0),COLUMNS($X$2:Y345)),"")</f>
        <v/>
      </c>
      <c r="AA345" s="1" t="str">
        <f>IF($X345&lt;&gt;"",INDEX($P$2:$U$853,MATCH($X345,$W$2:$W$853,0),COLUMNS($X$2:Z345)),"")</f>
        <v/>
      </c>
      <c r="AB345" s="1" t="str">
        <f>IF($X345&lt;&gt;"",INDEX($P$2:$U$853,MATCH($X345,$W$2:$W$853,0),COLUMNS($X$2:AA345)),"")</f>
        <v/>
      </c>
      <c r="AC345" s="1" t="str">
        <f>IF($X345&lt;&gt;"",INDEX($P$2:$U$853,MATCH($X345,$W$2:$W$853,0),COLUMNS($X$2:AB345)),"")</f>
        <v/>
      </c>
      <c r="AD345" s="1" t="str">
        <f>IF($X345&lt;&gt;"",INDEX($P$2:$U$853,MATCH($X345,$W$2:$W$853,0),COLUMNS($X$2:AC345)),"")</f>
        <v/>
      </c>
    </row>
    <row r="346" spans="1:30" x14ac:dyDescent="0.2">
      <c r="A346" s="1">
        <v>1982</v>
      </c>
      <c r="B346" s="2">
        <v>30130</v>
      </c>
      <c r="C346" s="1" t="s">
        <v>529</v>
      </c>
      <c r="D346" s="1" t="s">
        <v>15</v>
      </c>
      <c r="E346" s="1" t="s">
        <v>263</v>
      </c>
      <c r="F346" s="1" t="s">
        <v>264</v>
      </c>
      <c r="G346" s="6" t="str">
        <f>VLOOKUP(A346,WorldCups!$A$2:$B$23,2,FALSE)</f>
        <v>Spain</v>
      </c>
      <c r="H346" s="1" t="s">
        <v>36</v>
      </c>
      <c r="I346" s="1">
        <v>0</v>
      </c>
      <c r="J346" s="1">
        <v>1</v>
      </c>
      <c r="K346" s="1" t="s">
        <v>12</v>
      </c>
      <c r="L346" s="1" t="s">
        <v>14</v>
      </c>
      <c r="M346" s="1" t="str">
        <f>IF(ISNUMBER(SEARCH("Group",Table2[[#This Row],[Round]])),"Group stages",Table2[[#This Row],[Round]])</f>
        <v>Group stages</v>
      </c>
      <c r="O346" s="1">
        <f>Table2[[#This Row],[Year]]</f>
        <v>1982</v>
      </c>
      <c r="P346" s="1" t="str">
        <f>INDEX(Table2[[HomeTeam]:[Group_details]],ROWS($N$2:N346),COLUMNS($N$2:N346))</f>
        <v>Austria</v>
      </c>
      <c r="Q346" s="1">
        <f>INDEX(Table2[[HomeTeam]:[Group_details]],ROWS($N$2:O346),COLUMNS($N$2:O346))</f>
        <v>0</v>
      </c>
      <c r="R346" s="1">
        <f>INDEX(Table2[[HomeTeam]:[Group_details]],ROWS($N$2:P346),COLUMNS($N$2:P346))</f>
        <v>1</v>
      </c>
      <c r="S346" s="1" t="str">
        <f>INDEX(Table2[[HomeTeam]:[Group_details]],ROWS($N$2:Q346),COLUMNS($N$2:Q346))</f>
        <v>France</v>
      </c>
      <c r="T346" s="1" t="str">
        <f>INDEX(Table2[[HomeTeam]:[Group_details]],ROWS($N$2:R346),COLUMNS($N$2:R346))</f>
        <v xml:space="preserve"> </v>
      </c>
      <c r="U346" s="1" t="str">
        <f>INDEX(Table2[[HomeTeam]:[Group_details]],ROWS($N$2:S346),COLUMNS($N$2:S346))</f>
        <v>Group stages</v>
      </c>
      <c r="V346" s="1" t="b">
        <f t="shared" si="5"/>
        <v>0</v>
      </c>
      <c r="W346" s="1" t="str">
        <f>IF(V346=TRUE,ROWS($V$2:V346),"")</f>
        <v/>
      </c>
      <c r="X346" s="1" t="str">
        <f>IFERROR(SMALL($W$2:$W$853,ROWS($W$2:W346)),"")</f>
        <v/>
      </c>
      <c r="Y346" s="1" t="str">
        <f>IF($X346&lt;&gt;"",INDEX($P$2:$U$853,MATCH($X346,$W$2:$W$853,0),COLUMNS($X$2:X346)),"")</f>
        <v/>
      </c>
      <c r="Z346" s="1" t="str">
        <f>IF($X346&lt;&gt;"",INDEX($P$2:$U$853,MATCH($X346,$W$2:$W$853,0),COLUMNS($X$2:Y346)),"")</f>
        <v/>
      </c>
      <c r="AA346" s="1" t="str">
        <f>IF($X346&lt;&gt;"",INDEX($P$2:$U$853,MATCH($X346,$W$2:$W$853,0),COLUMNS($X$2:Z346)),"")</f>
        <v/>
      </c>
      <c r="AB346" s="1" t="str">
        <f>IF($X346&lt;&gt;"",INDEX($P$2:$U$853,MATCH($X346,$W$2:$W$853,0),COLUMNS($X$2:AA346)),"")</f>
        <v/>
      </c>
      <c r="AC346" s="1" t="str">
        <f>IF($X346&lt;&gt;"",INDEX($P$2:$U$853,MATCH($X346,$W$2:$W$853,0),COLUMNS($X$2:AB346)),"")</f>
        <v/>
      </c>
      <c r="AD346" s="1" t="str">
        <f>IF($X346&lt;&gt;"",INDEX($P$2:$U$853,MATCH($X346,$W$2:$W$853,0),COLUMNS($X$2:AC346)),"")</f>
        <v/>
      </c>
    </row>
    <row r="347" spans="1:30" x14ac:dyDescent="0.2">
      <c r="A347" s="1">
        <v>1982</v>
      </c>
      <c r="B347" s="2">
        <v>30130</v>
      </c>
      <c r="C347" s="1" t="s">
        <v>530</v>
      </c>
      <c r="D347" s="1" t="s">
        <v>9</v>
      </c>
      <c r="E347" s="1" t="s">
        <v>230</v>
      </c>
      <c r="F347" s="1" t="s">
        <v>231</v>
      </c>
      <c r="G347" s="6" t="str">
        <f>VLOOKUP(A347,WorldCups!$A$2:$B$23,2,FALSE)</f>
        <v>Spain</v>
      </c>
      <c r="H347" s="1" t="s">
        <v>80</v>
      </c>
      <c r="I347" s="1">
        <v>3</v>
      </c>
      <c r="J347" s="1">
        <v>0</v>
      </c>
      <c r="K347" s="1" t="s">
        <v>18</v>
      </c>
      <c r="L347" s="1" t="s">
        <v>14</v>
      </c>
      <c r="M347" s="1" t="str">
        <f>IF(ISNUMBER(SEARCH("Group",Table2[[#This Row],[Round]])),"Group stages",Table2[[#This Row],[Round]])</f>
        <v>Group stages</v>
      </c>
      <c r="O347" s="1">
        <f>Table2[[#This Row],[Year]]</f>
        <v>1982</v>
      </c>
      <c r="P347" s="1" t="str">
        <f>INDEX(Table2[[HomeTeam]:[Group_details]],ROWS($N$2:N347),COLUMNS($N$2:N347))</f>
        <v>Poland</v>
      </c>
      <c r="Q347" s="1">
        <f>INDEX(Table2[[HomeTeam]:[Group_details]],ROWS($N$2:O347),COLUMNS($N$2:O347))</f>
        <v>3</v>
      </c>
      <c r="R347" s="1">
        <f>INDEX(Table2[[HomeTeam]:[Group_details]],ROWS($N$2:P347),COLUMNS($N$2:P347))</f>
        <v>0</v>
      </c>
      <c r="S347" s="1" t="str">
        <f>INDEX(Table2[[HomeTeam]:[Group_details]],ROWS($N$2:Q347),COLUMNS($N$2:Q347))</f>
        <v>Belgium</v>
      </c>
      <c r="T347" s="1" t="str">
        <f>INDEX(Table2[[HomeTeam]:[Group_details]],ROWS($N$2:R347),COLUMNS($N$2:R347))</f>
        <v xml:space="preserve"> </v>
      </c>
      <c r="U347" s="1" t="str">
        <f>INDEX(Table2[[HomeTeam]:[Group_details]],ROWS($N$2:S347),COLUMNS($N$2:S347))</f>
        <v>Group stages</v>
      </c>
      <c r="V347" s="1" t="b">
        <f t="shared" si="5"/>
        <v>0</v>
      </c>
      <c r="W347" s="1" t="str">
        <f>IF(V347=TRUE,ROWS($V$2:V347),"")</f>
        <v/>
      </c>
      <c r="X347" s="1" t="str">
        <f>IFERROR(SMALL($W$2:$W$853,ROWS($W$2:W347)),"")</f>
        <v/>
      </c>
      <c r="Y347" s="1" t="str">
        <f>IF($X347&lt;&gt;"",INDEX($P$2:$U$853,MATCH($X347,$W$2:$W$853,0),COLUMNS($X$2:X347)),"")</f>
        <v/>
      </c>
      <c r="Z347" s="1" t="str">
        <f>IF($X347&lt;&gt;"",INDEX($P$2:$U$853,MATCH($X347,$W$2:$W$853,0),COLUMNS($X$2:Y347)),"")</f>
        <v/>
      </c>
      <c r="AA347" s="1" t="str">
        <f>IF($X347&lt;&gt;"",INDEX($P$2:$U$853,MATCH($X347,$W$2:$W$853,0),COLUMNS($X$2:Z347)),"")</f>
        <v/>
      </c>
      <c r="AB347" s="1" t="str">
        <f>IF($X347&lt;&gt;"",INDEX($P$2:$U$853,MATCH($X347,$W$2:$W$853,0),COLUMNS($X$2:AA347)),"")</f>
        <v/>
      </c>
      <c r="AC347" s="1" t="str">
        <f>IF($X347&lt;&gt;"",INDEX($P$2:$U$853,MATCH($X347,$W$2:$W$853,0),COLUMNS($X$2:AB347)),"")</f>
        <v/>
      </c>
      <c r="AD347" s="1" t="str">
        <f>IF($X347&lt;&gt;"",INDEX($P$2:$U$853,MATCH($X347,$W$2:$W$853,0),COLUMNS($X$2:AC347)),"")</f>
        <v/>
      </c>
    </row>
    <row r="348" spans="1:30" x14ac:dyDescent="0.2">
      <c r="A348" s="1">
        <v>1982</v>
      </c>
      <c r="B348" s="2">
        <v>30131</v>
      </c>
      <c r="C348" s="1" t="s">
        <v>529</v>
      </c>
      <c r="D348" s="1" t="s">
        <v>22</v>
      </c>
      <c r="E348" s="1" t="s">
        <v>265</v>
      </c>
      <c r="F348" s="1" t="s">
        <v>231</v>
      </c>
      <c r="G348" s="6" t="str">
        <f>VLOOKUP(A348,WorldCups!$A$2:$B$23,2,FALSE)</f>
        <v>Spain</v>
      </c>
      <c r="H348" s="1" t="s">
        <v>57</v>
      </c>
      <c r="I348" s="1">
        <v>2</v>
      </c>
      <c r="J348" s="1">
        <v>1</v>
      </c>
      <c r="K348" s="1" t="s">
        <v>25</v>
      </c>
      <c r="L348" s="1" t="s">
        <v>14</v>
      </c>
      <c r="M348" s="1" t="str">
        <f>IF(ISNUMBER(SEARCH("Group",Table2[[#This Row],[Round]])),"Group stages",Table2[[#This Row],[Round]])</f>
        <v>Group stages</v>
      </c>
      <c r="O348" s="1">
        <f>Table2[[#This Row],[Year]]</f>
        <v>1982</v>
      </c>
      <c r="P348" s="1" t="str">
        <f>INDEX(Table2[[HomeTeam]:[Group_details]],ROWS($N$2:N348),COLUMNS($N$2:N348))</f>
        <v>Italy</v>
      </c>
      <c r="Q348" s="1">
        <f>INDEX(Table2[[HomeTeam]:[Group_details]],ROWS($N$2:O348),COLUMNS($N$2:O348))</f>
        <v>2</v>
      </c>
      <c r="R348" s="1">
        <f>INDEX(Table2[[HomeTeam]:[Group_details]],ROWS($N$2:P348),COLUMNS($N$2:P348))</f>
        <v>1</v>
      </c>
      <c r="S348" s="1" t="str">
        <f>INDEX(Table2[[HomeTeam]:[Group_details]],ROWS($N$2:Q348),COLUMNS($N$2:Q348))</f>
        <v>Argentina</v>
      </c>
      <c r="T348" s="1" t="str">
        <f>INDEX(Table2[[HomeTeam]:[Group_details]],ROWS($N$2:R348),COLUMNS($N$2:R348))</f>
        <v xml:space="preserve"> </v>
      </c>
      <c r="U348" s="1" t="str">
        <f>INDEX(Table2[[HomeTeam]:[Group_details]],ROWS($N$2:S348),COLUMNS($N$2:S348))</f>
        <v>Group stages</v>
      </c>
      <c r="V348" s="1" t="b">
        <f t="shared" si="5"/>
        <v>0</v>
      </c>
      <c r="W348" s="1" t="str">
        <f>IF(V348=TRUE,ROWS($V$2:V348),"")</f>
        <v/>
      </c>
      <c r="X348" s="1" t="str">
        <f>IFERROR(SMALL($W$2:$W$853,ROWS($W$2:W348)),"")</f>
        <v/>
      </c>
      <c r="Y348" s="1" t="str">
        <f>IF($X348&lt;&gt;"",INDEX($P$2:$U$853,MATCH($X348,$W$2:$W$853,0),COLUMNS($X$2:X348)),"")</f>
        <v/>
      </c>
      <c r="Z348" s="1" t="str">
        <f>IF($X348&lt;&gt;"",INDEX($P$2:$U$853,MATCH($X348,$W$2:$W$853,0),COLUMNS($X$2:Y348)),"")</f>
        <v/>
      </c>
      <c r="AA348" s="1" t="str">
        <f>IF($X348&lt;&gt;"",INDEX($P$2:$U$853,MATCH($X348,$W$2:$W$853,0),COLUMNS($X$2:Z348)),"")</f>
        <v/>
      </c>
      <c r="AB348" s="1" t="str">
        <f>IF($X348&lt;&gt;"",INDEX($P$2:$U$853,MATCH($X348,$W$2:$W$853,0),COLUMNS($X$2:AA348)),"")</f>
        <v/>
      </c>
      <c r="AC348" s="1" t="str">
        <f>IF($X348&lt;&gt;"",INDEX($P$2:$U$853,MATCH($X348,$W$2:$W$853,0),COLUMNS($X$2:AB348)),"")</f>
        <v/>
      </c>
      <c r="AD348" s="1" t="str">
        <f>IF($X348&lt;&gt;"",INDEX($P$2:$U$853,MATCH($X348,$W$2:$W$853,0),COLUMNS($X$2:AC348)),"")</f>
        <v/>
      </c>
    </row>
    <row r="349" spans="1:30" x14ac:dyDescent="0.2">
      <c r="A349" s="1">
        <v>1982</v>
      </c>
      <c r="B349" s="2">
        <v>30131</v>
      </c>
      <c r="C349" s="1" t="s">
        <v>530</v>
      </c>
      <c r="D349" s="1" t="s">
        <v>19</v>
      </c>
      <c r="E349" s="1" t="s">
        <v>266</v>
      </c>
      <c r="F349" s="1" t="s">
        <v>264</v>
      </c>
      <c r="G349" s="6" t="str">
        <f>VLOOKUP(A349,WorldCups!$A$2:$B$23,2,FALSE)</f>
        <v>Spain</v>
      </c>
      <c r="H349" s="1" t="s">
        <v>114</v>
      </c>
      <c r="I349" s="1">
        <v>0</v>
      </c>
      <c r="J349" s="1">
        <v>0</v>
      </c>
      <c r="K349" s="1" t="s">
        <v>93</v>
      </c>
      <c r="L349" s="1" t="s">
        <v>14</v>
      </c>
      <c r="M349" s="1" t="str">
        <f>IF(ISNUMBER(SEARCH("Group",Table2[[#This Row],[Round]])),"Group stages",Table2[[#This Row],[Round]])</f>
        <v>Group stages</v>
      </c>
      <c r="O349" s="1">
        <f>Table2[[#This Row],[Year]]</f>
        <v>1982</v>
      </c>
      <c r="P349" s="1" t="str">
        <f>INDEX(Table2[[HomeTeam]:[Group_details]],ROWS($N$2:N349),COLUMNS($N$2:N349))</f>
        <v>Germany FR</v>
      </c>
      <c r="Q349" s="1">
        <f>INDEX(Table2[[HomeTeam]:[Group_details]],ROWS($N$2:O349),COLUMNS($N$2:O349))</f>
        <v>0</v>
      </c>
      <c r="R349" s="1">
        <f>INDEX(Table2[[HomeTeam]:[Group_details]],ROWS($N$2:P349),COLUMNS($N$2:P349))</f>
        <v>0</v>
      </c>
      <c r="S349" s="1" t="str">
        <f>INDEX(Table2[[HomeTeam]:[Group_details]],ROWS($N$2:Q349),COLUMNS($N$2:Q349))</f>
        <v>England</v>
      </c>
      <c r="T349" s="1" t="str">
        <f>INDEX(Table2[[HomeTeam]:[Group_details]],ROWS($N$2:R349),COLUMNS($N$2:R349))</f>
        <v xml:space="preserve"> </v>
      </c>
      <c r="U349" s="1" t="str">
        <f>INDEX(Table2[[HomeTeam]:[Group_details]],ROWS($N$2:S349),COLUMNS($N$2:S349))</f>
        <v>Group stages</v>
      </c>
      <c r="V349" s="1" t="b">
        <f t="shared" si="5"/>
        <v>0</v>
      </c>
      <c r="W349" s="1" t="str">
        <f>IF(V349=TRUE,ROWS($V$2:V349),"")</f>
        <v/>
      </c>
      <c r="X349" s="1" t="str">
        <f>IFERROR(SMALL($W$2:$W$853,ROWS($W$2:W349)),"")</f>
        <v/>
      </c>
      <c r="Y349" s="1" t="str">
        <f>IF($X349&lt;&gt;"",INDEX($P$2:$U$853,MATCH($X349,$W$2:$W$853,0),COLUMNS($X$2:X349)),"")</f>
        <v/>
      </c>
      <c r="Z349" s="1" t="str">
        <f>IF($X349&lt;&gt;"",INDEX($P$2:$U$853,MATCH($X349,$W$2:$W$853,0),COLUMNS($X$2:Y349)),"")</f>
        <v/>
      </c>
      <c r="AA349" s="1" t="str">
        <f>IF($X349&lt;&gt;"",INDEX($P$2:$U$853,MATCH($X349,$W$2:$W$853,0),COLUMNS($X$2:Z349)),"")</f>
        <v/>
      </c>
      <c r="AB349" s="1" t="str">
        <f>IF($X349&lt;&gt;"",INDEX($P$2:$U$853,MATCH($X349,$W$2:$W$853,0),COLUMNS($X$2:AA349)),"")</f>
        <v/>
      </c>
      <c r="AC349" s="1" t="str">
        <f>IF($X349&lt;&gt;"",INDEX($P$2:$U$853,MATCH($X349,$W$2:$W$853,0),COLUMNS($X$2:AB349)),"")</f>
        <v/>
      </c>
      <c r="AD349" s="1" t="str">
        <f>IF($X349&lt;&gt;"",INDEX($P$2:$U$853,MATCH($X349,$W$2:$W$853,0),COLUMNS($X$2:AC349)),"")</f>
        <v/>
      </c>
    </row>
    <row r="350" spans="1:30" x14ac:dyDescent="0.2">
      <c r="A350" s="1">
        <v>1982</v>
      </c>
      <c r="B350" s="2">
        <v>30133</v>
      </c>
      <c r="C350" s="1" t="s">
        <v>529</v>
      </c>
      <c r="D350" s="1" t="s">
        <v>15</v>
      </c>
      <c r="E350" s="1" t="s">
        <v>263</v>
      </c>
      <c r="F350" s="1" t="s">
        <v>264</v>
      </c>
      <c r="G350" s="6" t="str">
        <f>VLOOKUP(A350,WorldCups!$A$2:$B$23,2,FALSE)</f>
        <v>Spain</v>
      </c>
      <c r="H350" s="1" t="s">
        <v>36</v>
      </c>
      <c r="I350" s="1">
        <v>2</v>
      </c>
      <c r="J350" s="1">
        <v>2</v>
      </c>
      <c r="K350" s="1" t="s">
        <v>537</v>
      </c>
      <c r="L350" s="1" t="s">
        <v>14</v>
      </c>
      <c r="M350" s="1" t="str">
        <f>IF(ISNUMBER(SEARCH("Group",Table2[[#This Row],[Round]])),"Group stages",Table2[[#This Row],[Round]])</f>
        <v>Group stages</v>
      </c>
      <c r="O350" s="1">
        <f>Table2[[#This Row],[Year]]</f>
        <v>1982</v>
      </c>
      <c r="P350" s="1" t="str">
        <f>INDEX(Table2[[HomeTeam]:[Group_details]],ROWS($N$2:N350),COLUMNS($N$2:N350))</f>
        <v>Austria</v>
      </c>
      <c r="Q350" s="1">
        <f>INDEX(Table2[[HomeTeam]:[Group_details]],ROWS($N$2:O350),COLUMNS($N$2:O350))</f>
        <v>2</v>
      </c>
      <c r="R350" s="1">
        <f>INDEX(Table2[[HomeTeam]:[Group_details]],ROWS($N$2:P350),COLUMNS($N$2:P350))</f>
        <v>2</v>
      </c>
      <c r="S350" s="1" t="str">
        <f>INDEX(Table2[[HomeTeam]:[Group_details]],ROWS($N$2:Q350),COLUMNS($N$2:Q350))</f>
        <v>Northern Ireland</v>
      </c>
      <c r="T350" s="1" t="str">
        <f>INDEX(Table2[[HomeTeam]:[Group_details]],ROWS($N$2:R350),COLUMNS($N$2:R350))</f>
        <v xml:space="preserve"> </v>
      </c>
      <c r="U350" s="1" t="str">
        <f>INDEX(Table2[[HomeTeam]:[Group_details]],ROWS($N$2:S350),COLUMNS($N$2:S350))</f>
        <v>Group stages</v>
      </c>
      <c r="V350" s="1" t="b">
        <f t="shared" si="5"/>
        <v>0</v>
      </c>
      <c r="W350" s="1" t="str">
        <f>IF(V350=TRUE,ROWS($V$2:V350),"")</f>
        <v/>
      </c>
      <c r="X350" s="1" t="str">
        <f>IFERROR(SMALL($W$2:$W$853,ROWS($W$2:W350)),"")</f>
        <v/>
      </c>
      <c r="Y350" s="1" t="str">
        <f>IF($X350&lt;&gt;"",INDEX($P$2:$U$853,MATCH($X350,$W$2:$W$853,0),COLUMNS($X$2:X350)),"")</f>
        <v/>
      </c>
      <c r="Z350" s="1" t="str">
        <f>IF($X350&lt;&gt;"",INDEX($P$2:$U$853,MATCH($X350,$W$2:$W$853,0),COLUMNS($X$2:Y350)),"")</f>
        <v/>
      </c>
      <c r="AA350" s="1" t="str">
        <f>IF($X350&lt;&gt;"",INDEX($P$2:$U$853,MATCH($X350,$W$2:$W$853,0),COLUMNS($X$2:Z350)),"")</f>
        <v/>
      </c>
      <c r="AB350" s="1" t="str">
        <f>IF($X350&lt;&gt;"",INDEX($P$2:$U$853,MATCH($X350,$W$2:$W$853,0),COLUMNS($X$2:AA350)),"")</f>
        <v/>
      </c>
      <c r="AC350" s="1" t="str">
        <f>IF($X350&lt;&gt;"",INDEX($P$2:$U$853,MATCH($X350,$W$2:$W$853,0),COLUMNS($X$2:AB350)),"")</f>
        <v/>
      </c>
      <c r="AD350" s="1" t="str">
        <f>IF($X350&lt;&gt;"",INDEX($P$2:$U$853,MATCH($X350,$W$2:$W$853,0),COLUMNS($X$2:AC350)),"")</f>
        <v/>
      </c>
    </row>
    <row r="351" spans="1:30" x14ac:dyDescent="0.2">
      <c r="A351" s="1">
        <v>1982</v>
      </c>
      <c r="B351" s="2">
        <v>30133</v>
      </c>
      <c r="C351" s="1" t="s">
        <v>530</v>
      </c>
      <c r="D351" s="1" t="s">
        <v>9</v>
      </c>
      <c r="E351" s="1" t="s">
        <v>230</v>
      </c>
      <c r="F351" s="1" t="s">
        <v>231</v>
      </c>
      <c r="G351" s="6" t="str">
        <f>VLOOKUP(A351,WorldCups!$A$2:$B$23,2,FALSE)</f>
        <v>Spain</v>
      </c>
      <c r="H351" s="1" t="s">
        <v>18</v>
      </c>
      <c r="I351" s="1">
        <v>0</v>
      </c>
      <c r="J351" s="1">
        <v>1</v>
      </c>
      <c r="K351" s="1" t="s">
        <v>126</v>
      </c>
      <c r="L351" s="1" t="s">
        <v>14</v>
      </c>
      <c r="M351" s="1" t="str">
        <f>IF(ISNUMBER(SEARCH("Group",Table2[[#This Row],[Round]])),"Group stages",Table2[[#This Row],[Round]])</f>
        <v>Group stages</v>
      </c>
      <c r="O351" s="1">
        <f>Table2[[#This Row],[Year]]</f>
        <v>1982</v>
      </c>
      <c r="P351" s="1" t="str">
        <f>INDEX(Table2[[HomeTeam]:[Group_details]],ROWS($N$2:N351),COLUMNS($N$2:N351))</f>
        <v>Belgium</v>
      </c>
      <c r="Q351" s="1">
        <f>INDEX(Table2[[HomeTeam]:[Group_details]],ROWS($N$2:O351),COLUMNS($N$2:O351))</f>
        <v>0</v>
      </c>
      <c r="R351" s="1">
        <f>INDEX(Table2[[HomeTeam]:[Group_details]],ROWS($N$2:P351),COLUMNS($N$2:P351))</f>
        <v>1</v>
      </c>
      <c r="S351" s="1" t="str">
        <f>INDEX(Table2[[HomeTeam]:[Group_details]],ROWS($N$2:Q351),COLUMNS($N$2:Q351))</f>
        <v>Soviet Union</v>
      </c>
      <c r="T351" s="1" t="str">
        <f>INDEX(Table2[[HomeTeam]:[Group_details]],ROWS($N$2:R351),COLUMNS($N$2:R351))</f>
        <v xml:space="preserve"> </v>
      </c>
      <c r="U351" s="1" t="str">
        <f>INDEX(Table2[[HomeTeam]:[Group_details]],ROWS($N$2:S351),COLUMNS($N$2:S351))</f>
        <v>Group stages</v>
      </c>
      <c r="V351" s="1" t="b">
        <f t="shared" si="5"/>
        <v>0</v>
      </c>
      <c r="W351" s="1" t="str">
        <f>IF(V351=TRUE,ROWS($V$2:V351),"")</f>
        <v/>
      </c>
      <c r="X351" s="1" t="str">
        <f>IFERROR(SMALL($W$2:$W$853,ROWS($W$2:W351)),"")</f>
        <v/>
      </c>
      <c r="Y351" s="1" t="str">
        <f>IF($X351&lt;&gt;"",INDEX($P$2:$U$853,MATCH($X351,$W$2:$W$853,0),COLUMNS($X$2:X351)),"")</f>
        <v/>
      </c>
      <c r="Z351" s="1" t="str">
        <f>IF($X351&lt;&gt;"",INDEX($P$2:$U$853,MATCH($X351,$W$2:$W$853,0),COLUMNS($X$2:Y351)),"")</f>
        <v/>
      </c>
      <c r="AA351" s="1" t="str">
        <f>IF($X351&lt;&gt;"",INDEX($P$2:$U$853,MATCH($X351,$W$2:$W$853,0),COLUMNS($X$2:Z351)),"")</f>
        <v/>
      </c>
      <c r="AB351" s="1" t="str">
        <f>IF($X351&lt;&gt;"",INDEX($P$2:$U$853,MATCH($X351,$W$2:$W$853,0),COLUMNS($X$2:AA351)),"")</f>
        <v/>
      </c>
      <c r="AC351" s="1" t="str">
        <f>IF($X351&lt;&gt;"",INDEX($P$2:$U$853,MATCH($X351,$W$2:$W$853,0),COLUMNS($X$2:AB351)),"")</f>
        <v/>
      </c>
      <c r="AD351" s="1" t="str">
        <f>IF($X351&lt;&gt;"",INDEX($P$2:$U$853,MATCH($X351,$W$2:$W$853,0),COLUMNS($X$2:AC351)),"")</f>
        <v/>
      </c>
    </row>
    <row r="352" spans="1:30" x14ac:dyDescent="0.2">
      <c r="A352" s="1">
        <v>1982</v>
      </c>
      <c r="B352" s="2">
        <v>30134</v>
      </c>
      <c r="C352" s="1" t="s">
        <v>529</v>
      </c>
      <c r="D352" s="1" t="s">
        <v>22</v>
      </c>
      <c r="E352" s="1" t="s">
        <v>265</v>
      </c>
      <c r="F352" s="1" t="s">
        <v>231</v>
      </c>
      <c r="G352" s="6" t="str">
        <f>VLOOKUP(A352,WorldCups!$A$2:$B$23,2,FALSE)</f>
        <v>Spain</v>
      </c>
      <c r="H352" s="1" t="s">
        <v>25</v>
      </c>
      <c r="I352" s="1">
        <v>1</v>
      </c>
      <c r="J352" s="1">
        <v>3</v>
      </c>
      <c r="K352" s="1" t="s">
        <v>21</v>
      </c>
      <c r="L352" s="1" t="s">
        <v>14</v>
      </c>
      <c r="M352" s="1" t="str">
        <f>IF(ISNUMBER(SEARCH("Group",Table2[[#This Row],[Round]])),"Group stages",Table2[[#This Row],[Round]])</f>
        <v>Group stages</v>
      </c>
      <c r="O352" s="1">
        <f>Table2[[#This Row],[Year]]</f>
        <v>1982</v>
      </c>
      <c r="P352" s="1" t="str">
        <f>INDEX(Table2[[HomeTeam]:[Group_details]],ROWS($N$2:N352),COLUMNS($N$2:N352))</f>
        <v>Argentina</v>
      </c>
      <c r="Q352" s="1">
        <f>INDEX(Table2[[HomeTeam]:[Group_details]],ROWS($N$2:O352),COLUMNS($N$2:O352))</f>
        <v>1</v>
      </c>
      <c r="R352" s="1">
        <f>INDEX(Table2[[HomeTeam]:[Group_details]],ROWS($N$2:P352),COLUMNS($N$2:P352))</f>
        <v>3</v>
      </c>
      <c r="S352" s="1" t="str">
        <f>INDEX(Table2[[HomeTeam]:[Group_details]],ROWS($N$2:Q352),COLUMNS($N$2:Q352))</f>
        <v>Brazil</v>
      </c>
      <c r="T352" s="1" t="str">
        <f>INDEX(Table2[[HomeTeam]:[Group_details]],ROWS($N$2:R352),COLUMNS($N$2:R352))</f>
        <v xml:space="preserve"> </v>
      </c>
      <c r="U352" s="1" t="str">
        <f>INDEX(Table2[[HomeTeam]:[Group_details]],ROWS($N$2:S352),COLUMNS($N$2:S352))</f>
        <v>Group stages</v>
      </c>
      <c r="V352" s="1" t="b">
        <f t="shared" si="5"/>
        <v>0</v>
      </c>
      <c r="W352" s="1" t="str">
        <f>IF(V352=TRUE,ROWS($V$2:V352),"")</f>
        <v/>
      </c>
      <c r="X352" s="1" t="str">
        <f>IFERROR(SMALL($W$2:$W$853,ROWS($W$2:W352)),"")</f>
        <v/>
      </c>
      <c r="Y352" s="1" t="str">
        <f>IF($X352&lt;&gt;"",INDEX($P$2:$U$853,MATCH($X352,$W$2:$W$853,0),COLUMNS($X$2:X352)),"")</f>
        <v/>
      </c>
      <c r="Z352" s="1" t="str">
        <f>IF($X352&lt;&gt;"",INDEX($P$2:$U$853,MATCH($X352,$W$2:$W$853,0),COLUMNS($X$2:Y352)),"")</f>
        <v/>
      </c>
      <c r="AA352" s="1" t="str">
        <f>IF($X352&lt;&gt;"",INDEX($P$2:$U$853,MATCH($X352,$W$2:$W$853,0),COLUMNS($X$2:Z352)),"")</f>
        <v/>
      </c>
      <c r="AB352" s="1" t="str">
        <f>IF($X352&lt;&gt;"",INDEX($P$2:$U$853,MATCH($X352,$W$2:$W$853,0),COLUMNS($X$2:AA352)),"")</f>
        <v/>
      </c>
      <c r="AC352" s="1" t="str">
        <f>IF($X352&lt;&gt;"",INDEX($P$2:$U$853,MATCH($X352,$W$2:$W$853,0),COLUMNS($X$2:AB352)),"")</f>
        <v/>
      </c>
      <c r="AD352" s="1" t="str">
        <f>IF($X352&lt;&gt;"",INDEX($P$2:$U$853,MATCH($X352,$W$2:$W$853,0),COLUMNS($X$2:AC352)),"")</f>
        <v/>
      </c>
    </row>
    <row r="353" spans="1:30" x14ac:dyDescent="0.2">
      <c r="A353" s="1">
        <v>1982</v>
      </c>
      <c r="B353" s="2">
        <v>30134</v>
      </c>
      <c r="C353" s="1" t="s">
        <v>530</v>
      </c>
      <c r="D353" s="1" t="s">
        <v>19</v>
      </c>
      <c r="E353" s="1" t="s">
        <v>266</v>
      </c>
      <c r="F353" s="1" t="s">
        <v>264</v>
      </c>
      <c r="G353" s="6" t="str">
        <f>VLOOKUP(A353,WorldCups!$A$2:$B$23,2,FALSE)</f>
        <v>Spain</v>
      </c>
      <c r="H353" s="1" t="s">
        <v>114</v>
      </c>
      <c r="I353" s="1">
        <v>2</v>
      </c>
      <c r="J353" s="1">
        <v>1</v>
      </c>
      <c r="K353" s="1" t="s">
        <v>54</v>
      </c>
      <c r="L353" s="1" t="s">
        <v>14</v>
      </c>
      <c r="M353" s="1" t="str">
        <f>IF(ISNUMBER(SEARCH("Group",Table2[[#This Row],[Round]])),"Group stages",Table2[[#This Row],[Round]])</f>
        <v>Group stages</v>
      </c>
      <c r="O353" s="1">
        <f>Table2[[#This Row],[Year]]</f>
        <v>1982</v>
      </c>
      <c r="P353" s="1" t="str">
        <f>INDEX(Table2[[HomeTeam]:[Group_details]],ROWS($N$2:N353),COLUMNS($N$2:N353))</f>
        <v>Germany FR</v>
      </c>
      <c r="Q353" s="1">
        <f>INDEX(Table2[[HomeTeam]:[Group_details]],ROWS($N$2:O353),COLUMNS($N$2:O353))</f>
        <v>2</v>
      </c>
      <c r="R353" s="1">
        <f>INDEX(Table2[[HomeTeam]:[Group_details]],ROWS($N$2:P353),COLUMNS($N$2:P353))</f>
        <v>1</v>
      </c>
      <c r="S353" s="1" t="str">
        <f>INDEX(Table2[[HomeTeam]:[Group_details]],ROWS($N$2:Q353),COLUMNS($N$2:Q353))</f>
        <v>Spain</v>
      </c>
      <c r="T353" s="1" t="str">
        <f>INDEX(Table2[[HomeTeam]:[Group_details]],ROWS($N$2:R353),COLUMNS($N$2:R353))</f>
        <v xml:space="preserve"> </v>
      </c>
      <c r="U353" s="1" t="str">
        <f>INDEX(Table2[[HomeTeam]:[Group_details]],ROWS($N$2:S353),COLUMNS($N$2:S353))</f>
        <v>Group stages</v>
      </c>
      <c r="V353" s="1" t="b">
        <f t="shared" si="5"/>
        <v>0</v>
      </c>
      <c r="W353" s="1" t="str">
        <f>IF(V353=TRUE,ROWS($V$2:V353),"")</f>
        <v/>
      </c>
      <c r="X353" s="1" t="str">
        <f>IFERROR(SMALL($W$2:$W$853,ROWS($W$2:W353)),"")</f>
        <v/>
      </c>
      <c r="Y353" s="1" t="str">
        <f>IF($X353&lt;&gt;"",INDEX($P$2:$U$853,MATCH($X353,$W$2:$W$853,0),COLUMNS($X$2:X353)),"")</f>
        <v/>
      </c>
      <c r="Z353" s="1" t="str">
        <f>IF($X353&lt;&gt;"",INDEX($P$2:$U$853,MATCH($X353,$W$2:$W$853,0),COLUMNS($X$2:Y353)),"")</f>
        <v/>
      </c>
      <c r="AA353" s="1" t="str">
        <f>IF($X353&lt;&gt;"",INDEX($P$2:$U$853,MATCH($X353,$W$2:$W$853,0),COLUMNS($X$2:Z353)),"")</f>
        <v/>
      </c>
      <c r="AB353" s="1" t="str">
        <f>IF($X353&lt;&gt;"",INDEX($P$2:$U$853,MATCH($X353,$W$2:$W$853,0),COLUMNS($X$2:AA353)),"")</f>
        <v/>
      </c>
      <c r="AC353" s="1" t="str">
        <f>IF($X353&lt;&gt;"",INDEX($P$2:$U$853,MATCH($X353,$W$2:$W$853,0),COLUMNS($X$2:AB353)),"")</f>
        <v/>
      </c>
      <c r="AD353" s="1" t="str">
        <f>IF($X353&lt;&gt;"",INDEX($P$2:$U$853,MATCH($X353,$W$2:$W$853,0),COLUMNS($X$2:AC353)),"")</f>
        <v/>
      </c>
    </row>
    <row r="354" spans="1:30" x14ac:dyDescent="0.2">
      <c r="A354" s="1">
        <v>1982</v>
      </c>
      <c r="B354" s="2">
        <v>30136</v>
      </c>
      <c r="C354" s="1" t="s">
        <v>529</v>
      </c>
      <c r="D354" s="1" t="s">
        <v>15</v>
      </c>
      <c r="E354" s="1" t="s">
        <v>263</v>
      </c>
      <c r="F354" s="1" t="s">
        <v>264</v>
      </c>
      <c r="G354" s="6" t="str">
        <f>VLOOKUP(A354,WorldCups!$A$2:$B$23,2,FALSE)</f>
        <v>Spain</v>
      </c>
      <c r="H354" s="1" t="s">
        <v>12</v>
      </c>
      <c r="I354" s="1">
        <v>4</v>
      </c>
      <c r="J354" s="1">
        <v>1</v>
      </c>
      <c r="K354" s="1" t="s">
        <v>537</v>
      </c>
      <c r="L354" s="1" t="s">
        <v>14</v>
      </c>
      <c r="M354" s="1" t="str">
        <f>IF(ISNUMBER(SEARCH("Group",Table2[[#This Row],[Round]])),"Group stages",Table2[[#This Row],[Round]])</f>
        <v>Group stages</v>
      </c>
      <c r="O354" s="1">
        <f>Table2[[#This Row],[Year]]</f>
        <v>1982</v>
      </c>
      <c r="P354" s="1" t="str">
        <f>INDEX(Table2[[HomeTeam]:[Group_details]],ROWS($N$2:N354),COLUMNS($N$2:N354))</f>
        <v>France</v>
      </c>
      <c r="Q354" s="1">
        <f>INDEX(Table2[[HomeTeam]:[Group_details]],ROWS($N$2:O354),COLUMNS($N$2:O354))</f>
        <v>4</v>
      </c>
      <c r="R354" s="1">
        <f>INDEX(Table2[[HomeTeam]:[Group_details]],ROWS($N$2:P354),COLUMNS($N$2:P354))</f>
        <v>1</v>
      </c>
      <c r="S354" s="1" t="str">
        <f>INDEX(Table2[[HomeTeam]:[Group_details]],ROWS($N$2:Q354),COLUMNS($N$2:Q354))</f>
        <v>Northern Ireland</v>
      </c>
      <c r="T354" s="1" t="str">
        <f>INDEX(Table2[[HomeTeam]:[Group_details]],ROWS($N$2:R354),COLUMNS($N$2:R354))</f>
        <v xml:space="preserve"> </v>
      </c>
      <c r="U354" s="1" t="str">
        <f>INDEX(Table2[[HomeTeam]:[Group_details]],ROWS($N$2:S354),COLUMNS($N$2:S354))</f>
        <v>Group stages</v>
      </c>
      <c r="V354" s="1" t="b">
        <f t="shared" si="5"/>
        <v>0</v>
      </c>
      <c r="W354" s="1" t="str">
        <f>IF(V354=TRUE,ROWS($V$2:V354),"")</f>
        <v/>
      </c>
      <c r="X354" s="1" t="str">
        <f>IFERROR(SMALL($W$2:$W$853,ROWS($W$2:W354)),"")</f>
        <v/>
      </c>
      <c r="Y354" s="1" t="str">
        <f>IF($X354&lt;&gt;"",INDEX($P$2:$U$853,MATCH($X354,$W$2:$W$853,0),COLUMNS($X$2:X354)),"")</f>
        <v/>
      </c>
      <c r="Z354" s="1" t="str">
        <f>IF($X354&lt;&gt;"",INDEX($P$2:$U$853,MATCH($X354,$W$2:$W$853,0),COLUMNS($X$2:Y354)),"")</f>
        <v/>
      </c>
      <c r="AA354" s="1" t="str">
        <f>IF($X354&lt;&gt;"",INDEX($P$2:$U$853,MATCH($X354,$W$2:$W$853,0),COLUMNS($X$2:Z354)),"")</f>
        <v/>
      </c>
      <c r="AB354" s="1" t="str">
        <f>IF($X354&lt;&gt;"",INDEX($P$2:$U$853,MATCH($X354,$W$2:$W$853,0),COLUMNS($X$2:AA354)),"")</f>
        <v/>
      </c>
      <c r="AC354" s="1" t="str">
        <f>IF($X354&lt;&gt;"",INDEX($P$2:$U$853,MATCH($X354,$W$2:$W$853,0),COLUMNS($X$2:AB354)),"")</f>
        <v/>
      </c>
      <c r="AD354" s="1" t="str">
        <f>IF($X354&lt;&gt;"",INDEX($P$2:$U$853,MATCH($X354,$W$2:$W$853,0),COLUMNS($X$2:AC354)),"")</f>
        <v/>
      </c>
    </row>
    <row r="355" spans="1:30" x14ac:dyDescent="0.2">
      <c r="A355" s="1">
        <v>1982</v>
      </c>
      <c r="B355" s="2">
        <v>30136</v>
      </c>
      <c r="C355" s="1" t="s">
        <v>530</v>
      </c>
      <c r="D355" s="1" t="s">
        <v>9</v>
      </c>
      <c r="E355" s="1" t="s">
        <v>230</v>
      </c>
      <c r="F355" s="1" t="s">
        <v>231</v>
      </c>
      <c r="G355" s="6" t="str">
        <f>VLOOKUP(A355,WorldCups!$A$2:$B$23,2,FALSE)</f>
        <v>Spain</v>
      </c>
      <c r="H355" s="1" t="s">
        <v>80</v>
      </c>
      <c r="I355" s="1">
        <v>0</v>
      </c>
      <c r="J355" s="1">
        <v>0</v>
      </c>
      <c r="K355" s="1" t="s">
        <v>126</v>
      </c>
      <c r="L355" s="1" t="s">
        <v>14</v>
      </c>
      <c r="M355" s="1" t="str">
        <f>IF(ISNUMBER(SEARCH("Group",Table2[[#This Row],[Round]])),"Group stages",Table2[[#This Row],[Round]])</f>
        <v>Group stages</v>
      </c>
      <c r="O355" s="1">
        <f>Table2[[#This Row],[Year]]</f>
        <v>1982</v>
      </c>
      <c r="P355" s="1" t="str">
        <f>INDEX(Table2[[HomeTeam]:[Group_details]],ROWS($N$2:N355),COLUMNS($N$2:N355))</f>
        <v>Poland</v>
      </c>
      <c r="Q355" s="1">
        <f>INDEX(Table2[[HomeTeam]:[Group_details]],ROWS($N$2:O355),COLUMNS($N$2:O355))</f>
        <v>0</v>
      </c>
      <c r="R355" s="1">
        <f>INDEX(Table2[[HomeTeam]:[Group_details]],ROWS($N$2:P355),COLUMNS($N$2:P355))</f>
        <v>0</v>
      </c>
      <c r="S355" s="1" t="str">
        <f>INDEX(Table2[[HomeTeam]:[Group_details]],ROWS($N$2:Q355),COLUMNS($N$2:Q355))</f>
        <v>Soviet Union</v>
      </c>
      <c r="T355" s="1" t="str">
        <f>INDEX(Table2[[HomeTeam]:[Group_details]],ROWS($N$2:R355),COLUMNS($N$2:R355))</f>
        <v xml:space="preserve"> </v>
      </c>
      <c r="U355" s="1" t="str">
        <f>INDEX(Table2[[HomeTeam]:[Group_details]],ROWS($N$2:S355),COLUMNS($N$2:S355))</f>
        <v>Group stages</v>
      </c>
      <c r="V355" s="1" t="b">
        <f t="shared" si="5"/>
        <v>0</v>
      </c>
      <c r="W355" s="1" t="str">
        <f>IF(V355=TRUE,ROWS($V$2:V355),"")</f>
        <v/>
      </c>
      <c r="X355" s="1" t="str">
        <f>IFERROR(SMALL($W$2:$W$853,ROWS($W$2:W355)),"")</f>
        <v/>
      </c>
      <c r="Y355" s="1" t="str">
        <f>IF($X355&lt;&gt;"",INDEX($P$2:$U$853,MATCH($X355,$W$2:$W$853,0),COLUMNS($X$2:X355)),"")</f>
        <v/>
      </c>
      <c r="Z355" s="1" t="str">
        <f>IF($X355&lt;&gt;"",INDEX($P$2:$U$853,MATCH($X355,$W$2:$W$853,0),COLUMNS($X$2:Y355)),"")</f>
        <v/>
      </c>
      <c r="AA355" s="1" t="str">
        <f>IF($X355&lt;&gt;"",INDEX($P$2:$U$853,MATCH($X355,$W$2:$W$853,0),COLUMNS($X$2:Z355)),"")</f>
        <v/>
      </c>
      <c r="AB355" s="1" t="str">
        <f>IF($X355&lt;&gt;"",INDEX($P$2:$U$853,MATCH($X355,$W$2:$W$853,0),COLUMNS($X$2:AA355)),"")</f>
        <v/>
      </c>
      <c r="AC355" s="1" t="str">
        <f>IF($X355&lt;&gt;"",INDEX($P$2:$U$853,MATCH($X355,$W$2:$W$853,0),COLUMNS($X$2:AB355)),"")</f>
        <v/>
      </c>
      <c r="AD355" s="1" t="str">
        <f>IF($X355&lt;&gt;"",INDEX($P$2:$U$853,MATCH($X355,$W$2:$W$853,0),COLUMNS($X$2:AC355)),"")</f>
        <v/>
      </c>
    </row>
    <row r="356" spans="1:30" x14ac:dyDescent="0.2">
      <c r="A356" s="1">
        <v>1982</v>
      </c>
      <c r="B356" s="2">
        <v>30137</v>
      </c>
      <c r="C356" s="1" t="s">
        <v>529</v>
      </c>
      <c r="D356" s="1" t="s">
        <v>22</v>
      </c>
      <c r="E356" s="1" t="s">
        <v>265</v>
      </c>
      <c r="F356" s="1" t="s">
        <v>231</v>
      </c>
      <c r="G356" s="6" t="str">
        <f>VLOOKUP(A356,WorldCups!$A$2:$B$23,2,FALSE)</f>
        <v>Spain</v>
      </c>
      <c r="H356" s="1" t="s">
        <v>57</v>
      </c>
      <c r="I356" s="1">
        <v>3</v>
      </c>
      <c r="J356" s="1">
        <v>2</v>
      </c>
      <c r="K356" s="1" t="s">
        <v>21</v>
      </c>
      <c r="L356" s="1" t="s">
        <v>14</v>
      </c>
      <c r="M356" s="1" t="str">
        <f>IF(ISNUMBER(SEARCH("Group",Table2[[#This Row],[Round]])),"Group stages",Table2[[#This Row],[Round]])</f>
        <v>Group stages</v>
      </c>
      <c r="O356" s="1">
        <f>Table2[[#This Row],[Year]]</f>
        <v>1982</v>
      </c>
      <c r="P356" s="1" t="str">
        <f>INDEX(Table2[[HomeTeam]:[Group_details]],ROWS($N$2:N356),COLUMNS($N$2:N356))</f>
        <v>Italy</v>
      </c>
      <c r="Q356" s="1">
        <f>INDEX(Table2[[HomeTeam]:[Group_details]],ROWS($N$2:O356),COLUMNS($N$2:O356))</f>
        <v>3</v>
      </c>
      <c r="R356" s="1">
        <f>INDEX(Table2[[HomeTeam]:[Group_details]],ROWS($N$2:P356),COLUMNS($N$2:P356))</f>
        <v>2</v>
      </c>
      <c r="S356" s="1" t="str">
        <f>INDEX(Table2[[HomeTeam]:[Group_details]],ROWS($N$2:Q356),COLUMNS($N$2:Q356))</f>
        <v>Brazil</v>
      </c>
      <c r="T356" s="1" t="str">
        <f>INDEX(Table2[[HomeTeam]:[Group_details]],ROWS($N$2:R356),COLUMNS($N$2:R356))</f>
        <v xml:space="preserve"> </v>
      </c>
      <c r="U356" s="1" t="str">
        <f>INDEX(Table2[[HomeTeam]:[Group_details]],ROWS($N$2:S356),COLUMNS($N$2:S356))</f>
        <v>Group stages</v>
      </c>
      <c r="V356" s="1" t="b">
        <f t="shared" si="5"/>
        <v>0</v>
      </c>
      <c r="W356" s="1" t="str">
        <f>IF(V356=TRUE,ROWS($V$2:V356),"")</f>
        <v/>
      </c>
      <c r="X356" s="1" t="str">
        <f>IFERROR(SMALL($W$2:$W$853,ROWS($W$2:W356)),"")</f>
        <v/>
      </c>
      <c r="Y356" s="1" t="str">
        <f>IF($X356&lt;&gt;"",INDEX($P$2:$U$853,MATCH($X356,$W$2:$W$853,0),COLUMNS($X$2:X356)),"")</f>
        <v/>
      </c>
      <c r="Z356" s="1" t="str">
        <f>IF($X356&lt;&gt;"",INDEX($P$2:$U$853,MATCH($X356,$W$2:$W$853,0),COLUMNS($X$2:Y356)),"")</f>
        <v/>
      </c>
      <c r="AA356" s="1" t="str">
        <f>IF($X356&lt;&gt;"",INDEX($P$2:$U$853,MATCH($X356,$W$2:$W$853,0),COLUMNS($X$2:Z356)),"")</f>
        <v/>
      </c>
      <c r="AB356" s="1" t="str">
        <f>IF($X356&lt;&gt;"",INDEX($P$2:$U$853,MATCH($X356,$W$2:$W$853,0),COLUMNS($X$2:AA356)),"")</f>
        <v/>
      </c>
      <c r="AC356" s="1" t="str">
        <f>IF($X356&lt;&gt;"",INDEX($P$2:$U$853,MATCH($X356,$W$2:$W$853,0),COLUMNS($X$2:AB356)),"")</f>
        <v/>
      </c>
      <c r="AD356" s="1" t="str">
        <f>IF($X356&lt;&gt;"",INDEX($P$2:$U$853,MATCH($X356,$W$2:$W$853,0),COLUMNS($X$2:AC356)),"")</f>
        <v/>
      </c>
    </row>
    <row r="357" spans="1:30" x14ac:dyDescent="0.2">
      <c r="A357" s="1">
        <v>1982</v>
      </c>
      <c r="B357" s="2">
        <v>30137</v>
      </c>
      <c r="C357" s="1" t="s">
        <v>530</v>
      </c>
      <c r="D357" s="1" t="s">
        <v>19</v>
      </c>
      <c r="E357" s="1" t="s">
        <v>266</v>
      </c>
      <c r="F357" s="1" t="s">
        <v>264</v>
      </c>
      <c r="G357" s="6" t="str">
        <f>VLOOKUP(A357,WorldCups!$A$2:$B$23,2,FALSE)</f>
        <v>Spain</v>
      </c>
      <c r="H357" s="1" t="s">
        <v>54</v>
      </c>
      <c r="I357" s="1">
        <v>0</v>
      </c>
      <c r="J357" s="1">
        <v>0</v>
      </c>
      <c r="K357" s="1" t="s">
        <v>93</v>
      </c>
      <c r="L357" s="1" t="s">
        <v>14</v>
      </c>
      <c r="M357" s="1" t="str">
        <f>IF(ISNUMBER(SEARCH("Group",Table2[[#This Row],[Round]])),"Group stages",Table2[[#This Row],[Round]])</f>
        <v>Group stages</v>
      </c>
      <c r="O357" s="1">
        <f>Table2[[#This Row],[Year]]</f>
        <v>1982</v>
      </c>
      <c r="P357" s="1" t="str">
        <f>INDEX(Table2[[HomeTeam]:[Group_details]],ROWS($N$2:N357),COLUMNS($N$2:N357))</f>
        <v>Spain</v>
      </c>
      <c r="Q357" s="1">
        <f>INDEX(Table2[[HomeTeam]:[Group_details]],ROWS($N$2:O357),COLUMNS($N$2:O357))</f>
        <v>0</v>
      </c>
      <c r="R357" s="1">
        <f>INDEX(Table2[[HomeTeam]:[Group_details]],ROWS($N$2:P357),COLUMNS($N$2:P357))</f>
        <v>0</v>
      </c>
      <c r="S357" s="1" t="str">
        <f>INDEX(Table2[[HomeTeam]:[Group_details]],ROWS($N$2:Q357),COLUMNS($N$2:Q357))</f>
        <v>England</v>
      </c>
      <c r="T357" s="1" t="str">
        <f>INDEX(Table2[[HomeTeam]:[Group_details]],ROWS($N$2:R357),COLUMNS($N$2:R357))</f>
        <v xml:space="preserve"> </v>
      </c>
      <c r="U357" s="1" t="str">
        <f>INDEX(Table2[[HomeTeam]:[Group_details]],ROWS($N$2:S357),COLUMNS($N$2:S357))</f>
        <v>Group stages</v>
      </c>
      <c r="V357" s="1" t="b">
        <f t="shared" si="5"/>
        <v>0</v>
      </c>
      <c r="W357" s="1" t="str">
        <f>IF(V357=TRUE,ROWS($V$2:V357),"")</f>
        <v/>
      </c>
      <c r="X357" s="1" t="str">
        <f>IFERROR(SMALL($W$2:$W$853,ROWS($W$2:W357)),"")</f>
        <v/>
      </c>
      <c r="Y357" s="1" t="str">
        <f>IF($X357&lt;&gt;"",INDEX($P$2:$U$853,MATCH($X357,$W$2:$W$853,0),COLUMNS($X$2:X357)),"")</f>
        <v/>
      </c>
      <c r="Z357" s="1" t="str">
        <f>IF($X357&lt;&gt;"",INDEX($P$2:$U$853,MATCH($X357,$W$2:$W$853,0),COLUMNS($X$2:Y357)),"")</f>
        <v/>
      </c>
      <c r="AA357" s="1" t="str">
        <f>IF($X357&lt;&gt;"",INDEX($P$2:$U$853,MATCH($X357,$W$2:$W$853,0),COLUMNS($X$2:Z357)),"")</f>
        <v/>
      </c>
      <c r="AB357" s="1" t="str">
        <f>IF($X357&lt;&gt;"",INDEX($P$2:$U$853,MATCH($X357,$W$2:$W$853,0),COLUMNS($X$2:AA357)),"")</f>
        <v/>
      </c>
      <c r="AC357" s="1" t="str">
        <f>IF($X357&lt;&gt;"",INDEX($P$2:$U$853,MATCH($X357,$W$2:$W$853,0),COLUMNS($X$2:AB357)),"")</f>
        <v/>
      </c>
      <c r="AD357" s="1" t="str">
        <f>IF($X357&lt;&gt;"",INDEX($P$2:$U$853,MATCH($X357,$W$2:$W$853,0),COLUMNS($X$2:AC357)),"")</f>
        <v/>
      </c>
    </row>
    <row r="358" spans="1:30" x14ac:dyDescent="0.2">
      <c r="A358" s="1">
        <v>1982</v>
      </c>
      <c r="B358" s="2">
        <v>30140</v>
      </c>
      <c r="C358" s="1" t="s">
        <v>529</v>
      </c>
      <c r="D358" s="1" t="s">
        <v>31</v>
      </c>
      <c r="E358" s="1" t="s">
        <v>230</v>
      </c>
      <c r="F358" s="1" t="s">
        <v>231</v>
      </c>
      <c r="G358" s="6" t="str">
        <f>VLOOKUP(A358,WorldCups!$A$2:$B$23,2,FALSE)</f>
        <v>Spain</v>
      </c>
      <c r="H358" s="1" t="s">
        <v>80</v>
      </c>
      <c r="I358" s="1">
        <v>0</v>
      </c>
      <c r="J358" s="1">
        <v>2</v>
      </c>
      <c r="K358" s="1" t="s">
        <v>57</v>
      </c>
      <c r="L358" s="1" t="s">
        <v>14</v>
      </c>
      <c r="M358" s="1" t="str">
        <f>IF(ISNUMBER(SEARCH("Group",Table2[[#This Row],[Round]])),"Group stages",Table2[[#This Row],[Round]])</f>
        <v>Semi-finals</v>
      </c>
      <c r="O358" s="1">
        <f>Table2[[#This Row],[Year]]</f>
        <v>1982</v>
      </c>
      <c r="P358" s="1" t="str">
        <f>INDEX(Table2[[HomeTeam]:[Group_details]],ROWS($N$2:N358),COLUMNS($N$2:N358))</f>
        <v>Poland</v>
      </c>
      <c r="Q358" s="1">
        <f>INDEX(Table2[[HomeTeam]:[Group_details]],ROWS($N$2:O358),COLUMNS($N$2:O358))</f>
        <v>0</v>
      </c>
      <c r="R358" s="1">
        <f>INDEX(Table2[[HomeTeam]:[Group_details]],ROWS($N$2:P358),COLUMNS($N$2:P358))</f>
        <v>2</v>
      </c>
      <c r="S358" s="1" t="str">
        <f>INDEX(Table2[[HomeTeam]:[Group_details]],ROWS($N$2:Q358),COLUMNS($N$2:Q358))</f>
        <v>Italy</v>
      </c>
      <c r="T358" s="1" t="str">
        <f>INDEX(Table2[[HomeTeam]:[Group_details]],ROWS($N$2:R358),COLUMNS($N$2:R358))</f>
        <v xml:space="preserve"> </v>
      </c>
      <c r="U358" s="1" t="str">
        <f>INDEX(Table2[[HomeTeam]:[Group_details]],ROWS($N$2:S358),COLUMNS($N$2:S358))</f>
        <v>Semi-finals</v>
      </c>
      <c r="V358" s="1" t="b">
        <f t="shared" si="5"/>
        <v>0</v>
      </c>
      <c r="W358" s="1" t="str">
        <f>IF(V358=TRUE,ROWS($V$2:V358),"")</f>
        <v/>
      </c>
      <c r="X358" s="1" t="str">
        <f>IFERROR(SMALL($W$2:$W$853,ROWS($W$2:W358)),"")</f>
        <v/>
      </c>
      <c r="Y358" s="1" t="str">
        <f>IF($X358&lt;&gt;"",INDEX($P$2:$U$853,MATCH($X358,$W$2:$W$853,0),COLUMNS($X$2:X358)),"")</f>
        <v/>
      </c>
      <c r="Z358" s="1" t="str">
        <f>IF($X358&lt;&gt;"",INDEX($P$2:$U$853,MATCH($X358,$W$2:$W$853,0),COLUMNS($X$2:Y358)),"")</f>
        <v/>
      </c>
      <c r="AA358" s="1" t="str">
        <f>IF($X358&lt;&gt;"",INDEX($P$2:$U$853,MATCH($X358,$W$2:$W$853,0),COLUMNS($X$2:Z358)),"")</f>
        <v/>
      </c>
      <c r="AB358" s="1" t="str">
        <f>IF($X358&lt;&gt;"",INDEX($P$2:$U$853,MATCH($X358,$W$2:$W$853,0),COLUMNS($X$2:AA358)),"")</f>
        <v/>
      </c>
      <c r="AC358" s="1" t="str">
        <f>IF($X358&lt;&gt;"",INDEX($P$2:$U$853,MATCH($X358,$W$2:$W$853,0),COLUMNS($X$2:AB358)),"")</f>
        <v/>
      </c>
      <c r="AD358" s="1" t="str">
        <f>IF($X358&lt;&gt;"",INDEX($P$2:$U$853,MATCH($X358,$W$2:$W$853,0),COLUMNS($X$2:AC358)),"")</f>
        <v/>
      </c>
    </row>
    <row r="359" spans="1:30" x14ac:dyDescent="0.2">
      <c r="A359" s="1">
        <v>1982</v>
      </c>
      <c r="B359" s="2">
        <v>30140</v>
      </c>
      <c r="C359" s="1" t="s">
        <v>530</v>
      </c>
      <c r="D359" s="1" t="s">
        <v>31</v>
      </c>
      <c r="E359" s="1" t="s">
        <v>234</v>
      </c>
      <c r="F359" s="1" t="s">
        <v>235</v>
      </c>
      <c r="G359" s="6" t="str">
        <f>VLOOKUP(A359,WorldCups!$A$2:$B$23,2,FALSE)</f>
        <v>Spain</v>
      </c>
      <c r="H359" s="1" t="s">
        <v>114</v>
      </c>
      <c r="I359" s="1">
        <v>3</v>
      </c>
      <c r="J359" s="1">
        <v>3</v>
      </c>
      <c r="K359" s="1" t="s">
        <v>12</v>
      </c>
      <c r="L359" s="1" t="s">
        <v>267</v>
      </c>
      <c r="M359" s="1" t="str">
        <f>IF(ISNUMBER(SEARCH("Group",Table2[[#This Row],[Round]])),"Group stages",Table2[[#This Row],[Round]])</f>
        <v>Semi-finals</v>
      </c>
      <c r="O359" s="1">
        <f>Table2[[#This Row],[Year]]</f>
        <v>1982</v>
      </c>
      <c r="P359" s="1" t="str">
        <f>INDEX(Table2[[HomeTeam]:[Group_details]],ROWS($N$2:N359),COLUMNS($N$2:N359))</f>
        <v>Germany FR</v>
      </c>
      <c r="Q359" s="1">
        <f>INDEX(Table2[[HomeTeam]:[Group_details]],ROWS($N$2:O359),COLUMNS($N$2:O359))</f>
        <v>3</v>
      </c>
      <c r="R359" s="1">
        <f>INDEX(Table2[[HomeTeam]:[Group_details]],ROWS($N$2:P359),COLUMNS($N$2:P359))</f>
        <v>3</v>
      </c>
      <c r="S359" s="1" t="str">
        <f>INDEX(Table2[[HomeTeam]:[Group_details]],ROWS($N$2:Q359),COLUMNS($N$2:Q359))</f>
        <v>France</v>
      </c>
      <c r="T359" s="1" t="str">
        <f>INDEX(Table2[[HomeTeam]:[Group_details]],ROWS($N$2:R359),COLUMNS($N$2:R359))</f>
        <v xml:space="preserve"> win on penalties (5 - 4) </v>
      </c>
      <c r="U359" s="1" t="str">
        <f>INDEX(Table2[[HomeTeam]:[Group_details]],ROWS($N$2:S359),COLUMNS($N$2:S359))</f>
        <v>Semi-finals</v>
      </c>
      <c r="V359" s="1" t="b">
        <f t="shared" si="5"/>
        <v>0</v>
      </c>
      <c r="W359" s="1" t="str">
        <f>IF(V359=TRUE,ROWS($V$2:V359),"")</f>
        <v/>
      </c>
      <c r="X359" s="1" t="str">
        <f>IFERROR(SMALL($W$2:$W$853,ROWS($W$2:W359)),"")</f>
        <v/>
      </c>
      <c r="Y359" s="1" t="str">
        <f>IF($X359&lt;&gt;"",INDEX($P$2:$U$853,MATCH($X359,$W$2:$W$853,0),COLUMNS($X$2:X359)),"")</f>
        <v/>
      </c>
      <c r="Z359" s="1" t="str">
        <f>IF($X359&lt;&gt;"",INDEX($P$2:$U$853,MATCH($X359,$W$2:$W$853,0),COLUMNS($X$2:Y359)),"")</f>
        <v/>
      </c>
      <c r="AA359" s="1" t="str">
        <f>IF($X359&lt;&gt;"",INDEX($P$2:$U$853,MATCH($X359,$W$2:$W$853,0),COLUMNS($X$2:Z359)),"")</f>
        <v/>
      </c>
      <c r="AB359" s="1" t="str">
        <f>IF($X359&lt;&gt;"",INDEX($P$2:$U$853,MATCH($X359,$W$2:$W$853,0),COLUMNS($X$2:AA359)),"")</f>
        <v/>
      </c>
      <c r="AC359" s="1" t="str">
        <f>IF($X359&lt;&gt;"",INDEX($P$2:$U$853,MATCH($X359,$W$2:$W$853,0),COLUMNS($X$2:AB359)),"")</f>
        <v/>
      </c>
      <c r="AD359" s="1" t="str">
        <f>IF($X359&lt;&gt;"",INDEX($P$2:$U$853,MATCH($X359,$W$2:$W$853,0),COLUMNS($X$2:AC359)),"")</f>
        <v/>
      </c>
    </row>
    <row r="360" spans="1:30" x14ac:dyDescent="0.2">
      <c r="A360" s="1">
        <v>1982</v>
      </c>
      <c r="B360" s="2">
        <v>30142</v>
      </c>
      <c r="C360" s="1" t="s">
        <v>528</v>
      </c>
      <c r="D360" s="1" t="s">
        <v>62</v>
      </c>
      <c r="E360" s="1" t="s">
        <v>260</v>
      </c>
      <c r="F360" s="1" t="s">
        <v>261</v>
      </c>
      <c r="G360" s="6" t="str">
        <f>VLOOKUP(A360,WorldCups!$A$2:$B$23,2,FALSE)</f>
        <v>Spain</v>
      </c>
      <c r="H360" s="1" t="s">
        <v>80</v>
      </c>
      <c r="I360" s="1">
        <v>3</v>
      </c>
      <c r="J360" s="1">
        <v>2</v>
      </c>
      <c r="K360" s="1" t="s">
        <v>12</v>
      </c>
      <c r="L360" s="1" t="s">
        <v>14</v>
      </c>
      <c r="M360" s="1" t="str">
        <f>IF(ISNUMBER(SEARCH("Group",Table2[[#This Row],[Round]])),"Group stages",Table2[[#This Row],[Round]])</f>
        <v>Match for third place</v>
      </c>
      <c r="O360" s="1">
        <f>Table2[[#This Row],[Year]]</f>
        <v>1982</v>
      </c>
      <c r="P360" s="1" t="str">
        <f>INDEX(Table2[[HomeTeam]:[Group_details]],ROWS($N$2:N360),COLUMNS($N$2:N360))</f>
        <v>Poland</v>
      </c>
      <c r="Q360" s="1">
        <f>INDEX(Table2[[HomeTeam]:[Group_details]],ROWS($N$2:O360),COLUMNS($N$2:O360))</f>
        <v>3</v>
      </c>
      <c r="R360" s="1">
        <f>INDEX(Table2[[HomeTeam]:[Group_details]],ROWS($N$2:P360),COLUMNS($N$2:P360))</f>
        <v>2</v>
      </c>
      <c r="S360" s="1" t="str">
        <f>INDEX(Table2[[HomeTeam]:[Group_details]],ROWS($N$2:Q360),COLUMNS($N$2:Q360))</f>
        <v>France</v>
      </c>
      <c r="T360" s="1" t="str">
        <f>INDEX(Table2[[HomeTeam]:[Group_details]],ROWS($N$2:R360),COLUMNS($N$2:R360))</f>
        <v xml:space="preserve"> </v>
      </c>
      <c r="U360" s="1" t="str">
        <f>INDEX(Table2[[HomeTeam]:[Group_details]],ROWS($N$2:S360),COLUMNS($N$2:S360))</f>
        <v>Match for third place</v>
      </c>
      <c r="V360" s="1" t="b">
        <f t="shared" si="5"/>
        <v>0</v>
      </c>
      <c r="W360" s="1" t="str">
        <f>IF(V360=TRUE,ROWS($V$2:V360),"")</f>
        <v/>
      </c>
      <c r="X360" s="1" t="str">
        <f>IFERROR(SMALL($W$2:$W$853,ROWS($W$2:W360)),"")</f>
        <v/>
      </c>
      <c r="Y360" s="1" t="str">
        <f>IF($X360&lt;&gt;"",INDEX($P$2:$U$853,MATCH($X360,$W$2:$W$853,0),COLUMNS($X$2:X360)),"")</f>
        <v/>
      </c>
      <c r="Z360" s="1" t="str">
        <f>IF($X360&lt;&gt;"",INDEX($P$2:$U$853,MATCH($X360,$W$2:$W$853,0),COLUMNS($X$2:Y360)),"")</f>
        <v/>
      </c>
      <c r="AA360" s="1" t="str">
        <f>IF($X360&lt;&gt;"",INDEX($P$2:$U$853,MATCH($X360,$W$2:$W$853,0),COLUMNS($X$2:Z360)),"")</f>
        <v/>
      </c>
      <c r="AB360" s="1" t="str">
        <f>IF($X360&lt;&gt;"",INDEX($P$2:$U$853,MATCH($X360,$W$2:$W$853,0),COLUMNS($X$2:AA360)),"")</f>
        <v/>
      </c>
      <c r="AC360" s="1" t="str">
        <f>IF($X360&lt;&gt;"",INDEX($P$2:$U$853,MATCH($X360,$W$2:$W$853,0),COLUMNS($X$2:AB360)),"")</f>
        <v/>
      </c>
      <c r="AD360" s="1" t="str">
        <f>IF($X360&lt;&gt;"",INDEX($P$2:$U$853,MATCH($X360,$W$2:$W$853,0),COLUMNS($X$2:AC360)),"")</f>
        <v/>
      </c>
    </row>
    <row r="361" spans="1:30" x14ac:dyDescent="0.2">
      <c r="A361" s="1">
        <v>1982</v>
      </c>
      <c r="B361" s="2">
        <v>30143</v>
      </c>
      <c r="C361" s="1" t="s">
        <v>528</v>
      </c>
      <c r="D361" s="1" t="s">
        <v>32</v>
      </c>
      <c r="E361" s="1" t="s">
        <v>266</v>
      </c>
      <c r="F361" s="1" t="s">
        <v>264</v>
      </c>
      <c r="G361" s="6" t="str">
        <f>VLOOKUP(A361,WorldCups!$A$2:$B$23,2,FALSE)</f>
        <v>Spain</v>
      </c>
      <c r="H361" s="1" t="s">
        <v>57</v>
      </c>
      <c r="I361" s="1">
        <v>3</v>
      </c>
      <c r="J361" s="1">
        <v>1</v>
      </c>
      <c r="K361" s="1" t="s">
        <v>114</v>
      </c>
      <c r="L361" s="1" t="s">
        <v>14</v>
      </c>
      <c r="M361" s="1" t="str">
        <f>IF(ISNUMBER(SEARCH("Group",Table2[[#This Row],[Round]])),"Group stages",Table2[[#This Row],[Round]])</f>
        <v>Final</v>
      </c>
      <c r="O361" s="1">
        <f>Table2[[#This Row],[Year]]</f>
        <v>1982</v>
      </c>
      <c r="P361" s="1" t="str">
        <f>INDEX(Table2[[HomeTeam]:[Group_details]],ROWS($N$2:N361),COLUMNS($N$2:N361))</f>
        <v>Italy</v>
      </c>
      <c r="Q361" s="1">
        <f>INDEX(Table2[[HomeTeam]:[Group_details]],ROWS($N$2:O361),COLUMNS($N$2:O361))</f>
        <v>3</v>
      </c>
      <c r="R361" s="1">
        <f>INDEX(Table2[[HomeTeam]:[Group_details]],ROWS($N$2:P361),COLUMNS($N$2:P361))</f>
        <v>1</v>
      </c>
      <c r="S361" s="1" t="str">
        <f>INDEX(Table2[[HomeTeam]:[Group_details]],ROWS($N$2:Q361),COLUMNS($N$2:Q361))</f>
        <v>Germany FR</v>
      </c>
      <c r="T361" s="1" t="str">
        <f>INDEX(Table2[[HomeTeam]:[Group_details]],ROWS($N$2:R361),COLUMNS($N$2:R361))</f>
        <v xml:space="preserve"> </v>
      </c>
      <c r="U361" s="1" t="str">
        <f>INDEX(Table2[[HomeTeam]:[Group_details]],ROWS($N$2:S361),COLUMNS($N$2:S361))</f>
        <v>Final</v>
      </c>
      <c r="V361" s="1" t="b">
        <f t="shared" si="5"/>
        <v>0</v>
      </c>
      <c r="W361" s="1" t="str">
        <f>IF(V361=TRUE,ROWS($V$2:V361),"")</f>
        <v/>
      </c>
      <c r="X361" s="1" t="str">
        <f>IFERROR(SMALL($W$2:$W$853,ROWS($W$2:W361)),"")</f>
        <v/>
      </c>
      <c r="Y361" s="1" t="str">
        <f>IF($X361&lt;&gt;"",INDEX($P$2:$U$853,MATCH($X361,$W$2:$W$853,0),COLUMNS($X$2:X361)),"")</f>
        <v/>
      </c>
      <c r="Z361" s="1" t="str">
        <f>IF($X361&lt;&gt;"",INDEX($P$2:$U$853,MATCH($X361,$W$2:$W$853,0),COLUMNS($X$2:Y361)),"")</f>
        <v/>
      </c>
      <c r="AA361" s="1" t="str">
        <f>IF($X361&lt;&gt;"",INDEX($P$2:$U$853,MATCH($X361,$W$2:$W$853,0),COLUMNS($X$2:Z361)),"")</f>
        <v/>
      </c>
      <c r="AB361" s="1" t="str">
        <f>IF($X361&lt;&gt;"",INDEX($P$2:$U$853,MATCH($X361,$W$2:$W$853,0),COLUMNS($X$2:AA361)),"")</f>
        <v/>
      </c>
      <c r="AC361" s="1" t="str">
        <f>IF($X361&lt;&gt;"",INDEX($P$2:$U$853,MATCH($X361,$W$2:$W$853,0),COLUMNS($X$2:AB361)),"")</f>
        <v/>
      </c>
      <c r="AD361" s="1" t="str">
        <f>IF($X361&lt;&gt;"",INDEX($P$2:$U$853,MATCH($X361,$W$2:$W$853,0),COLUMNS($X$2:AC361)),"")</f>
        <v/>
      </c>
    </row>
    <row r="362" spans="1:30" x14ac:dyDescent="0.2">
      <c r="A362" s="1">
        <v>1986</v>
      </c>
      <c r="B362" s="2">
        <v>31563</v>
      </c>
      <c r="C362" s="1" t="s">
        <v>523</v>
      </c>
      <c r="D362" s="1" t="s">
        <v>214</v>
      </c>
      <c r="E362" s="1" t="s">
        <v>177</v>
      </c>
      <c r="F362" s="1" t="s">
        <v>178</v>
      </c>
      <c r="G362" s="6" t="str">
        <f>VLOOKUP(A362,WorldCups!$A$2:$B$23,2,FALSE)</f>
        <v>Mexico</v>
      </c>
      <c r="H362" s="1" t="s">
        <v>156</v>
      </c>
      <c r="I362" s="1">
        <v>1</v>
      </c>
      <c r="J362" s="1">
        <v>1</v>
      </c>
      <c r="K362" s="1" t="s">
        <v>57</v>
      </c>
      <c r="L362" s="1" t="s">
        <v>14</v>
      </c>
      <c r="M362" s="1" t="str">
        <f>IF(ISNUMBER(SEARCH("Group",Table2[[#This Row],[Round]])),"Group stages",Table2[[#This Row],[Round]])</f>
        <v>Group stages</v>
      </c>
      <c r="O362" s="1">
        <f>Table2[[#This Row],[Year]]</f>
        <v>1986</v>
      </c>
      <c r="P362" s="1" t="str">
        <f>INDEX(Table2[[HomeTeam]:[Group_details]],ROWS($N$2:N362),COLUMNS($N$2:N362))</f>
        <v>Bulgaria</v>
      </c>
      <c r="Q362" s="1">
        <f>INDEX(Table2[[HomeTeam]:[Group_details]],ROWS($N$2:O362),COLUMNS($N$2:O362))</f>
        <v>1</v>
      </c>
      <c r="R362" s="1">
        <f>INDEX(Table2[[HomeTeam]:[Group_details]],ROWS($N$2:P362),COLUMNS($N$2:P362))</f>
        <v>1</v>
      </c>
      <c r="S362" s="1" t="str">
        <f>INDEX(Table2[[HomeTeam]:[Group_details]],ROWS($N$2:Q362),COLUMNS($N$2:Q362))</f>
        <v>Italy</v>
      </c>
      <c r="T362" s="1" t="str">
        <f>INDEX(Table2[[HomeTeam]:[Group_details]],ROWS($N$2:R362),COLUMNS($N$2:R362))</f>
        <v xml:space="preserve"> </v>
      </c>
      <c r="U362" s="1" t="str">
        <f>INDEX(Table2[[HomeTeam]:[Group_details]],ROWS($N$2:S362),COLUMNS($N$2:S362))</f>
        <v>Group stages</v>
      </c>
      <c r="V362" s="1" t="b">
        <f t="shared" si="5"/>
        <v>0</v>
      </c>
      <c r="W362" s="1" t="str">
        <f>IF(V362=TRUE,ROWS($V$2:V362),"")</f>
        <v/>
      </c>
      <c r="X362" s="1" t="str">
        <f>IFERROR(SMALL($W$2:$W$853,ROWS($W$2:W362)),"")</f>
        <v/>
      </c>
      <c r="Y362" s="1" t="str">
        <f>IF($X362&lt;&gt;"",INDEX($P$2:$U$853,MATCH($X362,$W$2:$W$853,0),COLUMNS($X$2:X362)),"")</f>
        <v/>
      </c>
      <c r="Z362" s="1" t="str">
        <f>IF($X362&lt;&gt;"",INDEX($P$2:$U$853,MATCH($X362,$W$2:$W$853,0),COLUMNS($X$2:Y362)),"")</f>
        <v/>
      </c>
      <c r="AA362" s="1" t="str">
        <f>IF($X362&lt;&gt;"",INDEX($P$2:$U$853,MATCH($X362,$W$2:$W$853,0),COLUMNS($X$2:Z362)),"")</f>
        <v/>
      </c>
      <c r="AB362" s="1" t="str">
        <f>IF($X362&lt;&gt;"",INDEX($P$2:$U$853,MATCH($X362,$W$2:$W$853,0),COLUMNS($X$2:AA362)),"")</f>
        <v/>
      </c>
      <c r="AC362" s="1" t="str">
        <f>IF($X362&lt;&gt;"",INDEX($P$2:$U$853,MATCH($X362,$W$2:$W$853,0),COLUMNS($X$2:AB362)),"")</f>
        <v/>
      </c>
      <c r="AD362" s="1" t="str">
        <f>IF($X362&lt;&gt;"",INDEX($P$2:$U$853,MATCH($X362,$W$2:$W$853,0),COLUMNS($X$2:AC362)),"")</f>
        <v/>
      </c>
    </row>
    <row r="363" spans="1:30" x14ac:dyDescent="0.2">
      <c r="A363" s="1">
        <v>1986</v>
      </c>
      <c r="B363" s="2">
        <v>31564</v>
      </c>
      <c r="C363" s="1" t="s">
        <v>503</v>
      </c>
      <c r="D363" s="1" t="s">
        <v>268</v>
      </c>
      <c r="E363" s="1" t="s">
        <v>182</v>
      </c>
      <c r="F363" s="1" t="s">
        <v>183</v>
      </c>
      <c r="G363" s="6" t="str">
        <f>VLOOKUP(A363,WorldCups!$A$2:$B$23,2,FALSE)</f>
        <v>Mexico</v>
      </c>
      <c r="H363" s="1" t="s">
        <v>269</v>
      </c>
      <c r="I363" s="1">
        <v>0</v>
      </c>
      <c r="J363" s="1">
        <v>1</v>
      </c>
      <c r="K363" s="1" t="s">
        <v>12</v>
      </c>
      <c r="L363" s="1" t="s">
        <v>14</v>
      </c>
      <c r="M363" s="1" t="str">
        <f>IF(ISNUMBER(SEARCH("Group",Table2[[#This Row],[Round]])),"Group stages",Table2[[#This Row],[Round]])</f>
        <v>Group stages</v>
      </c>
      <c r="O363" s="1">
        <f>Table2[[#This Row],[Year]]</f>
        <v>1986</v>
      </c>
      <c r="P363" s="1" t="str">
        <f>INDEX(Table2[[HomeTeam]:[Group_details]],ROWS($N$2:N363),COLUMNS($N$2:N363))</f>
        <v>Canada</v>
      </c>
      <c r="Q363" s="1">
        <f>INDEX(Table2[[HomeTeam]:[Group_details]],ROWS($N$2:O363),COLUMNS($N$2:O363))</f>
        <v>0</v>
      </c>
      <c r="R363" s="1">
        <f>INDEX(Table2[[HomeTeam]:[Group_details]],ROWS($N$2:P363),COLUMNS($N$2:P363))</f>
        <v>1</v>
      </c>
      <c r="S363" s="1" t="str">
        <f>INDEX(Table2[[HomeTeam]:[Group_details]],ROWS($N$2:Q363),COLUMNS($N$2:Q363))</f>
        <v>France</v>
      </c>
      <c r="T363" s="1" t="str">
        <f>INDEX(Table2[[HomeTeam]:[Group_details]],ROWS($N$2:R363),COLUMNS($N$2:R363))</f>
        <v xml:space="preserve"> </v>
      </c>
      <c r="U363" s="1" t="str">
        <f>INDEX(Table2[[HomeTeam]:[Group_details]],ROWS($N$2:S363),COLUMNS($N$2:S363))</f>
        <v>Group stages</v>
      </c>
      <c r="V363" s="1" t="b">
        <f t="shared" si="5"/>
        <v>0</v>
      </c>
      <c r="W363" s="1" t="str">
        <f>IF(V363=TRUE,ROWS($V$2:V363),"")</f>
        <v/>
      </c>
      <c r="X363" s="1" t="str">
        <f>IFERROR(SMALL($W$2:$W$853,ROWS($W$2:W363)),"")</f>
        <v/>
      </c>
      <c r="Y363" s="1" t="str">
        <f>IF($X363&lt;&gt;"",INDEX($P$2:$U$853,MATCH($X363,$W$2:$W$853,0),COLUMNS($X$2:X363)),"")</f>
        <v/>
      </c>
      <c r="Z363" s="1" t="str">
        <f>IF($X363&lt;&gt;"",INDEX($P$2:$U$853,MATCH($X363,$W$2:$W$853,0),COLUMNS($X$2:Y363)),"")</f>
        <v/>
      </c>
      <c r="AA363" s="1" t="str">
        <f>IF($X363&lt;&gt;"",INDEX($P$2:$U$853,MATCH($X363,$W$2:$W$853,0),COLUMNS($X$2:Z363)),"")</f>
        <v/>
      </c>
      <c r="AB363" s="1" t="str">
        <f>IF($X363&lt;&gt;"",INDEX($P$2:$U$853,MATCH($X363,$W$2:$W$853,0),COLUMNS($X$2:AA363)),"")</f>
        <v/>
      </c>
      <c r="AC363" s="1" t="str">
        <f>IF($X363&lt;&gt;"",INDEX($P$2:$U$853,MATCH($X363,$W$2:$W$853,0),COLUMNS($X$2:AB363)),"")</f>
        <v/>
      </c>
      <c r="AD363" s="1" t="str">
        <f>IF($X363&lt;&gt;"",INDEX($P$2:$U$853,MATCH($X363,$W$2:$W$853,0),COLUMNS($X$2:AC363)),"")</f>
        <v/>
      </c>
    </row>
    <row r="364" spans="1:30" x14ac:dyDescent="0.2">
      <c r="A364" s="1">
        <v>1986</v>
      </c>
      <c r="B364" s="2">
        <v>31564</v>
      </c>
      <c r="C364" s="1" t="s">
        <v>523</v>
      </c>
      <c r="D364" s="1" t="s">
        <v>270</v>
      </c>
      <c r="E364" s="1" t="s">
        <v>184</v>
      </c>
      <c r="F364" s="1" t="s">
        <v>185</v>
      </c>
      <c r="G364" s="6" t="str">
        <f>VLOOKUP(A364,WorldCups!$A$2:$B$23,2,FALSE)</f>
        <v>Mexico</v>
      </c>
      <c r="H364" s="1" t="s">
        <v>54</v>
      </c>
      <c r="I364" s="1">
        <v>0</v>
      </c>
      <c r="J364" s="1">
        <v>1</v>
      </c>
      <c r="K364" s="1" t="s">
        <v>21</v>
      </c>
      <c r="L364" s="1" t="s">
        <v>14</v>
      </c>
      <c r="M364" s="1" t="str">
        <f>IF(ISNUMBER(SEARCH("Group",Table2[[#This Row],[Round]])),"Group stages",Table2[[#This Row],[Round]])</f>
        <v>Group stages</v>
      </c>
      <c r="O364" s="1">
        <f>Table2[[#This Row],[Year]]</f>
        <v>1986</v>
      </c>
      <c r="P364" s="1" t="str">
        <f>INDEX(Table2[[HomeTeam]:[Group_details]],ROWS($N$2:N364),COLUMNS($N$2:N364))</f>
        <v>Spain</v>
      </c>
      <c r="Q364" s="1">
        <f>INDEX(Table2[[HomeTeam]:[Group_details]],ROWS($N$2:O364),COLUMNS($N$2:O364))</f>
        <v>0</v>
      </c>
      <c r="R364" s="1">
        <f>INDEX(Table2[[HomeTeam]:[Group_details]],ROWS($N$2:P364),COLUMNS($N$2:P364))</f>
        <v>1</v>
      </c>
      <c r="S364" s="1" t="str">
        <f>INDEX(Table2[[HomeTeam]:[Group_details]],ROWS($N$2:Q364),COLUMNS($N$2:Q364))</f>
        <v>Brazil</v>
      </c>
      <c r="T364" s="1" t="str">
        <f>INDEX(Table2[[HomeTeam]:[Group_details]],ROWS($N$2:R364),COLUMNS($N$2:R364))</f>
        <v xml:space="preserve"> </v>
      </c>
      <c r="U364" s="1" t="str">
        <f>INDEX(Table2[[HomeTeam]:[Group_details]],ROWS($N$2:S364),COLUMNS($N$2:S364))</f>
        <v>Group stages</v>
      </c>
      <c r="V364" s="1" t="b">
        <f t="shared" si="5"/>
        <v>0</v>
      </c>
      <c r="W364" s="1" t="str">
        <f>IF(V364=TRUE,ROWS($V$2:V364),"")</f>
        <v/>
      </c>
      <c r="X364" s="1" t="str">
        <f>IFERROR(SMALL($W$2:$W$853,ROWS($W$2:W364)),"")</f>
        <v/>
      </c>
      <c r="Y364" s="1" t="str">
        <f>IF($X364&lt;&gt;"",INDEX($P$2:$U$853,MATCH($X364,$W$2:$W$853,0),COLUMNS($X$2:X364)),"")</f>
        <v/>
      </c>
      <c r="Z364" s="1" t="str">
        <f>IF($X364&lt;&gt;"",INDEX($P$2:$U$853,MATCH($X364,$W$2:$W$853,0),COLUMNS($X$2:Y364)),"")</f>
        <v/>
      </c>
      <c r="AA364" s="1" t="str">
        <f>IF($X364&lt;&gt;"",INDEX($P$2:$U$853,MATCH($X364,$W$2:$W$853,0),COLUMNS($X$2:Z364)),"")</f>
        <v/>
      </c>
      <c r="AB364" s="1" t="str">
        <f>IF($X364&lt;&gt;"",INDEX($P$2:$U$853,MATCH($X364,$W$2:$W$853,0),COLUMNS($X$2:AA364)),"")</f>
        <v/>
      </c>
      <c r="AC364" s="1" t="str">
        <f>IF($X364&lt;&gt;"",INDEX($P$2:$U$853,MATCH($X364,$W$2:$W$853,0),COLUMNS($X$2:AB364)),"")</f>
        <v/>
      </c>
      <c r="AD364" s="1" t="str">
        <f>IF($X364&lt;&gt;"",INDEX($P$2:$U$853,MATCH($X364,$W$2:$W$853,0),COLUMNS($X$2:AC364)),"")</f>
        <v/>
      </c>
    </row>
    <row r="365" spans="1:30" x14ac:dyDescent="0.2">
      <c r="A365" s="1">
        <v>1986</v>
      </c>
      <c r="B365" s="2">
        <v>31565</v>
      </c>
      <c r="C365" s="1" t="s">
        <v>523</v>
      </c>
      <c r="D365" s="1" t="s">
        <v>268</v>
      </c>
      <c r="E365" s="1" t="s">
        <v>271</v>
      </c>
      <c r="F365" s="1" t="s">
        <v>272</v>
      </c>
      <c r="G365" s="6" t="str">
        <f>VLOOKUP(A365,WorldCups!$A$2:$B$23,2,FALSE)</f>
        <v>Mexico</v>
      </c>
      <c r="H365" s="1" t="s">
        <v>126</v>
      </c>
      <c r="I365" s="1">
        <v>6</v>
      </c>
      <c r="J365" s="1">
        <v>0</v>
      </c>
      <c r="K365" s="1" t="s">
        <v>40</v>
      </c>
      <c r="L365" s="1" t="s">
        <v>14</v>
      </c>
      <c r="M365" s="1" t="str">
        <f>IF(ISNUMBER(SEARCH("Group",Table2[[#This Row],[Round]])),"Group stages",Table2[[#This Row],[Round]])</f>
        <v>Group stages</v>
      </c>
      <c r="O365" s="1">
        <f>Table2[[#This Row],[Year]]</f>
        <v>1986</v>
      </c>
      <c r="P365" s="1" t="str">
        <f>INDEX(Table2[[HomeTeam]:[Group_details]],ROWS($N$2:N365),COLUMNS($N$2:N365))</f>
        <v>Soviet Union</v>
      </c>
      <c r="Q365" s="1">
        <f>INDEX(Table2[[HomeTeam]:[Group_details]],ROWS($N$2:O365),COLUMNS($N$2:O365))</f>
        <v>6</v>
      </c>
      <c r="R365" s="1">
        <f>INDEX(Table2[[HomeTeam]:[Group_details]],ROWS($N$2:P365),COLUMNS($N$2:P365))</f>
        <v>0</v>
      </c>
      <c r="S365" s="1" t="str">
        <f>INDEX(Table2[[HomeTeam]:[Group_details]],ROWS($N$2:Q365),COLUMNS($N$2:Q365))</f>
        <v>Hungary</v>
      </c>
      <c r="T365" s="1" t="str">
        <f>INDEX(Table2[[HomeTeam]:[Group_details]],ROWS($N$2:R365),COLUMNS($N$2:R365))</f>
        <v xml:space="preserve"> </v>
      </c>
      <c r="U365" s="1" t="str">
        <f>INDEX(Table2[[HomeTeam]:[Group_details]],ROWS($N$2:S365),COLUMNS($N$2:S365))</f>
        <v>Group stages</v>
      </c>
      <c r="V365" s="1" t="b">
        <f t="shared" si="5"/>
        <v>0</v>
      </c>
      <c r="W365" s="1" t="str">
        <f>IF(V365=TRUE,ROWS($V$2:V365),"")</f>
        <v/>
      </c>
      <c r="X365" s="1" t="str">
        <f>IFERROR(SMALL($W$2:$W$853,ROWS($W$2:W365)),"")</f>
        <v/>
      </c>
      <c r="Y365" s="1" t="str">
        <f>IF($X365&lt;&gt;"",INDEX($P$2:$U$853,MATCH($X365,$W$2:$W$853,0),COLUMNS($X$2:X365)),"")</f>
        <v/>
      </c>
      <c r="Z365" s="1" t="str">
        <f>IF($X365&lt;&gt;"",INDEX($P$2:$U$853,MATCH($X365,$W$2:$W$853,0),COLUMNS($X$2:Y365)),"")</f>
        <v/>
      </c>
      <c r="AA365" s="1" t="str">
        <f>IF($X365&lt;&gt;"",INDEX($P$2:$U$853,MATCH($X365,$W$2:$W$853,0),COLUMNS($X$2:Z365)),"")</f>
        <v/>
      </c>
      <c r="AB365" s="1" t="str">
        <f>IF($X365&lt;&gt;"",INDEX($P$2:$U$853,MATCH($X365,$W$2:$W$853,0),COLUMNS($X$2:AA365)),"")</f>
        <v/>
      </c>
      <c r="AC365" s="1" t="str">
        <f>IF($X365&lt;&gt;"",INDEX($P$2:$U$853,MATCH($X365,$W$2:$W$853,0),COLUMNS($X$2:AB365)),"")</f>
        <v/>
      </c>
      <c r="AD365" s="1" t="str">
        <f>IF($X365&lt;&gt;"",INDEX($P$2:$U$853,MATCH($X365,$W$2:$W$853,0),COLUMNS($X$2:AC365)),"")</f>
        <v/>
      </c>
    </row>
    <row r="366" spans="1:30" x14ac:dyDescent="0.2">
      <c r="A366" s="1">
        <v>1986</v>
      </c>
      <c r="B366" s="2">
        <v>31565</v>
      </c>
      <c r="C366" s="1" t="s">
        <v>523</v>
      </c>
      <c r="D366" s="1" t="s">
        <v>214</v>
      </c>
      <c r="E366" s="1" t="s">
        <v>273</v>
      </c>
      <c r="F366" s="1" t="s">
        <v>178</v>
      </c>
      <c r="G366" s="6" t="str">
        <f>VLOOKUP(A366,WorldCups!$A$2:$B$23,2,FALSE)</f>
        <v>Mexico</v>
      </c>
      <c r="H366" s="1" t="s">
        <v>25</v>
      </c>
      <c r="I366" s="1">
        <v>3</v>
      </c>
      <c r="J366" s="1">
        <v>1</v>
      </c>
      <c r="K366" s="1" t="s">
        <v>116</v>
      </c>
      <c r="L366" s="1" t="s">
        <v>14</v>
      </c>
      <c r="M366" s="1" t="str">
        <f>IF(ISNUMBER(SEARCH("Group",Table2[[#This Row],[Round]])),"Group stages",Table2[[#This Row],[Round]])</f>
        <v>Group stages</v>
      </c>
      <c r="O366" s="1">
        <f>Table2[[#This Row],[Year]]</f>
        <v>1986</v>
      </c>
      <c r="P366" s="1" t="str">
        <f>INDEX(Table2[[HomeTeam]:[Group_details]],ROWS($N$2:N366),COLUMNS($N$2:N366))</f>
        <v>Argentina</v>
      </c>
      <c r="Q366" s="1">
        <f>INDEX(Table2[[HomeTeam]:[Group_details]],ROWS($N$2:O366),COLUMNS($N$2:O366))</f>
        <v>3</v>
      </c>
      <c r="R366" s="1">
        <f>INDEX(Table2[[HomeTeam]:[Group_details]],ROWS($N$2:P366),COLUMNS($N$2:P366))</f>
        <v>1</v>
      </c>
      <c r="S366" s="1" t="str">
        <f>INDEX(Table2[[HomeTeam]:[Group_details]],ROWS($N$2:Q366),COLUMNS($N$2:Q366))</f>
        <v>Korea Republic</v>
      </c>
      <c r="T366" s="1" t="str">
        <f>INDEX(Table2[[HomeTeam]:[Group_details]],ROWS($N$2:R366),COLUMNS($N$2:R366))</f>
        <v xml:space="preserve"> </v>
      </c>
      <c r="U366" s="1" t="str">
        <f>INDEX(Table2[[HomeTeam]:[Group_details]],ROWS($N$2:S366),COLUMNS($N$2:S366))</f>
        <v>Group stages</v>
      </c>
      <c r="V366" s="1" t="b">
        <f t="shared" si="5"/>
        <v>0</v>
      </c>
      <c r="W366" s="1" t="str">
        <f>IF(V366=TRUE,ROWS($V$2:V366),"")</f>
        <v/>
      </c>
      <c r="X366" s="1" t="str">
        <f>IFERROR(SMALL($W$2:$W$853,ROWS($W$2:W366)),"")</f>
        <v/>
      </c>
      <c r="Y366" s="1" t="str">
        <f>IF($X366&lt;&gt;"",INDEX($P$2:$U$853,MATCH($X366,$W$2:$W$853,0),COLUMNS($X$2:X366)),"")</f>
        <v/>
      </c>
      <c r="Z366" s="1" t="str">
        <f>IF($X366&lt;&gt;"",INDEX($P$2:$U$853,MATCH($X366,$W$2:$W$853,0),COLUMNS($X$2:Y366)),"")</f>
        <v/>
      </c>
      <c r="AA366" s="1" t="str">
        <f>IF($X366&lt;&gt;"",INDEX($P$2:$U$853,MATCH($X366,$W$2:$W$853,0),COLUMNS($X$2:Z366)),"")</f>
        <v/>
      </c>
      <c r="AB366" s="1" t="str">
        <f>IF($X366&lt;&gt;"",INDEX($P$2:$U$853,MATCH($X366,$W$2:$W$853,0),COLUMNS($X$2:AA366)),"")</f>
        <v/>
      </c>
      <c r="AC366" s="1" t="str">
        <f>IF($X366&lt;&gt;"",INDEX($P$2:$U$853,MATCH($X366,$W$2:$W$853,0),COLUMNS($X$2:AB366)),"")</f>
        <v/>
      </c>
      <c r="AD366" s="1" t="str">
        <f>IF($X366&lt;&gt;"",INDEX($P$2:$U$853,MATCH($X366,$W$2:$W$853,0),COLUMNS($X$2:AC366)),"")</f>
        <v/>
      </c>
    </row>
    <row r="367" spans="1:30" x14ac:dyDescent="0.2">
      <c r="A367" s="1">
        <v>1986</v>
      </c>
      <c r="B367" s="2">
        <v>31565</v>
      </c>
      <c r="C367" s="1" t="s">
        <v>503</v>
      </c>
      <c r="D367" s="1" t="s">
        <v>274</v>
      </c>
      <c r="E367" s="1" t="s">
        <v>275</v>
      </c>
      <c r="F367" s="1" t="s">
        <v>276</v>
      </c>
      <c r="G367" s="6" t="str">
        <f>VLOOKUP(A367,WorldCups!$A$2:$B$23,2,FALSE)</f>
        <v>Mexico</v>
      </c>
      <c r="H367" s="1" t="s">
        <v>188</v>
      </c>
      <c r="I367" s="1">
        <v>0</v>
      </c>
      <c r="J367" s="1">
        <v>0</v>
      </c>
      <c r="K367" s="1" t="s">
        <v>80</v>
      </c>
      <c r="L367" s="1" t="s">
        <v>14</v>
      </c>
      <c r="M367" s="1" t="str">
        <f>IF(ISNUMBER(SEARCH("Group",Table2[[#This Row],[Round]])),"Group stages",Table2[[#This Row],[Round]])</f>
        <v>Group stages</v>
      </c>
      <c r="O367" s="1">
        <f>Table2[[#This Row],[Year]]</f>
        <v>1986</v>
      </c>
      <c r="P367" s="1" t="str">
        <f>INDEX(Table2[[HomeTeam]:[Group_details]],ROWS($N$2:N367),COLUMNS($N$2:N367))</f>
        <v>Morocco</v>
      </c>
      <c r="Q367" s="1">
        <f>INDEX(Table2[[HomeTeam]:[Group_details]],ROWS($N$2:O367),COLUMNS($N$2:O367))</f>
        <v>0</v>
      </c>
      <c r="R367" s="1">
        <f>INDEX(Table2[[HomeTeam]:[Group_details]],ROWS($N$2:P367),COLUMNS($N$2:P367))</f>
        <v>0</v>
      </c>
      <c r="S367" s="1" t="str">
        <f>INDEX(Table2[[HomeTeam]:[Group_details]],ROWS($N$2:Q367),COLUMNS($N$2:Q367))</f>
        <v>Poland</v>
      </c>
      <c r="T367" s="1" t="str">
        <f>INDEX(Table2[[HomeTeam]:[Group_details]],ROWS($N$2:R367),COLUMNS($N$2:R367))</f>
        <v xml:space="preserve"> </v>
      </c>
      <c r="U367" s="1" t="str">
        <f>INDEX(Table2[[HomeTeam]:[Group_details]],ROWS($N$2:S367),COLUMNS($N$2:S367))</f>
        <v>Group stages</v>
      </c>
      <c r="V367" s="1" t="b">
        <f t="shared" si="5"/>
        <v>0</v>
      </c>
      <c r="W367" s="1" t="str">
        <f>IF(V367=TRUE,ROWS($V$2:V367),"")</f>
        <v/>
      </c>
      <c r="X367" s="1" t="str">
        <f>IFERROR(SMALL($W$2:$W$853,ROWS($W$2:W367)),"")</f>
        <v/>
      </c>
      <c r="Y367" s="1" t="str">
        <f>IF($X367&lt;&gt;"",INDEX($P$2:$U$853,MATCH($X367,$W$2:$W$853,0),COLUMNS($X$2:X367)),"")</f>
        <v/>
      </c>
      <c r="Z367" s="1" t="str">
        <f>IF($X367&lt;&gt;"",INDEX($P$2:$U$853,MATCH($X367,$W$2:$W$853,0),COLUMNS($X$2:Y367)),"")</f>
        <v/>
      </c>
      <c r="AA367" s="1" t="str">
        <f>IF($X367&lt;&gt;"",INDEX($P$2:$U$853,MATCH($X367,$W$2:$W$853,0),COLUMNS($X$2:Z367)),"")</f>
        <v/>
      </c>
      <c r="AB367" s="1" t="str">
        <f>IF($X367&lt;&gt;"",INDEX($P$2:$U$853,MATCH($X367,$W$2:$W$853,0),COLUMNS($X$2:AA367)),"")</f>
        <v/>
      </c>
      <c r="AC367" s="1" t="str">
        <f>IF($X367&lt;&gt;"",INDEX($P$2:$U$853,MATCH($X367,$W$2:$W$853,0),COLUMNS($X$2:AB367)),"")</f>
        <v/>
      </c>
      <c r="AD367" s="1" t="str">
        <f>IF($X367&lt;&gt;"",INDEX($P$2:$U$853,MATCH($X367,$W$2:$W$853,0),COLUMNS($X$2:AC367)),"")</f>
        <v/>
      </c>
    </row>
    <row r="368" spans="1:30" x14ac:dyDescent="0.2">
      <c r="A368" s="1">
        <v>1986</v>
      </c>
      <c r="B368" s="2">
        <v>31566</v>
      </c>
      <c r="C368" s="1" t="s">
        <v>523</v>
      </c>
      <c r="D368" s="1" t="s">
        <v>270</v>
      </c>
      <c r="E368" s="1" t="s">
        <v>277</v>
      </c>
      <c r="F368" s="1" t="s">
        <v>185</v>
      </c>
      <c r="G368" s="6" t="str">
        <f>VLOOKUP(A368,WorldCups!$A$2:$B$23,2,FALSE)</f>
        <v>Mexico</v>
      </c>
      <c r="H368" s="1" t="s">
        <v>246</v>
      </c>
      <c r="I368" s="1">
        <v>1</v>
      </c>
      <c r="J368" s="1">
        <v>1</v>
      </c>
      <c r="K368" s="1" t="s">
        <v>537</v>
      </c>
      <c r="L368" s="1" t="s">
        <v>14</v>
      </c>
      <c r="M368" s="1" t="str">
        <f>IF(ISNUMBER(SEARCH("Group",Table2[[#This Row],[Round]])),"Group stages",Table2[[#This Row],[Round]])</f>
        <v>Group stages</v>
      </c>
      <c r="O368" s="1">
        <f>Table2[[#This Row],[Year]]</f>
        <v>1986</v>
      </c>
      <c r="P368" s="1" t="str">
        <f>INDEX(Table2[[HomeTeam]:[Group_details]],ROWS($N$2:N368),COLUMNS($N$2:N368))</f>
        <v>Algeria</v>
      </c>
      <c r="Q368" s="1">
        <f>INDEX(Table2[[HomeTeam]:[Group_details]],ROWS($N$2:O368),COLUMNS($N$2:O368))</f>
        <v>1</v>
      </c>
      <c r="R368" s="1">
        <f>INDEX(Table2[[HomeTeam]:[Group_details]],ROWS($N$2:P368),COLUMNS($N$2:P368))</f>
        <v>1</v>
      </c>
      <c r="S368" s="1" t="str">
        <f>INDEX(Table2[[HomeTeam]:[Group_details]],ROWS($N$2:Q368),COLUMNS($N$2:Q368))</f>
        <v>Northern Ireland</v>
      </c>
      <c r="T368" s="1" t="str">
        <f>INDEX(Table2[[HomeTeam]:[Group_details]],ROWS($N$2:R368),COLUMNS($N$2:R368))</f>
        <v xml:space="preserve"> </v>
      </c>
      <c r="U368" s="1" t="str">
        <f>INDEX(Table2[[HomeTeam]:[Group_details]],ROWS($N$2:S368),COLUMNS($N$2:S368))</f>
        <v>Group stages</v>
      </c>
      <c r="V368" s="1" t="b">
        <f t="shared" si="5"/>
        <v>0</v>
      </c>
      <c r="W368" s="1" t="str">
        <f>IF(V368=TRUE,ROWS($V$2:V368),"")</f>
        <v/>
      </c>
      <c r="X368" s="1" t="str">
        <f>IFERROR(SMALL($W$2:$W$853,ROWS($W$2:W368)),"")</f>
        <v/>
      </c>
      <c r="Y368" s="1" t="str">
        <f>IF($X368&lt;&gt;"",INDEX($P$2:$U$853,MATCH($X368,$W$2:$W$853,0),COLUMNS($X$2:X368)),"")</f>
        <v/>
      </c>
      <c r="Z368" s="1" t="str">
        <f>IF($X368&lt;&gt;"",INDEX($P$2:$U$853,MATCH($X368,$W$2:$W$853,0),COLUMNS($X$2:Y368)),"")</f>
        <v/>
      </c>
      <c r="AA368" s="1" t="str">
        <f>IF($X368&lt;&gt;"",INDEX($P$2:$U$853,MATCH($X368,$W$2:$W$853,0),COLUMNS($X$2:Z368)),"")</f>
        <v/>
      </c>
      <c r="AB368" s="1" t="str">
        <f>IF($X368&lt;&gt;"",INDEX($P$2:$U$853,MATCH($X368,$W$2:$W$853,0),COLUMNS($X$2:AA368)),"")</f>
        <v/>
      </c>
      <c r="AC368" s="1" t="str">
        <f>IF($X368&lt;&gt;"",INDEX($P$2:$U$853,MATCH($X368,$W$2:$W$853,0),COLUMNS($X$2:AB368)),"")</f>
        <v/>
      </c>
      <c r="AD368" s="1" t="str">
        <f>IF($X368&lt;&gt;"",INDEX($P$2:$U$853,MATCH($X368,$W$2:$W$853,0),COLUMNS($X$2:AC368)),"")</f>
        <v/>
      </c>
    </row>
    <row r="369" spans="1:30" x14ac:dyDescent="0.2">
      <c r="A369" s="1">
        <v>1986</v>
      </c>
      <c r="B369" s="2">
        <v>31566</v>
      </c>
      <c r="C369" s="1" t="s">
        <v>523</v>
      </c>
      <c r="D369" s="1" t="s">
        <v>213</v>
      </c>
      <c r="E369" s="1" t="s">
        <v>177</v>
      </c>
      <c r="F369" s="1" t="s">
        <v>178</v>
      </c>
      <c r="G369" s="6" t="str">
        <f>VLOOKUP(A369,WorldCups!$A$2:$B$23,2,FALSE)</f>
        <v>Mexico</v>
      </c>
      <c r="H369" s="1" t="s">
        <v>18</v>
      </c>
      <c r="I369" s="1">
        <v>1</v>
      </c>
      <c r="J369" s="1">
        <v>2</v>
      </c>
      <c r="K369" s="1" t="s">
        <v>13</v>
      </c>
      <c r="L369" s="1" t="s">
        <v>14</v>
      </c>
      <c r="M369" s="1" t="str">
        <f>IF(ISNUMBER(SEARCH("Group",Table2[[#This Row],[Round]])),"Group stages",Table2[[#This Row],[Round]])</f>
        <v>Group stages</v>
      </c>
      <c r="O369" s="1">
        <f>Table2[[#This Row],[Year]]</f>
        <v>1986</v>
      </c>
      <c r="P369" s="1" t="str">
        <f>INDEX(Table2[[HomeTeam]:[Group_details]],ROWS($N$2:N369),COLUMNS($N$2:N369))</f>
        <v>Belgium</v>
      </c>
      <c r="Q369" s="1">
        <f>INDEX(Table2[[HomeTeam]:[Group_details]],ROWS($N$2:O369),COLUMNS($N$2:O369))</f>
        <v>1</v>
      </c>
      <c r="R369" s="1">
        <f>INDEX(Table2[[HomeTeam]:[Group_details]],ROWS($N$2:P369),COLUMNS($N$2:P369))</f>
        <v>2</v>
      </c>
      <c r="S369" s="1" t="str">
        <f>INDEX(Table2[[HomeTeam]:[Group_details]],ROWS($N$2:Q369),COLUMNS($N$2:Q369))</f>
        <v>Mexico</v>
      </c>
      <c r="T369" s="1" t="str">
        <f>INDEX(Table2[[HomeTeam]:[Group_details]],ROWS($N$2:R369),COLUMNS($N$2:R369))</f>
        <v xml:space="preserve"> </v>
      </c>
      <c r="U369" s="1" t="str">
        <f>INDEX(Table2[[HomeTeam]:[Group_details]],ROWS($N$2:S369),COLUMNS($N$2:S369))</f>
        <v>Group stages</v>
      </c>
      <c r="V369" s="1" t="b">
        <f t="shared" si="5"/>
        <v>0</v>
      </c>
      <c r="W369" s="1" t="str">
        <f>IF(V369=TRUE,ROWS($V$2:V369),"")</f>
        <v/>
      </c>
      <c r="X369" s="1" t="str">
        <f>IFERROR(SMALL($W$2:$W$853,ROWS($W$2:W369)),"")</f>
        <v/>
      </c>
      <c r="Y369" s="1" t="str">
        <f>IF($X369&lt;&gt;"",INDEX($P$2:$U$853,MATCH($X369,$W$2:$W$853,0),COLUMNS($X$2:X369)),"")</f>
        <v/>
      </c>
      <c r="Z369" s="1" t="str">
        <f>IF($X369&lt;&gt;"",INDEX($P$2:$U$853,MATCH($X369,$W$2:$W$853,0),COLUMNS($X$2:Y369)),"")</f>
        <v/>
      </c>
      <c r="AA369" s="1" t="str">
        <f>IF($X369&lt;&gt;"",INDEX($P$2:$U$853,MATCH($X369,$W$2:$W$853,0),COLUMNS($X$2:Z369)),"")</f>
        <v/>
      </c>
      <c r="AB369" s="1" t="str">
        <f>IF($X369&lt;&gt;"",INDEX($P$2:$U$853,MATCH($X369,$W$2:$W$853,0),COLUMNS($X$2:AA369)),"")</f>
        <v/>
      </c>
      <c r="AC369" s="1" t="str">
        <f>IF($X369&lt;&gt;"",INDEX($P$2:$U$853,MATCH($X369,$W$2:$W$853,0),COLUMNS($X$2:AB369)),"")</f>
        <v/>
      </c>
      <c r="AD369" s="1" t="str">
        <f>IF($X369&lt;&gt;"",INDEX($P$2:$U$853,MATCH($X369,$W$2:$W$853,0),COLUMNS($X$2:AC369)),"")</f>
        <v/>
      </c>
    </row>
    <row r="370" spans="1:30" x14ac:dyDescent="0.2">
      <c r="A370" s="1">
        <v>1986</v>
      </c>
      <c r="B370" s="2">
        <v>31566</v>
      </c>
      <c r="C370" s="1" t="s">
        <v>503</v>
      </c>
      <c r="D370" s="1" t="s">
        <v>274</v>
      </c>
      <c r="E370" s="1" t="s">
        <v>278</v>
      </c>
      <c r="F370" s="1" t="s">
        <v>276</v>
      </c>
      <c r="G370" s="6" t="str">
        <f>VLOOKUP(A370,WorldCups!$A$2:$B$23,2,FALSE)</f>
        <v>Mexico</v>
      </c>
      <c r="H370" s="1" t="s">
        <v>170</v>
      </c>
      <c r="I370" s="1">
        <v>1</v>
      </c>
      <c r="J370" s="1">
        <v>0</v>
      </c>
      <c r="K370" s="1" t="s">
        <v>93</v>
      </c>
      <c r="L370" s="1" t="s">
        <v>14</v>
      </c>
      <c r="M370" s="1" t="str">
        <f>IF(ISNUMBER(SEARCH("Group",Table2[[#This Row],[Round]])),"Group stages",Table2[[#This Row],[Round]])</f>
        <v>Group stages</v>
      </c>
      <c r="O370" s="1">
        <f>Table2[[#This Row],[Year]]</f>
        <v>1986</v>
      </c>
      <c r="P370" s="1" t="str">
        <f>INDEX(Table2[[HomeTeam]:[Group_details]],ROWS($N$2:N370),COLUMNS($N$2:N370))</f>
        <v>Portugal</v>
      </c>
      <c r="Q370" s="1">
        <f>INDEX(Table2[[HomeTeam]:[Group_details]],ROWS($N$2:O370),COLUMNS($N$2:O370))</f>
        <v>1</v>
      </c>
      <c r="R370" s="1">
        <f>INDEX(Table2[[HomeTeam]:[Group_details]],ROWS($N$2:P370),COLUMNS($N$2:P370))</f>
        <v>0</v>
      </c>
      <c r="S370" s="1" t="str">
        <f>INDEX(Table2[[HomeTeam]:[Group_details]],ROWS($N$2:Q370),COLUMNS($N$2:Q370))</f>
        <v>England</v>
      </c>
      <c r="T370" s="1" t="str">
        <f>INDEX(Table2[[HomeTeam]:[Group_details]],ROWS($N$2:R370),COLUMNS($N$2:R370))</f>
        <v xml:space="preserve"> </v>
      </c>
      <c r="U370" s="1" t="str">
        <f>INDEX(Table2[[HomeTeam]:[Group_details]],ROWS($N$2:S370),COLUMNS($N$2:S370))</f>
        <v>Group stages</v>
      </c>
      <c r="V370" s="1" t="b">
        <f t="shared" si="5"/>
        <v>0</v>
      </c>
      <c r="W370" s="1" t="str">
        <f>IF(V370=TRUE,ROWS($V$2:V370),"")</f>
        <v/>
      </c>
      <c r="X370" s="1" t="str">
        <f>IFERROR(SMALL($W$2:$W$853,ROWS($W$2:W370)),"")</f>
        <v/>
      </c>
      <c r="Y370" s="1" t="str">
        <f>IF($X370&lt;&gt;"",INDEX($P$2:$U$853,MATCH($X370,$W$2:$W$853,0),COLUMNS($X$2:X370)),"")</f>
        <v/>
      </c>
      <c r="Z370" s="1" t="str">
        <f>IF($X370&lt;&gt;"",INDEX($P$2:$U$853,MATCH($X370,$W$2:$W$853,0),COLUMNS($X$2:Y370)),"")</f>
        <v/>
      </c>
      <c r="AA370" s="1" t="str">
        <f>IF($X370&lt;&gt;"",INDEX($P$2:$U$853,MATCH($X370,$W$2:$W$853,0),COLUMNS($X$2:Z370)),"")</f>
        <v/>
      </c>
      <c r="AB370" s="1" t="str">
        <f>IF($X370&lt;&gt;"",INDEX($P$2:$U$853,MATCH($X370,$W$2:$W$853,0),COLUMNS($X$2:AA370)),"")</f>
        <v/>
      </c>
      <c r="AC370" s="1" t="str">
        <f>IF($X370&lt;&gt;"",INDEX($P$2:$U$853,MATCH($X370,$W$2:$W$853,0),COLUMNS($X$2:AB370)),"")</f>
        <v/>
      </c>
      <c r="AD370" s="1" t="str">
        <f>IF($X370&lt;&gt;"",INDEX($P$2:$U$853,MATCH($X370,$W$2:$W$853,0),COLUMNS($X$2:AC370)),"")</f>
        <v/>
      </c>
    </row>
    <row r="371" spans="1:30" x14ac:dyDescent="0.2">
      <c r="A371" s="1">
        <v>1986</v>
      </c>
      <c r="B371" s="2">
        <v>31567</v>
      </c>
      <c r="C371" s="1" t="s">
        <v>523</v>
      </c>
      <c r="D371" s="1" t="s">
        <v>213</v>
      </c>
      <c r="E371" s="1" t="s">
        <v>279</v>
      </c>
      <c r="F371" s="1" t="s">
        <v>187</v>
      </c>
      <c r="G371" s="6" t="str">
        <f>VLOOKUP(A371,WorldCups!$A$2:$B$23,2,FALSE)</f>
        <v>Mexico</v>
      </c>
      <c r="H371" s="1" t="s">
        <v>28</v>
      </c>
      <c r="I371" s="1">
        <v>1</v>
      </c>
      <c r="J371" s="1">
        <v>0</v>
      </c>
      <c r="K371" s="1" t="s">
        <v>280</v>
      </c>
      <c r="L371" s="1" t="s">
        <v>14</v>
      </c>
      <c r="M371" s="1" t="str">
        <f>IF(ISNUMBER(SEARCH("Group",Table2[[#This Row],[Round]])),"Group stages",Table2[[#This Row],[Round]])</f>
        <v>Group stages</v>
      </c>
      <c r="O371" s="1">
        <f>Table2[[#This Row],[Year]]</f>
        <v>1986</v>
      </c>
      <c r="P371" s="1" t="str">
        <f>INDEX(Table2[[HomeTeam]:[Group_details]],ROWS($N$2:N371),COLUMNS($N$2:N371))</f>
        <v>Paraguay</v>
      </c>
      <c r="Q371" s="1">
        <f>INDEX(Table2[[HomeTeam]:[Group_details]],ROWS($N$2:O371),COLUMNS($N$2:O371))</f>
        <v>1</v>
      </c>
      <c r="R371" s="1">
        <f>INDEX(Table2[[HomeTeam]:[Group_details]],ROWS($N$2:P371),COLUMNS($N$2:P371))</f>
        <v>0</v>
      </c>
      <c r="S371" s="1" t="str">
        <f>INDEX(Table2[[HomeTeam]:[Group_details]],ROWS($N$2:Q371),COLUMNS($N$2:Q371))</f>
        <v>Iraq</v>
      </c>
      <c r="T371" s="1" t="str">
        <f>INDEX(Table2[[HomeTeam]:[Group_details]],ROWS($N$2:R371),COLUMNS($N$2:R371))</f>
        <v xml:space="preserve"> </v>
      </c>
      <c r="U371" s="1" t="str">
        <f>INDEX(Table2[[HomeTeam]:[Group_details]],ROWS($N$2:S371),COLUMNS($N$2:S371))</f>
        <v>Group stages</v>
      </c>
      <c r="V371" s="1" t="b">
        <f t="shared" si="5"/>
        <v>0</v>
      </c>
      <c r="W371" s="1" t="str">
        <f>IF(V371=TRUE,ROWS($V$2:V371),"")</f>
        <v/>
      </c>
      <c r="X371" s="1" t="str">
        <f>IFERROR(SMALL($W$2:$W$853,ROWS($W$2:W371)),"")</f>
        <v/>
      </c>
      <c r="Y371" s="1" t="str">
        <f>IF($X371&lt;&gt;"",INDEX($P$2:$U$853,MATCH($X371,$W$2:$W$853,0),COLUMNS($X$2:X371)),"")</f>
        <v/>
      </c>
      <c r="Z371" s="1" t="str">
        <f>IF($X371&lt;&gt;"",INDEX($P$2:$U$853,MATCH($X371,$W$2:$W$853,0),COLUMNS($X$2:Y371)),"")</f>
        <v/>
      </c>
      <c r="AA371" s="1" t="str">
        <f>IF($X371&lt;&gt;"",INDEX($P$2:$U$853,MATCH($X371,$W$2:$W$853,0),COLUMNS($X$2:Z371)),"")</f>
        <v/>
      </c>
      <c r="AB371" s="1" t="str">
        <f>IF($X371&lt;&gt;"",INDEX($P$2:$U$853,MATCH($X371,$W$2:$W$853,0),COLUMNS($X$2:AA371)),"")</f>
        <v/>
      </c>
      <c r="AC371" s="1" t="str">
        <f>IF($X371&lt;&gt;"",INDEX($P$2:$U$853,MATCH($X371,$W$2:$W$853,0),COLUMNS($X$2:AB371)),"")</f>
        <v/>
      </c>
      <c r="AD371" s="1" t="str">
        <f>IF($X371&lt;&gt;"",INDEX($P$2:$U$853,MATCH($X371,$W$2:$W$853,0),COLUMNS($X$2:AC371)),"")</f>
        <v/>
      </c>
    </row>
    <row r="372" spans="1:30" x14ac:dyDescent="0.2">
      <c r="A372" s="1">
        <v>1986</v>
      </c>
      <c r="B372" s="2">
        <v>31567</v>
      </c>
      <c r="C372" s="1" t="s">
        <v>503</v>
      </c>
      <c r="D372" s="1" t="s">
        <v>281</v>
      </c>
      <c r="E372" s="1" t="s">
        <v>282</v>
      </c>
      <c r="F372" s="1" t="s">
        <v>283</v>
      </c>
      <c r="G372" s="6" t="str">
        <f>VLOOKUP(A372,WorldCups!$A$2:$B$23,2,FALSE)</f>
        <v>Mexico</v>
      </c>
      <c r="H372" s="1" t="s">
        <v>109</v>
      </c>
      <c r="I372" s="1">
        <v>0</v>
      </c>
      <c r="J372" s="1">
        <v>1</v>
      </c>
      <c r="K372" s="1" t="s">
        <v>284</v>
      </c>
      <c r="L372" s="1" t="s">
        <v>14</v>
      </c>
      <c r="M372" s="1" t="str">
        <f>IF(ISNUMBER(SEARCH("Group",Table2[[#This Row],[Round]])),"Group stages",Table2[[#This Row],[Round]])</f>
        <v>Group stages</v>
      </c>
      <c r="O372" s="1">
        <f>Table2[[#This Row],[Year]]</f>
        <v>1986</v>
      </c>
      <c r="P372" s="1" t="str">
        <f>INDEX(Table2[[HomeTeam]:[Group_details]],ROWS($N$2:N372),COLUMNS($N$2:N372))</f>
        <v>Scotland</v>
      </c>
      <c r="Q372" s="1">
        <f>INDEX(Table2[[HomeTeam]:[Group_details]],ROWS($N$2:O372),COLUMNS($N$2:O372))</f>
        <v>0</v>
      </c>
      <c r="R372" s="1">
        <f>INDEX(Table2[[HomeTeam]:[Group_details]],ROWS($N$2:P372),COLUMNS($N$2:P372))</f>
        <v>1</v>
      </c>
      <c r="S372" s="1" t="str">
        <f>INDEX(Table2[[HomeTeam]:[Group_details]],ROWS($N$2:Q372),COLUMNS($N$2:Q372))</f>
        <v>Denmark</v>
      </c>
      <c r="T372" s="1" t="str">
        <f>INDEX(Table2[[HomeTeam]:[Group_details]],ROWS($N$2:R372),COLUMNS($N$2:R372))</f>
        <v xml:space="preserve"> </v>
      </c>
      <c r="U372" s="1" t="str">
        <f>INDEX(Table2[[HomeTeam]:[Group_details]],ROWS($N$2:S372),COLUMNS($N$2:S372))</f>
        <v>Group stages</v>
      </c>
      <c r="V372" s="1" t="b">
        <f t="shared" si="5"/>
        <v>0</v>
      </c>
      <c r="W372" s="1" t="str">
        <f>IF(V372=TRUE,ROWS($V$2:V372),"")</f>
        <v/>
      </c>
      <c r="X372" s="1" t="str">
        <f>IFERROR(SMALL($W$2:$W$853,ROWS($W$2:W372)),"")</f>
        <v/>
      </c>
      <c r="Y372" s="1" t="str">
        <f>IF($X372&lt;&gt;"",INDEX($P$2:$U$853,MATCH($X372,$W$2:$W$853,0),COLUMNS($X$2:X372)),"")</f>
        <v/>
      </c>
      <c r="Z372" s="1" t="str">
        <f>IF($X372&lt;&gt;"",INDEX($P$2:$U$853,MATCH($X372,$W$2:$W$853,0),COLUMNS($X$2:Y372)),"")</f>
        <v/>
      </c>
      <c r="AA372" s="1" t="str">
        <f>IF($X372&lt;&gt;"",INDEX($P$2:$U$853,MATCH($X372,$W$2:$W$853,0),COLUMNS($X$2:Z372)),"")</f>
        <v/>
      </c>
      <c r="AB372" s="1" t="str">
        <f>IF($X372&lt;&gt;"",INDEX($P$2:$U$853,MATCH($X372,$W$2:$W$853,0),COLUMNS($X$2:AA372)),"")</f>
        <v/>
      </c>
      <c r="AC372" s="1" t="str">
        <f>IF($X372&lt;&gt;"",INDEX($P$2:$U$853,MATCH($X372,$W$2:$W$853,0),COLUMNS($X$2:AB372)),"")</f>
        <v/>
      </c>
      <c r="AD372" s="1" t="str">
        <f>IF($X372&lt;&gt;"",INDEX($P$2:$U$853,MATCH($X372,$W$2:$W$853,0),COLUMNS($X$2:AC372)),"")</f>
        <v/>
      </c>
    </row>
    <row r="373" spans="1:30" x14ac:dyDescent="0.2">
      <c r="A373" s="1">
        <v>1986</v>
      </c>
      <c r="B373" s="2">
        <v>31567</v>
      </c>
      <c r="C373" s="1" t="s">
        <v>523</v>
      </c>
      <c r="D373" s="1" t="s">
        <v>281</v>
      </c>
      <c r="E373" s="1" t="s">
        <v>285</v>
      </c>
      <c r="F373" s="1" t="s">
        <v>286</v>
      </c>
      <c r="G373" s="6" t="str">
        <f>VLOOKUP(A373,WorldCups!$A$2:$B$23,2,FALSE)</f>
        <v>Mexico</v>
      </c>
      <c r="H373" s="1" t="s">
        <v>30</v>
      </c>
      <c r="I373" s="1">
        <v>1</v>
      </c>
      <c r="J373" s="1">
        <v>1</v>
      </c>
      <c r="K373" s="1" t="s">
        <v>114</v>
      </c>
      <c r="L373" s="1" t="s">
        <v>14</v>
      </c>
      <c r="M373" s="1" t="str">
        <f>IF(ISNUMBER(SEARCH("Group",Table2[[#This Row],[Round]])),"Group stages",Table2[[#This Row],[Round]])</f>
        <v>Group stages</v>
      </c>
      <c r="O373" s="1">
        <f>Table2[[#This Row],[Year]]</f>
        <v>1986</v>
      </c>
      <c r="P373" s="1" t="str">
        <f>INDEX(Table2[[HomeTeam]:[Group_details]],ROWS($N$2:N373),COLUMNS($N$2:N373))</f>
        <v>Uruguay</v>
      </c>
      <c r="Q373" s="1">
        <f>INDEX(Table2[[HomeTeam]:[Group_details]],ROWS($N$2:O373),COLUMNS($N$2:O373))</f>
        <v>1</v>
      </c>
      <c r="R373" s="1">
        <f>INDEX(Table2[[HomeTeam]:[Group_details]],ROWS($N$2:P373),COLUMNS($N$2:P373))</f>
        <v>1</v>
      </c>
      <c r="S373" s="1" t="str">
        <f>INDEX(Table2[[HomeTeam]:[Group_details]],ROWS($N$2:Q373),COLUMNS($N$2:Q373))</f>
        <v>Germany FR</v>
      </c>
      <c r="T373" s="1" t="str">
        <f>INDEX(Table2[[HomeTeam]:[Group_details]],ROWS($N$2:R373),COLUMNS($N$2:R373))</f>
        <v xml:space="preserve"> </v>
      </c>
      <c r="U373" s="1" t="str">
        <f>INDEX(Table2[[HomeTeam]:[Group_details]],ROWS($N$2:S373),COLUMNS($N$2:S373))</f>
        <v>Group stages</v>
      </c>
      <c r="V373" s="1" t="b">
        <f t="shared" si="5"/>
        <v>0</v>
      </c>
      <c r="W373" s="1" t="str">
        <f>IF(V373=TRUE,ROWS($V$2:V373),"")</f>
        <v/>
      </c>
      <c r="X373" s="1" t="str">
        <f>IFERROR(SMALL($W$2:$W$853,ROWS($W$2:W373)),"")</f>
        <v/>
      </c>
      <c r="Y373" s="1" t="str">
        <f>IF($X373&lt;&gt;"",INDEX($P$2:$U$853,MATCH($X373,$W$2:$W$853,0),COLUMNS($X$2:X373)),"")</f>
        <v/>
      </c>
      <c r="Z373" s="1" t="str">
        <f>IF($X373&lt;&gt;"",INDEX($P$2:$U$853,MATCH($X373,$W$2:$W$853,0),COLUMNS($X$2:Y373)),"")</f>
        <v/>
      </c>
      <c r="AA373" s="1" t="str">
        <f>IF($X373&lt;&gt;"",INDEX($P$2:$U$853,MATCH($X373,$W$2:$W$853,0),COLUMNS($X$2:Z373)),"")</f>
        <v/>
      </c>
      <c r="AB373" s="1" t="str">
        <f>IF($X373&lt;&gt;"",INDEX($P$2:$U$853,MATCH($X373,$W$2:$W$853,0),COLUMNS($X$2:AA373)),"")</f>
        <v/>
      </c>
      <c r="AC373" s="1" t="str">
        <f>IF($X373&lt;&gt;"",INDEX($P$2:$U$853,MATCH($X373,$W$2:$W$853,0),COLUMNS($X$2:AB373)),"")</f>
        <v/>
      </c>
      <c r="AD373" s="1" t="str">
        <f>IF($X373&lt;&gt;"",INDEX($P$2:$U$853,MATCH($X373,$W$2:$W$853,0),COLUMNS($X$2:AC373)),"")</f>
        <v/>
      </c>
    </row>
    <row r="374" spans="1:30" x14ac:dyDescent="0.2">
      <c r="A374" s="1">
        <v>1986</v>
      </c>
      <c r="B374" s="2">
        <v>31568</v>
      </c>
      <c r="C374" s="1" t="s">
        <v>523</v>
      </c>
      <c r="D374" s="1" t="s">
        <v>214</v>
      </c>
      <c r="E374" s="1" t="s">
        <v>179</v>
      </c>
      <c r="F374" s="1" t="s">
        <v>180</v>
      </c>
      <c r="G374" s="6" t="str">
        <f>VLOOKUP(A374,WorldCups!$A$2:$B$23,2,FALSE)</f>
        <v>Mexico</v>
      </c>
      <c r="H374" s="1" t="s">
        <v>57</v>
      </c>
      <c r="I374" s="1">
        <v>1</v>
      </c>
      <c r="J374" s="1">
        <v>1</v>
      </c>
      <c r="K374" s="1" t="s">
        <v>25</v>
      </c>
      <c r="L374" s="1" t="s">
        <v>14</v>
      </c>
      <c r="M374" s="1" t="str">
        <f>IF(ISNUMBER(SEARCH("Group",Table2[[#This Row],[Round]])),"Group stages",Table2[[#This Row],[Round]])</f>
        <v>Group stages</v>
      </c>
      <c r="O374" s="1">
        <f>Table2[[#This Row],[Year]]</f>
        <v>1986</v>
      </c>
      <c r="P374" s="1" t="str">
        <f>INDEX(Table2[[HomeTeam]:[Group_details]],ROWS($N$2:N374),COLUMNS($N$2:N374))</f>
        <v>Italy</v>
      </c>
      <c r="Q374" s="1">
        <f>INDEX(Table2[[HomeTeam]:[Group_details]],ROWS($N$2:O374),COLUMNS($N$2:O374))</f>
        <v>1</v>
      </c>
      <c r="R374" s="1">
        <f>INDEX(Table2[[HomeTeam]:[Group_details]],ROWS($N$2:P374),COLUMNS($N$2:P374))</f>
        <v>1</v>
      </c>
      <c r="S374" s="1" t="str">
        <f>INDEX(Table2[[HomeTeam]:[Group_details]],ROWS($N$2:Q374),COLUMNS($N$2:Q374))</f>
        <v>Argentina</v>
      </c>
      <c r="T374" s="1" t="str">
        <f>INDEX(Table2[[HomeTeam]:[Group_details]],ROWS($N$2:R374),COLUMNS($N$2:R374))</f>
        <v xml:space="preserve"> </v>
      </c>
      <c r="U374" s="1" t="str">
        <f>INDEX(Table2[[HomeTeam]:[Group_details]],ROWS($N$2:S374),COLUMNS($N$2:S374))</f>
        <v>Group stages</v>
      </c>
      <c r="V374" s="1" t="b">
        <f t="shared" si="5"/>
        <v>0</v>
      </c>
      <c r="W374" s="1" t="str">
        <f>IF(V374=TRUE,ROWS($V$2:V374),"")</f>
        <v/>
      </c>
      <c r="X374" s="1" t="str">
        <f>IFERROR(SMALL($W$2:$W$853,ROWS($W$2:W374)),"")</f>
        <v/>
      </c>
      <c r="Y374" s="1" t="str">
        <f>IF($X374&lt;&gt;"",INDEX($P$2:$U$853,MATCH($X374,$W$2:$W$853,0),COLUMNS($X$2:X374)),"")</f>
        <v/>
      </c>
      <c r="Z374" s="1" t="str">
        <f>IF($X374&lt;&gt;"",INDEX($P$2:$U$853,MATCH($X374,$W$2:$W$853,0),COLUMNS($X$2:Y374)),"")</f>
        <v/>
      </c>
      <c r="AA374" s="1" t="str">
        <f>IF($X374&lt;&gt;"",INDEX($P$2:$U$853,MATCH($X374,$W$2:$W$853,0),COLUMNS($X$2:Z374)),"")</f>
        <v/>
      </c>
      <c r="AB374" s="1" t="str">
        <f>IF($X374&lt;&gt;"",INDEX($P$2:$U$853,MATCH($X374,$W$2:$W$853,0),COLUMNS($X$2:AA374)),"")</f>
        <v/>
      </c>
      <c r="AC374" s="1" t="str">
        <f>IF($X374&lt;&gt;"",INDEX($P$2:$U$853,MATCH($X374,$W$2:$W$853,0),COLUMNS($X$2:AB374)),"")</f>
        <v/>
      </c>
      <c r="AD374" s="1" t="str">
        <f>IF($X374&lt;&gt;"",INDEX($P$2:$U$853,MATCH($X374,$W$2:$W$853,0),COLUMNS($X$2:AC374)),"")</f>
        <v/>
      </c>
    </row>
    <row r="375" spans="1:30" x14ac:dyDescent="0.2">
      <c r="A375" s="1">
        <v>1986</v>
      </c>
      <c r="B375" s="2">
        <v>31568</v>
      </c>
      <c r="C375" s="1" t="s">
        <v>523</v>
      </c>
      <c r="D375" s="1" t="s">
        <v>268</v>
      </c>
      <c r="E375" s="1" t="s">
        <v>182</v>
      </c>
      <c r="F375" s="1" t="s">
        <v>183</v>
      </c>
      <c r="G375" s="6" t="str">
        <f>VLOOKUP(A375,WorldCups!$A$2:$B$23,2,FALSE)</f>
        <v>Mexico</v>
      </c>
      <c r="H375" s="1" t="s">
        <v>12</v>
      </c>
      <c r="I375" s="1">
        <v>1</v>
      </c>
      <c r="J375" s="1">
        <v>1</v>
      </c>
      <c r="K375" s="1" t="s">
        <v>126</v>
      </c>
      <c r="L375" s="1" t="s">
        <v>14</v>
      </c>
      <c r="M375" s="1" t="str">
        <f>IF(ISNUMBER(SEARCH("Group",Table2[[#This Row],[Round]])),"Group stages",Table2[[#This Row],[Round]])</f>
        <v>Group stages</v>
      </c>
      <c r="O375" s="1">
        <f>Table2[[#This Row],[Year]]</f>
        <v>1986</v>
      </c>
      <c r="P375" s="1" t="str">
        <f>INDEX(Table2[[HomeTeam]:[Group_details]],ROWS($N$2:N375),COLUMNS($N$2:N375))</f>
        <v>France</v>
      </c>
      <c r="Q375" s="1">
        <f>INDEX(Table2[[HomeTeam]:[Group_details]],ROWS($N$2:O375),COLUMNS($N$2:O375))</f>
        <v>1</v>
      </c>
      <c r="R375" s="1">
        <f>INDEX(Table2[[HomeTeam]:[Group_details]],ROWS($N$2:P375),COLUMNS($N$2:P375))</f>
        <v>1</v>
      </c>
      <c r="S375" s="1" t="str">
        <f>INDEX(Table2[[HomeTeam]:[Group_details]],ROWS($N$2:Q375),COLUMNS($N$2:Q375))</f>
        <v>Soviet Union</v>
      </c>
      <c r="T375" s="1" t="str">
        <f>INDEX(Table2[[HomeTeam]:[Group_details]],ROWS($N$2:R375),COLUMNS($N$2:R375))</f>
        <v xml:space="preserve"> </v>
      </c>
      <c r="U375" s="1" t="str">
        <f>INDEX(Table2[[HomeTeam]:[Group_details]],ROWS($N$2:S375),COLUMNS($N$2:S375))</f>
        <v>Group stages</v>
      </c>
      <c r="V375" s="1" t="b">
        <f t="shared" si="5"/>
        <v>0</v>
      </c>
      <c r="W375" s="1" t="str">
        <f>IF(V375=TRUE,ROWS($V$2:V375),"")</f>
        <v/>
      </c>
      <c r="X375" s="1" t="str">
        <f>IFERROR(SMALL($W$2:$W$853,ROWS($W$2:W375)),"")</f>
        <v/>
      </c>
      <c r="Y375" s="1" t="str">
        <f>IF($X375&lt;&gt;"",INDEX($P$2:$U$853,MATCH($X375,$W$2:$W$853,0),COLUMNS($X$2:X375)),"")</f>
        <v/>
      </c>
      <c r="Z375" s="1" t="str">
        <f>IF($X375&lt;&gt;"",INDEX($P$2:$U$853,MATCH($X375,$W$2:$W$853,0),COLUMNS($X$2:Y375)),"")</f>
        <v/>
      </c>
      <c r="AA375" s="1" t="str">
        <f>IF($X375&lt;&gt;"",INDEX($P$2:$U$853,MATCH($X375,$W$2:$W$853,0),COLUMNS($X$2:Z375)),"")</f>
        <v/>
      </c>
      <c r="AB375" s="1" t="str">
        <f>IF($X375&lt;&gt;"",INDEX($P$2:$U$853,MATCH($X375,$W$2:$W$853,0),COLUMNS($X$2:AA375)),"")</f>
        <v/>
      </c>
      <c r="AC375" s="1" t="str">
        <f>IF($X375&lt;&gt;"",INDEX($P$2:$U$853,MATCH($X375,$W$2:$W$853,0),COLUMNS($X$2:AB375)),"")</f>
        <v/>
      </c>
      <c r="AD375" s="1" t="str">
        <f>IF($X375&lt;&gt;"",INDEX($P$2:$U$853,MATCH($X375,$W$2:$W$853,0),COLUMNS($X$2:AC375)),"")</f>
        <v/>
      </c>
    </row>
    <row r="376" spans="1:30" x14ac:dyDescent="0.2">
      <c r="A376" s="1">
        <v>1986</v>
      </c>
      <c r="B376" s="2">
        <v>31568</v>
      </c>
      <c r="C376" s="1" t="s">
        <v>503</v>
      </c>
      <c r="D376" s="1" t="s">
        <v>214</v>
      </c>
      <c r="E376" s="1" t="s">
        <v>273</v>
      </c>
      <c r="F376" s="1" t="s">
        <v>178</v>
      </c>
      <c r="G376" s="6" t="str">
        <f>VLOOKUP(A376,WorldCups!$A$2:$B$23,2,FALSE)</f>
        <v>Mexico</v>
      </c>
      <c r="H376" s="1" t="s">
        <v>116</v>
      </c>
      <c r="I376" s="1">
        <v>1</v>
      </c>
      <c r="J376" s="1">
        <v>1</v>
      </c>
      <c r="K376" s="1" t="s">
        <v>156</v>
      </c>
      <c r="L376" s="1" t="s">
        <v>14</v>
      </c>
      <c r="M376" s="1" t="str">
        <f>IF(ISNUMBER(SEARCH("Group",Table2[[#This Row],[Round]])),"Group stages",Table2[[#This Row],[Round]])</f>
        <v>Group stages</v>
      </c>
      <c r="O376" s="1">
        <f>Table2[[#This Row],[Year]]</f>
        <v>1986</v>
      </c>
      <c r="P376" s="1" t="str">
        <f>INDEX(Table2[[HomeTeam]:[Group_details]],ROWS($N$2:N376),COLUMNS($N$2:N376))</f>
        <v>Korea Republic</v>
      </c>
      <c r="Q376" s="1">
        <f>INDEX(Table2[[HomeTeam]:[Group_details]],ROWS($N$2:O376),COLUMNS($N$2:O376))</f>
        <v>1</v>
      </c>
      <c r="R376" s="1">
        <f>INDEX(Table2[[HomeTeam]:[Group_details]],ROWS($N$2:P376),COLUMNS($N$2:P376))</f>
        <v>1</v>
      </c>
      <c r="S376" s="1" t="str">
        <f>INDEX(Table2[[HomeTeam]:[Group_details]],ROWS($N$2:Q376),COLUMNS($N$2:Q376))</f>
        <v>Bulgaria</v>
      </c>
      <c r="T376" s="1" t="str">
        <f>INDEX(Table2[[HomeTeam]:[Group_details]],ROWS($N$2:R376),COLUMNS($N$2:R376))</f>
        <v xml:space="preserve"> </v>
      </c>
      <c r="U376" s="1" t="str">
        <f>INDEX(Table2[[HomeTeam]:[Group_details]],ROWS($N$2:S376),COLUMNS($N$2:S376))</f>
        <v>Group stages</v>
      </c>
      <c r="V376" s="1" t="b">
        <f t="shared" si="5"/>
        <v>0</v>
      </c>
      <c r="W376" s="1" t="str">
        <f>IF(V376=TRUE,ROWS($V$2:V376),"")</f>
        <v/>
      </c>
      <c r="X376" s="1" t="str">
        <f>IFERROR(SMALL($W$2:$W$853,ROWS($W$2:W376)),"")</f>
        <v/>
      </c>
      <c r="Y376" s="1" t="str">
        <f>IF($X376&lt;&gt;"",INDEX($P$2:$U$853,MATCH($X376,$W$2:$W$853,0),COLUMNS($X$2:X376)),"")</f>
        <v/>
      </c>
      <c r="Z376" s="1" t="str">
        <f>IF($X376&lt;&gt;"",INDEX($P$2:$U$853,MATCH($X376,$W$2:$W$853,0),COLUMNS($X$2:Y376)),"")</f>
        <v/>
      </c>
      <c r="AA376" s="1" t="str">
        <f>IF($X376&lt;&gt;"",INDEX($P$2:$U$853,MATCH($X376,$W$2:$W$853,0),COLUMNS($X$2:Z376)),"")</f>
        <v/>
      </c>
      <c r="AB376" s="1" t="str">
        <f>IF($X376&lt;&gt;"",INDEX($P$2:$U$853,MATCH($X376,$W$2:$W$853,0),COLUMNS($X$2:AA376)),"")</f>
        <v/>
      </c>
      <c r="AC376" s="1" t="str">
        <f>IF($X376&lt;&gt;"",INDEX($P$2:$U$853,MATCH($X376,$W$2:$W$853,0),COLUMNS($X$2:AB376)),"")</f>
        <v/>
      </c>
      <c r="AD376" s="1" t="str">
        <f>IF($X376&lt;&gt;"",INDEX($P$2:$U$853,MATCH($X376,$W$2:$W$853,0),COLUMNS($X$2:AC376)),"")</f>
        <v/>
      </c>
    </row>
    <row r="377" spans="1:30" x14ac:dyDescent="0.2">
      <c r="A377" s="1">
        <v>1986</v>
      </c>
      <c r="B377" s="2">
        <v>31569</v>
      </c>
      <c r="C377" s="1" t="s">
        <v>523</v>
      </c>
      <c r="D377" s="1" t="s">
        <v>268</v>
      </c>
      <c r="E377" s="1" t="s">
        <v>271</v>
      </c>
      <c r="F377" s="1" t="s">
        <v>272</v>
      </c>
      <c r="G377" s="6" t="str">
        <f>VLOOKUP(A377,WorldCups!$A$2:$B$23,2,FALSE)</f>
        <v>Mexico</v>
      </c>
      <c r="H377" s="1" t="s">
        <v>40</v>
      </c>
      <c r="I377" s="1">
        <v>2</v>
      </c>
      <c r="J377" s="1">
        <v>0</v>
      </c>
      <c r="K377" s="1" t="s">
        <v>269</v>
      </c>
      <c r="L377" s="1" t="s">
        <v>14</v>
      </c>
      <c r="M377" s="1" t="str">
        <f>IF(ISNUMBER(SEARCH("Group",Table2[[#This Row],[Round]])),"Group stages",Table2[[#This Row],[Round]])</f>
        <v>Group stages</v>
      </c>
      <c r="O377" s="1">
        <f>Table2[[#This Row],[Year]]</f>
        <v>1986</v>
      </c>
      <c r="P377" s="1" t="str">
        <f>INDEX(Table2[[HomeTeam]:[Group_details]],ROWS($N$2:N377),COLUMNS($N$2:N377))</f>
        <v>Hungary</v>
      </c>
      <c r="Q377" s="1">
        <f>INDEX(Table2[[HomeTeam]:[Group_details]],ROWS($N$2:O377),COLUMNS($N$2:O377))</f>
        <v>2</v>
      </c>
      <c r="R377" s="1">
        <f>INDEX(Table2[[HomeTeam]:[Group_details]],ROWS($N$2:P377),COLUMNS($N$2:P377))</f>
        <v>0</v>
      </c>
      <c r="S377" s="1" t="str">
        <f>INDEX(Table2[[HomeTeam]:[Group_details]],ROWS($N$2:Q377),COLUMNS($N$2:Q377))</f>
        <v>Canada</v>
      </c>
      <c r="T377" s="1" t="str">
        <f>INDEX(Table2[[HomeTeam]:[Group_details]],ROWS($N$2:R377),COLUMNS($N$2:R377))</f>
        <v xml:space="preserve"> </v>
      </c>
      <c r="U377" s="1" t="str">
        <f>INDEX(Table2[[HomeTeam]:[Group_details]],ROWS($N$2:S377),COLUMNS($N$2:S377))</f>
        <v>Group stages</v>
      </c>
      <c r="V377" s="1" t="b">
        <f t="shared" si="5"/>
        <v>0</v>
      </c>
      <c r="W377" s="1" t="str">
        <f>IF(V377=TRUE,ROWS($V$2:V377),"")</f>
        <v/>
      </c>
      <c r="X377" s="1" t="str">
        <f>IFERROR(SMALL($W$2:$W$853,ROWS($W$2:W377)),"")</f>
        <v/>
      </c>
      <c r="Y377" s="1" t="str">
        <f>IF($X377&lt;&gt;"",INDEX($P$2:$U$853,MATCH($X377,$W$2:$W$853,0),COLUMNS($X$2:X377)),"")</f>
        <v/>
      </c>
      <c r="Z377" s="1" t="str">
        <f>IF($X377&lt;&gt;"",INDEX($P$2:$U$853,MATCH($X377,$W$2:$W$853,0),COLUMNS($X$2:Y377)),"")</f>
        <v/>
      </c>
      <c r="AA377" s="1" t="str">
        <f>IF($X377&lt;&gt;"",INDEX($P$2:$U$853,MATCH($X377,$W$2:$W$853,0),COLUMNS($X$2:Z377)),"")</f>
        <v/>
      </c>
      <c r="AB377" s="1" t="str">
        <f>IF($X377&lt;&gt;"",INDEX($P$2:$U$853,MATCH($X377,$W$2:$W$853,0),COLUMNS($X$2:AA377)),"")</f>
        <v/>
      </c>
      <c r="AC377" s="1" t="str">
        <f>IF($X377&lt;&gt;"",INDEX($P$2:$U$853,MATCH($X377,$W$2:$W$853,0),COLUMNS($X$2:AB377)),"")</f>
        <v/>
      </c>
      <c r="AD377" s="1" t="str">
        <f>IF($X377&lt;&gt;"",INDEX($P$2:$U$853,MATCH($X377,$W$2:$W$853,0),COLUMNS($X$2:AC377)),"")</f>
        <v/>
      </c>
    </row>
    <row r="378" spans="1:30" x14ac:dyDescent="0.2">
      <c r="A378" s="1">
        <v>1986</v>
      </c>
      <c r="B378" s="2">
        <v>31569</v>
      </c>
      <c r="C378" s="1" t="s">
        <v>523</v>
      </c>
      <c r="D378" s="1" t="s">
        <v>270</v>
      </c>
      <c r="E378" s="1" t="s">
        <v>184</v>
      </c>
      <c r="F378" s="1" t="s">
        <v>185</v>
      </c>
      <c r="G378" s="6" t="str">
        <f>VLOOKUP(A378,WorldCups!$A$2:$B$23,2,FALSE)</f>
        <v>Mexico</v>
      </c>
      <c r="H378" s="1" t="s">
        <v>21</v>
      </c>
      <c r="I378" s="1">
        <v>1</v>
      </c>
      <c r="J378" s="1">
        <v>0</v>
      </c>
      <c r="K378" s="1" t="s">
        <v>246</v>
      </c>
      <c r="L378" s="1" t="s">
        <v>14</v>
      </c>
      <c r="M378" s="1" t="str">
        <f>IF(ISNUMBER(SEARCH("Group",Table2[[#This Row],[Round]])),"Group stages",Table2[[#This Row],[Round]])</f>
        <v>Group stages</v>
      </c>
      <c r="O378" s="1">
        <f>Table2[[#This Row],[Year]]</f>
        <v>1986</v>
      </c>
      <c r="P378" s="1" t="str">
        <f>INDEX(Table2[[HomeTeam]:[Group_details]],ROWS($N$2:N378),COLUMNS($N$2:N378))</f>
        <v>Brazil</v>
      </c>
      <c r="Q378" s="1">
        <f>INDEX(Table2[[HomeTeam]:[Group_details]],ROWS($N$2:O378),COLUMNS($N$2:O378))</f>
        <v>1</v>
      </c>
      <c r="R378" s="1">
        <f>INDEX(Table2[[HomeTeam]:[Group_details]],ROWS($N$2:P378),COLUMNS($N$2:P378))</f>
        <v>0</v>
      </c>
      <c r="S378" s="1" t="str">
        <f>INDEX(Table2[[HomeTeam]:[Group_details]],ROWS($N$2:Q378),COLUMNS($N$2:Q378))</f>
        <v>Algeria</v>
      </c>
      <c r="T378" s="1" t="str">
        <f>INDEX(Table2[[HomeTeam]:[Group_details]],ROWS($N$2:R378),COLUMNS($N$2:R378))</f>
        <v xml:space="preserve"> </v>
      </c>
      <c r="U378" s="1" t="str">
        <f>INDEX(Table2[[HomeTeam]:[Group_details]],ROWS($N$2:S378),COLUMNS($N$2:S378))</f>
        <v>Group stages</v>
      </c>
      <c r="V378" s="1" t="b">
        <f t="shared" si="5"/>
        <v>0</v>
      </c>
      <c r="W378" s="1" t="str">
        <f>IF(V378=TRUE,ROWS($V$2:V378),"")</f>
        <v/>
      </c>
      <c r="X378" s="1" t="str">
        <f>IFERROR(SMALL($W$2:$W$853,ROWS($W$2:W378)),"")</f>
        <v/>
      </c>
      <c r="Y378" s="1" t="str">
        <f>IF($X378&lt;&gt;"",INDEX($P$2:$U$853,MATCH($X378,$W$2:$W$853,0),COLUMNS($X$2:X378)),"")</f>
        <v/>
      </c>
      <c r="Z378" s="1" t="str">
        <f>IF($X378&lt;&gt;"",INDEX($P$2:$U$853,MATCH($X378,$W$2:$W$853,0),COLUMNS($X$2:Y378)),"")</f>
        <v/>
      </c>
      <c r="AA378" s="1" t="str">
        <f>IF($X378&lt;&gt;"",INDEX($P$2:$U$853,MATCH($X378,$W$2:$W$853,0),COLUMNS($X$2:Z378)),"")</f>
        <v/>
      </c>
      <c r="AB378" s="1" t="str">
        <f>IF($X378&lt;&gt;"",INDEX($P$2:$U$853,MATCH($X378,$W$2:$W$853,0),COLUMNS($X$2:AA378)),"")</f>
        <v/>
      </c>
      <c r="AC378" s="1" t="str">
        <f>IF($X378&lt;&gt;"",INDEX($P$2:$U$853,MATCH($X378,$W$2:$W$853,0),COLUMNS($X$2:AB378)),"")</f>
        <v/>
      </c>
      <c r="AD378" s="1" t="str">
        <f>IF($X378&lt;&gt;"",INDEX($P$2:$U$853,MATCH($X378,$W$2:$W$853,0),COLUMNS($X$2:AC378)),"")</f>
        <v/>
      </c>
    </row>
    <row r="379" spans="1:30" x14ac:dyDescent="0.2">
      <c r="A379" s="1">
        <v>1986</v>
      </c>
      <c r="B379" s="2">
        <v>31569</v>
      </c>
      <c r="C379" s="1" t="s">
        <v>503</v>
      </c>
      <c r="D379" s="1" t="s">
        <v>274</v>
      </c>
      <c r="E379" s="1" t="s">
        <v>278</v>
      </c>
      <c r="F379" s="1" t="s">
        <v>276</v>
      </c>
      <c r="G379" s="6" t="str">
        <f>VLOOKUP(A379,WorldCups!$A$2:$B$23,2,FALSE)</f>
        <v>Mexico</v>
      </c>
      <c r="H379" s="1" t="s">
        <v>93</v>
      </c>
      <c r="I379" s="1">
        <v>0</v>
      </c>
      <c r="J379" s="1">
        <v>0</v>
      </c>
      <c r="K379" s="1" t="s">
        <v>188</v>
      </c>
      <c r="L379" s="1" t="s">
        <v>14</v>
      </c>
      <c r="M379" s="1" t="str">
        <f>IF(ISNUMBER(SEARCH("Group",Table2[[#This Row],[Round]])),"Group stages",Table2[[#This Row],[Round]])</f>
        <v>Group stages</v>
      </c>
      <c r="O379" s="1">
        <f>Table2[[#This Row],[Year]]</f>
        <v>1986</v>
      </c>
      <c r="P379" s="1" t="str">
        <f>INDEX(Table2[[HomeTeam]:[Group_details]],ROWS($N$2:N379),COLUMNS($N$2:N379))</f>
        <v>England</v>
      </c>
      <c r="Q379" s="1">
        <f>INDEX(Table2[[HomeTeam]:[Group_details]],ROWS($N$2:O379),COLUMNS($N$2:O379))</f>
        <v>0</v>
      </c>
      <c r="R379" s="1">
        <f>INDEX(Table2[[HomeTeam]:[Group_details]],ROWS($N$2:P379),COLUMNS($N$2:P379))</f>
        <v>0</v>
      </c>
      <c r="S379" s="1" t="str">
        <f>INDEX(Table2[[HomeTeam]:[Group_details]],ROWS($N$2:Q379),COLUMNS($N$2:Q379))</f>
        <v>Morocco</v>
      </c>
      <c r="T379" s="1" t="str">
        <f>INDEX(Table2[[HomeTeam]:[Group_details]],ROWS($N$2:R379),COLUMNS($N$2:R379))</f>
        <v xml:space="preserve"> </v>
      </c>
      <c r="U379" s="1" t="str">
        <f>INDEX(Table2[[HomeTeam]:[Group_details]],ROWS($N$2:S379),COLUMNS($N$2:S379))</f>
        <v>Group stages</v>
      </c>
      <c r="V379" s="1" t="b">
        <f t="shared" si="5"/>
        <v>0</v>
      </c>
      <c r="W379" s="1" t="str">
        <f>IF(V379=TRUE,ROWS($V$2:V379),"")</f>
        <v/>
      </c>
      <c r="X379" s="1" t="str">
        <f>IFERROR(SMALL($W$2:$W$853,ROWS($W$2:W379)),"")</f>
        <v/>
      </c>
      <c r="Y379" s="1" t="str">
        <f>IF($X379&lt;&gt;"",INDEX($P$2:$U$853,MATCH($X379,$W$2:$W$853,0),COLUMNS($X$2:X379)),"")</f>
        <v/>
      </c>
      <c r="Z379" s="1" t="str">
        <f>IF($X379&lt;&gt;"",INDEX($P$2:$U$853,MATCH($X379,$W$2:$W$853,0),COLUMNS($X$2:Y379)),"")</f>
        <v/>
      </c>
      <c r="AA379" s="1" t="str">
        <f>IF($X379&lt;&gt;"",INDEX($P$2:$U$853,MATCH($X379,$W$2:$W$853,0),COLUMNS($X$2:Z379)),"")</f>
        <v/>
      </c>
      <c r="AB379" s="1" t="str">
        <f>IF($X379&lt;&gt;"",INDEX($P$2:$U$853,MATCH($X379,$W$2:$W$853,0),COLUMNS($X$2:AA379)),"")</f>
        <v/>
      </c>
      <c r="AC379" s="1" t="str">
        <f>IF($X379&lt;&gt;"",INDEX($P$2:$U$853,MATCH($X379,$W$2:$W$853,0),COLUMNS($X$2:AB379)),"")</f>
        <v/>
      </c>
      <c r="AD379" s="1" t="str">
        <f>IF($X379&lt;&gt;"",INDEX($P$2:$U$853,MATCH($X379,$W$2:$W$853,0),COLUMNS($X$2:AC379)),"")</f>
        <v/>
      </c>
    </row>
    <row r="380" spans="1:30" x14ac:dyDescent="0.2">
      <c r="A380" s="1">
        <v>1986</v>
      </c>
      <c r="B380" s="2">
        <v>31570</v>
      </c>
      <c r="C380" s="1" t="s">
        <v>523</v>
      </c>
      <c r="D380" s="1" t="s">
        <v>270</v>
      </c>
      <c r="E380" s="1" t="s">
        <v>277</v>
      </c>
      <c r="F380" s="1" t="s">
        <v>185</v>
      </c>
      <c r="G380" s="6" t="str">
        <f>VLOOKUP(A380,WorldCups!$A$2:$B$23,2,FALSE)</f>
        <v>Mexico</v>
      </c>
      <c r="H380" s="1" t="s">
        <v>537</v>
      </c>
      <c r="I380" s="1">
        <v>1</v>
      </c>
      <c r="J380" s="1">
        <v>2</v>
      </c>
      <c r="K380" s="1" t="s">
        <v>54</v>
      </c>
      <c r="L380" s="1" t="s">
        <v>14</v>
      </c>
      <c r="M380" s="1" t="str">
        <f>IF(ISNUMBER(SEARCH("Group",Table2[[#This Row],[Round]])),"Group stages",Table2[[#This Row],[Round]])</f>
        <v>Group stages</v>
      </c>
      <c r="O380" s="1">
        <f>Table2[[#This Row],[Year]]</f>
        <v>1986</v>
      </c>
      <c r="P380" s="1" t="str">
        <f>INDEX(Table2[[HomeTeam]:[Group_details]],ROWS($N$2:N380),COLUMNS($N$2:N380))</f>
        <v>Northern Ireland</v>
      </c>
      <c r="Q380" s="1">
        <f>INDEX(Table2[[HomeTeam]:[Group_details]],ROWS($N$2:O380),COLUMNS($N$2:O380))</f>
        <v>1</v>
      </c>
      <c r="R380" s="1">
        <f>INDEX(Table2[[HomeTeam]:[Group_details]],ROWS($N$2:P380),COLUMNS($N$2:P380))</f>
        <v>2</v>
      </c>
      <c r="S380" s="1" t="str">
        <f>INDEX(Table2[[HomeTeam]:[Group_details]],ROWS($N$2:Q380),COLUMNS($N$2:Q380))</f>
        <v>Spain</v>
      </c>
      <c r="T380" s="1" t="str">
        <f>INDEX(Table2[[HomeTeam]:[Group_details]],ROWS($N$2:R380),COLUMNS($N$2:R380))</f>
        <v xml:space="preserve"> </v>
      </c>
      <c r="U380" s="1" t="str">
        <f>INDEX(Table2[[HomeTeam]:[Group_details]],ROWS($N$2:S380),COLUMNS($N$2:S380))</f>
        <v>Group stages</v>
      </c>
      <c r="V380" s="1" t="b">
        <f t="shared" si="5"/>
        <v>0</v>
      </c>
      <c r="W380" s="1" t="str">
        <f>IF(V380=TRUE,ROWS($V$2:V380),"")</f>
        <v/>
      </c>
      <c r="X380" s="1" t="str">
        <f>IFERROR(SMALL($W$2:$W$853,ROWS($W$2:W380)),"")</f>
        <v/>
      </c>
      <c r="Y380" s="1" t="str">
        <f>IF($X380&lt;&gt;"",INDEX($P$2:$U$853,MATCH($X380,$W$2:$W$853,0),COLUMNS($X$2:X380)),"")</f>
        <v/>
      </c>
      <c r="Z380" s="1" t="str">
        <f>IF($X380&lt;&gt;"",INDEX($P$2:$U$853,MATCH($X380,$W$2:$W$853,0),COLUMNS($X$2:Y380)),"")</f>
        <v/>
      </c>
      <c r="AA380" s="1" t="str">
        <f>IF($X380&lt;&gt;"",INDEX($P$2:$U$853,MATCH($X380,$W$2:$W$853,0),COLUMNS($X$2:Z380)),"")</f>
        <v/>
      </c>
      <c r="AB380" s="1" t="str">
        <f>IF($X380&lt;&gt;"",INDEX($P$2:$U$853,MATCH($X380,$W$2:$W$853,0),COLUMNS($X$2:AA380)),"")</f>
        <v/>
      </c>
      <c r="AC380" s="1" t="str">
        <f>IF($X380&lt;&gt;"",INDEX($P$2:$U$853,MATCH($X380,$W$2:$W$853,0),COLUMNS($X$2:AB380)),"")</f>
        <v/>
      </c>
      <c r="AD380" s="1" t="str">
        <f>IF($X380&lt;&gt;"",INDEX($P$2:$U$853,MATCH($X380,$W$2:$W$853,0),COLUMNS($X$2:AC380)),"")</f>
        <v/>
      </c>
    </row>
    <row r="381" spans="1:30" x14ac:dyDescent="0.2">
      <c r="A381" s="1">
        <v>1986</v>
      </c>
      <c r="B381" s="2">
        <v>31570</v>
      </c>
      <c r="C381" s="1" t="s">
        <v>523</v>
      </c>
      <c r="D381" s="1" t="s">
        <v>213</v>
      </c>
      <c r="E381" s="1" t="s">
        <v>177</v>
      </c>
      <c r="F381" s="1" t="s">
        <v>178</v>
      </c>
      <c r="G381" s="6" t="str">
        <f>VLOOKUP(A381,WorldCups!$A$2:$B$23,2,FALSE)</f>
        <v>Mexico</v>
      </c>
      <c r="H381" s="1" t="s">
        <v>13</v>
      </c>
      <c r="I381" s="1">
        <v>1</v>
      </c>
      <c r="J381" s="1">
        <v>1</v>
      </c>
      <c r="K381" s="1" t="s">
        <v>28</v>
      </c>
      <c r="L381" s="1" t="s">
        <v>14</v>
      </c>
      <c r="M381" s="1" t="str">
        <f>IF(ISNUMBER(SEARCH("Group",Table2[[#This Row],[Round]])),"Group stages",Table2[[#This Row],[Round]])</f>
        <v>Group stages</v>
      </c>
      <c r="O381" s="1">
        <f>Table2[[#This Row],[Year]]</f>
        <v>1986</v>
      </c>
      <c r="P381" s="1" t="str">
        <f>INDEX(Table2[[HomeTeam]:[Group_details]],ROWS($N$2:N381),COLUMNS($N$2:N381))</f>
        <v>Mexico</v>
      </c>
      <c r="Q381" s="1">
        <f>INDEX(Table2[[HomeTeam]:[Group_details]],ROWS($N$2:O381),COLUMNS($N$2:O381))</f>
        <v>1</v>
      </c>
      <c r="R381" s="1">
        <f>INDEX(Table2[[HomeTeam]:[Group_details]],ROWS($N$2:P381),COLUMNS($N$2:P381))</f>
        <v>1</v>
      </c>
      <c r="S381" s="1" t="str">
        <f>INDEX(Table2[[HomeTeam]:[Group_details]],ROWS($N$2:Q381),COLUMNS($N$2:Q381))</f>
        <v>Paraguay</v>
      </c>
      <c r="T381" s="1" t="str">
        <f>INDEX(Table2[[HomeTeam]:[Group_details]],ROWS($N$2:R381),COLUMNS($N$2:R381))</f>
        <v xml:space="preserve"> </v>
      </c>
      <c r="U381" s="1" t="str">
        <f>INDEX(Table2[[HomeTeam]:[Group_details]],ROWS($N$2:S381),COLUMNS($N$2:S381))</f>
        <v>Group stages</v>
      </c>
      <c r="V381" s="1" t="b">
        <f t="shared" si="5"/>
        <v>0</v>
      </c>
      <c r="W381" s="1" t="str">
        <f>IF(V381=TRUE,ROWS($V$2:V381),"")</f>
        <v/>
      </c>
      <c r="X381" s="1" t="str">
        <f>IFERROR(SMALL($W$2:$W$853,ROWS($W$2:W381)),"")</f>
        <v/>
      </c>
      <c r="Y381" s="1" t="str">
        <f>IF($X381&lt;&gt;"",INDEX($P$2:$U$853,MATCH($X381,$W$2:$W$853,0),COLUMNS($X$2:X381)),"")</f>
        <v/>
      </c>
      <c r="Z381" s="1" t="str">
        <f>IF($X381&lt;&gt;"",INDEX($P$2:$U$853,MATCH($X381,$W$2:$W$853,0),COLUMNS($X$2:Y381)),"")</f>
        <v/>
      </c>
      <c r="AA381" s="1" t="str">
        <f>IF($X381&lt;&gt;"",INDEX($P$2:$U$853,MATCH($X381,$W$2:$W$853,0),COLUMNS($X$2:Z381)),"")</f>
        <v/>
      </c>
      <c r="AB381" s="1" t="str">
        <f>IF($X381&lt;&gt;"",INDEX($P$2:$U$853,MATCH($X381,$W$2:$W$853,0),COLUMNS($X$2:AA381)),"")</f>
        <v/>
      </c>
      <c r="AC381" s="1" t="str">
        <f>IF($X381&lt;&gt;"",INDEX($P$2:$U$853,MATCH($X381,$W$2:$W$853,0),COLUMNS($X$2:AB381)),"")</f>
        <v/>
      </c>
      <c r="AD381" s="1" t="str">
        <f>IF($X381&lt;&gt;"",INDEX($P$2:$U$853,MATCH($X381,$W$2:$W$853,0),COLUMNS($X$2:AC381)),"")</f>
        <v/>
      </c>
    </row>
    <row r="382" spans="1:30" x14ac:dyDescent="0.2">
      <c r="A382" s="1">
        <v>1986</v>
      </c>
      <c r="B382" s="2">
        <v>31570</v>
      </c>
      <c r="C382" s="1" t="s">
        <v>503</v>
      </c>
      <c r="D382" s="1" t="s">
        <v>274</v>
      </c>
      <c r="E382" s="1" t="s">
        <v>275</v>
      </c>
      <c r="F382" s="1" t="s">
        <v>276</v>
      </c>
      <c r="G382" s="6" t="str">
        <f>VLOOKUP(A382,WorldCups!$A$2:$B$23,2,FALSE)</f>
        <v>Mexico</v>
      </c>
      <c r="H382" s="1" t="s">
        <v>80</v>
      </c>
      <c r="I382" s="1">
        <v>1</v>
      </c>
      <c r="J382" s="1">
        <v>0</v>
      </c>
      <c r="K382" s="1" t="s">
        <v>170</v>
      </c>
      <c r="L382" s="1" t="s">
        <v>14</v>
      </c>
      <c r="M382" s="1" t="str">
        <f>IF(ISNUMBER(SEARCH("Group",Table2[[#This Row],[Round]])),"Group stages",Table2[[#This Row],[Round]])</f>
        <v>Group stages</v>
      </c>
      <c r="O382" s="1">
        <f>Table2[[#This Row],[Year]]</f>
        <v>1986</v>
      </c>
      <c r="P382" s="1" t="str">
        <f>INDEX(Table2[[HomeTeam]:[Group_details]],ROWS($N$2:N382),COLUMNS($N$2:N382))</f>
        <v>Poland</v>
      </c>
      <c r="Q382" s="1">
        <f>INDEX(Table2[[HomeTeam]:[Group_details]],ROWS($N$2:O382),COLUMNS($N$2:O382))</f>
        <v>1</v>
      </c>
      <c r="R382" s="1">
        <f>INDEX(Table2[[HomeTeam]:[Group_details]],ROWS($N$2:P382),COLUMNS($N$2:P382))</f>
        <v>0</v>
      </c>
      <c r="S382" s="1" t="str">
        <f>INDEX(Table2[[HomeTeam]:[Group_details]],ROWS($N$2:Q382),COLUMNS($N$2:Q382))</f>
        <v>Portugal</v>
      </c>
      <c r="T382" s="1" t="str">
        <f>INDEX(Table2[[HomeTeam]:[Group_details]],ROWS($N$2:R382),COLUMNS($N$2:R382))</f>
        <v xml:space="preserve"> </v>
      </c>
      <c r="U382" s="1" t="str">
        <f>INDEX(Table2[[HomeTeam]:[Group_details]],ROWS($N$2:S382),COLUMNS($N$2:S382))</f>
        <v>Group stages</v>
      </c>
      <c r="V382" s="1" t="b">
        <f t="shared" si="5"/>
        <v>0</v>
      </c>
      <c r="W382" s="1" t="str">
        <f>IF(V382=TRUE,ROWS($V$2:V382),"")</f>
        <v/>
      </c>
      <c r="X382" s="1" t="str">
        <f>IFERROR(SMALL($W$2:$W$853,ROWS($W$2:W382)),"")</f>
        <v/>
      </c>
      <c r="Y382" s="1" t="str">
        <f>IF($X382&lt;&gt;"",INDEX($P$2:$U$853,MATCH($X382,$W$2:$W$853,0),COLUMNS($X$2:X382)),"")</f>
        <v/>
      </c>
      <c r="Z382" s="1" t="str">
        <f>IF($X382&lt;&gt;"",INDEX($P$2:$U$853,MATCH($X382,$W$2:$W$853,0),COLUMNS($X$2:Y382)),"")</f>
        <v/>
      </c>
      <c r="AA382" s="1" t="str">
        <f>IF($X382&lt;&gt;"",INDEX($P$2:$U$853,MATCH($X382,$W$2:$W$853,0),COLUMNS($X$2:Z382)),"")</f>
        <v/>
      </c>
      <c r="AB382" s="1" t="str">
        <f>IF($X382&lt;&gt;"",INDEX($P$2:$U$853,MATCH($X382,$W$2:$W$853,0),COLUMNS($X$2:AA382)),"")</f>
        <v/>
      </c>
      <c r="AC382" s="1" t="str">
        <f>IF($X382&lt;&gt;"",INDEX($P$2:$U$853,MATCH($X382,$W$2:$W$853,0),COLUMNS($X$2:AB382)),"")</f>
        <v/>
      </c>
      <c r="AD382" s="1" t="str">
        <f>IF($X382&lt;&gt;"",INDEX($P$2:$U$853,MATCH($X382,$W$2:$W$853,0),COLUMNS($X$2:AC382)),"")</f>
        <v/>
      </c>
    </row>
    <row r="383" spans="1:30" x14ac:dyDescent="0.2">
      <c r="A383" s="1">
        <v>1986</v>
      </c>
      <c r="B383" s="2">
        <v>31571</v>
      </c>
      <c r="C383" s="1" t="s">
        <v>523</v>
      </c>
      <c r="D383" s="1" t="s">
        <v>213</v>
      </c>
      <c r="E383" s="1" t="s">
        <v>279</v>
      </c>
      <c r="F383" s="1" t="s">
        <v>187</v>
      </c>
      <c r="G383" s="6" t="str">
        <f>VLOOKUP(A383,WorldCups!$A$2:$B$23,2,FALSE)</f>
        <v>Mexico</v>
      </c>
      <c r="H383" s="1" t="s">
        <v>280</v>
      </c>
      <c r="I383" s="1">
        <v>1</v>
      </c>
      <c r="J383" s="1">
        <v>2</v>
      </c>
      <c r="K383" s="1" t="s">
        <v>18</v>
      </c>
      <c r="L383" s="1" t="s">
        <v>14</v>
      </c>
      <c r="M383" s="1" t="str">
        <f>IF(ISNUMBER(SEARCH("Group",Table2[[#This Row],[Round]])),"Group stages",Table2[[#This Row],[Round]])</f>
        <v>Group stages</v>
      </c>
      <c r="O383" s="1">
        <f>Table2[[#This Row],[Year]]</f>
        <v>1986</v>
      </c>
      <c r="P383" s="1" t="str">
        <f>INDEX(Table2[[HomeTeam]:[Group_details]],ROWS($N$2:N383),COLUMNS($N$2:N383))</f>
        <v>Iraq</v>
      </c>
      <c r="Q383" s="1">
        <f>INDEX(Table2[[HomeTeam]:[Group_details]],ROWS($N$2:O383),COLUMNS($N$2:O383))</f>
        <v>1</v>
      </c>
      <c r="R383" s="1">
        <f>INDEX(Table2[[HomeTeam]:[Group_details]],ROWS($N$2:P383),COLUMNS($N$2:P383))</f>
        <v>2</v>
      </c>
      <c r="S383" s="1" t="str">
        <f>INDEX(Table2[[HomeTeam]:[Group_details]],ROWS($N$2:Q383),COLUMNS($N$2:Q383))</f>
        <v>Belgium</v>
      </c>
      <c r="T383" s="1" t="str">
        <f>INDEX(Table2[[HomeTeam]:[Group_details]],ROWS($N$2:R383),COLUMNS($N$2:R383))</f>
        <v xml:space="preserve"> </v>
      </c>
      <c r="U383" s="1" t="str">
        <f>INDEX(Table2[[HomeTeam]:[Group_details]],ROWS($N$2:S383),COLUMNS($N$2:S383))</f>
        <v>Group stages</v>
      </c>
      <c r="V383" s="1" t="b">
        <f t="shared" si="5"/>
        <v>0</v>
      </c>
      <c r="W383" s="1" t="str">
        <f>IF(V383=TRUE,ROWS($V$2:V383),"")</f>
        <v/>
      </c>
      <c r="X383" s="1" t="str">
        <f>IFERROR(SMALL($W$2:$W$853,ROWS($W$2:W383)),"")</f>
        <v/>
      </c>
      <c r="Y383" s="1" t="str">
        <f>IF($X383&lt;&gt;"",INDEX($P$2:$U$853,MATCH($X383,$W$2:$W$853,0),COLUMNS($X$2:X383)),"")</f>
        <v/>
      </c>
      <c r="Z383" s="1" t="str">
        <f>IF($X383&lt;&gt;"",INDEX($P$2:$U$853,MATCH($X383,$W$2:$W$853,0),COLUMNS($X$2:Y383)),"")</f>
        <v/>
      </c>
      <c r="AA383" s="1" t="str">
        <f>IF($X383&lt;&gt;"",INDEX($P$2:$U$853,MATCH($X383,$W$2:$W$853,0),COLUMNS($X$2:Z383)),"")</f>
        <v/>
      </c>
      <c r="AB383" s="1" t="str">
        <f>IF($X383&lt;&gt;"",INDEX($P$2:$U$853,MATCH($X383,$W$2:$W$853,0),COLUMNS($X$2:AA383)),"")</f>
        <v/>
      </c>
      <c r="AC383" s="1" t="str">
        <f>IF($X383&lt;&gt;"",INDEX($P$2:$U$853,MATCH($X383,$W$2:$W$853,0),COLUMNS($X$2:AB383)),"")</f>
        <v/>
      </c>
      <c r="AD383" s="1" t="str">
        <f>IF($X383&lt;&gt;"",INDEX($P$2:$U$853,MATCH($X383,$W$2:$W$853,0),COLUMNS($X$2:AC383)),"")</f>
        <v/>
      </c>
    </row>
    <row r="384" spans="1:30" x14ac:dyDescent="0.2">
      <c r="A384" s="1">
        <v>1986</v>
      </c>
      <c r="B384" s="2">
        <v>31571</v>
      </c>
      <c r="C384" s="1" t="s">
        <v>503</v>
      </c>
      <c r="D384" s="1" t="s">
        <v>281</v>
      </c>
      <c r="E384" s="1" t="s">
        <v>282</v>
      </c>
      <c r="F384" s="1" t="s">
        <v>283</v>
      </c>
      <c r="G384" s="6" t="str">
        <f>VLOOKUP(A384,WorldCups!$A$2:$B$23,2,FALSE)</f>
        <v>Mexico</v>
      </c>
      <c r="H384" s="1" t="s">
        <v>284</v>
      </c>
      <c r="I384" s="1">
        <v>6</v>
      </c>
      <c r="J384" s="1">
        <v>1</v>
      </c>
      <c r="K384" s="1" t="s">
        <v>30</v>
      </c>
      <c r="L384" s="1" t="s">
        <v>14</v>
      </c>
      <c r="M384" s="1" t="str">
        <f>IF(ISNUMBER(SEARCH("Group",Table2[[#This Row],[Round]])),"Group stages",Table2[[#This Row],[Round]])</f>
        <v>Group stages</v>
      </c>
      <c r="O384" s="1">
        <f>Table2[[#This Row],[Year]]</f>
        <v>1986</v>
      </c>
      <c r="P384" s="1" t="str">
        <f>INDEX(Table2[[HomeTeam]:[Group_details]],ROWS($N$2:N384),COLUMNS($N$2:N384))</f>
        <v>Denmark</v>
      </c>
      <c r="Q384" s="1">
        <f>INDEX(Table2[[HomeTeam]:[Group_details]],ROWS($N$2:O384),COLUMNS($N$2:O384))</f>
        <v>6</v>
      </c>
      <c r="R384" s="1">
        <f>INDEX(Table2[[HomeTeam]:[Group_details]],ROWS($N$2:P384),COLUMNS($N$2:P384))</f>
        <v>1</v>
      </c>
      <c r="S384" s="1" t="str">
        <f>INDEX(Table2[[HomeTeam]:[Group_details]],ROWS($N$2:Q384),COLUMNS($N$2:Q384))</f>
        <v>Uruguay</v>
      </c>
      <c r="T384" s="1" t="str">
        <f>INDEX(Table2[[HomeTeam]:[Group_details]],ROWS($N$2:R384),COLUMNS($N$2:R384))</f>
        <v xml:space="preserve"> </v>
      </c>
      <c r="U384" s="1" t="str">
        <f>INDEX(Table2[[HomeTeam]:[Group_details]],ROWS($N$2:S384),COLUMNS($N$2:S384))</f>
        <v>Group stages</v>
      </c>
      <c r="V384" s="1" t="b">
        <f t="shared" si="5"/>
        <v>0</v>
      </c>
      <c r="W384" s="1" t="str">
        <f>IF(V384=TRUE,ROWS($V$2:V384),"")</f>
        <v/>
      </c>
      <c r="X384" s="1" t="str">
        <f>IFERROR(SMALL($W$2:$W$853,ROWS($W$2:W384)),"")</f>
        <v/>
      </c>
      <c r="Y384" s="1" t="str">
        <f>IF($X384&lt;&gt;"",INDEX($P$2:$U$853,MATCH($X384,$W$2:$W$853,0),COLUMNS($X$2:X384)),"")</f>
        <v/>
      </c>
      <c r="Z384" s="1" t="str">
        <f>IF($X384&lt;&gt;"",INDEX($P$2:$U$853,MATCH($X384,$W$2:$W$853,0),COLUMNS($X$2:Y384)),"")</f>
        <v/>
      </c>
      <c r="AA384" s="1" t="str">
        <f>IF($X384&lt;&gt;"",INDEX($P$2:$U$853,MATCH($X384,$W$2:$W$853,0),COLUMNS($X$2:Z384)),"")</f>
        <v/>
      </c>
      <c r="AB384" s="1" t="str">
        <f>IF($X384&lt;&gt;"",INDEX($P$2:$U$853,MATCH($X384,$W$2:$W$853,0),COLUMNS($X$2:AA384)),"")</f>
        <v/>
      </c>
      <c r="AC384" s="1" t="str">
        <f>IF($X384&lt;&gt;"",INDEX($P$2:$U$853,MATCH($X384,$W$2:$W$853,0),COLUMNS($X$2:AB384)),"")</f>
        <v/>
      </c>
      <c r="AD384" s="1" t="str">
        <f>IF($X384&lt;&gt;"",INDEX($P$2:$U$853,MATCH($X384,$W$2:$W$853,0),COLUMNS($X$2:AC384)),"")</f>
        <v/>
      </c>
    </row>
    <row r="385" spans="1:30" x14ac:dyDescent="0.2">
      <c r="A385" s="1">
        <v>1986</v>
      </c>
      <c r="B385" s="2">
        <v>31571</v>
      </c>
      <c r="C385" s="1" t="s">
        <v>523</v>
      </c>
      <c r="D385" s="1" t="s">
        <v>281</v>
      </c>
      <c r="E385" s="1" t="s">
        <v>285</v>
      </c>
      <c r="F385" s="1" t="s">
        <v>286</v>
      </c>
      <c r="G385" s="6" t="str">
        <f>VLOOKUP(A385,WorldCups!$A$2:$B$23,2,FALSE)</f>
        <v>Mexico</v>
      </c>
      <c r="H385" s="1" t="s">
        <v>114</v>
      </c>
      <c r="I385" s="1">
        <v>2</v>
      </c>
      <c r="J385" s="1">
        <v>1</v>
      </c>
      <c r="K385" s="1" t="s">
        <v>109</v>
      </c>
      <c r="L385" s="1" t="s">
        <v>14</v>
      </c>
      <c r="M385" s="1" t="str">
        <f>IF(ISNUMBER(SEARCH("Group",Table2[[#This Row],[Round]])),"Group stages",Table2[[#This Row],[Round]])</f>
        <v>Group stages</v>
      </c>
      <c r="O385" s="1">
        <f>Table2[[#This Row],[Year]]</f>
        <v>1986</v>
      </c>
      <c r="P385" s="1" t="str">
        <f>INDEX(Table2[[HomeTeam]:[Group_details]],ROWS($N$2:N385),COLUMNS($N$2:N385))</f>
        <v>Germany FR</v>
      </c>
      <c r="Q385" s="1">
        <f>INDEX(Table2[[HomeTeam]:[Group_details]],ROWS($N$2:O385),COLUMNS($N$2:O385))</f>
        <v>2</v>
      </c>
      <c r="R385" s="1">
        <f>INDEX(Table2[[HomeTeam]:[Group_details]],ROWS($N$2:P385),COLUMNS($N$2:P385))</f>
        <v>1</v>
      </c>
      <c r="S385" s="1" t="str">
        <f>INDEX(Table2[[HomeTeam]:[Group_details]],ROWS($N$2:Q385),COLUMNS($N$2:Q385))</f>
        <v>Scotland</v>
      </c>
      <c r="T385" s="1" t="str">
        <f>INDEX(Table2[[HomeTeam]:[Group_details]],ROWS($N$2:R385),COLUMNS($N$2:R385))</f>
        <v xml:space="preserve"> </v>
      </c>
      <c r="U385" s="1" t="str">
        <f>INDEX(Table2[[HomeTeam]:[Group_details]],ROWS($N$2:S385),COLUMNS($N$2:S385))</f>
        <v>Group stages</v>
      </c>
      <c r="V385" s="1" t="b">
        <f t="shared" si="5"/>
        <v>0</v>
      </c>
      <c r="W385" s="1" t="str">
        <f>IF(V385=TRUE,ROWS($V$2:V385),"")</f>
        <v/>
      </c>
      <c r="X385" s="1" t="str">
        <f>IFERROR(SMALL($W$2:$W$853,ROWS($W$2:W385)),"")</f>
        <v/>
      </c>
      <c r="Y385" s="1" t="str">
        <f>IF($X385&lt;&gt;"",INDEX($P$2:$U$853,MATCH($X385,$W$2:$W$853,0),COLUMNS($X$2:X385)),"")</f>
        <v/>
      </c>
      <c r="Z385" s="1" t="str">
        <f>IF($X385&lt;&gt;"",INDEX($P$2:$U$853,MATCH($X385,$W$2:$W$853,0),COLUMNS($X$2:Y385)),"")</f>
        <v/>
      </c>
      <c r="AA385" s="1" t="str">
        <f>IF($X385&lt;&gt;"",INDEX($P$2:$U$853,MATCH($X385,$W$2:$W$853,0),COLUMNS($X$2:Z385)),"")</f>
        <v/>
      </c>
      <c r="AB385" s="1" t="str">
        <f>IF($X385&lt;&gt;"",INDEX($P$2:$U$853,MATCH($X385,$W$2:$W$853,0),COLUMNS($X$2:AA385)),"")</f>
        <v/>
      </c>
      <c r="AC385" s="1" t="str">
        <f>IF($X385&lt;&gt;"",INDEX($P$2:$U$853,MATCH($X385,$W$2:$W$853,0),COLUMNS($X$2:AB385)),"")</f>
        <v/>
      </c>
      <c r="AD385" s="1" t="str">
        <f>IF($X385&lt;&gt;"",INDEX($P$2:$U$853,MATCH($X385,$W$2:$W$853,0),COLUMNS($X$2:AC385)),"")</f>
        <v/>
      </c>
    </row>
    <row r="386" spans="1:30" x14ac:dyDescent="0.2">
      <c r="A386" s="1">
        <v>1986</v>
      </c>
      <c r="B386" s="2">
        <v>31572</v>
      </c>
      <c r="C386" s="1" t="s">
        <v>523</v>
      </c>
      <c r="D386" s="1" t="s">
        <v>268</v>
      </c>
      <c r="E386" s="1" t="s">
        <v>182</v>
      </c>
      <c r="F386" s="1" t="s">
        <v>183</v>
      </c>
      <c r="G386" s="6" t="str">
        <f>VLOOKUP(A386,WorldCups!$A$2:$B$23,2,FALSE)</f>
        <v>Mexico</v>
      </c>
      <c r="H386" s="1" t="s">
        <v>40</v>
      </c>
      <c r="I386" s="1">
        <v>0</v>
      </c>
      <c r="J386" s="1">
        <v>3</v>
      </c>
      <c r="K386" s="1" t="s">
        <v>12</v>
      </c>
      <c r="L386" s="1" t="s">
        <v>14</v>
      </c>
      <c r="M386" s="1" t="str">
        <f>IF(ISNUMBER(SEARCH("Group",Table2[[#This Row],[Round]])),"Group stages",Table2[[#This Row],[Round]])</f>
        <v>Group stages</v>
      </c>
      <c r="O386" s="1">
        <f>Table2[[#This Row],[Year]]</f>
        <v>1986</v>
      </c>
      <c r="P386" s="1" t="str">
        <f>INDEX(Table2[[HomeTeam]:[Group_details]],ROWS($N$2:N386),COLUMNS($N$2:N386))</f>
        <v>Hungary</v>
      </c>
      <c r="Q386" s="1">
        <f>INDEX(Table2[[HomeTeam]:[Group_details]],ROWS($N$2:O386),COLUMNS($N$2:O386))</f>
        <v>0</v>
      </c>
      <c r="R386" s="1">
        <f>INDEX(Table2[[HomeTeam]:[Group_details]],ROWS($N$2:P386),COLUMNS($N$2:P386))</f>
        <v>3</v>
      </c>
      <c r="S386" s="1" t="str">
        <f>INDEX(Table2[[HomeTeam]:[Group_details]],ROWS($N$2:Q386),COLUMNS($N$2:Q386))</f>
        <v>France</v>
      </c>
      <c r="T386" s="1" t="str">
        <f>INDEX(Table2[[HomeTeam]:[Group_details]],ROWS($N$2:R386),COLUMNS($N$2:R386))</f>
        <v xml:space="preserve"> </v>
      </c>
      <c r="U386" s="1" t="str">
        <f>INDEX(Table2[[HomeTeam]:[Group_details]],ROWS($N$2:S386),COLUMNS($N$2:S386))</f>
        <v>Group stages</v>
      </c>
      <c r="V386" s="1" t="b">
        <f t="shared" si="5"/>
        <v>0</v>
      </c>
      <c r="W386" s="1" t="str">
        <f>IF(V386=TRUE,ROWS($V$2:V386),"")</f>
        <v/>
      </c>
      <c r="X386" s="1" t="str">
        <f>IFERROR(SMALL($W$2:$W$853,ROWS($W$2:W386)),"")</f>
        <v/>
      </c>
      <c r="Y386" s="1" t="str">
        <f>IF($X386&lt;&gt;"",INDEX($P$2:$U$853,MATCH($X386,$W$2:$W$853,0),COLUMNS($X$2:X386)),"")</f>
        <v/>
      </c>
      <c r="Z386" s="1" t="str">
        <f>IF($X386&lt;&gt;"",INDEX($P$2:$U$853,MATCH($X386,$W$2:$W$853,0),COLUMNS($X$2:Y386)),"")</f>
        <v/>
      </c>
      <c r="AA386" s="1" t="str">
        <f>IF($X386&lt;&gt;"",INDEX($P$2:$U$853,MATCH($X386,$W$2:$W$853,0),COLUMNS($X$2:Z386)),"")</f>
        <v/>
      </c>
      <c r="AB386" s="1" t="str">
        <f>IF($X386&lt;&gt;"",INDEX($P$2:$U$853,MATCH($X386,$W$2:$W$853,0),COLUMNS($X$2:AA386)),"")</f>
        <v/>
      </c>
      <c r="AC386" s="1" t="str">
        <f>IF($X386&lt;&gt;"",INDEX($P$2:$U$853,MATCH($X386,$W$2:$W$853,0),COLUMNS($X$2:AB386)),"")</f>
        <v/>
      </c>
      <c r="AD386" s="1" t="str">
        <f>IF($X386&lt;&gt;"",INDEX($P$2:$U$853,MATCH($X386,$W$2:$W$853,0),COLUMNS($X$2:AC386)),"")</f>
        <v/>
      </c>
    </row>
    <row r="387" spans="1:30" x14ac:dyDescent="0.2">
      <c r="A387" s="1">
        <v>1986</v>
      </c>
      <c r="B387" s="2">
        <v>31572</v>
      </c>
      <c r="C387" s="1" t="s">
        <v>523</v>
      </c>
      <c r="D387" s="1" t="s">
        <v>268</v>
      </c>
      <c r="E387" s="1" t="s">
        <v>271</v>
      </c>
      <c r="F387" s="1" t="s">
        <v>272</v>
      </c>
      <c r="G387" s="6" t="str">
        <f>VLOOKUP(A387,WorldCups!$A$2:$B$23,2,FALSE)</f>
        <v>Mexico</v>
      </c>
      <c r="H387" s="1" t="s">
        <v>126</v>
      </c>
      <c r="I387" s="1">
        <v>2</v>
      </c>
      <c r="J387" s="1">
        <v>0</v>
      </c>
      <c r="K387" s="1" t="s">
        <v>269</v>
      </c>
      <c r="L387" s="1" t="s">
        <v>14</v>
      </c>
      <c r="M387" s="1" t="str">
        <f>IF(ISNUMBER(SEARCH("Group",Table2[[#This Row],[Round]])),"Group stages",Table2[[#This Row],[Round]])</f>
        <v>Group stages</v>
      </c>
      <c r="O387" s="1">
        <f>Table2[[#This Row],[Year]]</f>
        <v>1986</v>
      </c>
      <c r="P387" s="1" t="str">
        <f>INDEX(Table2[[HomeTeam]:[Group_details]],ROWS($N$2:N387),COLUMNS($N$2:N387))</f>
        <v>Soviet Union</v>
      </c>
      <c r="Q387" s="1">
        <f>INDEX(Table2[[HomeTeam]:[Group_details]],ROWS($N$2:O387),COLUMNS($N$2:O387))</f>
        <v>2</v>
      </c>
      <c r="R387" s="1">
        <f>INDEX(Table2[[HomeTeam]:[Group_details]],ROWS($N$2:P387),COLUMNS($N$2:P387))</f>
        <v>0</v>
      </c>
      <c r="S387" s="1" t="str">
        <f>INDEX(Table2[[HomeTeam]:[Group_details]],ROWS($N$2:Q387),COLUMNS($N$2:Q387))</f>
        <v>Canada</v>
      </c>
      <c r="T387" s="1" t="str">
        <f>INDEX(Table2[[HomeTeam]:[Group_details]],ROWS($N$2:R387),COLUMNS($N$2:R387))</f>
        <v xml:space="preserve"> </v>
      </c>
      <c r="U387" s="1" t="str">
        <f>INDEX(Table2[[HomeTeam]:[Group_details]],ROWS($N$2:S387),COLUMNS($N$2:S387))</f>
        <v>Group stages</v>
      </c>
      <c r="V387" s="1" t="b">
        <f t="shared" ref="V387:V450" si="6">IF(O387=$V$1,TRUE)</f>
        <v>0</v>
      </c>
      <c r="W387" s="1" t="str">
        <f>IF(V387=TRUE,ROWS($V$2:V387),"")</f>
        <v/>
      </c>
      <c r="X387" s="1" t="str">
        <f>IFERROR(SMALL($W$2:$W$853,ROWS($W$2:W387)),"")</f>
        <v/>
      </c>
      <c r="Y387" s="1" t="str">
        <f>IF($X387&lt;&gt;"",INDEX($P$2:$U$853,MATCH($X387,$W$2:$W$853,0),COLUMNS($X$2:X387)),"")</f>
        <v/>
      </c>
      <c r="Z387" s="1" t="str">
        <f>IF($X387&lt;&gt;"",INDEX($P$2:$U$853,MATCH($X387,$W$2:$W$853,0),COLUMNS($X$2:Y387)),"")</f>
        <v/>
      </c>
      <c r="AA387" s="1" t="str">
        <f>IF($X387&lt;&gt;"",INDEX($P$2:$U$853,MATCH($X387,$W$2:$W$853,0),COLUMNS($X$2:Z387)),"")</f>
        <v/>
      </c>
      <c r="AB387" s="1" t="str">
        <f>IF($X387&lt;&gt;"",INDEX($P$2:$U$853,MATCH($X387,$W$2:$W$853,0),COLUMNS($X$2:AA387)),"")</f>
        <v/>
      </c>
      <c r="AC387" s="1" t="str">
        <f>IF($X387&lt;&gt;"",INDEX($P$2:$U$853,MATCH($X387,$W$2:$W$853,0),COLUMNS($X$2:AB387)),"")</f>
        <v/>
      </c>
      <c r="AD387" s="1" t="str">
        <f>IF($X387&lt;&gt;"",INDEX($P$2:$U$853,MATCH($X387,$W$2:$W$853,0),COLUMNS($X$2:AC387)),"")</f>
        <v/>
      </c>
    </row>
    <row r="388" spans="1:30" x14ac:dyDescent="0.2">
      <c r="A388" s="1">
        <v>1986</v>
      </c>
      <c r="B388" s="2">
        <v>31573</v>
      </c>
      <c r="C388" s="1" t="s">
        <v>523</v>
      </c>
      <c r="D388" s="1" t="s">
        <v>214</v>
      </c>
      <c r="E388" s="1" t="s">
        <v>179</v>
      </c>
      <c r="F388" s="1" t="s">
        <v>180</v>
      </c>
      <c r="G388" s="6" t="str">
        <f>VLOOKUP(A388,WorldCups!$A$2:$B$23,2,FALSE)</f>
        <v>Mexico</v>
      </c>
      <c r="H388" s="1" t="s">
        <v>116</v>
      </c>
      <c r="I388" s="1">
        <v>2</v>
      </c>
      <c r="J388" s="1">
        <v>3</v>
      </c>
      <c r="K388" s="1" t="s">
        <v>57</v>
      </c>
      <c r="L388" s="1" t="s">
        <v>14</v>
      </c>
      <c r="M388" s="1" t="str">
        <f>IF(ISNUMBER(SEARCH("Group",Table2[[#This Row],[Round]])),"Group stages",Table2[[#This Row],[Round]])</f>
        <v>Group stages</v>
      </c>
      <c r="O388" s="1">
        <f>Table2[[#This Row],[Year]]</f>
        <v>1986</v>
      </c>
      <c r="P388" s="1" t="str">
        <f>INDEX(Table2[[HomeTeam]:[Group_details]],ROWS($N$2:N388),COLUMNS($N$2:N388))</f>
        <v>Korea Republic</v>
      </c>
      <c r="Q388" s="1">
        <f>INDEX(Table2[[HomeTeam]:[Group_details]],ROWS($N$2:O388),COLUMNS($N$2:O388))</f>
        <v>2</v>
      </c>
      <c r="R388" s="1">
        <f>INDEX(Table2[[HomeTeam]:[Group_details]],ROWS($N$2:P388),COLUMNS($N$2:P388))</f>
        <v>3</v>
      </c>
      <c r="S388" s="1" t="str">
        <f>INDEX(Table2[[HomeTeam]:[Group_details]],ROWS($N$2:Q388),COLUMNS($N$2:Q388))</f>
        <v>Italy</v>
      </c>
      <c r="T388" s="1" t="str">
        <f>INDEX(Table2[[HomeTeam]:[Group_details]],ROWS($N$2:R388),COLUMNS($N$2:R388))</f>
        <v xml:space="preserve"> </v>
      </c>
      <c r="U388" s="1" t="str">
        <f>INDEX(Table2[[HomeTeam]:[Group_details]],ROWS($N$2:S388),COLUMNS($N$2:S388))</f>
        <v>Group stages</v>
      </c>
      <c r="V388" s="1" t="b">
        <f t="shared" si="6"/>
        <v>0</v>
      </c>
      <c r="W388" s="1" t="str">
        <f>IF(V388=TRUE,ROWS($V$2:V388),"")</f>
        <v/>
      </c>
      <c r="X388" s="1" t="str">
        <f>IFERROR(SMALL($W$2:$W$853,ROWS($W$2:W388)),"")</f>
        <v/>
      </c>
      <c r="Y388" s="1" t="str">
        <f>IF($X388&lt;&gt;"",INDEX($P$2:$U$853,MATCH($X388,$W$2:$W$853,0),COLUMNS($X$2:X388)),"")</f>
        <v/>
      </c>
      <c r="Z388" s="1" t="str">
        <f>IF($X388&lt;&gt;"",INDEX($P$2:$U$853,MATCH($X388,$W$2:$W$853,0),COLUMNS($X$2:Y388)),"")</f>
        <v/>
      </c>
      <c r="AA388" s="1" t="str">
        <f>IF($X388&lt;&gt;"",INDEX($P$2:$U$853,MATCH($X388,$W$2:$W$853,0),COLUMNS($X$2:Z388)),"")</f>
        <v/>
      </c>
      <c r="AB388" s="1" t="str">
        <f>IF($X388&lt;&gt;"",INDEX($P$2:$U$853,MATCH($X388,$W$2:$W$853,0),COLUMNS($X$2:AA388)),"")</f>
        <v/>
      </c>
      <c r="AC388" s="1" t="str">
        <f>IF($X388&lt;&gt;"",INDEX($P$2:$U$853,MATCH($X388,$W$2:$W$853,0),COLUMNS($X$2:AB388)),"")</f>
        <v/>
      </c>
      <c r="AD388" s="1" t="str">
        <f>IF($X388&lt;&gt;"",INDEX($P$2:$U$853,MATCH($X388,$W$2:$W$853,0),COLUMNS($X$2:AC388)),"")</f>
        <v/>
      </c>
    </row>
    <row r="389" spans="1:30" x14ac:dyDescent="0.2">
      <c r="A389" s="1">
        <v>1986</v>
      </c>
      <c r="B389" s="2">
        <v>31573</v>
      </c>
      <c r="C389" s="1" t="s">
        <v>523</v>
      </c>
      <c r="D389" s="1" t="s">
        <v>214</v>
      </c>
      <c r="E389" s="1" t="s">
        <v>273</v>
      </c>
      <c r="F389" s="1" t="s">
        <v>178</v>
      </c>
      <c r="G389" s="6" t="str">
        <f>VLOOKUP(A389,WorldCups!$A$2:$B$23,2,FALSE)</f>
        <v>Mexico</v>
      </c>
      <c r="H389" s="1" t="s">
        <v>25</v>
      </c>
      <c r="I389" s="1">
        <v>2</v>
      </c>
      <c r="J389" s="1">
        <v>0</v>
      </c>
      <c r="K389" s="1" t="s">
        <v>156</v>
      </c>
      <c r="L389" s="1" t="s">
        <v>14</v>
      </c>
      <c r="M389" s="1" t="str">
        <f>IF(ISNUMBER(SEARCH("Group",Table2[[#This Row],[Round]])),"Group stages",Table2[[#This Row],[Round]])</f>
        <v>Group stages</v>
      </c>
      <c r="O389" s="1">
        <f>Table2[[#This Row],[Year]]</f>
        <v>1986</v>
      </c>
      <c r="P389" s="1" t="str">
        <f>INDEX(Table2[[HomeTeam]:[Group_details]],ROWS($N$2:N389),COLUMNS($N$2:N389))</f>
        <v>Argentina</v>
      </c>
      <c r="Q389" s="1">
        <f>INDEX(Table2[[HomeTeam]:[Group_details]],ROWS($N$2:O389),COLUMNS($N$2:O389))</f>
        <v>2</v>
      </c>
      <c r="R389" s="1">
        <f>INDEX(Table2[[HomeTeam]:[Group_details]],ROWS($N$2:P389),COLUMNS($N$2:P389))</f>
        <v>0</v>
      </c>
      <c r="S389" s="1" t="str">
        <f>INDEX(Table2[[HomeTeam]:[Group_details]],ROWS($N$2:Q389),COLUMNS($N$2:Q389))</f>
        <v>Bulgaria</v>
      </c>
      <c r="T389" s="1" t="str">
        <f>INDEX(Table2[[HomeTeam]:[Group_details]],ROWS($N$2:R389),COLUMNS($N$2:R389))</f>
        <v xml:space="preserve"> </v>
      </c>
      <c r="U389" s="1" t="str">
        <f>INDEX(Table2[[HomeTeam]:[Group_details]],ROWS($N$2:S389),COLUMNS($N$2:S389))</f>
        <v>Group stages</v>
      </c>
      <c r="V389" s="1" t="b">
        <f t="shared" si="6"/>
        <v>0</v>
      </c>
      <c r="W389" s="1" t="str">
        <f>IF(V389=TRUE,ROWS($V$2:V389),"")</f>
        <v/>
      </c>
      <c r="X389" s="1" t="str">
        <f>IFERROR(SMALL($W$2:$W$853,ROWS($W$2:W389)),"")</f>
        <v/>
      </c>
      <c r="Y389" s="1" t="str">
        <f>IF($X389&lt;&gt;"",INDEX($P$2:$U$853,MATCH($X389,$W$2:$W$853,0),COLUMNS($X$2:X389)),"")</f>
        <v/>
      </c>
      <c r="Z389" s="1" t="str">
        <f>IF($X389&lt;&gt;"",INDEX($P$2:$U$853,MATCH($X389,$W$2:$W$853,0),COLUMNS($X$2:Y389)),"")</f>
        <v/>
      </c>
      <c r="AA389" s="1" t="str">
        <f>IF($X389&lt;&gt;"",INDEX($P$2:$U$853,MATCH($X389,$W$2:$W$853,0),COLUMNS($X$2:Z389)),"")</f>
        <v/>
      </c>
      <c r="AB389" s="1" t="str">
        <f>IF($X389&lt;&gt;"",INDEX($P$2:$U$853,MATCH($X389,$W$2:$W$853,0),COLUMNS($X$2:AA389)),"")</f>
        <v/>
      </c>
      <c r="AC389" s="1" t="str">
        <f>IF($X389&lt;&gt;"",INDEX($P$2:$U$853,MATCH($X389,$W$2:$W$853,0),COLUMNS($X$2:AB389)),"")</f>
        <v/>
      </c>
      <c r="AD389" s="1" t="str">
        <f>IF($X389&lt;&gt;"",INDEX($P$2:$U$853,MATCH($X389,$W$2:$W$853,0),COLUMNS($X$2:AC389)),"")</f>
        <v/>
      </c>
    </row>
    <row r="390" spans="1:30" x14ac:dyDescent="0.2">
      <c r="A390" s="1">
        <v>1986</v>
      </c>
      <c r="B390" s="2">
        <v>31574</v>
      </c>
      <c r="C390" s="1" t="s">
        <v>523</v>
      </c>
      <c r="D390" s="1" t="s">
        <v>213</v>
      </c>
      <c r="E390" s="1" t="s">
        <v>279</v>
      </c>
      <c r="F390" s="1" t="s">
        <v>187</v>
      </c>
      <c r="G390" s="6" t="str">
        <f>VLOOKUP(A390,WorldCups!$A$2:$B$23,2,FALSE)</f>
        <v>Mexico</v>
      </c>
      <c r="H390" s="1" t="s">
        <v>28</v>
      </c>
      <c r="I390" s="1">
        <v>2</v>
      </c>
      <c r="J390" s="1">
        <v>2</v>
      </c>
      <c r="K390" s="1" t="s">
        <v>18</v>
      </c>
      <c r="L390" s="1" t="s">
        <v>14</v>
      </c>
      <c r="M390" s="1" t="str">
        <f>IF(ISNUMBER(SEARCH("Group",Table2[[#This Row],[Round]])),"Group stages",Table2[[#This Row],[Round]])</f>
        <v>Group stages</v>
      </c>
      <c r="O390" s="1">
        <f>Table2[[#This Row],[Year]]</f>
        <v>1986</v>
      </c>
      <c r="P390" s="1" t="str">
        <f>INDEX(Table2[[HomeTeam]:[Group_details]],ROWS($N$2:N390),COLUMNS($N$2:N390))</f>
        <v>Paraguay</v>
      </c>
      <c r="Q390" s="1">
        <f>INDEX(Table2[[HomeTeam]:[Group_details]],ROWS($N$2:O390),COLUMNS($N$2:O390))</f>
        <v>2</v>
      </c>
      <c r="R390" s="1">
        <f>INDEX(Table2[[HomeTeam]:[Group_details]],ROWS($N$2:P390),COLUMNS($N$2:P390))</f>
        <v>2</v>
      </c>
      <c r="S390" s="1" t="str">
        <f>INDEX(Table2[[HomeTeam]:[Group_details]],ROWS($N$2:Q390),COLUMNS($N$2:Q390))</f>
        <v>Belgium</v>
      </c>
      <c r="T390" s="1" t="str">
        <f>INDEX(Table2[[HomeTeam]:[Group_details]],ROWS($N$2:R390),COLUMNS($N$2:R390))</f>
        <v xml:space="preserve"> </v>
      </c>
      <c r="U390" s="1" t="str">
        <f>INDEX(Table2[[HomeTeam]:[Group_details]],ROWS($N$2:S390),COLUMNS($N$2:S390))</f>
        <v>Group stages</v>
      </c>
      <c r="V390" s="1" t="b">
        <f t="shared" si="6"/>
        <v>0</v>
      </c>
      <c r="W390" s="1" t="str">
        <f>IF(V390=TRUE,ROWS($V$2:V390),"")</f>
        <v/>
      </c>
      <c r="X390" s="1" t="str">
        <f>IFERROR(SMALL($W$2:$W$853,ROWS($W$2:W390)),"")</f>
        <v/>
      </c>
      <c r="Y390" s="1" t="str">
        <f>IF($X390&lt;&gt;"",INDEX($P$2:$U$853,MATCH($X390,$W$2:$W$853,0),COLUMNS($X$2:X390)),"")</f>
        <v/>
      </c>
      <c r="Z390" s="1" t="str">
        <f>IF($X390&lt;&gt;"",INDEX($P$2:$U$853,MATCH($X390,$W$2:$W$853,0),COLUMNS($X$2:Y390)),"")</f>
        <v/>
      </c>
      <c r="AA390" s="1" t="str">
        <f>IF($X390&lt;&gt;"",INDEX($P$2:$U$853,MATCH($X390,$W$2:$W$853,0),COLUMNS($X$2:Z390)),"")</f>
        <v/>
      </c>
      <c r="AB390" s="1" t="str">
        <f>IF($X390&lt;&gt;"",INDEX($P$2:$U$853,MATCH($X390,$W$2:$W$853,0),COLUMNS($X$2:AA390)),"")</f>
        <v/>
      </c>
      <c r="AC390" s="1" t="str">
        <f>IF($X390&lt;&gt;"",INDEX($P$2:$U$853,MATCH($X390,$W$2:$W$853,0),COLUMNS($X$2:AB390)),"")</f>
        <v/>
      </c>
      <c r="AD390" s="1" t="str">
        <f>IF($X390&lt;&gt;"",INDEX($P$2:$U$853,MATCH($X390,$W$2:$W$853,0),COLUMNS($X$2:AC390)),"")</f>
        <v/>
      </c>
    </row>
    <row r="391" spans="1:30" x14ac:dyDescent="0.2">
      <c r="A391" s="1">
        <v>1986</v>
      </c>
      <c r="B391" s="2">
        <v>31574</v>
      </c>
      <c r="C391" s="1" t="s">
        <v>523</v>
      </c>
      <c r="D391" s="1" t="s">
        <v>213</v>
      </c>
      <c r="E391" s="1" t="s">
        <v>177</v>
      </c>
      <c r="F391" s="1" t="s">
        <v>178</v>
      </c>
      <c r="G391" s="6" t="str">
        <f>VLOOKUP(A391,WorldCups!$A$2:$B$23,2,FALSE)</f>
        <v>Mexico</v>
      </c>
      <c r="H391" s="1" t="s">
        <v>280</v>
      </c>
      <c r="I391" s="1">
        <v>0</v>
      </c>
      <c r="J391" s="1">
        <v>1</v>
      </c>
      <c r="K391" s="1" t="s">
        <v>13</v>
      </c>
      <c r="L391" s="1" t="s">
        <v>14</v>
      </c>
      <c r="M391" s="1" t="str">
        <f>IF(ISNUMBER(SEARCH("Group",Table2[[#This Row],[Round]])),"Group stages",Table2[[#This Row],[Round]])</f>
        <v>Group stages</v>
      </c>
      <c r="O391" s="1">
        <f>Table2[[#This Row],[Year]]</f>
        <v>1986</v>
      </c>
      <c r="P391" s="1" t="str">
        <f>INDEX(Table2[[HomeTeam]:[Group_details]],ROWS($N$2:N391),COLUMNS($N$2:N391))</f>
        <v>Iraq</v>
      </c>
      <c r="Q391" s="1">
        <f>INDEX(Table2[[HomeTeam]:[Group_details]],ROWS($N$2:O391),COLUMNS($N$2:O391))</f>
        <v>0</v>
      </c>
      <c r="R391" s="1">
        <f>INDEX(Table2[[HomeTeam]:[Group_details]],ROWS($N$2:P391),COLUMNS($N$2:P391))</f>
        <v>1</v>
      </c>
      <c r="S391" s="1" t="str">
        <f>INDEX(Table2[[HomeTeam]:[Group_details]],ROWS($N$2:Q391),COLUMNS($N$2:Q391))</f>
        <v>Mexico</v>
      </c>
      <c r="T391" s="1" t="str">
        <f>INDEX(Table2[[HomeTeam]:[Group_details]],ROWS($N$2:R391),COLUMNS($N$2:R391))</f>
        <v xml:space="preserve"> </v>
      </c>
      <c r="U391" s="1" t="str">
        <f>INDEX(Table2[[HomeTeam]:[Group_details]],ROWS($N$2:S391),COLUMNS($N$2:S391))</f>
        <v>Group stages</v>
      </c>
      <c r="V391" s="1" t="b">
        <f t="shared" si="6"/>
        <v>0</v>
      </c>
      <c r="W391" s="1" t="str">
        <f>IF(V391=TRUE,ROWS($V$2:V391),"")</f>
        <v/>
      </c>
      <c r="X391" s="1" t="str">
        <f>IFERROR(SMALL($W$2:$W$853,ROWS($W$2:W391)),"")</f>
        <v/>
      </c>
      <c r="Y391" s="1" t="str">
        <f>IF($X391&lt;&gt;"",INDEX($P$2:$U$853,MATCH($X391,$W$2:$W$853,0),COLUMNS($X$2:X391)),"")</f>
        <v/>
      </c>
      <c r="Z391" s="1" t="str">
        <f>IF($X391&lt;&gt;"",INDEX($P$2:$U$853,MATCH($X391,$W$2:$W$853,0),COLUMNS($X$2:Y391)),"")</f>
        <v/>
      </c>
      <c r="AA391" s="1" t="str">
        <f>IF($X391&lt;&gt;"",INDEX($P$2:$U$853,MATCH($X391,$W$2:$W$853,0),COLUMNS($X$2:Z391)),"")</f>
        <v/>
      </c>
      <c r="AB391" s="1" t="str">
        <f>IF($X391&lt;&gt;"",INDEX($P$2:$U$853,MATCH($X391,$W$2:$W$853,0),COLUMNS($X$2:AA391)),"")</f>
        <v/>
      </c>
      <c r="AC391" s="1" t="str">
        <f>IF($X391&lt;&gt;"",INDEX($P$2:$U$853,MATCH($X391,$W$2:$W$853,0),COLUMNS($X$2:AB391)),"")</f>
        <v/>
      </c>
      <c r="AD391" s="1" t="str">
        <f>IF($X391&lt;&gt;"",INDEX($P$2:$U$853,MATCH($X391,$W$2:$W$853,0),COLUMNS($X$2:AC391)),"")</f>
        <v/>
      </c>
    </row>
    <row r="392" spans="1:30" x14ac:dyDescent="0.2">
      <c r="A392" s="1">
        <v>1986</v>
      </c>
      <c r="B392" s="2">
        <v>31574</v>
      </c>
      <c r="C392" s="1" t="s">
        <v>503</v>
      </c>
      <c r="D392" s="1" t="s">
        <v>274</v>
      </c>
      <c r="E392" s="1" t="s">
        <v>277</v>
      </c>
      <c r="F392" s="1" t="s">
        <v>185</v>
      </c>
      <c r="G392" s="6" t="str">
        <f>VLOOKUP(A392,WorldCups!$A$2:$B$23,2,FALSE)</f>
        <v>Mexico</v>
      </c>
      <c r="H392" s="1" t="s">
        <v>170</v>
      </c>
      <c r="I392" s="1">
        <v>1</v>
      </c>
      <c r="J392" s="1">
        <v>3</v>
      </c>
      <c r="K392" s="1" t="s">
        <v>188</v>
      </c>
      <c r="L392" s="1" t="s">
        <v>14</v>
      </c>
      <c r="M392" s="1" t="str">
        <f>IF(ISNUMBER(SEARCH("Group",Table2[[#This Row],[Round]])),"Group stages",Table2[[#This Row],[Round]])</f>
        <v>Group stages</v>
      </c>
      <c r="O392" s="1">
        <f>Table2[[#This Row],[Year]]</f>
        <v>1986</v>
      </c>
      <c r="P392" s="1" t="str">
        <f>INDEX(Table2[[HomeTeam]:[Group_details]],ROWS($N$2:N392),COLUMNS($N$2:N392))</f>
        <v>Portugal</v>
      </c>
      <c r="Q392" s="1">
        <f>INDEX(Table2[[HomeTeam]:[Group_details]],ROWS($N$2:O392),COLUMNS($N$2:O392))</f>
        <v>1</v>
      </c>
      <c r="R392" s="1">
        <f>INDEX(Table2[[HomeTeam]:[Group_details]],ROWS($N$2:P392),COLUMNS($N$2:P392))</f>
        <v>3</v>
      </c>
      <c r="S392" s="1" t="str">
        <f>INDEX(Table2[[HomeTeam]:[Group_details]],ROWS($N$2:Q392),COLUMNS($N$2:Q392))</f>
        <v>Morocco</v>
      </c>
      <c r="T392" s="1" t="str">
        <f>INDEX(Table2[[HomeTeam]:[Group_details]],ROWS($N$2:R392),COLUMNS($N$2:R392))</f>
        <v xml:space="preserve"> </v>
      </c>
      <c r="U392" s="1" t="str">
        <f>INDEX(Table2[[HomeTeam]:[Group_details]],ROWS($N$2:S392),COLUMNS($N$2:S392))</f>
        <v>Group stages</v>
      </c>
      <c r="V392" s="1" t="b">
        <f t="shared" si="6"/>
        <v>0</v>
      </c>
      <c r="W392" s="1" t="str">
        <f>IF(V392=TRUE,ROWS($V$2:V392),"")</f>
        <v/>
      </c>
      <c r="X392" s="1" t="str">
        <f>IFERROR(SMALL($W$2:$W$853,ROWS($W$2:W392)),"")</f>
        <v/>
      </c>
      <c r="Y392" s="1" t="str">
        <f>IF($X392&lt;&gt;"",INDEX($P$2:$U$853,MATCH($X392,$W$2:$W$853,0),COLUMNS($X$2:X392)),"")</f>
        <v/>
      </c>
      <c r="Z392" s="1" t="str">
        <f>IF($X392&lt;&gt;"",INDEX($P$2:$U$853,MATCH($X392,$W$2:$W$853,0),COLUMNS($X$2:Y392)),"")</f>
        <v/>
      </c>
      <c r="AA392" s="1" t="str">
        <f>IF($X392&lt;&gt;"",INDEX($P$2:$U$853,MATCH($X392,$W$2:$W$853,0),COLUMNS($X$2:Z392)),"")</f>
        <v/>
      </c>
      <c r="AB392" s="1" t="str">
        <f>IF($X392&lt;&gt;"",INDEX($P$2:$U$853,MATCH($X392,$W$2:$W$853,0),COLUMNS($X$2:AA392)),"")</f>
        <v/>
      </c>
      <c r="AC392" s="1" t="str">
        <f>IF($X392&lt;&gt;"",INDEX($P$2:$U$853,MATCH($X392,$W$2:$W$853,0),COLUMNS($X$2:AB392)),"")</f>
        <v/>
      </c>
      <c r="AD392" s="1" t="str">
        <f>IF($X392&lt;&gt;"",INDEX($P$2:$U$853,MATCH($X392,$W$2:$W$853,0),COLUMNS($X$2:AC392)),"")</f>
        <v/>
      </c>
    </row>
    <row r="393" spans="1:30" x14ac:dyDescent="0.2">
      <c r="A393" s="1">
        <v>1986</v>
      </c>
      <c r="B393" s="2">
        <v>31574</v>
      </c>
      <c r="C393" s="1" t="s">
        <v>503</v>
      </c>
      <c r="D393" s="1" t="s">
        <v>274</v>
      </c>
      <c r="E393" s="1" t="s">
        <v>278</v>
      </c>
      <c r="F393" s="1" t="s">
        <v>276</v>
      </c>
      <c r="G393" s="6" t="str">
        <f>VLOOKUP(A393,WorldCups!$A$2:$B$23,2,FALSE)</f>
        <v>Mexico</v>
      </c>
      <c r="H393" s="1" t="s">
        <v>93</v>
      </c>
      <c r="I393" s="1">
        <v>3</v>
      </c>
      <c r="J393" s="1">
        <v>0</v>
      </c>
      <c r="K393" s="1" t="s">
        <v>80</v>
      </c>
      <c r="L393" s="1" t="s">
        <v>14</v>
      </c>
      <c r="M393" s="1" t="str">
        <f>IF(ISNUMBER(SEARCH("Group",Table2[[#This Row],[Round]])),"Group stages",Table2[[#This Row],[Round]])</f>
        <v>Group stages</v>
      </c>
      <c r="O393" s="1">
        <f>Table2[[#This Row],[Year]]</f>
        <v>1986</v>
      </c>
      <c r="P393" s="1" t="str">
        <f>INDEX(Table2[[HomeTeam]:[Group_details]],ROWS($N$2:N393),COLUMNS($N$2:N393))</f>
        <v>England</v>
      </c>
      <c r="Q393" s="1">
        <f>INDEX(Table2[[HomeTeam]:[Group_details]],ROWS($N$2:O393),COLUMNS($N$2:O393))</f>
        <v>3</v>
      </c>
      <c r="R393" s="1">
        <f>INDEX(Table2[[HomeTeam]:[Group_details]],ROWS($N$2:P393),COLUMNS($N$2:P393))</f>
        <v>0</v>
      </c>
      <c r="S393" s="1" t="str">
        <f>INDEX(Table2[[HomeTeam]:[Group_details]],ROWS($N$2:Q393),COLUMNS($N$2:Q393))</f>
        <v>Poland</v>
      </c>
      <c r="T393" s="1" t="str">
        <f>INDEX(Table2[[HomeTeam]:[Group_details]],ROWS($N$2:R393),COLUMNS($N$2:R393))</f>
        <v xml:space="preserve"> </v>
      </c>
      <c r="U393" s="1" t="str">
        <f>INDEX(Table2[[HomeTeam]:[Group_details]],ROWS($N$2:S393),COLUMNS($N$2:S393))</f>
        <v>Group stages</v>
      </c>
      <c r="V393" s="1" t="b">
        <f t="shared" si="6"/>
        <v>0</v>
      </c>
      <c r="W393" s="1" t="str">
        <f>IF(V393=TRUE,ROWS($V$2:V393),"")</f>
        <v/>
      </c>
      <c r="X393" s="1" t="str">
        <f>IFERROR(SMALL($W$2:$W$853,ROWS($W$2:W393)),"")</f>
        <v/>
      </c>
      <c r="Y393" s="1" t="str">
        <f>IF($X393&lt;&gt;"",INDEX($P$2:$U$853,MATCH($X393,$W$2:$W$853,0),COLUMNS($X$2:X393)),"")</f>
        <v/>
      </c>
      <c r="Z393" s="1" t="str">
        <f>IF($X393&lt;&gt;"",INDEX($P$2:$U$853,MATCH($X393,$W$2:$W$853,0),COLUMNS($X$2:Y393)),"")</f>
        <v/>
      </c>
      <c r="AA393" s="1" t="str">
        <f>IF($X393&lt;&gt;"",INDEX($P$2:$U$853,MATCH($X393,$W$2:$W$853,0),COLUMNS($X$2:Z393)),"")</f>
        <v/>
      </c>
      <c r="AB393" s="1" t="str">
        <f>IF($X393&lt;&gt;"",INDEX($P$2:$U$853,MATCH($X393,$W$2:$W$853,0),COLUMNS($X$2:AA393)),"")</f>
        <v/>
      </c>
      <c r="AC393" s="1" t="str">
        <f>IF($X393&lt;&gt;"",INDEX($P$2:$U$853,MATCH($X393,$W$2:$W$853,0),COLUMNS($X$2:AB393)),"")</f>
        <v/>
      </c>
      <c r="AD393" s="1" t="str">
        <f>IF($X393&lt;&gt;"",INDEX($P$2:$U$853,MATCH($X393,$W$2:$W$853,0),COLUMNS($X$2:AC393)),"")</f>
        <v/>
      </c>
    </row>
    <row r="394" spans="1:30" x14ac:dyDescent="0.2">
      <c r="A394" s="1">
        <v>1986</v>
      </c>
      <c r="B394" s="2">
        <v>31575</v>
      </c>
      <c r="C394" s="1" t="s">
        <v>523</v>
      </c>
      <c r="D394" s="1" t="s">
        <v>270</v>
      </c>
      <c r="E394" s="1" t="s">
        <v>184</v>
      </c>
      <c r="F394" s="1" t="s">
        <v>185</v>
      </c>
      <c r="G394" s="6" t="str">
        <f>VLOOKUP(A394,WorldCups!$A$2:$B$23,2,FALSE)</f>
        <v>Mexico</v>
      </c>
      <c r="H394" s="1" t="s">
        <v>537</v>
      </c>
      <c r="I394" s="1">
        <v>0</v>
      </c>
      <c r="J394" s="1">
        <v>3</v>
      </c>
      <c r="K394" s="1" t="s">
        <v>21</v>
      </c>
      <c r="L394" s="1" t="s">
        <v>14</v>
      </c>
      <c r="M394" s="1" t="str">
        <f>IF(ISNUMBER(SEARCH("Group",Table2[[#This Row],[Round]])),"Group stages",Table2[[#This Row],[Round]])</f>
        <v>Group stages</v>
      </c>
      <c r="O394" s="1">
        <f>Table2[[#This Row],[Year]]</f>
        <v>1986</v>
      </c>
      <c r="P394" s="1" t="str">
        <f>INDEX(Table2[[HomeTeam]:[Group_details]],ROWS($N$2:N394),COLUMNS($N$2:N394))</f>
        <v>Northern Ireland</v>
      </c>
      <c r="Q394" s="1">
        <f>INDEX(Table2[[HomeTeam]:[Group_details]],ROWS($N$2:O394),COLUMNS($N$2:O394))</f>
        <v>0</v>
      </c>
      <c r="R394" s="1">
        <f>INDEX(Table2[[HomeTeam]:[Group_details]],ROWS($N$2:P394),COLUMNS($N$2:P394))</f>
        <v>3</v>
      </c>
      <c r="S394" s="1" t="str">
        <f>INDEX(Table2[[HomeTeam]:[Group_details]],ROWS($N$2:Q394),COLUMNS($N$2:Q394))</f>
        <v>Brazil</v>
      </c>
      <c r="T394" s="1" t="str">
        <f>INDEX(Table2[[HomeTeam]:[Group_details]],ROWS($N$2:R394),COLUMNS($N$2:R394))</f>
        <v xml:space="preserve"> </v>
      </c>
      <c r="U394" s="1" t="str">
        <f>INDEX(Table2[[HomeTeam]:[Group_details]],ROWS($N$2:S394),COLUMNS($N$2:S394))</f>
        <v>Group stages</v>
      </c>
      <c r="V394" s="1" t="b">
        <f t="shared" si="6"/>
        <v>0</v>
      </c>
      <c r="W394" s="1" t="str">
        <f>IF(V394=TRUE,ROWS($V$2:V394),"")</f>
        <v/>
      </c>
      <c r="X394" s="1" t="str">
        <f>IFERROR(SMALL($W$2:$W$853,ROWS($W$2:W394)),"")</f>
        <v/>
      </c>
      <c r="Y394" s="1" t="str">
        <f>IF($X394&lt;&gt;"",INDEX($P$2:$U$853,MATCH($X394,$W$2:$W$853,0),COLUMNS($X$2:X394)),"")</f>
        <v/>
      </c>
      <c r="Z394" s="1" t="str">
        <f>IF($X394&lt;&gt;"",INDEX($P$2:$U$853,MATCH($X394,$W$2:$W$853,0),COLUMNS($X$2:Y394)),"")</f>
        <v/>
      </c>
      <c r="AA394" s="1" t="str">
        <f>IF($X394&lt;&gt;"",INDEX($P$2:$U$853,MATCH($X394,$W$2:$W$853,0),COLUMNS($X$2:Z394)),"")</f>
        <v/>
      </c>
      <c r="AB394" s="1" t="str">
        <f>IF($X394&lt;&gt;"",INDEX($P$2:$U$853,MATCH($X394,$W$2:$W$853,0),COLUMNS($X$2:AA394)),"")</f>
        <v/>
      </c>
      <c r="AC394" s="1" t="str">
        <f>IF($X394&lt;&gt;"",INDEX($P$2:$U$853,MATCH($X394,$W$2:$W$853,0),COLUMNS($X$2:AB394)),"")</f>
        <v/>
      </c>
      <c r="AD394" s="1" t="str">
        <f>IF($X394&lt;&gt;"",INDEX($P$2:$U$853,MATCH($X394,$W$2:$W$853,0),COLUMNS($X$2:AC394)),"")</f>
        <v/>
      </c>
    </row>
    <row r="395" spans="1:30" x14ac:dyDescent="0.2">
      <c r="A395" s="1">
        <v>1986</v>
      </c>
      <c r="B395" s="2">
        <v>31575</v>
      </c>
      <c r="C395" s="1" t="s">
        <v>523</v>
      </c>
      <c r="D395" s="1" t="s">
        <v>270</v>
      </c>
      <c r="E395" s="1" t="s">
        <v>278</v>
      </c>
      <c r="F395" s="1" t="s">
        <v>276</v>
      </c>
      <c r="G395" s="6" t="str">
        <f>VLOOKUP(A395,WorldCups!$A$2:$B$23,2,FALSE)</f>
        <v>Mexico</v>
      </c>
      <c r="H395" s="1" t="s">
        <v>246</v>
      </c>
      <c r="I395" s="1">
        <v>0</v>
      </c>
      <c r="J395" s="1">
        <v>3</v>
      </c>
      <c r="K395" s="1" t="s">
        <v>54</v>
      </c>
      <c r="L395" s="1" t="s">
        <v>14</v>
      </c>
      <c r="M395" s="1" t="str">
        <f>IF(ISNUMBER(SEARCH("Group",Table2[[#This Row],[Round]])),"Group stages",Table2[[#This Row],[Round]])</f>
        <v>Group stages</v>
      </c>
      <c r="O395" s="1">
        <f>Table2[[#This Row],[Year]]</f>
        <v>1986</v>
      </c>
      <c r="P395" s="1" t="str">
        <f>INDEX(Table2[[HomeTeam]:[Group_details]],ROWS($N$2:N395),COLUMNS($N$2:N395))</f>
        <v>Algeria</v>
      </c>
      <c r="Q395" s="1">
        <f>INDEX(Table2[[HomeTeam]:[Group_details]],ROWS($N$2:O395),COLUMNS($N$2:O395))</f>
        <v>0</v>
      </c>
      <c r="R395" s="1">
        <f>INDEX(Table2[[HomeTeam]:[Group_details]],ROWS($N$2:P395),COLUMNS($N$2:P395))</f>
        <v>3</v>
      </c>
      <c r="S395" s="1" t="str">
        <f>INDEX(Table2[[HomeTeam]:[Group_details]],ROWS($N$2:Q395),COLUMNS($N$2:Q395))</f>
        <v>Spain</v>
      </c>
      <c r="T395" s="1" t="str">
        <f>INDEX(Table2[[HomeTeam]:[Group_details]],ROWS($N$2:R395),COLUMNS($N$2:R395))</f>
        <v xml:space="preserve"> </v>
      </c>
      <c r="U395" s="1" t="str">
        <f>INDEX(Table2[[HomeTeam]:[Group_details]],ROWS($N$2:S395),COLUMNS($N$2:S395))</f>
        <v>Group stages</v>
      </c>
      <c r="V395" s="1" t="b">
        <f t="shared" si="6"/>
        <v>0</v>
      </c>
      <c r="W395" s="1" t="str">
        <f>IF(V395=TRUE,ROWS($V$2:V395),"")</f>
        <v/>
      </c>
      <c r="X395" s="1" t="str">
        <f>IFERROR(SMALL($W$2:$W$853,ROWS($W$2:W395)),"")</f>
        <v/>
      </c>
      <c r="Y395" s="1" t="str">
        <f>IF($X395&lt;&gt;"",INDEX($P$2:$U$853,MATCH($X395,$W$2:$W$853,0),COLUMNS($X$2:X395)),"")</f>
        <v/>
      </c>
      <c r="Z395" s="1" t="str">
        <f>IF($X395&lt;&gt;"",INDEX($P$2:$U$853,MATCH($X395,$W$2:$W$853,0),COLUMNS($X$2:Y395)),"")</f>
        <v/>
      </c>
      <c r="AA395" s="1" t="str">
        <f>IF($X395&lt;&gt;"",INDEX($P$2:$U$853,MATCH($X395,$W$2:$W$853,0),COLUMNS($X$2:Z395)),"")</f>
        <v/>
      </c>
      <c r="AB395" s="1" t="str">
        <f>IF($X395&lt;&gt;"",INDEX($P$2:$U$853,MATCH($X395,$W$2:$W$853,0),COLUMNS($X$2:AA395)),"")</f>
        <v/>
      </c>
      <c r="AC395" s="1" t="str">
        <f>IF($X395&lt;&gt;"",INDEX($P$2:$U$853,MATCH($X395,$W$2:$W$853,0),COLUMNS($X$2:AB395)),"")</f>
        <v/>
      </c>
      <c r="AD395" s="1" t="str">
        <f>IF($X395&lt;&gt;"",INDEX($P$2:$U$853,MATCH($X395,$W$2:$W$853,0),COLUMNS($X$2:AC395)),"")</f>
        <v/>
      </c>
    </row>
    <row r="396" spans="1:30" x14ac:dyDescent="0.2">
      <c r="A396" s="1">
        <v>1986</v>
      </c>
      <c r="B396" s="2">
        <v>31576</v>
      </c>
      <c r="C396" s="1" t="s">
        <v>523</v>
      </c>
      <c r="D396" s="1" t="s">
        <v>281</v>
      </c>
      <c r="E396" s="1" t="s">
        <v>282</v>
      </c>
      <c r="F396" s="1" t="s">
        <v>283</v>
      </c>
      <c r="G396" s="6" t="str">
        <f>VLOOKUP(A396,WorldCups!$A$2:$B$23,2,FALSE)</f>
        <v>Mexico</v>
      </c>
      <c r="H396" s="1" t="s">
        <v>109</v>
      </c>
      <c r="I396" s="1">
        <v>0</v>
      </c>
      <c r="J396" s="1">
        <v>0</v>
      </c>
      <c r="K396" s="1" t="s">
        <v>30</v>
      </c>
      <c r="L396" s="1" t="s">
        <v>14</v>
      </c>
      <c r="M396" s="1" t="str">
        <f>IF(ISNUMBER(SEARCH("Group",Table2[[#This Row],[Round]])),"Group stages",Table2[[#This Row],[Round]])</f>
        <v>Group stages</v>
      </c>
      <c r="O396" s="1">
        <f>Table2[[#This Row],[Year]]</f>
        <v>1986</v>
      </c>
      <c r="P396" s="1" t="str">
        <f>INDEX(Table2[[HomeTeam]:[Group_details]],ROWS($N$2:N396),COLUMNS($N$2:N396))</f>
        <v>Scotland</v>
      </c>
      <c r="Q396" s="1">
        <f>INDEX(Table2[[HomeTeam]:[Group_details]],ROWS($N$2:O396),COLUMNS($N$2:O396))</f>
        <v>0</v>
      </c>
      <c r="R396" s="1">
        <f>INDEX(Table2[[HomeTeam]:[Group_details]],ROWS($N$2:P396),COLUMNS($N$2:P396))</f>
        <v>0</v>
      </c>
      <c r="S396" s="1" t="str">
        <f>INDEX(Table2[[HomeTeam]:[Group_details]],ROWS($N$2:Q396),COLUMNS($N$2:Q396))</f>
        <v>Uruguay</v>
      </c>
      <c r="T396" s="1" t="str">
        <f>INDEX(Table2[[HomeTeam]:[Group_details]],ROWS($N$2:R396),COLUMNS($N$2:R396))</f>
        <v xml:space="preserve"> </v>
      </c>
      <c r="U396" s="1" t="str">
        <f>INDEX(Table2[[HomeTeam]:[Group_details]],ROWS($N$2:S396),COLUMNS($N$2:S396))</f>
        <v>Group stages</v>
      </c>
      <c r="V396" s="1" t="b">
        <f t="shared" si="6"/>
        <v>0</v>
      </c>
      <c r="W396" s="1" t="str">
        <f>IF(V396=TRUE,ROWS($V$2:V396),"")</f>
        <v/>
      </c>
      <c r="X396" s="1" t="str">
        <f>IFERROR(SMALL($W$2:$W$853,ROWS($W$2:W396)),"")</f>
        <v/>
      </c>
      <c r="Y396" s="1" t="str">
        <f>IF($X396&lt;&gt;"",INDEX($P$2:$U$853,MATCH($X396,$W$2:$W$853,0),COLUMNS($X$2:X396)),"")</f>
        <v/>
      </c>
      <c r="Z396" s="1" t="str">
        <f>IF($X396&lt;&gt;"",INDEX($P$2:$U$853,MATCH($X396,$W$2:$W$853,0),COLUMNS($X$2:Y396)),"")</f>
        <v/>
      </c>
      <c r="AA396" s="1" t="str">
        <f>IF($X396&lt;&gt;"",INDEX($P$2:$U$853,MATCH($X396,$W$2:$W$853,0),COLUMNS($X$2:Z396)),"")</f>
        <v/>
      </c>
      <c r="AB396" s="1" t="str">
        <f>IF($X396&lt;&gt;"",INDEX($P$2:$U$853,MATCH($X396,$W$2:$W$853,0),COLUMNS($X$2:AA396)),"")</f>
        <v/>
      </c>
      <c r="AC396" s="1" t="str">
        <f>IF($X396&lt;&gt;"",INDEX($P$2:$U$853,MATCH($X396,$W$2:$W$853,0),COLUMNS($X$2:AB396)),"")</f>
        <v/>
      </c>
      <c r="AD396" s="1" t="str">
        <f>IF($X396&lt;&gt;"",INDEX($P$2:$U$853,MATCH($X396,$W$2:$W$853,0),COLUMNS($X$2:AC396)),"")</f>
        <v/>
      </c>
    </row>
    <row r="397" spans="1:30" x14ac:dyDescent="0.2">
      <c r="A397" s="1">
        <v>1986</v>
      </c>
      <c r="B397" s="2">
        <v>31576</v>
      </c>
      <c r="C397" s="1" t="s">
        <v>523</v>
      </c>
      <c r="D397" s="1" t="s">
        <v>281</v>
      </c>
      <c r="E397" s="1" t="s">
        <v>285</v>
      </c>
      <c r="F397" s="1" t="s">
        <v>286</v>
      </c>
      <c r="G397" s="6" t="str">
        <f>VLOOKUP(A397,WorldCups!$A$2:$B$23,2,FALSE)</f>
        <v>Mexico</v>
      </c>
      <c r="H397" s="1" t="s">
        <v>284</v>
      </c>
      <c r="I397" s="1">
        <v>2</v>
      </c>
      <c r="J397" s="1">
        <v>0</v>
      </c>
      <c r="K397" s="1" t="s">
        <v>114</v>
      </c>
      <c r="L397" s="1" t="s">
        <v>14</v>
      </c>
      <c r="M397" s="1" t="str">
        <f>IF(ISNUMBER(SEARCH("Group",Table2[[#This Row],[Round]])),"Group stages",Table2[[#This Row],[Round]])</f>
        <v>Group stages</v>
      </c>
      <c r="O397" s="1">
        <f>Table2[[#This Row],[Year]]</f>
        <v>1986</v>
      </c>
      <c r="P397" s="1" t="str">
        <f>INDEX(Table2[[HomeTeam]:[Group_details]],ROWS($N$2:N397),COLUMNS($N$2:N397))</f>
        <v>Denmark</v>
      </c>
      <c r="Q397" s="1">
        <f>INDEX(Table2[[HomeTeam]:[Group_details]],ROWS($N$2:O397),COLUMNS($N$2:O397))</f>
        <v>2</v>
      </c>
      <c r="R397" s="1">
        <f>INDEX(Table2[[HomeTeam]:[Group_details]],ROWS($N$2:P397),COLUMNS($N$2:P397))</f>
        <v>0</v>
      </c>
      <c r="S397" s="1" t="str">
        <f>INDEX(Table2[[HomeTeam]:[Group_details]],ROWS($N$2:Q397),COLUMNS($N$2:Q397))</f>
        <v>Germany FR</v>
      </c>
      <c r="T397" s="1" t="str">
        <f>INDEX(Table2[[HomeTeam]:[Group_details]],ROWS($N$2:R397),COLUMNS($N$2:R397))</f>
        <v xml:space="preserve"> </v>
      </c>
      <c r="U397" s="1" t="str">
        <f>INDEX(Table2[[HomeTeam]:[Group_details]],ROWS($N$2:S397),COLUMNS($N$2:S397))</f>
        <v>Group stages</v>
      </c>
      <c r="V397" s="1" t="b">
        <f t="shared" si="6"/>
        <v>0</v>
      </c>
      <c r="W397" s="1" t="str">
        <f>IF(V397=TRUE,ROWS($V$2:V397),"")</f>
        <v/>
      </c>
      <c r="X397" s="1" t="str">
        <f>IFERROR(SMALL($W$2:$W$853,ROWS($W$2:W397)),"")</f>
        <v/>
      </c>
      <c r="Y397" s="1" t="str">
        <f>IF($X397&lt;&gt;"",INDEX($P$2:$U$853,MATCH($X397,$W$2:$W$853,0),COLUMNS($X$2:X397)),"")</f>
        <v/>
      </c>
      <c r="Z397" s="1" t="str">
        <f>IF($X397&lt;&gt;"",INDEX($P$2:$U$853,MATCH($X397,$W$2:$W$853,0),COLUMNS($X$2:Y397)),"")</f>
        <v/>
      </c>
      <c r="AA397" s="1" t="str">
        <f>IF($X397&lt;&gt;"",INDEX($P$2:$U$853,MATCH($X397,$W$2:$W$853,0),COLUMNS($X$2:Z397)),"")</f>
        <v/>
      </c>
      <c r="AB397" s="1" t="str">
        <f>IF($X397&lt;&gt;"",INDEX($P$2:$U$853,MATCH($X397,$W$2:$W$853,0),COLUMNS($X$2:AA397)),"")</f>
        <v/>
      </c>
      <c r="AC397" s="1" t="str">
        <f>IF($X397&lt;&gt;"",INDEX($P$2:$U$853,MATCH($X397,$W$2:$W$853,0),COLUMNS($X$2:AB397)),"")</f>
        <v/>
      </c>
      <c r="AD397" s="1" t="str">
        <f>IF($X397&lt;&gt;"",INDEX($P$2:$U$853,MATCH($X397,$W$2:$W$853,0),COLUMNS($X$2:AC397)),"")</f>
        <v/>
      </c>
    </row>
    <row r="398" spans="1:30" x14ac:dyDescent="0.2">
      <c r="A398" s="1">
        <v>1986</v>
      </c>
      <c r="B398" s="2">
        <v>31578</v>
      </c>
      <c r="C398" s="1" t="s">
        <v>503</v>
      </c>
      <c r="D398" s="1" t="s">
        <v>287</v>
      </c>
      <c r="E398" s="1" t="s">
        <v>182</v>
      </c>
      <c r="F398" s="1" t="s">
        <v>183</v>
      </c>
      <c r="G398" s="6" t="str">
        <f>VLOOKUP(A398,WorldCups!$A$2:$B$23,2,FALSE)</f>
        <v>Mexico</v>
      </c>
      <c r="H398" s="1" t="s">
        <v>126</v>
      </c>
      <c r="I398" s="1">
        <v>3</v>
      </c>
      <c r="J398" s="1">
        <v>4</v>
      </c>
      <c r="K398" s="1" t="s">
        <v>18</v>
      </c>
      <c r="L398" s="1" t="s">
        <v>288</v>
      </c>
      <c r="M398" s="1" t="str">
        <f>IF(ISNUMBER(SEARCH("Group",Table2[[#This Row],[Round]])),"Group stages",Table2[[#This Row],[Round]])</f>
        <v>Round of 16</v>
      </c>
      <c r="O398" s="1">
        <f>Table2[[#This Row],[Year]]</f>
        <v>1986</v>
      </c>
      <c r="P398" s="1" t="str">
        <f>INDEX(Table2[[HomeTeam]:[Group_details]],ROWS($N$2:N398),COLUMNS($N$2:N398))</f>
        <v>Soviet Union</v>
      </c>
      <c r="Q398" s="1">
        <f>INDEX(Table2[[HomeTeam]:[Group_details]],ROWS($N$2:O398),COLUMNS($N$2:O398))</f>
        <v>3</v>
      </c>
      <c r="R398" s="1">
        <f>INDEX(Table2[[HomeTeam]:[Group_details]],ROWS($N$2:P398),COLUMNS($N$2:P398))</f>
        <v>4</v>
      </c>
      <c r="S398" s="1" t="str">
        <f>INDEX(Table2[[HomeTeam]:[Group_details]],ROWS($N$2:Q398),COLUMNS($N$2:Q398))</f>
        <v>Belgium</v>
      </c>
      <c r="T398" s="1" t="str">
        <f>INDEX(Table2[[HomeTeam]:[Group_details]],ROWS($N$2:R398),COLUMNS($N$2:R398))</f>
        <v xml:space="preserve">Belgium win after extra time </v>
      </c>
      <c r="U398" s="1" t="str">
        <f>INDEX(Table2[[HomeTeam]:[Group_details]],ROWS($N$2:S398),COLUMNS($N$2:S398))</f>
        <v>Round of 16</v>
      </c>
      <c r="V398" s="1" t="b">
        <f t="shared" si="6"/>
        <v>0</v>
      </c>
      <c r="W398" s="1" t="str">
        <f>IF(V398=TRUE,ROWS($V$2:V398),"")</f>
        <v/>
      </c>
      <c r="X398" s="1" t="str">
        <f>IFERROR(SMALL($W$2:$W$853,ROWS($W$2:W398)),"")</f>
        <v/>
      </c>
      <c r="Y398" s="1" t="str">
        <f>IF($X398&lt;&gt;"",INDEX($P$2:$U$853,MATCH($X398,$W$2:$W$853,0),COLUMNS($X$2:X398)),"")</f>
        <v/>
      </c>
      <c r="Z398" s="1" t="str">
        <f>IF($X398&lt;&gt;"",INDEX($P$2:$U$853,MATCH($X398,$W$2:$W$853,0),COLUMNS($X$2:Y398)),"")</f>
        <v/>
      </c>
      <c r="AA398" s="1" t="str">
        <f>IF($X398&lt;&gt;"",INDEX($P$2:$U$853,MATCH($X398,$W$2:$W$853,0),COLUMNS($X$2:Z398)),"")</f>
        <v/>
      </c>
      <c r="AB398" s="1" t="str">
        <f>IF($X398&lt;&gt;"",INDEX($P$2:$U$853,MATCH($X398,$W$2:$W$853,0),COLUMNS($X$2:AA398)),"")</f>
        <v/>
      </c>
      <c r="AC398" s="1" t="str">
        <f>IF($X398&lt;&gt;"",INDEX($P$2:$U$853,MATCH($X398,$W$2:$W$853,0),COLUMNS($X$2:AB398)),"")</f>
        <v/>
      </c>
      <c r="AD398" s="1" t="str">
        <f>IF($X398&lt;&gt;"",INDEX($P$2:$U$853,MATCH($X398,$W$2:$W$853,0),COLUMNS($X$2:AC398)),"")</f>
        <v/>
      </c>
    </row>
    <row r="399" spans="1:30" x14ac:dyDescent="0.2">
      <c r="A399" s="1">
        <v>1986</v>
      </c>
      <c r="B399" s="2">
        <v>31578</v>
      </c>
      <c r="C399" s="1" t="s">
        <v>523</v>
      </c>
      <c r="D399" s="1" t="s">
        <v>287</v>
      </c>
      <c r="E399" s="1" t="s">
        <v>177</v>
      </c>
      <c r="F399" s="1" t="s">
        <v>178</v>
      </c>
      <c r="G399" s="6" t="str">
        <f>VLOOKUP(A399,WorldCups!$A$2:$B$23,2,FALSE)</f>
        <v>Mexico</v>
      </c>
      <c r="H399" s="1" t="s">
        <v>13</v>
      </c>
      <c r="I399" s="1">
        <v>2</v>
      </c>
      <c r="J399" s="1">
        <v>0</v>
      </c>
      <c r="K399" s="1" t="s">
        <v>156</v>
      </c>
      <c r="L399" s="1" t="s">
        <v>14</v>
      </c>
      <c r="M399" s="1" t="str">
        <f>IF(ISNUMBER(SEARCH("Group",Table2[[#This Row],[Round]])),"Group stages",Table2[[#This Row],[Round]])</f>
        <v>Round of 16</v>
      </c>
      <c r="O399" s="1">
        <f>Table2[[#This Row],[Year]]</f>
        <v>1986</v>
      </c>
      <c r="P399" s="1" t="str">
        <f>INDEX(Table2[[HomeTeam]:[Group_details]],ROWS($N$2:N399),COLUMNS($N$2:N399))</f>
        <v>Mexico</v>
      </c>
      <c r="Q399" s="1">
        <f>INDEX(Table2[[HomeTeam]:[Group_details]],ROWS($N$2:O399),COLUMNS($N$2:O399))</f>
        <v>2</v>
      </c>
      <c r="R399" s="1">
        <f>INDEX(Table2[[HomeTeam]:[Group_details]],ROWS($N$2:P399),COLUMNS($N$2:P399))</f>
        <v>0</v>
      </c>
      <c r="S399" s="1" t="str">
        <f>INDEX(Table2[[HomeTeam]:[Group_details]],ROWS($N$2:Q399),COLUMNS($N$2:Q399))</f>
        <v>Bulgaria</v>
      </c>
      <c r="T399" s="1" t="str">
        <f>INDEX(Table2[[HomeTeam]:[Group_details]],ROWS($N$2:R399),COLUMNS($N$2:R399))</f>
        <v xml:space="preserve"> </v>
      </c>
      <c r="U399" s="1" t="str">
        <f>INDEX(Table2[[HomeTeam]:[Group_details]],ROWS($N$2:S399),COLUMNS($N$2:S399))</f>
        <v>Round of 16</v>
      </c>
      <c r="V399" s="1" t="b">
        <f t="shared" si="6"/>
        <v>0</v>
      </c>
      <c r="W399" s="1" t="str">
        <f>IF(V399=TRUE,ROWS($V$2:V399),"")</f>
        <v/>
      </c>
      <c r="X399" s="1" t="str">
        <f>IFERROR(SMALL($W$2:$W$853,ROWS($W$2:W399)),"")</f>
        <v/>
      </c>
      <c r="Y399" s="1" t="str">
        <f>IF($X399&lt;&gt;"",INDEX($P$2:$U$853,MATCH($X399,$W$2:$W$853,0),COLUMNS($X$2:X399)),"")</f>
        <v/>
      </c>
      <c r="Z399" s="1" t="str">
        <f>IF($X399&lt;&gt;"",INDEX($P$2:$U$853,MATCH($X399,$W$2:$W$853,0),COLUMNS($X$2:Y399)),"")</f>
        <v/>
      </c>
      <c r="AA399" s="1" t="str">
        <f>IF($X399&lt;&gt;"",INDEX($P$2:$U$853,MATCH($X399,$W$2:$W$853,0),COLUMNS($X$2:Z399)),"")</f>
        <v/>
      </c>
      <c r="AB399" s="1" t="str">
        <f>IF($X399&lt;&gt;"",INDEX($P$2:$U$853,MATCH($X399,$W$2:$W$853,0),COLUMNS($X$2:AA399)),"")</f>
        <v/>
      </c>
      <c r="AC399" s="1" t="str">
        <f>IF($X399&lt;&gt;"",INDEX($P$2:$U$853,MATCH($X399,$W$2:$W$853,0),COLUMNS($X$2:AB399)),"")</f>
        <v/>
      </c>
      <c r="AD399" s="1" t="str">
        <f>IF($X399&lt;&gt;"",INDEX($P$2:$U$853,MATCH($X399,$W$2:$W$853,0),COLUMNS($X$2:AC399)),"")</f>
        <v/>
      </c>
    </row>
    <row r="400" spans="1:30" x14ac:dyDescent="0.2">
      <c r="A400" s="1">
        <v>1986</v>
      </c>
      <c r="B400" s="2">
        <v>31579</v>
      </c>
      <c r="C400" s="1" t="s">
        <v>503</v>
      </c>
      <c r="D400" s="1" t="s">
        <v>287</v>
      </c>
      <c r="E400" s="1" t="s">
        <v>179</v>
      </c>
      <c r="F400" s="1" t="s">
        <v>180</v>
      </c>
      <c r="G400" s="6" t="str">
        <f>VLOOKUP(A400,WorldCups!$A$2:$B$23,2,FALSE)</f>
        <v>Mexico</v>
      </c>
      <c r="H400" s="1" t="s">
        <v>25</v>
      </c>
      <c r="I400" s="1">
        <v>1</v>
      </c>
      <c r="J400" s="1">
        <v>0</v>
      </c>
      <c r="K400" s="1" t="s">
        <v>30</v>
      </c>
      <c r="L400" s="1" t="s">
        <v>14</v>
      </c>
      <c r="M400" s="1" t="str">
        <f>IF(ISNUMBER(SEARCH("Group",Table2[[#This Row],[Round]])),"Group stages",Table2[[#This Row],[Round]])</f>
        <v>Round of 16</v>
      </c>
      <c r="O400" s="1">
        <f>Table2[[#This Row],[Year]]</f>
        <v>1986</v>
      </c>
      <c r="P400" s="1" t="str">
        <f>INDEX(Table2[[HomeTeam]:[Group_details]],ROWS($N$2:N400),COLUMNS($N$2:N400))</f>
        <v>Argentina</v>
      </c>
      <c r="Q400" s="1">
        <f>INDEX(Table2[[HomeTeam]:[Group_details]],ROWS($N$2:O400),COLUMNS($N$2:O400))</f>
        <v>1</v>
      </c>
      <c r="R400" s="1">
        <f>INDEX(Table2[[HomeTeam]:[Group_details]],ROWS($N$2:P400),COLUMNS($N$2:P400))</f>
        <v>0</v>
      </c>
      <c r="S400" s="1" t="str">
        <f>INDEX(Table2[[HomeTeam]:[Group_details]],ROWS($N$2:Q400),COLUMNS($N$2:Q400))</f>
        <v>Uruguay</v>
      </c>
      <c r="T400" s="1" t="str">
        <f>INDEX(Table2[[HomeTeam]:[Group_details]],ROWS($N$2:R400),COLUMNS($N$2:R400))</f>
        <v xml:space="preserve"> </v>
      </c>
      <c r="U400" s="1" t="str">
        <f>INDEX(Table2[[HomeTeam]:[Group_details]],ROWS($N$2:S400),COLUMNS($N$2:S400))</f>
        <v>Round of 16</v>
      </c>
      <c r="V400" s="1" t="b">
        <f t="shared" si="6"/>
        <v>0</v>
      </c>
      <c r="W400" s="1" t="str">
        <f>IF(V400=TRUE,ROWS($V$2:V400),"")</f>
        <v/>
      </c>
      <c r="X400" s="1" t="str">
        <f>IFERROR(SMALL($W$2:$W$853,ROWS($W$2:W400)),"")</f>
        <v/>
      </c>
      <c r="Y400" s="1" t="str">
        <f>IF($X400&lt;&gt;"",INDEX($P$2:$U$853,MATCH($X400,$W$2:$W$853,0),COLUMNS($X$2:X400)),"")</f>
        <v/>
      </c>
      <c r="Z400" s="1" t="str">
        <f>IF($X400&lt;&gt;"",INDEX($P$2:$U$853,MATCH($X400,$W$2:$W$853,0),COLUMNS($X$2:Y400)),"")</f>
        <v/>
      </c>
      <c r="AA400" s="1" t="str">
        <f>IF($X400&lt;&gt;"",INDEX($P$2:$U$853,MATCH($X400,$W$2:$W$853,0),COLUMNS($X$2:Z400)),"")</f>
        <v/>
      </c>
      <c r="AB400" s="1" t="str">
        <f>IF($X400&lt;&gt;"",INDEX($P$2:$U$853,MATCH($X400,$W$2:$W$853,0),COLUMNS($X$2:AA400)),"")</f>
        <v/>
      </c>
      <c r="AC400" s="1" t="str">
        <f>IF($X400&lt;&gt;"",INDEX($P$2:$U$853,MATCH($X400,$W$2:$W$853,0),COLUMNS($X$2:AB400)),"")</f>
        <v/>
      </c>
      <c r="AD400" s="1" t="str">
        <f>IF($X400&lt;&gt;"",INDEX($P$2:$U$853,MATCH($X400,$W$2:$W$853,0),COLUMNS($X$2:AC400)),"")</f>
        <v/>
      </c>
    </row>
    <row r="401" spans="1:30" x14ac:dyDescent="0.2">
      <c r="A401" s="1">
        <v>1986</v>
      </c>
      <c r="B401" s="2">
        <v>31579</v>
      </c>
      <c r="C401" s="1" t="s">
        <v>523</v>
      </c>
      <c r="D401" s="1" t="s">
        <v>287</v>
      </c>
      <c r="E401" s="1" t="s">
        <v>184</v>
      </c>
      <c r="F401" s="1" t="s">
        <v>185</v>
      </c>
      <c r="G401" s="6" t="str">
        <f>VLOOKUP(A401,WorldCups!$A$2:$B$23,2,FALSE)</f>
        <v>Mexico</v>
      </c>
      <c r="H401" s="1" t="s">
        <v>21</v>
      </c>
      <c r="I401" s="1">
        <v>4</v>
      </c>
      <c r="J401" s="1">
        <v>0</v>
      </c>
      <c r="K401" s="1" t="s">
        <v>80</v>
      </c>
      <c r="L401" s="1" t="s">
        <v>14</v>
      </c>
      <c r="M401" s="1" t="str">
        <f>IF(ISNUMBER(SEARCH("Group",Table2[[#This Row],[Round]])),"Group stages",Table2[[#This Row],[Round]])</f>
        <v>Round of 16</v>
      </c>
      <c r="O401" s="1">
        <f>Table2[[#This Row],[Year]]</f>
        <v>1986</v>
      </c>
      <c r="P401" s="1" t="str">
        <f>INDEX(Table2[[HomeTeam]:[Group_details]],ROWS($N$2:N401),COLUMNS($N$2:N401))</f>
        <v>Brazil</v>
      </c>
      <c r="Q401" s="1">
        <f>INDEX(Table2[[HomeTeam]:[Group_details]],ROWS($N$2:O401),COLUMNS($N$2:O401))</f>
        <v>4</v>
      </c>
      <c r="R401" s="1">
        <f>INDEX(Table2[[HomeTeam]:[Group_details]],ROWS($N$2:P401),COLUMNS($N$2:P401))</f>
        <v>0</v>
      </c>
      <c r="S401" s="1" t="str">
        <f>INDEX(Table2[[HomeTeam]:[Group_details]],ROWS($N$2:Q401),COLUMNS($N$2:Q401))</f>
        <v>Poland</v>
      </c>
      <c r="T401" s="1" t="str">
        <f>INDEX(Table2[[HomeTeam]:[Group_details]],ROWS($N$2:R401),COLUMNS($N$2:R401))</f>
        <v xml:space="preserve"> </v>
      </c>
      <c r="U401" s="1" t="str">
        <f>INDEX(Table2[[HomeTeam]:[Group_details]],ROWS($N$2:S401),COLUMNS($N$2:S401))</f>
        <v>Round of 16</v>
      </c>
      <c r="V401" s="1" t="b">
        <f t="shared" si="6"/>
        <v>0</v>
      </c>
      <c r="W401" s="1" t="str">
        <f>IF(V401=TRUE,ROWS($V$2:V401),"")</f>
        <v/>
      </c>
      <c r="X401" s="1" t="str">
        <f>IFERROR(SMALL($W$2:$W$853,ROWS($W$2:W401)),"")</f>
        <v/>
      </c>
      <c r="Y401" s="1" t="str">
        <f>IF($X401&lt;&gt;"",INDEX($P$2:$U$853,MATCH($X401,$W$2:$W$853,0),COLUMNS($X$2:X401)),"")</f>
        <v/>
      </c>
      <c r="Z401" s="1" t="str">
        <f>IF($X401&lt;&gt;"",INDEX($P$2:$U$853,MATCH($X401,$W$2:$W$853,0),COLUMNS($X$2:Y401)),"")</f>
        <v/>
      </c>
      <c r="AA401" s="1" t="str">
        <f>IF($X401&lt;&gt;"",INDEX($P$2:$U$853,MATCH($X401,$W$2:$W$853,0),COLUMNS($X$2:Z401)),"")</f>
        <v/>
      </c>
      <c r="AB401" s="1" t="str">
        <f>IF($X401&lt;&gt;"",INDEX($P$2:$U$853,MATCH($X401,$W$2:$W$853,0),COLUMNS($X$2:AA401)),"")</f>
        <v/>
      </c>
      <c r="AC401" s="1" t="str">
        <f>IF($X401&lt;&gt;"",INDEX($P$2:$U$853,MATCH($X401,$W$2:$W$853,0),COLUMNS($X$2:AB401)),"")</f>
        <v/>
      </c>
      <c r="AD401" s="1" t="str">
        <f>IF($X401&lt;&gt;"",INDEX($P$2:$U$853,MATCH($X401,$W$2:$W$853,0),COLUMNS($X$2:AC401)),"")</f>
        <v/>
      </c>
    </row>
    <row r="402" spans="1:30" x14ac:dyDescent="0.2">
      <c r="A402" s="1">
        <v>1986</v>
      </c>
      <c r="B402" s="2">
        <v>31580</v>
      </c>
      <c r="C402" s="1" t="s">
        <v>523</v>
      </c>
      <c r="D402" s="1" t="s">
        <v>287</v>
      </c>
      <c r="E402" s="1" t="s">
        <v>273</v>
      </c>
      <c r="F402" s="1" t="s">
        <v>178</v>
      </c>
      <c r="G402" s="6" t="str">
        <f>VLOOKUP(A402,WorldCups!$A$2:$B$23,2,FALSE)</f>
        <v>Mexico</v>
      </c>
      <c r="H402" s="1" t="s">
        <v>57</v>
      </c>
      <c r="I402" s="1">
        <v>0</v>
      </c>
      <c r="J402" s="1">
        <v>2</v>
      </c>
      <c r="K402" s="1" t="s">
        <v>12</v>
      </c>
      <c r="L402" s="1" t="s">
        <v>14</v>
      </c>
      <c r="M402" s="1" t="str">
        <f>IF(ISNUMBER(SEARCH("Group",Table2[[#This Row],[Round]])),"Group stages",Table2[[#This Row],[Round]])</f>
        <v>Round of 16</v>
      </c>
      <c r="O402" s="1">
        <f>Table2[[#This Row],[Year]]</f>
        <v>1986</v>
      </c>
      <c r="P402" s="1" t="str">
        <f>INDEX(Table2[[HomeTeam]:[Group_details]],ROWS($N$2:N402),COLUMNS($N$2:N402))</f>
        <v>Italy</v>
      </c>
      <c r="Q402" s="1">
        <f>INDEX(Table2[[HomeTeam]:[Group_details]],ROWS($N$2:O402),COLUMNS($N$2:O402))</f>
        <v>0</v>
      </c>
      <c r="R402" s="1">
        <f>INDEX(Table2[[HomeTeam]:[Group_details]],ROWS($N$2:P402),COLUMNS($N$2:P402))</f>
        <v>2</v>
      </c>
      <c r="S402" s="1" t="str">
        <f>INDEX(Table2[[HomeTeam]:[Group_details]],ROWS($N$2:Q402),COLUMNS($N$2:Q402))</f>
        <v>France</v>
      </c>
      <c r="T402" s="1" t="str">
        <f>INDEX(Table2[[HomeTeam]:[Group_details]],ROWS($N$2:R402),COLUMNS($N$2:R402))</f>
        <v xml:space="preserve"> </v>
      </c>
      <c r="U402" s="1" t="str">
        <f>INDEX(Table2[[HomeTeam]:[Group_details]],ROWS($N$2:S402),COLUMNS($N$2:S402))</f>
        <v>Round of 16</v>
      </c>
      <c r="V402" s="1" t="b">
        <f t="shared" si="6"/>
        <v>0</v>
      </c>
      <c r="W402" s="1" t="str">
        <f>IF(V402=TRUE,ROWS($V$2:V402),"")</f>
        <v/>
      </c>
      <c r="X402" s="1" t="str">
        <f>IFERROR(SMALL($W$2:$W$853,ROWS($W$2:W402)),"")</f>
        <v/>
      </c>
      <c r="Y402" s="1" t="str">
        <f>IF($X402&lt;&gt;"",INDEX($P$2:$U$853,MATCH($X402,$W$2:$W$853,0),COLUMNS($X$2:X402)),"")</f>
        <v/>
      </c>
      <c r="Z402" s="1" t="str">
        <f>IF($X402&lt;&gt;"",INDEX($P$2:$U$853,MATCH($X402,$W$2:$W$853,0),COLUMNS($X$2:Y402)),"")</f>
        <v/>
      </c>
      <c r="AA402" s="1" t="str">
        <f>IF($X402&lt;&gt;"",INDEX($P$2:$U$853,MATCH($X402,$W$2:$W$853,0),COLUMNS($X$2:Z402)),"")</f>
        <v/>
      </c>
      <c r="AB402" s="1" t="str">
        <f>IF($X402&lt;&gt;"",INDEX($P$2:$U$853,MATCH($X402,$W$2:$W$853,0),COLUMNS($X$2:AA402)),"")</f>
        <v/>
      </c>
      <c r="AC402" s="1" t="str">
        <f>IF($X402&lt;&gt;"",INDEX($P$2:$U$853,MATCH($X402,$W$2:$W$853,0),COLUMNS($X$2:AB402)),"")</f>
        <v/>
      </c>
      <c r="AD402" s="1" t="str">
        <f>IF($X402&lt;&gt;"",INDEX($P$2:$U$853,MATCH($X402,$W$2:$W$853,0),COLUMNS($X$2:AC402)),"")</f>
        <v/>
      </c>
    </row>
    <row r="403" spans="1:30" x14ac:dyDescent="0.2">
      <c r="A403" s="1">
        <v>1986</v>
      </c>
      <c r="B403" s="2">
        <v>31580</v>
      </c>
      <c r="C403" s="1" t="s">
        <v>503</v>
      </c>
      <c r="D403" s="1" t="s">
        <v>287</v>
      </c>
      <c r="E403" s="1" t="s">
        <v>275</v>
      </c>
      <c r="F403" s="1" t="s">
        <v>276</v>
      </c>
      <c r="G403" s="6" t="str">
        <f>VLOOKUP(A403,WorldCups!$A$2:$B$23,2,FALSE)</f>
        <v>Mexico</v>
      </c>
      <c r="H403" s="1" t="s">
        <v>188</v>
      </c>
      <c r="I403" s="1">
        <v>0</v>
      </c>
      <c r="J403" s="1">
        <v>1</v>
      </c>
      <c r="K403" s="1" t="s">
        <v>114</v>
      </c>
      <c r="L403" s="1" t="s">
        <v>14</v>
      </c>
      <c r="M403" s="1" t="str">
        <f>IF(ISNUMBER(SEARCH("Group",Table2[[#This Row],[Round]])),"Group stages",Table2[[#This Row],[Round]])</f>
        <v>Round of 16</v>
      </c>
      <c r="O403" s="1">
        <f>Table2[[#This Row],[Year]]</f>
        <v>1986</v>
      </c>
      <c r="P403" s="1" t="str">
        <f>INDEX(Table2[[HomeTeam]:[Group_details]],ROWS($N$2:N403),COLUMNS($N$2:N403))</f>
        <v>Morocco</v>
      </c>
      <c r="Q403" s="1">
        <f>INDEX(Table2[[HomeTeam]:[Group_details]],ROWS($N$2:O403),COLUMNS($N$2:O403))</f>
        <v>0</v>
      </c>
      <c r="R403" s="1">
        <f>INDEX(Table2[[HomeTeam]:[Group_details]],ROWS($N$2:P403),COLUMNS($N$2:P403))</f>
        <v>1</v>
      </c>
      <c r="S403" s="1" t="str">
        <f>INDEX(Table2[[HomeTeam]:[Group_details]],ROWS($N$2:Q403),COLUMNS($N$2:Q403))</f>
        <v>Germany FR</v>
      </c>
      <c r="T403" s="1" t="str">
        <f>INDEX(Table2[[HomeTeam]:[Group_details]],ROWS($N$2:R403),COLUMNS($N$2:R403))</f>
        <v xml:space="preserve"> </v>
      </c>
      <c r="U403" s="1" t="str">
        <f>INDEX(Table2[[HomeTeam]:[Group_details]],ROWS($N$2:S403),COLUMNS($N$2:S403))</f>
        <v>Round of 16</v>
      </c>
      <c r="V403" s="1" t="b">
        <f t="shared" si="6"/>
        <v>0</v>
      </c>
      <c r="W403" s="1" t="str">
        <f>IF(V403=TRUE,ROWS($V$2:V403),"")</f>
        <v/>
      </c>
      <c r="X403" s="1" t="str">
        <f>IFERROR(SMALL($W$2:$W$853,ROWS($W$2:W403)),"")</f>
        <v/>
      </c>
      <c r="Y403" s="1" t="str">
        <f>IF($X403&lt;&gt;"",INDEX($P$2:$U$853,MATCH($X403,$W$2:$W$853,0),COLUMNS($X$2:X403)),"")</f>
        <v/>
      </c>
      <c r="Z403" s="1" t="str">
        <f>IF($X403&lt;&gt;"",INDEX($P$2:$U$853,MATCH($X403,$W$2:$W$853,0),COLUMNS($X$2:Y403)),"")</f>
        <v/>
      </c>
      <c r="AA403" s="1" t="str">
        <f>IF($X403&lt;&gt;"",INDEX($P$2:$U$853,MATCH($X403,$W$2:$W$853,0),COLUMNS($X$2:Z403)),"")</f>
        <v/>
      </c>
      <c r="AB403" s="1" t="str">
        <f>IF($X403&lt;&gt;"",INDEX($P$2:$U$853,MATCH($X403,$W$2:$W$853,0),COLUMNS($X$2:AA403)),"")</f>
        <v/>
      </c>
      <c r="AC403" s="1" t="str">
        <f>IF($X403&lt;&gt;"",INDEX($P$2:$U$853,MATCH($X403,$W$2:$W$853,0),COLUMNS($X$2:AB403)),"")</f>
        <v/>
      </c>
      <c r="AD403" s="1" t="str">
        <f>IF($X403&lt;&gt;"",INDEX($P$2:$U$853,MATCH($X403,$W$2:$W$853,0),COLUMNS($X$2:AC403)),"")</f>
        <v/>
      </c>
    </row>
    <row r="404" spans="1:30" x14ac:dyDescent="0.2">
      <c r="A404" s="1">
        <v>1986</v>
      </c>
      <c r="B404" s="2">
        <v>31581</v>
      </c>
      <c r="C404" s="1" t="s">
        <v>523</v>
      </c>
      <c r="D404" s="1" t="s">
        <v>287</v>
      </c>
      <c r="E404" s="1" t="s">
        <v>177</v>
      </c>
      <c r="F404" s="1" t="s">
        <v>178</v>
      </c>
      <c r="G404" s="6" t="str">
        <f>VLOOKUP(A404,WorldCups!$A$2:$B$23,2,FALSE)</f>
        <v>Mexico</v>
      </c>
      <c r="H404" s="1" t="s">
        <v>93</v>
      </c>
      <c r="I404" s="1">
        <v>3</v>
      </c>
      <c r="J404" s="1">
        <v>0</v>
      </c>
      <c r="K404" s="1" t="s">
        <v>28</v>
      </c>
      <c r="L404" s="1" t="s">
        <v>14</v>
      </c>
      <c r="M404" s="1" t="str">
        <f>IF(ISNUMBER(SEARCH("Group",Table2[[#This Row],[Round]])),"Group stages",Table2[[#This Row],[Round]])</f>
        <v>Round of 16</v>
      </c>
      <c r="O404" s="1">
        <f>Table2[[#This Row],[Year]]</f>
        <v>1986</v>
      </c>
      <c r="P404" s="1" t="str">
        <f>INDEX(Table2[[HomeTeam]:[Group_details]],ROWS($N$2:N404),COLUMNS($N$2:N404))</f>
        <v>England</v>
      </c>
      <c r="Q404" s="1">
        <f>INDEX(Table2[[HomeTeam]:[Group_details]],ROWS($N$2:O404),COLUMNS($N$2:O404))</f>
        <v>3</v>
      </c>
      <c r="R404" s="1">
        <f>INDEX(Table2[[HomeTeam]:[Group_details]],ROWS($N$2:P404),COLUMNS($N$2:P404))</f>
        <v>0</v>
      </c>
      <c r="S404" s="1" t="str">
        <f>INDEX(Table2[[HomeTeam]:[Group_details]],ROWS($N$2:Q404),COLUMNS($N$2:Q404))</f>
        <v>Paraguay</v>
      </c>
      <c r="T404" s="1" t="str">
        <f>INDEX(Table2[[HomeTeam]:[Group_details]],ROWS($N$2:R404),COLUMNS($N$2:R404))</f>
        <v xml:space="preserve"> </v>
      </c>
      <c r="U404" s="1" t="str">
        <f>INDEX(Table2[[HomeTeam]:[Group_details]],ROWS($N$2:S404),COLUMNS($N$2:S404))</f>
        <v>Round of 16</v>
      </c>
      <c r="V404" s="1" t="b">
        <f t="shared" si="6"/>
        <v>0</v>
      </c>
      <c r="W404" s="1" t="str">
        <f>IF(V404=TRUE,ROWS($V$2:V404),"")</f>
        <v/>
      </c>
      <c r="X404" s="1" t="str">
        <f>IFERROR(SMALL($W$2:$W$853,ROWS($W$2:W404)),"")</f>
        <v/>
      </c>
      <c r="Y404" s="1" t="str">
        <f>IF($X404&lt;&gt;"",INDEX($P$2:$U$853,MATCH($X404,$W$2:$W$853,0),COLUMNS($X$2:X404)),"")</f>
        <v/>
      </c>
      <c r="Z404" s="1" t="str">
        <f>IF($X404&lt;&gt;"",INDEX($P$2:$U$853,MATCH($X404,$W$2:$W$853,0),COLUMNS($X$2:Y404)),"")</f>
        <v/>
      </c>
      <c r="AA404" s="1" t="str">
        <f>IF($X404&lt;&gt;"",INDEX($P$2:$U$853,MATCH($X404,$W$2:$W$853,0),COLUMNS($X$2:Z404)),"")</f>
        <v/>
      </c>
      <c r="AB404" s="1" t="str">
        <f>IF($X404&lt;&gt;"",INDEX($P$2:$U$853,MATCH($X404,$W$2:$W$853,0),COLUMNS($X$2:AA404)),"")</f>
        <v/>
      </c>
      <c r="AC404" s="1" t="str">
        <f>IF($X404&lt;&gt;"",INDEX($P$2:$U$853,MATCH($X404,$W$2:$W$853,0),COLUMNS($X$2:AB404)),"")</f>
        <v/>
      </c>
      <c r="AD404" s="1" t="str">
        <f>IF($X404&lt;&gt;"",INDEX($P$2:$U$853,MATCH($X404,$W$2:$W$853,0),COLUMNS($X$2:AC404)),"")</f>
        <v/>
      </c>
    </row>
    <row r="405" spans="1:30" x14ac:dyDescent="0.2">
      <c r="A405" s="1">
        <v>1986</v>
      </c>
      <c r="B405" s="2">
        <v>31581</v>
      </c>
      <c r="C405" s="1" t="s">
        <v>503</v>
      </c>
      <c r="D405" s="1" t="s">
        <v>287</v>
      </c>
      <c r="E405" s="1" t="s">
        <v>285</v>
      </c>
      <c r="F405" s="1" t="s">
        <v>286</v>
      </c>
      <c r="G405" s="6" t="str">
        <f>VLOOKUP(A405,WorldCups!$A$2:$B$23,2,FALSE)</f>
        <v>Mexico</v>
      </c>
      <c r="H405" s="1" t="s">
        <v>284</v>
      </c>
      <c r="I405" s="1">
        <v>1</v>
      </c>
      <c r="J405" s="1">
        <v>5</v>
      </c>
      <c r="K405" s="1" t="s">
        <v>54</v>
      </c>
      <c r="L405" s="1" t="s">
        <v>14</v>
      </c>
      <c r="M405" s="1" t="str">
        <f>IF(ISNUMBER(SEARCH("Group",Table2[[#This Row],[Round]])),"Group stages",Table2[[#This Row],[Round]])</f>
        <v>Round of 16</v>
      </c>
      <c r="O405" s="1">
        <f>Table2[[#This Row],[Year]]</f>
        <v>1986</v>
      </c>
      <c r="P405" s="1" t="str">
        <f>INDEX(Table2[[HomeTeam]:[Group_details]],ROWS($N$2:N405),COLUMNS($N$2:N405))</f>
        <v>Denmark</v>
      </c>
      <c r="Q405" s="1">
        <f>INDEX(Table2[[HomeTeam]:[Group_details]],ROWS($N$2:O405),COLUMNS($N$2:O405))</f>
        <v>1</v>
      </c>
      <c r="R405" s="1">
        <f>INDEX(Table2[[HomeTeam]:[Group_details]],ROWS($N$2:P405),COLUMNS($N$2:P405))</f>
        <v>5</v>
      </c>
      <c r="S405" s="1" t="str">
        <f>INDEX(Table2[[HomeTeam]:[Group_details]],ROWS($N$2:Q405),COLUMNS($N$2:Q405))</f>
        <v>Spain</v>
      </c>
      <c r="T405" s="1" t="str">
        <f>INDEX(Table2[[HomeTeam]:[Group_details]],ROWS($N$2:R405),COLUMNS($N$2:R405))</f>
        <v xml:space="preserve"> </v>
      </c>
      <c r="U405" s="1" t="str">
        <f>INDEX(Table2[[HomeTeam]:[Group_details]],ROWS($N$2:S405),COLUMNS($N$2:S405))</f>
        <v>Round of 16</v>
      </c>
      <c r="V405" s="1" t="b">
        <f t="shared" si="6"/>
        <v>0</v>
      </c>
      <c r="W405" s="1" t="str">
        <f>IF(V405=TRUE,ROWS($V$2:V405),"")</f>
        <v/>
      </c>
      <c r="X405" s="1" t="str">
        <f>IFERROR(SMALL($W$2:$W$853,ROWS($W$2:W405)),"")</f>
        <v/>
      </c>
      <c r="Y405" s="1" t="str">
        <f>IF($X405&lt;&gt;"",INDEX($P$2:$U$853,MATCH($X405,$W$2:$W$853,0),COLUMNS($X$2:X405)),"")</f>
        <v/>
      </c>
      <c r="Z405" s="1" t="str">
        <f>IF($X405&lt;&gt;"",INDEX($P$2:$U$853,MATCH($X405,$W$2:$W$853,0),COLUMNS($X$2:Y405)),"")</f>
        <v/>
      </c>
      <c r="AA405" s="1" t="str">
        <f>IF($X405&lt;&gt;"",INDEX($P$2:$U$853,MATCH($X405,$W$2:$W$853,0),COLUMNS($X$2:Z405)),"")</f>
        <v/>
      </c>
      <c r="AB405" s="1" t="str">
        <f>IF($X405&lt;&gt;"",INDEX($P$2:$U$853,MATCH($X405,$W$2:$W$853,0),COLUMNS($X$2:AA405)),"")</f>
        <v/>
      </c>
      <c r="AC405" s="1" t="str">
        <f>IF($X405&lt;&gt;"",INDEX($P$2:$U$853,MATCH($X405,$W$2:$W$853,0),COLUMNS($X$2:AB405)),"")</f>
        <v/>
      </c>
      <c r="AD405" s="1" t="str">
        <f>IF($X405&lt;&gt;"",INDEX($P$2:$U$853,MATCH($X405,$W$2:$W$853,0),COLUMNS($X$2:AC405)),"")</f>
        <v/>
      </c>
    </row>
    <row r="406" spans="1:30" x14ac:dyDescent="0.2">
      <c r="A406" s="1">
        <v>1986</v>
      </c>
      <c r="B406" s="2">
        <v>31584</v>
      </c>
      <c r="C406" s="1" t="s">
        <v>523</v>
      </c>
      <c r="D406" s="1" t="s">
        <v>61</v>
      </c>
      <c r="E406" s="1" t="s">
        <v>184</v>
      </c>
      <c r="F406" s="1" t="s">
        <v>185</v>
      </c>
      <c r="G406" s="6" t="str">
        <f>VLOOKUP(A406,WorldCups!$A$2:$B$23,2,FALSE)</f>
        <v>Mexico</v>
      </c>
      <c r="H406" s="1" t="s">
        <v>21</v>
      </c>
      <c r="I406" s="1">
        <v>1</v>
      </c>
      <c r="J406" s="1">
        <v>1</v>
      </c>
      <c r="K406" s="1" t="s">
        <v>12</v>
      </c>
      <c r="L406" s="1" t="s">
        <v>289</v>
      </c>
      <c r="M406" s="1" t="str">
        <f>IF(ISNUMBER(SEARCH("Group",Table2[[#This Row],[Round]])),"Group stages",Table2[[#This Row],[Round]])</f>
        <v>Quarter-finals</v>
      </c>
      <c r="O406" s="1">
        <f>Table2[[#This Row],[Year]]</f>
        <v>1986</v>
      </c>
      <c r="P406" s="1" t="str">
        <f>INDEX(Table2[[HomeTeam]:[Group_details]],ROWS($N$2:N406),COLUMNS($N$2:N406))</f>
        <v>Brazil</v>
      </c>
      <c r="Q406" s="1">
        <f>INDEX(Table2[[HomeTeam]:[Group_details]],ROWS($N$2:O406),COLUMNS($N$2:O406))</f>
        <v>1</v>
      </c>
      <c r="R406" s="1">
        <f>INDEX(Table2[[HomeTeam]:[Group_details]],ROWS($N$2:P406),COLUMNS($N$2:P406))</f>
        <v>1</v>
      </c>
      <c r="S406" s="1" t="str">
        <f>INDEX(Table2[[HomeTeam]:[Group_details]],ROWS($N$2:Q406),COLUMNS($N$2:Q406))</f>
        <v>France</v>
      </c>
      <c r="T406" s="1" t="str">
        <f>INDEX(Table2[[HomeTeam]:[Group_details]],ROWS($N$2:R406),COLUMNS($N$2:R406))</f>
        <v xml:space="preserve">France win on penalties (3 - 4) </v>
      </c>
      <c r="U406" s="1" t="str">
        <f>INDEX(Table2[[HomeTeam]:[Group_details]],ROWS($N$2:S406),COLUMNS($N$2:S406))</f>
        <v>Quarter-finals</v>
      </c>
      <c r="V406" s="1" t="b">
        <f t="shared" si="6"/>
        <v>0</v>
      </c>
      <c r="W406" s="1" t="str">
        <f>IF(V406=TRUE,ROWS($V$2:V406),"")</f>
        <v/>
      </c>
      <c r="X406" s="1" t="str">
        <f>IFERROR(SMALL($W$2:$W$853,ROWS($W$2:W406)),"")</f>
        <v/>
      </c>
      <c r="Y406" s="1" t="str">
        <f>IF($X406&lt;&gt;"",INDEX($P$2:$U$853,MATCH($X406,$W$2:$W$853,0),COLUMNS($X$2:X406)),"")</f>
        <v/>
      </c>
      <c r="Z406" s="1" t="str">
        <f>IF($X406&lt;&gt;"",INDEX($P$2:$U$853,MATCH($X406,$W$2:$W$853,0),COLUMNS($X$2:Y406)),"")</f>
        <v/>
      </c>
      <c r="AA406" s="1" t="str">
        <f>IF($X406&lt;&gt;"",INDEX($P$2:$U$853,MATCH($X406,$W$2:$W$853,0),COLUMNS($X$2:Z406)),"")</f>
        <v/>
      </c>
      <c r="AB406" s="1" t="str">
        <f>IF($X406&lt;&gt;"",INDEX($P$2:$U$853,MATCH($X406,$W$2:$W$853,0),COLUMNS($X$2:AA406)),"")</f>
        <v/>
      </c>
      <c r="AC406" s="1" t="str">
        <f>IF($X406&lt;&gt;"",INDEX($P$2:$U$853,MATCH($X406,$W$2:$W$853,0),COLUMNS($X$2:AB406)),"")</f>
        <v/>
      </c>
      <c r="AD406" s="1" t="str">
        <f>IF($X406&lt;&gt;"",INDEX($P$2:$U$853,MATCH($X406,$W$2:$W$853,0),COLUMNS($X$2:AC406)),"")</f>
        <v/>
      </c>
    </row>
    <row r="407" spans="1:30" x14ac:dyDescent="0.2">
      <c r="A407" s="1">
        <v>1986</v>
      </c>
      <c r="B407" s="2">
        <v>31584</v>
      </c>
      <c r="C407" s="1" t="s">
        <v>503</v>
      </c>
      <c r="D407" s="1" t="s">
        <v>61</v>
      </c>
      <c r="E407" s="1" t="s">
        <v>275</v>
      </c>
      <c r="F407" s="1" t="s">
        <v>276</v>
      </c>
      <c r="G407" s="6" t="str">
        <f>VLOOKUP(A407,WorldCups!$A$2:$B$23,2,FALSE)</f>
        <v>Mexico</v>
      </c>
      <c r="H407" s="1" t="s">
        <v>114</v>
      </c>
      <c r="I407" s="1">
        <v>0</v>
      </c>
      <c r="J407" s="1">
        <v>0</v>
      </c>
      <c r="K407" s="1" t="s">
        <v>13</v>
      </c>
      <c r="L407" s="1" t="s">
        <v>290</v>
      </c>
      <c r="M407" s="1" t="str">
        <f>IF(ISNUMBER(SEARCH("Group",Table2[[#This Row],[Round]])),"Group stages",Table2[[#This Row],[Round]])</f>
        <v>Quarter-finals</v>
      </c>
      <c r="O407" s="1">
        <f>Table2[[#This Row],[Year]]</f>
        <v>1986</v>
      </c>
      <c r="P407" s="1" t="str">
        <f>INDEX(Table2[[HomeTeam]:[Group_details]],ROWS($N$2:N407),COLUMNS($N$2:N407))</f>
        <v>Germany FR</v>
      </c>
      <c r="Q407" s="1">
        <f>INDEX(Table2[[HomeTeam]:[Group_details]],ROWS($N$2:O407),COLUMNS($N$2:O407))</f>
        <v>0</v>
      </c>
      <c r="R407" s="1">
        <f>INDEX(Table2[[HomeTeam]:[Group_details]],ROWS($N$2:P407),COLUMNS($N$2:P407))</f>
        <v>0</v>
      </c>
      <c r="S407" s="1" t="str">
        <f>INDEX(Table2[[HomeTeam]:[Group_details]],ROWS($N$2:Q407),COLUMNS($N$2:Q407))</f>
        <v>Mexico</v>
      </c>
      <c r="T407" s="1" t="str">
        <f>INDEX(Table2[[HomeTeam]:[Group_details]],ROWS($N$2:R407),COLUMNS($N$2:R407))</f>
        <v xml:space="preserve">Germany FR win on penalties (4 - 1) </v>
      </c>
      <c r="U407" s="1" t="str">
        <f>INDEX(Table2[[HomeTeam]:[Group_details]],ROWS($N$2:S407),COLUMNS($N$2:S407))</f>
        <v>Quarter-finals</v>
      </c>
      <c r="V407" s="1" t="b">
        <f t="shared" si="6"/>
        <v>0</v>
      </c>
      <c r="W407" s="1" t="str">
        <f>IF(V407=TRUE,ROWS($V$2:V407),"")</f>
        <v/>
      </c>
      <c r="X407" s="1" t="str">
        <f>IFERROR(SMALL($W$2:$W$853,ROWS($W$2:W407)),"")</f>
        <v/>
      </c>
      <c r="Y407" s="1" t="str">
        <f>IF($X407&lt;&gt;"",INDEX($P$2:$U$853,MATCH($X407,$W$2:$W$853,0),COLUMNS($X$2:X407)),"")</f>
        <v/>
      </c>
      <c r="Z407" s="1" t="str">
        <f>IF($X407&lt;&gt;"",INDEX($P$2:$U$853,MATCH($X407,$W$2:$W$853,0),COLUMNS($X$2:Y407)),"")</f>
        <v/>
      </c>
      <c r="AA407" s="1" t="str">
        <f>IF($X407&lt;&gt;"",INDEX($P$2:$U$853,MATCH($X407,$W$2:$W$853,0),COLUMNS($X$2:Z407)),"")</f>
        <v/>
      </c>
      <c r="AB407" s="1" t="str">
        <f>IF($X407&lt;&gt;"",INDEX($P$2:$U$853,MATCH($X407,$W$2:$W$853,0),COLUMNS($X$2:AA407)),"")</f>
        <v/>
      </c>
      <c r="AC407" s="1" t="str">
        <f>IF($X407&lt;&gt;"",INDEX($P$2:$U$853,MATCH($X407,$W$2:$W$853,0),COLUMNS($X$2:AB407)),"")</f>
        <v/>
      </c>
      <c r="AD407" s="1" t="str">
        <f>IF($X407&lt;&gt;"",INDEX($P$2:$U$853,MATCH($X407,$W$2:$W$853,0),COLUMNS($X$2:AC407)),"")</f>
        <v/>
      </c>
    </row>
    <row r="408" spans="1:30" x14ac:dyDescent="0.2">
      <c r="A408" s="1">
        <v>1986</v>
      </c>
      <c r="B408" s="2">
        <v>31585</v>
      </c>
      <c r="C408" s="1" t="s">
        <v>503</v>
      </c>
      <c r="D408" s="1" t="s">
        <v>61</v>
      </c>
      <c r="E408" s="1" t="s">
        <v>179</v>
      </c>
      <c r="F408" s="1" t="s">
        <v>180</v>
      </c>
      <c r="G408" s="6" t="str">
        <f>VLOOKUP(A408,WorldCups!$A$2:$B$23,2,FALSE)</f>
        <v>Mexico</v>
      </c>
      <c r="H408" s="1" t="s">
        <v>54</v>
      </c>
      <c r="I408" s="1">
        <v>1</v>
      </c>
      <c r="J408" s="1">
        <v>1</v>
      </c>
      <c r="K408" s="1" t="s">
        <v>18</v>
      </c>
      <c r="L408" s="1" t="s">
        <v>291</v>
      </c>
      <c r="M408" s="1" t="str">
        <f>IF(ISNUMBER(SEARCH("Group",Table2[[#This Row],[Round]])),"Group stages",Table2[[#This Row],[Round]])</f>
        <v>Quarter-finals</v>
      </c>
      <c r="O408" s="1">
        <f>Table2[[#This Row],[Year]]</f>
        <v>1986</v>
      </c>
      <c r="P408" s="1" t="str">
        <f>INDEX(Table2[[HomeTeam]:[Group_details]],ROWS($N$2:N408),COLUMNS($N$2:N408))</f>
        <v>Spain</v>
      </c>
      <c r="Q408" s="1">
        <f>INDEX(Table2[[HomeTeam]:[Group_details]],ROWS($N$2:O408),COLUMNS($N$2:O408))</f>
        <v>1</v>
      </c>
      <c r="R408" s="1">
        <f>INDEX(Table2[[HomeTeam]:[Group_details]],ROWS($N$2:P408),COLUMNS($N$2:P408))</f>
        <v>1</v>
      </c>
      <c r="S408" s="1" t="str">
        <f>INDEX(Table2[[HomeTeam]:[Group_details]],ROWS($N$2:Q408),COLUMNS($N$2:Q408))</f>
        <v>Belgium</v>
      </c>
      <c r="T408" s="1" t="str">
        <f>INDEX(Table2[[HomeTeam]:[Group_details]],ROWS($N$2:R408),COLUMNS($N$2:R408))</f>
        <v xml:space="preserve">Belgium win on penalties (4 - 5) </v>
      </c>
      <c r="U408" s="1" t="str">
        <f>INDEX(Table2[[HomeTeam]:[Group_details]],ROWS($N$2:S408),COLUMNS($N$2:S408))</f>
        <v>Quarter-finals</v>
      </c>
      <c r="V408" s="1" t="b">
        <f t="shared" si="6"/>
        <v>0</v>
      </c>
      <c r="W408" s="1" t="str">
        <f>IF(V408=TRUE,ROWS($V$2:V408),"")</f>
        <v/>
      </c>
      <c r="X408" s="1" t="str">
        <f>IFERROR(SMALL($W$2:$W$853,ROWS($W$2:W408)),"")</f>
        <v/>
      </c>
      <c r="Y408" s="1" t="str">
        <f>IF($X408&lt;&gt;"",INDEX($P$2:$U$853,MATCH($X408,$W$2:$W$853,0),COLUMNS($X$2:X408)),"")</f>
        <v/>
      </c>
      <c r="Z408" s="1" t="str">
        <f>IF($X408&lt;&gt;"",INDEX($P$2:$U$853,MATCH($X408,$W$2:$W$853,0),COLUMNS($X$2:Y408)),"")</f>
        <v/>
      </c>
      <c r="AA408" s="1" t="str">
        <f>IF($X408&lt;&gt;"",INDEX($P$2:$U$853,MATCH($X408,$W$2:$W$853,0),COLUMNS($X$2:Z408)),"")</f>
        <v/>
      </c>
      <c r="AB408" s="1" t="str">
        <f>IF($X408&lt;&gt;"",INDEX($P$2:$U$853,MATCH($X408,$W$2:$W$853,0),COLUMNS($X$2:AA408)),"")</f>
        <v/>
      </c>
      <c r="AC408" s="1" t="str">
        <f>IF($X408&lt;&gt;"",INDEX($P$2:$U$853,MATCH($X408,$W$2:$W$853,0),COLUMNS($X$2:AB408)),"")</f>
        <v/>
      </c>
      <c r="AD408" s="1" t="str">
        <f>IF($X408&lt;&gt;"",INDEX($P$2:$U$853,MATCH($X408,$W$2:$W$853,0),COLUMNS($X$2:AC408)),"")</f>
        <v/>
      </c>
    </row>
    <row r="409" spans="1:30" x14ac:dyDescent="0.2">
      <c r="A409" s="1">
        <v>1986</v>
      </c>
      <c r="B409" s="2">
        <v>31585</v>
      </c>
      <c r="C409" s="1" t="s">
        <v>523</v>
      </c>
      <c r="D409" s="1" t="s">
        <v>61</v>
      </c>
      <c r="E409" s="1" t="s">
        <v>177</v>
      </c>
      <c r="F409" s="1" t="s">
        <v>178</v>
      </c>
      <c r="G409" s="6" t="str">
        <f>VLOOKUP(A409,WorldCups!$A$2:$B$23,2,FALSE)</f>
        <v>Mexico</v>
      </c>
      <c r="H409" s="1" t="s">
        <v>25</v>
      </c>
      <c r="I409" s="1">
        <v>2</v>
      </c>
      <c r="J409" s="1">
        <v>1</v>
      </c>
      <c r="K409" s="1" t="s">
        <v>93</v>
      </c>
      <c r="L409" s="1" t="s">
        <v>14</v>
      </c>
      <c r="M409" s="1" t="str">
        <f>IF(ISNUMBER(SEARCH("Group",Table2[[#This Row],[Round]])),"Group stages",Table2[[#This Row],[Round]])</f>
        <v>Quarter-finals</v>
      </c>
      <c r="O409" s="1">
        <f>Table2[[#This Row],[Year]]</f>
        <v>1986</v>
      </c>
      <c r="P409" s="1" t="str">
        <f>INDEX(Table2[[HomeTeam]:[Group_details]],ROWS($N$2:N409),COLUMNS($N$2:N409))</f>
        <v>Argentina</v>
      </c>
      <c r="Q409" s="1">
        <f>INDEX(Table2[[HomeTeam]:[Group_details]],ROWS($N$2:O409),COLUMNS($N$2:O409))</f>
        <v>2</v>
      </c>
      <c r="R409" s="1">
        <f>INDEX(Table2[[HomeTeam]:[Group_details]],ROWS($N$2:P409),COLUMNS($N$2:P409))</f>
        <v>1</v>
      </c>
      <c r="S409" s="1" t="str">
        <f>INDEX(Table2[[HomeTeam]:[Group_details]],ROWS($N$2:Q409),COLUMNS($N$2:Q409))</f>
        <v>England</v>
      </c>
      <c r="T409" s="1" t="str">
        <f>INDEX(Table2[[HomeTeam]:[Group_details]],ROWS($N$2:R409),COLUMNS($N$2:R409))</f>
        <v xml:space="preserve"> </v>
      </c>
      <c r="U409" s="1" t="str">
        <f>INDEX(Table2[[HomeTeam]:[Group_details]],ROWS($N$2:S409),COLUMNS($N$2:S409))</f>
        <v>Quarter-finals</v>
      </c>
      <c r="V409" s="1" t="b">
        <f t="shared" si="6"/>
        <v>0</v>
      </c>
      <c r="W409" s="1" t="str">
        <f>IF(V409=TRUE,ROWS($V$2:V409),"")</f>
        <v/>
      </c>
      <c r="X409" s="1" t="str">
        <f>IFERROR(SMALL($W$2:$W$853,ROWS($W$2:W409)),"")</f>
        <v/>
      </c>
      <c r="Y409" s="1" t="str">
        <f>IF($X409&lt;&gt;"",INDEX($P$2:$U$853,MATCH($X409,$W$2:$W$853,0),COLUMNS($X$2:X409)),"")</f>
        <v/>
      </c>
      <c r="Z409" s="1" t="str">
        <f>IF($X409&lt;&gt;"",INDEX($P$2:$U$853,MATCH($X409,$W$2:$W$853,0),COLUMNS($X$2:Y409)),"")</f>
        <v/>
      </c>
      <c r="AA409" s="1" t="str">
        <f>IF($X409&lt;&gt;"",INDEX($P$2:$U$853,MATCH($X409,$W$2:$W$853,0),COLUMNS($X$2:Z409)),"")</f>
        <v/>
      </c>
      <c r="AB409" s="1" t="str">
        <f>IF($X409&lt;&gt;"",INDEX($P$2:$U$853,MATCH($X409,$W$2:$W$853,0),COLUMNS($X$2:AA409)),"")</f>
        <v/>
      </c>
      <c r="AC409" s="1" t="str">
        <f>IF($X409&lt;&gt;"",INDEX($P$2:$U$853,MATCH($X409,$W$2:$W$853,0),COLUMNS($X$2:AB409)),"")</f>
        <v/>
      </c>
      <c r="AD409" s="1" t="str">
        <f>IF($X409&lt;&gt;"",INDEX($P$2:$U$853,MATCH($X409,$W$2:$W$853,0),COLUMNS($X$2:AC409)),"")</f>
        <v/>
      </c>
    </row>
    <row r="410" spans="1:30" x14ac:dyDescent="0.2">
      <c r="A410" s="1">
        <v>1986</v>
      </c>
      <c r="B410" s="2">
        <v>31588</v>
      </c>
      <c r="C410" s="1" t="s">
        <v>523</v>
      </c>
      <c r="D410" s="1" t="s">
        <v>31</v>
      </c>
      <c r="E410" s="1" t="s">
        <v>184</v>
      </c>
      <c r="F410" s="1" t="s">
        <v>185</v>
      </c>
      <c r="G410" s="6" t="str">
        <f>VLOOKUP(A410,WorldCups!$A$2:$B$23,2,FALSE)</f>
        <v>Mexico</v>
      </c>
      <c r="H410" s="1" t="s">
        <v>12</v>
      </c>
      <c r="I410" s="1">
        <v>0</v>
      </c>
      <c r="J410" s="1">
        <v>2</v>
      </c>
      <c r="K410" s="1" t="s">
        <v>114</v>
      </c>
      <c r="L410" s="1" t="s">
        <v>14</v>
      </c>
      <c r="M410" s="1" t="str">
        <f>IF(ISNUMBER(SEARCH("Group",Table2[[#This Row],[Round]])),"Group stages",Table2[[#This Row],[Round]])</f>
        <v>Semi-finals</v>
      </c>
      <c r="O410" s="1">
        <f>Table2[[#This Row],[Year]]</f>
        <v>1986</v>
      </c>
      <c r="P410" s="1" t="str">
        <f>INDEX(Table2[[HomeTeam]:[Group_details]],ROWS($N$2:N410),COLUMNS($N$2:N410))</f>
        <v>France</v>
      </c>
      <c r="Q410" s="1">
        <f>INDEX(Table2[[HomeTeam]:[Group_details]],ROWS($N$2:O410),COLUMNS($N$2:O410))</f>
        <v>0</v>
      </c>
      <c r="R410" s="1">
        <f>INDEX(Table2[[HomeTeam]:[Group_details]],ROWS($N$2:P410),COLUMNS($N$2:P410))</f>
        <v>2</v>
      </c>
      <c r="S410" s="1" t="str">
        <f>INDEX(Table2[[HomeTeam]:[Group_details]],ROWS($N$2:Q410),COLUMNS($N$2:Q410))</f>
        <v>Germany FR</v>
      </c>
      <c r="T410" s="1" t="str">
        <f>INDEX(Table2[[HomeTeam]:[Group_details]],ROWS($N$2:R410),COLUMNS($N$2:R410))</f>
        <v xml:space="preserve"> </v>
      </c>
      <c r="U410" s="1" t="str">
        <f>INDEX(Table2[[HomeTeam]:[Group_details]],ROWS($N$2:S410),COLUMNS($N$2:S410))</f>
        <v>Semi-finals</v>
      </c>
      <c r="V410" s="1" t="b">
        <f t="shared" si="6"/>
        <v>0</v>
      </c>
      <c r="W410" s="1" t="str">
        <f>IF(V410=TRUE,ROWS($V$2:V410),"")</f>
        <v/>
      </c>
      <c r="X410" s="1" t="str">
        <f>IFERROR(SMALL($W$2:$W$853,ROWS($W$2:W410)),"")</f>
        <v/>
      </c>
      <c r="Y410" s="1" t="str">
        <f>IF($X410&lt;&gt;"",INDEX($P$2:$U$853,MATCH($X410,$W$2:$W$853,0),COLUMNS($X$2:X410)),"")</f>
        <v/>
      </c>
      <c r="Z410" s="1" t="str">
        <f>IF($X410&lt;&gt;"",INDEX($P$2:$U$853,MATCH($X410,$W$2:$W$853,0),COLUMNS($X$2:Y410)),"")</f>
        <v/>
      </c>
      <c r="AA410" s="1" t="str">
        <f>IF($X410&lt;&gt;"",INDEX($P$2:$U$853,MATCH($X410,$W$2:$W$853,0),COLUMNS($X$2:Z410)),"")</f>
        <v/>
      </c>
      <c r="AB410" s="1" t="str">
        <f>IF($X410&lt;&gt;"",INDEX($P$2:$U$853,MATCH($X410,$W$2:$W$853,0),COLUMNS($X$2:AA410)),"")</f>
        <v/>
      </c>
      <c r="AC410" s="1" t="str">
        <f>IF($X410&lt;&gt;"",INDEX($P$2:$U$853,MATCH($X410,$W$2:$W$853,0),COLUMNS($X$2:AB410)),"")</f>
        <v/>
      </c>
      <c r="AD410" s="1" t="str">
        <f>IF($X410&lt;&gt;"",INDEX($P$2:$U$853,MATCH($X410,$W$2:$W$853,0),COLUMNS($X$2:AC410)),"")</f>
        <v/>
      </c>
    </row>
    <row r="411" spans="1:30" x14ac:dyDescent="0.2">
      <c r="A411" s="1">
        <v>1986</v>
      </c>
      <c r="B411" s="2">
        <v>31588</v>
      </c>
      <c r="C411" s="1" t="s">
        <v>503</v>
      </c>
      <c r="D411" s="1" t="s">
        <v>31</v>
      </c>
      <c r="E411" s="1" t="s">
        <v>177</v>
      </c>
      <c r="F411" s="1" t="s">
        <v>178</v>
      </c>
      <c r="G411" s="6" t="str">
        <f>VLOOKUP(A411,WorldCups!$A$2:$B$23,2,FALSE)</f>
        <v>Mexico</v>
      </c>
      <c r="H411" s="1" t="s">
        <v>25</v>
      </c>
      <c r="I411" s="1">
        <v>2</v>
      </c>
      <c r="J411" s="1">
        <v>0</v>
      </c>
      <c r="K411" s="1" t="s">
        <v>18</v>
      </c>
      <c r="L411" s="1" t="s">
        <v>14</v>
      </c>
      <c r="M411" s="1" t="str">
        <f>IF(ISNUMBER(SEARCH("Group",Table2[[#This Row],[Round]])),"Group stages",Table2[[#This Row],[Round]])</f>
        <v>Semi-finals</v>
      </c>
      <c r="O411" s="1">
        <f>Table2[[#This Row],[Year]]</f>
        <v>1986</v>
      </c>
      <c r="P411" s="1" t="str">
        <f>INDEX(Table2[[HomeTeam]:[Group_details]],ROWS($N$2:N411),COLUMNS($N$2:N411))</f>
        <v>Argentina</v>
      </c>
      <c r="Q411" s="1">
        <f>INDEX(Table2[[HomeTeam]:[Group_details]],ROWS($N$2:O411),COLUMNS($N$2:O411))</f>
        <v>2</v>
      </c>
      <c r="R411" s="1">
        <f>INDEX(Table2[[HomeTeam]:[Group_details]],ROWS($N$2:P411),COLUMNS($N$2:P411))</f>
        <v>0</v>
      </c>
      <c r="S411" s="1" t="str">
        <f>INDEX(Table2[[HomeTeam]:[Group_details]],ROWS($N$2:Q411),COLUMNS($N$2:Q411))</f>
        <v>Belgium</v>
      </c>
      <c r="T411" s="1" t="str">
        <f>INDEX(Table2[[HomeTeam]:[Group_details]],ROWS($N$2:R411),COLUMNS($N$2:R411))</f>
        <v xml:space="preserve"> </v>
      </c>
      <c r="U411" s="1" t="str">
        <f>INDEX(Table2[[HomeTeam]:[Group_details]],ROWS($N$2:S411),COLUMNS($N$2:S411))</f>
        <v>Semi-finals</v>
      </c>
      <c r="V411" s="1" t="b">
        <f t="shared" si="6"/>
        <v>0</v>
      </c>
      <c r="W411" s="1" t="str">
        <f>IF(V411=TRUE,ROWS($V$2:V411),"")</f>
        <v/>
      </c>
      <c r="X411" s="1" t="str">
        <f>IFERROR(SMALL($W$2:$W$853,ROWS($W$2:W411)),"")</f>
        <v/>
      </c>
      <c r="Y411" s="1" t="str">
        <f>IF($X411&lt;&gt;"",INDEX($P$2:$U$853,MATCH($X411,$W$2:$W$853,0),COLUMNS($X$2:X411)),"")</f>
        <v/>
      </c>
      <c r="Z411" s="1" t="str">
        <f>IF($X411&lt;&gt;"",INDEX($P$2:$U$853,MATCH($X411,$W$2:$W$853,0),COLUMNS($X$2:Y411)),"")</f>
        <v/>
      </c>
      <c r="AA411" s="1" t="str">
        <f>IF($X411&lt;&gt;"",INDEX($P$2:$U$853,MATCH($X411,$W$2:$W$853,0),COLUMNS($X$2:Z411)),"")</f>
        <v/>
      </c>
      <c r="AB411" s="1" t="str">
        <f>IF($X411&lt;&gt;"",INDEX($P$2:$U$853,MATCH($X411,$W$2:$W$853,0),COLUMNS($X$2:AA411)),"")</f>
        <v/>
      </c>
      <c r="AC411" s="1" t="str">
        <f>IF($X411&lt;&gt;"",INDEX($P$2:$U$853,MATCH($X411,$W$2:$W$853,0),COLUMNS($X$2:AB411)),"")</f>
        <v/>
      </c>
      <c r="AD411" s="1" t="str">
        <f>IF($X411&lt;&gt;"",INDEX($P$2:$U$853,MATCH($X411,$W$2:$W$853,0),COLUMNS($X$2:AC411)),"")</f>
        <v/>
      </c>
    </row>
    <row r="412" spans="1:30" x14ac:dyDescent="0.2">
      <c r="A412" s="1">
        <v>1986</v>
      </c>
      <c r="B412" s="2">
        <v>31591</v>
      </c>
      <c r="C412" s="1" t="s">
        <v>523</v>
      </c>
      <c r="D412" s="1" t="s">
        <v>62</v>
      </c>
      <c r="E412" s="1" t="s">
        <v>179</v>
      </c>
      <c r="F412" s="1" t="s">
        <v>180</v>
      </c>
      <c r="G412" s="6" t="str">
        <f>VLOOKUP(A412,WorldCups!$A$2:$B$23,2,FALSE)</f>
        <v>Mexico</v>
      </c>
      <c r="H412" s="1" t="s">
        <v>12</v>
      </c>
      <c r="I412" s="1">
        <v>4</v>
      </c>
      <c r="J412" s="1">
        <v>2</v>
      </c>
      <c r="K412" s="1" t="s">
        <v>18</v>
      </c>
      <c r="L412" s="1" t="s">
        <v>292</v>
      </c>
      <c r="M412" s="1" t="str">
        <f>IF(ISNUMBER(SEARCH("Group",Table2[[#This Row],[Round]])),"Group stages",Table2[[#This Row],[Round]])</f>
        <v>Match for third place</v>
      </c>
      <c r="O412" s="1">
        <f>Table2[[#This Row],[Year]]</f>
        <v>1986</v>
      </c>
      <c r="P412" s="1" t="str">
        <f>INDEX(Table2[[HomeTeam]:[Group_details]],ROWS($N$2:N412),COLUMNS($N$2:N412))</f>
        <v>France</v>
      </c>
      <c r="Q412" s="1">
        <f>INDEX(Table2[[HomeTeam]:[Group_details]],ROWS($N$2:O412),COLUMNS($N$2:O412))</f>
        <v>4</v>
      </c>
      <c r="R412" s="1">
        <f>INDEX(Table2[[HomeTeam]:[Group_details]],ROWS($N$2:P412),COLUMNS($N$2:P412))</f>
        <v>2</v>
      </c>
      <c r="S412" s="1" t="str">
        <f>INDEX(Table2[[HomeTeam]:[Group_details]],ROWS($N$2:Q412),COLUMNS($N$2:Q412))</f>
        <v>Belgium</v>
      </c>
      <c r="T412" s="1" t="str">
        <f>INDEX(Table2[[HomeTeam]:[Group_details]],ROWS($N$2:R412),COLUMNS($N$2:R412))</f>
        <v xml:space="preserve">France win after extra time </v>
      </c>
      <c r="U412" s="1" t="str">
        <f>INDEX(Table2[[HomeTeam]:[Group_details]],ROWS($N$2:S412),COLUMNS($N$2:S412))</f>
        <v>Match for third place</v>
      </c>
      <c r="V412" s="1" t="b">
        <f t="shared" si="6"/>
        <v>0</v>
      </c>
      <c r="W412" s="1" t="str">
        <f>IF(V412=TRUE,ROWS($V$2:V412),"")</f>
        <v/>
      </c>
      <c r="X412" s="1" t="str">
        <f>IFERROR(SMALL($W$2:$W$853,ROWS($W$2:W412)),"")</f>
        <v/>
      </c>
      <c r="Y412" s="1" t="str">
        <f>IF($X412&lt;&gt;"",INDEX($P$2:$U$853,MATCH($X412,$W$2:$W$853,0),COLUMNS($X$2:X412)),"")</f>
        <v/>
      </c>
      <c r="Z412" s="1" t="str">
        <f>IF($X412&lt;&gt;"",INDEX($P$2:$U$853,MATCH($X412,$W$2:$W$853,0),COLUMNS($X$2:Y412)),"")</f>
        <v/>
      </c>
      <c r="AA412" s="1" t="str">
        <f>IF($X412&lt;&gt;"",INDEX($P$2:$U$853,MATCH($X412,$W$2:$W$853,0),COLUMNS($X$2:Z412)),"")</f>
        <v/>
      </c>
      <c r="AB412" s="1" t="str">
        <f>IF($X412&lt;&gt;"",INDEX($P$2:$U$853,MATCH($X412,$W$2:$W$853,0),COLUMNS($X$2:AA412)),"")</f>
        <v/>
      </c>
      <c r="AC412" s="1" t="str">
        <f>IF($X412&lt;&gt;"",INDEX($P$2:$U$853,MATCH($X412,$W$2:$W$853,0),COLUMNS($X$2:AB412)),"")</f>
        <v/>
      </c>
      <c r="AD412" s="1" t="str">
        <f>IF($X412&lt;&gt;"",INDEX($P$2:$U$853,MATCH($X412,$W$2:$W$853,0),COLUMNS($X$2:AC412)),"")</f>
        <v/>
      </c>
    </row>
    <row r="413" spans="1:30" x14ac:dyDescent="0.2">
      <c r="A413" s="1">
        <v>1986</v>
      </c>
      <c r="B413" s="2">
        <v>31592</v>
      </c>
      <c r="C413" s="1" t="s">
        <v>523</v>
      </c>
      <c r="D413" s="1" t="s">
        <v>32</v>
      </c>
      <c r="E413" s="1" t="s">
        <v>177</v>
      </c>
      <c r="F413" s="1" t="s">
        <v>178</v>
      </c>
      <c r="G413" s="6" t="str">
        <f>VLOOKUP(A413,WorldCups!$A$2:$B$23,2,FALSE)</f>
        <v>Mexico</v>
      </c>
      <c r="H413" s="1" t="s">
        <v>25</v>
      </c>
      <c r="I413" s="1">
        <v>3</v>
      </c>
      <c r="J413" s="1">
        <v>2</v>
      </c>
      <c r="K413" s="1" t="s">
        <v>114</v>
      </c>
      <c r="L413" s="1" t="s">
        <v>14</v>
      </c>
      <c r="M413" s="1" t="str">
        <f>IF(ISNUMBER(SEARCH("Group",Table2[[#This Row],[Round]])),"Group stages",Table2[[#This Row],[Round]])</f>
        <v>Final</v>
      </c>
      <c r="O413" s="1">
        <f>Table2[[#This Row],[Year]]</f>
        <v>1986</v>
      </c>
      <c r="P413" s="1" t="str">
        <f>INDEX(Table2[[HomeTeam]:[Group_details]],ROWS($N$2:N413),COLUMNS($N$2:N413))</f>
        <v>Argentina</v>
      </c>
      <c r="Q413" s="1">
        <f>INDEX(Table2[[HomeTeam]:[Group_details]],ROWS($N$2:O413),COLUMNS($N$2:O413))</f>
        <v>3</v>
      </c>
      <c r="R413" s="1">
        <f>INDEX(Table2[[HomeTeam]:[Group_details]],ROWS($N$2:P413),COLUMNS($N$2:P413))</f>
        <v>2</v>
      </c>
      <c r="S413" s="1" t="str">
        <f>INDEX(Table2[[HomeTeam]:[Group_details]],ROWS($N$2:Q413),COLUMNS($N$2:Q413))</f>
        <v>Germany FR</v>
      </c>
      <c r="T413" s="1" t="str">
        <f>INDEX(Table2[[HomeTeam]:[Group_details]],ROWS($N$2:R413),COLUMNS($N$2:R413))</f>
        <v xml:space="preserve"> </v>
      </c>
      <c r="U413" s="1" t="str">
        <f>INDEX(Table2[[HomeTeam]:[Group_details]],ROWS($N$2:S413),COLUMNS($N$2:S413))</f>
        <v>Final</v>
      </c>
      <c r="V413" s="1" t="b">
        <f t="shared" si="6"/>
        <v>0</v>
      </c>
      <c r="W413" s="1" t="str">
        <f>IF(V413=TRUE,ROWS($V$2:V413),"")</f>
        <v/>
      </c>
      <c r="X413" s="1" t="str">
        <f>IFERROR(SMALL($W$2:$W$853,ROWS($W$2:W413)),"")</f>
        <v/>
      </c>
      <c r="Y413" s="1" t="str">
        <f>IF($X413&lt;&gt;"",INDEX($P$2:$U$853,MATCH($X413,$W$2:$W$853,0),COLUMNS($X$2:X413)),"")</f>
        <v/>
      </c>
      <c r="Z413" s="1" t="str">
        <f>IF($X413&lt;&gt;"",INDEX($P$2:$U$853,MATCH($X413,$W$2:$W$853,0),COLUMNS($X$2:Y413)),"")</f>
        <v/>
      </c>
      <c r="AA413" s="1" t="str">
        <f>IF($X413&lt;&gt;"",INDEX($P$2:$U$853,MATCH($X413,$W$2:$W$853,0),COLUMNS($X$2:Z413)),"")</f>
        <v/>
      </c>
      <c r="AB413" s="1" t="str">
        <f>IF($X413&lt;&gt;"",INDEX($P$2:$U$853,MATCH($X413,$W$2:$W$853,0),COLUMNS($X$2:AA413)),"")</f>
        <v/>
      </c>
      <c r="AC413" s="1" t="str">
        <f>IF($X413&lt;&gt;"",INDEX($P$2:$U$853,MATCH($X413,$W$2:$W$853,0),COLUMNS($X$2:AB413)),"")</f>
        <v/>
      </c>
      <c r="AD413" s="1" t="str">
        <f>IF($X413&lt;&gt;"",INDEX($P$2:$U$853,MATCH($X413,$W$2:$W$853,0),COLUMNS($X$2:AC413)),"")</f>
        <v/>
      </c>
    </row>
    <row r="414" spans="1:30" x14ac:dyDescent="0.2">
      <c r="A414" s="1">
        <v>1990</v>
      </c>
      <c r="B414" s="2">
        <v>33032</v>
      </c>
      <c r="C414" s="1" t="s">
        <v>510</v>
      </c>
      <c r="D414" s="1" t="s">
        <v>213</v>
      </c>
      <c r="E414" s="1" t="s">
        <v>293</v>
      </c>
      <c r="F414" s="1" t="s">
        <v>43</v>
      </c>
      <c r="G414" s="6" t="str">
        <f>VLOOKUP(A414,WorldCups!$A$2:$B$23,2,FALSE)</f>
        <v>Italy</v>
      </c>
      <c r="H414" s="1" t="s">
        <v>25</v>
      </c>
      <c r="I414" s="1">
        <v>0</v>
      </c>
      <c r="J414" s="1">
        <v>1</v>
      </c>
      <c r="K414" s="1" t="s">
        <v>238</v>
      </c>
      <c r="L414" s="1" t="s">
        <v>14</v>
      </c>
      <c r="M414" s="1" t="str">
        <f>IF(ISNUMBER(SEARCH("Group",Table2[[#This Row],[Round]])),"Group stages",Table2[[#This Row],[Round]])</f>
        <v>Group stages</v>
      </c>
      <c r="O414" s="1">
        <f>Table2[[#This Row],[Year]]</f>
        <v>1990</v>
      </c>
      <c r="P414" s="1" t="str">
        <f>INDEX(Table2[[HomeTeam]:[Group_details]],ROWS($N$2:N414),COLUMNS($N$2:N414))</f>
        <v>Argentina</v>
      </c>
      <c r="Q414" s="1">
        <f>INDEX(Table2[[HomeTeam]:[Group_details]],ROWS($N$2:O414),COLUMNS($N$2:O414))</f>
        <v>0</v>
      </c>
      <c r="R414" s="1">
        <f>INDEX(Table2[[HomeTeam]:[Group_details]],ROWS($N$2:P414),COLUMNS($N$2:P414))</f>
        <v>1</v>
      </c>
      <c r="S414" s="1" t="str">
        <f>INDEX(Table2[[HomeTeam]:[Group_details]],ROWS($N$2:Q414),COLUMNS($N$2:Q414))</f>
        <v>Cameroon</v>
      </c>
      <c r="T414" s="1" t="str">
        <f>INDEX(Table2[[HomeTeam]:[Group_details]],ROWS($N$2:R414),COLUMNS($N$2:R414))</f>
        <v xml:space="preserve"> </v>
      </c>
      <c r="U414" s="1" t="str">
        <f>INDEX(Table2[[HomeTeam]:[Group_details]],ROWS($N$2:S414),COLUMNS($N$2:S414))</f>
        <v>Group stages</v>
      </c>
      <c r="V414" s="1" t="b">
        <f t="shared" si="6"/>
        <v>0</v>
      </c>
      <c r="W414" s="1" t="str">
        <f>IF(V414=TRUE,ROWS($V$2:V414),"")</f>
        <v/>
      </c>
      <c r="X414" s="1" t="str">
        <f>IFERROR(SMALL($W$2:$W$853,ROWS($W$2:W414)),"")</f>
        <v/>
      </c>
      <c r="Y414" s="1" t="str">
        <f>IF($X414&lt;&gt;"",INDEX($P$2:$U$853,MATCH($X414,$W$2:$W$853,0),COLUMNS($X$2:X414)),"")</f>
        <v/>
      </c>
      <c r="Z414" s="1" t="str">
        <f>IF($X414&lt;&gt;"",INDEX($P$2:$U$853,MATCH($X414,$W$2:$W$853,0),COLUMNS($X$2:Y414)),"")</f>
        <v/>
      </c>
      <c r="AA414" s="1" t="str">
        <f>IF($X414&lt;&gt;"",INDEX($P$2:$U$853,MATCH($X414,$W$2:$W$853,0),COLUMNS($X$2:Z414)),"")</f>
        <v/>
      </c>
      <c r="AB414" s="1" t="str">
        <f>IF($X414&lt;&gt;"",INDEX($P$2:$U$853,MATCH($X414,$W$2:$W$853,0),COLUMNS($X$2:AA414)),"")</f>
        <v/>
      </c>
      <c r="AC414" s="1" t="str">
        <f>IF($X414&lt;&gt;"",INDEX($P$2:$U$853,MATCH($X414,$W$2:$W$853,0),COLUMNS($X$2:AB414)),"")</f>
        <v/>
      </c>
      <c r="AD414" s="1" t="str">
        <f>IF($X414&lt;&gt;"",INDEX($P$2:$U$853,MATCH($X414,$W$2:$W$853,0),COLUMNS($X$2:AC414)),"")</f>
        <v/>
      </c>
    </row>
    <row r="415" spans="1:30" x14ac:dyDescent="0.2">
      <c r="A415" s="1">
        <v>1990</v>
      </c>
      <c r="B415" s="2">
        <v>33033</v>
      </c>
      <c r="C415" s="1" t="s">
        <v>512</v>
      </c>
      <c r="D415" s="1" t="s">
        <v>213</v>
      </c>
      <c r="E415" s="1" t="s">
        <v>294</v>
      </c>
      <c r="F415" s="1" t="s">
        <v>295</v>
      </c>
      <c r="G415" s="6" t="str">
        <f>VLOOKUP(A415,WorldCups!$A$2:$B$23,2,FALSE)</f>
        <v>Italy</v>
      </c>
      <c r="H415" s="1" t="s">
        <v>126</v>
      </c>
      <c r="I415" s="1">
        <v>0</v>
      </c>
      <c r="J415" s="1">
        <v>2</v>
      </c>
      <c r="K415" s="1" t="s">
        <v>23</v>
      </c>
      <c r="L415" s="1" t="s">
        <v>14</v>
      </c>
      <c r="M415" s="1" t="str">
        <f>IF(ISNUMBER(SEARCH("Group",Table2[[#This Row],[Round]])),"Group stages",Table2[[#This Row],[Round]])</f>
        <v>Group stages</v>
      </c>
      <c r="O415" s="1">
        <f>Table2[[#This Row],[Year]]</f>
        <v>1990</v>
      </c>
      <c r="P415" s="1" t="str">
        <f>INDEX(Table2[[HomeTeam]:[Group_details]],ROWS($N$2:N415),COLUMNS($N$2:N415))</f>
        <v>Soviet Union</v>
      </c>
      <c r="Q415" s="1">
        <f>INDEX(Table2[[HomeTeam]:[Group_details]],ROWS($N$2:O415),COLUMNS($N$2:O415))</f>
        <v>0</v>
      </c>
      <c r="R415" s="1">
        <f>INDEX(Table2[[HomeTeam]:[Group_details]],ROWS($N$2:P415),COLUMNS($N$2:P415))</f>
        <v>2</v>
      </c>
      <c r="S415" s="1" t="str">
        <f>INDEX(Table2[[HomeTeam]:[Group_details]],ROWS($N$2:Q415),COLUMNS($N$2:Q415))</f>
        <v>Romania</v>
      </c>
      <c r="T415" s="1" t="str">
        <f>INDEX(Table2[[HomeTeam]:[Group_details]],ROWS($N$2:R415),COLUMNS($N$2:R415))</f>
        <v xml:space="preserve"> </v>
      </c>
      <c r="U415" s="1" t="str">
        <f>INDEX(Table2[[HomeTeam]:[Group_details]],ROWS($N$2:S415),COLUMNS($N$2:S415))</f>
        <v>Group stages</v>
      </c>
      <c r="V415" s="1" t="b">
        <f t="shared" si="6"/>
        <v>0</v>
      </c>
      <c r="W415" s="1" t="str">
        <f>IF(V415=TRUE,ROWS($V$2:V415),"")</f>
        <v/>
      </c>
      <c r="X415" s="1" t="str">
        <f>IFERROR(SMALL($W$2:$W$853,ROWS($W$2:W415)),"")</f>
        <v/>
      </c>
      <c r="Y415" s="1" t="str">
        <f>IF($X415&lt;&gt;"",INDEX($P$2:$U$853,MATCH($X415,$W$2:$W$853,0),COLUMNS($X$2:X415)),"")</f>
        <v/>
      </c>
      <c r="Z415" s="1" t="str">
        <f>IF($X415&lt;&gt;"",INDEX($P$2:$U$853,MATCH($X415,$W$2:$W$853,0),COLUMNS($X$2:Y415)),"")</f>
        <v/>
      </c>
      <c r="AA415" s="1" t="str">
        <f>IF($X415&lt;&gt;"",INDEX($P$2:$U$853,MATCH($X415,$W$2:$W$853,0),COLUMNS($X$2:Z415)),"")</f>
        <v/>
      </c>
      <c r="AB415" s="1" t="str">
        <f>IF($X415&lt;&gt;"",INDEX($P$2:$U$853,MATCH($X415,$W$2:$W$853,0),COLUMNS($X$2:AA415)),"")</f>
        <v/>
      </c>
      <c r="AC415" s="1" t="str">
        <f>IF($X415&lt;&gt;"",INDEX($P$2:$U$853,MATCH($X415,$W$2:$W$853,0),COLUMNS($X$2:AB415)),"")</f>
        <v/>
      </c>
      <c r="AD415" s="1" t="str">
        <f>IF($X415&lt;&gt;"",INDEX($P$2:$U$853,MATCH($X415,$W$2:$W$853,0),COLUMNS($X$2:AC415)),"")</f>
        <v/>
      </c>
    </row>
    <row r="416" spans="1:30" x14ac:dyDescent="0.2">
      <c r="A416" s="1">
        <v>1990</v>
      </c>
      <c r="B416" s="2">
        <v>33033</v>
      </c>
      <c r="C416" s="1" t="s">
        <v>512</v>
      </c>
      <c r="D416" s="1" t="s">
        <v>270</v>
      </c>
      <c r="E416" s="1" t="s">
        <v>296</v>
      </c>
      <c r="F416" s="1" t="s">
        <v>47</v>
      </c>
      <c r="G416" s="6" t="str">
        <f>VLOOKUP(A416,WorldCups!$A$2:$B$23,2,FALSE)</f>
        <v>Italy</v>
      </c>
      <c r="H416" s="1" t="s">
        <v>297</v>
      </c>
      <c r="I416" s="1">
        <v>0</v>
      </c>
      <c r="J416" s="1">
        <v>2</v>
      </c>
      <c r="K416" s="1" t="s">
        <v>151</v>
      </c>
      <c r="L416" s="1" t="s">
        <v>14</v>
      </c>
      <c r="M416" s="1" t="str">
        <f>IF(ISNUMBER(SEARCH("Group",Table2[[#This Row],[Round]])),"Group stages",Table2[[#This Row],[Round]])</f>
        <v>Group stages</v>
      </c>
      <c r="O416" s="1">
        <f>Table2[[#This Row],[Year]]</f>
        <v>1990</v>
      </c>
      <c r="P416" s="1" t="str">
        <f>INDEX(Table2[[HomeTeam]:[Group_details]],ROWS($N$2:N416),COLUMNS($N$2:N416))</f>
        <v>United Arab Emirates</v>
      </c>
      <c r="Q416" s="1">
        <f>INDEX(Table2[[HomeTeam]:[Group_details]],ROWS($N$2:O416),COLUMNS($N$2:O416))</f>
        <v>0</v>
      </c>
      <c r="R416" s="1">
        <f>INDEX(Table2[[HomeTeam]:[Group_details]],ROWS($N$2:P416),COLUMNS($N$2:P416))</f>
        <v>2</v>
      </c>
      <c r="S416" s="1" t="str">
        <f>INDEX(Table2[[HomeTeam]:[Group_details]],ROWS($N$2:Q416),COLUMNS($N$2:Q416))</f>
        <v>Colombia</v>
      </c>
      <c r="T416" s="1" t="str">
        <f>INDEX(Table2[[HomeTeam]:[Group_details]],ROWS($N$2:R416),COLUMNS($N$2:R416))</f>
        <v xml:space="preserve"> </v>
      </c>
      <c r="U416" s="1" t="str">
        <f>INDEX(Table2[[HomeTeam]:[Group_details]],ROWS($N$2:S416),COLUMNS($N$2:S416))</f>
        <v>Group stages</v>
      </c>
      <c r="V416" s="1" t="b">
        <f t="shared" si="6"/>
        <v>0</v>
      </c>
      <c r="W416" s="1" t="str">
        <f>IF(V416=TRUE,ROWS($V$2:V416),"")</f>
        <v/>
      </c>
      <c r="X416" s="1" t="str">
        <f>IFERROR(SMALL($W$2:$W$853,ROWS($W$2:W416)),"")</f>
        <v/>
      </c>
      <c r="Y416" s="1" t="str">
        <f>IF($X416&lt;&gt;"",INDEX($P$2:$U$853,MATCH($X416,$W$2:$W$853,0),COLUMNS($X$2:X416)),"")</f>
        <v/>
      </c>
      <c r="Z416" s="1" t="str">
        <f>IF($X416&lt;&gt;"",INDEX($P$2:$U$853,MATCH($X416,$W$2:$W$853,0),COLUMNS($X$2:Y416)),"")</f>
        <v/>
      </c>
      <c r="AA416" s="1" t="str">
        <f>IF($X416&lt;&gt;"",INDEX($P$2:$U$853,MATCH($X416,$W$2:$W$853,0),COLUMNS($X$2:Z416)),"")</f>
        <v/>
      </c>
      <c r="AB416" s="1" t="str">
        <f>IF($X416&lt;&gt;"",INDEX($P$2:$U$853,MATCH($X416,$W$2:$W$853,0),COLUMNS($X$2:AA416)),"")</f>
        <v/>
      </c>
      <c r="AC416" s="1" t="str">
        <f>IF($X416&lt;&gt;"",INDEX($P$2:$U$853,MATCH($X416,$W$2:$W$853,0),COLUMNS($X$2:AB416)),"")</f>
        <v/>
      </c>
      <c r="AD416" s="1" t="str">
        <f>IF($X416&lt;&gt;"",INDEX($P$2:$U$853,MATCH($X416,$W$2:$W$853,0),COLUMNS($X$2:AC416)),"")</f>
        <v/>
      </c>
    </row>
    <row r="417" spans="1:30" x14ac:dyDescent="0.2">
      <c r="A417" s="1">
        <v>1990</v>
      </c>
      <c r="B417" s="2">
        <v>33033</v>
      </c>
      <c r="C417" s="1" t="s">
        <v>530</v>
      </c>
      <c r="D417" s="1" t="s">
        <v>214</v>
      </c>
      <c r="E417" s="1" t="s">
        <v>298</v>
      </c>
      <c r="F417" s="1" t="s">
        <v>56</v>
      </c>
      <c r="G417" s="6" t="str">
        <f>VLOOKUP(A417,WorldCups!$A$2:$B$23,2,FALSE)</f>
        <v>Italy</v>
      </c>
      <c r="H417" s="1" t="s">
        <v>57</v>
      </c>
      <c r="I417" s="1">
        <v>1</v>
      </c>
      <c r="J417" s="1">
        <v>0</v>
      </c>
      <c r="K417" s="1" t="s">
        <v>36</v>
      </c>
      <c r="L417" s="1" t="s">
        <v>14</v>
      </c>
      <c r="M417" s="1" t="str">
        <f>IF(ISNUMBER(SEARCH("Group",Table2[[#This Row],[Round]])),"Group stages",Table2[[#This Row],[Round]])</f>
        <v>Group stages</v>
      </c>
      <c r="O417" s="1">
        <f>Table2[[#This Row],[Year]]</f>
        <v>1990</v>
      </c>
      <c r="P417" s="1" t="str">
        <f>INDEX(Table2[[HomeTeam]:[Group_details]],ROWS($N$2:N417),COLUMNS($N$2:N417))</f>
        <v>Italy</v>
      </c>
      <c r="Q417" s="1">
        <f>INDEX(Table2[[HomeTeam]:[Group_details]],ROWS($N$2:O417),COLUMNS($N$2:O417))</f>
        <v>1</v>
      </c>
      <c r="R417" s="1">
        <f>INDEX(Table2[[HomeTeam]:[Group_details]],ROWS($N$2:P417),COLUMNS($N$2:P417))</f>
        <v>0</v>
      </c>
      <c r="S417" s="1" t="str">
        <f>INDEX(Table2[[HomeTeam]:[Group_details]],ROWS($N$2:Q417),COLUMNS($N$2:Q417))</f>
        <v>Austria</v>
      </c>
      <c r="T417" s="1" t="str">
        <f>INDEX(Table2[[HomeTeam]:[Group_details]],ROWS($N$2:R417),COLUMNS($N$2:R417))</f>
        <v xml:space="preserve"> </v>
      </c>
      <c r="U417" s="1" t="str">
        <f>INDEX(Table2[[HomeTeam]:[Group_details]],ROWS($N$2:S417),COLUMNS($N$2:S417))</f>
        <v>Group stages</v>
      </c>
      <c r="V417" s="1" t="b">
        <f t="shared" si="6"/>
        <v>0</v>
      </c>
      <c r="W417" s="1" t="str">
        <f>IF(V417=TRUE,ROWS($V$2:V417),"")</f>
        <v/>
      </c>
      <c r="X417" s="1" t="str">
        <f>IFERROR(SMALL($W$2:$W$853,ROWS($W$2:W417)),"")</f>
        <v/>
      </c>
      <c r="Y417" s="1" t="str">
        <f>IF($X417&lt;&gt;"",INDEX($P$2:$U$853,MATCH($X417,$W$2:$W$853,0),COLUMNS($X$2:X417)),"")</f>
        <v/>
      </c>
      <c r="Z417" s="1" t="str">
        <f>IF($X417&lt;&gt;"",INDEX($P$2:$U$853,MATCH($X417,$W$2:$W$853,0),COLUMNS($X$2:Y417)),"")</f>
        <v/>
      </c>
      <c r="AA417" s="1" t="str">
        <f>IF($X417&lt;&gt;"",INDEX($P$2:$U$853,MATCH($X417,$W$2:$W$853,0),COLUMNS($X$2:Z417)),"")</f>
        <v/>
      </c>
      <c r="AB417" s="1" t="str">
        <f>IF($X417&lt;&gt;"",INDEX($P$2:$U$853,MATCH($X417,$W$2:$W$853,0),COLUMNS($X$2:AA417)),"")</f>
        <v/>
      </c>
      <c r="AC417" s="1" t="str">
        <f>IF($X417&lt;&gt;"",INDEX($P$2:$U$853,MATCH($X417,$W$2:$W$853,0),COLUMNS($X$2:AB417)),"")</f>
        <v/>
      </c>
      <c r="AD417" s="1" t="str">
        <f>IF($X417&lt;&gt;"",INDEX($P$2:$U$853,MATCH($X417,$W$2:$W$853,0),COLUMNS($X$2:AC417)),"")</f>
        <v/>
      </c>
    </row>
    <row r="418" spans="1:30" x14ac:dyDescent="0.2">
      <c r="A418" s="1">
        <v>1990</v>
      </c>
      <c r="B418" s="2">
        <v>33034</v>
      </c>
      <c r="C418" s="1" t="s">
        <v>512</v>
      </c>
      <c r="D418" s="1" t="s">
        <v>214</v>
      </c>
      <c r="E418" s="1" t="s">
        <v>299</v>
      </c>
      <c r="F418" s="1" t="s">
        <v>50</v>
      </c>
      <c r="G418" s="6" t="str">
        <f>VLOOKUP(A418,WorldCups!$A$2:$B$23,2,FALSE)</f>
        <v>Italy</v>
      </c>
      <c r="H418" s="1" t="s">
        <v>17</v>
      </c>
      <c r="I418" s="1">
        <v>1</v>
      </c>
      <c r="J418" s="1">
        <v>5</v>
      </c>
      <c r="K418" s="1" t="s">
        <v>60</v>
      </c>
      <c r="L418" s="1" t="s">
        <v>14</v>
      </c>
      <c r="M418" s="1" t="str">
        <f>IF(ISNUMBER(SEARCH("Group",Table2[[#This Row],[Round]])),"Group stages",Table2[[#This Row],[Round]])</f>
        <v>Group stages</v>
      </c>
      <c r="O418" s="1">
        <f>Table2[[#This Row],[Year]]</f>
        <v>1990</v>
      </c>
      <c r="P418" s="1" t="str">
        <f>INDEX(Table2[[HomeTeam]:[Group_details]],ROWS($N$2:N418),COLUMNS($N$2:N418))</f>
        <v>USA</v>
      </c>
      <c r="Q418" s="1">
        <f>INDEX(Table2[[HomeTeam]:[Group_details]],ROWS($N$2:O418),COLUMNS($N$2:O418))</f>
        <v>1</v>
      </c>
      <c r="R418" s="1">
        <f>INDEX(Table2[[HomeTeam]:[Group_details]],ROWS($N$2:P418),COLUMNS($N$2:P418))</f>
        <v>5</v>
      </c>
      <c r="S418" s="1" t="str">
        <f>INDEX(Table2[[HomeTeam]:[Group_details]],ROWS($N$2:Q418),COLUMNS($N$2:Q418))</f>
        <v>Czechoslovakia</v>
      </c>
      <c r="T418" s="1" t="str">
        <f>INDEX(Table2[[HomeTeam]:[Group_details]],ROWS($N$2:R418),COLUMNS($N$2:R418))</f>
        <v xml:space="preserve"> </v>
      </c>
      <c r="U418" s="1" t="str">
        <f>INDEX(Table2[[HomeTeam]:[Group_details]],ROWS($N$2:S418),COLUMNS($N$2:S418))</f>
        <v>Group stages</v>
      </c>
      <c r="V418" s="1" t="b">
        <f t="shared" si="6"/>
        <v>0</v>
      </c>
      <c r="W418" s="1" t="str">
        <f>IF(V418=TRUE,ROWS($V$2:V418),"")</f>
        <v/>
      </c>
      <c r="X418" s="1" t="str">
        <f>IFERROR(SMALL($W$2:$W$853,ROWS($W$2:W418)),"")</f>
        <v/>
      </c>
      <c r="Y418" s="1" t="str">
        <f>IF($X418&lt;&gt;"",INDEX($P$2:$U$853,MATCH($X418,$W$2:$W$853,0),COLUMNS($X$2:X418)),"")</f>
        <v/>
      </c>
      <c r="Z418" s="1" t="str">
        <f>IF($X418&lt;&gt;"",INDEX($P$2:$U$853,MATCH($X418,$W$2:$W$853,0),COLUMNS($X$2:Y418)),"")</f>
        <v/>
      </c>
      <c r="AA418" s="1" t="str">
        <f>IF($X418&lt;&gt;"",INDEX($P$2:$U$853,MATCH($X418,$W$2:$W$853,0),COLUMNS($X$2:Z418)),"")</f>
        <v/>
      </c>
      <c r="AB418" s="1" t="str">
        <f>IF($X418&lt;&gt;"",INDEX($P$2:$U$853,MATCH($X418,$W$2:$W$853,0),COLUMNS($X$2:AA418)),"")</f>
        <v/>
      </c>
      <c r="AC418" s="1" t="str">
        <f>IF($X418&lt;&gt;"",INDEX($P$2:$U$853,MATCH($X418,$W$2:$W$853,0),COLUMNS($X$2:AB418)),"")</f>
        <v/>
      </c>
      <c r="AD418" s="1" t="str">
        <f>IF($X418&lt;&gt;"",INDEX($P$2:$U$853,MATCH($X418,$W$2:$W$853,0),COLUMNS($X$2:AC418)),"")</f>
        <v/>
      </c>
    </row>
    <row r="419" spans="1:30" x14ac:dyDescent="0.2">
      <c r="A419" s="1">
        <v>1990</v>
      </c>
      <c r="B419" s="2">
        <v>33034</v>
      </c>
      <c r="C419" s="1" t="s">
        <v>530</v>
      </c>
      <c r="D419" s="1" t="s">
        <v>268</v>
      </c>
      <c r="E419" s="1" t="s">
        <v>300</v>
      </c>
      <c r="F419" s="1" t="s">
        <v>35</v>
      </c>
      <c r="G419" s="6" t="str">
        <f>VLOOKUP(A419,WorldCups!$A$2:$B$23,2,FALSE)</f>
        <v>Italy</v>
      </c>
      <c r="H419" s="1" t="s">
        <v>21</v>
      </c>
      <c r="I419" s="1">
        <v>2</v>
      </c>
      <c r="J419" s="1">
        <v>1</v>
      </c>
      <c r="K419" s="1" t="s">
        <v>48</v>
      </c>
      <c r="L419" s="1" t="s">
        <v>14</v>
      </c>
      <c r="M419" s="1" t="str">
        <f>IF(ISNUMBER(SEARCH("Group",Table2[[#This Row],[Round]])),"Group stages",Table2[[#This Row],[Round]])</f>
        <v>Group stages</v>
      </c>
      <c r="O419" s="1">
        <f>Table2[[#This Row],[Year]]</f>
        <v>1990</v>
      </c>
      <c r="P419" s="1" t="str">
        <f>INDEX(Table2[[HomeTeam]:[Group_details]],ROWS($N$2:N419),COLUMNS($N$2:N419))</f>
        <v>Brazil</v>
      </c>
      <c r="Q419" s="1">
        <f>INDEX(Table2[[HomeTeam]:[Group_details]],ROWS($N$2:O419),COLUMNS($N$2:O419))</f>
        <v>2</v>
      </c>
      <c r="R419" s="1">
        <f>INDEX(Table2[[HomeTeam]:[Group_details]],ROWS($N$2:P419),COLUMNS($N$2:P419))</f>
        <v>1</v>
      </c>
      <c r="S419" s="1" t="str">
        <f>INDEX(Table2[[HomeTeam]:[Group_details]],ROWS($N$2:Q419),COLUMNS($N$2:Q419))</f>
        <v>Sweden</v>
      </c>
      <c r="T419" s="1" t="str">
        <f>INDEX(Table2[[HomeTeam]:[Group_details]],ROWS($N$2:R419),COLUMNS($N$2:R419))</f>
        <v xml:space="preserve"> </v>
      </c>
      <c r="U419" s="1" t="str">
        <f>INDEX(Table2[[HomeTeam]:[Group_details]],ROWS($N$2:S419),COLUMNS($N$2:S419))</f>
        <v>Group stages</v>
      </c>
      <c r="V419" s="1" t="b">
        <f t="shared" si="6"/>
        <v>0</v>
      </c>
      <c r="W419" s="1" t="str">
        <f>IF(V419=TRUE,ROWS($V$2:V419),"")</f>
        <v/>
      </c>
      <c r="X419" s="1" t="str">
        <f>IFERROR(SMALL($W$2:$W$853,ROWS($W$2:W419)),"")</f>
        <v/>
      </c>
      <c r="Y419" s="1" t="str">
        <f>IF($X419&lt;&gt;"",INDEX($P$2:$U$853,MATCH($X419,$W$2:$W$853,0),COLUMNS($X$2:X419)),"")</f>
        <v/>
      </c>
      <c r="Z419" s="1" t="str">
        <f>IF($X419&lt;&gt;"",INDEX($P$2:$U$853,MATCH($X419,$W$2:$W$853,0),COLUMNS($X$2:Y419)),"")</f>
        <v/>
      </c>
      <c r="AA419" s="1" t="str">
        <f>IF($X419&lt;&gt;"",INDEX($P$2:$U$853,MATCH($X419,$W$2:$W$853,0),COLUMNS($X$2:Z419)),"")</f>
        <v/>
      </c>
      <c r="AB419" s="1" t="str">
        <f>IF($X419&lt;&gt;"",INDEX($P$2:$U$853,MATCH($X419,$W$2:$W$853,0),COLUMNS($X$2:AA419)),"")</f>
        <v/>
      </c>
      <c r="AC419" s="1" t="str">
        <f>IF($X419&lt;&gt;"",INDEX($P$2:$U$853,MATCH($X419,$W$2:$W$853,0),COLUMNS($X$2:AB419)),"")</f>
        <v/>
      </c>
      <c r="AD419" s="1" t="str">
        <f>IF($X419&lt;&gt;"",INDEX($P$2:$U$853,MATCH($X419,$W$2:$W$853,0),COLUMNS($X$2:AC419)),"")</f>
        <v/>
      </c>
    </row>
    <row r="420" spans="1:30" x14ac:dyDescent="0.2">
      <c r="A420" s="1">
        <v>1990</v>
      </c>
      <c r="B420" s="2">
        <v>33034</v>
      </c>
      <c r="C420" s="1" t="s">
        <v>530</v>
      </c>
      <c r="D420" s="1" t="s">
        <v>270</v>
      </c>
      <c r="E420" s="1" t="s">
        <v>293</v>
      </c>
      <c r="F420" s="1" t="s">
        <v>43</v>
      </c>
      <c r="G420" s="6" t="str">
        <f>VLOOKUP(A420,WorldCups!$A$2:$B$23,2,FALSE)</f>
        <v>Italy</v>
      </c>
      <c r="H420" s="1" t="s">
        <v>114</v>
      </c>
      <c r="I420" s="1">
        <v>4</v>
      </c>
      <c r="J420" s="1">
        <v>1</v>
      </c>
      <c r="K420" s="1" t="s">
        <v>20</v>
      </c>
      <c r="L420" s="1" t="s">
        <v>14</v>
      </c>
      <c r="M420" s="1" t="str">
        <f>IF(ISNUMBER(SEARCH("Group",Table2[[#This Row],[Round]])),"Group stages",Table2[[#This Row],[Round]])</f>
        <v>Group stages</v>
      </c>
      <c r="O420" s="1">
        <f>Table2[[#This Row],[Year]]</f>
        <v>1990</v>
      </c>
      <c r="P420" s="1" t="str">
        <f>INDEX(Table2[[HomeTeam]:[Group_details]],ROWS($N$2:N420),COLUMNS($N$2:N420))</f>
        <v>Germany FR</v>
      </c>
      <c r="Q420" s="1">
        <f>INDEX(Table2[[HomeTeam]:[Group_details]],ROWS($N$2:O420),COLUMNS($N$2:O420))</f>
        <v>4</v>
      </c>
      <c r="R420" s="1">
        <f>INDEX(Table2[[HomeTeam]:[Group_details]],ROWS($N$2:P420),COLUMNS($N$2:P420))</f>
        <v>1</v>
      </c>
      <c r="S420" s="1" t="str">
        <f>INDEX(Table2[[HomeTeam]:[Group_details]],ROWS($N$2:Q420),COLUMNS($N$2:Q420))</f>
        <v>Yugoslavia</v>
      </c>
      <c r="T420" s="1" t="str">
        <f>INDEX(Table2[[HomeTeam]:[Group_details]],ROWS($N$2:R420),COLUMNS($N$2:R420))</f>
        <v xml:space="preserve"> </v>
      </c>
      <c r="U420" s="1" t="str">
        <f>INDEX(Table2[[HomeTeam]:[Group_details]],ROWS($N$2:S420),COLUMNS($N$2:S420))</f>
        <v>Group stages</v>
      </c>
      <c r="V420" s="1" t="b">
        <f t="shared" si="6"/>
        <v>0</v>
      </c>
      <c r="W420" s="1" t="str">
        <f>IF(V420=TRUE,ROWS($V$2:V420),"")</f>
        <v/>
      </c>
      <c r="X420" s="1" t="str">
        <f>IFERROR(SMALL($W$2:$W$853,ROWS($W$2:W420)),"")</f>
        <v/>
      </c>
      <c r="Y420" s="1" t="str">
        <f>IF($X420&lt;&gt;"",INDEX($P$2:$U$853,MATCH($X420,$W$2:$W$853,0),COLUMNS($X$2:X420)),"")</f>
        <v/>
      </c>
      <c r="Z420" s="1" t="str">
        <f>IF($X420&lt;&gt;"",INDEX($P$2:$U$853,MATCH($X420,$W$2:$W$853,0),COLUMNS($X$2:Y420)),"")</f>
        <v/>
      </c>
      <c r="AA420" s="1" t="str">
        <f>IF($X420&lt;&gt;"",INDEX($P$2:$U$853,MATCH($X420,$W$2:$W$853,0),COLUMNS($X$2:Z420)),"")</f>
        <v/>
      </c>
      <c r="AB420" s="1" t="str">
        <f>IF($X420&lt;&gt;"",INDEX($P$2:$U$853,MATCH($X420,$W$2:$W$853,0),COLUMNS($X$2:AA420)),"")</f>
        <v/>
      </c>
      <c r="AC420" s="1" t="str">
        <f>IF($X420&lt;&gt;"",INDEX($P$2:$U$853,MATCH($X420,$W$2:$W$853,0),COLUMNS($X$2:AB420)),"")</f>
        <v/>
      </c>
      <c r="AD420" s="1" t="str">
        <f>IF($X420&lt;&gt;"",INDEX($P$2:$U$853,MATCH($X420,$W$2:$W$853,0),COLUMNS($X$2:AC420)),"")</f>
        <v/>
      </c>
    </row>
    <row r="421" spans="1:30" x14ac:dyDescent="0.2">
      <c r="A421" s="1">
        <v>1990</v>
      </c>
      <c r="B421" s="2">
        <v>33035</v>
      </c>
      <c r="C421" s="1" t="s">
        <v>512</v>
      </c>
      <c r="D421" s="1" t="s">
        <v>268</v>
      </c>
      <c r="E421" s="1" t="s">
        <v>52</v>
      </c>
      <c r="F421" s="1" t="s">
        <v>53</v>
      </c>
      <c r="G421" s="6" t="str">
        <f>VLOOKUP(A421,WorldCups!$A$2:$B$23,2,FALSE)</f>
        <v>Italy</v>
      </c>
      <c r="H421" s="1" t="s">
        <v>301</v>
      </c>
      <c r="I421" s="1">
        <v>1</v>
      </c>
      <c r="J421" s="1">
        <v>0</v>
      </c>
      <c r="K421" s="1" t="s">
        <v>109</v>
      </c>
      <c r="L421" s="1" t="s">
        <v>14</v>
      </c>
      <c r="M421" s="1" t="str">
        <f>IF(ISNUMBER(SEARCH("Group",Table2[[#This Row],[Round]])),"Group stages",Table2[[#This Row],[Round]])</f>
        <v>Group stages</v>
      </c>
      <c r="O421" s="1">
        <f>Table2[[#This Row],[Year]]</f>
        <v>1990</v>
      </c>
      <c r="P421" s="1" t="str">
        <f>INDEX(Table2[[HomeTeam]:[Group_details]],ROWS($N$2:N421),COLUMNS($N$2:N421))</f>
        <v>Costa Rica</v>
      </c>
      <c r="Q421" s="1">
        <f>INDEX(Table2[[HomeTeam]:[Group_details]],ROWS($N$2:O421),COLUMNS($N$2:O421))</f>
        <v>1</v>
      </c>
      <c r="R421" s="1">
        <f>INDEX(Table2[[HomeTeam]:[Group_details]],ROWS($N$2:P421),COLUMNS($N$2:P421))</f>
        <v>0</v>
      </c>
      <c r="S421" s="1" t="str">
        <f>INDEX(Table2[[HomeTeam]:[Group_details]],ROWS($N$2:Q421),COLUMNS($N$2:Q421))</f>
        <v>Scotland</v>
      </c>
      <c r="T421" s="1" t="str">
        <f>INDEX(Table2[[HomeTeam]:[Group_details]],ROWS($N$2:R421),COLUMNS($N$2:R421))</f>
        <v xml:space="preserve"> </v>
      </c>
      <c r="U421" s="1" t="str">
        <f>INDEX(Table2[[HomeTeam]:[Group_details]],ROWS($N$2:S421),COLUMNS($N$2:S421))</f>
        <v>Group stages</v>
      </c>
      <c r="V421" s="1" t="b">
        <f t="shared" si="6"/>
        <v>0</v>
      </c>
      <c r="W421" s="1" t="str">
        <f>IF(V421=TRUE,ROWS($V$2:V421),"")</f>
        <v/>
      </c>
      <c r="X421" s="1" t="str">
        <f>IFERROR(SMALL($W$2:$W$853,ROWS($W$2:W421)),"")</f>
        <v/>
      </c>
      <c r="Y421" s="1" t="str">
        <f>IF($X421&lt;&gt;"",INDEX($P$2:$U$853,MATCH($X421,$W$2:$W$853,0),COLUMNS($X$2:X421)),"")</f>
        <v/>
      </c>
      <c r="Z421" s="1" t="str">
        <f>IF($X421&lt;&gt;"",INDEX($P$2:$U$853,MATCH($X421,$W$2:$W$853,0),COLUMNS($X$2:Y421)),"")</f>
        <v/>
      </c>
      <c r="AA421" s="1" t="str">
        <f>IF($X421&lt;&gt;"",INDEX($P$2:$U$853,MATCH($X421,$W$2:$W$853,0),COLUMNS($X$2:Z421)),"")</f>
        <v/>
      </c>
      <c r="AB421" s="1" t="str">
        <f>IF($X421&lt;&gt;"",INDEX($P$2:$U$853,MATCH($X421,$W$2:$W$853,0),COLUMNS($X$2:AA421)),"")</f>
        <v/>
      </c>
      <c r="AC421" s="1" t="str">
        <f>IF($X421&lt;&gt;"",INDEX($P$2:$U$853,MATCH($X421,$W$2:$W$853,0),COLUMNS($X$2:AB421)),"")</f>
        <v/>
      </c>
      <c r="AD421" s="1" t="str">
        <f>IF($X421&lt;&gt;"",INDEX($P$2:$U$853,MATCH($X421,$W$2:$W$853,0),COLUMNS($X$2:AC421)),"")</f>
        <v/>
      </c>
    </row>
    <row r="422" spans="1:30" x14ac:dyDescent="0.2">
      <c r="A422" s="1">
        <v>1990</v>
      </c>
      <c r="B422" s="2">
        <v>33035</v>
      </c>
      <c r="C422" s="1" t="s">
        <v>530</v>
      </c>
      <c r="D422" s="1" t="s">
        <v>274</v>
      </c>
      <c r="E422" s="1" t="s">
        <v>302</v>
      </c>
      <c r="F422" s="1" t="s">
        <v>303</v>
      </c>
      <c r="G422" s="6" t="str">
        <f>VLOOKUP(A422,WorldCups!$A$2:$B$23,2,FALSE)</f>
        <v>Italy</v>
      </c>
      <c r="H422" s="1" t="s">
        <v>93</v>
      </c>
      <c r="I422" s="1">
        <v>1</v>
      </c>
      <c r="J422" s="1">
        <v>1</v>
      </c>
      <c r="K422" s="1" t="s">
        <v>304</v>
      </c>
      <c r="L422" s="1" t="s">
        <v>14</v>
      </c>
      <c r="M422" s="1" t="str">
        <f>IF(ISNUMBER(SEARCH("Group",Table2[[#This Row],[Round]])),"Group stages",Table2[[#This Row],[Round]])</f>
        <v>Group stages</v>
      </c>
      <c r="O422" s="1">
        <f>Table2[[#This Row],[Year]]</f>
        <v>1990</v>
      </c>
      <c r="P422" s="1" t="str">
        <f>INDEX(Table2[[HomeTeam]:[Group_details]],ROWS($N$2:N422),COLUMNS($N$2:N422))</f>
        <v>England</v>
      </c>
      <c r="Q422" s="1">
        <f>INDEX(Table2[[HomeTeam]:[Group_details]],ROWS($N$2:O422),COLUMNS($N$2:O422))</f>
        <v>1</v>
      </c>
      <c r="R422" s="1">
        <f>INDEX(Table2[[HomeTeam]:[Group_details]],ROWS($N$2:P422),COLUMNS($N$2:P422))</f>
        <v>1</v>
      </c>
      <c r="S422" s="1" t="str">
        <f>INDEX(Table2[[HomeTeam]:[Group_details]],ROWS($N$2:Q422),COLUMNS($N$2:Q422))</f>
        <v>Republic of Ireland</v>
      </c>
      <c r="T422" s="1" t="str">
        <f>INDEX(Table2[[HomeTeam]:[Group_details]],ROWS($N$2:R422),COLUMNS($N$2:R422))</f>
        <v xml:space="preserve"> </v>
      </c>
      <c r="U422" s="1" t="str">
        <f>INDEX(Table2[[HomeTeam]:[Group_details]],ROWS($N$2:S422),COLUMNS($N$2:S422))</f>
        <v>Group stages</v>
      </c>
      <c r="V422" s="1" t="b">
        <f t="shared" si="6"/>
        <v>0</v>
      </c>
      <c r="W422" s="1" t="str">
        <f>IF(V422=TRUE,ROWS($V$2:V422),"")</f>
        <v/>
      </c>
      <c r="X422" s="1" t="str">
        <f>IFERROR(SMALL($W$2:$W$853,ROWS($W$2:W422)),"")</f>
        <v/>
      </c>
      <c r="Y422" s="1" t="str">
        <f>IF($X422&lt;&gt;"",INDEX($P$2:$U$853,MATCH($X422,$W$2:$W$853,0),COLUMNS($X$2:X422)),"")</f>
        <v/>
      </c>
      <c r="Z422" s="1" t="str">
        <f>IF($X422&lt;&gt;"",INDEX($P$2:$U$853,MATCH($X422,$W$2:$W$853,0),COLUMNS($X$2:Y422)),"")</f>
        <v/>
      </c>
      <c r="AA422" s="1" t="str">
        <f>IF($X422&lt;&gt;"",INDEX($P$2:$U$853,MATCH($X422,$W$2:$W$853,0),COLUMNS($X$2:Z422)),"")</f>
        <v/>
      </c>
      <c r="AB422" s="1" t="str">
        <f>IF($X422&lt;&gt;"",INDEX($P$2:$U$853,MATCH($X422,$W$2:$W$853,0),COLUMNS($X$2:AA422)),"")</f>
        <v/>
      </c>
      <c r="AC422" s="1" t="str">
        <f>IF($X422&lt;&gt;"",INDEX($P$2:$U$853,MATCH($X422,$W$2:$W$853,0),COLUMNS($X$2:AB422)),"")</f>
        <v/>
      </c>
      <c r="AD422" s="1" t="str">
        <f>IF($X422&lt;&gt;"",INDEX($P$2:$U$853,MATCH($X422,$W$2:$W$853,0),COLUMNS($X$2:AC422)),"")</f>
        <v/>
      </c>
    </row>
    <row r="423" spans="1:30" x14ac:dyDescent="0.2">
      <c r="A423" s="1">
        <v>1990</v>
      </c>
      <c r="B423" s="2">
        <v>33036</v>
      </c>
      <c r="C423" s="1" t="s">
        <v>512</v>
      </c>
      <c r="D423" s="1" t="s">
        <v>281</v>
      </c>
      <c r="E423" s="1" t="s">
        <v>305</v>
      </c>
      <c r="F423" s="1" t="s">
        <v>306</v>
      </c>
      <c r="G423" s="6" t="str">
        <f>VLOOKUP(A423,WorldCups!$A$2:$B$23,2,FALSE)</f>
        <v>Italy</v>
      </c>
      <c r="H423" s="1" t="s">
        <v>18</v>
      </c>
      <c r="I423" s="1">
        <v>2</v>
      </c>
      <c r="J423" s="1">
        <v>0</v>
      </c>
      <c r="K423" s="1" t="s">
        <v>116</v>
      </c>
      <c r="L423" s="1" t="s">
        <v>14</v>
      </c>
      <c r="M423" s="1" t="str">
        <f>IF(ISNUMBER(SEARCH("Group",Table2[[#This Row],[Round]])),"Group stages",Table2[[#This Row],[Round]])</f>
        <v>Group stages</v>
      </c>
      <c r="O423" s="1">
        <f>Table2[[#This Row],[Year]]</f>
        <v>1990</v>
      </c>
      <c r="P423" s="1" t="str">
        <f>INDEX(Table2[[HomeTeam]:[Group_details]],ROWS($N$2:N423),COLUMNS($N$2:N423))</f>
        <v>Belgium</v>
      </c>
      <c r="Q423" s="1">
        <f>INDEX(Table2[[HomeTeam]:[Group_details]],ROWS($N$2:O423),COLUMNS($N$2:O423))</f>
        <v>2</v>
      </c>
      <c r="R423" s="1">
        <f>INDEX(Table2[[HomeTeam]:[Group_details]],ROWS($N$2:P423),COLUMNS($N$2:P423))</f>
        <v>0</v>
      </c>
      <c r="S423" s="1" t="str">
        <f>INDEX(Table2[[HomeTeam]:[Group_details]],ROWS($N$2:Q423),COLUMNS($N$2:Q423))</f>
        <v>Korea Republic</v>
      </c>
      <c r="T423" s="1" t="str">
        <f>INDEX(Table2[[HomeTeam]:[Group_details]],ROWS($N$2:R423),COLUMNS($N$2:R423))</f>
        <v xml:space="preserve"> </v>
      </c>
      <c r="U423" s="1" t="str">
        <f>INDEX(Table2[[HomeTeam]:[Group_details]],ROWS($N$2:S423),COLUMNS($N$2:S423))</f>
        <v>Group stages</v>
      </c>
      <c r="V423" s="1" t="b">
        <f t="shared" si="6"/>
        <v>0</v>
      </c>
      <c r="W423" s="1" t="str">
        <f>IF(V423=TRUE,ROWS($V$2:V423),"")</f>
        <v/>
      </c>
      <c r="X423" s="1" t="str">
        <f>IFERROR(SMALL($W$2:$W$853,ROWS($W$2:W423)),"")</f>
        <v/>
      </c>
      <c r="Y423" s="1" t="str">
        <f>IF($X423&lt;&gt;"",INDEX($P$2:$U$853,MATCH($X423,$W$2:$W$853,0),COLUMNS($X$2:X423)),"")</f>
        <v/>
      </c>
      <c r="Z423" s="1" t="str">
        <f>IF($X423&lt;&gt;"",INDEX($P$2:$U$853,MATCH($X423,$W$2:$W$853,0),COLUMNS($X$2:Y423)),"")</f>
        <v/>
      </c>
      <c r="AA423" s="1" t="str">
        <f>IF($X423&lt;&gt;"",INDEX($P$2:$U$853,MATCH($X423,$W$2:$W$853,0),COLUMNS($X$2:Z423)),"")</f>
        <v/>
      </c>
      <c r="AB423" s="1" t="str">
        <f>IF($X423&lt;&gt;"",INDEX($P$2:$U$853,MATCH($X423,$W$2:$W$853,0),COLUMNS($X$2:AA423)),"")</f>
        <v/>
      </c>
      <c r="AC423" s="1" t="str">
        <f>IF($X423&lt;&gt;"",INDEX($P$2:$U$853,MATCH($X423,$W$2:$W$853,0),COLUMNS($X$2:AB423)),"")</f>
        <v/>
      </c>
      <c r="AD423" s="1" t="str">
        <f>IF($X423&lt;&gt;"",INDEX($P$2:$U$853,MATCH($X423,$W$2:$W$853,0),COLUMNS($X$2:AC423)),"")</f>
        <v/>
      </c>
    </row>
    <row r="424" spans="1:30" x14ac:dyDescent="0.2">
      <c r="A424" s="1">
        <v>1990</v>
      </c>
      <c r="B424" s="2">
        <v>33036</v>
      </c>
      <c r="C424" s="1" t="s">
        <v>530</v>
      </c>
      <c r="D424" s="1" t="s">
        <v>274</v>
      </c>
      <c r="E424" s="1" t="s">
        <v>307</v>
      </c>
      <c r="F424" s="1" t="s">
        <v>308</v>
      </c>
      <c r="G424" s="6" t="str">
        <f>VLOOKUP(A424,WorldCups!$A$2:$B$23,2,FALSE)</f>
        <v>Italy</v>
      </c>
      <c r="H424" s="1" t="s">
        <v>45</v>
      </c>
      <c r="I424" s="1">
        <v>1</v>
      </c>
      <c r="J424" s="1">
        <v>1</v>
      </c>
      <c r="K424" s="1" t="s">
        <v>41</v>
      </c>
      <c r="L424" s="1" t="s">
        <v>14</v>
      </c>
      <c r="M424" s="1" t="str">
        <f>IF(ISNUMBER(SEARCH("Group",Table2[[#This Row],[Round]])),"Group stages",Table2[[#This Row],[Round]])</f>
        <v>Group stages</v>
      </c>
      <c r="O424" s="1">
        <f>Table2[[#This Row],[Year]]</f>
        <v>1990</v>
      </c>
      <c r="P424" s="1" t="str">
        <f>INDEX(Table2[[HomeTeam]:[Group_details]],ROWS($N$2:N424),COLUMNS($N$2:N424))</f>
        <v>Netherlands</v>
      </c>
      <c r="Q424" s="1">
        <f>INDEX(Table2[[HomeTeam]:[Group_details]],ROWS($N$2:O424),COLUMNS($N$2:O424))</f>
        <v>1</v>
      </c>
      <c r="R424" s="1">
        <f>INDEX(Table2[[HomeTeam]:[Group_details]],ROWS($N$2:P424),COLUMNS($N$2:P424))</f>
        <v>1</v>
      </c>
      <c r="S424" s="1" t="str">
        <f>INDEX(Table2[[HomeTeam]:[Group_details]],ROWS($N$2:Q424),COLUMNS($N$2:Q424))</f>
        <v>Egypt</v>
      </c>
      <c r="T424" s="1" t="str">
        <f>INDEX(Table2[[HomeTeam]:[Group_details]],ROWS($N$2:R424),COLUMNS($N$2:R424))</f>
        <v xml:space="preserve"> </v>
      </c>
      <c r="U424" s="1" t="str">
        <f>INDEX(Table2[[HomeTeam]:[Group_details]],ROWS($N$2:S424),COLUMNS($N$2:S424))</f>
        <v>Group stages</v>
      </c>
      <c r="V424" s="1" t="b">
        <f t="shared" si="6"/>
        <v>0</v>
      </c>
      <c r="W424" s="1" t="str">
        <f>IF(V424=TRUE,ROWS($V$2:V424),"")</f>
        <v/>
      </c>
      <c r="X424" s="1" t="str">
        <f>IFERROR(SMALL($W$2:$W$853,ROWS($W$2:W424)),"")</f>
        <v/>
      </c>
      <c r="Y424" s="1" t="str">
        <f>IF($X424&lt;&gt;"",INDEX($P$2:$U$853,MATCH($X424,$W$2:$W$853,0),COLUMNS($X$2:X424)),"")</f>
        <v/>
      </c>
      <c r="Z424" s="1" t="str">
        <f>IF($X424&lt;&gt;"",INDEX($P$2:$U$853,MATCH($X424,$W$2:$W$853,0),COLUMNS($X$2:Y424)),"")</f>
        <v/>
      </c>
      <c r="AA424" s="1" t="str">
        <f>IF($X424&lt;&gt;"",INDEX($P$2:$U$853,MATCH($X424,$W$2:$W$853,0),COLUMNS($X$2:Z424)),"")</f>
        <v/>
      </c>
      <c r="AB424" s="1" t="str">
        <f>IF($X424&lt;&gt;"",INDEX($P$2:$U$853,MATCH($X424,$W$2:$W$853,0),COLUMNS($X$2:AA424)),"")</f>
        <v/>
      </c>
      <c r="AC424" s="1" t="str">
        <f>IF($X424&lt;&gt;"",INDEX($P$2:$U$853,MATCH($X424,$W$2:$W$853,0),COLUMNS($X$2:AB424)),"")</f>
        <v/>
      </c>
      <c r="AD424" s="1" t="str">
        <f>IF($X424&lt;&gt;"",INDEX($P$2:$U$853,MATCH($X424,$W$2:$W$853,0),COLUMNS($X$2:AC424)),"")</f>
        <v/>
      </c>
    </row>
    <row r="425" spans="1:30" x14ac:dyDescent="0.2">
      <c r="A425" s="1">
        <v>1990</v>
      </c>
      <c r="B425" s="2">
        <v>33037</v>
      </c>
      <c r="C425" s="1" t="s">
        <v>512</v>
      </c>
      <c r="D425" s="1" t="s">
        <v>281</v>
      </c>
      <c r="E425" s="1" t="s">
        <v>309</v>
      </c>
      <c r="F425" s="1" t="s">
        <v>310</v>
      </c>
      <c r="G425" s="6" t="str">
        <f>VLOOKUP(A425,WorldCups!$A$2:$B$23,2,FALSE)</f>
        <v>Italy</v>
      </c>
      <c r="H425" s="1" t="s">
        <v>30</v>
      </c>
      <c r="I425" s="1">
        <v>0</v>
      </c>
      <c r="J425" s="1">
        <v>0</v>
      </c>
      <c r="K425" s="1" t="s">
        <v>54</v>
      </c>
      <c r="L425" s="1" t="s">
        <v>14</v>
      </c>
      <c r="M425" s="1" t="str">
        <f>IF(ISNUMBER(SEARCH("Group",Table2[[#This Row],[Round]])),"Group stages",Table2[[#This Row],[Round]])</f>
        <v>Group stages</v>
      </c>
      <c r="O425" s="1">
        <f>Table2[[#This Row],[Year]]</f>
        <v>1990</v>
      </c>
      <c r="P425" s="1" t="str">
        <f>INDEX(Table2[[HomeTeam]:[Group_details]],ROWS($N$2:N425),COLUMNS($N$2:N425))</f>
        <v>Uruguay</v>
      </c>
      <c r="Q425" s="1">
        <f>INDEX(Table2[[HomeTeam]:[Group_details]],ROWS($N$2:O425),COLUMNS($N$2:O425))</f>
        <v>0</v>
      </c>
      <c r="R425" s="1">
        <f>INDEX(Table2[[HomeTeam]:[Group_details]],ROWS($N$2:P425),COLUMNS($N$2:P425))</f>
        <v>0</v>
      </c>
      <c r="S425" s="1" t="str">
        <f>INDEX(Table2[[HomeTeam]:[Group_details]],ROWS($N$2:Q425),COLUMNS($N$2:Q425))</f>
        <v>Spain</v>
      </c>
      <c r="T425" s="1" t="str">
        <f>INDEX(Table2[[HomeTeam]:[Group_details]],ROWS($N$2:R425),COLUMNS($N$2:R425))</f>
        <v xml:space="preserve"> </v>
      </c>
      <c r="U425" s="1" t="str">
        <f>INDEX(Table2[[HomeTeam]:[Group_details]],ROWS($N$2:S425),COLUMNS($N$2:S425))</f>
        <v>Group stages</v>
      </c>
      <c r="V425" s="1" t="b">
        <f t="shared" si="6"/>
        <v>0</v>
      </c>
      <c r="W425" s="1" t="str">
        <f>IF(V425=TRUE,ROWS($V$2:V425),"")</f>
        <v/>
      </c>
      <c r="X425" s="1" t="str">
        <f>IFERROR(SMALL($W$2:$W$853,ROWS($W$2:W425)),"")</f>
        <v/>
      </c>
      <c r="Y425" s="1" t="str">
        <f>IF($X425&lt;&gt;"",INDEX($P$2:$U$853,MATCH($X425,$W$2:$W$853,0),COLUMNS($X$2:X425)),"")</f>
        <v/>
      </c>
      <c r="Z425" s="1" t="str">
        <f>IF($X425&lt;&gt;"",INDEX($P$2:$U$853,MATCH($X425,$W$2:$W$853,0),COLUMNS($X$2:Y425)),"")</f>
        <v/>
      </c>
      <c r="AA425" s="1" t="str">
        <f>IF($X425&lt;&gt;"",INDEX($P$2:$U$853,MATCH($X425,$W$2:$W$853,0),COLUMNS($X$2:Z425)),"")</f>
        <v/>
      </c>
      <c r="AB425" s="1" t="str">
        <f>IF($X425&lt;&gt;"",INDEX($P$2:$U$853,MATCH($X425,$W$2:$W$853,0),COLUMNS($X$2:AA425)),"")</f>
        <v/>
      </c>
      <c r="AC425" s="1" t="str">
        <f>IF($X425&lt;&gt;"",INDEX($P$2:$U$853,MATCH($X425,$W$2:$W$853,0),COLUMNS($X$2:AB425)),"")</f>
        <v/>
      </c>
      <c r="AD425" s="1" t="str">
        <f>IF($X425&lt;&gt;"",INDEX($P$2:$U$853,MATCH($X425,$W$2:$W$853,0),COLUMNS($X$2:AC425)),"")</f>
        <v/>
      </c>
    </row>
    <row r="426" spans="1:30" x14ac:dyDescent="0.2">
      <c r="A426" s="1">
        <v>1990</v>
      </c>
      <c r="B426" s="2">
        <v>33037</v>
      </c>
      <c r="C426" s="1" t="s">
        <v>530</v>
      </c>
      <c r="D426" s="1" t="s">
        <v>213</v>
      </c>
      <c r="E426" s="1" t="s">
        <v>311</v>
      </c>
      <c r="F426" s="1" t="s">
        <v>39</v>
      </c>
      <c r="G426" s="6" t="str">
        <f>VLOOKUP(A426,WorldCups!$A$2:$B$23,2,FALSE)</f>
        <v>Italy</v>
      </c>
      <c r="H426" s="1" t="s">
        <v>25</v>
      </c>
      <c r="I426" s="1">
        <v>2</v>
      </c>
      <c r="J426" s="1">
        <v>0</v>
      </c>
      <c r="K426" s="1" t="s">
        <v>126</v>
      </c>
      <c r="L426" s="1" t="s">
        <v>14</v>
      </c>
      <c r="M426" s="1" t="str">
        <f>IF(ISNUMBER(SEARCH("Group",Table2[[#This Row],[Round]])),"Group stages",Table2[[#This Row],[Round]])</f>
        <v>Group stages</v>
      </c>
      <c r="O426" s="1">
        <f>Table2[[#This Row],[Year]]</f>
        <v>1990</v>
      </c>
      <c r="P426" s="1" t="str">
        <f>INDEX(Table2[[HomeTeam]:[Group_details]],ROWS($N$2:N426),COLUMNS($N$2:N426))</f>
        <v>Argentina</v>
      </c>
      <c r="Q426" s="1">
        <f>INDEX(Table2[[HomeTeam]:[Group_details]],ROWS($N$2:O426),COLUMNS($N$2:O426))</f>
        <v>2</v>
      </c>
      <c r="R426" s="1">
        <f>INDEX(Table2[[HomeTeam]:[Group_details]],ROWS($N$2:P426),COLUMNS($N$2:P426))</f>
        <v>0</v>
      </c>
      <c r="S426" s="1" t="str">
        <f>INDEX(Table2[[HomeTeam]:[Group_details]],ROWS($N$2:Q426),COLUMNS($N$2:Q426))</f>
        <v>Soviet Union</v>
      </c>
      <c r="T426" s="1" t="str">
        <f>INDEX(Table2[[HomeTeam]:[Group_details]],ROWS($N$2:R426),COLUMNS($N$2:R426))</f>
        <v xml:space="preserve"> </v>
      </c>
      <c r="U426" s="1" t="str">
        <f>INDEX(Table2[[HomeTeam]:[Group_details]],ROWS($N$2:S426),COLUMNS($N$2:S426))</f>
        <v>Group stages</v>
      </c>
      <c r="V426" s="1" t="b">
        <f t="shared" si="6"/>
        <v>0</v>
      </c>
      <c r="W426" s="1" t="str">
        <f>IF(V426=TRUE,ROWS($V$2:V426),"")</f>
        <v/>
      </c>
      <c r="X426" s="1" t="str">
        <f>IFERROR(SMALL($W$2:$W$853,ROWS($W$2:W426)),"")</f>
        <v/>
      </c>
      <c r="Y426" s="1" t="str">
        <f>IF($X426&lt;&gt;"",INDEX($P$2:$U$853,MATCH($X426,$W$2:$W$853,0),COLUMNS($X$2:X426)),"")</f>
        <v/>
      </c>
      <c r="Z426" s="1" t="str">
        <f>IF($X426&lt;&gt;"",INDEX($P$2:$U$853,MATCH($X426,$W$2:$W$853,0),COLUMNS($X$2:Y426)),"")</f>
        <v/>
      </c>
      <c r="AA426" s="1" t="str">
        <f>IF($X426&lt;&gt;"",INDEX($P$2:$U$853,MATCH($X426,$W$2:$W$853,0),COLUMNS($X$2:Z426)),"")</f>
        <v/>
      </c>
      <c r="AB426" s="1" t="str">
        <f>IF($X426&lt;&gt;"",INDEX($P$2:$U$853,MATCH($X426,$W$2:$W$853,0),COLUMNS($X$2:AA426)),"")</f>
        <v/>
      </c>
      <c r="AC426" s="1" t="str">
        <f>IF($X426&lt;&gt;"",INDEX($P$2:$U$853,MATCH($X426,$W$2:$W$853,0),COLUMNS($X$2:AB426)),"")</f>
        <v/>
      </c>
      <c r="AD426" s="1" t="str">
        <f>IF($X426&lt;&gt;"",INDEX($P$2:$U$853,MATCH($X426,$W$2:$W$853,0),COLUMNS($X$2:AC426)),"")</f>
        <v/>
      </c>
    </row>
    <row r="427" spans="1:30" x14ac:dyDescent="0.2">
      <c r="A427" s="1">
        <v>1990</v>
      </c>
      <c r="B427" s="2">
        <v>33038</v>
      </c>
      <c r="C427" s="1" t="s">
        <v>512</v>
      </c>
      <c r="D427" s="1" t="s">
        <v>213</v>
      </c>
      <c r="E427" s="1" t="s">
        <v>294</v>
      </c>
      <c r="F427" s="1" t="s">
        <v>295</v>
      </c>
      <c r="G427" s="6" t="str">
        <f>VLOOKUP(A427,WorldCups!$A$2:$B$23,2,FALSE)</f>
        <v>Italy</v>
      </c>
      <c r="H427" s="1" t="s">
        <v>238</v>
      </c>
      <c r="I427" s="1">
        <v>2</v>
      </c>
      <c r="J427" s="1">
        <v>1</v>
      </c>
      <c r="K427" s="1" t="s">
        <v>23</v>
      </c>
      <c r="L427" s="1" t="s">
        <v>14</v>
      </c>
      <c r="M427" s="1" t="str">
        <f>IF(ISNUMBER(SEARCH("Group",Table2[[#This Row],[Round]])),"Group stages",Table2[[#This Row],[Round]])</f>
        <v>Group stages</v>
      </c>
      <c r="O427" s="1">
        <f>Table2[[#This Row],[Year]]</f>
        <v>1990</v>
      </c>
      <c r="P427" s="1" t="str">
        <f>INDEX(Table2[[HomeTeam]:[Group_details]],ROWS($N$2:N427),COLUMNS($N$2:N427))</f>
        <v>Cameroon</v>
      </c>
      <c r="Q427" s="1">
        <f>INDEX(Table2[[HomeTeam]:[Group_details]],ROWS($N$2:O427),COLUMNS($N$2:O427))</f>
        <v>2</v>
      </c>
      <c r="R427" s="1">
        <f>INDEX(Table2[[HomeTeam]:[Group_details]],ROWS($N$2:P427),COLUMNS($N$2:P427))</f>
        <v>1</v>
      </c>
      <c r="S427" s="1" t="str">
        <f>INDEX(Table2[[HomeTeam]:[Group_details]],ROWS($N$2:Q427),COLUMNS($N$2:Q427))</f>
        <v>Romania</v>
      </c>
      <c r="T427" s="1" t="str">
        <f>INDEX(Table2[[HomeTeam]:[Group_details]],ROWS($N$2:R427),COLUMNS($N$2:R427))</f>
        <v xml:space="preserve"> </v>
      </c>
      <c r="U427" s="1" t="str">
        <f>INDEX(Table2[[HomeTeam]:[Group_details]],ROWS($N$2:S427),COLUMNS($N$2:S427))</f>
        <v>Group stages</v>
      </c>
      <c r="V427" s="1" t="b">
        <f t="shared" si="6"/>
        <v>0</v>
      </c>
      <c r="W427" s="1" t="str">
        <f>IF(V427=TRUE,ROWS($V$2:V427),"")</f>
        <v/>
      </c>
      <c r="X427" s="1" t="str">
        <f>IFERROR(SMALL($W$2:$W$853,ROWS($W$2:W427)),"")</f>
        <v/>
      </c>
      <c r="Y427" s="1" t="str">
        <f>IF($X427&lt;&gt;"",INDEX($P$2:$U$853,MATCH($X427,$W$2:$W$853,0),COLUMNS($X$2:X427)),"")</f>
        <v/>
      </c>
      <c r="Z427" s="1" t="str">
        <f>IF($X427&lt;&gt;"",INDEX($P$2:$U$853,MATCH($X427,$W$2:$W$853,0),COLUMNS($X$2:Y427)),"")</f>
        <v/>
      </c>
      <c r="AA427" s="1" t="str">
        <f>IF($X427&lt;&gt;"",INDEX($P$2:$U$853,MATCH($X427,$W$2:$W$853,0),COLUMNS($X$2:Z427)),"")</f>
        <v/>
      </c>
      <c r="AB427" s="1" t="str">
        <f>IF($X427&lt;&gt;"",INDEX($P$2:$U$853,MATCH($X427,$W$2:$W$853,0),COLUMNS($X$2:AA427)),"")</f>
        <v/>
      </c>
      <c r="AC427" s="1" t="str">
        <f>IF($X427&lt;&gt;"",INDEX($P$2:$U$853,MATCH($X427,$W$2:$W$853,0),COLUMNS($X$2:AB427)),"")</f>
        <v/>
      </c>
      <c r="AD427" s="1" t="str">
        <f>IF($X427&lt;&gt;"",INDEX($P$2:$U$853,MATCH($X427,$W$2:$W$853,0),COLUMNS($X$2:AC427)),"")</f>
        <v/>
      </c>
    </row>
    <row r="428" spans="1:30" x14ac:dyDescent="0.2">
      <c r="A428" s="1">
        <v>1990</v>
      </c>
      <c r="B428" s="2">
        <v>33038</v>
      </c>
      <c r="C428" s="1" t="s">
        <v>512</v>
      </c>
      <c r="D428" s="1" t="s">
        <v>270</v>
      </c>
      <c r="E428" s="1" t="s">
        <v>296</v>
      </c>
      <c r="F428" s="1" t="s">
        <v>47</v>
      </c>
      <c r="G428" s="6" t="str">
        <f>VLOOKUP(A428,WorldCups!$A$2:$B$23,2,FALSE)</f>
        <v>Italy</v>
      </c>
      <c r="H428" s="1" t="s">
        <v>20</v>
      </c>
      <c r="I428" s="1">
        <v>1</v>
      </c>
      <c r="J428" s="1">
        <v>0</v>
      </c>
      <c r="K428" s="1" t="s">
        <v>151</v>
      </c>
      <c r="L428" s="1" t="s">
        <v>14</v>
      </c>
      <c r="M428" s="1" t="str">
        <f>IF(ISNUMBER(SEARCH("Group",Table2[[#This Row],[Round]])),"Group stages",Table2[[#This Row],[Round]])</f>
        <v>Group stages</v>
      </c>
      <c r="O428" s="1">
        <f>Table2[[#This Row],[Year]]</f>
        <v>1990</v>
      </c>
      <c r="P428" s="1" t="str">
        <f>INDEX(Table2[[HomeTeam]:[Group_details]],ROWS($N$2:N428),COLUMNS($N$2:N428))</f>
        <v>Yugoslavia</v>
      </c>
      <c r="Q428" s="1">
        <f>INDEX(Table2[[HomeTeam]:[Group_details]],ROWS($N$2:O428),COLUMNS($N$2:O428))</f>
        <v>1</v>
      </c>
      <c r="R428" s="1">
        <f>INDEX(Table2[[HomeTeam]:[Group_details]],ROWS($N$2:P428),COLUMNS($N$2:P428))</f>
        <v>0</v>
      </c>
      <c r="S428" s="1" t="str">
        <f>INDEX(Table2[[HomeTeam]:[Group_details]],ROWS($N$2:Q428),COLUMNS($N$2:Q428))</f>
        <v>Colombia</v>
      </c>
      <c r="T428" s="1" t="str">
        <f>INDEX(Table2[[HomeTeam]:[Group_details]],ROWS($N$2:R428),COLUMNS($N$2:R428))</f>
        <v xml:space="preserve"> </v>
      </c>
      <c r="U428" s="1" t="str">
        <f>INDEX(Table2[[HomeTeam]:[Group_details]],ROWS($N$2:S428),COLUMNS($N$2:S428))</f>
        <v>Group stages</v>
      </c>
      <c r="V428" s="1" t="b">
        <f t="shared" si="6"/>
        <v>0</v>
      </c>
      <c r="W428" s="1" t="str">
        <f>IF(V428=TRUE,ROWS($V$2:V428),"")</f>
        <v/>
      </c>
      <c r="X428" s="1" t="str">
        <f>IFERROR(SMALL($W$2:$W$853,ROWS($W$2:W428)),"")</f>
        <v/>
      </c>
      <c r="Y428" s="1" t="str">
        <f>IF($X428&lt;&gt;"",INDEX($P$2:$U$853,MATCH($X428,$W$2:$W$853,0),COLUMNS($X$2:X428)),"")</f>
        <v/>
      </c>
      <c r="Z428" s="1" t="str">
        <f>IF($X428&lt;&gt;"",INDEX($P$2:$U$853,MATCH($X428,$W$2:$W$853,0),COLUMNS($X$2:Y428)),"")</f>
        <v/>
      </c>
      <c r="AA428" s="1" t="str">
        <f>IF($X428&lt;&gt;"",INDEX($P$2:$U$853,MATCH($X428,$W$2:$W$853,0),COLUMNS($X$2:Z428)),"")</f>
        <v/>
      </c>
      <c r="AB428" s="1" t="str">
        <f>IF($X428&lt;&gt;"",INDEX($P$2:$U$853,MATCH($X428,$W$2:$W$853,0),COLUMNS($X$2:AA428)),"")</f>
        <v/>
      </c>
      <c r="AC428" s="1" t="str">
        <f>IF($X428&lt;&gt;"",INDEX($P$2:$U$853,MATCH($X428,$W$2:$W$853,0),COLUMNS($X$2:AB428)),"")</f>
        <v/>
      </c>
      <c r="AD428" s="1" t="str">
        <f>IF($X428&lt;&gt;"",INDEX($P$2:$U$853,MATCH($X428,$W$2:$W$853,0),COLUMNS($X$2:AC428)),"")</f>
        <v/>
      </c>
    </row>
    <row r="429" spans="1:30" x14ac:dyDescent="0.2">
      <c r="A429" s="1">
        <v>1990</v>
      </c>
      <c r="B429" s="2">
        <v>33038</v>
      </c>
      <c r="C429" s="1" t="s">
        <v>530</v>
      </c>
      <c r="D429" s="1" t="s">
        <v>214</v>
      </c>
      <c r="E429" s="1" t="s">
        <v>298</v>
      </c>
      <c r="F429" s="1" t="s">
        <v>56</v>
      </c>
      <c r="G429" s="6" t="str">
        <f>VLOOKUP(A429,WorldCups!$A$2:$B$23,2,FALSE)</f>
        <v>Italy</v>
      </c>
      <c r="H429" s="1" t="s">
        <v>57</v>
      </c>
      <c r="I429" s="1">
        <v>1</v>
      </c>
      <c r="J429" s="1">
        <v>0</v>
      </c>
      <c r="K429" s="1" t="s">
        <v>17</v>
      </c>
      <c r="L429" s="1" t="s">
        <v>14</v>
      </c>
      <c r="M429" s="1" t="str">
        <f>IF(ISNUMBER(SEARCH("Group",Table2[[#This Row],[Round]])),"Group stages",Table2[[#This Row],[Round]])</f>
        <v>Group stages</v>
      </c>
      <c r="O429" s="1">
        <f>Table2[[#This Row],[Year]]</f>
        <v>1990</v>
      </c>
      <c r="P429" s="1" t="str">
        <f>INDEX(Table2[[HomeTeam]:[Group_details]],ROWS($N$2:N429),COLUMNS($N$2:N429))</f>
        <v>Italy</v>
      </c>
      <c r="Q429" s="1">
        <f>INDEX(Table2[[HomeTeam]:[Group_details]],ROWS($N$2:O429),COLUMNS($N$2:O429))</f>
        <v>1</v>
      </c>
      <c r="R429" s="1">
        <f>INDEX(Table2[[HomeTeam]:[Group_details]],ROWS($N$2:P429),COLUMNS($N$2:P429))</f>
        <v>0</v>
      </c>
      <c r="S429" s="1" t="str">
        <f>INDEX(Table2[[HomeTeam]:[Group_details]],ROWS($N$2:Q429),COLUMNS($N$2:Q429))</f>
        <v>USA</v>
      </c>
      <c r="T429" s="1" t="str">
        <f>INDEX(Table2[[HomeTeam]:[Group_details]],ROWS($N$2:R429),COLUMNS($N$2:R429))</f>
        <v xml:space="preserve"> </v>
      </c>
      <c r="U429" s="1" t="str">
        <f>INDEX(Table2[[HomeTeam]:[Group_details]],ROWS($N$2:S429),COLUMNS($N$2:S429))</f>
        <v>Group stages</v>
      </c>
      <c r="V429" s="1" t="b">
        <f t="shared" si="6"/>
        <v>0</v>
      </c>
      <c r="W429" s="1" t="str">
        <f>IF(V429=TRUE,ROWS($V$2:V429),"")</f>
        <v/>
      </c>
      <c r="X429" s="1" t="str">
        <f>IFERROR(SMALL($W$2:$W$853,ROWS($W$2:W429)),"")</f>
        <v/>
      </c>
      <c r="Y429" s="1" t="str">
        <f>IF($X429&lt;&gt;"",INDEX($P$2:$U$853,MATCH($X429,$W$2:$W$853,0),COLUMNS($X$2:X429)),"")</f>
        <v/>
      </c>
      <c r="Z429" s="1" t="str">
        <f>IF($X429&lt;&gt;"",INDEX($P$2:$U$853,MATCH($X429,$W$2:$W$853,0),COLUMNS($X$2:Y429)),"")</f>
        <v/>
      </c>
      <c r="AA429" s="1" t="str">
        <f>IF($X429&lt;&gt;"",INDEX($P$2:$U$853,MATCH($X429,$W$2:$W$853,0),COLUMNS($X$2:Z429)),"")</f>
        <v/>
      </c>
      <c r="AB429" s="1" t="str">
        <f>IF($X429&lt;&gt;"",INDEX($P$2:$U$853,MATCH($X429,$W$2:$W$853,0),COLUMNS($X$2:AA429)),"")</f>
        <v/>
      </c>
      <c r="AC429" s="1" t="str">
        <f>IF($X429&lt;&gt;"",INDEX($P$2:$U$853,MATCH($X429,$W$2:$W$853,0),COLUMNS($X$2:AB429)),"")</f>
        <v/>
      </c>
      <c r="AD429" s="1" t="str">
        <f>IF($X429&lt;&gt;"",INDEX($P$2:$U$853,MATCH($X429,$W$2:$W$853,0),COLUMNS($X$2:AC429)),"")</f>
        <v/>
      </c>
    </row>
    <row r="430" spans="1:30" x14ac:dyDescent="0.2">
      <c r="A430" s="1">
        <v>1990</v>
      </c>
      <c r="B430" s="2">
        <v>33039</v>
      </c>
      <c r="C430" s="1" t="s">
        <v>512</v>
      </c>
      <c r="D430" s="1" t="s">
        <v>214</v>
      </c>
      <c r="E430" s="1" t="s">
        <v>299</v>
      </c>
      <c r="F430" s="1" t="s">
        <v>50</v>
      </c>
      <c r="G430" s="6" t="str">
        <f>VLOOKUP(A430,WorldCups!$A$2:$B$23,2,FALSE)</f>
        <v>Italy</v>
      </c>
      <c r="H430" s="1" t="s">
        <v>36</v>
      </c>
      <c r="I430" s="1">
        <v>0</v>
      </c>
      <c r="J430" s="1">
        <v>1</v>
      </c>
      <c r="K430" s="1" t="s">
        <v>60</v>
      </c>
      <c r="L430" s="1" t="s">
        <v>14</v>
      </c>
      <c r="M430" s="1" t="str">
        <f>IF(ISNUMBER(SEARCH("Group",Table2[[#This Row],[Round]])),"Group stages",Table2[[#This Row],[Round]])</f>
        <v>Group stages</v>
      </c>
      <c r="O430" s="1">
        <f>Table2[[#This Row],[Year]]</f>
        <v>1990</v>
      </c>
      <c r="P430" s="1" t="str">
        <f>INDEX(Table2[[HomeTeam]:[Group_details]],ROWS($N$2:N430),COLUMNS($N$2:N430))</f>
        <v>Austria</v>
      </c>
      <c r="Q430" s="1">
        <f>INDEX(Table2[[HomeTeam]:[Group_details]],ROWS($N$2:O430),COLUMNS($N$2:O430))</f>
        <v>0</v>
      </c>
      <c r="R430" s="1">
        <f>INDEX(Table2[[HomeTeam]:[Group_details]],ROWS($N$2:P430),COLUMNS($N$2:P430))</f>
        <v>1</v>
      </c>
      <c r="S430" s="1" t="str">
        <f>INDEX(Table2[[HomeTeam]:[Group_details]],ROWS($N$2:Q430),COLUMNS($N$2:Q430))</f>
        <v>Czechoslovakia</v>
      </c>
      <c r="T430" s="1" t="str">
        <f>INDEX(Table2[[HomeTeam]:[Group_details]],ROWS($N$2:R430),COLUMNS($N$2:R430))</f>
        <v xml:space="preserve"> </v>
      </c>
      <c r="U430" s="1" t="str">
        <f>INDEX(Table2[[HomeTeam]:[Group_details]],ROWS($N$2:S430),COLUMNS($N$2:S430))</f>
        <v>Group stages</v>
      </c>
      <c r="V430" s="1" t="b">
        <f t="shared" si="6"/>
        <v>0</v>
      </c>
      <c r="W430" s="1" t="str">
        <f>IF(V430=TRUE,ROWS($V$2:V430),"")</f>
        <v/>
      </c>
      <c r="X430" s="1" t="str">
        <f>IFERROR(SMALL($W$2:$W$853,ROWS($W$2:W430)),"")</f>
        <v/>
      </c>
      <c r="Y430" s="1" t="str">
        <f>IF($X430&lt;&gt;"",INDEX($P$2:$U$853,MATCH($X430,$W$2:$W$853,0),COLUMNS($X$2:X430)),"")</f>
        <v/>
      </c>
      <c r="Z430" s="1" t="str">
        <f>IF($X430&lt;&gt;"",INDEX($P$2:$U$853,MATCH($X430,$W$2:$W$853,0),COLUMNS($X$2:Y430)),"")</f>
        <v/>
      </c>
      <c r="AA430" s="1" t="str">
        <f>IF($X430&lt;&gt;"",INDEX($P$2:$U$853,MATCH($X430,$W$2:$W$853,0),COLUMNS($X$2:Z430)),"")</f>
        <v/>
      </c>
      <c r="AB430" s="1" t="str">
        <f>IF($X430&lt;&gt;"",INDEX($P$2:$U$853,MATCH($X430,$W$2:$W$853,0),COLUMNS($X$2:AA430)),"")</f>
        <v/>
      </c>
      <c r="AC430" s="1" t="str">
        <f>IF($X430&lt;&gt;"",INDEX($P$2:$U$853,MATCH($X430,$W$2:$W$853,0),COLUMNS($X$2:AB430)),"")</f>
        <v/>
      </c>
      <c r="AD430" s="1" t="str">
        <f>IF($X430&lt;&gt;"",INDEX($P$2:$U$853,MATCH($X430,$W$2:$W$853,0),COLUMNS($X$2:AC430)),"")</f>
        <v/>
      </c>
    </row>
    <row r="431" spans="1:30" x14ac:dyDescent="0.2">
      <c r="A431" s="1">
        <v>1990</v>
      </c>
      <c r="B431" s="2">
        <v>33039</v>
      </c>
      <c r="C431" s="1" t="s">
        <v>530</v>
      </c>
      <c r="D431" s="1" t="s">
        <v>270</v>
      </c>
      <c r="E431" s="1" t="s">
        <v>293</v>
      </c>
      <c r="F431" s="1" t="s">
        <v>43</v>
      </c>
      <c r="G431" s="6" t="str">
        <f>VLOOKUP(A431,WorldCups!$A$2:$B$23,2,FALSE)</f>
        <v>Italy</v>
      </c>
      <c r="H431" s="1" t="s">
        <v>114</v>
      </c>
      <c r="I431" s="1">
        <v>5</v>
      </c>
      <c r="J431" s="1">
        <v>1</v>
      </c>
      <c r="K431" s="1" t="s">
        <v>297</v>
      </c>
      <c r="L431" s="1" t="s">
        <v>14</v>
      </c>
      <c r="M431" s="1" t="str">
        <f>IF(ISNUMBER(SEARCH("Group",Table2[[#This Row],[Round]])),"Group stages",Table2[[#This Row],[Round]])</f>
        <v>Group stages</v>
      </c>
      <c r="O431" s="1">
        <f>Table2[[#This Row],[Year]]</f>
        <v>1990</v>
      </c>
      <c r="P431" s="1" t="str">
        <f>INDEX(Table2[[HomeTeam]:[Group_details]],ROWS($N$2:N431),COLUMNS($N$2:N431))</f>
        <v>Germany FR</v>
      </c>
      <c r="Q431" s="1">
        <f>INDEX(Table2[[HomeTeam]:[Group_details]],ROWS($N$2:O431),COLUMNS($N$2:O431))</f>
        <v>5</v>
      </c>
      <c r="R431" s="1">
        <f>INDEX(Table2[[HomeTeam]:[Group_details]],ROWS($N$2:P431),COLUMNS($N$2:P431))</f>
        <v>1</v>
      </c>
      <c r="S431" s="1" t="str">
        <f>INDEX(Table2[[HomeTeam]:[Group_details]],ROWS($N$2:Q431),COLUMNS($N$2:Q431))</f>
        <v>United Arab Emirates</v>
      </c>
      <c r="T431" s="1" t="str">
        <f>INDEX(Table2[[HomeTeam]:[Group_details]],ROWS($N$2:R431),COLUMNS($N$2:R431))</f>
        <v xml:space="preserve"> </v>
      </c>
      <c r="U431" s="1" t="str">
        <f>INDEX(Table2[[HomeTeam]:[Group_details]],ROWS($N$2:S431),COLUMNS($N$2:S431))</f>
        <v>Group stages</v>
      </c>
      <c r="V431" s="1" t="b">
        <f t="shared" si="6"/>
        <v>0</v>
      </c>
      <c r="W431" s="1" t="str">
        <f>IF(V431=TRUE,ROWS($V$2:V431),"")</f>
        <v/>
      </c>
      <c r="X431" s="1" t="str">
        <f>IFERROR(SMALL($W$2:$W$853,ROWS($W$2:W431)),"")</f>
        <v/>
      </c>
      <c r="Y431" s="1" t="str">
        <f>IF($X431&lt;&gt;"",INDEX($P$2:$U$853,MATCH($X431,$W$2:$W$853,0),COLUMNS($X$2:X431)),"")</f>
        <v/>
      </c>
      <c r="Z431" s="1" t="str">
        <f>IF($X431&lt;&gt;"",INDEX($P$2:$U$853,MATCH($X431,$W$2:$W$853,0),COLUMNS($X$2:Y431)),"")</f>
        <v/>
      </c>
      <c r="AA431" s="1" t="str">
        <f>IF($X431&lt;&gt;"",INDEX($P$2:$U$853,MATCH($X431,$W$2:$W$853,0),COLUMNS($X$2:Z431)),"")</f>
        <v/>
      </c>
      <c r="AB431" s="1" t="str">
        <f>IF($X431&lt;&gt;"",INDEX($P$2:$U$853,MATCH($X431,$W$2:$W$853,0),COLUMNS($X$2:AA431)),"")</f>
        <v/>
      </c>
      <c r="AC431" s="1" t="str">
        <f>IF($X431&lt;&gt;"",INDEX($P$2:$U$853,MATCH($X431,$W$2:$W$853,0),COLUMNS($X$2:AB431)),"")</f>
        <v/>
      </c>
      <c r="AD431" s="1" t="str">
        <f>IF($X431&lt;&gt;"",INDEX($P$2:$U$853,MATCH($X431,$W$2:$W$853,0),COLUMNS($X$2:AC431)),"")</f>
        <v/>
      </c>
    </row>
    <row r="432" spans="1:30" x14ac:dyDescent="0.2">
      <c r="A432" s="1">
        <v>1990</v>
      </c>
      <c r="B432" s="2">
        <v>33040</v>
      </c>
      <c r="C432" s="1" t="s">
        <v>512</v>
      </c>
      <c r="D432" s="1" t="s">
        <v>268</v>
      </c>
      <c r="E432" s="1" t="s">
        <v>300</v>
      </c>
      <c r="F432" s="1" t="s">
        <v>35</v>
      </c>
      <c r="G432" s="6" t="str">
        <f>VLOOKUP(A432,WorldCups!$A$2:$B$23,2,FALSE)</f>
        <v>Italy</v>
      </c>
      <c r="H432" s="1" t="s">
        <v>21</v>
      </c>
      <c r="I432" s="1">
        <v>1</v>
      </c>
      <c r="J432" s="1">
        <v>0</v>
      </c>
      <c r="K432" s="1" t="s">
        <v>301</v>
      </c>
      <c r="L432" s="1" t="s">
        <v>14</v>
      </c>
      <c r="M432" s="1" t="str">
        <f>IF(ISNUMBER(SEARCH("Group",Table2[[#This Row],[Round]])),"Group stages",Table2[[#This Row],[Round]])</f>
        <v>Group stages</v>
      </c>
      <c r="O432" s="1">
        <f>Table2[[#This Row],[Year]]</f>
        <v>1990</v>
      </c>
      <c r="P432" s="1" t="str">
        <f>INDEX(Table2[[HomeTeam]:[Group_details]],ROWS($N$2:N432),COLUMNS($N$2:N432))</f>
        <v>Brazil</v>
      </c>
      <c r="Q432" s="1">
        <f>INDEX(Table2[[HomeTeam]:[Group_details]],ROWS($N$2:O432),COLUMNS($N$2:O432))</f>
        <v>1</v>
      </c>
      <c r="R432" s="1">
        <f>INDEX(Table2[[HomeTeam]:[Group_details]],ROWS($N$2:P432),COLUMNS($N$2:P432))</f>
        <v>0</v>
      </c>
      <c r="S432" s="1" t="str">
        <f>INDEX(Table2[[HomeTeam]:[Group_details]],ROWS($N$2:Q432),COLUMNS($N$2:Q432))</f>
        <v>Costa Rica</v>
      </c>
      <c r="T432" s="1" t="str">
        <f>INDEX(Table2[[HomeTeam]:[Group_details]],ROWS($N$2:R432),COLUMNS($N$2:R432))</f>
        <v xml:space="preserve"> </v>
      </c>
      <c r="U432" s="1" t="str">
        <f>INDEX(Table2[[HomeTeam]:[Group_details]],ROWS($N$2:S432),COLUMNS($N$2:S432))</f>
        <v>Group stages</v>
      </c>
      <c r="V432" s="1" t="b">
        <f t="shared" si="6"/>
        <v>0</v>
      </c>
      <c r="W432" s="1" t="str">
        <f>IF(V432=TRUE,ROWS($V$2:V432),"")</f>
        <v/>
      </c>
      <c r="X432" s="1" t="str">
        <f>IFERROR(SMALL($W$2:$W$853,ROWS($W$2:W432)),"")</f>
        <v/>
      </c>
      <c r="Y432" s="1" t="str">
        <f>IF($X432&lt;&gt;"",INDEX($P$2:$U$853,MATCH($X432,$W$2:$W$853,0),COLUMNS($X$2:X432)),"")</f>
        <v/>
      </c>
      <c r="Z432" s="1" t="str">
        <f>IF($X432&lt;&gt;"",INDEX($P$2:$U$853,MATCH($X432,$W$2:$W$853,0),COLUMNS($X$2:Y432)),"")</f>
        <v/>
      </c>
      <c r="AA432" s="1" t="str">
        <f>IF($X432&lt;&gt;"",INDEX($P$2:$U$853,MATCH($X432,$W$2:$W$853,0),COLUMNS($X$2:Z432)),"")</f>
        <v/>
      </c>
      <c r="AB432" s="1" t="str">
        <f>IF($X432&lt;&gt;"",INDEX($P$2:$U$853,MATCH($X432,$W$2:$W$853,0),COLUMNS($X$2:AA432)),"")</f>
        <v/>
      </c>
      <c r="AC432" s="1" t="str">
        <f>IF($X432&lt;&gt;"",INDEX($P$2:$U$853,MATCH($X432,$W$2:$W$853,0),COLUMNS($X$2:AB432)),"")</f>
        <v/>
      </c>
      <c r="AD432" s="1" t="str">
        <f>IF($X432&lt;&gt;"",INDEX($P$2:$U$853,MATCH($X432,$W$2:$W$853,0),COLUMNS($X$2:AC432)),"")</f>
        <v/>
      </c>
    </row>
    <row r="433" spans="1:30" x14ac:dyDescent="0.2">
      <c r="A433" s="1">
        <v>1990</v>
      </c>
      <c r="B433" s="2">
        <v>33040</v>
      </c>
      <c r="C433" s="1" t="s">
        <v>530</v>
      </c>
      <c r="D433" s="1" t="s">
        <v>268</v>
      </c>
      <c r="E433" s="1" t="s">
        <v>52</v>
      </c>
      <c r="F433" s="1" t="s">
        <v>53</v>
      </c>
      <c r="G433" s="6" t="str">
        <f>VLOOKUP(A433,WorldCups!$A$2:$B$23,2,FALSE)</f>
        <v>Italy</v>
      </c>
      <c r="H433" s="1" t="s">
        <v>48</v>
      </c>
      <c r="I433" s="1">
        <v>1</v>
      </c>
      <c r="J433" s="1">
        <v>2</v>
      </c>
      <c r="K433" s="1" t="s">
        <v>109</v>
      </c>
      <c r="L433" s="1" t="s">
        <v>14</v>
      </c>
      <c r="M433" s="1" t="str">
        <f>IF(ISNUMBER(SEARCH("Group",Table2[[#This Row],[Round]])),"Group stages",Table2[[#This Row],[Round]])</f>
        <v>Group stages</v>
      </c>
      <c r="O433" s="1">
        <f>Table2[[#This Row],[Year]]</f>
        <v>1990</v>
      </c>
      <c r="P433" s="1" t="str">
        <f>INDEX(Table2[[HomeTeam]:[Group_details]],ROWS($N$2:N433),COLUMNS($N$2:N433))</f>
        <v>Sweden</v>
      </c>
      <c r="Q433" s="1">
        <f>INDEX(Table2[[HomeTeam]:[Group_details]],ROWS($N$2:O433),COLUMNS($N$2:O433))</f>
        <v>1</v>
      </c>
      <c r="R433" s="1">
        <f>INDEX(Table2[[HomeTeam]:[Group_details]],ROWS($N$2:P433),COLUMNS($N$2:P433))</f>
        <v>2</v>
      </c>
      <c r="S433" s="1" t="str">
        <f>INDEX(Table2[[HomeTeam]:[Group_details]],ROWS($N$2:Q433),COLUMNS($N$2:Q433))</f>
        <v>Scotland</v>
      </c>
      <c r="T433" s="1" t="str">
        <f>INDEX(Table2[[HomeTeam]:[Group_details]],ROWS($N$2:R433),COLUMNS($N$2:R433))</f>
        <v xml:space="preserve"> </v>
      </c>
      <c r="U433" s="1" t="str">
        <f>INDEX(Table2[[HomeTeam]:[Group_details]],ROWS($N$2:S433),COLUMNS($N$2:S433))</f>
        <v>Group stages</v>
      </c>
      <c r="V433" s="1" t="b">
        <f t="shared" si="6"/>
        <v>0</v>
      </c>
      <c r="W433" s="1" t="str">
        <f>IF(V433=TRUE,ROWS($V$2:V433),"")</f>
        <v/>
      </c>
      <c r="X433" s="1" t="str">
        <f>IFERROR(SMALL($W$2:$W$853,ROWS($W$2:W433)),"")</f>
        <v/>
      </c>
      <c r="Y433" s="1" t="str">
        <f>IF($X433&lt;&gt;"",INDEX($P$2:$U$853,MATCH($X433,$W$2:$W$853,0),COLUMNS($X$2:X433)),"")</f>
        <v/>
      </c>
      <c r="Z433" s="1" t="str">
        <f>IF($X433&lt;&gt;"",INDEX($P$2:$U$853,MATCH($X433,$W$2:$W$853,0),COLUMNS($X$2:Y433)),"")</f>
        <v/>
      </c>
      <c r="AA433" s="1" t="str">
        <f>IF($X433&lt;&gt;"",INDEX($P$2:$U$853,MATCH($X433,$W$2:$W$853,0),COLUMNS($X$2:Z433)),"")</f>
        <v/>
      </c>
      <c r="AB433" s="1" t="str">
        <f>IF($X433&lt;&gt;"",INDEX($P$2:$U$853,MATCH($X433,$W$2:$W$853,0),COLUMNS($X$2:AA433)),"")</f>
        <v/>
      </c>
      <c r="AC433" s="1" t="str">
        <f>IF($X433&lt;&gt;"",INDEX($P$2:$U$853,MATCH($X433,$W$2:$W$853,0),COLUMNS($X$2:AB433)),"")</f>
        <v/>
      </c>
      <c r="AD433" s="1" t="str">
        <f>IF($X433&lt;&gt;"",INDEX($P$2:$U$853,MATCH($X433,$W$2:$W$853,0),COLUMNS($X$2:AC433)),"")</f>
        <v/>
      </c>
    </row>
    <row r="434" spans="1:30" x14ac:dyDescent="0.2">
      <c r="A434" s="1">
        <v>1990</v>
      </c>
      <c r="B434" s="2">
        <v>33040</v>
      </c>
      <c r="C434" s="1" t="s">
        <v>530</v>
      </c>
      <c r="D434" s="1" t="s">
        <v>274</v>
      </c>
      <c r="E434" s="1" t="s">
        <v>302</v>
      </c>
      <c r="F434" s="1" t="s">
        <v>303</v>
      </c>
      <c r="G434" s="6" t="str">
        <f>VLOOKUP(A434,WorldCups!$A$2:$B$23,2,FALSE)</f>
        <v>Italy</v>
      </c>
      <c r="H434" s="1" t="s">
        <v>93</v>
      </c>
      <c r="I434" s="1">
        <v>0</v>
      </c>
      <c r="J434" s="1">
        <v>0</v>
      </c>
      <c r="K434" s="1" t="s">
        <v>45</v>
      </c>
      <c r="L434" s="1" t="s">
        <v>14</v>
      </c>
      <c r="M434" s="1" t="str">
        <f>IF(ISNUMBER(SEARCH("Group",Table2[[#This Row],[Round]])),"Group stages",Table2[[#This Row],[Round]])</f>
        <v>Group stages</v>
      </c>
      <c r="O434" s="1">
        <f>Table2[[#This Row],[Year]]</f>
        <v>1990</v>
      </c>
      <c r="P434" s="1" t="str">
        <f>INDEX(Table2[[HomeTeam]:[Group_details]],ROWS($N$2:N434),COLUMNS($N$2:N434))</f>
        <v>England</v>
      </c>
      <c r="Q434" s="1">
        <f>INDEX(Table2[[HomeTeam]:[Group_details]],ROWS($N$2:O434),COLUMNS($N$2:O434))</f>
        <v>0</v>
      </c>
      <c r="R434" s="1">
        <f>INDEX(Table2[[HomeTeam]:[Group_details]],ROWS($N$2:P434),COLUMNS($N$2:P434))</f>
        <v>0</v>
      </c>
      <c r="S434" s="1" t="str">
        <f>INDEX(Table2[[HomeTeam]:[Group_details]],ROWS($N$2:Q434),COLUMNS($N$2:Q434))</f>
        <v>Netherlands</v>
      </c>
      <c r="T434" s="1" t="str">
        <f>INDEX(Table2[[HomeTeam]:[Group_details]],ROWS($N$2:R434),COLUMNS($N$2:R434))</f>
        <v xml:space="preserve"> </v>
      </c>
      <c r="U434" s="1" t="str">
        <f>INDEX(Table2[[HomeTeam]:[Group_details]],ROWS($N$2:S434),COLUMNS($N$2:S434))</f>
        <v>Group stages</v>
      </c>
      <c r="V434" s="1" t="b">
        <f t="shared" si="6"/>
        <v>0</v>
      </c>
      <c r="W434" s="1" t="str">
        <f>IF(V434=TRUE,ROWS($V$2:V434),"")</f>
        <v/>
      </c>
      <c r="X434" s="1" t="str">
        <f>IFERROR(SMALL($W$2:$W$853,ROWS($W$2:W434)),"")</f>
        <v/>
      </c>
      <c r="Y434" s="1" t="str">
        <f>IF($X434&lt;&gt;"",INDEX($P$2:$U$853,MATCH($X434,$W$2:$W$853,0),COLUMNS($X$2:X434)),"")</f>
        <v/>
      </c>
      <c r="Z434" s="1" t="str">
        <f>IF($X434&lt;&gt;"",INDEX($P$2:$U$853,MATCH($X434,$W$2:$W$853,0),COLUMNS($X$2:Y434)),"")</f>
        <v/>
      </c>
      <c r="AA434" s="1" t="str">
        <f>IF($X434&lt;&gt;"",INDEX($P$2:$U$853,MATCH($X434,$W$2:$W$853,0),COLUMNS($X$2:Z434)),"")</f>
        <v/>
      </c>
      <c r="AB434" s="1" t="str">
        <f>IF($X434&lt;&gt;"",INDEX($P$2:$U$853,MATCH($X434,$W$2:$W$853,0),COLUMNS($X$2:AA434)),"")</f>
        <v/>
      </c>
      <c r="AC434" s="1" t="str">
        <f>IF($X434&lt;&gt;"",INDEX($P$2:$U$853,MATCH($X434,$W$2:$W$853,0),COLUMNS($X$2:AB434)),"")</f>
        <v/>
      </c>
      <c r="AD434" s="1" t="str">
        <f>IF($X434&lt;&gt;"",INDEX($P$2:$U$853,MATCH($X434,$W$2:$W$853,0),COLUMNS($X$2:AC434)),"")</f>
        <v/>
      </c>
    </row>
    <row r="435" spans="1:30" x14ac:dyDescent="0.2">
      <c r="A435" s="1">
        <v>1990</v>
      </c>
      <c r="B435" s="2">
        <v>33041</v>
      </c>
      <c r="C435" s="1" t="s">
        <v>512</v>
      </c>
      <c r="D435" s="1" t="s">
        <v>274</v>
      </c>
      <c r="E435" s="1" t="s">
        <v>307</v>
      </c>
      <c r="F435" s="1" t="s">
        <v>308</v>
      </c>
      <c r="G435" s="6" t="str">
        <f>VLOOKUP(A435,WorldCups!$A$2:$B$23,2,FALSE)</f>
        <v>Italy</v>
      </c>
      <c r="H435" s="1" t="s">
        <v>304</v>
      </c>
      <c r="I435" s="1">
        <v>0</v>
      </c>
      <c r="J435" s="1">
        <v>0</v>
      </c>
      <c r="K435" s="1" t="s">
        <v>41</v>
      </c>
      <c r="L435" s="1" t="s">
        <v>14</v>
      </c>
      <c r="M435" s="1" t="str">
        <f>IF(ISNUMBER(SEARCH("Group",Table2[[#This Row],[Round]])),"Group stages",Table2[[#This Row],[Round]])</f>
        <v>Group stages</v>
      </c>
      <c r="O435" s="1">
        <f>Table2[[#This Row],[Year]]</f>
        <v>1990</v>
      </c>
      <c r="P435" s="1" t="str">
        <f>INDEX(Table2[[HomeTeam]:[Group_details]],ROWS($N$2:N435),COLUMNS($N$2:N435))</f>
        <v>Republic of Ireland</v>
      </c>
      <c r="Q435" s="1">
        <f>INDEX(Table2[[HomeTeam]:[Group_details]],ROWS($N$2:O435),COLUMNS($N$2:O435))</f>
        <v>0</v>
      </c>
      <c r="R435" s="1">
        <f>INDEX(Table2[[HomeTeam]:[Group_details]],ROWS($N$2:P435),COLUMNS($N$2:P435))</f>
        <v>0</v>
      </c>
      <c r="S435" s="1" t="str">
        <f>INDEX(Table2[[HomeTeam]:[Group_details]],ROWS($N$2:Q435),COLUMNS($N$2:Q435))</f>
        <v>Egypt</v>
      </c>
      <c r="T435" s="1" t="str">
        <f>INDEX(Table2[[HomeTeam]:[Group_details]],ROWS($N$2:R435),COLUMNS($N$2:R435))</f>
        <v xml:space="preserve"> </v>
      </c>
      <c r="U435" s="1" t="str">
        <f>INDEX(Table2[[HomeTeam]:[Group_details]],ROWS($N$2:S435),COLUMNS($N$2:S435))</f>
        <v>Group stages</v>
      </c>
      <c r="V435" s="1" t="b">
        <f t="shared" si="6"/>
        <v>0</v>
      </c>
      <c r="W435" s="1" t="str">
        <f>IF(V435=TRUE,ROWS($V$2:V435),"")</f>
        <v/>
      </c>
      <c r="X435" s="1" t="str">
        <f>IFERROR(SMALL($W$2:$W$853,ROWS($W$2:W435)),"")</f>
        <v/>
      </c>
      <c r="Y435" s="1" t="str">
        <f>IF($X435&lt;&gt;"",INDEX($P$2:$U$853,MATCH($X435,$W$2:$W$853,0),COLUMNS($X$2:X435)),"")</f>
        <v/>
      </c>
      <c r="Z435" s="1" t="str">
        <f>IF($X435&lt;&gt;"",INDEX($P$2:$U$853,MATCH($X435,$W$2:$W$853,0),COLUMNS($X$2:Y435)),"")</f>
        <v/>
      </c>
      <c r="AA435" s="1" t="str">
        <f>IF($X435&lt;&gt;"",INDEX($P$2:$U$853,MATCH($X435,$W$2:$W$853,0),COLUMNS($X$2:Z435)),"")</f>
        <v/>
      </c>
      <c r="AB435" s="1" t="str">
        <f>IF($X435&lt;&gt;"",INDEX($P$2:$U$853,MATCH($X435,$W$2:$W$853,0),COLUMNS($X$2:AA435)),"")</f>
        <v/>
      </c>
      <c r="AC435" s="1" t="str">
        <f>IF($X435&lt;&gt;"",INDEX($P$2:$U$853,MATCH($X435,$W$2:$W$853,0),COLUMNS($X$2:AB435)),"")</f>
        <v/>
      </c>
      <c r="AD435" s="1" t="str">
        <f>IF($X435&lt;&gt;"",INDEX($P$2:$U$853,MATCH($X435,$W$2:$W$853,0),COLUMNS($X$2:AC435)),"")</f>
        <v/>
      </c>
    </row>
    <row r="436" spans="1:30" x14ac:dyDescent="0.2">
      <c r="A436" s="1">
        <v>1990</v>
      </c>
      <c r="B436" s="2">
        <v>33041</v>
      </c>
      <c r="C436" s="1" t="s">
        <v>530</v>
      </c>
      <c r="D436" s="1" t="s">
        <v>281</v>
      </c>
      <c r="E436" s="1" t="s">
        <v>309</v>
      </c>
      <c r="F436" s="1" t="s">
        <v>310</v>
      </c>
      <c r="G436" s="6" t="str">
        <f>VLOOKUP(A436,WorldCups!$A$2:$B$23,2,FALSE)</f>
        <v>Italy</v>
      </c>
      <c r="H436" s="1" t="s">
        <v>116</v>
      </c>
      <c r="I436" s="1">
        <v>1</v>
      </c>
      <c r="J436" s="1">
        <v>3</v>
      </c>
      <c r="K436" s="1" t="s">
        <v>54</v>
      </c>
      <c r="L436" s="1" t="s">
        <v>14</v>
      </c>
      <c r="M436" s="1" t="str">
        <f>IF(ISNUMBER(SEARCH("Group",Table2[[#This Row],[Round]])),"Group stages",Table2[[#This Row],[Round]])</f>
        <v>Group stages</v>
      </c>
      <c r="O436" s="1">
        <f>Table2[[#This Row],[Year]]</f>
        <v>1990</v>
      </c>
      <c r="P436" s="1" t="str">
        <f>INDEX(Table2[[HomeTeam]:[Group_details]],ROWS($N$2:N436),COLUMNS($N$2:N436))</f>
        <v>Korea Republic</v>
      </c>
      <c r="Q436" s="1">
        <f>INDEX(Table2[[HomeTeam]:[Group_details]],ROWS($N$2:O436),COLUMNS($N$2:O436))</f>
        <v>1</v>
      </c>
      <c r="R436" s="1">
        <f>INDEX(Table2[[HomeTeam]:[Group_details]],ROWS($N$2:P436),COLUMNS($N$2:P436))</f>
        <v>3</v>
      </c>
      <c r="S436" s="1" t="str">
        <f>INDEX(Table2[[HomeTeam]:[Group_details]],ROWS($N$2:Q436),COLUMNS($N$2:Q436))</f>
        <v>Spain</v>
      </c>
      <c r="T436" s="1" t="str">
        <f>INDEX(Table2[[HomeTeam]:[Group_details]],ROWS($N$2:R436),COLUMNS($N$2:R436))</f>
        <v xml:space="preserve"> </v>
      </c>
      <c r="U436" s="1" t="str">
        <f>INDEX(Table2[[HomeTeam]:[Group_details]],ROWS($N$2:S436),COLUMNS($N$2:S436))</f>
        <v>Group stages</v>
      </c>
      <c r="V436" s="1" t="b">
        <f t="shared" si="6"/>
        <v>0</v>
      </c>
      <c r="W436" s="1" t="str">
        <f>IF(V436=TRUE,ROWS($V$2:V436),"")</f>
        <v/>
      </c>
      <c r="X436" s="1" t="str">
        <f>IFERROR(SMALL($W$2:$W$853,ROWS($W$2:W436)),"")</f>
        <v/>
      </c>
      <c r="Y436" s="1" t="str">
        <f>IF($X436&lt;&gt;"",INDEX($P$2:$U$853,MATCH($X436,$W$2:$W$853,0),COLUMNS($X$2:X436)),"")</f>
        <v/>
      </c>
      <c r="Z436" s="1" t="str">
        <f>IF($X436&lt;&gt;"",INDEX($P$2:$U$853,MATCH($X436,$W$2:$W$853,0),COLUMNS($X$2:Y436)),"")</f>
        <v/>
      </c>
      <c r="AA436" s="1" t="str">
        <f>IF($X436&lt;&gt;"",INDEX($P$2:$U$853,MATCH($X436,$W$2:$W$853,0),COLUMNS($X$2:Z436)),"")</f>
        <v/>
      </c>
      <c r="AB436" s="1" t="str">
        <f>IF($X436&lt;&gt;"",INDEX($P$2:$U$853,MATCH($X436,$W$2:$W$853,0),COLUMNS($X$2:AA436)),"")</f>
        <v/>
      </c>
      <c r="AC436" s="1" t="str">
        <f>IF($X436&lt;&gt;"",INDEX($P$2:$U$853,MATCH($X436,$W$2:$W$853,0),COLUMNS($X$2:AB436)),"")</f>
        <v/>
      </c>
      <c r="AD436" s="1" t="str">
        <f>IF($X436&lt;&gt;"",INDEX($P$2:$U$853,MATCH($X436,$W$2:$W$853,0),COLUMNS($X$2:AC436)),"")</f>
        <v/>
      </c>
    </row>
    <row r="437" spans="1:30" x14ac:dyDescent="0.2">
      <c r="A437" s="1">
        <v>1990</v>
      </c>
      <c r="B437" s="2">
        <v>33041</v>
      </c>
      <c r="C437" s="1" t="s">
        <v>530</v>
      </c>
      <c r="D437" s="1" t="s">
        <v>281</v>
      </c>
      <c r="E437" s="1" t="s">
        <v>305</v>
      </c>
      <c r="F437" s="1" t="s">
        <v>306</v>
      </c>
      <c r="G437" s="6" t="str">
        <f>VLOOKUP(A437,WorldCups!$A$2:$B$23,2,FALSE)</f>
        <v>Italy</v>
      </c>
      <c r="H437" s="1" t="s">
        <v>18</v>
      </c>
      <c r="I437" s="1">
        <v>3</v>
      </c>
      <c r="J437" s="1">
        <v>1</v>
      </c>
      <c r="K437" s="1" t="s">
        <v>30</v>
      </c>
      <c r="L437" s="1" t="s">
        <v>14</v>
      </c>
      <c r="M437" s="1" t="str">
        <f>IF(ISNUMBER(SEARCH("Group",Table2[[#This Row],[Round]])),"Group stages",Table2[[#This Row],[Round]])</f>
        <v>Group stages</v>
      </c>
      <c r="O437" s="1">
        <f>Table2[[#This Row],[Year]]</f>
        <v>1990</v>
      </c>
      <c r="P437" s="1" t="str">
        <f>INDEX(Table2[[HomeTeam]:[Group_details]],ROWS($N$2:N437),COLUMNS($N$2:N437))</f>
        <v>Belgium</v>
      </c>
      <c r="Q437" s="1">
        <f>INDEX(Table2[[HomeTeam]:[Group_details]],ROWS($N$2:O437),COLUMNS($N$2:O437))</f>
        <v>3</v>
      </c>
      <c r="R437" s="1">
        <f>INDEX(Table2[[HomeTeam]:[Group_details]],ROWS($N$2:P437),COLUMNS($N$2:P437))</f>
        <v>1</v>
      </c>
      <c r="S437" s="1" t="str">
        <f>INDEX(Table2[[HomeTeam]:[Group_details]],ROWS($N$2:Q437),COLUMNS($N$2:Q437))</f>
        <v>Uruguay</v>
      </c>
      <c r="T437" s="1" t="str">
        <f>INDEX(Table2[[HomeTeam]:[Group_details]],ROWS($N$2:R437),COLUMNS($N$2:R437))</f>
        <v xml:space="preserve"> </v>
      </c>
      <c r="U437" s="1" t="str">
        <f>INDEX(Table2[[HomeTeam]:[Group_details]],ROWS($N$2:S437),COLUMNS($N$2:S437))</f>
        <v>Group stages</v>
      </c>
      <c r="V437" s="1" t="b">
        <f t="shared" si="6"/>
        <v>0</v>
      </c>
      <c r="W437" s="1" t="str">
        <f>IF(V437=TRUE,ROWS($V$2:V437),"")</f>
        <v/>
      </c>
      <c r="X437" s="1" t="str">
        <f>IFERROR(SMALL($W$2:$W$853,ROWS($W$2:W437)),"")</f>
        <v/>
      </c>
      <c r="Y437" s="1" t="str">
        <f>IF($X437&lt;&gt;"",INDEX($P$2:$U$853,MATCH($X437,$W$2:$W$853,0),COLUMNS($X$2:X437)),"")</f>
        <v/>
      </c>
      <c r="Z437" s="1" t="str">
        <f>IF($X437&lt;&gt;"",INDEX($P$2:$U$853,MATCH($X437,$W$2:$W$853,0),COLUMNS($X$2:Y437)),"")</f>
        <v/>
      </c>
      <c r="AA437" s="1" t="str">
        <f>IF($X437&lt;&gt;"",INDEX($P$2:$U$853,MATCH($X437,$W$2:$W$853,0),COLUMNS($X$2:Z437)),"")</f>
        <v/>
      </c>
      <c r="AB437" s="1" t="str">
        <f>IF($X437&lt;&gt;"",INDEX($P$2:$U$853,MATCH($X437,$W$2:$W$853,0),COLUMNS($X$2:AA437)),"")</f>
        <v/>
      </c>
      <c r="AC437" s="1" t="str">
        <f>IF($X437&lt;&gt;"",INDEX($P$2:$U$853,MATCH($X437,$W$2:$W$853,0),COLUMNS($X$2:AB437)),"")</f>
        <v/>
      </c>
      <c r="AD437" s="1" t="str">
        <f>IF($X437&lt;&gt;"",INDEX($P$2:$U$853,MATCH($X437,$W$2:$W$853,0),COLUMNS($X$2:AC437)),"")</f>
        <v/>
      </c>
    </row>
    <row r="438" spans="1:30" x14ac:dyDescent="0.2">
      <c r="A438" s="1">
        <v>1990</v>
      </c>
      <c r="B438" s="2">
        <v>33042</v>
      </c>
      <c r="C438" s="1" t="s">
        <v>530</v>
      </c>
      <c r="D438" s="1" t="s">
        <v>213</v>
      </c>
      <c r="E438" s="1" t="s">
        <v>311</v>
      </c>
      <c r="F438" s="1" t="s">
        <v>39</v>
      </c>
      <c r="G438" s="6" t="str">
        <f>VLOOKUP(A438,WorldCups!$A$2:$B$23,2,FALSE)</f>
        <v>Italy</v>
      </c>
      <c r="H438" s="1" t="s">
        <v>25</v>
      </c>
      <c r="I438" s="1">
        <v>1</v>
      </c>
      <c r="J438" s="1">
        <v>1</v>
      </c>
      <c r="K438" s="1" t="s">
        <v>23</v>
      </c>
      <c r="L438" s="1" t="s">
        <v>14</v>
      </c>
      <c r="M438" s="1" t="str">
        <f>IF(ISNUMBER(SEARCH("Group",Table2[[#This Row],[Round]])),"Group stages",Table2[[#This Row],[Round]])</f>
        <v>Group stages</v>
      </c>
      <c r="O438" s="1">
        <f>Table2[[#This Row],[Year]]</f>
        <v>1990</v>
      </c>
      <c r="P438" s="1" t="str">
        <f>INDEX(Table2[[HomeTeam]:[Group_details]],ROWS($N$2:N438),COLUMNS($N$2:N438))</f>
        <v>Argentina</v>
      </c>
      <c r="Q438" s="1">
        <f>INDEX(Table2[[HomeTeam]:[Group_details]],ROWS($N$2:O438),COLUMNS($N$2:O438))</f>
        <v>1</v>
      </c>
      <c r="R438" s="1">
        <f>INDEX(Table2[[HomeTeam]:[Group_details]],ROWS($N$2:P438),COLUMNS($N$2:P438))</f>
        <v>1</v>
      </c>
      <c r="S438" s="1" t="str">
        <f>INDEX(Table2[[HomeTeam]:[Group_details]],ROWS($N$2:Q438),COLUMNS($N$2:Q438))</f>
        <v>Romania</v>
      </c>
      <c r="T438" s="1" t="str">
        <f>INDEX(Table2[[HomeTeam]:[Group_details]],ROWS($N$2:R438),COLUMNS($N$2:R438))</f>
        <v xml:space="preserve"> </v>
      </c>
      <c r="U438" s="1" t="str">
        <f>INDEX(Table2[[HomeTeam]:[Group_details]],ROWS($N$2:S438),COLUMNS($N$2:S438))</f>
        <v>Group stages</v>
      </c>
      <c r="V438" s="1" t="b">
        <f t="shared" si="6"/>
        <v>0</v>
      </c>
      <c r="W438" s="1" t="str">
        <f>IF(V438=TRUE,ROWS($V$2:V438),"")</f>
        <v/>
      </c>
      <c r="X438" s="1" t="str">
        <f>IFERROR(SMALL($W$2:$W$853,ROWS($W$2:W438)),"")</f>
        <v/>
      </c>
      <c r="Y438" s="1" t="str">
        <f>IF($X438&lt;&gt;"",INDEX($P$2:$U$853,MATCH($X438,$W$2:$W$853,0),COLUMNS($X$2:X438)),"")</f>
        <v/>
      </c>
      <c r="Z438" s="1" t="str">
        <f>IF($X438&lt;&gt;"",INDEX($P$2:$U$853,MATCH($X438,$W$2:$W$853,0),COLUMNS($X$2:Y438)),"")</f>
        <v/>
      </c>
      <c r="AA438" s="1" t="str">
        <f>IF($X438&lt;&gt;"",INDEX($P$2:$U$853,MATCH($X438,$W$2:$W$853,0),COLUMNS($X$2:Z438)),"")</f>
        <v/>
      </c>
      <c r="AB438" s="1" t="str">
        <f>IF($X438&lt;&gt;"",INDEX($P$2:$U$853,MATCH($X438,$W$2:$W$853,0),COLUMNS($X$2:AA438)),"")</f>
        <v/>
      </c>
      <c r="AC438" s="1" t="str">
        <f>IF($X438&lt;&gt;"",INDEX($P$2:$U$853,MATCH($X438,$W$2:$W$853,0),COLUMNS($X$2:AB438)),"")</f>
        <v/>
      </c>
      <c r="AD438" s="1" t="str">
        <f>IF($X438&lt;&gt;"",INDEX($P$2:$U$853,MATCH($X438,$W$2:$W$853,0),COLUMNS($X$2:AC438)),"")</f>
        <v/>
      </c>
    </row>
    <row r="439" spans="1:30" x14ac:dyDescent="0.2">
      <c r="A439" s="1">
        <v>1990</v>
      </c>
      <c r="B439" s="2">
        <v>33042</v>
      </c>
      <c r="C439" s="1" t="s">
        <v>530</v>
      </c>
      <c r="D439" s="1" t="s">
        <v>213</v>
      </c>
      <c r="E439" s="1" t="s">
        <v>294</v>
      </c>
      <c r="F439" s="1" t="s">
        <v>295</v>
      </c>
      <c r="G439" s="6" t="str">
        <f>VLOOKUP(A439,WorldCups!$A$2:$B$23,2,FALSE)</f>
        <v>Italy</v>
      </c>
      <c r="H439" s="1" t="s">
        <v>238</v>
      </c>
      <c r="I439" s="1">
        <v>0</v>
      </c>
      <c r="J439" s="1">
        <v>4</v>
      </c>
      <c r="K439" s="1" t="s">
        <v>126</v>
      </c>
      <c r="L439" s="1" t="s">
        <v>14</v>
      </c>
      <c r="M439" s="1" t="str">
        <f>IF(ISNUMBER(SEARCH("Group",Table2[[#This Row],[Round]])),"Group stages",Table2[[#This Row],[Round]])</f>
        <v>Group stages</v>
      </c>
      <c r="O439" s="1">
        <f>Table2[[#This Row],[Year]]</f>
        <v>1990</v>
      </c>
      <c r="P439" s="1" t="str">
        <f>INDEX(Table2[[HomeTeam]:[Group_details]],ROWS($N$2:N439),COLUMNS($N$2:N439))</f>
        <v>Cameroon</v>
      </c>
      <c r="Q439" s="1">
        <f>INDEX(Table2[[HomeTeam]:[Group_details]],ROWS($N$2:O439),COLUMNS($N$2:O439))</f>
        <v>0</v>
      </c>
      <c r="R439" s="1">
        <f>INDEX(Table2[[HomeTeam]:[Group_details]],ROWS($N$2:P439),COLUMNS($N$2:P439))</f>
        <v>4</v>
      </c>
      <c r="S439" s="1" t="str">
        <f>INDEX(Table2[[HomeTeam]:[Group_details]],ROWS($N$2:Q439),COLUMNS($N$2:Q439))</f>
        <v>Soviet Union</v>
      </c>
      <c r="T439" s="1" t="str">
        <f>INDEX(Table2[[HomeTeam]:[Group_details]],ROWS($N$2:R439),COLUMNS($N$2:R439))</f>
        <v xml:space="preserve"> </v>
      </c>
      <c r="U439" s="1" t="str">
        <f>INDEX(Table2[[HomeTeam]:[Group_details]],ROWS($N$2:S439),COLUMNS($N$2:S439))</f>
        <v>Group stages</v>
      </c>
      <c r="V439" s="1" t="b">
        <f t="shared" si="6"/>
        <v>0</v>
      </c>
      <c r="W439" s="1" t="str">
        <f>IF(V439=TRUE,ROWS($V$2:V439),"")</f>
        <v/>
      </c>
      <c r="X439" s="1" t="str">
        <f>IFERROR(SMALL($W$2:$W$853,ROWS($W$2:W439)),"")</f>
        <v/>
      </c>
      <c r="Y439" s="1" t="str">
        <f>IF($X439&lt;&gt;"",INDEX($P$2:$U$853,MATCH($X439,$W$2:$W$853,0),COLUMNS($X$2:X439)),"")</f>
        <v/>
      </c>
      <c r="Z439" s="1" t="str">
        <f>IF($X439&lt;&gt;"",INDEX($P$2:$U$853,MATCH($X439,$W$2:$W$853,0),COLUMNS($X$2:Y439)),"")</f>
        <v/>
      </c>
      <c r="AA439" s="1" t="str">
        <f>IF($X439&lt;&gt;"",INDEX($P$2:$U$853,MATCH($X439,$W$2:$W$853,0),COLUMNS($X$2:Z439)),"")</f>
        <v/>
      </c>
      <c r="AB439" s="1" t="str">
        <f>IF($X439&lt;&gt;"",INDEX($P$2:$U$853,MATCH($X439,$W$2:$W$853,0),COLUMNS($X$2:AA439)),"")</f>
        <v/>
      </c>
      <c r="AC439" s="1" t="str">
        <f>IF($X439&lt;&gt;"",INDEX($P$2:$U$853,MATCH($X439,$W$2:$W$853,0),COLUMNS($X$2:AB439)),"")</f>
        <v/>
      </c>
      <c r="AD439" s="1" t="str">
        <f>IF($X439&lt;&gt;"",INDEX($P$2:$U$853,MATCH($X439,$W$2:$W$853,0),COLUMNS($X$2:AC439)),"")</f>
        <v/>
      </c>
    </row>
    <row r="440" spans="1:30" x14ac:dyDescent="0.2">
      <c r="A440" s="1">
        <v>1990</v>
      </c>
      <c r="B440" s="2">
        <v>33043</v>
      </c>
      <c r="C440" s="1" t="s">
        <v>512</v>
      </c>
      <c r="D440" s="1" t="s">
        <v>270</v>
      </c>
      <c r="E440" s="1" t="s">
        <v>293</v>
      </c>
      <c r="F440" s="1" t="s">
        <v>43</v>
      </c>
      <c r="G440" s="6" t="str">
        <f>VLOOKUP(A440,WorldCups!$A$2:$B$23,2,FALSE)</f>
        <v>Italy</v>
      </c>
      <c r="H440" s="1" t="s">
        <v>114</v>
      </c>
      <c r="I440" s="1">
        <v>1</v>
      </c>
      <c r="J440" s="1">
        <v>1</v>
      </c>
      <c r="K440" s="1" t="s">
        <v>151</v>
      </c>
      <c r="L440" s="1" t="s">
        <v>14</v>
      </c>
      <c r="M440" s="1" t="str">
        <f>IF(ISNUMBER(SEARCH("Group",Table2[[#This Row],[Round]])),"Group stages",Table2[[#This Row],[Round]])</f>
        <v>Group stages</v>
      </c>
      <c r="O440" s="1">
        <f>Table2[[#This Row],[Year]]</f>
        <v>1990</v>
      </c>
      <c r="P440" s="1" t="str">
        <f>INDEX(Table2[[HomeTeam]:[Group_details]],ROWS($N$2:N440),COLUMNS($N$2:N440))</f>
        <v>Germany FR</v>
      </c>
      <c r="Q440" s="1">
        <f>INDEX(Table2[[HomeTeam]:[Group_details]],ROWS($N$2:O440),COLUMNS($N$2:O440))</f>
        <v>1</v>
      </c>
      <c r="R440" s="1">
        <f>INDEX(Table2[[HomeTeam]:[Group_details]],ROWS($N$2:P440),COLUMNS($N$2:P440))</f>
        <v>1</v>
      </c>
      <c r="S440" s="1" t="str">
        <f>INDEX(Table2[[HomeTeam]:[Group_details]],ROWS($N$2:Q440),COLUMNS($N$2:Q440))</f>
        <v>Colombia</v>
      </c>
      <c r="T440" s="1" t="str">
        <f>INDEX(Table2[[HomeTeam]:[Group_details]],ROWS($N$2:R440),COLUMNS($N$2:R440))</f>
        <v xml:space="preserve"> </v>
      </c>
      <c r="U440" s="1" t="str">
        <f>INDEX(Table2[[HomeTeam]:[Group_details]],ROWS($N$2:S440),COLUMNS($N$2:S440))</f>
        <v>Group stages</v>
      </c>
      <c r="V440" s="1" t="b">
        <f t="shared" si="6"/>
        <v>0</v>
      </c>
      <c r="W440" s="1" t="str">
        <f>IF(V440=TRUE,ROWS($V$2:V440),"")</f>
        <v/>
      </c>
      <c r="X440" s="1" t="str">
        <f>IFERROR(SMALL($W$2:$W$853,ROWS($W$2:W440)),"")</f>
        <v/>
      </c>
      <c r="Y440" s="1" t="str">
        <f>IF($X440&lt;&gt;"",INDEX($P$2:$U$853,MATCH($X440,$W$2:$W$853,0),COLUMNS($X$2:X440)),"")</f>
        <v/>
      </c>
      <c r="Z440" s="1" t="str">
        <f>IF($X440&lt;&gt;"",INDEX($P$2:$U$853,MATCH($X440,$W$2:$W$853,0),COLUMNS($X$2:Y440)),"")</f>
        <v/>
      </c>
      <c r="AA440" s="1" t="str">
        <f>IF($X440&lt;&gt;"",INDEX($P$2:$U$853,MATCH($X440,$W$2:$W$853,0),COLUMNS($X$2:Z440)),"")</f>
        <v/>
      </c>
      <c r="AB440" s="1" t="str">
        <f>IF($X440&lt;&gt;"",INDEX($P$2:$U$853,MATCH($X440,$W$2:$W$853,0),COLUMNS($X$2:AA440)),"")</f>
        <v/>
      </c>
      <c r="AC440" s="1" t="str">
        <f>IF($X440&lt;&gt;"",INDEX($P$2:$U$853,MATCH($X440,$W$2:$W$853,0),COLUMNS($X$2:AB440)),"")</f>
        <v/>
      </c>
      <c r="AD440" s="1" t="str">
        <f>IF($X440&lt;&gt;"",INDEX($P$2:$U$853,MATCH($X440,$W$2:$W$853,0),COLUMNS($X$2:AC440)),"")</f>
        <v/>
      </c>
    </row>
    <row r="441" spans="1:30" x14ac:dyDescent="0.2">
      <c r="A441" s="1">
        <v>1990</v>
      </c>
      <c r="B441" s="2">
        <v>33043</v>
      </c>
      <c r="C441" s="1" t="s">
        <v>512</v>
      </c>
      <c r="D441" s="1" t="s">
        <v>270</v>
      </c>
      <c r="E441" s="1" t="s">
        <v>296</v>
      </c>
      <c r="F441" s="1" t="s">
        <v>47</v>
      </c>
      <c r="G441" s="6" t="str">
        <f>VLOOKUP(A441,WorldCups!$A$2:$B$23,2,FALSE)</f>
        <v>Italy</v>
      </c>
      <c r="H441" s="1" t="s">
        <v>20</v>
      </c>
      <c r="I441" s="1">
        <v>4</v>
      </c>
      <c r="J441" s="1">
        <v>1</v>
      </c>
      <c r="K441" s="1" t="s">
        <v>297</v>
      </c>
      <c r="L441" s="1" t="s">
        <v>14</v>
      </c>
      <c r="M441" s="1" t="str">
        <f>IF(ISNUMBER(SEARCH("Group",Table2[[#This Row],[Round]])),"Group stages",Table2[[#This Row],[Round]])</f>
        <v>Group stages</v>
      </c>
      <c r="O441" s="1">
        <f>Table2[[#This Row],[Year]]</f>
        <v>1990</v>
      </c>
      <c r="P441" s="1" t="str">
        <f>INDEX(Table2[[HomeTeam]:[Group_details]],ROWS($N$2:N441),COLUMNS($N$2:N441))</f>
        <v>Yugoslavia</v>
      </c>
      <c r="Q441" s="1">
        <f>INDEX(Table2[[HomeTeam]:[Group_details]],ROWS($N$2:O441),COLUMNS($N$2:O441))</f>
        <v>4</v>
      </c>
      <c r="R441" s="1">
        <f>INDEX(Table2[[HomeTeam]:[Group_details]],ROWS($N$2:P441),COLUMNS($N$2:P441))</f>
        <v>1</v>
      </c>
      <c r="S441" s="1" t="str">
        <f>INDEX(Table2[[HomeTeam]:[Group_details]],ROWS($N$2:Q441),COLUMNS($N$2:Q441))</f>
        <v>United Arab Emirates</v>
      </c>
      <c r="T441" s="1" t="str">
        <f>INDEX(Table2[[HomeTeam]:[Group_details]],ROWS($N$2:R441),COLUMNS($N$2:R441))</f>
        <v xml:space="preserve"> </v>
      </c>
      <c r="U441" s="1" t="str">
        <f>INDEX(Table2[[HomeTeam]:[Group_details]],ROWS($N$2:S441),COLUMNS($N$2:S441))</f>
        <v>Group stages</v>
      </c>
      <c r="V441" s="1" t="b">
        <f t="shared" si="6"/>
        <v>0</v>
      </c>
      <c r="W441" s="1" t="str">
        <f>IF(V441=TRUE,ROWS($V$2:V441),"")</f>
        <v/>
      </c>
      <c r="X441" s="1" t="str">
        <f>IFERROR(SMALL($W$2:$W$853,ROWS($W$2:W441)),"")</f>
        <v/>
      </c>
      <c r="Y441" s="1" t="str">
        <f>IF($X441&lt;&gt;"",INDEX($P$2:$U$853,MATCH($X441,$W$2:$W$853,0),COLUMNS($X$2:X441)),"")</f>
        <v/>
      </c>
      <c r="Z441" s="1" t="str">
        <f>IF($X441&lt;&gt;"",INDEX($P$2:$U$853,MATCH($X441,$W$2:$W$853,0),COLUMNS($X$2:Y441)),"")</f>
        <v/>
      </c>
      <c r="AA441" s="1" t="str">
        <f>IF($X441&lt;&gt;"",INDEX($P$2:$U$853,MATCH($X441,$W$2:$W$853,0),COLUMNS($X$2:Z441)),"")</f>
        <v/>
      </c>
      <c r="AB441" s="1" t="str">
        <f>IF($X441&lt;&gt;"",INDEX($P$2:$U$853,MATCH($X441,$W$2:$W$853,0),COLUMNS($X$2:AA441)),"")</f>
        <v/>
      </c>
      <c r="AC441" s="1" t="str">
        <f>IF($X441&lt;&gt;"",INDEX($P$2:$U$853,MATCH($X441,$W$2:$W$853,0),COLUMNS($X$2:AB441)),"")</f>
        <v/>
      </c>
      <c r="AD441" s="1" t="str">
        <f>IF($X441&lt;&gt;"",INDEX($P$2:$U$853,MATCH($X441,$W$2:$W$853,0),COLUMNS($X$2:AC441)),"")</f>
        <v/>
      </c>
    </row>
    <row r="442" spans="1:30" x14ac:dyDescent="0.2">
      <c r="A442" s="1">
        <v>1990</v>
      </c>
      <c r="B442" s="2">
        <v>33043</v>
      </c>
      <c r="C442" s="1" t="s">
        <v>530</v>
      </c>
      <c r="D442" s="1" t="s">
        <v>214</v>
      </c>
      <c r="E442" s="1" t="s">
        <v>298</v>
      </c>
      <c r="F442" s="1" t="s">
        <v>56</v>
      </c>
      <c r="G442" s="6" t="str">
        <f>VLOOKUP(A442,WorldCups!$A$2:$B$23,2,FALSE)</f>
        <v>Italy</v>
      </c>
      <c r="H442" s="1" t="s">
        <v>57</v>
      </c>
      <c r="I442" s="1">
        <v>2</v>
      </c>
      <c r="J442" s="1">
        <v>0</v>
      </c>
      <c r="K442" s="1" t="s">
        <v>60</v>
      </c>
      <c r="L442" s="1" t="s">
        <v>14</v>
      </c>
      <c r="M442" s="1" t="str">
        <f>IF(ISNUMBER(SEARCH("Group",Table2[[#This Row],[Round]])),"Group stages",Table2[[#This Row],[Round]])</f>
        <v>Group stages</v>
      </c>
      <c r="O442" s="1">
        <f>Table2[[#This Row],[Year]]</f>
        <v>1990</v>
      </c>
      <c r="P442" s="1" t="str">
        <f>INDEX(Table2[[HomeTeam]:[Group_details]],ROWS($N$2:N442),COLUMNS($N$2:N442))</f>
        <v>Italy</v>
      </c>
      <c r="Q442" s="1">
        <f>INDEX(Table2[[HomeTeam]:[Group_details]],ROWS($N$2:O442),COLUMNS($N$2:O442))</f>
        <v>2</v>
      </c>
      <c r="R442" s="1">
        <f>INDEX(Table2[[HomeTeam]:[Group_details]],ROWS($N$2:P442),COLUMNS($N$2:P442))</f>
        <v>0</v>
      </c>
      <c r="S442" s="1" t="str">
        <f>INDEX(Table2[[HomeTeam]:[Group_details]],ROWS($N$2:Q442),COLUMNS($N$2:Q442))</f>
        <v>Czechoslovakia</v>
      </c>
      <c r="T442" s="1" t="str">
        <f>INDEX(Table2[[HomeTeam]:[Group_details]],ROWS($N$2:R442),COLUMNS($N$2:R442))</f>
        <v xml:space="preserve"> </v>
      </c>
      <c r="U442" s="1" t="str">
        <f>INDEX(Table2[[HomeTeam]:[Group_details]],ROWS($N$2:S442),COLUMNS($N$2:S442))</f>
        <v>Group stages</v>
      </c>
      <c r="V442" s="1" t="b">
        <f t="shared" si="6"/>
        <v>0</v>
      </c>
      <c r="W442" s="1" t="str">
        <f>IF(V442=TRUE,ROWS($V$2:V442),"")</f>
        <v/>
      </c>
      <c r="X442" s="1" t="str">
        <f>IFERROR(SMALL($W$2:$W$853,ROWS($W$2:W442)),"")</f>
        <v/>
      </c>
      <c r="Y442" s="1" t="str">
        <f>IF($X442&lt;&gt;"",INDEX($P$2:$U$853,MATCH($X442,$W$2:$W$853,0),COLUMNS($X$2:X442)),"")</f>
        <v/>
      </c>
      <c r="Z442" s="1" t="str">
        <f>IF($X442&lt;&gt;"",INDEX($P$2:$U$853,MATCH($X442,$W$2:$W$853,0),COLUMNS($X$2:Y442)),"")</f>
        <v/>
      </c>
      <c r="AA442" s="1" t="str">
        <f>IF($X442&lt;&gt;"",INDEX($P$2:$U$853,MATCH($X442,$W$2:$W$853,0),COLUMNS($X$2:Z442)),"")</f>
        <v/>
      </c>
      <c r="AB442" s="1" t="str">
        <f>IF($X442&lt;&gt;"",INDEX($P$2:$U$853,MATCH($X442,$W$2:$W$853,0),COLUMNS($X$2:AA442)),"")</f>
        <v/>
      </c>
      <c r="AC442" s="1" t="str">
        <f>IF($X442&lt;&gt;"",INDEX($P$2:$U$853,MATCH($X442,$W$2:$W$853,0),COLUMNS($X$2:AB442)),"")</f>
        <v/>
      </c>
      <c r="AD442" s="1" t="str">
        <f>IF($X442&lt;&gt;"",INDEX($P$2:$U$853,MATCH($X442,$W$2:$W$853,0),COLUMNS($X$2:AC442)),"")</f>
        <v/>
      </c>
    </row>
    <row r="443" spans="1:30" x14ac:dyDescent="0.2">
      <c r="A443" s="1">
        <v>1990</v>
      </c>
      <c r="B443" s="2">
        <v>33043</v>
      </c>
      <c r="C443" s="1" t="s">
        <v>530</v>
      </c>
      <c r="D443" s="1" t="s">
        <v>214</v>
      </c>
      <c r="E443" s="1" t="s">
        <v>299</v>
      </c>
      <c r="F443" s="1" t="s">
        <v>50</v>
      </c>
      <c r="G443" s="6" t="str">
        <f>VLOOKUP(A443,WorldCups!$A$2:$B$23,2,FALSE)</f>
        <v>Italy</v>
      </c>
      <c r="H443" s="1" t="s">
        <v>36</v>
      </c>
      <c r="I443" s="1">
        <v>2</v>
      </c>
      <c r="J443" s="1">
        <v>1</v>
      </c>
      <c r="K443" s="1" t="s">
        <v>17</v>
      </c>
      <c r="L443" s="1" t="s">
        <v>14</v>
      </c>
      <c r="M443" s="1" t="str">
        <f>IF(ISNUMBER(SEARCH("Group",Table2[[#This Row],[Round]])),"Group stages",Table2[[#This Row],[Round]])</f>
        <v>Group stages</v>
      </c>
      <c r="O443" s="1">
        <f>Table2[[#This Row],[Year]]</f>
        <v>1990</v>
      </c>
      <c r="P443" s="1" t="str">
        <f>INDEX(Table2[[HomeTeam]:[Group_details]],ROWS($N$2:N443),COLUMNS($N$2:N443))</f>
        <v>Austria</v>
      </c>
      <c r="Q443" s="1">
        <f>INDEX(Table2[[HomeTeam]:[Group_details]],ROWS($N$2:O443),COLUMNS($N$2:O443))</f>
        <v>2</v>
      </c>
      <c r="R443" s="1">
        <f>INDEX(Table2[[HomeTeam]:[Group_details]],ROWS($N$2:P443),COLUMNS($N$2:P443))</f>
        <v>1</v>
      </c>
      <c r="S443" s="1" t="str">
        <f>INDEX(Table2[[HomeTeam]:[Group_details]],ROWS($N$2:Q443),COLUMNS($N$2:Q443))</f>
        <v>USA</v>
      </c>
      <c r="T443" s="1" t="str">
        <f>INDEX(Table2[[HomeTeam]:[Group_details]],ROWS($N$2:R443),COLUMNS($N$2:R443))</f>
        <v xml:space="preserve"> </v>
      </c>
      <c r="U443" s="1" t="str">
        <f>INDEX(Table2[[HomeTeam]:[Group_details]],ROWS($N$2:S443),COLUMNS($N$2:S443))</f>
        <v>Group stages</v>
      </c>
      <c r="V443" s="1" t="b">
        <f t="shared" si="6"/>
        <v>0</v>
      </c>
      <c r="W443" s="1" t="str">
        <f>IF(V443=TRUE,ROWS($V$2:V443),"")</f>
        <v/>
      </c>
      <c r="X443" s="1" t="str">
        <f>IFERROR(SMALL($W$2:$W$853,ROWS($W$2:W443)),"")</f>
        <v/>
      </c>
      <c r="Y443" s="1" t="str">
        <f>IF($X443&lt;&gt;"",INDEX($P$2:$U$853,MATCH($X443,$W$2:$W$853,0),COLUMNS($X$2:X443)),"")</f>
        <v/>
      </c>
      <c r="Z443" s="1" t="str">
        <f>IF($X443&lt;&gt;"",INDEX($P$2:$U$853,MATCH($X443,$W$2:$W$853,0),COLUMNS($X$2:Y443)),"")</f>
        <v/>
      </c>
      <c r="AA443" s="1" t="str">
        <f>IF($X443&lt;&gt;"",INDEX($P$2:$U$853,MATCH($X443,$W$2:$W$853,0),COLUMNS($X$2:Z443)),"")</f>
        <v/>
      </c>
      <c r="AB443" s="1" t="str">
        <f>IF($X443&lt;&gt;"",INDEX($P$2:$U$853,MATCH($X443,$W$2:$W$853,0),COLUMNS($X$2:AA443)),"")</f>
        <v/>
      </c>
      <c r="AC443" s="1" t="str">
        <f>IF($X443&lt;&gt;"",INDEX($P$2:$U$853,MATCH($X443,$W$2:$W$853,0),COLUMNS($X$2:AB443)),"")</f>
        <v/>
      </c>
      <c r="AD443" s="1" t="str">
        <f>IF($X443&lt;&gt;"",INDEX($P$2:$U$853,MATCH($X443,$W$2:$W$853,0),COLUMNS($X$2:AC443)),"")</f>
        <v/>
      </c>
    </row>
    <row r="444" spans="1:30" x14ac:dyDescent="0.2">
      <c r="A444" s="1">
        <v>1990</v>
      </c>
      <c r="B444" s="2">
        <v>33044</v>
      </c>
      <c r="C444" s="1" t="s">
        <v>530</v>
      </c>
      <c r="D444" s="1" t="s">
        <v>268</v>
      </c>
      <c r="E444" s="1" t="s">
        <v>300</v>
      </c>
      <c r="F444" s="1" t="s">
        <v>35</v>
      </c>
      <c r="G444" s="6" t="str">
        <f>VLOOKUP(A444,WorldCups!$A$2:$B$23,2,FALSE)</f>
        <v>Italy</v>
      </c>
      <c r="H444" s="1" t="s">
        <v>21</v>
      </c>
      <c r="I444" s="1">
        <v>1</v>
      </c>
      <c r="J444" s="1">
        <v>0</v>
      </c>
      <c r="K444" s="1" t="s">
        <v>109</v>
      </c>
      <c r="L444" s="1" t="s">
        <v>14</v>
      </c>
      <c r="M444" s="1" t="str">
        <f>IF(ISNUMBER(SEARCH("Group",Table2[[#This Row],[Round]])),"Group stages",Table2[[#This Row],[Round]])</f>
        <v>Group stages</v>
      </c>
      <c r="O444" s="1">
        <f>Table2[[#This Row],[Year]]</f>
        <v>1990</v>
      </c>
      <c r="P444" s="1" t="str">
        <f>INDEX(Table2[[HomeTeam]:[Group_details]],ROWS($N$2:N444),COLUMNS($N$2:N444))</f>
        <v>Brazil</v>
      </c>
      <c r="Q444" s="1">
        <f>INDEX(Table2[[HomeTeam]:[Group_details]],ROWS($N$2:O444),COLUMNS($N$2:O444))</f>
        <v>1</v>
      </c>
      <c r="R444" s="1">
        <f>INDEX(Table2[[HomeTeam]:[Group_details]],ROWS($N$2:P444),COLUMNS($N$2:P444))</f>
        <v>0</v>
      </c>
      <c r="S444" s="1" t="str">
        <f>INDEX(Table2[[HomeTeam]:[Group_details]],ROWS($N$2:Q444),COLUMNS($N$2:Q444))</f>
        <v>Scotland</v>
      </c>
      <c r="T444" s="1" t="str">
        <f>INDEX(Table2[[HomeTeam]:[Group_details]],ROWS($N$2:R444),COLUMNS($N$2:R444))</f>
        <v xml:space="preserve"> </v>
      </c>
      <c r="U444" s="1" t="str">
        <f>INDEX(Table2[[HomeTeam]:[Group_details]],ROWS($N$2:S444),COLUMNS($N$2:S444))</f>
        <v>Group stages</v>
      </c>
      <c r="V444" s="1" t="b">
        <f t="shared" si="6"/>
        <v>0</v>
      </c>
      <c r="W444" s="1" t="str">
        <f>IF(V444=TRUE,ROWS($V$2:V444),"")</f>
        <v/>
      </c>
      <c r="X444" s="1" t="str">
        <f>IFERROR(SMALL($W$2:$W$853,ROWS($W$2:W444)),"")</f>
        <v/>
      </c>
      <c r="Y444" s="1" t="str">
        <f>IF($X444&lt;&gt;"",INDEX($P$2:$U$853,MATCH($X444,$W$2:$W$853,0),COLUMNS($X$2:X444)),"")</f>
        <v/>
      </c>
      <c r="Z444" s="1" t="str">
        <f>IF($X444&lt;&gt;"",INDEX($P$2:$U$853,MATCH($X444,$W$2:$W$853,0),COLUMNS($X$2:Y444)),"")</f>
        <v/>
      </c>
      <c r="AA444" s="1" t="str">
        <f>IF($X444&lt;&gt;"",INDEX($P$2:$U$853,MATCH($X444,$W$2:$W$853,0),COLUMNS($X$2:Z444)),"")</f>
        <v/>
      </c>
      <c r="AB444" s="1" t="str">
        <f>IF($X444&lt;&gt;"",INDEX($P$2:$U$853,MATCH($X444,$W$2:$W$853,0),COLUMNS($X$2:AA444)),"")</f>
        <v/>
      </c>
      <c r="AC444" s="1" t="str">
        <f>IF($X444&lt;&gt;"",INDEX($P$2:$U$853,MATCH($X444,$W$2:$W$853,0),COLUMNS($X$2:AB444)),"")</f>
        <v/>
      </c>
      <c r="AD444" s="1" t="str">
        <f>IF($X444&lt;&gt;"",INDEX($P$2:$U$853,MATCH($X444,$W$2:$W$853,0),COLUMNS($X$2:AC444)),"")</f>
        <v/>
      </c>
    </row>
    <row r="445" spans="1:30" x14ac:dyDescent="0.2">
      <c r="A445" s="1">
        <v>1990</v>
      </c>
      <c r="B445" s="2">
        <v>33044</v>
      </c>
      <c r="C445" s="1" t="s">
        <v>530</v>
      </c>
      <c r="D445" s="1" t="s">
        <v>268</v>
      </c>
      <c r="E445" s="1" t="s">
        <v>52</v>
      </c>
      <c r="F445" s="1" t="s">
        <v>53</v>
      </c>
      <c r="G445" s="6" t="str">
        <f>VLOOKUP(A445,WorldCups!$A$2:$B$23,2,FALSE)</f>
        <v>Italy</v>
      </c>
      <c r="H445" s="1" t="s">
        <v>48</v>
      </c>
      <c r="I445" s="1">
        <v>1</v>
      </c>
      <c r="J445" s="1">
        <v>2</v>
      </c>
      <c r="K445" s="1" t="s">
        <v>301</v>
      </c>
      <c r="L445" s="1" t="s">
        <v>14</v>
      </c>
      <c r="M445" s="1" t="str">
        <f>IF(ISNUMBER(SEARCH("Group",Table2[[#This Row],[Round]])),"Group stages",Table2[[#This Row],[Round]])</f>
        <v>Group stages</v>
      </c>
      <c r="O445" s="1">
        <f>Table2[[#This Row],[Year]]</f>
        <v>1990</v>
      </c>
      <c r="P445" s="1" t="str">
        <f>INDEX(Table2[[HomeTeam]:[Group_details]],ROWS($N$2:N445),COLUMNS($N$2:N445))</f>
        <v>Sweden</v>
      </c>
      <c r="Q445" s="1">
        <f>INDEX(Table2[[HomeTeam]:[Group_details]],ROWS($N$2:O445),COLUMNS($N$2:O445))</f>
        <v>1</v>
      </c>
      <c r="R445" s="1">
        <f>INDEX(Table2[[HomeTeam]:[Group_details]],ROWS($N$2:P445),COLUMNS($N$2:P445))</f>
        <v>2</v>
      </c>
      <c r="S445" s="1" t="str">
        <f>INDEX(Table2[[HomeTeam]:[Group_details]],ROWS($N$2:Q445),COLUMNS($N$2:Q445))</f>
        <v>Costa Rica</v>
      </c>
      <c r="T445" s="1" t="str">
        <f>INDEX(Table2[[HomeTeam]:[Group_details]],ROWS($N$2:R445),COLUMNS($N$2:R445))</f>
        <v xml:space="preserve"> </v>
      </c>
      <c r="U445" s="1" t="str">
        <f>INDEX(Table2[[HomeTeam]:[Group_details]],ROWS($N$2:S445),COLUMNS($N$2:S445))</f>
        <v>Group stages</v>
      </c>
      <c r="V445" s="1" t="b">
        <f t="shared" si="6"/>
        <v>0</v>
      </c>
      <c r="W445" s="1" t="str">
        <f>IF(V445=TRUE,ROWS($V$2:V445),"")</f>
        <v/>
      </c>
      <c r="X445" s="1" t="str">
        <f>IFERROR(SMALL($W$2:$W$853,ROWS($W$2:W445)),"")</f>
        <v/>
      </c>
      <c r="Y445" s="1" t="str">
        <f>IF($X445&lt;&gt;"",INDEX($P$2:$U$853,MATCH($X445,$W$2:$W$853,0),COLUMNS($X$2:X445)),"")</f>
        <v/>
      </c>
      <c r="Z445" s="1" t="str">
        <f>IF($X445&lt;&gt;"",INDEX($P$2:$U$853,MATCH($X445,$W$2:$W$853,0),COLUMNS($X$2:Y445)),"")</f>
        <v/>
      </c>
      <c r="AA445" s="1" t="str">
        <f>IF($X445&lt;&gt;"",INDEX($P$2:$U$853,MATCH($X445,$W$2:$W$853,0),COLUMNS($X$2:Z445)),"")</f>
        <v/>
      </c>
      <c r="AB445" s="1" t="str">
        <f>IF($X445&lt;&gt;"",INDEX($P$2:$U$853,MATCH($X445,$W$2:$W$853,0),COLUMNS($X$2:AA445)),"")</f>
        <v/>
      </c>
      <c r="AC445" s="1" t="str">
        <f>IF($X445&lt;&gt;"",INDEX($P$2:$U$853,MATCH($X445,$W$2:$W$853,0),COLUMNS($X$2:AB445)),"")</f>
        <v/>
      </c>
      <c r="AD445" s="1" t="str">
        <f>IF($X445&lt;&gt;"",INDEX($P$2:$U$853,MATCH($X445,$W$2:$W$853,0),COLUMNS($X$2:AC445)),"")</f>
        <v/>
      </c>
    </row>
    <row r="446" spans="1:30" x14ac:dyDescent="0.2">
      <c r="A446" s="1">
        <v>1990</v>
      </c>
      <c r="B446" s="2">
        <v>33045</v>
      </c>
      <c r="C446" s="1" t="s">
        <v>512</v>
      </c>
      <c r="D446" s="1" t="s">
        <v>281</v>
      </c>
      <c r="E446" s="1" t="s">
        <v>312</v>
      </c>
      <c r="F446" s="1" t="s">
        <v>310</v>
      </c>
      <c r="G446" s="6" t="str">
        <f>VLOOKUP(A446,WorldCups!$A$2:$B$23,2,FALSE)</f>
        <v>Italy</v>
      </c>
      <c r="H446" s="1" t="s">
        <v>116</v>
      </c>
      <c r="I446" s="1">
        <v>0</v>
      </c>
      <c r="J446" s="1">
        <v>1</v>
      </c>
      <c r="K446" s="1" t="s">
        <v>30</v>
      </c>
      <c r="L446" s="1" t="s">
        <v>14</v>
      </c>
      <c r="M446" s="1" t="str">
        <f>IF(ISNUMBER(SEARCH("Group",Table2[[#This Row],[Round]])),"Group stages",Table2[[#This Row],[Round]])</f>
        <v>Group stages</v>
      </c>
      <c r="O446" s="1">
        <f>Table2[[#This Row],[Year]]</f>
        <v>1990</v>
      </c>
      <c r="P446" s="1" t="str">
        <f>INDEX(Table2[[HomeTeam]:[Group_details]],ROWS($N$2:N446),COLUMNS($N$2:N446))</f>
        <v>Korea Republic</v>
      </c>
      <c r="Q446" s="1">
        <f>INDEX(Table2[[HomeTeam]:[Group_details]],ROWS($N$2:O446),COLUMNS($N$2:O446))</f>
        <v>0</v>
      </c>
      <c r="R446" s="1">
        <f>INDEX(Table2[[HomeTeam]:[Group_details]],ROWS($N$2:P446),COLUMNS($N$2:P446))</f>
        <v>1</v>
      </c>
      <c r="S446" s="1" t="str">
        <f>INDEX(Table2[[HomeTeam]:[Group_details]],ROWS($N$2:Q446),COLUMNS($N$2:Q446))</f>
        <v>Uruguay</v>
      </c>
      <c r="T446" s="1" t="str">
        <f>INDEX(Table2[[HomeTeam]:[Group_details]],ROWS($N$2:R446),COLUMNS($N$2:R446))</f>
        <v xml:space="preserve"> </v>
      </c>
      <c r="U446" s="1" t="str">
        <f>INDEX(Table2[[HomeTeam]:[Group_details]],ROWS($N$2:S446),COLUMNS($N$2:S446))</f>
        <v>Group stages</v>
      </c>
      <c r="V446" s="1" t="b">
        <f t="shared" si="6"/>
        <v>0</v>
      </c>
      <c r="W446" s="1" t="str">
        <f>IF(V446=TRUE,ROWS($V$2:V446),"")</f>
        <v/>
      </c>
      <c r="X446" s="1" t="str">
        <f>IFERROR(SMALL($W$2:$W$853,ROWS($W$2:W446)),"")</f>
        <v/>
      </c>
      <c r="Y446" s="1" t="str">
        <f>IF($X446&lt;&gt;"",INDEX($P$2:$U$853,MATCH($X446,$W$2:$W$853,0),COLUMNS($X$2:X446)),"")</f>
        <v/>
      </c>
      <c r="Z446" s="1" t="str">
        <f>IF($X446&lt;&gt;"",INDEX($P$2:$U$853,MATCH($X446,$W$2:$W$853,0),COLUMNS($X$2:Y446)),"")</f>
        <v/>
      </c>
      <c r="AA446" s="1" t="str">
        <f>IF($X446&lt;&gt;"",INDEX($P$2:$U$853,MATCH($X446,$W$2:$W$853,0),COLUMNS($X$2:Z446)),"")</f>
        <v/>
      </c>
      <c r="AB446" s="1" t="str">
        <f>IF($X446&lt;&gt;"",INDEX($P$2:$U$853,MATCH($X446,$W$2:$W$853,0),COLUMNS($X$2:AA446)),"")</f>
        <v/>
      </c>
      <c r="AC446" s="1" t="str">
        <f>IF($X446&lt;&gt;"",INDEX($P$2:$U$853,MATCH($X446,$W$2:$W$853,0),COLUMNS($X$2:AB446)),"")</f>
        <v/>
      </c>
      <c r="AD446" s="1" t="str">
        <f>IF($X446&lt;&gt;"",INDEX($P$2:$U$853,MATCH($X446,$W$2:$W$853,0),COLUMNS($X$2:AC446)),"")</f>
        <v/>
      </c>
    </row>
    <row r="447" spans="1:30" x14ac:dyDescent="0.2">
      <c r="A447" s="1">
        <v>1990</v>
      </c>
      <c r="B447" s="2">
        <v>33045</v>
      </c>
      <c r="C447" s="1" t="s">
        <v>512</v>
      </c>
      <c r="D447" s="1" t="s">
        <v>281</v>
      </c>
      <c r="E447" s="1" t="s">
        <v>305</v>
      </c>
      <c r="F447" s="1" t="s">
        <v>306</v>
      </c>
      <c r="G447" s="6" t="str">
        <f>VLOOKUP(A447,WorldCups!$A$2:$B$23,2,FALSE)</f>
        <v>Italy</v>
      </c>
      <c r="H447" s="1" t="s">
        <v>18</v>
      </c>
      <c r="I447" s="1">
        <v>1</v>
      </c>
      <c r="J447" s="1">
        <v>2</v>
      </c>
      <c r="K447" s="1" t="s">
        <v>54</v>
      </c>
      <c r="L447" s="1" t="s">
        <v>14</v>
      </c>
      <c r="M447" s="1" t="str">
        <f>IF(ISNUMBER(SEARCH("Group",Table2[[#This Row],[Round]])),"Group stages",Table2[[#This Row],[Round]])</f>
        <v>Group stages</v>
      </c>
      <c r="O447" s="1">
        <f>Table2[[#This Row],[Year]]</f>
        <v>1990</v>
      </c>
      <c r="P447" s="1" t="str">
        <f>INDEX(Table2[[HomeTeam]:[Group_details]],ROWS($N$2:N447),COLUMNS($N$2:N447))</f>
        <v>Belgium</v>
      </c>
      <c r="Q447" s="1">
        <f>INDEX(Table2[[HomeTeam]:[Group_details]],ROWS($N$2:O447),COLUMNS($N$2:O447))</f>
        <v>1</v>
      </c>
      <c r="R447" s="1">
        <f>INDEX(Table2[[HomeTeam]:[Group_details]],ROWS($N$2:P447),COLUMNS($N$2:P447))</f>
        <v>2</v>
      </c>
      <c r="S447" s="1" t="str">
        <f>INDEX(Table2[[HomeTeam]:[Group_details]],ROWS($N$2:Q447),COLUMNS($N$2:Q447))</f>
        <v>Spain</v>
      </c>
      <c r="T447" s="1" t="str">
        <f>INDEX(Table2[[HomeTeam]:[Group_details]],ROWS($N$2:R447),COLUMNS($N$2:R447))</f>
        <v xml:space="preserve"> </v>
      </c>
      <c r="U447" s="1" t="str">
        <f>INDEX(Table2[[HomeTeam]:[Group_details]],ROWS($N$2:S447),COLUMNS($N$2:S447))</f>
        <v>Group stages</v>
      </c>
      <c r="V447" s="1" t="b">
        <f t="shared" si="6"/>
        <v>0</v>
      </c>
      <c r="W447" s="1" t="str">
        <f>IF(V447=TRUE,ROWS($V$2:V447),"")</f>
        <v/>
      </c>
      <c r="X447" s="1" t="str">
        <f>IFERROR(SMALL($W$2:$W$853,ROWS($W$2:W447)),"")</f>
        <v/>
      </c>
      <c r="Y447" s="1" t="str">
        <f>IF($X447&lt;&gt;"",INDEX($P$2:$U$853,MATCH($X447,$W$2:$W$853,0),COLUMNS($X$2:X447)),"")</f>
        <v/>
      </c>
      <c r="Z447" s="1" t="str">
        <f>IF($X447&lt;&gt;"",INDEX($P$2:$U$853,MATCH($X447,$W$2:$W$853,0),COLUMNS($X$2:Y447)),"")</f>
        <v/>
      </c>
      <c r="AA447" s="1" t="str">
        <f>IF($X447&lt;&gt;"",INDEX($P$2:$U$853,MATCH($X447,$W$2:$W$853,0),COLUMNS($X$2:Z447)),"")</f>
        <v/>
      </c>
      <c r="AB447" s="1" t="str">
        <f>IF($X447&lt;&gt;"",INDEX($P$2:$U$853,MATCH($X447,$W$2:$W$853,0),COLUMNS($X$2:AA447)),"")</f>
        <v/>
      </c>
      <c r="AC447" s="1" t="str">
        <f>IF($X447&lt;&gt;"",INDEX($P$2:$U$853,MATCH($X447,$W$2:$W$853,0),COLUMNS($X$2:AB447)),"")</f>
        <v/>
      </c>
      <c r="AD447" s="1" t="str">
        <f>IF($X447&lt;&gt;"",INDEX($P$2:$U$853,MATCH($X447,$W$2:$W$853,0),COLUMNS($X$2:AC447)),"")</f>
        <v/>
      </c>
    </row>
    <row r="448" spans="1:30" x14ac:dyDescent="0.2">
      <c r="A448" s="1">
        <v>1990</v>
      </c>
      <c r="B448" s="2">
        <v>33045</v>
      </c>
      <c r="C448" s="1" t="s">
        <v>530</v>
      </c>
      <c r="D448" s="1" t="s">
        <v>274</v>
      </c>
      <c r="E448" s="1" t="s">
        <v>307</v>
      </c>
      <c r="F448" s="1" t="s">
        <v>308</v>
      </c>
      <c r="G448" s="6" t="str">
        <f>VLOOKUP(A448,WorldCups!$A$2:$B$23,2,FALSE)</f>
        <v>Italy</v>
      </c>
      <c r="H448" s="1" t="s">
        <v>304</v>
      </c>
      <c r="I448" s="1">
        <v>1</v>
      </c>
      <c r="J448" s="1">
        <v>1</v>
      </c>
      <c r="K448" s="1" t="s">
        <v>45</v>
      </c>
      <c r="L448" s="1" t="s">
        <v>14</v>
      </c>
      <c r="M448" s="1" t="str">
        <f>IF(ISNUMBER(SEARCH("Group",Table2[[#This Row],[Round]])),"Group stages",Table2[[#This Row],[Round]])</f>
        <v>Group stages</v>
      </c>
      <c r="O448" s="1">
        <f>Table2[[#This Row],[Year]]</f>
        <v>1990</v>
      </c>
      <c r="P448" s="1" t="str">
        <f>INDEX(Table2[[HomeTeam]:[Group_details]],ROWS($N$2:N448),COLUMNS($N$2:N448))</f>
        <v>Republic of Ireland</v>
      </c>
      <c r="Q448" s="1">
        <f>INDEX(Table2[[HomeTeam]:[Group_details]],ROWS($N$2:O448),COLUMNS($N$2:O448))</f>
        <v>1</v>
      </c>
      <c r="R448" s="1">
        <f>INDEX(Table2[[HomeTeam]:[Group_details]],ROWS($N$2:P448),COLUMNS($N$2:P448))</f>
        <v>1</v>
      </c>
      <c r="S448" s="1" t="str">
        <f>INDEX(Table2[[HomeTeam]:[Group_details]],ROWS($N$2:Q448),COLUMNS($N$2:Q448))</f>
        <v>Netherlands</v>
      </c>
      <c r="T448" s="1" t="str">
        <f>INDEX(Table2[[HomeTeam]:[Group_details]],ROWS($N$2:R448),COLUMNS($N$2:R448))</f>
        <v xml:space="preserve"> </v>
      </c>
      <c r="U448" s="1" t="str">
        <f>INDEX(Table2[[HomeTeam]:[Group_details]],ROWS($N$2:S448),COLUMNS($N$2:S448))</f>
        <v>Group stages</v>
      </c>
      <c r="V448" s="1" t="b">
        <f t="shared" si="6"/>
        <v>0</v>
      </c>
      <c r="W448" s="1" t="str">
        <f>IF(V448=TRUE,ROWS($V$2:V448),"")</f>
        <v/>
      </c>
      <c r="X448" s="1" t="str">
        <f>IFERROR(SMALL($W$2:$W$853,ROWS($W$2:W448)),"")</f>
        <v/>
      </c>
      <c r="Y448" s="1" t="str">
        <f>IF($X448&lt;&gt;"",INDEX($P$2:$U$853,MATCH($X448,$W$2:$W$853,0),COLUMNS($X$2:X448)),"")</f>
        <v/>
      </c>
      <c r="Z448" s="1" t="str">
        <f>IF($X448&lt;&gt;"",INDEX($P$2:$U$853,MATCH($X448,$W$2:$W$853,0),COLUMNS($X$2:Y448)),"")</f>
        <v/>
      </c>
      <c r="AA448" s="1" t="str">
        <f>IF($X448&lt;&gt;"",INDEX($P$2:$U$853,MATCH($X448,$W$2:$W$853,0),COLUMNS($X$2:Z448)),"")</f>
        <v/>
      </c>
      <c r="AB448" s="1" t="str">
        <f>IF($X448&lt;&gt;"",INDEX($P$2:$U$853,MATCH($X448,$W$2:$W$853,0),COLUMNS($X$2:AA448)),"")</f>
        <v/>
      </c>
      <c r="AC448" s="1" t="str">
        <f>IF($X448&lt;&gt;"",INDEX($P$2:$U$853,MATCH($X448,$W$2:$W$853,0),COLUMNS($X$2:AB448)),"")</f>
        <v/>
      </c>
      <c r="AD448" s="1" t="str">
        <f>IF($X448&lt;&gt;"",INDEX($P$2:$U$853,MATCH($X448,$W$2:$W$853,0),COLUMNS($X$2:AC448)),"")</f>
        <v/>
      </c>
    </row>
    <row r="449" spans="1:30" x14ac:dyDescent="0.2">
      <c r="A449" s="1">
        <v>1990</v>
      </c>
      <c r="B449" s="2">
        <v>33045</v>
      </c>
      <c r="C449" s="1" t="s">
        <v>530</v>
      </c>
      <c r="D449" s="1" t="s">
        <v>274</v>
      </c>
      <c r="E449" s="1" t="s">
        <v>302</v>
      </c>
      <c r="F449" s="1" t="s">
        <v>303</v>
      </c>
      <c r="G449" s="6" t="str">
        <f>VLOOKUP(A449,WorldCups!$A$2:$B$23,2,FALSE)</f>
        <v>Italy</v>
      </c>
      <c r="H449" s="1" t="s">
        <v>93</v>
      </c>
      <c r="I449" s="1">
        <v>1</v>
      </c>
      <c r="J449" s="1">
        <v>0</v>
      </c>
      <c r="K449" s="1" t="s">
        <v>41</v>
      </c>
      <c r="L449" s="1" t="s">
        <v>14</v>
      </c>
      <c r="M449" s="1" t="str">
        <f>IF(ISNUMBER(SEARCH("Group",Table2[[#This Row],[Round]])),"Group stages",Table2[[#This Row],[Round]])</f>
        <v>Group stages</v>
      </c>
      <c r="O449" s="1">
        <f>Table2[[#This Row],[Year]]</f>
        <v>1990</v>
      </c>
      <c r="P449" s="1" t="str">
        <f>INDEX(Table2[[HomeTeam]:[Group_details]],ROWS($N$2:N449),COLUMNS($N$2:N449))</f>
        <v>England</v>
      </c>
      <c r="Q449" s="1">
        <f>INDEX(Table2[[HomeTeam]:[Group_details]],ROWS($N$2:O449),COLUMNS($N$2:O449))</f>
        <v>1</v>
      </c>
      <c r="R449" s="1">
        <f>INDEX(Table2[[HomeTeam]:[Group_details]],ROWS($N$2:P449),COLUMNS($N$2:P449))</f>
        <v>0</v>
      </c>
      <c r="S449" s="1" t="str">
        <f>INDEX(Table2[[HomeTeam]:[Group_details]],ROWS($N$2:Q449),COLUMNS($N$2:Q449))</f>
        <v>Egypt</v>
      </c>
      <c r="T449" s="1" t="str">
        <f>INDEX(Table2[[HomeTeam]:[Group_details]],ROWS($N$2:R449),COLUMNS($N$2:R449))</f>
        <v xml:space="preserve"> </v>
      </c>
      <c r="U449" s="1" t="str">
        <f>INDEX(Table2[[HomeTeam]:[Group_details]],ROWS($N$2:S449),COLUMNS($N$2:S449))</f>
        <v>Group stages</v>
      </c>
      <c r="V449" s="1" t="b">
        <f t="shared" si="6"/>
        <v>0</v>
      </c>
      <c r="W449" s="1" t="str">
        <f>IF(V449=TRUE,ROWS($V$2:V449),"")</f>
        <v/>
      </c>
      <c r="X449" s="1" t="str">
        <f>IFERROR(SMALL($W$2:$W$853,ROWS($W$2:W449)),"")</f>
        <v/>
      </c>
      <c r="Y449" s="1" t="str">
        <f>IF($X449&lt;&gt;"",INDEX($P$2:$U$853,MATCH($X449,$W$2:$W$853,0),COLUMNS($X$2:X449)),"")</f>
        <v/>
      </c>
      <c r="Z449" s="1" t="str">
        <f>IF($X449&lt;&gt;"",INDEX($P$2:$U$853,MATCH($X449,$W$2:$W$853,0),COLUMNS($X$2:Y449)),"")</f>
        <v/>
      </c>
      <c r="AA449" s="1" t="str">
        <f>IF($X449&lt;&gt;"",INDEX($P$2:$U$853,MATCH($X449,$W$2:$W$853,0),COLUMNS($X$2:Z449)),"")</f>
        <v/>
      </c>
      <c r="AB449" s="1" t="str">
        <f>IF($X449&lt;&gt;"",INDEX($P$2:$U$853,MATCH($X449,$W$2:$W$853,0),COLUMNS($X$2:AA449)),"")</f>
        <v/>
      </c>
      <c r="AC449" s="1" t="str">
        <f>IF($X449&lt;&gt;"",INDEX($P$2:$U$853,MATCH($X449,$W$2:$W$853,0),COLUMNS($X$2:AB449)),"")</f>
        <v/>
      </c>
      <c r="AD449" s="1" t="str">
        <f>IF($X449&lt;&gt;"",INDEX($P$2:$U$853,MATCH($X449,$W$2:$W$853,0),COLUMNS($X$2:AC449)),"")</f>
        <v/>
      </c>
    </row>
    <row r="450" spans="1:30" x14ac:dyDescent="0.2">
      <c r="A450" s="1">
        <v>1990</v>
      </c>
      <c r="B450" s="2">
        <v>33047</v>
      </c>
      <c r="C450" s="1" t="s">
        <v>512</v>
      </c>
      <c r="D450" s="1" t="s">
        <v>287</v>
      </c>
      <c r="E450" s="1" t="s">
        <v>311</v>
      </c>
      <c r="F450" s="1" t="s">
        <v>39</v>
      </c>
      <c r="G450" s="6" t="str">
        <f>VLOOKUP(A450,WorldCups!$A$2:$B$23,2,FALSE)</f>
        <v>Italy</v>
      </c>
      <c r="H450" s="1" t="s">
        <v>238</v>
      </c>
      <c r="I450" s="1">
        <v>2</v>
      </c>
      <c r="J450" s="1">
        <v>1</v>
      </c>
      <c r="K450" s="1" t="s">
        <v>151</v>
      </c>
      <c r="L450" s="1" t="s">
        <v>313</v>
      </c>
      <c r="M450" s="1" t="str">
        <f>IF(ISNUMBER(SEARCH("Group",Table2[[#This Row],[Round]])),"Group stages",Table2[[#This Row],[Round]])</f>
        <v>Round of 16</v>
      </c>
      <c r="O450" s="1">
        <f>Table2[[#This Row],[Year]]</f>
        <v>1990</v>
      </c>
      <c r="P450" s="1" t="str">
        <f>INDEX(Table2[[HomeTeam]:[Group_details]],ROWS($N$2:N450),COLUMNS($N$2:N450))</f>
        <v>Cameroon</v>
      </c>
      <c r="Q450" s="1">
        <f>INDEX(Table2[[HomeTeam]:[Group_details]],ROWS($N$2:O450),COLUMNS($N$2:O450))</f>
        <v>2</v>
      </c>
      <c r="R450" s="1">
        <f>INDEX(Table2[[HomeTeam]:[Group_details]],ROWS($N$2:P450),COLUMNS($N$2:P450))</f>
        <v>1</v>
      </c>
      <c r="S450" s="1" t="str">
        <f>INDEX(Table2[[HomeTeam]:[Group_details]],ROWS($N$2:Q450),COLUMNS($N$2:Q450))</f>
        <v>Colombia</v>
      </c>
      <c r="T450" s="1" t="str">
        <f>INDEX(Table2[[HomeTeam]:[Group_details]],ROWS($N$2:R450),COLUMNS($N$2:R450))</f>
        <v xml:space="preserve">Cameroon win after extra time </v>
      </c>
      <c r="U450" s="1" t="str">
        <f>INDEX(Table2[[HomeTeam]:[Group_details]],ROWS($N$2:S450),COLUMNS($N$2:S450))</f>
        <v>Round of 16</v>
      </c>
      <c r="V450" s="1" t="b">
        <f t="shared" si="6"/>
        <v>0</v>
      </c>
      <c r="W450" s="1" t="str">
        <f>IF(V450=TRUE,ROWS($V$2:V450),"")</f>
        <v/>
      </c>
      <c r="X450" s="1" t="str">
        <f>IFERROR(SMALL($W$2:$W$853,ROWS($W$2:W450)),"")</f>
        <v/>
      </c>
      <c r="Y450" s="1" t="str">
        <f>IF($X450&lt;&gt;"",INDEX($P$2:$U$853,MATCH($X450,$W$2:$W$853,0),COLUMNS($X$2:X450)),"")</f>
        <v/>
      </c>
      <c r="Z450" s="1" t="str">
        <f>IF($X450&lt;&gt;"",INDEX($P$2:$U$853,MATCH($X450,$W$2:$W$853,0),COLUMNS($X$2:Y450)),"")</f>
        <v/>
      </c>
      <c r="AA450" s="1" t="str">
        <f>IF($X450&lt;&gt;"",INDEX($P$2:$U$853,MATCH($X450,$W$2:$W$853,0),COLUMNS($X$2:Z450)),"")</f>
        <v/>
      </c>
      <c r="AB450" s="1" t="str">
        <f>IF($X450&lt;&gt;"",INDEX($P$2:$U$853,MATCH($X450,$W$2:$W$853,0),COLUMNS($X$2:AA450)),"")</f>
        <v/>
      </c>
      <c r="AC450" s="1" t="str">
        <f>IF($X450&lt;&gt;"",INDEX($P$2:$U$853,MATCH($X450,$W$2:$W$853,0),COLUMNS($X$2:AB450)),"")</f>
        <v/>
      </c>
      <c r="AD450" s="1" t="str">
        <f>IF($X450&lt;&gt;"",INDEX($P$2:$U$853,MATCH($X450,$W$2:$W$853,0),COLUMNS($X$2:AC450)),"")</f>
        <v/>
      </c>
    </row>
    <row r="451" spans="1:30" x14ac:dyDescent="0.2">
      <c r="A451" s="1">
        <v>1990</v>
      </c>
      <c r="B451" s="2">
        <v>33047</v>
      </c>
      <c r="C451" s="1" t="s">
        <v>530</v>
      </c>
      <c r="D451" s="1" t="s">
        <v>287</v>
      </c>
      <c r="E451" s="1" t="s">
        <v>294</v>
      </c>
      <c r="F451" s="1" t="s">
        <v>295</v>
      </c>
      <c r="G451" s="6" t="str">
        <f>VLOOKUP(A451,WorldCups!$A$2:$B$23,2,FALSE)</f>
        <v>Italy</v>
      </c>
      <c r="H451" s="1" t="s">
        <v>60</v>
      </c>
      <c r="I451" s="1">
        <v>4</v>
      </c>
      <c r="J451" s="1">
        <v>1</v>
      </c>
      <c r="K451" s="1" t="s">
        <v>301</v>
      </c>
      <c r="L451" s="1" t="s">
        <v>14</v>
      </c>
      <c r="M451" s="1" t="str">
        <f>IF(ISNUMBER(SEARCH("Group",Table2[[#This Row],[Round]])),"Group stages",Table2[[#This Row],[Round]])</f>
        <v>Round of 16</v>
      </c>
      <c r="O451" s="1">
        <f>Table2[[#This Row],[Year]]</f>
        <v>1990</v>
      </c>
      <c r="P451" s="1" t="str">
        <f>INDEX(Table2[[HomeTeam]:[Group_details]],ROWS($N$2:N451),COLUMNS($N$2:N451))</f>
        <v>Czechoslovakia</v>
      </c>
      <c r="Q451" s="1">
        <f>INDEX(Table2[[HomeTeam]:[Group_details]],ROWS($N$2:O451),COLUMNS($N$2:O451))</f>
        <v>4</v>
      </c>
      <c r="R451" s="1">
        <f>INDEX(Table2[[HomeTeam]:[Group_details]],ROWS($N$2:P451),COLUMNS($N$2:P451))</f>
        <v>1</v>
      </c>
      <c r="S451" s="1" t="str">
        <f>INDEX(Table2[[HomeTeam]:[Group_details]],ROWS($N$2:Q451),COLUMNS($N$2:Q451))</f>
        <v>Costa Rica</v>
      </c>
      <c r="T451" s="1" t="str">
        <f>INDEX(Table2[[HomeTeam]:[Group_details]],ROWS($N$2:R451),COLUMNS($N$2:R451))</f>
        <v xml:space="preserve"> </v>
      </c>
      <c r="U451" s="1" t="str">
        <f>INDEX(Table2[[HomeTeam]:[Group_details]],ROWS($N$2:S451),COLUMNS($N$2:S451))</f>
        <v>Round of 16</v>
      </c>
      <c r="V451" s="1" t="b">
        <f t="shared" ref="V451:V514" si="7">IF(O451=$V$1,TRUE)</f>
        <v>0</v>
      </c>
      <c r="W451" s="1" t="str">
        <f>IF(V451=TRUE,ROWS($V$2:V451),"")</f>
        <v/>
      </c>
      <c r="X451" s="1" t="str">
        <f>IFERROR(SMALL($W$2:$W$853,ROWS($W$2:W451)),"")</f>
        <v/>
      </c>
      <c r="Y451" s="1" t="str">
        <f>IF($X451&lt;&gt;"",INDEX($P$2:$U$853,MATCH($X451,$W$2:$W$853,0),COLUMNS($X$2:X451)),"")</f>
        <v/>
      </c>
      <c r="Z451" s="1" t="str">
        <f>IF($X451&lt;&gt;"",INDEX($P$2:$U$853,MATCH($X451,$W$2:$W$853,0),COLUMNS($X$2:Y451)),"")</f>
        <v/>
      </c>
      <c r="AA451" s="1" t="str">
        <f>IF($X451&lt;&gt;"",INDEX($P$2:$U$853,MATCH($X451,$W$2:$W$853,0),COLUMNS($X$2:Z451)),"")</f>
        <v/>
      </c>
      <c r="AB451" s="1" t="str">
        <f>IF($X451&lt;&gt;"",INDEX($P$2:$U$853,MATCH($X451,$W$2:$W$853,0),COLUMNS($X$2:AA451)),"")</f>
        <v/>
      </c>
      <c r="AC451" s="1" t="str">
        <f>IF($X451&lt;&gt;"",INDEX($P$2:$U$853,MATCH($X451,$W$2:$W$853,0),COLUMNS($X$2:AB451)),"")</f>
        <v/>
      </c>
      <c r="AD451" s="1" t="str">
        <f>IF($X451&lt;&gt;"",INDEX($P$2:$U$853,MATCH($X451,$W$2:$W$853,0),COLUMNS($X$2:AC451)),"")</f>
        <v/>
      </c>
    </row>
    <row r="452" spans="1:30" x14ac:dyDescent="0.2">
      <c r="A452" s="1">
        <v>1990</v>
      </c>
      <c r="B452" s="2">
        <v>33048</v>
      </c>
      <c r="C452" s="1" t="s">
        <v>512</v>
      </c>
      <c r="D452" s="1" t="s">
        <v>287</v>
      </c>
      <c r="E452" s="1" t="s">
        <v>300</v>
      </c>
      <c r="F452" s="1" t="s">
        <v>35</v>
      </c>
      <c r="G452" s="6" t="str">
        <f>VLOOKUP(A452,WorldCups!$A$2:$B$23,2,FALSE)</f>
        <v>Italy</v>
      </c>
      <c r="H452" s="1" t="s">
        <v>21</v>
      </c>
      <c r="I452" s="1">
        <v>0</v>
      </c>
      <c r="J452" s="1">
        <v>1</v>
      </c>
      <c r="K452" s="1" t="s">
        <v>25</v>
      </c>
      <c r="L452" s="1" t="s">
        <v>14</v>
      </c>
      <c r="M452" s="1" t="str">
        <f>IF(ISNUMBER(SEARCH("Group",Table2[[#This Row],[Round]])),"Group stages",Table2[[#This Row],[Round]])</f>
        <v>Round of 16</v>
      </c>
      <c r="O452" s="1">
        <f>Table2[[#This Row],[Year]]</f>
        <v>1990</v>
      </c>
      <c r="P452" s="1" t="str">
        <f>INDEX(Table2[[HomeTeam]:[Group_details]],ROWS($N$2:N452),COLUMNS($N$2:N452))</f>
        <v>Brazil</v>
      </c>
      <c r="Q452" s="1">
        <f>INDEX(Table2[[HomeTeam]:[Group_details]],ROWS($N$2:O452),COLUMNS($N$2:O452))</f>
        <v>0</v>
      </c>
      <c r="R452" s="1">
        <f>INDEX(Table2[[HomeTeam]:[Group_details]],ROWS($N$2:P452),COLUMNS($N$2:P452))</f>
        <v>1</v>
      </c>
      <c r="S452" s="1" t="str">
        <f>INDEX(Table2[[HomeTeam]:[Group_details]],ROWS($N$2:Q452),COLUMNS($N$2:Q452))</f>
        <v>Argentina</v>
      </c>
      <c r="T452" s="1" t="str">
        <f>INDEX(Table2[[HomeTeam]:[Group_details]],ROWS($N$2:R452),COLUMNS($N$2:R452))</f>
        <v xml:space="preserve"> </v>
      </c>
      <c r="U452" s="1" t="str">
        <f>INDEX(Table2[[HomeTeam]:[Group_details]],ROWS($N$2:S452),COLUMNS($N$2:S452))</f>
        <v>Round of 16</v>
      </c>
      <c r="V452" s="1" t="b">
        <f t="shared" si="7"/>
        <v>0</v>
      </c>
      <c r="W452" s="1" t="str">
        <f>IF(V452=TRUE,ROWS($V$2:V452),"")</f>
        <v/>
      </c>
      <c r="X452" s="1" t="str">
        <f>IFERROR(SMALL($W$2:$W$853,ROWS($W$2:W452)),"")</f>
        <v/>
      </c>
      <c r="Y452" s="1" t="str">
        <f>IF($X452&lt;&gt;"",INDEX($P$2:$U$853,MATCH($X452,$W$2:$W$853,0),COLUMNS($X$2:X452)),"")</f>
        <v/>
      </c>
      <c r="Z452" s="1" t="str">
        <f>IF($X452&lt;&gt;"",INDEX($P$2:$U$853,MATCH($X452,$W$2:$W$853,0),COLUMNS($X$2:Y452)),"")</f>
        <v/>
      </c>
      <c r="AA452" s="1" t="str">
        <f>IF($X452&lt;&gt;"",INDEX($P$2:$U$853,MATCH($X452,$W$2:$W$853,0),COLUMNS($X$2:Z452)),"")</f>
        <v/>
      </c>
      <c r="AB452" s="1" t="str">
        <f>IF($X452&lt;&gt;"",INDEX($P$2:$U$853,MATCH($X452,$W$2:$W$853,0),COLUMNS($X$2:AA452)),"")</f>
        <v/>
      </c>
      <c r="AC452" s="1" t="str">
        <f>IF($X452&lt;&gt;"",INDEX($P$2:$U$853,MATCH($X452,$W$2:$W$853,0),COLUMNS($X$2:AB452)),"")</f>
        <v/>
      </c>
      <c r="AD452" s="1" t="str">
        <f>IF($X452&lt;&gt;"",INDEX($P$2:$U$853,MATCH($X452,$W$2:$W$853,0),COLUMNS($X$2:AC452)),"")</f>
        <v/>
      </c>
    </row>
    <row r="453" spans="1:30" x14ac:dyDescent="0.2">
      <c r="A453" s="1">
        <v>1990</v>
      </c>
      <c r="B453" s="2">
        <v>33048</v>
      </c>
      <c r="C453" s="1" t="s">
        <v>530</v>
      </c>
      <c r="D453" s="1" t="s">
        <v>287</v>
      </c>
      <c r="E453" s="1" t="s">
        <v>293</v>
      </c>
      <c r="F453" s="1" t="s">
        <v>43</v>
      </c>
      <c r="G453" s="6" t="str">
        <f>VLOOKUP(A453,WorldCups!$A$2:$B$23,2,FALSE)</f>
        <v>Italy</v>
      </c>
      <c r="H453" s="1" t="s">
        <v>114</v>
      </c>
      <c r="I453" s="1">
        <v>2</v>
      </c>
      <c r="J453" s="1">
        <v>1</v>
      </c>
      <c r="K453" s="1" t="s">
        <v>45</v>
      </c>
      <c r="L453" s="1" t="s">
        <v>14</v>
      </c>
      <c r="M453" s="1" t="str">
        <f>IF(ISNUMBER(SEARCH("Group",Table2[[#This Row],[Round]])),"Group stages",Table2[[#This Row],[Round]])</f>
        <v>Round of 16</v>
      </c>
      <c r="O453" s="1">
        <f>Table2[[#This Row],[Year]]</f>
        <v>1990</v>
      </c>
      <c r="P453" s="1" t="str">
        <f>INDEX(Table2[[HomeTeam]:[Group_details]],ROWS($N$2:N453),COLUMNS($N$2:N453))</f>
        <v>Germany FR</v>
      </c>
      <c r="Q453" s="1">
        <f>INDEX(Table2[[HomeTeam]:[Group_details]],ROWS($N$2:O453),COLUMNS($N$2:O453))</f>
        <v>2</v>
      </c>
      <c r="R453" s="1">
        <f>INDEX(Table2[[HomeTeam]:[Group_details]],ROWS($N$2:P453),COLUMNS($N$2:P453))</f>
        <v>1</v>
      </c>
      <c r="S453" s="1" t="str">
        <f>INDEX(Table2[[HomeTeam]:[Group_details]],ROWS($N$2:Q453),COLUMNS($N$2:Q453))</f>
        <v>Netherlands</v>
      </c>
      <c r="T453" s="1" t="str">
        <f>INDEX(Table2[[HomeTeam]:[Group_details]],ROWS($N$2:R453),COLUMNS($N$2:R453))</f>
        <v xml:space="preserve"> </v>
      </c>
      <c r="U453" s="1" t="str">
        <f>INDEX(Table2[[HomeTeam]:[Group_details]],ROWS($N$2:S453),COLUMNS($N$2:S453))</f>
        <v>Round of 16</v>
      </c>
      <c r="V453" s="1" t="b">
        <f t="shared" si="7"/>
        <v>0</v>
      </c>
      <c r="W453" s="1" t="str">
        <f>IF(V453=TRUE,ROWS($V$2:V453),"")</f>
        <v/>
      </c>
      <c r="X453" s="1" t="str">
        <f>IFERROR(SMALL($W$2:$W$853,ROWS($W$2:W453)),"")</f>
        <v/>
      </c>
      <c r="Y453" s="1" t="str">
        <f>IF($X453&lt;&gt;"",INDEX($P$2:$U$853,MATCH($X453,$W$2:$W$853,0),COLUMNS($X$2:X453)),"")</f>
        <v/>
      </c>
      <c r="Z453" s="1" t="str">
        <f>IF($X453&lt;&gt;"",INDEX($P$2:$U$853,MATCH($X453,$W$2:$W$853,0),COLUMNS($X$2:Y453)),"")</f>
        <v/>
      </c>
      <c r="AA453" s="1" t="str">
        <f>IF($X453&lt;&gt;"",INDEX($P$2:$U$853,MATCH($X453,$W$2:$W$853,0),COLUMNS($X$2:Z453)),"")</f>
        <v/>
      </c>
      <c r="AB453" s="1" t="str">
        <f>IF($X453&lt;&gt;"",INDEX($P$2:$U$853,MATCH($X453,$W$2:$W$853,0),COLUMNS($X$2:AA453)),"")</f>
        <v/>
      </c>
      <c r="AC453" s="1" t="str">
        <f>IF($X453&lt;&gt;"",INDEX($P$2:$U$853,MATCH($X453,$W$2:$W$853,0),COLUMNS($X$2:AB453)),"")</f>
        <v/>
      </c>
      <c r="AD453" s="1" t="str">
        <f>IF($X453&lt;&gt;"",INDEX($P$2:$U$853,MATCH($X453,$W$2:$W$853,0),COLUMNS($X$2:AC453)),"")</f>
        <v/>
      </c>
    </row>
    <row r="454" spans="1:30" x14ac:dyDescent="0.2">
      <c r="A454" s="1">
        <v>1990</v>
      </c>
      <c r="B454" s="2">
        <v>33049</v>
      </c>
      <c r="C454" s="1" t="s">
        <v>512</v>
      </c>
      <c r="D454" s="1" t="s">
        <v>287</v>
      </c>
      <c r="E454" s="1" t="s">
        <v>52</v>
      </c>
      <c r="F454" s="1" t="s">
        <v>53</v>
      </c>
      <c r="G454" s="6" t="str">
        <f>VLOOKUP(A454,WorldCups!$A$2:$B$23,2,FALSE)</f>
        <v>Italy</v>
      </c>
      <c r="H454" s="1" t="s">
        <v>304</v>
      </c>
      <c r="I454" s="1">
        <v>0</v>
      </c>
      <c r="J454" s="1">
        <v>0</v>
      </c>
      <c r="K454" s="1" t="s">
        <v>23</v>
      </c>
      <c r="L454" s="1" t="s">
        <v>314</v>
      </c>
      <c r="M454" s="1" t="str">
        <f>IF(ISNUMBER(SEARCH("Group",Table2[[#This Row],[Round]])),"Group stages",Table2[[#This Row],[Round]])</f>
        <v>Round of 16</v>
      </c>
      <c r="O454" s="1">
        <f>Table2[[#This Row],[Year]]</f>
        <v>1990</v>
      </c>
      <c r="P454" s="1" t="str">
        <f>INDEX(Table2[[HomeTeam]:[Group_details]],ROWS($N$2:N454),COLUMNS($N$2:N454))</f>
        <v>Republic of Ireland</v>
      </c>
      <c r="Q454" s="1">
        <f>INDEX(Table2[[HomeTeam]:[Group_details]],ROWS($N$2:O454),COLUMNS($N$2:O454))</f>
        <v>0</v>
      </c>
      <c r="R454" s="1">
        <f>INDEX(Table2[[HomeTeam]:[Group_details]],ROWS($N$2:P454),COLUMNS($N$2:P454))</f>
        <v>0</v>
      </c>
      <c r="S454" s="1" t="str">
        <f>INDEX(Table2[[HomeTeam]:[Group_details]],ROWS($N$2:Q454),COLUMNS($N$2:Q454))</f>
        <v>Romania</v>
      </c>
      <c r="T454" s="1" t="str">
        <f>INDEX(Table2[[HomeTeam]:[Group_details]],ROWS($N$2:R454),COLUMNS($N$2:R454))</f>
        <v xml:space="preserve">Republic of Ireland win on penalties (5 - 4) </v>
      </c>
      <c r="U454" s="1" t="str">
        <f>INDEX(Table2[[HomeTeam]:[Group_details]],ROWS($N$2:S454),COLUMNS($N$2:S454))</f>
        <v>Round of 16</v>
      </c>
      <c r="V454" s="1" t="b">
        <f t="shared" si="7"/>
        <v>0</v>
      </c>
      <c r="W454" s="1" t="str">
        <f>IF(V454=TRUE,ROWS($V$2:V454),"")</f>
        <v/>
      </c>
      <c r="X454" s="1" t="str">
        <f>IFERROR(SMALL($W$2:$W$853,ROWS($W$2:W454)),"")</f>
        <v/>
      </c>
      <c r="Y454" s="1" t="str">
        <f>IF($X454&lt;&gt;"",INDEX($P$2:$U$853,MATCH($X454,$W$2:$W$853,0),COLUMNS($X$2:X454)),"")</f>
        <v/>
      </c>
      <c r="Z454" s="1" t="str">
        <f>IF($X454&lt;&gt;"",INDEX($P$2:$U$853,MATCH($X454,$W$2:$W$853,0),COLUMNS($X$2:Y454)),"")</f>
        <v/>
      </c>
      <c r="AA454" s="1" t="str">
        <f>IF($X454&lt;&gt;"",INDEX($P$2:$U$853,MATCH($X454,$W$2:$W$853,0),COLUMNS($X$2:Z454)),"")</f>
        <v/>
      </c>
      <c r="AB454" s="1" t="str">
        <f>IF($X454&lt;&gt;"",INDEX($P$2:$U$853,MATCH($X454,$W$2:$W$853,0),COLUMNS($X$2:AA454)),"")</f>
        <v/>
      </c>
      <c r="AC454" s="1" t="str">
        <f>IF($X454&lt;&gt;"",INDEX($P$2:$U$853,MATCH($X454,$W$2:$W$853,0),COLUMNS($X$2:AB454)),"")</f>
        <v/>
      </c>
      <c r="AD454" s="1" t="str">
        <f>IF($X454&lt;&gt;"",INDEX($P$2:$U$853,MATCH($X454,$W$2:$W$853,0),COLUMNS($X$2:AC454)),"")</f>
        <v/>
      </c>
    </row>
    <row r="455" spans="1:30" x14ac:dyDescent="0.2">
      <c r="A455" s="1">
        <v>1990</v>
      </c>
      <c r="B455" s="2">
        <v>33049</v>
      </c>
      <c r="C455" s="1" t="s">
        <v>530</v>
      </c>
      <c r="D455" s="1" t="s">
        <v>287</v>
      </c>
      <c r="E455" s="1" t="s">
        <v>298</v>
      </c>
      <c r="F455" s="1" t="s">
        <v>56</v>
      </c>
      <c r="G455" s="6" t="str">
        <f>VLOOKUP(A455,WorldCups!$A$2:$B$23,2,FALSE)</f>
        <v>Italy</v>
      </c>
      <c r="H455" s="1" t="s">
        <v>57</v>
      </c>
      <c r="I455" s="1">
        <v>2</v>
      </c>
      <c r="J455" s="1">
        <v>0</v>
      </c>
      <c r="K455" s="1" t="s">
        <v>30</v>
      </c>
      <c r="L455" s="1" t="s">
        <v>14</v>
      </c>
      <c r="M455" s="1" t="str">
        <f>IF(ISNUMBER(SEARCH("Group",Table2[[#This Row],[Round]])),"Group stages",Table2[[#This Row],[Round]])</f>
        <v>Round of 16</v>
      </c>
      <c r="O455" s="1">
        <f>Table2[[#This Row],[Year]]</f>
        <v>1990</v>
      </c>
      <c r="P455" s="1" t="str">
        <f>INDEX(Table2[[HomeTeam]:[Group_details]],ROWS($N$2:N455),COLUMNS($N$2:N455))</f>
        <v>Italy</v>
      </c>
      <c r="Q455" s="1">
        <f>INDEX(Table2[[HomeTeam]:[Group_details]],ROWS($N$2:O455),COLUMNS($N$2:O455))</f>
        <v>2</v>
      </c>
      <c r="R455" s="1">
        <f>INDEX(Table2[[HomeTeam]:[Group_details]],ROWS($N$2:P455),COLUMNS($N$2:P455))</f>
        <v>0</v>
      </c>
      <c r="S455" s="1" t="str">
        <f>INDEX(Table2[[HomeTeam]:[Group_details]],ROWS($N$2:Q455),COLUMNS($N$2:Q455))</f>
        <v>Uruguay</v>
      </c>
      <c r="T455" s="1" t="str">
        <f>INDEX(Table2[[HomeTeam]:[Group_details]],ROWS($N$2:R455),COLUMNS($N$2:R455))</f>
        <v xml:space="preserve"> </v>
      </c>
      <c r="U455" s="1" t="str">
        <f>INDEX(Table2[[HomeTeam]:[Group_details]],ROWS($N$2:S455),COLUMNS($N$2:S455))</f>
        <v>Round of 16</v>
      </c>
      <c r="V455" s="1" t="b">
        <f t="shared" si="7"/>
        <v>0</v>
      </c>
      <c r="W455" s="1" t="str">
        <f>IF(V455=TRUE,ROWS($V$2:V455),"")</f>
        <v/>
      </c>
      <c r="X455" s="1" t="str">
        <f>IFERROR(SMALL($W$2:$W$853,ROWS($W$2:W455)),"")</f>
        <v/>
      </c>
      <c r="Y455" s="1" t="str">
        <f>IF($X455&lt;&gt;"",INDEX($P$2:$U$853,MATCH($X455,$W$2:$W$853,0),COLUMNS($X$2:X455)),"")</f>
        <v/>
      </c>
      <c r="Z455" s="1" t="str">
        <f>IF($X455&lt;&gt;"",INDEX($P$2:$U$853,MATCH($X455,$W$2:$W$853,0),COLUMNS($X$2:Y455)),"")</f>
        <v/>
      </c>
      <c r="AA455" s="1" t="str">
        <f>IF($X455&lt;&gt;"",INDEX($P$2:$U$853,MATCH($X455,$W$2:$W$853,0),COLUMNS($X$2:Z455)),"")</f>
        <v/>
      </c>
      <c r="AB455" s="1" t="str">
        <f>IF($X455&lt;&gt;"",INDEX($P$2:$U$853,MATCH($X455,$W$2:$W$853,0),COLUMNS($X$2:AA455)),"")</f>
        <v/>
      </c>
      <c r="AC455" s="1" t="str">
        <f>IF($X455&lt;&gt;"",INDEX($P$2:$U$853,MATCH($X455,$W$2:$W$853,0),COLUMNS($X$2:AB455)),"")</f>
        <v/>
      </c>
      <c r="AD455" s="1" t="str">
        <f>IF($X455&lt;&gt;"",INDEX($P$2:$U$853,MATCH($X455,$W$2:$W$853,0),COLUMNS($X$2:AC455)),"")</f>
        <v/>
      </c>
    </row>
    <row r="456" spans="1:30" x14ac:dyDescent="0.2">
      <c r="A456" s="1">
        <v>1990</v>
      </c>
      <c r="B456" s="2">
        <v>33050</v>
      </c>
      <c r="C456" s="1" t="s">
        <v>512</v>
      </c>
      <c r="D456" s="1" t="s">
        <v>287</v>
      </c>
      <c r="E456" s="1" t="s">
        <v>305</v>
      </c>
      <c r="F456" s="1" t="s">
        <v>306</v>
      </c>
      <c r="G456" s="6" t="str">
        <f>VLOOKUP(A456,WorldCups!$A$2:$B$23,2,FALSE)</f>
        <v>Italy</v>
      </c>
      <c r="H456" s="1" t="s">
        <v>54</v>
      </c>
      <c r="I456" s="1">
        <v>1</v>
      </c>
      <c r="J456" s="1">
        <v>2</v>
      </c>
      <c r="K456" s="1" t="s">
        <v>20</v>
      </c>
      <c r="L456" s="1" t="s">
        <v>315</v>
      </c>
      <c r="M456" s="1" t="str">
        <f>IF(ISNUMBER(SEARCH("Group",Table2[[#This Row],[Round]])),"Group stages",Table2[[#This Row],[Round]])</f>
        <v>Round of 16</v>
      </c>
      <c r="O456" s="1">
        <f>Table2[[#This Row],[Year]]</f>
        <v>1990</v>
      </c>
      <c r="P456" s="1" t="str">
        <f>INDEX(Table2[[HomeTeam]:[Group_details]],ROWS($N$2:N456),COLUMNS($N$2:N456))</f>
        <v>Spain</v>
      </c>
      <c r="Q456" s="1">
        <f>INDEX(Table2[[HomeTeam]:[Group_details]],ROWS($N$2:O456),COLUMNS($N$2:O456))</f>
        <v>1</v>
      </c>
      <c r="R456" s="1">
        <f>INDEX(Table2[[HomeTeam]:[Group_details]],ROWS($N$2:P456),COLUMNS($N$2:P456))</f>
        <v>2</v>
      </c>
      <c r="S456" s="1" t="str">
        <f>INDEX(Table2[[HomeTeam]:[Group_details]],ROWS($N$2:Q456),COLUMNS($N$2:Q456))</f>
        <v>Yugoslavia</v>
      </c>
      <c r="T456" s="1" t="str">
        <f>INDEX(Table2[[HomeTeam]:[Group_details]],ROWS($N$2:R456),COLUMNS($N$2:R456))</f>
        <v xml:space="preserve">Yugoslavia win after extra time </v>
      </c>
      <c r="U456" s="1" t="str">
        <f>INDEX(Table2[[HomeTeam]:[Group_details]],ROWS($N$2:S456),COLUMNS($N$2:S456))</f>
        <v>Round of 16</v>
      </c>
      <c r="V456" s="1" t="b">
        <f t="shared" si="7"/>
        <v>0</v>
      </c>
      <c r="W456" s="1" t="str">
        <f>IF(V456=TRUE,ROWS($V$2:V456),"")</f>
        <v/>
      </c>
      <c r="X456" s="1" t="str">
        <f>IFERROR(SMALL($W$2:$W$853,ROWS($W$2:W456)),"")</f>
        <v/>
      </c>
      <c r="Y456" s="1" t="str">
        <f>IF($X456&lt;&gt;"",INDEX($P$2:$U$853,MATCH($X456,$W$2:$W$853,0),COLUMNS($X$2:X456)),"")</f>
        <v/>
      </c>
      <c r="Z456" s="1" t="str">
        <f>IF($X456&lt;&gt;"",INDEX($P$2:$U$853,MATCH($X456,$W$2:$W$853,0),COLUMNS($X$2:Y456)),"")</f>
        <v/>
      </c>
      <c r="AA456" s="1" t="str">
        <f>IF($X456&lt;&gt;"",INDEX($P$2:$U$853,MATCH($X456,$W$2:$W$853,0),COLUMNS($X$2:Z456)),"")</f>
        <v/>
      </c>
      <c r="AB456" s="1" t="str">
        <f>IF($X456&lt;&gt;"",INDEX($P$2:$U$853,MATCH($X456,$W$2:$W$853,0),COLUMNS($X$2:AA456)),"")</f>
        <v/>
      </c>
      <c r="AC456" s="1" t="str">
        <f>IF($X456&lt;&gt;"",INDEX($P$2:$U$853,MATCH($X456,$W$2:$W$853,0),COLUMNS($X$2:AB456)),"")</f>
        <v/>
      </c>
      <c r="AD456" s="1" t="str">
        <f>IF($X456&lt;&gt;"",INDEX($P$2:$U$853,MATCH($X456,$W$2:$W$853,0),COLUMNS($X$2:AC456)),"")</f>
        <v/>
      </c>
    </row>
    <row r="457" spans="1:30" x14ac:dyDescent="0.2">
      <c r="A457" s="1">
        <v>1990</v>
      </c>
      <c r="B457" s="2">
        <v>33050</v>
      </c>
      <c r="C457" s="1" t="s">
        <v>530</v>
      </c>
      <c r="D457" s="1" t="s">
        <v>287</v>
      </c>
      <c r="E457" s="1" t="s">
        <v>296</v>
      </c>
      <c r="F457" s="1" t="s">
        <v>47</v>
      </c>
      <c r="G457" s="6" t="str">
        <f>VLOOKUP(A457,WorldCups!$A$2:$B$23,2,FALSE)</f>
        <v>Italy</v>
      </c>
      <c r="H457" s="1" t="s">
        <v>93</v>
      </c>
      <c r="I457" s="1">
        <v>1</v>
      </c>
      <c r="J457" s="1">
        <v>0</v>
      </c>
      <c r="K457" s="1" t="s">
        <v>18</v>
      </c>
      <c r="L457" s="1" t="s">
        <v>176</v>
      </c>
      <c r="M457" s="1" t="str">
        <f>IF(ISNUMBER(SEARCH("Group",Table2[[#This Row],[Round]])),"Group stages",Table2[[#This Row],[Round]])</f>
        <v>Round of 16</v>
      </c>
      <c r="O457" s="1">
        <f>Table2[[#This Row],[Year]]</f>
        <v>1990</v>
      </c>
      <c r="P457" s="1" t="str">
        <f>INDEX(Table2[[HomeTeam]:[Group_details]],ROWS($N$2:N457),COLUMNS($N$2:N457))</f>
        <v>England</v>
      </c>
      <c r="Q457" s="1">
        <f>INDEX(Table2[[HomeTeam]:[Group_details]],ROWS($N$2:O457),COLUMNS($N$2:O457))</f>
        <v>1</v>
      </c>
      <c r="R457" s="1">
        <f>INDEX(Table2[[HomeTeam]:[Group_details]],ROWS($N$2:P457),COLUMNS($N$2:P457))</f>
        <v>0</v>
      </c>
      <c r="S457" s="1" t="str">
        <f>INDEX(Table2[[HomeTeam]:[Group_details]],ROWS($N$2:Q457),COLUMNS($N$2:Q457))</f>
        <v>Belgium</v>
      </c>
      <c r="T457" s="1" t="str">
        <f>INDEX(Table2[[HomeTeam]:[Group_details]],ROWS($N$2:R457),COLUMNS($N$2:R457))</f>
        <v xml:space="preserve">England win after extra time </v>
      </c>
      <c r="U457" s="1" t="str">
        <f>INDEX(Table2[[HomeTeam]:[Group_details]],ROWS($N$2:S457),COLUMNS($N$2:S457))</f>
        <v>Round of 16</v>
      </c>
      <c r="V457" s="1" t="b">
        <f t="shared" si="7"/>
        <v>0</v>
      </c>
      <c r="W457" s="1" t="str">
        <f>IF(V457=TRUE,ROWS($V$2:V457),"")</f>
        <v/>
      </c>
      <c r="X457" s="1" t="str">
        <f>IFERROR(SMALL($W$2:$W$853,ROWS($W$2:W457)),"")</f>
        <v/>
      </c>
      <c r="Y457" s="1" t="str">
        <f>IF($X457&lt;&gt;"",INDEX($P$2:$U$853,MATCH($X457,$W$2:$W$853,0),COLUMNS($X$2:X457)),"")</f>
        <v/>
      </c>
      <c r="Z457" s="1" t="str">
        <f>IF($X457&lt;&gt;"",INDEX($P$2:$U$853,MATCH($X457,$W$2:$W$853,0),COLUMNS($X$2:Y457)),"")</f>
        <v/>
      </c>
      <c r="AA457" s="1" t="str">
        <f>IF($X457&lt;&gt;"",INDEX($P$2:$U$853,MATCH($X457,$W$2:$W$853,0),COLUMNS($X$2:Z457)),"")</f>
        <v/>
      </c>
      <c r="AB457" s="1" t="str">
        <f>IF($X457&lt;&gt;"",INDEX($P$2:$U$853,MATCH($X457,$W$2:$W$853,0),COLUMNS($X$2:AA457)),"")</f>
        <v/>
      </c>
      <c r="AC457" s="1" t="str">
        <f>IF($X457&lt;&gt;"",INDEX($P$2:$U$853,MATCH($X457,$W$2:$W$853,0),COLUMNS($X$2:AB457)),"")</f>
        <v/>
      </c>
      <c r="AD457" s="1" t="str">
        <f>IF($X457&lt;&gt;"",INDEX($P$2:$U$853,MATCH($X457,$W$2:$W$853,0),COLUMNS($X$2:AC457)),"")</f>
        <v/>
      </c>
    </row>
    <row r="458" spans="1:30" x14ac:dyDescent="0.2">
      <c r="A458" s="1">
        <v>1990</v>
      </c>
      <c r="B458" s="2">
        <v>33054</v>
      </c>
      <c r="C458" s="1" t="s">
        <v>512</v>
      </c>
      <c r="D458" s="1" t="s">
        <v>61</v>
      </c>
      <c r="E458" s="1" t="s">
        <v>299</v>
      </c>
      <c r="F458" s="1" t="s">
        <v>50</v>
      </c>
      <c r="G458" s="6" t="str">
        <f>VLOOKUP(A458,WorldCups!$A$2:$B$23,2,FALSE)</f>
        <v>Italy</v>
      </c>
      <c r="H458" s="1" t="s">
        <v>20</v>
      </c>
      <c r="I458" s="1">
        <v>0</v>
      </c>
      <c r="J458" s="1">
        <v>0</v>
      </c>
      <c r="K458" s="1" t="s">
        <v>25</v>
      </c>
      <c r="L458" s="1" t="s">
        <v>316</v>
      </c>
      <c r="M458" s="1" t="str">
        <f>IF(ISNUMBER(SEARCH("Group",Table2[[#This Row],[Round]])),"Group stages",Table2[[#This Row],[Round]])</f>
        <v>Quarter-finals</v>
      </c>
      <c r="O458" s="1">
        <f>Table2[[#This Row],[Year]]</f>
        <v>1990</v>
      </c>
      <c r="P458" s="1" t="str">
        <f>INDEX(Table2[[HomeTeam]:[Group_details]],ROWS($N$2:N458),COLUMNS($N$2:N458))</f>
        <v>Yugoslavia</v>
      </c>
      <c r="Q458" s="1">
        <f>INDEX(Table2[[HomeTeam]:[Group_details]],ROWS($N$2:O458),COLUMNS($N$2:O458))</f>
        <v>0</v>
      </c>
      <c r="R458" s="1">
        <f>INDEX(Table2[[HomeTeam]:[Group_details]],ROWS($N$2:P458),COLUMNS($N$2:P458))</f>
        <v>0</v>
      </c>
      <c r="S458" s="1" t="str">
        <f>INDEX(Table2[[HomeTeam]:[Group_details]],ROWS($N$2:Q458),COLUMNS($N$2:Q458))</f>
        <v>Argentina</v>
      </c>
      <c r="T458" s="1" t="str">
        <f>INDEX(Table2[[HomeTeam]:[Group_details]],ROWS($N$2:R458),COLUMNS($N$2:R458))</f>
        <v xml:space="preserve"> win on penalties (2 - 3) </v>
      </c>
      <c r="U458" s="1" t="str">
        <f>INDEX(Table2[[HomeTeam]:[Group_details]],ROWS($N$2:S458),COLUMNS($N$2:S458))</f>
        <v>Quarter-finals</v>
      </c>
      <c r="V458" s="1" t="b">
        <f t="shared" si="7"/>
        <v>0</v>
      </c>
      <c r="W458" s="1" t="str">
        <f>IF(V458=TRUE,ROWS($V$2:V458),"")</f>
        <v/>
      </c>
      <c r="X458" s="1" t="str">
        <f>IFERROR(SMALL($W$2:$W$853,ROWS($W$2:W458)),"")</f>
        <v/>
      </c>
      <c r="Y458" s="1" t="str">
        <f>IF($X458&lt;&gt;"",INDEX($P$2:$U$853,MATCH($X458,$W$2:$W$853,0),COLUMNS($X$2:X458)),"")</f>
        <v/>
      </c>
      <c r="Z458" s="1" t="str">
        <f>IF($X458&lt;&gt;"",INDEX($P$2:$U$853,MATCH($X458,$W$2:$W$853,0),COLUMNS($X$2:Y458)),"")</f>
        <v/>
      </c>
      <c r="AA458" s="1" t="str">
        <f>IF($X458&lt;&gt;"",INDEX($P$2:$U$853,MATCH($X458,$W$2:$W$853,0),COLUMNS($X$2:Z458)),"")</f>
        <v/>
      </c>
      <c r="AB458" s="1" t="str">
        <f>IF($X458&lt;&gt;"",INDEX($P$2:$U$853,MATCH($X458,$W$2:$W$853,0),COLUMNS($X$2:AA458)),"")</f>
        <v/>
      </c>
      <c r="AC458" s="1" t="str">
        <f>IF($X458&lt;&gt;"",INDEX($P$2:$U$853,MATCH($X458,$W$2:$W$853,0),COLUMNS($X$2:AB458)),"")</f>
        <v/>
      </c>
      <c r="AD458" s="1" t="str">
        <f>IF($X458&lt;&gt;"",INDEX($P$2:$U$853,MATCH($X458,$W$2:$W$853,0),COLUMNS($X$2:AC458)),"")</f>
        <v/>
      </c>
    </row>
    <row r="459" spans="1:30" x14ac:dyDescent="0.2">
      <c r="A459" s="1">
        <v>1990</v>
      </c>
      <c r="B459" s="2">
        <v>33054</v>
      </c>
      <c r="C459" s="1" t="s">
        <v>530</v>
      </c>
      <c r="D459" s="1" t="s">
        <v>61</v>
      </c>
      <c r="E459" s="1" t="s">
        <v>298</v>
      </c>
      <c r="F459" s="1" t="s">
        <v>56</v>
      </c>
      <c r="G459" s="6" t="str">
        <f>VLOOKUP(A459,WorldCups!$A$2:$B$23,2,FALSE)</f>
        <v>Italy</v>
      </c>
      <c r="H459" s="1" t="s">
        <v>57</v>
      </c>
      <c r="I459" s="1">
        <v>1</v>
      </c>
      <c r="J459" s="1">
        <v>0</v>
      </c>
      <c r="K459" s="1" t="s">
        <v>304</v>
      </c>
      <c r="L459" s="1" t="s">
        <v>14</v>
      </c>
      <c r="M459" s="1" t="str">
        <f>IF(ISNUMBER(SEARCH("Group",Table2[[#This Row],[Round]])),"Group stages",Table2[[#This Row],[Round]])</f>
        <v>Quarter-finals</v>
      </c>
      <c r="O459" s="1">
        <f>Table2[[#This Row],[Year]]</f>
        <v>1990</v>
      </c>
      <c r="P459" s="1" t="str">
        <f>INDEX(Table2[[HomeTeam]:[Group_details]],ROWS($N$2:N459),COLUMNS($N$2:N459))</f>
        <v>Italy</v>
      </c>
      <c r="Q459" s="1">
        <f>INDEX(Table2[[HomeTeam]:[Group_details]],ROWS($N$2:O459),COLUMNS($N$2:O459))</f>
        <v>1</v>
      </c>
      <c r="R459" s="1">
        <f>INDEX(Table2[[HomeTeam]:[Group_details]],ROWS($N$2:P459),COLUMNS($N$2:P459))</f>
        <v>0</v>
      </c>
      <c r="S459" s="1" t="str">
        <f>INDEX(Table2[[HomeTeam]:[Group_details]],ROWS($N$2:Q459),COLUMNS($N$2:Q459))</f>
        <v>Republic of Ireland</v>
      </c>
      <c r="T459" s="1" t="str">
        <f>INDEX(Table2[[HomeTeam]:[Group_details]],ROWS($N$2:R459),COLUMNS($N$2:R459))</f>
        <v xml:space="preserve"> </v>
      </c>
      <c r="U459" s="1" t="str">
        <f>INDEX(Table2[[HomeTeam]:[Group_details]],ROWS($N$2:S459),COLUMNS($N$2:S459))</f>
        <v>Quarter-finals</v>
      </c>
      <c r="V459" s="1" t="b">
        <f t="shared" si="7"/>
        <v>0</v>
      </c>
      <c r="W459" s="1" t="str">
        <f>IF(V459=TRUE,ROWS($V$2:V459),"")</f>
        <v/>
      </c>
      <c r="X459" s="1" t="str">
        <f>IFERROR(SMALL($W$2:$W$853,ROWS($W$2:W459)),"")</f>
        <v/>
      </c>
      <c r="Y459" s="1" t="str">
        <f>IF($X459&lt;&gt;"",INDEX($P$2:$U$853,MATCH($X459,$W$2:$W$853,0),COLUMNS($X$2:X459)),"")</f>
        <v/>
      </c>
      <c r="Z459" s="1" t="str">
        <f>IF($X459&lt;&gt;"",INDEX($P$2:$U$853,MATCH($X459,$W$2:$W$853,0),COLUMNS($X$2:Y459)),"")</f>
        <v/>
      </c>
      <c r="AA459" s="1" t="str">
        <f>IF($X459&lt;&gt;"",INDEX($P$2:$U$853,MATCH($X459,$W$2:$W$853,0),COLUMNS($X$2:Z459)),"")</f>
        <v/>
      </c>
      <c r="AB459" s="1" t="str">
        <f>IF($X459&lt;&gt;"",INDEX($P$2:$U$853,MATCH($X459,$W$2:$W$853,0),COLUMNS($X$2:AA459)),"")</f>
        <v/>
      </c>
      <c r="AC459" s="1" t="str">
        <f>IF($X459&lt;&gt;"",INDEX($P$2:$U$853,MATCH($X459,$W$2:$W$853,0),COLUMNS($X$2:AB459)),"")</f>
        <v/>
      </c>
      <c r="AD459" s="1" t="str">
        <f>IF($X459&lt;&gt;"",INDEX($P$2:$U$853,MATCH($X459,$W$2:$W$853,0),COLUMNS($X$2:AC459)),"")</f>
        <v/>
      </c>
    </row>
    <row r="460" spans="1:30" x14ac:dyDescent="0.2">
      <c r="A460" s="1">
        <v>1990</v>
      </c>
      <c r="B460" s="2">
        <v>33055</v>
      </c>
      <c r="C460" s="1" t="s">
        <v>512</v>
      </c>
      <c r="D460" s="1" t="s">
        <v>61</v>
      </c>
      <c r="E460" s="1" t="s">
        <v>293</v>
      </c>
      <c r="F460" s="1" t="s">
        <v>43</v>
      </c>
      <c r="G460" s="6" t="str">
        <f>VLOOKUP(A460,WorldCups!$A$2:$B$23,2,FALSE)</f>
        <v>Italy</v>
      </c>
      <c r="H460" s="1" t="s">
        <v>114</v>
      </c>
      <c r="I460" s="1">
        <v>1</v>
      </c>
      <c r="J460" s="1">
        <v>0</v>
      </c>
      <c r="K460" s="1" t="s">
        <v>60</v>
      </c>
      <c r="L460" s="1" t="s">
        <v>14</v>
      </c>
      <c r="M460" s="1" t="str">
        <f>IF(ISNUMBER(SEARCH("Group",Table2[[#This Row],[Round]])),"Group stages",Table2[[#This Row],[Round]])</f>
        <v>Quarter-finals</v>
      </c>
      <c r="O460" s="1">
        <f>Table2[[#This Row],[Year]]</f>
        <v>1990</v>
      </c>
      <c r="P460" s="1" t="str">
        <f>INDEX(Table2[[HomeTeam]:[Group_details]],ROWS($N$2:N460),COLUMNS($N$2:N460))</f>
        <v>Germany FR</v>
      </c>
      <c r="Q460" s="1">
        <f>INDEX(Table2[[HomeTeam]:[Group_details]],ROWS($N$2:O460),COLUMNS($N$2:O460))</f>
        <v>1</v>
      </c>
      <c r="R460" s="1">
        <f>INDEX(Table2[[HomeTeam]:[Group_details]],ROWS($N$2:P460),COLUMNS($N$2:P460))</f>
        <v>0</v>
      </c>
      <c r="S460" s="1" t="str">
        <f>INDEX(Table2[[HomeTeam]:[Group_details]],ROWS($N$2:Q460),COLUMNS($N$2:Q460))</f>
        <v>Czechoslovakia</v>
      </c>
      <c r="T460" s="1" t="str">
        <f>INDEX(Table2[[HomeTeam]:[Group_details]],ROWS($N$2:R460),COLUMNS($N$2:R460))</f>
        <v xml:space="preserve"> </v>
      </c>
      <c r="U460" s="1" t="str">
        <f>INDEX(Table2[[HomeTeam]:[Group_details]],ROWS($N$2:S460),COLUMNS($N$2:S460))</f>
        <v>Quarter-finals</v>
      </c>
      <c r="V460" s="1" t="b">
        <f t="shared" si="7"/>
        <v>0</v>
      </c>
      <c r="W460" s="1" t="str">
        <f>IF(V460=TRUE,ROWS($V$2:V460),"")</f>
        <v/>
      </c>
      <c r="X460" s="1" t="str">
        <f>IFERROR(SMALL($W$2:$W$853,ROWS($W$2:W460)),"")</f>
        <v/>
      </c>
      <c r="Y460" s="1" t="str">
        <f>IF($X460&lt;&gt;"",INDEX($P$2:$U$853,MATCH($X460,$W$2:$W$853,0),COLUMNS($X$2:X460)),"")</f>
        <v/>
      </c>
      <c r="Z460" s="1" t="str">
        <f>IF($X460&lt;&gt;"",INDEX($P$2:$U$853,MATCH($X460,$W$2:$W$853,0),COLUMNS($X$2:Y460)),"")</f>
        <v/>
      </c>
      <c r="AA460" s="1" t="str">
        <f>IF($X460&lt;&gt;"",INDEX($P$2:$U$853,MATCH($X460,$W$2:$W$853,0),COLUMNS($X$2:Z460)),"")</f>
        <v/>
      </c>
      <c r="AB460" s="1" t="str">
        <f>IF($X460&lt;&gt;"",INDEX($P$2:$U$853,MATCH($X460,$W$2:$W$853,0),COLUMNS($X$2:AA460)),"")</f>
        <v/>
      </c>
      <c r="AC460" s="1" t="str">
        <f>IF($X460&lt;&gt;"",INDEX($P$2:$U$853,MATCH($X460,$W$2:$W$853,0),COLUMNS($X$2:AB460)),"")</f>
        <v/>
      </c>
      <c r="AD460" s="1" t="str">
        <f>IF($X460&lt;&gt;"",INDEX($P$2:$U$853,MATCH($X460,$W$2:$W$853,0),COLUMNS($X$2:AC460)),"")</f>
        <v/>
      </c>
    </row>
    <row r="461" spans="1:30" x14ac:dyDescent="0.2">
      <c r="A461" s="1">
        <v>1990</v>
      </c>
      <c r="B461" s="2">
        <v>33055</v>
      </c>
      <c r="C461" s="1" t="s">
        <v>530</v>
      </c>
      <c r="D461" s="1" t="s">
        <v>61</v>
      </c>
      <c r="E461" s="1" t="s">
        <v>311</v>
      </c>
      <c r="F461" s="1" t="s">
        <v>39</v>
      </c>
      <c r="G461" s="6" t="str">
        <f>VLOOKUP(A461,WorldCups!$A$2:$B$23,2,FALSE)</f>
        <v>Italy</v>
      </c>
      <c r="H461" s="1" t="s">
        <v>93</v>
      </c>
      <c r="I461" s="1">
        <v>3</v>
      </c>
      <c r="J461" s="1">
        <v>2</v>
      </c>
      <c r="K461" s="1" t="s">
        <v>238</v>
      </c>
      <c r="L461" s="1" t="s">
        <v>176</v>
      </c>
      <c r="M461" s="1" t="str">
        <f>IF(ISNUMBER(SEARCH("Group",Table2[[#This Row],[Round]])),"Group stages",Table2[[#This Row],[Round]])</f>
        <v>Quarter-finals</v>
      </c>
      <c r="O461" s="1">
        <f>Table2[[#This Row],[Year]]</f>
        <v>1990</v>
      </c>
      <c r="P461" s="1" t="str">
        <f>INDEX(Table2[[HomeTeam]:[Group_details]],ROWS($N$2:N461),COLUMNS($N$2:N461))</f>
        <v>England</v>
      </c>
      <c r="Q461" s="1">
        <f>INDEX(Table2[[HomeTeam]:[Group_details]],ROWS($N$2:O461),COLUMNS($N$2:O461))</f>
        <v>3</v>
      </c>
      <c r="R461" s="1">
        <f>INDEX(Table2[[HomeTeam]:[Group_details]],ROWS($N$2:P461),COLUMNS($N$2:P461))</f>
        <v>2</v>
      </c>
      <c r="S461" s="1" t="str">
        <f>INDEX(Table2[[HomeTeam]:[Group_details]],ROWS($N$2:Q461),COLUMNS($N$2:Q461))</f>
        <v>Cameroon</v>
      </c>
      <c r="T461" s="1" t="str">
        <f>INDEX(Table2[[HomeTeam]:[Group_details]],ROWS($N$2:R461),COLUMNS($N$2:R461))</f>
        <v xml:space="preserve">England win after extra time </v>
      </c>
      <c r="U461" s="1" t="str">
        <f>INDEX(Table2[[HomeTeam]:[Group_details]],ROWS($N$2:S461),COLUMNS($N$2:S461))</f>
        <v>Quarter-finals</v>
      </c>
      <c r="V461" s="1" t="b">
        <f t="shared" si="7"/>
        <v>0</v>
      </c>
      <c r="W461" s="1" t="str">
        <f>IF(V461=TRUE,ROWS($V$2:V461),"")</f>
        <v/>
      </c>
      <c r="X461" s="1" t="str">
        <f>IFERROR(SMALL($W$2:$W$853,ROWS($W$2:W461)),"")</f>
        <v/>
      </c>
      <c r="Y461" s="1" t="str">
        <f>IF($X461&lt;&gt;"",INDEX($P$2:$U$853,MATCH($X461,$W$2:$W$853,0),COLUMNS($X$2:X461)),"")</f>
        <v/>
      </c>
      <c r="Z461" s="1" t="str">
        <f>IF($X461&lt;&gt;"",INDEX($P$2:$U$853,MATCH($X461,$W$2:$W$853,0),COLUMNS($X$2:Y461)),"")</f>
        <v/>
      </c>
      <c r="AA461" s="1" t="str">
        <f>IF($X461&lt;&gt;"",INDEX($P$2:$U$853,MATCH($X461,$W$2:$W$853,0),COLUMNS($X$2:Z461)),"")</f>
        <v/>
      </c>
      <c r="AB461" s="1" t="str">
        <f>IF($X461&lt;&gt;"",INDEX($P$2:$U$853,MATCH($X461,$W$2:$W$853,0),COLUMNS($X$2:AA461)),"")</f>
        <v/>
      </c>
      <c r="AC461" s="1" t="str">
        <f>IF($X461&lt;&gt;"",INDEX($P$2:$U$853,MATCH($X461,$W$2:$W$853,0),COLUMNS($X$2:AB461)),"")</f>
        <v/>
      </c>
      <c r="AD461" s="1" t="str">
        <f>IF($X461&lt;&gt;"",INDEX($P$2:$U$853,MATCH($X461,$W$2:$W$853,0),COLUMNS($X$2:AC461)),"")</f>
        <v/>
      </c>
    </row>
    <row r="462" spans="1:30" x14ac:dyDescent="0.2">
      <c r="A462" s="1">
        <v>1990</v>
      </c>
      <c r="B462" s="2">
        <v>33057</v>
      </c>
      <c r="C462" s="1" t="s">
        <v>528</v>
      </c>
      <c r="D462" s="1" t="s">
        <v>31</v>
      </c>
      <c r="E462" s="1" t="s">
        <v>311</v>
      </c>
      <c r="F462" s="1" t="s">
        <v>39</v>
      </c>
      <c r="G462" s="6" t="str">
        <f>VLOOKUP(A462,WorldCups!$A$2:$B$23,2,FALSE)</f>
        <v>Italy</v>
      </c>
      <c r="H462" s="1" t="s">
        <v>57</v>
      </c>
      <c r="I462" s="1">
        <v>1</v>
      </c>
      <c r="J462" s="1">
        <v>1</v>
      </c>
      <c r="K462" s="1" t="s">
        <v>25</v>
      </c>
      <c r="L462" s="1" t="s">
        <v>317</v>
      </c>
      <c r="M462" s="1" t="str">
        <f>IF(ISNUMBER(SEARCH("Group",Table2[[#This Row],[Round]])),"Group stages",Table2[[#This Row],[Round]])</f>
        <v>Semi-finals</v>
      </c>
      <c r="O462" s="1">
        <f>Table2[[#This Row],[Year]]</f>
        <v>1990</v>
      </c>
      <c r="P462" s="1" t="str">
        <f>INDEX(Table2[[HomeTeam]:[Group_details]],ROWS($N$2:N462),COLUMNS($N$2:N462))</f>
        <v>Italy</v>
      </c>
      <c r="Q462" s="1">
        <f>INDEX(Table2[[HomeTeam]:[Group_details]],ROWS($N$2:O462),COLUMNS($N$2:O462))</f>
        <v>1</v>
      </c>
      <c r="R462" s="1">
        <f>INDEX(Table2[[HomeTeam]:[Group_details]],ROWS($N$2:P462),COLUMNS($N$2:P462))</f>
        <v>1</v>
      </c>
      <c r="S462" s="1" t="str">
        <f>INDEX(Table2[[HomeTeam]:[Group_details]],ROWS($N$2:Q462),COLUMNS($N$2:Q462))</f>
        <v>Argentina</v>
      </c>
      <c r="T462" s="1" t="str">
        <f>INDEX(Table2[[HomeTeam]:[Group_details]],ROWS($N$2:R462),COLUMNS($N$2:R462))</f>
        <v xml:space="preserve"> win on penalties (3 - 4) </v>
      </c>
      <c r="U462" s="1" t="str">
        <f>INDEX(Table2[[HomeTeam]:[Group_details]],ROWS($N$2:S462),COLUMNS($N$2:S462))</f>
        <v>Semi-finals</v>
      </c>
      <c r="V462" s="1" t="b">
        <f t="shared" si="7"/>
        <v>0</v>
      </c>
      <c r="W462" s="1" t="str">
        <f>IF(V462=TRUE,ROWS($V$2:V462),"")</f>
        <v/>
      </c>
      <c r="X462" s="1" t="str">
        <f>IFERROR(SMALL($W$2:$W$853,ROWS($W$2:W462)),"")</f>
        <v/>
      </c>
      <c r="Y462" s="1" t="str">
        <f>IF($X462&lt;&gt;"",INDEX($P$2:$U$853,MATCH($X462,$W$2:$W$853,0),COLUMNS($X$2:X462)),"")</f>
        <v/>
      </c>
      <c r="Z462" s="1" t="str">
        <f>IF($X462&lt;&gt;"",INDEX($P$2:$U$853,MATCH($X462,$W$2:$W$853,0),COLUMNS($X$2:Y462)),"")</f>
        <v/>
      </c>
      <c r="AA462" s="1" t="str">
        <f>IF($X462&lt;&gt;"",INDEX($P$2:$U$853,MATCH($X462,$W$2:$W$853,0),COLUMNS($X$2:Z462)),"")</f>
        <v/>
      </c>
      <c r="AB462" s="1" t="str">
        <f>IF($X462&lt;&gt;"",INDEX($P$2:$U$853,MATCH($X462,$W$2:$W$853,0),COLUMNS($X$2:AA462)),"")</f>
        <v/>
      </c>
      <c r="AC462" s="1" t="str">
        <f>IF($X462&lt;&gt;"",INDEX($P$2:$U$853,MATCH($X462,$W$2:$W$853,0),COLUMNS($X$2:AB462)),"")</f>
        <v/>
      </c>
      <c r="AD462" s="1" t="str">
        <f>IF($X462&lt;&gt;"",INDEX($P$2:$U$853,MATCH($X462,$W$2:$W$853,0),COLUMNS($X$2:AC462)),"")</f>
        <v/>
      </c>
    </row>
    <row r="463" spans="1:30" x14ac:dyDescent="0.2">
      <c r="A463" s="1">
        <v>1990</v>
      </c>
      <c r="B463" s="2">
        <v>33058</v>
      </c>
      <c r="C463" s="1" t="s">
        <v>528</v>
      </c>
      <c r="D463" s="1" t="s">
        <v>31</v>
      </c>
      <c r="E463" s="1" t="s">
        <v>300</v>
      </c>
      <c r="F463" s="1" t="s">
        <v>35</v>
      </c>
      <c r="G463" s="6" t="str">
        <f>VLOOKUP(A463,WorldCups!$A$2:$B$23,2,FALSE)</f>
        <v>Italy</v>
      </c>
      <c r="H463" s="1" t="s">
        <v>114</v>
      </c>
      <c r="I463" s="1">
        <v>1</v>
      </c>
      <c r="J463" s="1">
        <v>1</v>
      </c>
      <c r="K463" s="1" t="s">
        <v>93</v>
      </c>
      <c r="L463" s="1" t="s">
        <v>318</v>
      </c>
      <c r="M463" s="1" t="str">
        <f>IF(ISNUMBER(SEARCH("Group",Table2[[#This Row],[Round]])),"Group stages",Table2[[#This Row],[Round]])</f>
        <v>Semi-finals</v>
      </c>
      <c r="O463" s="1">
        <f>Table2[[#This Row],[Year]]</f>
        <v>1990</v>
      </c>
      <c r="P463" s="1" t="str">
        <f>INDEX(Table2[[HomeTeam]:[Group_details]],ROWS($N$2:N463),COLUMNS($N$2:N463))</f>
        <v>Germany FR</v>
      </c>
      <c r="Q463" s="1">
        <f>INDEX(Table2[[HomeTeam]:[Group_details]],ROWS($N$2:O463),COLUMNS($N$2:O463))</f>
        <v>1</v>
      </c>
      <c r="R463" s="1">
        <f>INDEX(Table2[[HomeTeam]:[Group_details]],ROWS($N$2:P463),COLUMNS($N$2:P463))</f>
        <v>1</v>
      </c>
      <c r="S463" s="1" t="str">
        <f>INDEX(Table2[[HomeTeam]:[Group_details]],ROWS($N$2:Q463),COLUMNS($N$2:Q463))</f>
        <v>England</v>
      </c>
      <c r="T463" s="1" t="str">
        <f>INDEX(Table2[[HomeTeam]:[Group_details]],ROWS($N$2:R463),COLUMNS($N$2:R463))</f>
        <v xml:space="preserve"> win on penalties (4 - 3) </v>
      </c>
      <c r="U463" s="1" t="str">
        <f>INDEX(Table2[[HomeTeam]:[Group_details]],ROWS($N$2:S463),COLUMNS($N$2:S463))</f>
        <v>Semi-finals</v>
      </c>
      <c r="V463" s="1" t="b">
        <f t="shared" si="7"/>
        <v>0</v>
      </c>
      <c r="W463" s="1" t="str">
        <f>IF(V463=TRUE,ROWS($V$2:V463),"")</f>
        <v/>
      </c>
      <c r="X463" s="1" t="str">
        <f>IFERROR(SMALL($W$2:$W$853,ROWS($W$2:W463)),"")</f>
        <v/>
      </c>
      <c r="Y463" s="1" t="str">
        <f>IF($X463&lt;&gt;"",INDEX($P$2:$U$853,MATCH($X463,$W$2:$W$853,0),COLUMNS($X$2:X463)),"")</f>
        <v/>
      </c>
      <c r="Z463" s="1" t="str">
        <f>IF($X463&lt;&gt;"",INDEX($P$2:$U$853,MATCH($X463,$W$2:$W$853,0),COLUMNS($X$2:Y463)),"")</f>
        <v/>
      </c>
      <c r="AA463" s="1" t="str">
        <f>IF($X463&lt;&gt;"",INDEX($P$2:$U$853,MATCH($X463,$W$2:$W$853,0),COLUMNS($X$2:Z463)),"")</f>
        <v/>
      </c>
      <c r="AB463" s="1" t="str">
        <f>IF($X463&lt;&gt;"",INDEX($P$2:$U$853,MATCH($X463,$W$2:$W$853,0),COLUMNS($X$2:AA463)),"")</f>
        <v/>
      </c>
      <c r="AC463" s="1" t="str">
        <f>IF($X463&lt;&gt;"",INDEX($P$2:$U$853,MATCH($X463,$W$2:$W$853,0),COLUMNS($X$2:AB463)),"")</f>
        <v/>
      </c>
      <c r="AD463" s="1" t="str">
        <f>IF($X463&lt;&gt;"",INDEX($P$2:$U$853,MATCH($X463,$W$2:$W$853,0),COLUMNS($X$2:AC463)),"")</f>
        <v/>
      </c>
    </row>
    <row r="464" spans="1:30" x14ac:dyDescent="0.2">
      <c r="A464" s="1">
        <v>1990</v>
      </c>
      <c r="B464" s="2">
        <v>33061</v>
      </c>
      <c r="C464" s="1" t="s">
        <v>528</v>
      </c>
      <c r="D464" s="1" t="s">
        <v>62</v>
      </c>
      <c r="E464" s="1" t="s">
        <v>294</v>
      </c>
      <c r="F464" s="1" t="s">
        <v>295</v>
      </c>
      <c r="G464" s="6" t="str">
        <f>VLOOKUP(A464,WorldCups!$A$2:$B$23,2,FALSE)</f>
        <v>Italy</v>
      </c>
      <c r="H464" s="1" t="s">
        <v>57</v>
      </c>
      <c r="I464" s="1">
        <v>2</v>
      </c>
      <c r="J464" s="1">
        <v>1</v>
      </c>
      <c r="K464" s="1" t="s">
        <v>93</v>
      </c>
      <c r="L464" s="1" t="s">
        <v>14</v>
      </c>
      <c r="M464" s="1" t="str">
        <f>IF(ISNUMBER(SEARCH("Group",Table2[[#This Row],[Round]])),"Group stages",Table2[[#This Row],[Round]])</f>
        <v>Match for third place</v>
      </c>
      <c r="O464" s="1">
        <f>Table2[[#This Row],[Year]]</f>
        <v>1990</v>
      </c>
      <c r="P464" s="1" t="str">
        <f>INDEX(Table2[[HomeTeam]:[Group_details]],ROWS($N$2:N464),COLUMNS($N$2:N464))</f>
        <v>Italy</v>
      </c>
      <c r="Q464" s="1">
        <f>INDEX(Table2[[HomeTeam]:[Group_details]],ROWS($N$2:O464),COLUMNS($N$2:O464))</f>
        <v>2</v>
      </c>
      <c r="R464" s="1">
        <f>INDEX(Table2[[HomeTeam]:[Group_details]],ROWS($N$2:P464),COLUMNS($N$2:P464))</f>
        <v>1</v>
      </c>
      <c r="S464" s="1" t="str">
        <f>INDEX(Table2[[HomeTeam]:[Group_details]],ROWS($N$2:Q464),COLUMNS($N$2:Q464))</f>
        <v>England</v>
      </c>
      <c r="T464" s="1" t="str">
        <f>INDEX(Table2[[HomeTeam]:[Group_details]],ROWS($N$2:R464),COLUMNS($N$2:R464))</f>
        <v xml:space="preserve"> </v>
      </c>
      <c r="U464" s="1" t="str">
        <f>INDEX(Table2[[HomeTeam]:[Group_details]],ROWS($N$2:S464),COLUMNS($N$2:S464))</f>
        <v>Match for third place</v>
      </c>
      <c r="V464" s="1" t="b">
        <f t="shared" si="7"/>
        <v>0</v>
      </c>
      <c r="W464" s="1" t="str">
        <f>IF(V464=TRUE,ROWS($V$2:V464),"")</f>
        <v/>
      </c>
      <c r="X464" s="1" t="str">
        <f>IFERROR(SMALL($W$2:$W$853,ROWS($W$2:W464)),"")</f>
        <v/>
      </c>
      <c r="Y464" s="1" t="str">
        <f>IF($X464&lt;&gt;"",INDEX($P$2:$U$853,MATCH($X464,$W$2:$W$853,0),COLUMNS($X$2:X464)),"")</f>
        <v/>
      </c>
      <c r="Z464" s="1" t="str">
        <f>IF($X464&lt;&gt;"",INDEX($P$2:$U$853,MATCH($X464,$W$2:$W$853,0),COLUMNS($X$2:Y464)),"")</f>
        <v/>
      </c>
      <c r="AA464" s="1" t="str">
        <f>IF($X464&lt;&gt;"",INDEX($P$2:$U$853,MATCH($X464,$W$2:$W$853,0),COLUMNS($X$2:Z464)),"")</f>
        <v/>
      </c>
      <c r="AB464" s="1" t="str">
        <f>IF($X464&lt;&gt;"",INDEX($P$2:$U$853,MATCH($X464,$W$2:$W$853,0),COLUMNS($X$2:AA464)),"")</f>
        <v/>
      </c>
      <c r="AC464" s="1" t="str">
        <f>IF($X464&lt;&gt;"",INDEX($P$2:$U$853,MATCH($X464,$W$2:$W$853,0),COLUMNS($X$2:AB464)),"")</f>
        <v/>
      </c>
      <c r="AD464" s="1" t="str">
        <f>IF($X464&lt;&gt;"",INDEX($P$2:$U$853,MATCH($X464,$W$2:$W$853,0),COLUMNS($X$2:AC464)),"")</f>
        <v/>
      </c>
    </row>
    <row r="465" spans="1:30" x14ac:dyDescent="0.2">
      <c r="A465" s="1">
        <v>1990</v>
      </c>
      <c r="B465" s="2">
        <v>33062</v>
      </c>
      <c r="C465" s="1" t="s">
        <v>528</v>
      </c>
      <c r="D465" s="1" t="s">
        <v>32</v>
      </c>
      <c r="E465" s="1" t="s">
        <v>298</v>
      </c>
      <c r="F465" s="1" t="s">
        <v>56</v>
      </c>
      <c r="G465" s="6" t="str">
        <f>VLOOKUP(A465,WorldCups!$A$2:$B$23,2,FALSE)</f>
        <v>Italy</v>
      </c>
      <c r="H465" s="1" t="s">
        <v>114</v>
      </c>
      <c r="I465" s="1">
        <v>1</v>
      </c>
      <c r="J465" s="1">
        <v>0</v>
      </c>
      <c r="K465" s="1" t="s">
        <v>25</v>
      </c>
      <c r="L465" s="1" t="s">
        <v>14</v>
      </c>
      <c r="M465" s="1" t="str">
        <f>IF(ISNUMBER(SEARCH("Group",Table2[[#This Row],[Round]])),"Group stages",Table2[[#This Row],[Round]])</f>
        <v>Final</v>
      </c>
      <c r="O465" s="1">
        <f>Table2[[#This Row],[Year]]</f>
        <v>1990</v>
      </c>
      <c r="P465" s="1" t="str">
        <f>INDEX(Table2[[HomeTeam]:[Group_details]],ROWS($N$2:N465),COLUMNS($N$2:N465))</f>
        <v>Germany FR</v>
      </c>
      <c r="Q465" s="1">
        <f>INDEX(Table2[[HomeTeam]:[Group_details]],ROWS($N$2:O465),COLUMNS($N$2:O465))</f>
        <v>1</v>
      </c>
      <c r="R465" s="1">
        <f>INDEX(Table2[[HomeTeam]:[Group_details]],ROWS($N$2:P465),COLUMNS($N$2:P465))</f>
        <v>0</v>
      </c>
      <c r="S465" s="1" t="str">
        <f>INDEX(Table2[[HomeTeam]:[Group_details]],ROWS($N$2:Q465),COLUMNS($N$2:Q465))</f>
        <v>Argentina</v>
      </c>
      <c r="T465" s="1" t="str">
        <f>INDEX(Table2[[HomeTeam]:[Group_details]],ROWS($N$2:R465),COLUMNS($N$2:R465))</f>
        <v xml:space="preserve"> </v>
      </c>
      <c r="U465" s="1" t="str">
        <f>INDEX(Table2[[HomeTeam]:[Group_details]],ROWS($N$2:S465),COLUMNS($N$2:S465))</f>
        <v>Final</v>
      </c>
      <c r="V465" s="1" t="b">
        <f t="shared" si="7"/>
        <v>0</v>
      </c>
      <c r="W465" s="1" t="str">
        <f>IF(V465=TRUE,ROWS($V$2:V465),"")</f>
        <v/>
      </c>
      <c r="X465" s="1" t="str">
        <f>IFERROR(SMALL($W$2:$W$853,ROWS($W$2:W465)),"")</f>
        <v/>
      </c>
      <c r="Y465" s="1" t="str">
        <f>IF($X465&lt;&gt;"",INDEX($P$2:$U$853,MATCH($X465,$W$2:$W$853,0),COLUMNS($X$2:X465)),"")</f>
        <v/>
      </c>
      <c r="Z465" s="1" t="str">
        <f>IF($X465&lt;&gt;"",INDEX($P$2:$U$853,MATCH($X465,$W$2:$W$853,0),COLUMNS($X$2:Y465)),"")</f>
        <v/>
      </c>
      <c r="AA465" s="1" t="str">
        <f>IF($X465&lt;&gt;"",INDEX($P$2:$U$853,MATCH($X465,$W$2:$W$853,0),COLUMNS($X$2:Z465)),"")</f>
        <v/>
      </c>
      <c r="AB465" s="1" t="str">
        <f>IF($X465&lt;&gt;"",INDEX($P$2:$U$853,MATCH($X465,$W$2:$W$853,0),COLUMNS($X$2:AA465)),"")</f>
        <v/>
      </c>
      <c r="AC465" s="1" t="str">
        <f>IF($X465&lt;&gt;"",INDEX($P$2:$U$853,MATCH($X465,$W$2:$W$853,0),COLUMNS($X$2:AB465)),"")</f>
        <v/>
      </c>
      <c r="AD465" s="1" t="str">
        <f>IF($X465&lt;&gt;"",INDEX($P$2:$U$853,MATCH($X465,$W$2:$W$853,0),COLUMNS($X$2:AC465)),"")</f>
        <v/>
      </c>
    </row>
    <row r="466" spans="1:30" x14ac:dyDescent="0.2">
      <c r="A466" s="1">
        <v>1994</v>
      </c>
      <c r="B466" s="2">
        <v>34502</v>
      </c>
      <c r="C466" s="1" t="s">
        <v>522</v>
      </c>
      <c r="D466" s="1" t="s">
        <v>268</v>
      </c>
      <c r="E466" s="1" t="s">
        <v>319</v>
      </c>
      <c r="F466" s="1" t="s">
        <v>320</v>
      </c>
      <c r="G466" s="6" t="str">
        <f>VLOOKUP(A466,WorldCups!$A$2:$B$23,2,FALSE)</f>
        <v>USA</v>
      </c>
      <c r="H466" s="1" t="s">
        <v>54</v>
      </c>
      <c r="I466" s="1">
        <v>2</v>
      </c>
      <c r="J466" s="1">
        <v>2</v>
      </c>
      <c r="K466" s="1" t="s">
        <v>116</v>
      </c>
      <c r="L466" s="1" t="s">
        <v>14</v>
      </c>
      <c r="M466" s="1" t="str">
        <f>IF(ISNUMBER(SEARCH("Group",Table2[[#This Row],[Round]])),"Group stages",Table2[[#This Row],[Round]])</f>
        <v>Group stages</v>
      </c>
      <c r="O466" s="1">
        <f>Table2[[#This Row],[Year]]</f>
        <v>1994</v>
      </c>
      <c r="P466" s="1" t="str">
        <f>INDEX(Table2[[HomeTeam]:[Group_details]],ROWS($N$2:N466),COLUMNS($N$2:N466))</f>
        <v>Spain</v>
      </c>
      <c r="Q466" s="1">
        <f>INDEX(Table2[[HomeTeam]:[Group_details]],ROWS($N$2:O466),COLUMNS($N$2:O466))</f>
        <v>2</v>
      </c>
      <c r="R466" s="1">
        <f>INDEX(Table2[[HomeTeam]:[Group_details]],ROWS($N$2:P466),COLUMNS($N$2:P466))</f>
        <v>2</v>
      </c>
      <c r="S466" s="1" t="str">
        <f>INDEX(Table2[[HomeTeam]:[Group_details]],ROWS($N$2:Q466),COLUMNS($N$2:Q466))</f>
        <v>Korea Republic</v>
      </c>
      <c r="T466" s="1" t="str">
        <f>INDEX(Table2[[HomeTeam]:[Group_details]],ROWS($N$2:R466),COLUMNS($N$2:R466))</f>
        <v xml:space="preserve"> </v>
      </c>
      <c r="U466" s="1" t="str">
        <f>INDEX(Table2[[HomeTeam]:[Group_details]],ROWS($N$2:S466),COLUMNS($N$2:S466))</f>
        <v>Group stages</v>
      </c>
      <c r="V466" s="1" t="b">
        <f t="shared" si="7"/>
        <v>0</v>
      </c>
      <c r="W466" s="1" t="str">
        <f>IF(V466=TRUE,ROWS($V$2:V466),"")</f>
        <v/>
      </c>
      <c r="X466" s="1" t="str">
        <f>IFERROR(SMALL($W$2:$W$853,ROWS($W$2:W466)),"")</f>
        <v/>
      </c>
      <c r="Y466" s="1" t="str">
        <f>IF($X466&lt;&gt;"",INDEX($P$2:$U$853,MATCH($X466,$W$2:$W$853,0),COLUMNS($X$2:X466)),"")</f>
        <v/>
      </c>
      <c r="Z466" s="1" t="str">
        <f>IF($X466&lt;&gt;"",INDEX($P$2:$U$853,MATCH($X466,$W$2:$W$853,0),COLUMNS($X$2:Y466)),"")</f>
        <v/>
      </c>
      <c r="AA466" s="1" t="str">
        <f>IF($X466&lt;&gt;"",INDEX($P$2:$U$853,MATCH($X466,$W$2:$W$853,0),COLUMNS($X$2:Z466)),"")</f>
        <v/>
      </c>
      <c r="AB466" s="1" t="str">
        <f>IF($X466&lt;&gt;"",INDEX($P$2:$U$853,MATCH($X466,$W$2:$W$853,0),COLUMNS($X$2:AA466)),"")</f>
        <v/>
      </c>
      <c r="AC466" s="1" t="str">
        <f>IF($X466&lt;&gt;"",INDEX($P$2:$U$853,MATCH($X466,$W$2:$W$853,0),COLUMNS($X$2:AB466)),"")</f>
        <v/>
      </c>
      <c r="AD466" s="1" t="str">
        <f>IF($X466&lt;&gt;"",INDEX($P$2:$U$853,MATCH($X466,$W$2:$W$853,0),COLUMNS($X$2:AC466)),"")</f>
        <v/>
      </c>
    </row>
    <row r="467" spans="1:30" x14ac:dyDescent="0.2">
      <c r="A467" s="1">
        <v>1994</v>
      </c>
      <c r="B467" s="2">
        <v>34502</v>
      </c>
      <c r="C467" s="1" t="s">
        <v>500</v>
      </c>
      <c r="D467" s="1" t="s">
        <v>268</v>
      </c>
      <c r="E467" s="1" t="s">
        <v>321</v>
      </c>
      <c r="F467" s="1" t="s">
        <v>322</v>
      </c>
      <c r="G467" s="6" t="str">
        <f>VLOOKUP(A467,WorldCups!$A$2:$B$23,2,FALSE)</f>
        <v>USA</v>
      </c>
      <c r="H467" s="1" t="s">
        <v>51</v>
      </c>
      <c r="I467" s="1">
        <v>1</v>
      </c>
      <c r="J467" s="1">
        <v>0</v>
      </c>
      <c r="K467" s="1" t="s">
        <v>27</v>
      </c>
      <c r="L467" s="1" t="s">
        <v>14</v>
      </c>
      <c r="M467" s="1" t="str">
        <f>IF(ISNUMBER(SEARCH("Group",Table2[[#This Row],[Round]])),"Group stages",Table2[[#This Row],[Round]])</f>
        <v>Group stages</v>
      </c>
      <c r="O467" s="1">
        <f>Table2[[#This Row],[Year]]</f>
        <v>1994</v>
      </c>
      <c r="P467" s="1" t="str">
        <f>INDEX(Table2[[HomeTeam]:[Group_details]],ROWS($N$2:N467),COLUMNS($N$2:N467))</f>
        <v>Germany</v>
      </c>
      <c r="Q467" s="1">
        <f>INDEX(Table2[[HomeTeam]:[Group_details]],ROWS($N$2:O467),COLUMNS($N$2:O467))</f>
        <v>1</v>
      </c>
      <c r="R467" s="1">
        <f>INDEX(Table2[[HomeTeam]:[Group_details]],ROWS($N$2:P467),COLUMNS($N$2:P467))</f>
        <v>0</v>
      </c>
      <c r="S467" s="1" t="str">
        <f>INDEX(Table2[[HomeTeam]:[Group_details]],ROWS($N$2:Q467),COLUMNS($N$2:Q467))</f>
        <v>Bolivia</v>
      </c>
      <c r="T467" s="1" t="str">
        <f>INDEX(Table2[[HomeTeam]:[Group_details]],ROWS($N$2:R467),COLUMNS($N$2:R467))</f>
        <v xml:space="preserve"> </v>
      </c>
      <c r="U467" s="1" t="str">
        <f>INDEX(Table2[[HomeTeam]:[Group_details]],ROWS($N$2:S467),COLUMNS($N$2:S467))</f>
        <v>Group stages</v>
      </c>
      <c r="V467" s="1" t="b">
        <f t="shared" si="7"/>
        <v>0</v>
      </c>
      <c r="W467" s="1" t="str">
        <f>IF(V467=TRUE,ROWS($V$2:V467),"")</f>
        <v/>
      </c>
      <c r="X467" s="1" t="str">
        <f>IFERROR(SMALL($W$2:$W$853,ROWS($W$2:W467)),"")</f>
        <v/>
      </c>
      <c r="Y467" s="1" t="str">
        <f>IF($X467&lt;&gt;"",INDEX($P$2:$U$853,MATCH($X467,$W$2:$W$853,0),COLUMNS($X$2:X467)),"")</f>
        <v/>
      </c>
      <c r="Z467" s="1" t="str">
        <f>IF($X467&lt;&gt;"",INDEX($P$2:$U$853,MATCH($X467,$W$2:$W$853,0),COLUMNS($X$2:Y467)),"")</f>
        <v/>
      </c>
      <c r="AA467" s="1" t="str">
        <f>IF($X467&lt;&gt;"",INDEX($P$2:$U$853,MATCH($X467,$W$2:$W$853,0),COLUMNS($X$2:Z467)),"")</f>
        <v/>
      </c>
      <c r="AB467" s="1" t="str">
        <f>IF($X467&lt;&gt;"",INDEX($P$2:$U$853,MATCH($X467,$W$2:$W$853,0),COLUMNS($X$2:AA467)),"")</f>
        <v/>
      </c>
      <c r="AC467" s="1" t="str">
        <f>IF($X467&lt;&gt;"",INDEX($P$2:$U$853,MATCH($X467,$W$2:$W$853,0),COLUMNS($X$2:AB467)),"")</f>
        <v/>
      </c>
      <c r="AD467" s="1" t="str">
        <f>IF($X467&lt;&gt;"",INDEX($P$2:$U$853,MATCH($X467,$W$2:$W$853,0),COLUMNS($X$2:AC467)),"")</f>
        <v/>
      </c>
    </row>
    <row r="468" spans="1:30" x14ac:dyDescent="0.2">
      <c r="A468" s="1">
        <v>1994</v>
      </c>
      <c r="B468" s="2">
        <v>34503</v>
      </c>
      <c r="C468" s="1" t="s">
        <v>532</v>
      </c>
      <c r="D468" s="1" t="s">
        <v>214</v>
      </c>
      <c r="E468" s="1" t="s">
        <v>323</v>
      </c>
      <c r="F468" s="1" t="s">
        <v>324</v>
      </c>
      <c r="G468" s="6" t="str">
        <f>VLOOKUP(A468,WorldCups!$A$2:$B$23,2,FALSE)</f>
        <v>USA</v>
      </c>
      <c r="H468" s="1" t="s">
        <v>17</v>
      </c>
      <c r="I468" s="1">
        <v>1</v>
      </c>
      <c r="J468" s="1">
        <v>1</v>
      </c>
      <c r="K468" s="1" t="s">
        <v>44</v>
      </c>
      <c r="L468" s="1" t="s">
        <v>14</v>
      </c>
      <c r="M468" s="1" t="str">
        <f>IF(ISNUMBER(SEARCH("Group",Table2[[#This Row],[Round]])),"Group stages",Table2[[#This Row],[Round]])</f>
        <v>Group stages</v>
      </c>
      <c r="O468" s="1">
        <f>Table2[[#This Row],[Year]]</f>
        <v>1994</v>
      </c>
      <c r="P468" s="1" t="str">
        <f>INDEX(Table2[[HomeTeam]:[Group_details]],ROWS($N$2:N468),COLUMNS($N$2:N468))</f>
        <v>USA</v>
      </c>
      <c r="Q468" s="1">
        <f>INDEX(Table2[[HomeTeam]:[Group_details]],ROWS($N$2:O468),COLUMNS($N$2:O468))</f>
        <v>1</v>
      </c>
      <c r="R468" s="1">
        <f>INDEX(Table2[[HomeTeam]:[Group_details]],ROWS($N$2:P468),COLUMNS($N$2:P468))</f>
        <v>1</v>
      </c>
      <c r="S468" s="1" t="str">
        <f>INDEX(Table2[[HomeTeam]:[Group_details]],ROWS($N$2:Q468),COLUMNS($N$2:Q468))</f>
        <v>Switzerland</v>
      </c>
      <c r="T468" s="1" t="str">
        <f>INDEX(Table2[[HomeTeam]:[Group_details]],ROWS($N$2:R468),COLUMNS($N$2:R468))</f>
        <v xml:space="preserve"> </v>
      </c>
      <c r="U468" s="1" t="str">
        <f>INDEX(Table2[[HomeTeam]:[Group_details]],ROWS($N$2:S468),COLUMNS($N$2:S468))</f>
        <v>Group stages</v>
      </c>
      <c r="V468" s="1" t="b">
        <f t="shared" si="7"/>
        <v>0</v>
      </c>
      <c r="W468" s="1" t="str">
        <f>IF(V468=TRUE,ROWS($V$2:V468),"")</f>
        <v/>
      </c>
      <c r="X468" s="1" t="str">
        <f>IFERROR(SMALL($W$2:$W$853,ROWS($W$2:W468)),"")</f>
        <v/>
      </c>
      <c r="Y468" s="1" t="str">
        <f>IF($X468&lt;&gt;"",INDEX($P$2:$U$853,MATCH($X468,$W$2:$W$853,0),COLUMNS($X$2:X468)),"")</f>
        <v/>
      </c>
      <c r="Z468" s="1" t="str">
        <f>IF($X468&lt;&gt;"",INDEX($P$2:$U$853,MATCH($X468,$W$2:$W$853,0),COLUMNS($X$2:Y468)),"")</f>
        <v/>
      </c>
      <c r="AA468" s="1" t="str">
        <f>IF($X468&lt;&gt;"",INDEX($P$2:$U$853,MATCH($X468,$W$2:$W$853,0),COLUMNS($X$2:Z468)),"")</f>
        <v/>
      </c>
      <c r="AB468" s="1" t="str">
        <f>IF($X468&lt;&gt;"",INDEX($P$2:$U$853,MATCH($X468,$W$2:$W$853,0),COLUMNS($X$2:AA468)),"")</f>
        <v/>
      </c>
      <c r="AC468" s="1" t="str">
        <f>IF($X468&lt;&gt;"",INDEX($P$2:$U$853,MATCH($X468,$W$2:$W$853,0),COLUMNS($X$2:AB468)),"")</f>
        <v/>
      </c>
      <c r="AD468" s="1" t="str">
        <f>IF($X468&lt;&gt;"",INDEX($P$2:$U$853,MATCH($X468,$W$2:$W$853,0),COLUMNS($X$2:AC468)),"")</f>
        <v/>
      </c>
    </row>
    <row r="469" spans="1:30" x14ac:dyDescent="0.2">
      <c r="A469" s="1">
        <v>1994</v>
      </c>
      <c r="B469" s="2">
        <v>34503</v>
      </c>
      <c r="C469" s="1" t="s">
        <v>503</v>
      </c>
      <c r="D469" s="1" t="s">
        <v>281</v>
      </c>
      <c r="E469" s="1" t="s">
        <v>325</v>
      </c>
      <c r="F469" s="1" t="s">
        <v>326</v>
      </c>
      <c r="G469" s="6" t="str">
        <f>VLOOKUP(A469,WorldCups!$A$2:$B$23,2,FALSE)</f>
        <v>USA</v>
      </c>
      <c r="H469" s="1" t="s">
        <v>57</v>
      </c>
      <c r="I469" s="1">
        <v>0</v>
      </c>
      <c r="J469" s="1">
        <v>1</v>
      </c>
      <c r="K469" s="1" t="s">
        <v>304</v>
      </c>
      <c r="L469" s="1" t="s">
        <v>14</v>
      </c>
      <c r="M469" s="1" t="str">
        <f>IF(ISNUMBER(SEARCH("Group",Table2[[#This Row],[Round]])),"Group stages",Table2[[#This Row],[Round]])</f>
        <v>Group stages</v>
      </c>
      <c r="O469" s="1">
        <f>Table2[[#This Row],[Year]]</f>
        <v>1994</v>
      </c>
      <c r="P469" s="1" t="str">
        <f>INDEX(Table2[[HomeTeam]:[Group_details]],ROWS($N$2:N469),COLUMNS($N$2:N469))</f>
        <v>Italy</v>
      </c>
      <c r="Q469" s="1">
        <f>INDEX(Table2[[HomeTeam]:[Group_details]],ROWS($N$2:O469),COLUMNS($N$2:O469))</f>
        <v>0</v>
      </c>
      <c r="R469" s="1">
        <f>INDEX(Table2[[HomeTeam]:[Group_details]],ROWS($N$2:P469),COLUMNS($N$2:P469))</f>
        <v>1</v>
      </c>
      <c r="S469" s="1" t="str">
        <f>INDEX(Table2[[HomeTeam]:[Group_details]],ROWS($N$2:Q469),COLUMNS($N$2:Q469))</f>
        <v>Republic of Ireland</v>
      </c>
      <c r="T469" s="1" t="str">
        <f>INDEX(Table2[[HomeTeam]:[Group_details]],ROWS($N$2:R469),COLUMNS($N$2:R469))</f>
        <v xml:space="preserve"> </v>
      </c>
      <c r="U469" s="1" t="str">
        <f>INDEX(Table2[[HomeTeam]:[Group_details]],ROWS($N$2:S469),COLUMNS($N$2:S469))</f>
        <v>Group stages</v>
      </c>
      <c r="V469" s="1" t="b">
        <f t="shared" si="7"/>
        <v>0</v>
      </c>
      <c r="W469" s="1" t="str">
        <f>IF(V469=TRUE,ROWS($V$2:V469),"")</f>
        <v/>
      </c>
      <c r="X469" s="1" t="str">
        <f>IFERROR(SMALL($W$2:$W$853,ROWS($W$2:W469)),"")</f>
        <v/>
      </c>
      <c r="Y469" s="1" t="str">
        <f>IF($X469&lt;&gt;"",INDEX($P$2:$U$853,MATCH($X469,$W$2:$W$853,0),COLUMNS($X$2:X469)),"")</f>
        <v/>
      </c>
      <c r="Z469" s="1" t="str">
        <f>IF($X469&lt;&gt;"",INDEX($P$2:$U$853,MATCH($X469,$W$2:$W$853,0),COLUMNS($X$2:Y469)),"")</f>
        <v/>
      </c>
      <c r="AA469" s="1" t="str">
        <f>IF($X469&lt;&gt;"",INDEX($P$2:$U$853,MATCH($X469,$W$2:$W$853,0),COLUMNS($X$2:Z469)),"")</f>
        <v/>
      </c>
      <c r="AB469" s="1" t="str">
        <f>IF($X469&lt;&gt;"",INDEX($P$2:$U$853,MATCH($X469,$W$2:$W$853,0),COLUMNS($X$2:AA469)),"")</f>
        <v/>
      </c>
      <c r="AC469" s="1" t="str">
        <f>IF($X469&lt;&gt;"",INDEX($P$2:$U$853,MATCH($X469,$W$2:$W$853,0),COLUMNS($X$2:AB469)),"")</f>
        <v/>
      </c>
      <c r="AD469" s="1" t="str">
        <f>IF($X469&lt;&gt;"",INDEX($P$2:$U$853,MATCH($X469,$W$2:$W$853,0),COLUMNS($X$2:AC469)),"")</f>
        <v/>
      </c>
    </row>
    <row r="470" spans="1:30" x14ac:dyDescent="0.2">
      <c r="A470" s="1">
        <v>1994</v>
      </c>
      <c r="B470" s="2">
        <v>34503</v>
      </c>
      <c r="C470" s="1" t="s">
        <v>522</v>
      </c>
      <c r="D470" s="1" t="s">
        <v>214</v>
      </c>
      <c r="E470" s="1" t="s">
        <v>327</v>
      </c>
      <c r="F470" s="1" t="s">
        <v>328</v>
      </c>
      <c r="G470" s="6" t="str">
        <f>VLOOKUP(A470,WorldCups!$A$2:$B$23,2,FALSE)</f>
        <v>USA</v>
      </c>
      <c r="H470" s="1" t="s">
        <v>151</v>
      </c>
      <c r="I470" s="1">
        <v>1</v>
      </c>
      <c r="J470" s="1">
        <v>3</v>
      </c>
      <c r="K470" s="1" t="s">
        <v>23</v>
      </c>
      <c r="L470" s="1" t="s">
        <v>14</v>
      </c>
      <c r="M470" s="1" t="str">
        <f>IF(ISNUMBER(SEARCH("Group",Table2[[#This Row],[Round]])),"Group stages",Table2[[#This Row],[Round]])</f>
        <v>Group stages</v>
      </c>
      <c r="O470" s="1">
        <f>Table2[[#This Row],[Year]]</f>
        <v>1994</v>
      </c>
      <c r="P470" s="1" t="str">
        <f>INDEX(Table2[[HomeTeam]:[Group_details]],ROWS($N$2:N470),COLUMNS($N$2:N470))</f>
        <v>Colombia</v>
      </c>
      <c r="Q470" s="1">
        <f>INDEX(Table2[[HomeTeam]:[Group_details]],ROWS($N$2:O470),COLUMNS($N$2:O470))</f>
        <v>1</v>
      </c>
      <c r="R470" s="1">
        <f>INDEX(Table2[[HomeTeam]:[Group_details]],ROWS($N$2:P470),COLUMNS($N$2:P470))</f>
        <v>3</v>
      </c>
      <c r="S470" s="1" t="str">
        <f>INDEX(Table2[[HomeTeam]:[Group_details]],ROWS($N$2:Q470),COLUMNS($N$2:Q470))</f>
        <v>Romania</v>
      </c>
      <c r="T470" s="1" t="str">
        <f>INDEX(Table2[[HomeTeam]:[Group_details]],ROWS($N$2:R470),COLUMNS($N$2:R470))</f>
        <v xml:space="preserve"> </v>
      </c>
      <c r="U470" s="1" t="str">
        <f>INDEX(Table2[[HomeTeam]:[Group_details]],ROWS($N$2:S470),COLUMNS($N$2:S470))</f>
        <v>Group stages</v>
      </c>
      <c r="V470" s="1" t="b">
        <f t="shared" si="7"/>
        <v>0</v>
      </c>
      <c r="W470" s="1" t="str">
        <f>IF(V470=TRUE,ROWS($V$2:V470),"")</f>
        <v/>
      </c>
      <c r="X470" s="1" t="str">
        <f>IFERROR(SMALL($W$2:$W$853,ROWS($W$2:W470)),"")</f>
        <v/>
      </c>
      <c r="Y470" s="1" t="str">
        <f>IF($X470&lt;&gt;"",INDEX($P$2:$U$853,MATCH($X470,$W$2:$W$853,0),COLUMNS($X$2:X470)),"")</f>
        <v/>
      </c>
      <c r="Z470" s="1" t="str">
        <f>IF($X470&lt;&gt;"",INDEX($P$2:$U$853,MATCH($X470,$W$2:$W$853,0),COLUMNS($X$2:Y470)),"")</f>
        <v/>
      </c>
      <c r="AA470" s="1" t="str">
        <f>IF($X470&lt;&gt;"",INDEX($P$2:$U$853,MATCH($X470,$W$2:$W$853,0),COLUMNS($X$2:Z470)),"")</f>
        <v/>
      </c>
      <c r="AB470" s="1" t="str">
        <f>IF($X470&lt;&gt;"",INDEX($P$2:$U$853,MATCH($X470,$W$2:$W$853,0),COLUMNS($X$2:AA470)),"")</f>
        <v/>
      </c>
      <c r="AC470" s="1" t="str">
        <f>IF($X470&lt;&gt;"",INDEX($P$2:$U$853,MATCH($X470,$W$2:$W$853,0),COLUMNS($X$2:AB470)),"")</f>
        <v/>
      </c>
      <c r="AD470" s="1" t="str">
        <f>IF($X470&lt;&gt;"",INDEX($P$2:$U$853,MATCH($X470,$W$2:$W$853,0),COLUMNS($X$2:AC470)),"")</f>
        <v/>
      </c>
    </row>
    <row r="471" spans="1:30" x14ac:dyDescent="0.2">
      <c r="A471" s="1">
        <v>1994</v>
      </c>
      <c r="B471" s="2">
        <v>34504</v>
      </c>
      <c r="C471" s="1" t="s">
        <v>533</v>
      </c>
      <c r="D471" s="1" t="s">
        <v>274</v>
      </c>
      <c r="E471" s="1" t="s">
        <v>329</v>
      </c>
      <c r="F471" s="1" t="s">
        <v>330</v>
      </c>
      <c r="G471" s="6" t="str">
        <f>VLOOKUP(A471,WorldCups!$A$2:$B$23,2,FALSE)</f>
        <v>USA</v>
      </c>
      <c r="H471" s="1" t="s">
        <v>18</v>
      </c>
      <c r="I471" s="1">
        <v>1</v>
      </c>
      <c r="J471" s="1">
        <v>0</v>
      </c>
      <c r="K471" s="1" t="s">
        <v>188</v>
      </c>
      <c r="L471" s="1" t="s">
        <v>14</v>
      </c>
      <c r="M471" s="1" t="str">
        <f>IF(ISNUMBER(SEARCH("Group",Table2[[#This Row],[Round]])),"Group stages",Table2[[#This Row],[Round]])</f>
        <v>Group stages</v>
      </c>
      <c r="O471" s="1">
        <f>Table2[[#This Row],[Year]]</f>
        <v>1994</v>
      </c>
      <c r="P471" s="1" t="str">
        <f>INDEX(Table2[[HomeTeam]:[Group_details]],ROWS($N$2:N471),COLUMNS($N$2:N471))</f>
        <v>Belgium</v>
      </c>
      <c r="Q471" s="1">
        <f>INDEX(Table2[[HomeTeam]:[Group_details]],ROWS($N$2:O471),COLUMNS($N$2:O471))</f>
        <v>1</v>
      </c>
      <c r="R471" s="1">
        <f>INDEX(Table2[[HomeTeam]:[Group_details]],ROWS($N$2:P471),COLUMNS($N$2:P471))</f>
        <v>0</v>
      </c>
      <c r="S471" s="1" t="str">
        <f>INDEX(Table2[[HomeTeam]:[Group_details]],ROWS($N$2:Q471),COLUMNS($N$2:Q471))</f>
        <v>Morocco</v>
      </c>
      <c r="T471" s="1" t="str">
        <f>INDEX(Table2[[HomeTeam]:[Group_details]],ROWS($N$2:R471),COLUMNS($N$2:R471))</f>
        <v xml:space="preserve"> </v>
      </c>
      <c r="U471" s="1" t="str">
        <f>INDEX(Table2[[HomeTeam]:[Group_details]],ROWS($N$2:S471),COLUMNS($N$2:S471))</f>
        <v>Group stages</v>
      </c>
      <c r="V471" s="1" t="b">
        <f t="shared" si="7"/>
        <v>0</v>
      </c>
      <c r="W471" s="1" t="str">
        <f>IF(V471=TRUE,ROWS($V$2:V471),"")</f>
        <v/>
      </c>
      <c r="X471" s="1" t="str">
        <f>IFERROR(SMALL($W$2:$W$853,ROWS($W$2:W471)),"")</f>
        <v/>
      </c>
      <c r="Y471" s="1" t="str">
        <f>IF($X471&lt;&gt;"",INDEX($P$2:$U$853,MATCH($X471,$W$2:$W$853,0),COLUMNS($X$2:X471)),"")</f>
        <v/>
      </c>
      <c r="Z471" s="1" t="str">
        <f>IF($X471&lt;&gt;"",INDEX($P$2:$U$853,MATCH($X471,$W$2:$W$853,0),COLUMNS($X$2:Y471)),"")</f>
        <v/>
      </c>
      <c r="AA471" s="1" t="str">
        <f>IF($X471&lt;&gt;"",INDEX($P$2:$U$853,MATCH($X471,$W$2:$W$853,0),COLUMNS($X$2:Z471)),"")</f>
        <v/>
      </c>
      <c r="AB471" s="1" t="str">
        <f>IF($X471&lt;&gt;"",INDEX($P$2:$U$853,MATCH($X471,$W$2:$W$853,0),COLUMNS($X$2:AA471)),"")</f>
        <v/>
      </c>
      <c r="AC471" s="1" t="str">
        <f>IF($X471&lt;&gt;"",INDEX($P$2:$U$853,MATCH($X471,$W$2:$W$853,0),COLUMNS($X$2:AB471)),"")</f>
        <v/>
      </c>
      <c r="AD471" s="1" t="str">
        <f>IF($X471&lt;&gt;"",INDEX($P$2:$U$853,MATCH($X471,$W$2:$W$853,0),COLUMNS($X$2:AC471)),"")</f>
        <v/>
      </c>
    </row>
    <row r="472" spans="1:30" x14ac:dyDescent="0.2">
      <c r="A472" s="1">
        <v>1994</v>
      </c>
      <c r="B472" s="2">
        <v>34504</v>
      </c>
      <c r="C472" s="1" t="s">
        <v>503</v>
      </c>
      <c r="D472" s="1" t="s">
        <v>281</v>
      </c>
      <c r="E472" s="1" t="s">
        <v>331</v>
      </c>
      <c r="F472" s="1" t="s">
        <v>332</v>
      </c>
      <c r="G472" s="6" t="str">
        <f>VLOOKUP(A472,WorldCups!$A$2:$B$23,2,FALSE)</f>
        <v>USA</v>
      </c>
      <c r="H472" s="1" t="s">
        <v>77</v>
      </c>
      <c r="I472" s="1">
        <v>1</v>
      </c>
      <c r="J472" s="1">
        <v>0</v>
      </c>
      <c r="K472" s="1" t="s">
        <v>13</v>
      </c>
      <c r="L472" s="1" t="s">
        <v>14</v>
      </c>
      <c r="M472" s="1" t="str">
        <f>IF(ISNUMBER(SEARCH("Group",Table2[[#This Row],[Round]])),"Group stages",Table2[[#This Row],[Round]])</f>
        <v>Group stages</v>
      </c>
      <c r="O472" s="1">
        <f>Table2[[#This Row],[Year]]</f>
        <v>1994</v>
      </c>
      <c r="P472" s="1" t="str">
        <f>INDEX(Table2[[HomeTeam]:[Group_details]],ROWS($N$2:N472),COLUMNS($N$2:N472))</f>
        <v>Norway</v>
      </c>
      <c r="Q472" s="1">
        <f>INDEX(Table2[[HomeTeam]:[Group_details]],ROWS($N$2:O472),COLUMNS($N$2:O472))</f>
        <v>1</v>
      </c>
      <c r="R472" s="1">
        <f>INDEX(Table2[[HomeTeam]:[Group_details]],ROWS($N$2:P472),COLUMNS($N$2:P472))</f>
        <v>0</v>
      </c>
      <c r="S472" s="1" t="str">
        <f>INDEX(Table2[[HomeTeam]:[Group_details]],ROWS($N$2:Q472),COLUMNS($N$2:Q472))</f>
        <v>Mexico</v>
      </c>
      <c r="T472" s="1" t="str">
        <f>INDEX(Table2[[HomeTeam]:[Group_details]],ROWS($N$2:R472),COLUMNS($N$2:R472))</f>
        <v xml:space="preserve"> </v>
      </c>
      <c r="U472" s="1" t="str">
        <f>INDEX(Table2[[HomeTeam]:[Group_details]],ROWS($N$2:S472),COLUMNS($N$2:S472))</f>
        <v>Group stages</v>
      </c>
      <c r="V472" s="1" t="b">
        <f t="shared" si="7"/>
        <v>0</v>
      </c>
      <c r="W472" s="1" t="str">
        <f>IF(V472=TRUE,ROWS($V$2:V472),"")</f>
        <v/>
      </c>
      <c r="X472" s="1" t="str">
        <f>IFERROR(SMALL($W$2:$W$853,ROWS($W$2:W472)),"")</f>
        <v/>
      </c>
      <c r="Y472" s="1" t="str">
        <f>IF($X472&lt;&gt;"",INDEX($P$2:$U$853,MATCH($X472,$W$2:$W$853,0),COLUMNS($X$2:X472)),"")</f>
        <v/>
      </c>
      <c r="Z472" s="1" t="str">
        <f>IF($X472&lt;&gt;"",INDEX($P$2:$U$853,MATCH($X472,$W$2:$W$853,0),COLUMNS($X$2:Y472)),"")</f>
        <v/>
      </c>
      <c r="AA472" s="1" t="str">
        <f>IF($X472&lt;&gt;"",INDEX($P$2:$U$853,MATCH($X472,$W$2:$W$853,0),COLUMNS($X$2:Z472)),"")</f>
        <v/>
      </c>
      <c r="AB472" s="1" t="str">
        <f>IF($X472&lt;&gt;"",INDEX($P$2:$U$853,MATCH($X472,$W$2:$W$853,0),COLUMNS($X$2:AA472)),"")</f>
        <v/>
      </c>
      <c r="AC472" s="1" t="str">
        <f>IF($X472&lt;&gt;"",INDEX($P$2:$U$853,MATCH($X472,$W$2:$W$853,0),COLUMNS($X$2:AB472)),"")</f>
        <v/>
      </c>
      <c r="AD472" s="1" t="str">
        <f>IF($X472&lt;&gt;"",INDEX($P$2:$U$853,MATCH($X472,$W$2:$W$853,0),COLUMNS($X$2:AC472)),"")</f>
        <v/>
      </c>
    </row>
    <row r="473" spans="1:30" x14ac:dyDescent="0.2">
      <c r="A473" s="1">
        <v>1994</v>
      </c>
      <c r="B473" s="2">
        <v>34504</v>
      </c>
      <c r="C473" s="1" t="s">
        <v>522</v>
      </c>
      <c r="D473" s="1" t="s">
        <v>213</v>
      </c>
      <c r="E473" s="1" t="s">
        <v>327</v>
      </c>
      <c r="F473" s="1" t="s">
        <v>328</v>
      </c>
      <c r="G473" s="6" t="str">
        <f>VLOOKUP(A473,WorldCups!$A$2:$B$23,2,FALSE)</f>
        <v>USA</v>
      </c>
      <c r="H473" s="1" t="s">
        <v>238</v>
      </c>
      <c r="I473" s="1">
        <v>2</v>
      </c>
      <c r="J473" s="1">
        <v>2</v>
      </c>
      <c r="K473" s="1" t="s">
        <v>48</v>
      </c>
      <c r="L473" s="1" t="s">
        <v>14</v>
      </c>
      <c r="M473" s="1" t="str">
        <f>IF(ISNUMBER(SEARCH("Group",Table2[[#This Row],[Round]])),"Group stages",Table2[[#This Row],[Round]])</f>
        <v>Group stages</v>
      </c>
      <c r="O473" s="1">
        <f>Table2[[#This Row],[Year]]</f>
        <v>1994</v>
      </c>
      <c r="P473" s="1" t="str">
        <f>INDEX(Table2[[HomeTeam]:[Group_details]],ROWS($N$2:N473),COLUMNS($N$2:N473))</f>
        <v>Cameroon</v>
      </c>
      <c r="Q473" s="1">
        <f>INDEX(Table2[[HomeTeam]:[Group_details]],ROWS($N$2:O473),COLUMNS($N$2:O473))</f>
        <v>2</v>
      </c>
      <c r="R473" s="1">
        <f>INDEX(Table2[[HomeTeam]:[Group_details]],ROWS($N$2:P473),COLUMNS($N$2:P473))</f>
        <v>2</v>
      </c>
      <c r="S473" s="1" t="str">
        <f>INDEX(Table2[[HomeTeam]:[Group_details]],ROWS($N$2:Q473),COLUMNS($N$2:Q473))</f>
        <v>Sweden</v>
      </c>
      <c r="T473" s="1" t="str">
        <f>INDEX(Table2[[HomeTeam]:[Group_details]],ROWS($N$2:R473),COLUMNS($N$2:R473))</f>
        <v xml:space="preserve"> </v>
      </c>
      <c r="U473" s="1" t="str">
        <f>INDEX(Table2[[HomeTeam]:[Group_details]],ROWS($N$2:S473),COLUMNS($N$2:S473))</f>
        <v>Group stages</v>
      </c>
      <c r="V473" s="1" t="b">
        <f t="shared" si="7"/>
        <v>0</v>
      </c>
      <c r="W473" s="1" t="str">
        <f>IF(V473=TRUE,ROWS($V$2:V473),"")</f>
        <v/>
      </c>
      <c r="X473" s="1" t="str">
        <f>IFERROR(SMALL($W$2:$W$853,ROWS($W$2:W473)),"")</f>
        <v/>
      </c>
      <c r="Y473" s="1" t="str">
        <f>IF($X473&lt;&gt;"",INDEX($P$2:$U$853,MATCH($X473,$W$2:$W$853,0),COLUMNS($X$2:X473)),"")</f>
        <v/>
      </c>
      <c r="Z473" s="1" t="str">
        <f>IF($X473&lt;&gt;"",INDEX($P$2:$U$853,MATCH($X473,$W$2:$W$853,0),COLUMNS($X$2:Y473)),"")</f>
        <v/>
      </c>
      <c r="AA473" s="1" t="str">
        <f>IF($X473&lt;&gt;"",INDEX($P$2:$U$853,MATCH($X473,$W$2:$W$853,0),COLUMNS($X$2:Z473)),"")</f>
        <v/>
      </c>
      <c r="AB473" s="1" t="str">
        <f>IF($X473&lt;&gt;"",INDEX($P$2:$U$853,MATCH($X473,$W$2:$W$853,0),COLUMNS($X$2:AA473)),"")</f>
        <v/>
      </c>
      <c r="AC473" s="1" t="str">
        <f>IF($X473&lt;&gt;"",INDEX($P$2:$U$853,MATCH($X473,$W$2:$W$853,0),COLUMNS($X$2:AB473)),"")</f>
        <v/>
      </c>
      <c r="AD473" s="1" t="str">
        <f>IF($X473&lt;&gt;"",INDEX($P$2:$U$853,MATCH($X473,$W$2:$W$853,0),COLUMNS($X$2:AC473)),"")</f>
        <v/>
      </c>
    </row>
    <row r="474" spans="1:30" x14ac:dyDescent="0.2">
      <c r="A474" s="1">
        <v>1994</v>
      </c>
      <c r="B474" s="2">
        <v>34505</v>
      </c>
      <c r="C474" s="1" t="s">
        <v>522</v>
      </c>
      <c r="D474" s="1" t="s">
        <v>274</v>
      </c>
      <c r="E474" s="1" t="s">
        <v>331</v>
      </c>
      <c r="F474" s="1" t="s">
        <v>332</v>
      </c>
      <c r="G474" s="6" t="str">
        <f>VLOOKUP(A474,WorldCups!$A$2:$B$23,2,FALSE)</f>
        <v>USA</v>
      </c>
      <c r="H474" s="1" t="s">
        <v>45</v>
      </c>
      <c r="I474" s="1">
        <v>2</v>
      </c>
      <c r="J474" s="1">
        <v>1</v>
      </c>
      <c r="K474" s="1" t="s">
        <v>333</v>
      </c>
      <c r="L474" s="1" t="s">
        <v>14</v>
      </c>
      <c r="M474" s="1" t="str">
        <f>IF(ISNUMBER(SEARCH("Group",Table2[[#This Row],[Round]])),"Group stages",Table2[[#This Row],[Round]])</f>
        <v>Group stages</v>
      </c>
      <c r="O474" s="1">
        <f>Table2[[#This Row],[Year]]</f>
        <v>1994</v>
      </c>
      <c r="P474" s="1" t="str">
        <f>INDEX(Table2[[HomeTeam]:[Group_details]],ROWS($N$2:N474),COLUMNS($N$2:N474))</f>
        <v>Netherlands</v>
      </c>
      <c r="Q474" s="1">
        <f>INDEX(Table2[[HomeTeam]:[Group_details]],ROWS($N$2:O474),COLUMNS($N$2:O474))</f>
        <v>2</v>
      </c>
      <c r="R474" s="1">
        <f>INDEX(Table2[[HomeTeam]:[Group_details]],ROWS($N$2:P474),COLUMNS($N$2:P474))</f>
        <v>1</v>
      </c>
      <c r="S474" s="1" t="str">
        <f>INDEX(Table2[[HomeTeam]:[Group_details]],ROWS($N$2:Q474),COLUMNS($N$2:Q474))</f>
        <v>Saudi Arabia</v>
      </c>
      <c r="T474" s="1" t="str">
        <f>INDEX(Table2[[HomeTeam]:[Group_details]],ROWS($N$2:R474),COLUMNS($N$2:R474))</f>
        <v xml:space="preserve"> </v>
      </c>
      <c r="U474" s="1" t="str">
        <f>INDEX(Table2[[HomeTeam]:[Group_details]],ROWS($N$2:S474),COLUMNS($N$2:S474))</f>
        <v>Group stages</v>
      </c>
      <c r="V474" s="1" t="b">
        <f t="shared" si="7"/>
        <v>0</v>
      </c>
      <c r="W474" s="1" t="str">
        <f>IF(V474=TRUE,ROWS($V$2:V474),"")</f>
        <v/>
      </c>
      <c r="X474" s="1" t="str">
        <f>IFERROR(SMALL($W$2:$W$853,ROWS($W$2:W474)),"")</f>
        <v/>
      </c>
      <c r="Y474" s="1" t="str">
        <f>IF($X474&lt;&gt;"",INDEX($P$2:$U$853,MATCH($X474,$W$2:$W$853,0),COLUMNS($X$2:X474)),"")</f>
        <v/>
      </c>
      <c r="Z474" s="1" t="str">
        <f>IF($X474&lt;&gt;"",INDEX($P$2:$U$853,MATCH($X474,$W$2:$W$853,0),COLUMNS($X$2:Y474)),"")</f>
        <v/>
      </c>
      <c r="AA474" s="1" t="str">
        <f>IF($X474&lt;&gt;"",INDEX($P$2:$U$853,MATCH($X474,$W$2:$W$853,0),COLUMNS($X$2:Z474)),"")</f>
        <v/>
      </c>
      <c r="AB474" s="1" t="str">
        <f>IF($X474&lt;&gt;"",INDEX($P$2:$U$853,MATCH($X474,$W$2:$W$853,0),COLUMNS($X$2:AA474)),"")</f>
        <v/>
      </c>
      <c r="AC474" s="1" t="str">
        <f>IF($X474&lt;&gt;"",INDEX($P$2:$U$853,MATCH($X474,$W$2:$W$853,0),COLUMNS($X$2:AB474)),"")</f>
        <v/>
      </c>
      <c r="AD474" s="1" t="str">
        <f>IF($X474&lt;&gt;"",INDEX($P$2:$U$853,MATCH($X474,$W$2:$W$853,0),COLUMNS($X$2:AC474)),"")</f>
        <v/>
      </c>
    </row>
    <row r="475" spans="1:30" x14ac:dyDescent="0.2">
      <c r="A475" s="1">
        <v>1994</v>
      </c>
      <c r="B475" s="2">
        <v>34505</v>
      </c>
      <c r="C475" s="1" t="s">
        <v>503</v>
      </c>
      <c r="D475" s="1" t="s">
        <v>213</v>
      </c>
      <c r="E475" s="1" t="s">
        <v>334</v>
      </c>
      <c r="F475" s="1" t="s">
        <v>335</v>
      </c>
      <c r="G475" s="6" t="str">
        <f>VLOOKUP(A475,WorldCups!$A$2:$B$23,2,FALSE)</f>
        <v>USA</v>
      </c>
      <c r="H475" s="1" t="s">
        <v>21</v>
      </c>
      <c r="I475" s="1">
        <v>2</v>
      </c>
      <c r="J475" s="1">
        <v>0</v>
      </c>
      <c r="K475" s="1" t="s">
        <v>336</v>
      </c>
      <c r="L475" s="1" t="s">
        <v>14</v>
      </c>
      <c r="M475" s="1" t="str">
        <f>IF(ISNUMBER(SEARCH("Group",Table2[[#This Row],[Round]])),"Group stages",Table2[[#This Row],[Round]])</f>
        <v>Group stages</v>
      </c>
      <c r="O475" s="1">
        <f>Table2[[#This Row],[Year]]</f>
        <v>1994</v>
      </c>
      <c r="P475" s="1" t="str">
        <f>INDEX(Table2[[HomeTeam]:[Group_details]],ROWS($N$2:N475),COLUMNS($N$2:N475))</f>
        <v>Brazil</v>
      </c>
      <c r="Q475" s="1">
        <f>INDEX(Table2[[HomeTeam]:[Group_details]],ROWS($N$2:O475),COLUMNS($N$2:O475))</f>
        <v>2</v>
      </c>
      <c r="R475" s="1">
        <f>INDEX(Table2[[HomeTeam]:[Group_details]],ROWS($N$2:P475),COLUMNS($N$2:P475))</f>
        <v>0</v>
      </c>
      <c r="S475" s="1" t="str">
        <f>INDEX(Table2[[HomeTeam]:[Group_details]],ROWS($N$2:Q475),COLUMNS($N$2:Q475))</f>
        <v>Russia</v>
      </c>
      <c r="T475" s="1" t="str">
        <f>INDEX(Table2[[HomeTeam]:[Group_details]],ROWS($N$2:R475),COLUMNS($N$2:R475))</f>
        <v xml:space="preserve"> </v>
      </c>
      <c r="U475" s="1" t="str">
        <f>INDEX(Table2[[HomeTeam]:[Group_details]],ROWS($N$2:S475),COLUMNS($N$2:S475))</f>
        <v>Group stages</v>
      </c>
      <c r="V475" s="1" t="b">
        <f t="shared" si="7"/>
        <v>0</v>
      </c>
      <c r="W475" s="1" t="str">
        <f>IF(V475=TRUE,ROWS($V$2:V475),"")</f>
        <v/>
      </c>
      <c r="X475" s="1" t="str">
        <f>IFERROR(SMALL($W$2:$W$853,ROWS($W$2:W475)),"")</f>
        <v/>
      </c>
      <c r="Y475" s="1" t="str">
        <f>IF($X475&lt;&gt;"",INDEX($P$2:$U$853,MATCH($X475,$W$2:$W$853,0),COLUMNS($X$2:X475)),"")</f>
        <v/>
      </c>
      <c r="Z475" s="1" t="str">
        <f>IF($X475&lt;&gt;"",INDEX($P$2:$U$853,MATCH($X475,$W$2:$W$853,0),COLUMNS($X$2:Y475)),"")</f>
        <v/>
      </c>
      <c r="AA475" s="1" t="str">
        <f>IF($X475&lt;&gt;"",INDEX($P$2:$U$853,MATCH($X475,$W$2:$W$853,0),COLUMNS($X$2:Z475)),"")</f>
        <v/>
      </c>
      <c r="AB475" s="1" t="str">
        <f>IF($X475&lt;&gt;"",INDEX($P$2:$U$853,MATCH($X475,$W$2:$W$853,0),COLUMNS($X$2:AA475)),"")</f>
        <v/>
      </c>
      <c r="AC475" s="1" t="str">
        <f>IF($X475&lt;&gt;"",INDEX($P$2:$U$853,MATCH($X475,$W$2:$W$853,0),COLUMNS($X$2:AB475)),"")</f>
        <v/>
      </c>
      <c r="AD475" s="1" t="str">
        <f>IF($X475&lt;&gt;"",INDEX($P$2:$U$853,MATCH($X475,$W$2:$W$853,0),COLUMNS($X$2:AC475)),"")</f>
        <v/>
      </c>
    </row>
    <row r="476" spans="1:30" x14ac:dyDescent="0.2">
      <c r="A476" s="1">
        <v>1994</v>
      </c>
      <c r="B476" s="2">
        <v>34506</v>
      </c>
      <c r="C476" s="1" t="s">
        <v>533</v>
      </c>
      <c r="D476" s="1" t="s">
        <v>270</v>
      </c>
      <c r="E476" s="1" t="s">
        <v>337</v>
      </c>
      <c r="F476" s="1" t="s">
        <v>338</v>
      </c>
      <c r="G476" s="6" t="str">
        <f>VLOOKUP(A476,WorldCups!$A$2:$B$23,2,FALSE)</f>
        <v>USA</v>
      </c>
      <c r="H476" s="1" t="s">
        <v>25</v>
      </c>
      <c r="I476" s="1">
        <v>4</v>
      </c>
      <c r="J476" s="1">
        <v>0</v>
      </c>
      <c r="K476" s="1" t="s">
        <v>339</v>
      </c>
      <c r="L476" s="1" t="s">
        <v>14</v>
      </c>
      <c r="M476" s="1" t="str">
        <f>IF(ISNUMBER(SEARCH("Group",Table2[[#This Row],[Round]])),"Group stages",Table2[[#This Row],[Round]])</f>
        <v>Group stages</v>
      </c>
      <c r="O476" s="1">
        <f>Table2[[#This Row],[Year]]</f>
        <v>1994</v>
      </c>
      <c r="P476" s="1" t="str">
        <f>INDEX(Table2[[HomeTeam]:[Group_details]],ROWS($N$2:N476),COLUMNS($N$2:N476))</f>
        <v>Argentina</v>
      </c>
      <c r="Q476" s="1">
        <f>INDEX(Table2[[HomeTeam]:[Group_details]],ROWS($N$2:O476),COLUMNS($N$2:O476))</f>
        <v>4</v>
      </c>
      <c r="R476" s="1">
        <f>INDEX(Table2[[HomeTeam]:[Group_details]],ROWS($N$2:P476),COLUMNS($N$2:P476))</f>
        <v>0</v>
      </c>
      <c r="S476" s="1" t="str">
        <f>INDEX(Table2[[HomeTeam]:[Group_details]],ROWS($N$2:Q476),COLUMNS($N$2:Q476))</f>
        <v>Greece</v>
      </c>
      <c r="T476" s="1" t="str">
        <f>INDEX(Table2[[HomeTeam]:[Group_details]],ROWS($N$2:R476),COLUMNS($N$2:R476))</f>
        <v xml:space="preserve"> </v>
      </c>
      <c r="U476" s="1" t="str">
        <f>INDEX(Table2[[HomeTeam]:[Group_details]],ROWS($N$2:S476),COLUMNS($N$2:S476))</f>
        <v>Group stages</v>
      </c>
      <c r="V476" s="1" t="b">
        <f t="shared" si="7"/>
        <v>0</v>
      </c>
      <c r="W476" s="1" t="str">
        <f>IF(V476=TRUE,ROWS($V$2:V476),"")</f>
        <v/>
      </c>
      <c r="X476" s="1" t="str">
        <f>IFERROR(SMALL($W$2:$W$853,ROWS($W$2:W476)),"")</f>
        <v/>
      </c>
      <c r="Y476" s="1" t="str">
        <f>IF($X476&lt;&gt;"",INDEX($P$2:$U$853,MATCH($X476,$W$2:$W$853,0),COLUMNS($X$2:X476)),"")</f>
        <v/>
      </c>
      <c r="Z476" s="1" t="str">
        <f>IF($X476&lt;&gt;"",INDEX($P$2:$U$853,MATCH($X476,$W$2:$W$853,0),COLUMNS($X$2:Y476)),"")</f>
        <v/>
      </c>
      <c r="AA476" s="1" t="str">
        <f>IF($X476&lt;&gt;"",INDEX($P$2:$U$853,MATCH($X476,$W$2:$W$853,0),COLUMNS($X$2:Z476)),"")</f>
        <v/>
      </c>
      <c r="AB476" s="1" t="str">
        <f>IF($X476&lt;&gt;"",INDEX($P$2:$U$853,MATCH($X476,$W$2:$W$853,0),COLUMNS($X$2:AA476)),"")</f>
        <v/>
      </c>
      <c r="AC476" s="1" t="str">
        <f>IF($X476&lt;&gt;"",INDEX($P$2:$U$853,MATCH($X476,$W$2:$W$853,0),COLUMNS($X$2:AB476)),"")</f>
        <v/>
      </c>
      <c r="AD476" s="1" t="str">
        <f>IF($X476&lt;&gt;"",INDEX($P$2:$U$853,MATCH($X476,$W$2:$W$853,0),COLUMNS($X$2:AC476)),"")</f>
        <v/>
      </c>
    </row>
    <row r="477" spans="1:30" x14ac:dyDescent="0.2">
      <c r="A477" s="1">
        <v>1994</v>
      </c>
      <c r="B477" s="2">
        <v>34506</v>
      </c>
      <c r="C477" s="1" t="s">
        <v>522</v>
      </c>
      <c r="D477" s="1" t="s">
        <v>270</v>
      </c>
      <c r="E477" s="1" t="s">
        <v>319</v>
      </c>
      <c r="F477" s="1" t="s">
        <v>320</v>
      </c>
      <c r="G477" s="6" t="str">
        <f>VLOOKUP(A477,WorldCups!$A$2:$B$23,2,FALSE)</f>
        <v>USA</v>
      </c>
      <c r="H477" s="1" t="s">
        <v>340</v>
      </c>
      <c r="I477" s="1">
        <v>3</v>
      </c>
      <c r="J477" s="1">
        <v>0</v>
      </c>
      <c r="K477" s="1" t="s">
        <v>156</v>
      </c>
      <c r="L477" s="1" t="s">
        <v>14</v>
      </c>
      <c r="M477" s="1" t="str">
        <f>IF(ISNUMBER(SEARCH("Group",Table2[[#This Row],[Round]])),"Group stages",Table2[[#This Row],[Round]])</f>
        <v>Group stages</v>
      </c>
      <c r="O477" s="1">
        <f>Table2[[#This Row],[Year]]</f>
        <v>1994</v>
      </c>
      <c r="P477" s="1" t="str">
        <f>INDEX(Table2[[HomeTeam]:[Group_details]],ROWS($N$2:N477),COLUMNS($N$2:N477))</f>
        <v>Nigeria</v>
      </c>
      <c r="Q477" s="1">
        <f>INDEX(Table2[[HomeTeam]:[Group_details]],ROWS($N$2:O477),COLUMNS($N$2:O477))</f>
        <v>3</v>
      </c>
      <c r="R477" s="1">
        <f>INDEX(Table2[[HomeTeam]:[Group_details]],ROWS($N$2:P477),COLUMNS($N$2:P477))</f>
        <v>0</v>
      </c>
      <c r="S477" s="1" t="str">
        <f>INDEX(Table2[[HomeTeam]:[Group_details]],ROWS($N$2:Q477),COLUMNS($N$2:Q477))</f>
        <v>Bulgaria</v>
      </c>
      <c r="T477" s="1" t="str">
        <f>INDEX(Table2[[HomeTeam]:[Group_details]],ROWS($N$2:R477),COLUMNS($N$2:R477))</f>
        <v xml:space="preserve"> </v>
      </c>
      <c r="U477" s="1" t="str">
        <f>INDEX(Table2[[HomeTeam]:[Group_details]],ROWS($N$2:S477),COLUMNS($N$2:S477))</f>
        <v>Group stages</v>
      </c>
      <c r="V477" s="1" t="b">
        <f t="shared" si="7"/>
        <v>0</v>
      </c>
      <c r="W477" s="1" t="str">
        <f>IF(V477=TRUE,ROWS($V$2:V477),"")</f>
        <v/>
      </c>
      <c r="X477" s="1" t="str">
        <f>IFERROR(SMALL($W$2:$W$853,ROWS($W$2:W477)),"")</f>
        <v/>
      </c>
      <c r="Y477" s="1" t="str">
        <f>IF($X477&lt;&gt;"",INDEX($P$2:$U$853,MATCH($X477,$W$2:$W$853,0),COLUMNS($X$2:X477)),"")</f>
        <v/>
      </c>
      <c r="Z477" s="1" t="str">
        <f>IF($X477&lt;&gt;"",INDEX($P$2:$U$853,MATCH($X477,$W$2:$W$853,0),COLUMNS($X$2:Y477)),"")</f>
        <v/>
      </c>
      <c r="AA477" s="1" t="str">
        <f>IF($X477&lt;&gt;"",INDEX($P$2:$U$853,MATCH($X477,$W$2:$W$853,0),COLUMNS($X$2:Z477)),"")</f>
        <v/>
      </c>
      <c r="AB477" s="1" t="str">
        <f>IF($X477&lt;&gt;"",INDEX($P$2:$U$853,MATCH($X477,$W$2:$W$853,0),COLUMNS($X$2:AA477)),"")</f>
        <v/>
      </c>
      <c r="AC477" s="1" t="str">
        <f>IF($X477&lt;&gt;"",INDEX($P$2:$U$853,MATCH($X477,$W$2:$W$853,0),COLUMNS($X$2:AB477)),"")</f>
        <v/>
      </c>
      <c r="AD477" s="1" t="str">
        <f>IF($X477&lt;&gt;"",INDEX($P$2:$U$853,MATCH($X477,$W$2:$W$853,0),COLUMNS($X$2:AC477)),"")</f>
        <v/>
      </c>
    </row>
    <row r="478" spans="1:30" x14ac:dyDescent="0.2">
      <c r="A478" s="1">
        <v>1994</v>
      </c>
      <c r="B478" s="2">
        <v>34506</v>
      </c>
      <c r="C478" s="1" t="s">
        <v>503</v>
      </c>
      <c r="D478" s="1" t="s">
        <v>268</v>
      </c>
      <c r="E478" s="1" t="s">
        <v>321</v>
      </c>
      <c r="F478" s="1" t="s">
        <v>322</v>
      </c>
      <c r="G478" s="6" t="str">
        <f>VLOOKUP(A478,WorldCups!$A$2:$B$23,2,FALSE)</f>
        <v>USA</v>
      </c>
      <c r="H478" s="1" t="s">
        <v>51</v>
      </c>
      <c r="I478" s="1">
        <v>1</v>
      </c>
      <c r="J478" s="1">
        <v>1</v>
      </c>
      <c r="K478" s="1" t="s">
        <v>54</v>
      </c>
      <c r="L478" s="1" t="s">
        <v>14</v>
      </c>
      <c r="M478" s="1" t="str">
        <f>IF(ISNUMBER(SEARCH("Group",Table2[[#This Row],[Round]])),"Group stages",Table2[[#This Row],[Round]])</f>
        <v>Group stages</v>
      </c>
      <c r="O478" s="1">
        <f>Table2[[#This Row],[Year]]</f>
        <v>1994</v>
      </c>
      <c r="P478" s="1" t="str">
        <f>INDEX(Table2[[HomeTeam]:[Group_details]],ROWS($N$2:N478),COLUMNS($N$2:N478))</f>
        <v>Germany</v>
      </c>
      <c r="Q478" s="1">
        <f>INDEX(Table2[[HomeTeam]:[Group_details]],ROWS($N$2:O478),COLUMNS($N$2:O478))</f>
        <v>1</v>
      </c>
      <c r="R478" s="1">
        <f>INDEX(Table2[[HomeTeam]:[Group_details]],ROWS($N$2:P478),COLUMNS($N$2:P478))</f>
        <v>1</v>
      </c>
      <c r="S478" s="1" t="str">
        <f>INDEX(Table2[[HomeTeam]:[Group_details]],ROWS($N$2:Q478),COLUMNS($N$2:Q478))</f>
        <v>Spain</v>
      </c>
      <c r="T478" s="1" t="str">
        <f>INDEX(Table2[[HomeTeam]:[Group_details]],ROWS($N$2:R478),COLUMNS($N$2:R478))</f>
        <v xml:space="preserve"> </v>
      </c>
      <c r="U478" s="1" t="str">
        <f>INDEX(Table2[[HomeTeam]:[Group_details]],ROWS($N$2:S478),COLUMNS($N$2:S478))</f>
        <v>Group stages</v>
      </c>
      <c r="V478" s="1" t="b">
        <f t="shared" si="7"/>
        <v>0</v>
      </c>
      <c r="W478" s="1" t="str">
        <f>IF(V478=TRUE,ROWS($V$2:V478),"")</f>
        <v/>
      </c>
      <c r="X478" s="1" t="str">
        <f>IFERROR(SMALL($W$2:$W$853,ROWS($W$2:W478)),"")</f>
        <v/>
      </c>
      <c r="Y478" s="1" t="str">
        <f>IF($X478&lt;&gt;"",INDEX($P$2:$U$853,MATCH($X478,$W$2:$W$853,0),COLUMNS($X$2:X478)),"")</f>
        <v/>
      </c>
      <c r="Z478" s="1" t="str">
        <f>IF($X478&lt;&gt;"",INDEX($P$2:$U$853,MATCH($X478,$W$2:$W$853,0),COLUMNS($X$2:Y478)),"")</f>
        <v/>
      </c>
      <c r="AA478" s="1" t="str">
        <f>IF($X478&lt;&gt;"",INDEX($P$2:$U$853,MATCH($X478,$W$2:$W$853,0),COLUMNS($X$2:Z478)),"")</f>
        <v/>
      </c>
      <c r="AB478" s="1" t="str">
        <f>IF($X478&lt;&gt;"",INDEX($P$2:$U$853,MATCH($X478,$W$2:$W$853,0),COLUMNS($X$2:AA478)),"")</f>
        <v/>
      </c>
      <c r="AC478" s="1" t="str">
        <f>IF($X478&lt;&gt;"",INDEX($P$2:$U$853,MATCH($X478,$W$2:$W$853,0),COLUMNS($X$2:AB478)),"")</f>
        <v/>
      </c>
      <c r="AD478" s="1" t="str">
        <f>IF($X478&lt;&gt;"",INDEX($P$2:$U$853,MATCH($X478,$W$2:$W$853,0),COLUMNS($X$2:AC478)),"")</f>
        <v/>
      </c>
    </row>
    <row r="479" spans="1:30" x14ac:dyDescent="0.2">
      <c r="A479" s="1">
        <v>1994</v>
      </c>
      <c r="B479" s="2">
        <v>34507</v>
      </c>
      <c r="C479" s="1" t="s">
        <v>503</v>
      </c>
      <c r="D479" s="1" t="s">
        <v>214</v>
      </c>
      <c r="E479" s="1" t="s">
        <v>323</v>
      </c>
      <c r="F479" s="1" t="s">
        <v>324</v>
      </c>
      <c r="G479" s="6" t="str">
        <f>VLOOKUP(A479,WorldCups!$A$2:$B$23,2,FALSE)</f>
        <v>USA</v>
      </c>
      <c r="H479" s="1" t="s">
        <v>23</v>
      </c>
      <c r="I479" s="1">
        <v>1</v>
      </c>
      <c r="J479" s="1">
        <v>4</v>
      </c>
      <c r="K479" s="1" t="s">
        <v>44</v>
      </c>
      <c r="L479" s="1" t="s">
        <v>14</v>
      </c>
      <c r="M479" s="1" t="str">
        <f>IF(ISNUMBER(SEARCH("Group",Table2[[#This Row],[Round]])),"Group stages",Table2[[#This Row],[Round]])</f>
        <v>Group stages</v>
      </c>
      <c r="O479" s="1">
        <f>Table2[[#This Row],[Year]]</f>
        <v>1994</v>
      </c>
      <c r="P479" s="1" t="str">
        <f>INDEX(Table2[[HomeTeam]:[Group_details]],ROWS($N$2:N479),COLUMNS($N$2:N479))</f>
        <v>Romania</v>
      </c>
      <c r="Q479" s="1">
        <f>INDEX(Table2[[HomeTeam]:[Group_details]],ROWS($N$2:O479),COLUMNS($N$2:O479))</f>
        <v>1</v>
      </c>
      <c r="R479" s="1">
        <f>INDEX(Table2[[HomeTeam]:[Group_details]],ROWS($N$2:P479),COLUMNS($N$2:P479))</f>
        <v>4</v>
      </c>
      <c r="S479" s="1" t="str">
        <f>INDEX(Table2[[HomeTeam]:[Group_details]],ROWS($N$2:Q479),COLUMNS($N$2:Q479))</f>
        <v>Switzerland</v>
      </c>
      <c r="T479" s="1" t="str">
        <f>INDEX(Table2[[HomeTeam]:[Group_details]],ROWS($N$2:R479),COLUMNS($N$2:R479))</f>
        <v xml:space="preserve"> </v>
      </c>
      <c r="U479" s="1" t="str">
        <f>INDEX(Table2[[HomeTeam]:[Group_details]],ROWS($N$2:S479),COLUMNS($N$2:S479))</f>
        <v>Group stages</v>
      </c>
      <c r="V479" s="1" t="b">
        <f t="shared" si="7"/>
        <v>0</v>
      </c>
      <c r="W479" s="1" t="str">
        <f>IF(V479=TRUE,ROWS($V$2:V479),"")</f>
        <v/>
      </c>
      <c r="X479" s="1" t="str">
        <f>IFERROR(SMALL($W$2:$W$853,ROWS($W$2:W479)),"")</f>
        <v/>
      </c>
      <c r="Y479" s="1" t="str">
        <f>IF($X479&lt;&gt;"",INDEX($P$2:$U$853,MATCH($X479,$W$2:$W$853,0),COLUMNS($X$2:X479)),"")</f>
        <v/>
      </c>
      <c r="Z479" s="1" t="str">
        <f>IF($X479&lt;&gt;"",INDEX($P$2:$U$853,MATCH($X479,$W$2:$W$853,0),COLUMNS($X$2:Y479)),"")</f>
        <v/>
      </c>
      <c r="AA479" s="1" t="str">
        <f>IF($X479&lt;&gt;"",INDEX($P$2:$U$853,MATCH($X479,$W$2:$W$853,0),COLUMNS($X$2:Z479)),"")</f>
        <v/>
      </c>
      <c r="AB479" s="1" t="str">
        <f>IF($X479&lt;&gt;"",INDEX($P$2:$U$853,MATCH($X479,$W$2:$W$853,0),COLUMNS($X$2:AA479)),"")</f>
        <v/>
      </c>
      <c r="AC479" s="1" t="str">
        <f>IF($X479&lt;&gt;"",INDEX($P$2:$U$853,MATCH($X479,$W$2:$W$853,0),COLUMNS($X$2:AB479)),"")</f>
        <v/>
      </c>
      <c r="AD479" s="1" t="str">
        <f>IF($X479&lt;&gt;"",INDEX($P$2:$U$853,MATCH($X479,$W$2:$W$853,0),COLUMNS($X$2:AC479)),"")</f>
        <v/>
      </c>
    </row>
    <row r="480" spans="1:30" x14ac:dyDescent="0.2">
      <c r="A480" s="1">
        <v>1994</v>
      </c>
      <c r="B480" s="2">
        <v>34507</v>
      </c>
      <c r="C480" s="1" t="s">
        <v>522</v>
      </c>
      <c r="D480" s="1" t="s">
        <v>214</v>
      </c>
      <c r="E480" s="1" t="s">
        <v>327</v>
      </c>
      <c r="F480" s="1" t="s">
        <v>328</v>
      </c>
      <c r="G480" s="6" t="str">
        <f>VLOOKUP(A480,WorldCups!$A$2:$B$23,2,FALSE)</f>
        <v>USA</v>
      </c>
      <c r="H480" s="1" t="s">
        <v>17</v>
      </c>
      <c r="I480" s="1">
        <v>2</v>
      </c>
      <c r="J480" s="1">
        <v>1</v>
      </c>
      <c r="K480" s="1" t="s">
        <v>151</v>
      </c>
      <c r="L480" s="1" t="s">
        <v>14</v>
      </c>
      <c r="M480" s="1" t="str">
        <f>IF(ISNUMBER(SEARCH("Group",Table2[[#This Row],[Round]])),"Group stages",Table2[[#This Row],[Round]])</f>
        <v>Group stages</v>
      </c>
      <c r="O480" s="1">
        <f>Table2[[#This Row],[Year]]</f>
        <v>1994</v>
      </c>
      <c r="P480" s="1" t="str">
        <f>INDEX(Table2[[HomeTeam]:[Group_details]],ROWS($N$2:N480),COLUMNS($N$2:N480))</f>
        <v>USA</v>
      </c>
      <c r="Q480" s="1">
        <f>INDEX(Table2[[HomeTeam]:[Group_details]],ROWS($N$2:O480),COLUMNS($N$2:O480))</f>
        <v>2</v>
      </c>
      <c r="R480" s="1">
        <f>INDEX(Table2[[HomeTeam]:[Group_details]],ROWS($N$2:P480),COLUMNS($N$2:P480))</f>
        <v>1</v>
      </c>
      <c r="S480" s="1" t="str">
        <f>INDEX(Table2[[HomeTeam]:[Group_details]],ROWS($N$2:Q480),COLUMNS($N$2:Q480))</f>
        <v>Colombia</v>
      </c>
      <c r="T480" s="1" t="str">
        <f>INDEX(Table2[[HomeTeam]:[Group_details]],ROWS($N$2:R480),COLUMNS($N$2:R480))</f>
        <v xml:space="preserve"> </v>
      </c>
      <c r="U480" s="1" t="str">
        <f>INDEX(Table2[[HomeTeam]:[Group_details]],ROWS($N$2:S480),COLUMNS($N$2:S480))</f>
        <v>Group stages</v>
      </c>
      <c r="V480" s="1" t="b">
        <f t="shared" si="7"/>
        <v>0</v>
      </c>
      <c r="W480" s="1" t="str">
        <f>IF(V480=TRUE,ROWS($V$2:V480),"")</f>
        <v/>
      </c>
      <c r="X480" s="1" t="str">
        <f>IFERROR(SMALL($W$2:$W$853,ROWS($W$2:W480)),"")</f>
        <v/>
      </c>
      <c r="Y480" s="1" t="str">
        <f>IF($X480&lt;&gt;"",INDEX($P$2:$U$853,MATCH($X480,$W$2:$W$853,0),COLUMNS($X$2:X480)),"")</f>
        <v/>
      </c>
      <c r="Z480" s="1" t="str">
        <f>IF($X480&lt;&gt;"",INDEX($P$2:$U$853,MATCH($X480,$W$2:$W$853,0),COLUMNS($X$2:Y480)),"")</f>
        <v/>
      </c>
      <c r="AA480" s="1" t="str">
        <f>IF($X480&lt;&gt;"",INDEX($P$2:$U$853,MATCH($X480,$W$2:$W$853,0),COLUMNS($X$2:Z480)),"")</f>
        <v/>
      </c>
      <c r="AB480" s="1" t="str">
        <f>IF($X480&lt;&gt;"",INDEX($P$2:$U$853,MATCH($X480,$W$2:$W$853,0),COLUMNS($X$2:AA480)),"")</f>
        <v/>
      </c>
      <c r="AC480" s="1" t="str">
        <f>IF($X480&lt;&gt;"",INDEX($P$2:$U$853,MATCH($X480,$W$2:$W$853,0),COLUMNS($X$2:AB480)),"")</f>
        <v/>
      </c>
      <c r="AD480" s="1" t="str">
        <f>IF($X480&lt;&gt;"",INDEX($P$2:$U$853,MATCH($X480,$W$2:$W$853,0),COLUMNS($X$2:AC480)),"")</f>
        <v/>
      </c>
    </row>
    <row r="481" spans="1:30" x14ac:dyDescent="0.2">
      <c r="A481" s="1">
        <v>1994</v>
      </c>
      <c r="B481" s="2">
        <v>34508</v>
      </c>
      <c r="C481" s="1" t="s">
        <v>503</v>
      </c>
      <c r="D481" s="1" t="s">
        <v>281</v>
      </c>
      <c r="E481" s="1" t="s">
        <v>325</v>
      </c>
      <c r="F481" s="1" t="s">
        <v>326</v>
      </c>
      <c r="G481" s="6" t="str">
        <f>VLOOKUP(A481,WorldCups!$A$2:$B$23,2,FALSE)</f>
        <v>USA</v>
      </c>
      <c r="H481" s="1" t="s">
        <v>57</v>
      </c>
      <c r="I481" s="1">
        <v>1</v>
      </c>
      <c r="J481" s="1">
        <v>0</v>
      </c>
      <c r="K481" s="1" t="s">
        <v>77</v>
      </c>
      <c r="L481" s="1" t="s">
        <v>14</v>
      </c>
      <c r="M481" s="1" t="str">
        <f>IF(ISNUMBER(SEARCH("Group",Table2[[#This Row],[Round]])),"Group stages",Table2[[#This Row],[Round]])</f>
        <v>Group stages</v>
      </c>
      <c r="O481" s="1">
        <f>Table2[[#This Row],[Year]]</f>
        <v>1994</v>
      </c>
      <c r="P481" s="1" t="str">
        <f>INDEX(Table2[[HomeTeam]:[Group_details]],ROWS($N$2:N481),COLUMNS($N$2:N481))</f>
        <v>Italy</v>
      </c>
      <c r="Q481" s="1">
        <f>INDEX(Table2[[HomeTeam]:[Group_details]],ROWS($N$2:O481),COLUMNS($N$2:O481))</f>
        <v>1</v>
      </c>
      <c r="R481" s="1">
        <f>INDEX(Table2[[HomeTeam]:[Group_details]],ROWS($N$2:P481),COLUMNS($N$2:P481))</f>
        <v>0</v>
      </c>
      <c r="S481" s="1" t="str">
        <f>INDEX(Table2[[HomeTeam]:[Group_details]],ROWS($N$2:Q481),COLUMNS($N$2:Q481))</f>
        <v>Norway</v>
      </c>
      <c r="T481" s="1" t="str">
        <f>INDEX(Table2[[HomeTeam]:[Group_details]],ROWS($N$2:R481),COLUMNS($N$2:R481))</f>
        <v xml:space="preserve"> </v>
      </c>
      <c r="U481" s="1" t="str">
        <f>INDEX(Table2[[HomeTeam]:[Group_details]],ROWS($N$2:S481),COLUMNS($N$2:S481))</f>
        <v>Group stages</v>
      </c>
      <c r="V481" s="1" t="b">
        <f t="shared" si="7"/>
        <v>0</v>
      </c>
      <c r="W481" s="1" t="str">
        <f>IF(V481=TRUE,ROWS($V$2:V481),"")</f>
        <v/>
      </c>
      <c r="X481" s="1" t="str">
        <f>IFERROR(SMALL($W$2:$W$853,ROWS($W$2:W481)),"")</f>
        <v/>
      </c>
      <c r="Y481" s="1" t="str">
        <f>IF($X481&lt;&gt;"",INDEX($P$2:$U$853,MATCH($X481,$W$2:$W$853,0),COLUMNS($X$2:X481)),"")</f>
        <v/>
      </c>
      <c r="Z481" s="1" t="str">
        <f>IF($X481&lt;&gt;"",INDEX($P$2:$U$853,MATCH($X481,$W$2:$W$853,0),COLUMNS($X$2:Y481)),"")</f>
        <v/>
      </c>
      <c r="AA481" s="1" t="str">
        <f>IF($X481&lt;&gt;"",INDEX($P$2:$U$853,MATCH($X481,$W$2:$W$853,0),COLUMNS($X$2:Z481)),"")</f>
        <v/>
      </c>
      <c r="AB481" s="1" t="str">
        <f>IF($X481&lt;&gt;"",INDEX($P$2:$U$853,MATCH($X481,$W$2:$W$853,0),COLUMNS($X$2:AA481)),"")</f>
        <v/>
      </c>
      <c r="AC481" s="1" t="str">
        <f>IF($X481&lt;&gt;"",INDEX($P$2:$U$853,MATCH($X481,$W$2:$W$853,0),COLUMNS($X$2:AB481)),"")</f>
        <v/>
      </c>
      <c r="AD481" s="1" t="str">
        <f>IF($X481&lt;&gt;"",INDEX($P$2:$U$853,MATCH($X481,$W$2:$W$853,0),COLUMNS($X$2:AC481)),"")</f>
        <v/>
      </c>
    </row>
    <row r="482" spans="1:30" x14ac:dyDescent="0.2">
      <c r="A482" s="1">
        <v>1994</v>
      </c>
      <c r="B482" s="2">
        <v>34508</v>
      </c>
      <c r="C482" s="1" t="s">
        <v>522</v>
      </c>
      <c r="D482" s="1" t="s">
        <v>268</v>
      </c>
      <c r="E482" s="1" t="s">
        <v>337</v>
      </c>
      <c r="F482" s="1" t="s">
        <v>338</v>
      </c>
      <c r="G482" s="6" t="str">
        <f>VLOOKUP(A482,WorldCups!$A$2:$B$23,2,FALSE)</f>
        <v>USA</v>
      </c>
      <c r="H482" s="1" t="s">
        <v>116</v>
      </c>
      <c r="I482" s="1">
        <v>0</v>
      </c>
      <c r="J482" s="1">
        <v>0</v>
      </c>
      <c r="K482" s="1" t="s">
        <v>27</v>
      </c>
      <c r="L482" s="1" t="s">
        <v>14</v>
      </c>
      <c r="M482" s="1" t="str">
        <f>IF(ISNUMBER(SEARCH("Group",Table2[[#This Row],[Round]])),"Group stages",Table2[[#This Row],[Round]])</f>
        <v>Group stages</v>
      </c>
      <c r="O482" s="1">
        <f>Table2[[#This Row],[Year]]</f>
        <v>1994</v>
      </c>
      <c r="P482" s="1" t="str">
        <f>INDEX(Table2[[HomeTeam]:[Group_details]],ROWS($N$2:N482),COLUMNS($N$2:N482))</f>
        <v>Korea Republic</v>
      </c>
      <c r="Q482" s="1">
        <f>INDEX(Table2[[HomeTeam]:[Group_details]],ROWS($N$2:O482),COLUMNS($N$2:O482))</f>
        <v>0</v>
      </c>
      <c r="R482" s="1">
        <f>INDEX(Table2[[HomeTeam]:[Group_details]],ROWS($N$2:P482),COLUMNS($N$2:P482))</f>
        <v>0</v>
      </c>
      <c r="S482" s="1" t="str">
        <f>INDEX(Table2[[HomeTeam]:[Group_details]],ROWS($N$2:Q482),COLUMNS($N$2:Q482))</f>
        <v>Bolivia</v>
      </c>
      <c r="T482" s="1" t="str">
        <f>INDEX(Table2[[HomeTeam]:[Group_details]],ROWS($N$2:R482),COLUMNS($N$2:R482))</f>
        <v xml:space="preserve"> </v>
      </c>
      <c r="U482" s="1" t="str">
        <f>INDEX(Table2[[HomeTeam]:[Group_details]],ROWS($N$2:S482),COLUMNS($N$2:S482))</f>
        <v>Group stages</v>
      </c>
      <c r="V482" s="1" t="b">
        <f t="shared" si="7"/>
        <v>0</v>
      </c>
      <c r="W482" s="1" t="str">
        <f>IF(V482=TRUE,ROWS($V$2:V482),"")</f>
        <v/>
      </c>
      <c r="X482" s="1" t="str">
        <f>IFERROR(SMALL($W$2:$W$853,ROWS($W$2:W482)),"")</f>
        <v/>
      </c>
      <c r="Y482" s="1" t="str">
        <f>IF($X482&lt;&gt;"",INDEX($P$2:$U$853,MATCH($X482,$W$2:$W$853,0),COLUMNS($X$2:X482)),"")</f>
        <v/>
      </c>
      <c r="Z482" s="1" t="str">
        <f>IF($X482&lt;&gt;"",INDEX($P$2:$U$853,MATCH($X482,$W$2:$W$853,0),COLUMNS($X$2:Y482)),"")</f>
        <v/>
      </c>
      <c r="AA482" s="1" t="str">
        <f>IF($X482&lt;&gt;"",INDEX($P$2:$U$853,MATCH($X482,$W$2:$W$853,0),COLUMNS($X$2:Z482)),"")</f>
        <v/>
      </c>
      <c r="AB482" s="1" t="str">
        <f>IF($X482&lt;&gt;"",INDEX($P$2:$U$853,MATCH($X482,$W$2:$W$853,0),COLUMNS($X$2:AA482)),"")</f>
        <v/>
      </c>
      <c r="AC482" s="1" t="str">
        <f>IF($X482&lt;&gt;"",INDEX($P$2:$U$853,MATCH($X482,$W$2:$W$853,0),COLUMNS($X$2:AB482)),"")</f>
        <v/>
      </c>
      <c r="AD482" s="1" t="str">
        <f>IF($X482&lt;&gt;"",INDEX($P$2:$U$853,MATCH($X482,$W$2:$W$853,0),COLUMNS($X$2:AC482)),"")</f>
        <v/>
      </c>
    </row>
    <row r="483" spans="1:30" x14ac:dyDescent="0.2">
      <c r="A483" s="1">
        <v>1994</v>
      </c>
      <c r="B483" s="2">
        <v>34509</v>
      </c>
      <c r="C483" s="1" t="s">
        <v>533</v>
      </c>
      <c r="D483" s="1" t="s">
        <v>281</v>
      </c>
      <c r="E483" s="1" t="s">
        <v>329</v>
      </c>
      <c r="F483" s="1" t="s">
        <v>330</v>
      </c>
      <c r="G483" s="6" t="str">
        <f>VLOOKUP(A483,WorldCups!$A$2:$B$23,2,FALSE)</f>
        <v>USA</v>
      </c>
      <c r="H483" s="1" t="s">
        <v>13</v>
      </c>
      <c r="I483" s="1">
        <v>2</v>
      </c>
      <c r="J483" s="1">
        <v>1</v>
      </c>
      <c r="K483" s="1" t="s">
        <v>304</v>
      </c>
      <c r="L483" s="1" t="s">
        <v>14</v>
      </c>
      <c r="M483" s="1" t="str">
        <f>IF(ISNUMBER(SEARCH("Group",Table2[[#This Row],[Round]])),"Group stages",Table2[[#This Row],[Round]])</f>
        <v>Group stages</v>
      </c>
      <c r="O483" s="1">
        <f>Table2[[#This Row],[Year]]</f>
        <v>1994</v>
      </c>
      <c r="P483" s="1" t="str">
        <f>INDEX(Table2[[HomeTeam]:[Group_details]],ROWS($N$2:N483),COLUMNS($N$2:N483))</f>
        <v>Mexico</v>
      </c>
      <c r="Q483" s="1">
        <f>INDEX(Table2[[HomeTeam]:[Group_details]],ROWS($N$2:O483),COLUMNS($N$2:O483))</f>
        <v>2</v>
      </c>
      <c r="R483" s="1">
        <f>INDEX(Table2[[HomeTeam]:[Group_details]],ROWS($N$2:P483),COLUMNS($N$2:P483))</f>
        <v>1</v>
      </c>
      <c r="S483" s="1" t="str">
        <f>INDEX(Table2[[HomeTeam]:[Group_details]],ROWS($N$2:Q483),COLUMNS($N$2:Q483))</f>
        <v>Republic of Ireland</v>
      </c>
      <c r="T483" s="1" t="str">
        <f>INDEX(Table2[[HomeTeam]:[Group_details]],ROWS($N$2:R483),COLUMNS($N$2:R483))</f>
        <v xml:space="preserve"> </v>
      </c>
      <c r="U483" s="1" t="str">
        <f>INDEX(Table2[[HomeTeam]:[Group_details]],ROWS($N$2:S483),COLUMNS($N$2:S483))</f>
        <v>Group stages</v>
      </c>
      <c r="V483" s="1" t="b">
        <f t="shared" si="7"/>
        <v>0</v>
      </c>
      <c r="W483" s="1" t="str">
        <f>IF(V483=TRUE,ROWS($V$2:V483),"")</f>
        <v/>
      </c>
      <c r="X483" s="1" t="str">
        <f>IFERROR(SMALL($W$2:$W$853,ROWS($W$2:W483)),"")</f>
        <v/>
      </c>
      <c r="Y483" s="1" t="str">
        <f>IF($X483&lt;&gt;"",INDEX($P$2:$U$853,MATCH($X483,$W$2:$W$853,0),COLUMNS($X$2:X483)),"")</f>
        <v/>
      </c>
      <c r="Z483" s="1" t="str">
        <f>IF($X483&lt;&gt;"",INDEX($P$2:$U$853,MATCH($X483,$W$2:$W$853,0),COLUMNS($X$2:Y483)),"")</f>
        <v/>
      </c>
      <c r="AA483" s="1" t="str">
        <f>IF($X483&lt;&gt;"",INDEX($P$2:$U$853,MATCH($X483,$W$2:$W$853,0),COLUMNS($X$2:Z483)),"")</f>
        <v/>
      </c>
      <c r="AB483" s="1" t="str">
        <f>IF($X483&lt;&gt;"",INDEX($P$2:$U$853,MATCH($X483,$W$2:$W$853,0),COLUMNS($X$2:AA483)),"")</f>
        <v/>
      </c>
      <c r="AC483" s="1" t="str">
        <f>IF($X483&lt;&gt;"",INDEX($P$2:$U$853,MATCH($X483,$W$2:$W$853,0),COLUMNS($X$2:AB483)),"")</f>
        <v/>
      </c>
      <c r="AD483" s="1" t="str">
        <f>IF($X483&lt;&gt;"",INDEX($P$2:$U$853,MATCH($X483,$W$2:$W$853,0),COLUMNS($X$2:AC483)),"")</f>
        <v/>
      </c>
    </row>
    <row r="484" spans="1:30" x14ac:dyDescent="0.2">
      <c r="A484" s="1">
        <v>1994</v>
      </c>
      <c r="B484" s="2">
        <v>34509</v>
      </c>
      <c r="C484" s="1" t="s">
        <v>522</v>
      </c>
      <c r="D484" s="1" t="s">
        <v>213</v>
      </c>
      <c r="E484" s="1" t="s">
        <v>323</v>
      </c>
      <c r="F484" s="1" t="s">
        <v>324</v>
      </c>
      <c r="G484" s="6" t="str">
        <f>VLOOKUP(A484,WorldCups!$A$2:$B$23,2,FALSE)</f>
        <v>USA</v>
      </c>
      <c r="H484" s="1" t="s">
        <v>48</v>
      </c>
      <c r="I484" s="1">
        <v>3</v>
      </c>
      <c r="J484" s="1">
        <v>1</v>
      </c>
      <c r="K484" s="1" t="s">
        <v>336</v>
      </c>
      <c r="L484" s="1" t="s">
        <v>14</v>
      </c>
      <c r="M484" s="1" t="str">
        <f>IF(ISNUMBER(SEARCH("Group",Table2[[#This Row],[Round]])),"Group stages",Table2[[#This Row],[Round]])</f>
        <v>Group stages</v>
      </c>
      <c r="O484" s="1">
        <f>Table2[[#This Row],[Year]]</f>
        <v>1994</v>
      </c>
      <c r="P484" s="1" t="str">
        <f>INDEX(Table2[[HomeTeam]:[Group_details]],ROWS($N$2:N484),COLUMNS($N$2:N484))</f>
        <v>Sweden</v>
      </c>
      <c r="Q484" s="1">
        <f>INDEX(Table2[[HomeTeam]:[Group_details]],ROWS($N$2:O484),COLUMNS($N$2:O484))</f>
        <v>3</v>
      </c>
      <c r="R484" s="1">
        <f>INDEX(Table2[[HomeTeam]:[Group_details]],ROWS($N$2:P484),COLUMNS($N$2:P484))</f>
        <v>1</v>
      </c>
      <c r="S484" s="1" t="str">
        <f>INDEX(Table2[[HomeTeam]:[Group_details]],ROWS($N$2:Q484),COLUMNS($N$2:Q484))</f>
        <v>Russia</v>
      </c>
      <c r="T484" s="1" t="str">
        <f>INDEX(Table2[[HomeTeam]:[Group_details]],ROWS($N$2:R484),COLUMNS($N$2:R484))</f>
        <v xml:space="preserve"> </v>
      </c>
      <c r="U484" s="1" t="str">
        <f>INDEX(Table2[[HomeTeam]:[Group_details]],ROWS($N$2:S484),COLUMNS($N$2:S484))</f>
        <v>Group stages</v>
      </c>
      <c r="V484" s="1" t="b">
        <f t="shared" si="7"/>
        <v>0</v>
      </c>
      <c r="W484" s="1" t="str">
        <f>IF(V484=TRUE,ROWS($V$2:V484),"")</f>
        <v/>
      </c>
      <c r="X484" s="1" t="str">
        <f>IFERROR(SMALL($W$2:$W$853,ROWS($W$2:W484)),"")</f>
        <v/>
      </c>
      <c r="Y484" s="1" t="str">
        <f>IF($X484&lt;&gt;"",INDEX($P$2:$U$853,MATCH($X484,$W$2:$W$853,0),COLUMNS($X$2:X484)),"")</f>
        <v/>
      </c>
      <c r="Z484" s="1" t="str">
        <f>IF($X484&lt;&gt;"",INDEX($P$2:$U$853,MATCH($X484,$W$2:$W$853,0),COLUMNS($X$2:Y484)),"")</f>
        <v/>
      </c>
      <c r="AA484" s="1" t="str">
        <f>IF($X484&lt;&gt;"",INDEX($P$2:$U$853,MATCH($X484,$W$2:$W$853,0),COLUMNS($X$2:Z484)),"")</f>
        <v/>
      </c>
      <c r="AB484" s="1" t="str">
        <f>IF($X484&lt;&gt;"",INDEX($P$2:$U$853,MATCH($X484,$W$2:$W$853,0),COLUMNS($X$2:AA484)),"")</f>
        <v/>
      </c>
      <c r="AC484" s="1" t="str">
        <f>IF($X484&lt;&gt;"",INDEX($P$2:$U$853,MATCH($X484,$W$2:$W$853,0),COLUMNS($X$2:AB484)),"")</f>
        <v/>
      </c>
      <c r="AD484" s="1" t="str">
        <f>IF($X484&lt;&gt;"",INDEX($P$2:$U$853,MATCH($X484,$W$2:$W$853,0),COLUMNS($X$2:AC484)),"")</f>
        <v/>
      </c>
    </row>
    <row r="485" spans="1:30" x14ac:dyDescent="0.2">
      <c r="A485" s="1">
        <v>1994</v>
      </c>
      <c r="B485" s="2">
        <v>34509</v>
      </c>
      <c r="C485" s="1" t="s">
        <v>503</v>
      </c>
      <c r="D485" s="1" t="s">
        <v>213</v>
      </c>
      <c r="E485" s="1" t="s">
        <v>334</v>
      </c>
      <c r="F485" s="1" t="s">
        <v>335</v>
      </c>
      <c r="G485" s="6" t="str">
        <f>VLOOKUP(A485,WorldCups!$A$2:$B$23,2,FALSE)</f>
        <v>USA</v>
      </c>
      <c r="H485" s="1" t="s">
        <v>21</v>
      </c>
      <c r="I485" s="1">
        <v>3</v>
      </c>
      <c r="J485" s="1">
        <v>0</v>
      </c>
      <c r="K485" s="1" t="s">
        <v>238</v>
      </c>
      <c r="L485" s="1" t="s">
        <v>14</v>
      </c>
      <c r="M485" s="1" t="str">
        <f>IF(ISNUMBER(SEARCH("Group",Table2[[#This Row],[Round]])),"Group stages",Table2[[#This Row],[Round]])</f>
        <v>Group stages</v>
      </c>
      <c r="O485" s="1">
        <f>Table2[[#This Row],[Year]]</f>
        <v>1994</v>
      </c>
      <c r="P485" s="1" t="str">
        <f>INDEX(Table2[[HomeTeam]:[Group_details]],ROWS($N$2:N485),COLUMNS($N$2:N485))</f>
        <v>Brazil</v>
      </c>
      <c r="Q485" s="1">
        <f>INDEX(Table2[[HomeTeam]:[Group_details]],ROWS($N$2:O485),COLUMNS($N$2:O485))</f>
        <v>3</v>
      </c>
      <c r="R485" s="1">
        <f>INDEX(Table2[[HomeTeam]:[Group_details]],ROWS($N$2:P485),COLUMNS($N$2:P485))</f>
        <v>0</v>
      </c>
      <c r="S485" s="1" t="str">
        <f>INDEX(Table2[[HomeTeam]:[Group_details]],ROWS($N$2:Q485),COLUMNS($N$2:Q485))</f>
        <v>Cameroon</v>
      </c>
      <c r="T485" s="1" t="str">
        <f>INDEX(Table2[[HomeTeam]:[Group_details]],ROWS($N$2:R485),COLUMNS($N$2:R485))</f>
        <v xml:space="preserve"> </v>
      </c>
      <c r="U485" s="1" t="str">
        <f>INDEX(Table2[[HomeTeam]:[Group_details]],ROWS($N$2:S485),COLUMNS($N$2:S485))</f>
        <v>Group stages</v>
      </c>
      <c r="V485" s="1" t="b">
        <f t="shared" si="7"/>
        <v>0</v>
      </c>
      <c r="W485" s="1" t="str">
        <f>IF(V485=TRUE,ROWS($V$2:V485),"")</f>
        <v/>
      </c>
      <c r="X485" s="1" t="str">
        <f>IFERROR(SMALL($W$2:$W$853,ROWS($W$2:W485)),"")</f>
        <v/>
      </c>
      <c r="Y485" s="1" t="str">
        <f>IF($X485&lt;&gt;"",INDEX($P$2:$U$853,MATCH($X485,$W$2:$W$853,0),COLUMNS($X$2:X485)),"")</f>
        <v/>
      </c>
      <c r="Z485" s="1" t="str">
        <f>IF($X485&lt;&gt;"",INDEX($P$2:$U$853,MATCH($X485,$W$2:$W$853,0),COLUMNS($X$2:Y485)),"")</f>
        <v/>
      </c>
      <c r="AA485" s="1" t="str">
        <f>IF($X485&lt;&gt;"",INDEX($P$2:$U$853,MATCH($X485,$W$2:$W$853,0),COLUMNS($X$2:Z485)),"")</f>
        <v/>
      </c>
      <c r="AB485" s="1" t="str">
        <f>IF($X485&lt;&gt;"",INDEX($P$2:$U$853,MATCH($X485,$W$2:$W$853,0),COLUMNS($X$2:AA485)),"")</f>
        <v/>
      </c>
      <c r="AC485" s="1" t="str">
        <f>IF($X485&lt;&gt;"",INDEX($P$2:$U$853,MATCH($X485,$W$2:$W$853,0),COLUMNS($X$2:AB485)),"")</f>
        <v/>
      </c>
      <c r="AD485" s="1" t="str">
        <f>IF($X485&lt;&gt;"",INDEX($P$2:$U$853,MATCH($X485,$W$2:$W$853,0),COLUMNS($X$2:AC485)),"")</f>
        <v/>
      </c>
    </row>
    <row r="486" spans="1:30" x14ac:dyDescent="0.2">
      <c r="A486" s="1">
        <v>1994</v>
      </c>
      <c r="B486" s="2">
        <v>34510</v>
      </c>
      <c r="C486" s="1" t="s">
        <v>533</v>
      </c>
      <c r="D486" s="1" t="s">
        <v>274</v>
      </c>
      <c r="E486" s="1" t="s">
        <v>329</v>
      </c>
      <c r="F486" s="1" t="s">
        <v>330</v>
      </c>
      <c r="G486" s="6" t="str">
        <f>VLOOKUP(A486,WorldCups!$A$2:$B$23,2,FALSE)</f>
        <v>USA</v>
      </c>
      <c r="H486" s="1" t="s">
        <v>18</v>
      </c>
      <c r="I486" s="1">
        <v>1</v>
      </c>
      <c r="J486" s="1">
        <v>0</v>
      </c>
      <c r="K486" s="1" t="s">
        <v>45</v>
      </c>
      <c r="L486" s="1" t="s">
        <v>14</v>
      </c>
      <c r="M486" s="1" t="str">
        <f>IF(ISNUMBER(SEARCH("Group",Table2[[#This Row],[Round]])),"Group stages",Table2[[#This Row],[Round]])</f>
        <v>Group stages</v>
      </c>
      <c r="O486" s="1">
        <f>Table2[[#This Row],[Year]]</f>
        <v>1994</v>
      </c>
      <c r="P486" s="1" t="str">
        <f>INDEX(Table2[[HomeTeam]:[Group_details]],ROWS($N$2:N486),COLUMNS($N$2:N486))</f>
        <v>Belgium</v>
      </c>
      <c r="Q486" s="1">
        <f>INDEX(Table2[[HomeTeam]:[Group_details]],ROWS($N$2:O486),COLUMNS($N$2:O486))</f>
        <v>1</v>
      </c>
      <c r="R486" s="1">
        <f>INDEX(Table2[[HomeTeam]:[Group_details]],ROWS($N$2:P486),COLUMNS($N$2:P486))</f>
        <v>0</v>
      </c>
      <c r="S486" s="1" t="str">
        <f>INDEX(Table2[[HomeTeam]:[Group_details]],ROWS($N$2:Q486),COLUMNS($N$2:Q486))</f>
        <v>Netherlands</v>
      </c>
      <c r="T486" s="1" t="str">
        <f>INDEX(Table2[[HomeTeam]:[Group_details]],ROWS($N$2:R486),COLUMNS($N$2:R486))</f>
        <v xml:space="preserve"> </v>
      </c>
      <c r="U486" s="1" t="str">
        <f>INDEX(Table2[[HomeTeam]:[Group_details]],ROWS($N$2:S486),COLUMNS($N$2:S486))</f>
        <v>Group stages</v>
      </c>
      <c r="V486" s="1" t="b">
        <f t="shared" si="7"/>
        <v>0</v>
      </c>
      <c r="W486" s="1" t="str">
        <f>IF(V486=TRUE,ROWS($V$2:V486),"")</f>
        <v/>
      </c>
      <c r="X486" s="1" t="str">
        <f>IFERROR(SMALL($W$2:$W$853,ROWS($W$2:W486)),"")</f>
        <v/>
      </c>
      <c r="Y486" s="1" t="str">
        <f>IF($X486&lt;&gt;"",INDEX($P$2:$U$853,MATCH($X486,$W$2:$W$853,0),COLUMNS($X$2:X486)),"")</f>
        <v/>
      </c>
      <c r="Z486" s="1" t="str">
        <f>IF($X486&lt;&gt;"",INDEX($P$2:$U$853,MATCH($X486,$W$2:$W$853,0),COLUMNS($X$2:Y486)),"")</f>
        <v/>
      </c>
      <c r="AA486" s="1" t="str">
        <f>IF($X486&lt;&gt;"",INDEX($P$2:$U$853,MATCH($X486,$W$2:$W$853,0),COLUMNS($X$2:Z486)),"")</f>
        <v/>
      </c>
      <c r="AB486" s="1" t="str">
        <f>IF($X486&lt;&gt;"",INDEX($P$2:$U$853,MATCH($X486,$W$2:$W$853,0),COLUMNS($X$2:AA486)),"")</f>
        <v/>
      </c>
      <c r="AC486" s="1" t="str">
        <f>IF($X486&lt;&gt;"",INDEX($P$2:$U$853,MATCH($X486,$W$2:$W$853,0),COLUMNS($X$2:AB486)),"")</f>
        <v/>
      </c>
      <c r="AD486" s="1" t="str">
        <f>IF($X486&lt;&gt;"",INDEX($P$2:$U$853,MATCH($X486,$W$2:$W$853,0),COLUMNS($X$2:AC486)),"")</f>
        <v/>
      </c>
    </row>
    <row r="487" spans="1:30" x14ac:dyDescent="0.2">
      <c r="A487" s="1">
        <v>1994</v>
      </c>
      <c r="B487" s="2">
        <v>34510</v>
      </c>
      <c r="C487" s="1" t="s">
        <v>533</v>
      </c>
      <c r="D487" s="1" t="s">
        <v>274</v>
      </c>
      <c r="E487" s="1" t="s">
        <v>325</v>
      </c>
      <c r="F487" s="1" t="s">
        <v>326</v>
      </c>
      <c r="G487" s="6" t="str">
        <f>VLOOKUP(A487,WorldCups!$A$2:$B$23,2,FALSE)</f>
        <v>USA</v>
      </c>
      <c r="H487" s="1" t="s">
        <v>333</v>
      </c>
      <c r="I487" s="1">
        <v>2</v>
      </c>
      <c r="J487" s="1">
        <v>1</v>
      </c>
      <c r="K487" s="1" t="s">
        <v>188</v>
      </c>
      <c r="L487" s="1" t="s">
        <v>14</v>
      </c>
      <c r="M487" s="1" t="str">
        <f>IF(ISNUMBER(SEARCH("Group",Table2[[#This Row],[Round]])),"Group stages",Table2[[#This Row],[Round]])</f>
        <v>Group stages</v>
      </c>
      <c r="O487" s="1">
        <f>Table2[[#This Row],[Year]]</f>
        <v>1994</v>
      </c>
      <c r="P487" s="1" t="str">
        <f>INDEX(Table2[[HomeTeam]:[Group_details]],ROWS($N$2:N487),COLUMNS($N$2:N487))</f>
        <v>Saudi Arabia</v>
      </c>
      <c r="Q487" s="1">
        <f>INDEX(Table2[[HomeTeam]:[Group_details]],ROWS($N$2:O487),COLUMNS($N$2:O487))</f>
        <v>2</v>
      </c>
      <c r="R487" s="1">
        <f>INDEX(Table2[[HomeTeam]:[Group_details]],ROWS($N$2:P487),COLUMNS($N$2:P487))</f>
        <v>1</v>
      </c>
      <c r="S487" s="1" t="str">
        <f>INDEX(Table2[[HomeTeam]:[Group_details]],ROWS($N$2:Q487),COLUMNS($N$2:Q487))</f>
        <v>Morocco</v>
      </c>
      <c r="T487" s="1" t="str">
        <f>INDEX(Table2[[HomeTeam]:[Group_details]],ROWS($N$2:R487),COLUMNS($N$2:R487))</f>
        <v xml:space="preserve"> </v>
      </c>
      <c r="U487" s="1" t="str">
        <f>INDEX(Table2[[HomeTeam]:[Group_details]],ROWS($N$2:S487),COLUMNS($N$2:S487))</f>
        <v>Group stages</v>
      </c>
      <c r="V487" s="1" t="b">
        <f t="shared" si="7"/>
        <v>0</v>
      </c>
      <c r="W487" s="1" t="str">
        <f>IF(V487=TRUE,ROWS($V$2:V487),"")</f>
        <v/>
      </c>
      <c r="X487" s="1" t="str">
        <f>IFERROR(SMALL($W$2:$W$853,ROWS($W$2:W487)),"")</f>
        <v/>
      </c>
      <c r="Y487" s="1" t="str">
        <f>IF($X487&lt;&gt;"",INDEX($P$2:$U$853,MATCH($X487,$W$2:$W$853,0),COLUMNS($X$2:X487)),"")</f>
        <v/>
      </c>
      <c r="Z487" s="1" t="str">
        <f>IF($X487&lt;&gt;"",INDEX($P$2:$U$853,MATCH($X487,$W$2:$W$853,0),COLUMNS($X$2:Y487)),"")</f>
        <v/>
      </c>
      <c r="AA487" s="1" t="str">
        <f>IF($X487&lt;&gt;"",INDEX($P$2:$U$853,MATCH($X487,$W$2:$W$853,0),COLUMNS($X$2:Z487)),"")</f>
        <v/>
      </c>
      <c r="AB487" s="1" t="str">
        <f>IF($X487&lt;&gt;"",INDEX($P$2:$U$853,MATCH($X487,$W$2:$W$853,0),COLUMNS($X$2:AA487)),"")</f>
        <v/>
      </c>
      <c r="AC487" s="1" t="str">
        <f>IF($X487&lt;&gt;"",INDEX($P$2:$U$853,MATCH($X487,$W$2:$W$853,0),COLUMNS($X$2:AB487)),"")</f>
        <v/>
      </c>
      <c r="AD487" s="1" t="str">
        <f>IF($X487&lt;&gt;"",INDEX($P$2:$U$853,MATCH($X487,$W$2:$W$853,0),COLUMNS($X$2:AC487)),"")</f>
        <v/>
      </c>
    </row>
    <row r="488" spans="1:30" x14ac:dyDescent="0.2">
      <c r="A488" s="1">
        <v>1994</v>
      </c>
      <c r="B488" s="2">
        <v>34510</v>
      </c>
      <c r="C488" s="1" t="s">
        <v>503</v>
      </c>
      <c r="D488" s="1" t="s">
        <v>270</v>
      </c>
      <c r="E488" s="1" t="s">
        <v>337</v>
      </c>
      <c r="F488" s="1" t="s">
        <v>338</v>
      </c>
      <c r="G488" s="6" t="str">
        <f>VLOOKUP(A488,WorldCups!$A$2:$B$23,2,FALSE)</f>
        <v>USA</v>
      </c>
      <c r="H488" s="1" t="s">
        <v>25</v>
      </c>
      <c r="I488" s="1">
        <v>2</v>
      </c>
      <c r="J488" s="1">
        <v>1</v>
      </c>
      <c r="K488" s="1" t="s">
        <v>340</v>
      </c>
      <c r="L488" s="1" t="s">
        <v>14</v>
      </c>
      <c r="M488" s="1" t="str">
        <f>IF(ISNUMBER(SEARCH("Group",Table2[[#This Row],[Round]])),"Group stages",Table2[[#This Row],[Round]])</f>
        <v>Group stages</v>
      </c>
      <c r="O488" s="1">
        <f>Table2[[#This Row],[Year]]</f>
        <v>1994</v>
      </c>
      <c r="P488" s="1" t="str">
        <f>INDEX(Table2[[HomeTeam]:[Group_details]],ROWS($N$2:N488),COLUMNS($N$2:N488))</f>
        <v>Argentina</v>
      </c>
      <c r="Q488" s="1">
        <f>INDEX(Table2[[HomeTeam]:[Group_details]],ROWS($N$2:O488),COLUMNS($N$2:O488))</f>
        <v>2</v>
      </c>
      <c r="R488" s="1">
        <f>INDEX(Table2[[HomeTeam]:[Group_details]],ROWS($N$2:P488),COLUMNS($N$2:P488))</f>
        <v>1</v>
      </c>
      <c r="S488" s="1" t="str">
        <f>INDEX(Table2[[HomeTeam]:[Group_details]],ROWS($N$2:Q488),COLUMNS($N$2:Q488))</f>
        <v>Nigeria</v>
      </c>
      <c r="T488" s="1" t="str">
        <f>INDEX(Table2[[HomeTeam]:[Group_details]],ROWS($N$2:R488),COLUMNS($N$2:R488))</f>
        <v xml:space="preserve"> </v>
      </c>
      <c r="U488" s="1" t="str">
        <f>INDEX(Table2[[HomeTeam]:[Group_details]],ROWS($N$2:S488),COLUMNS($N$2:S488))</f>
        <v>Group stages</v>
      </c>
      <c r="V488" s="1" t="b">
        <f t="shared" si="7"/>
        <v>0</v>
      </c>
      <c r="W488" s="1" t="str">
        <f>IF(V488=TRUE,ROWS($V$2:V488),"")</f>
        <v/>
      </c>
      <c r="X488" s="1" t="str">
        <f>IFERROR(SMALL($W$2:$W$853,ROWS($W$2:W488)),"")</f>
        <v/>
      </c>
      <c r="Y488" s="1" t="str">
        <f>IF($X488&lt;&gt;"",INDEX($P$2:$U$853,MATCH($X488,$W$2:$W$853,0),COLUMNS($X$2:X488)),"")</f>
        <v/>
      </c>
      <c r="Z488" s="1" t="str">
        <f>IF($X488&lt;&gt;"",INDEX($P$2:$U$853,MATCH($X488,$W$2:$W$853,0),COLUMNS($X$2:Y488)),"")</f>
        <v/>
      </c>
      <c r="AA488" s="1" t="str">
        <f>IF($X488&lt;&gt;"",INDEX($P$2:$U$853,MATCH($X488,$W$2:$W$853,0),COLUMNS($X$2:Z488)),"")</f>
        <v/>
      </c>
      <c r="AB488" s="1" t="str">
        <f>IF($X488&lt;&gt;"",INDEX($P$2:$U$853,MATCH($X488,$W$2:$W$853,0),COLUMNS($X$2:AA488)),"")</f>
        <v/>
      </c>
      <c r="AC488" s="1" t="str">
        <f>IF($X488&lt;&gt;"",INDEX($P$2:$U$853,MATCH($X488,$W$2:$W$853,0),COLUMNS($X$2:AB488)),"")</f>
        <v/>
      </c>
      <c r="AD488" s="1" t="str">
        <f>IF($X488&lt;&gt;"",INDEX($P$2:$U$853,MATCH($X488,$W$2:$W$853,0),COLUMNS($X$2:AC488)),"")</f>
        <v/>
      </c>
    </row>
    <row r="489" spans="1:30" x14ac:dyDescent="0.2">
      <c r="A489" s="1">
        <v>1994</v>
      </c>
      <c r="B489" s="2">
        <v>34511</v>
      </c>
      <c r="C489" s="1" t="s">
        <v>533</v>
      </c>
      <c r="D489" s="1" t="s">
        <v>270</v>
      </c>
      <c r="E489" s="1" t="s">
        <v>321</v>
      </c>
      <c r="F489" s="1" t="s">
        <v>322</v>
      </c>
      <c r="G489" s="6" t="str">
        <f>VLOOKUP(A489,WorldCups!$A$2:$B$23,2,FALSE)</f>
        <v>USA</v>
      </c>
      <c r="H489" s="1" t="s">
        <v>156</v>
      </c>
      <c r="I489" s="1">
        <v>4</v>
      </c>
      <c r="J489" s="1">
        <v>0</v>
      </c>
      <c r="K489" s="1" t="s">
        <v>339</v>
      </c>
      <c r="L489" s="1" t="s">
        <v>14</v>
      </c>
      <c r="M489" s="1" t="str">
        <f>IF(ISNUMBER(SEARCH("Group",Table2[[#This Row],[Round]])),"Group stages",Table2[[#This Row],[Round]])</f>
        <v>Group stages</v>
      </c>
      <c r="O489" s="1">
        <f>Table2[[#This Row],[Year]]</f>
        <v>1994</v>
      </c>
      <c r="P489" s="1" t="str">
        <f>INDEX(Table2[[HomeTeam]:[Group_details]],ROWS($N$2:N489),COLUMNS($N$2:N489))</f>
        <v>Bulgaria</v>
      </c>
      <c r="Q489" s="1">
        <f>INDEX(Table2[[HomeTeam]:[Group_details]],ROWS($N$2:O489),COLUMNS($N$2:O489))</f>
        <v>4</v>
      </c>
      <c r="R489" s="1">
        <f>INDEX(Table2[[HomeTeam]:[Group_details]],ROWS($N$2:P489),COLUMNS($N$2:P489))</f>
        <v>0</v>
      </c>
      <c r="S489" s="1" t="str">
        <f>INDEX(Table2[[HomeTeam]:[Group_details]],ROWS($N$2:Q489),COLUMNS($N$2:Q489))</f>
        <v>Greece</v>
      </c>
      <c r="T489" s="1" t="str">
        <f>INDEX(Table2[[HomeTeam]:[Group_details]],ROWS($N$2:R489),COLUMNS($N$2:R489))</f>
        <v xml:space="preserve"> </v>
      </c>
      <c r="U489" s="1" t="str">
        <f>INDEX(Table2[[HomeTeam]:[Group_details]],ROWS($N$2:S489),COLUMNS($N$2:S489))</f>
        <v>Group stages</v>
      </c>
      <c r="V489" s="1" t="b">
        <f t="shared" si="7"/>
        <v>0</v>
      </c>
      <c r="W489" s="1" t="str">
        <f>IF(V489=TRUE,ROWS($V$2:V489),"")</f>
        <v/>
      </c>
      <c r="X489" s="1" t="str">
        <f>IFERROR(SMALL($W$2:$W$853,ROWS($W$2:W489)),"")</f>
        <v/>
      </c>
      <c r="Y489" s="1" t="str">
        <f>IF($X489&lt;&gt;"",INDEX($P$2:$U$853,MATCH($X489,$W$2:$W$853,0),COLUMNS($X$2:X489)),"")</f>
        <v/>
      </c>
      <c r="Z489" s="1" t="str">
        <f>IF($X489&lt;&gt;"",INDEX($P$2:$U$853,MATCH($X489,$W$2:$W$853,0),COLUMNS($X$2:Y489)),"")</f>
        <v/>
      </c>
      <c r="AA489" s="1" t="str">
        <f>IF($X489&lt;&gt;"",INDEX($P$2:$U$853,MATCH($X489,$W$2:$W$853,0),COLUMNS($X$2:Z489)),"")</f>
        <v/>
      </c>
      <c r="AB489" s="1" t="str">
        <f>IF($X489&lt;&gt;"",INDEX($P$2:$U$853,MATCH($X489,$W$2:$W$853,0),COLUMNS($X$2:AA489)),"")</f>
        <v/>
      </c>
      <c r="AC489" s="1" t="str">
        <f>IF($X489&lt;&gt;"",INDEX($P$2:$U$853,MATCH($X489,$W$2:$W$853,0),COLUMNS($X$2:AB489)),"")</f>
        <v/>
      </c>
      <c r="AD489" s="1" t="str">
        <f>IF($X489&lt;&gt;"",INDEX($P$2:$U$853,MATCH($X489,$W$2:$W$853,0),COLUMNS($X$2:AC489)),"")</f>
        <v/>
      </c>
    </row>
    <row r="490" spans="1:30" x14ac:dyDescent="0.2">
      <c r="A490" s="1">
        <v>1994</v>
      </c>
      <c r="B490" s="2">
        <v>34511</v>
      </c>
      <c r="C490" s="1" t="s">
        <v>503</v>
      </c>
      <c r="D490" s="1" t="s">
        <v>214</v>
      </c>
      <c r="E490" s="1" t="s">
        <v>327</v>
      </c>
      <c r="F490" s="1" t="s">
        <v>328</v>
      </c>
      <c r="G490" s="6" t="str">
        <f>VLOOKUP(A490,WorldCups!$A$2:$B$23,2,FALSE)</f>
        <v>USA</v>
      </c>
      <c r="H490" s="1" t="s">
        <v>17</v>
      </c>
      <c r="I490" s="1">
        <v>0</v>
      </c>
      <c r="J490" s="1">
        <v>1</v>
      </c>
      <c r="K490" s="1" t="s">
        <v>23</v>
      </c>
      <c r="L490" s="1" t="s">
        <v>14</v>
      </c>
      <c r="M490" s="1" t="str">
        <f>IF(ISNUMBER(SEARCH("Group",Table2[[#This Row],[Round]])),"Group stages",Table2[[#This Row],[Round]])</f>
        <v>Group stages</v>
      </c>
      <c r="O490" s="1">
        <f>Table2[[#This Row],[Year]]</f>
        <v>1994</v>
      </c>
      <c r="P490" s="1" t="str">
        <f>INDEX(Table2[[HomeTeam]:[Group_details]],ROWS($N$2:N490),COLUMNS($N$2:N490))</f>
        <v>USA</v>
      </c>
      <c r="Q490" s="1">
        <f>INDEX(Table2[[HomeTeam]:[Group_details]],ROWS($N$2:O490),COLUMNS($N$2:O490))</f>
        <v>0</v>
      </c>
      <c r="R490" s="1">
        <f>INDEX(Table2[[HomeTeam]:[Group_details]],ROWS($N$2:P490),COLUMNS($N$2:P490))</f>
        <v>1</v>
      </c>
      <c r="S490" s="1" t="str">
        <f>INDEX(Table2[[HomeTeam]:[Group_details]],ROWS($N$2:Q490),COLUMNS($N$2:Q490))</f>
        <v>Romania</v>
      </c>
      <c r="T490" s="1" t="str">
        <f>INDEX(Table2[[HomeTeam]:[Group_details]],ROWS($N$2:R490),COLUMNS($N$2:R490))</f>
        <v xml:space="preserve"> </v>
      </c>
      <c r="U490" s="1" t="str">
        <f>INDEX(Table2[[HomeTeam]:[Group_details]],ROWS($N$2:S490),COLUMNS($N$2:S490))</f>
        <v>Group stages</v>
      </c>
      <c r="V490" s="1" t="b">
        <f t="shared" si="7"/>
        <v>0</v>
      </c>
      <c r="W490" s="1" t="str">
        <f>IF(V490=TRUE,ROWS($V$2:V490),"")</f>
        <v/>
      </c>
      <c r="X490" s="1" t="str">
        <f>IFERROR(SMALL($W$2:$W$853,ROWS($W$2:W490)),"")</f>
        <v/>
      </c>
      <c r="Y490" s="1" t="str">
        <f>IF($X490&lt;&gt;"",INDEX($P$2:$U$853,MATCH($X490,$W$2:$W$853,0),COLUMNS($X$2:X490)),"")</f>
        <v/>
      </c>
      <c r="Z490" s="1" t="str">
        <f>IF($X490&lt;&gt;"",INDEX($P$2:$U$853,MATCH($X490,$W$2:$W$853,0),COLUMNS($X$2:Y490)),"")</f>
        <v/>
      </c>
      <c r="AA490" s="1" t="str">
        <f>IF($X490&lt;&gt;"",INDEX($P$2:$U$853,MATCH($X490,$W$2:$W$853,0),COLUMNS($X$2:Z490)),"")</f>
        <v/>
      </c>
      <c r="AB490" s="1" t="str">
        <f>IF($X490&lt;&gt;"",INDEX($P$2:$U$853,MATCH($X490,$W$2:$W$853,0),COLUMNS($X$2:AA490)),"")</f>
        <v/>
      </c>
      <c r="AC490" s="1" t="str">
        <f>IF($X490&lt;&gt;"",INDEX($P$2:$U$853,MATCH($X490,$W$2:$W$853,0),COLUMNS($X$2:AB490)),"")</f>
        <v/>
      </c>
      <c r="AD490" s="1" t="str">
        <f>IF($X490&lt;&gt;"",INDEX($P$2:$U$853,MATCH($X490,$W$2:$W$853,0),COLUMNS($X$2:AC490)),"")</f>
        <v/>
      </c>
    </row>
    <row r="491" spans="1:30" x14ac:dyDescent="0.2">
      <c r="A491" s="1">
        <v>1994</v>
      </c>
      <c r="B491" s="2">
        <v>34511</v>
      </c>
      <c r="C491" s="1" t="s">
        <v>503</v>
      </c>
      <c r="D491" s="1" t="s">
        <v>214</v>
      </c>
      <c r="E491" s="1" t="s">
        <v>334</v>
      </c>
      <c r="F491" s="1" t="s">
        <v>335</v>
      </c>
      <c r="G491" s="6" t="str">
        <f>VLOOKUP(A491,WorldCups!$A$2:$B$23,2,FALSE)</f>
        <v>USA</v>
      </c>
      <c r="H491" s="1" t="s">
        <v>44</v>
      </c>
      <c r="I491" s="1">
        <v>0</v>
      </c>
      <c r="J491" s="1">
        <v>2</v>
      </c>
      <c r="K491" s="1" t="s">
        <v>151</v>
      </c>
      <c r="L491" s="1" t="s">
        <v>14</v>
      </c>
      <c r="M491" s="1" t="str">
        <f>IF(ISNUMBER(SEARCH("Group",Table2[[#This Row],[Round]])),"Group stages",Table2[[#This Row],[Round]])</f>
        <v>Group stages</v>
      </c>
      <c r="O491" s="1">
        <f>Table2[[#This Row],[Year]]</f>
        <v>1994</v>
      </c>
      <c r="P491" s="1" t="str">
        <f>INDEX(Table2[[HomeTeam]:[Group_details]],ROWS($N$2:N491),COLUMNS($N$2:N491))</f>
        <v>Switzerland</v>
      </c>
      <c r="Q491" s="1">
        <f>INDEX(Table2[[HomeTeam]:[Group_details]],ROWS($N$2:O491),COLUMNS($N$2:O491))</f>
        <v>0</v>
      </c>
      <c r="R491" s="1">
        <f>INDEX(Table2[[HomeTeam]:[Group_details]],ROWS($N$2:P491),COLUMNS($N$2:P491))</f>
        <v>2</v>
      </c>
      <c r="S491" s="1" t="str">
        <f>INDEX(Table2[[HomeTeam]:[Group_details]],ROWS($N$2:Q491),COLUMNS($N$2:Q491))</f>
        <v>Colombia</v>
      </c>
      <c r="T491" s="1" t="str">
        <f>INDEX(Table2[[HomeTeam]:[Group_details]],ROWS($N$2:R491),COLUMNS($N$2:R491))</f>
        <v xml:space="preserve"> </v>
      </c>
      <c r="U491" s="1" t="str">
        <f>INDEX(Table2[[HomeTeam]:[Group_details]],ROWS($N$2:S491),COLUMNS($N$2:S491))</f>
        <v>Group stages</v>
      </c>
      <c r="V491" s="1" t="b">
        <f t="shared" si="7"/>
        <v>0</v>
      </c>
      <c r="W491" s="1" t="str">
        <f>IF(V491=TRUE,ROWS($V$2:V491),"")</f>
        <v/>
      </c>
      <c r="X491" s="1" t="str">
        <f>IFERROR(SMALL($W$2:$W$853,ROWS($W$2:W491)),"")</f>
        <v/>
      </c>
      <c r="Y491" s="1" t="str">
        <f>IF($X491&lt;&gt;"",INDEX($P$2:$U$853,MATCH($X491,$W$2:$W$853,0),COLUMNS($X$2:X491)),"")</f>
        <v/>
      </c>
      <c r="Z491" s="1" t="str">
        <f>IF($X491&lt;&gt;"",INDEX($P$2:$U$853,MATCH($X491,$W$2:$W$853,0),COLUMNS($X$2:Y491)),"")</f>
        <v/>
      </c>
      <c r="AA491" s="1" t="str">
        <f>IF($X491&lt;&gt;"",INDEX($P$2:$U$853,MATCH($X491,$W$2:$W$853,0),COLUMNS($X$2:Z491)),"")</f>
        <v/>
      </c>
      <c r="AB491" s="1" t="str">
        <f>IF($X491&lt;&gt;"",INDEX($P$2:$U$853,MATCH($X491,$W$2:$W$853,0),COLUMNS($X$2:AA491)),"")</f>
        <v/>
      </c>
      <c r="AC491" s="1" t="str">
        <f>IF($X491&lt;&gt;"",INDEX($P$2:$U$853,MATCH($X491,$W$2:$W$853,0),COLUMNS($X$2:AB491)),"")</f>
        <v/>
      </c>
      <c r="AD491" s="1" t="str">
        <f>IF($X491&lt;&gt;"",INDEX($P$2:$U$853,MATCH($X491,$W$2:$W$853,0),COLUMNS($X$2:AC491)),"")</f>
        <v/>
      </c>
    </row>
    <row r="492" spans="1:30" x14ac:dyDescent="0.2">
      <c r="A492" s="1">
        <v>1994</v>
      </c>
      <c r="B492" s="2">
        <v>34512</v>
      </c>
      <c r="C492" s="1" t="s">
        <v>503</v>
      </c>
      <c r="D492" s="1" t="s">
        <v>268</v>
      </c>
      <c r="E492" s="1" t="s">
        <v>319</v>
      </c>
      <c r="F492" s="1" t="s">
        <v>320</v>
      </c>
      <c r="G492" s="6" t="str">
        <f>VLOOKUP(A492,WorldCups!$A$2:$B$23,2,FALSE)</f>
        <v>USA</v>
      </c>
      <c r="H492" s="1" t="s">
        <v>51</v>
      </c>
      <c r="I492" s="1">
        <v>3</v>
      </c>
      <c r="J492" s="1">
        <v>2</v>
      </c>
      <c r="K492" s="1" t="s">
        <v>116</v>
      </c>
      <c r="L492" s="1" t="s">
        <v>14</v>
      </c>
      <c r="M492" s="1" t="str">
        <f>IF(ISNUMBER(SEARCH("Group",Table2[[#This Row],[Round]])),"Group stages",Table2[[#This Row],[Round]])</f>
        <v>Group stages</v>
      </c>
      <c r="O492" s="1">
        <f>Table2[[#This Row],[Year]]</f>
        <v>1994</v>
      </c>
      <c r="P492" s="1" t="str">
        <f>INDEX(Table2[[HomeTeam]:[Group_details]],ROWS($N$2:N492),COLUMNS($N$2:N492))</f>
        <v>Germany</v>
      </c>
      <c r="Q492" s="1">
        <f>INDEX(Table2[[HomeTeam]:[Group_details]],ROWS($N$2:O492),COLUMNS($N$2:O492))</f>
        <v>3</v>
      </c>
      <c r="R492" s="1">
        <f>INDEX(Table2[[HomeTeam]:[Group_details]],ROWS($N$2:P492),COLUMNS($N$2:P492))</f>
        <v>2</v>
      </c>
      <c r="S492" s="1" t="str">
        <f>INDEX(Table2[[HomeTeam]:[Group_details]],ROWS($N$2:Q492),COLUMNS($N$2:Q492))</f>
        <v>Korea Republic</v>
      </c>
      <c r="T492" s="1" t="str">
        <f>INDEX(Table2[[HomeTeam]:[Group_details]],ROWS($N$2:R492),COLUMNS($N$2:R492))</f>
        <v xml:space="preserve"> </v>
      </c>
      <c r="U492" s="1" t="str">
        <f>INDEX(Table2[[HomeTeam]:[Group_details]],ROWS($N$2:S492),COLUMNS($N$2:S492))</f>
        <v>Group stages</v>
      </c>
      <c r="V492" s="1" t="b">
        <f t="shared" si="7"/>
        <v>0</v>
      </c>
      <c r="W492" s="1" t="str">
        <f>IF(V492=TRUE,ROWS($V$2:V492),"")</f>
        <v/>
      </c>
      <c r="X492" s="1" t="str">
        <f>IFERROR(SMALL($W$2:$W$853,ROWS($W$2:W492)),"")</f>
        <v/>
      </c>
      <c r="Y492" s="1" t="str">
        <f>IF($X492&lt;&gt;"",INDEX($P$2:$U$853,MATCH($X492,$W$2:$W$853,0),COLUMNS($X$2:X492)),"")</f>
        <v/>
      </c>
      <c r="Z492" s="1" t="str">
        <f>IF($X492&lt;&gt;"",INDEX($P$2:$U$853,MATCH($X492,$W$2:$W$853,0),COLUMNS($X$2:Y492)),"")</f>
        <v/>
      </c>
      <c r="AA492" s="1" t="str">
        <f>IF($X492&lt;&gt;"",INDEX($P$2:$U$853,MATCH($X492,$W$2:$W$853,0),COLUMNS($X$2:Z492)),"")</f>
        <v/>
      </c>
      <c r="AB492" s="1" t="str">
        <f>IF($X492&lt;&gt;"",INDEX($P$2:$U$853,MATCH($X492,$W$2:$W$853,0),COLUMNS($X$2:AA492)),"")</f>
        <v/>
      </c>
      <c r="AC492" s="1" t="str">
        <f>IF($X492&lt;&gt;"",INDEX($P$2:$U$853,MATCH($X492,$W$2:$W$853,0),COLUMNS($X$2:AB492)),"")</f>
        <v/>
      </c>
      <c r="AD492" s="1" t="str">
        <f>IF($X492&lt;&gt;"",INDEX($P$2:$U$853,MATCH($X492,$W$2:$W$853,0),COLUMNS($X$2:AC492)),"")</f>
        <v/>
      </c>
    </row>
    <row r="493" spans="1:30" x14ac:dyDescent="0.2">
      <c r="A493" s="1">
        <v>1994</v>
      </c>
      <c r="B493" s="2">
        <v>34512</v>
      </c>
      <c r="C493" s="1" t="s">
        <v>503</v>
      </c>
      <c r="D493" s="1" t="s">
        <v>268</v>
      </c>
      <c r="E493" s="1" t="s">
        <v>321</v>
      </c>
      <c r="F493" s="1" t="s">
        <v>322</v>
      </c>
      <c r="G493" s="6" t="str">
        <f>VLOOKUP(A493,WorldCups!$A$2:$B$23,2,FALSE)</f>
        <v>USA</v>
      </c>
      <c r="H493" s="1" t="s">
        <v>27</v>
      </c>
      <c r="I493" s="1">
        <v>1</v>
      </c>
      <c r="J493" s="1">
        <v>3</v>
      </c>
      <c r="K493" s="1" t="s">
        <v>54</v>
      </c>
      <c r="L493" s="1" t="s">
        <v>14</v>
      </c>
      <c r="M493" s="1" t="str">
        <f>IF(ISNUMBER(SEARCH("Group",Table2[[#This Row],[Round]])),"Group stages",Table2[[#This Row],[Round]])</f>
        <v>Group stages</v>
      </c>
      <c r="O493" s="1">
        <f>Table2[[#This Row],[Year]]</f>
        <v>1994</v>
      </c>
      <c r="P493" s="1" t="str">
        <f>INDEX(Table2[[HomeTeam]:[Group_details]],ROWS($N$2:N493),COLUMNS($N$2:N493))</f>
        <v>Bolivia</v>
      </c>
      <c r="Q493" s="1">
        <f>INDEX(Table2[[HomeTeam]:[Group_details]],ROWS($N$2:O493),COLUMNS($N$2:O493))</f>
        <v>1</v>
      </c>
      <c r="R493" s="1">
        <f>INDEX(Table2[[HomeTeam]:[Group_details]],ROWS($N$2:P493),COLUMNS($N$2:P493))</f>
        <v>3</v>
      </c>
      <c r="S493" s="1" t="str">
        <f>INDEX(Table2[[HomeTeam]:[Group_details]],ROWS($N$2:Q493),COLUMNS($N$2:Q493))</f>
        <v>Spain</v>
      </c>
      <c r="T493" s="1" t="str">
        <f>INDEX(Table2[[HomeTeam]:[Group_details]],ROWS($N$2:R493),COLUMNS($N$2:R493))</f>
        <v xml:space="preserve"> </v>
      </c>
      <c r="U493" s="1" t="str">
        <f>INDEX(Table2[[HomeTeam]:[Group_details]],ROWS($N$2:S493),COLUMNS($N$2:S493))</f>
        <v>Group stages</v>
      </c>
      <c r="V493" s="1" t="b">
        <f t="shared" si="7"/>
        <v>0</v>
      </c>
      <c r="W493" s="1" t="str">
        <f>IF(V493=TRUE,ROWS($V$2:V493),"")</f>
        <v/>
      </c>
      <c r="X493" s="1" t="str">
        <f>IFERROR(SMALL($W$2:$W$853,ROWS($W$2:W493)),"")</f>
        <v/>
      </c>
      <c r="Y493" s="1" t="str">
        <f>IF($X493&lt;&gt;"",INDEX($P$2:$U$853,MATCH($X493,$W$2:$W$853,0),COLUMNS($X$2:X493)),"")</f>
        <v/>
      </c>
      <c r="Z493" s="1" t="str">
        <f>IF($X493&lt;&gt;"",INDEX($P$2:$U$853,MATCH($X493,$W$2:$W$853,0),COLUMNS($X$2:Y493)),"")</f>
        <v/>
      </c>
      <c r="AA493" s="1" t="str">
        <f>IF($X493&lt;&gt;"",INDEX($P$2:$U$853,MATCH($X493,$W$2:$W$853,0),COLUMNS($X$2:Z493)),"")</f>
        <v/>
      </c>
      <c r="AB493" s="1" t="str">
        <f>IF($X493&lt;&gt;"",INDEX($P$2:$U$853,MATCH($X493,$W$2:$W$853,0),COLUMNS($X$2:AA493)),"")</f>
        <v/>
      </c>
      <c r="AC493" s="1" t="str">
        <f>IF($X493&lt;&gt;"",INDEX($P$2:$U$853,MATCH($X493,$W$2:$W$853,0),COLUMNS($X$2:AB493)),"")</f>
        <v/>
      </c>
      <c r="AD493" s="1" t="str">
        <f>IF($X493&lt;&gt;"",INDEX($P$2:$U$853,MATCH($X493,$W$2:$W$853,0),COLUMNS($X$2:AC493)),"")</f>
        <v/>
      </c>
    </row>
    <row r="494" spans="1:30" x14ac:dyDescent="0.2">
      <c r="A494" s="1">
        <v>1994</v>
      </c>
      <c r="B494" s="2">
        <v>34513</v>
      </c>
      <c r="C494" s="1" t="s">
        <v>533</v>
      </c>
      <c r="D494" s="1" t="s">
        <v>281</v>
      </c>
      <c r="E494" s="1" t="s">
        <v>325</v>
      </c>
      <c r="F494" s="1" t="s">
        <v>326</v>
      </c>
      <c r="G494" s="6" t="str">
        <f>VLOOKUP(A494,WorldCups!$A$2:$B$23,2,FALSE)</f>
        <v>USA</v>
      </c>
      <c r="H494" s="1" t="s">
        <v>304</v>
      </c>
      <c r="I494" s="1">
        <v>0</v>
      </c>
      <c r="J494" s="1">
        <v>0</v>
      </c>
      <c r="K494" s="1" t="s">
        <v>77</v>
      </c>
      <c r="L494" s="1" t="s">
        <v>14</v>
      </c>
      <c r="M494" s="1" t="str">
        <f>IF(ISNUMBER(SEARCH("Group",Table2[[#This Row],[Round]])),"Group stages",Table2[[#This Row],[Round]])</f>
        <v>Group stages</v>
      </c>
      <c r="O494" s="1">
        <f>Table2[[#This Row],[Year]]</f>
        <v>1994</v>
      </c>
      <c r="P494" s="1" t="str">
        <f>INDEX(Table2[[HomeTeam]:[Group_details]],ROWS($N$2:N494),COLUMNS($N$2:N494))</f>
        <v>Republic of Ireland</v>
      </c>
      <c r="Q494" s="1">
        <f>INDEX(Table2[[HomeTeam]:[Group_details]],ROWS($N$2:O494),COLUMNS($N$2:O494))</f>
        <v>0</v>
      </c>
      <c r="R494" s="1">
        <f>INDEX(Table2[[HomeTeam]:[Group_details]],ROWS($N$2:P494),COLUMNS($N$2:P494))</f>
        <v>0</v>
      </c>
      <c r="S494" s="1" t="str">
        <f>INDEX(Table2[[HomeTeam]:[Group_details]],ROWS($N$2:Q494),COLUMNS($N$2:Q494))</f>
        <v>Norway</v>
      </c>
      <c r="T494" s="1" t="str">
        <f>INDEX(Table2[[HomeTeam]:[Group_details]],ROWS($N$2:R494),COLUMNS($N$2:R494))</f>
        <v xml:space="preserve"> </v>
      </c>
      <c r="U494" s="1" t="str">
        <f>INDEX(Table2[[HomeTeam]:[Group_details]],ROWS($N$2:S494),COLUMNS($N$2:S494))</f>
        <v>Group stages</v>
      </c>
      <c r="V494" s="1" t="b">
        <f t="shared" si="7"/>
        <v>0</v>
      </c>
      <c r="W494" s="1" t="str">
        <f>IF(V494=TRUE,ROWS($V$2:V494),"")</f>
        <v/>
      </c>
      <c r="X494" s="1" t="str">
        <f>IFERROR(SMALL($W$2:$W$853,ROWS($W$2:W494)),"")</f>
        <v/>
      </c>
      <c r="Y494" s="1" t="str">
        <f>IF($X494&lt;&gt;"",INDEX($P$2:$U$853,MATCH($X494,$W$2:$W$853,0),COLUMNS($X$2:X494)),"")</f>
        <v/>
      </c>
      <c r="Z494" s="1" t="str">
        <f>IF($X494&lt;&gt;"",INDEX($P$2:$U$853,MATCH($X494,$W$2:$W$853,0),COLUMNS($X$2:Y494)),"")</f>
        <v/>
      </c>
      <c r="AA494" s="1" t="str">
        <f>IF($X494&lt;&gt;"",INDEX($P$2:$U$853,MATCH($X494,$W$2:$W$853,0),COLUMNS($X$2:Z494)),"")</f>
        <v/>
      </c>
      <c r="AB494" s="1" t="str">
        <f>IF($X494&lt;&gt;"",INDEX($P$2:$U$853,MATCH($X494,$W$2:$W$853,0),COLUMNS($X$2:AA494)),"")</f>
        <v/>
      </c>
      <c r="AC494" s="1" t="str">
        <f>IF($X494&lt;&gt;"",INDEX($P$2:$U$853,MATCH($X494,$W$2:$W$853,0),COLUMNS($X$2:AB494)),"")</f>
        <v/>
      </c>
      <c r="AD494" s="1" t="str">
        <f>IF($X494&lt;&gt;"",INDEX($P$2:$U$853,MATCH($X494,$W$2:$W$853,0),COLUMNS($X$2:AC494)),"")</f>
        <v/>
      </c>
    </row>
    <row r="495" spans="1:30" x14ac:dyDescent="0.2">
      <c r="A495" s="1">
        <v>1994</v>
      </c>
      <c r="B495" s="2">
        <v>34513</v>
      </c>
      <c r="C495" s="1" t="s">
        <v>503</v>
      </c>
      <c r="D495" s="1" t="s">
        <v>213</v>
      </c>
      <c r="E495" s="1" t="s">
        <v>323</v>
      </c>
      <c r="F495" s="1" t="s">
        <v>324</v>
      </c>
      <c r="G495" s="6" t="str">
        <f>VLOOKUP(A495,WorldCups!$A$2:$B$23,2,FALSE)</f>
        <v>USA</v>
      </c>
      <c r="H495" s="1" t="s">
        <v>21</v>
      </c>
      <c r="I495" s="1">
        <v>1</v>
      </c>
      <c r="J495" s="1">
        <v>1</v>
      </c>
      <c r="K495" s="1" t="s">
        <v>48</v>
      </c>
      <c r="L495" s="1" t="s">
        <v>14</v>
      </c>
      <c r="M495" s="1" t="str">
        <f>IF(ISNUMBER(SEARCH("Group",Table2[[#This Row],[Round]])),"Group stages",Table2[[#This Row],[Round]])</f>
        <v>Group stages</v>
      </c>
      <c r="O495" s="1">
        <f>Table2[[#This Row],[Year]]</f>
        <v>1994</v>
      </c>
      <c r="P495" s="1" t="str">
        <f>INDEX(Table2[[HomeTeam]:[Group_details]],ROWS($N$2:N495),COLUMNS($N$2:N495))</f>
        <v>Brazil</v>
      </c>
      <c r="Q495" s="1">
        <f>INDEX(Table2[[HomeTeam]:[Group_details]],ROWS($N$2:O495),COLUMNS($N$2:O495))</f>
        <v>1</v>
      </c>
      <c r="R495" s="1">
        <f>INDEX(Table2[[HomeTeam]:[Group_details]],ROWS($N$2:P495),COLUMNS($N$2:P495))</f>
        <v>1</v>
      </c>
      <c r="S495" s="1" t="str">
        <f>INDEX(Table2[[HomeTeam]:[Group_details]],ROWS($N$2:Q495),COLUMNS($N$2:Q495))</f>
        <v>Sweden</v>
      </c>
      <c r="T495" s="1" t="str">
        <f>INDEX(Table2[[HomeTeam]:[Group_details]],ROWS($N$2:R495),COLUMNS($N$2:R495))</f>
        <v xml:space="preserve"> </v>
      </c>
      <c r="U495" s="1" t="str">
        <f>INDEX(Table2[[HomeTeam]:[Group_details]],ROWS($N$2:S495),COLUMNS($N$2:S495))</f>
        <v>Group stages</v>
      </c>
      <c r="V495" s="1" t="b">
        <f t="shared" si="7"/>
        <v>0</v>
      </c>
      <c r="W495" s="1" t="str">
        <f>IF(V495=TRUE,ROWS($V$2:V495),"")</f>
        <v/>
      </c>
      <c r="X495" s="1" t="str">
        <f>IFERROR(SMALL($W$2:$W$853,ROWS($W$2:W495)),"")</f>
        <v/>
      </c>
      <c r="Y495" s="1" t="str">
        <f>IF($X495&lt;&gt;"",INDEX($P$2:$U$853,MATCH($X495,$W$2:$W$853,0),COLUMNS($X$2:X495)),"")</f>
        <v/>
      </c>
      <c r="Z495" s="1" t="str">
        <f>IF($X495&lt;&gt;"",INDEX($P$2:$U$853,MATCH($X495,$W$2:$W$853,0),COLUMNS($X$2:Y495)),"")</f>
        <v/>
      </c>
      <c r="AA495" s="1" t="str">
        <f>IF($X495&lt;&gt;"",INDEX($P$2:$U$853,MATCH($X495,$W$2:$W$853,0),COLUMNS($X$2:Z495)),"")</f>
        <v/>
      </c>
      <c r="AB495" s="1" t="str">
        <f>IF($X495&lt;&gt;"",INDEX($P$2:$U$853,MATCH($X495,$W$2:$W$853,0),COLUMNS($X$2:AA495)),"")</f>
        <v/>
      </c>
      <c r="AC495" s="1" t="str">
        <f>IF($X495&lt;&gt;"",INDEX($P$2:$U$853,MATCH($X495,$W$2:$W$853,0),COLUMNS($X$2:AB495)),"")</f>
        <v/>
      </c>
      <c r="AD495" s="1" t="str">
        <f>IF($X495&lt;&gt;"",INDEX($P$2:$U$853,MATCH($X495,$W$2:$W$853,0),COLUMNS($X$2:AC495)),"")</f>
        <v/>
      </c>
    </row>
    <row r="496" spans="1:30" x14ac:dyDescent="0.2">
      <c r="A496" s="1">
        <v>1994</v>
      </c>
      <c r="B496" s="2">
        <v>34513</v>
      </c>
      <c r="C496" s="1" t="s">
        <v>533</v>
      </c>
      <c r="D496" s="1" t="s">
        <v>281</v>
      </c>
      <c r="E496" s="1" t="s">
        <v>331</v>
      </c>
      <c r="F496" s="1" t="s">
        <v>332</v>
      </c>
      <c r="G496" s="6" t="str">
        <f>VLOOKUP(A496,WorldCups!$A$2:$B$23,2,FALSE)</f>
        <v>USA</v>
      </c>
      <c r="H496" s="1" t="s">
        <v>57</v>
      </c>
      <c r="I496" s="1">
        <v>1</v>
      </c>
      <c r="J496" s="1">
        <v>1</v>
      </c>
      <c r="K496" s="1" t="s">
        <v>13</v>
      </c>
      <c r="L496" s="1" t="s">
        <v>14</v>
      </c>
      <c r="M496" s="1" t="str">
        <f>IF(ISNUMBER(SEARCH("Group",Table2[[#This Row],[Round]])),"Group stages",Table2[[#This Row],[Round]])</f>
        <v>Group stages</v>
      </c>
      <c r="O496" s="1">
        <f>Table2[[#This Row],[Year]]</f>
        <v>1994</v>
      </c>
      <c r="P496" s="1" t="str">
        <f>INDEX(Table2[[HomeTeam]:[Group_details]],ROWS($N$2:N496),COLUMNS($N$2:N496))</f>
        <v>Italy</v>
      </c>
      <c r="Q496" s="1">
        <f>INDEX(Table2[[HomeTeam]:[Group_details]],ROWS($N$2:O496),COLUMNS($N$2:O496))</f>
        <v>1</v>
      </c>
      <c r="R496" s="1">
        <f>INDEX(Table2[[HomeTeam]:[Group_details]],ROWS($N$2:P496),COLUMNS($N$2:P496))</f>
        <v>1</v>
      </c>
      <c r="S496" s="1" t="str">
        <f>INDEX(Table2[[HomeTeam]:[Group_details]],ROWS($N$2:Q496),COLUMNS($N$2:Q496))</f>
        <v>Mexico</v>
      </c>
      <c r="T496" s="1" t="str">
        <f>INDEX(Table2[[HomeTeam]:[Group_details]],ROWS($N$2:R496),COLUMNS($N$2:R496))</f>
        <v xml:space="preserve"> </v>
      </c>
      <c r="U496" s="1" t="str">
        <f>INDEX(Table2[[HomeTeam]:[Group_details]],ROWS($N$2:S496),COLUMNS($N$2:S496))</f>
        <v>Group stages</v>
      </c>
      <c r="V496" s="1" t="b">
        <f t="shared" si="7"/>
        <v>0</v>
      </c>
      <c r="W496" s="1" t="str">
        <f>IF(V496=TRUE,ROWS($V$2:V496),"")</f>
        <v/>
      </c>
      <c r="X496" s="1" t="str">
        <f>IFERROR(SMALL($W$2:$W$853,ROWS($W$2:W496)),"")</f>
        <v/>
      </c>
      <c r="Y496" s="1" t="str">
        <f>IF($X496&lt;&gt;"",INDEX($P$2:$U$853,MATCH($X496,$W$2:$W$853,0),COLUMNS($X$2:X496)),"")</f>
        <v/>
      </c>
      <c r="Z496" s="1" t="str">
        <f>IF($X496&lt;&gt;"",INDEX($P$2:$U$853,MATCH($X496,$W$2:$W$853,0),COLUMNS($X$2:Y496)),"")</f>
        <v/>
      </c>
      <c r="AA496" s="1" t="str">
        <f>IF($X496&lt;&gt;"",INDEX($P$2:$U$853,MATCH($X496,$W$2:$W$853,0),COLUMNS($X$2:Z496)),"")</f>
        <v/>
      </c>
      <c r="AB496" s="1" t="str">
        <f>IF($X496&lt;&gt;"",INDEX($P$2:$U$853,MATCH($X496,$W$2:$W$853,0),COLUMNS($X$2:AA496)),"")</f>
        <v/>
      </c>
      <c r="AC496" s="1" t="str">
        <f>IF($X496&lt;&gt;"",INDEX($P$2:$U$853,MATCH($X496,$W$2:$W$853,0),COLUMNS($X$2:AB496)),"")</f>
        <v/>
      </c>
      <c r="AD496" s="1" t="str">
        <f>IF($X496&lt;&gt;"",INDEX($P$2:$U$853,MATCH($X496,$W$2:$W$853,0),COLUMNS($X$2:AC496)),"")</f>
        <v/>
      </c>
    </row>
    <row r="497" spans="1:30" x14ac:dyDescent="0.2">
      <c r="A497" s="1">
        <v>1994</v>
      </c>
      <c r="B497" s="2">
        <v>34513</v>
      </c>
      <c r="C497" s="1" t="s">
        <v>503</v>
      </c>
      <c r="D497" s="1" t="s">
        <v>213</v>
      </c>
      <c r="E497" s="1" t="s">
        <v>334</v>
      </c>
      <c r="F497" s="1" t="s">
        <v>335</v>
      </c>
      <c r="G497" s="6" t="str">
        <f>VLOOKUP(A497,WorldCups!$A$2:$B$23,2,FALSE)</f>
        <v>USA</v>
      </c>
      <c r="H497" s="1" t="s">
        <v>336</v>
      </c>
      <c r="I497" s="1">
        <v>6</v>
      </c>
      <c r="J497" s="1">
        <v>1</v>
      </c>
      <c r="K497" s="1" t="s">
        <v>238</v>
      </c>
      <c r="L497" s="1" t="s">
        <v>14</v>
      </c>
      <c r="M497" s="1" t="str">
        <f>IF(ISNUMBER(SEARCH("Group",Table2[[#This Row],[Round]])),"Group stages",Table2[[#This Row],[Round]])</f>
        <v>Group stages</v>
      </c>
      <c r="O497" s="1">
        <f>Table2[[#This Row],[Year]]</f>
        <v>1994</v>
      </c>
      <c r="P497" s="1" t="str">
        <f>INDEX(Table2[[HomeTeam]:[Group_details]],ROWS($N$2:N497),COLUMNS($N$2:N497))</f>
        <v>Russia</v>
      </c>
      <c r="Q497" s="1">
        <f>INDEX(Table2[[HomeTeam]:[Group_details]],ROWS($N$2:O497),COLUMNS($N$2:O497))</f>
        <v>6</v>
      </c>
      <c r="R497" s="1">
        <f>INDEX(Table2[[HomeTeam]:[Group_details]],ROWS($N$2:P497),COLUMNS($N$2:P497))</f>
        <v>1</v>
      </c>
      <c r="S497" s="1" t="str">
        <f>INDEX(Table2[[HomeTeam]:[Group_details]],ROWS($N$2:Q497),COLUMNS($N$2:Q497))</f>
        <v>Cameroon</v>
      </c>
      <c r="T497" s="1" t="str">
        <f>INDEX(Table2[[HomeTeam]:[Group_details]],ROWS($N$2:R497),COLUMNS($N$2:R497))</f>
        <v xml:space="preserve"> </v>
      </c>
      <c r="U497" s="1" t="str">
        <f>INDEX(Table2[[HomeTeam]:[Group_details]],ROWS($N$2:S497),COLUMNS($N$2:S497))</f>
        <v>Group stages</v>
      </c>
      <c r="V497" s="1" t="b">
        <f t="shared" si="7"/>
        <v>0</v>
      </c>
      <c r="W497" s="1" t="str">
        <f>IF(V497=TRUE,ROWS($V$2:V497),"")</f>
        <v/>
      </c>
      <c r="X497" s="1" t="str">
        <f>IFERROR(SMALL($W$2:$W$853,ROWS($W$2:W497)),"")</f>
        <v/>
      </c>
      <c r="Y497" s="1" t="str">
        <f>IF($X497&lt;&gt;"",INDEX($P$2:$U$853,MATCH($X497,$W$2:$W$853,0),COLUMNS($X$2:X497)),"")</f>
        <v/>
      </c>
      <c r="Z497" s="1" t="str">
        <f>IF($X497&lt;&gt;"",INDEX($P$2:$U$853,MATCH($X497,$W$2:$W$853,0),COLUMNS($X$2:Y497)),"")</f>
        <v/>
      </c>
      <c r="AA497" s="1" t="str">
        <f>IF($X497&lt;&gt;"",INDEX($P$2:$U$853,MATCH($X497,$W$2:$W$853,0),COLUMNS($X$2:Z497)),"")</f>
        <v/>
      </c>
      <c r="AB497" s="1" t="str">
        <f>IF($X497&lt;&gt;"",INDEX($P$2:$U$853,MATCH($X497,$W$2:$W$853,0),COLUMNS($X$2:AA497)),"")</f>
        <v/>
      </c>
      <c r="AC497" s="1" t="str">
        <f>IF($X497&lt;&gt;"",INDEX($P$2:$U$853,MATCH($X497,$W$2:$W$853,0),COLUMNS($X$2:AB497)),"")</f>
        <v/>
      </c>
      <c r="AD497" s="1" t="str">
        <f>IF($X497&lt;&gt;"",INDEX($P$2:$U$853,MATCH($X497,$W$2:$W$853,0),COLUMNS($X$2:AC497)),"")</f>
        <v/>
      </c>
    </row>
    <row r="498" spans="1:30" x14ac:dyDescent="0.2">
      <c r="A498" s="1">
        <v>1994</v>
      </c>
      <c r="B498" s="2">
        <v>34514</v>
      </c>
      <c r="C498" s="1" t="s">
        <v>533</v>
      </c>
      <c r="D498" s="1" t="s">
        <v>274</v>
      </c>
      <c r="E498" s="1" t="s">
        <v>329</v>
      </c>
      <c r="F498" s="1" t="s">
        <v>330</v>
      </c>
      <c r="G498" s="6" t="str">
        <f>VLOOKUP(A498,WorldCups!$A$2:$B$23,2,FALSE)</f>
        <v>USA</v>
      </c>
      <c r="H498" s="1" t="s">
        <v>188</v>
      </c>
      <c r="I498" s="1">
        <v>1</v>
      </c>
      <c r="J498" s="1">
        <v>2</v>
      </c>
      <c r="K498" s="1" t="s">
        <v>45</v>
      </c>
      <c r="L498" s="1" t="s">
        <v>14</v>
      </c>
      <c r="M498" s="1" t="str">
        <f>IF(ISNUMBER(SEARCH("Group",Table2[[#This Row],[Round]])),"Group stages",Table2[[#This Row],[Round]])</f>
        <v>Group stages</v>
      </c>
      <c r="O498" s="1">
        <f>Table2[[#This Row],[Year]]</f>
        <v>1994</v>
      </c>
      <c r="P498" s="1" t="str">
        <f>INDEX(Table2[[HomeTeam]:[Group_details]],ROWS($N$2:N498),COLUMNS($N$2:N498))</f>
        <v>Morocco</v>
      </c>
      <c r="Q498" s="1">
        <f>INDEX(Table2[[HomeTeam]:[Group_details]],ROWS($N$2:O498),COLUMNS($N$2:O498))</f>
        <v>1</v>
      </c>
      <c r="R498" s="1">
        <f>INDEX(Table2[[HomeTeam]:[Group_details]],ROWS($N$2:P498),COLUMNS($N$2:P498))</f>
        <v>2</v>
      </c>
      <c r="S498" s="1" t="str">
        <f>INDEX(Table2[[HomeTeam]:[Group_details]],ROWS($N$2:Q498),COLUMNS($N$2:Q498))</f>
        <v>Netherlands</v>
      </c>
      <c r="T498" s="1" t="str">
        <f>INDEX(Table2[[HomeTeam]:[Group_details]],ROWS($N$2:R498),COLUMNS($N$2:R498))</f>
        <v xml:space="preserve"> </v>
      </c>
      <c r="U498" s="1" t="str">
        <f>INDEX(Table2[[HomeTeam]:[Group_details]],ROWS($N$2:S498),COLUMNS($N$2:S498))</f>
        <v>Group stages</v>
      </c>
      <c r="V498" s="1" t="b">
        <f t="shared" si="7"/>
        <v>0</v>
      </c>
      <c r="W498" s="1" t="str">
        <f>IF(V498=TRUE,ROWS($V$2:V498),"")</f>
        <v/>
      </c>
      <c r="X498" s="1" t="str">
        <f>IFERROR(SMALL($W$2:$W$853,ROWS($W$2:W498)),"")</f>
        <v/>
      </c>
      <c r="Y498" s="1" t="str">
        <f>IF($X498&lt;&gt;"",INDEX($P$2:$U$853,MATCH($X498,$W$2:$W$853,0),COLUMNS($X$2:X498)),"")</f>
        <v/>
      </c>
      <c r="Z498" s="1" t="str">
        <f>IF($X498&lt;&gt;"",INDEX($P$2:$U$853,MATCH($X498,$W$2:$W$853,0),COLUMNS($X$2:Y498)),"")</f>
        <v/>
      </c>
      <c r="AA498" s="1" t="str">
        <f>IF($X498&lt;&gt;"",INDEX($P$2:$U$853,MATCH($X498,$W$2:$W$853,0),COLUMNS($X$2:Z498)),"")</f>
        <v/>
      </c>
      <c r="AB498" s="1" t="str">
        <f>IF($X498&lt;&gt;"",INDEX($P$2:$U$853,MATCH($X498,$W$2:$W$853,0),COLUMNS($X$2:AA498)),"")</f>
        <v/>
      </c>
      <c r="AC498" s="1" t="str">
        <f>IF($X498&lt;&gt;"",INDEX($P$2:$U$853,MATCH($X498,$W$2:$W$853,0),COLUMNS($X$2:AB498)),"")</f>
        <v/>
      </c>
      <c r="AD498" s="1" t="str">
        <f>IF($X498&lt;&gt;"",INDEX($P$2:$U$853,MATCH($X498,$W$2:$W$853,0),COLUMNS($X$2:AC498)),"")</f>
        <v/>
      </c>
    </row>
    <row r="499" spans="1:30" x14ac:dyDescent="0.2">
      <c r="A499" s="1">
        <v>1994</v>
      </c>
      <c r="B499" s="2">
        <v>34514</v>
      </c>
      <c r="C499" s="1" t="s">
        <v>533</v>
      </c>
      <c r="D499" s="1" t="s">
        <v>274</v>
      </c>
      <c r="E499" s="1" t="s">
        <v>331</v>
      </c>
      <c r="F499" s="1" t="s">
        <v>332</v>
      </c>
      <c r="G499" s="6" t="str">
        <f>VLOOKUP(A499,WorldCups!$A$2:$B$23,2,FALSE)</f>
        <v>USA</v>
      </c>
      <c r="H499" s="1" t="s">
        <v>18</v>
      </c>
      <c r="I499" s="1">
        <v>0</v>
      </c>
      <c r="J499" s="1">
        <v>1</v>
      </c>
      <c r="K499" s="1" t="s">
        <v>333</v>
      </c>
      <c r="L499" s="1" t="s">
        <v>14</v>
      </c>
      <c r="M499" s="1" t="str">
        <f>IF(ISNUMBER(SEARCH("Group",Table2[[#This Row],[Round]])),"Group stages",Table2[[#This Row],[Round]])</f>
        <v>Group stages</v>
      </c>
      <c r="O499" s="1">
        <f>Table2[[#This Row],[Year]]</f>
        <v>1994</v>
      </c>
      <c r="P499" s="1" t="str">
        <f>INDEX(Table2[[HomeTeam]:[Group_details]],ROWS($N$2:N499),COLUMNS($N$2:N499))</f>
        <v>Belgium</v>
      </c>
      <c r="Q499" s="1">
        <f>INDEX(Table2[[HomeTeam]:[Group_details]],ROWS($N$2:O499),COLUMNS($N$2:O499))</f>
        <v>0</v>
      </c>
      <c r="R499" s="1">
        <f>INDEX(Table2[[HomeTeam]:[Group_details]],ROWS($N$2:P499),COLUMNS($N$2:P499))</f>
        <v>1</v>
      </c>
      <c r="S499" s="1" t="str">
        <f>INDEX(Table2[[HomeTeam]:[Group_details]],ROWS($N$2:Q499),COLUMNS($N$2:Q499))</f>
        <v>Saudi Arabia</v>
      </c>
      <c r="T499" s="1" t="str">
        <f>INDEX(Table2[[HomeTeam]:[Group_details]],ROWS($N$2:R499),COLUMNS($N$2:R499))</f>
        <v xml:space="preserve"> </v>
      </c>
      <c r="U499" s="1" t="str">
        <f>INDEX(Table2[[HomeTeam]:[Group_details]],ROWS($N$2:S499),COLUMNS($N$2:S499))</f>
        <v>Group stages</v>
      </c>
      <c r="V499" s="1" t="b">
        <f t="shared" si="7"/>
        <v>0</v>
      </c>
      <c r="W499" s="1" t="str">
        <f>IF(V499=TRUE,ROWS($V$2:V499),"")</f>
        <v/>
      </c>
      <c r="X499" s="1" t="str">
        <f>IFERROR(SMALL($W$2:$W$853,ROWS($W$2:W499)),"")</f>
        <v/>
      </c>
      <c r="Y499" s="1" t="str">
        <f>IF($X499&lt;&gt;"",INDEX($P$2:$U$853,MATCH($X499,$W$2:$W$853,0),COLUMNS($X$2:X499)),"")</f>
        <v/>
      </c>
      <c r="Z499" s="1" t="str">
        <f>IF($X499&lt;&gt;"",INDEX($P$2:$U$853,MATCH($X499,$W$2:$W$853,0),COLUMNS($X$2:Y499)),"")</f>
        <v/>
      </c>
      <c r="AA499" s="1" t="str">
        <f>IF($X499&lt;&gt;"",INDEX($P$2:$U$853,MATCH($X499,$W$2:$W$853,0),COLUMNS($X$2:Z499)),"")</f>
        <v/>
      </c>
      <c r="AB499" s="1" t="str">
        <f>IF($X499&lt;&gt;"",INDEX($P$2:$U$853,MATCH($X499,$W$2:$W$853,0),COLUMNS($X$2:AA499)),"")</f>
        <v/>
      </c>
      <c r="AC499" s="1" t="str">
        <f>IF($X499&lt;&gt;"",INDEX($P$2:$U$853,MATCH($X499,$W$2:$W$853,0),COLUMNS($X$2:AB499)),"")</f>
        <v/>
      </c>
      <c r="AD499" s="1" t="str">
        <f>IF($X499&lt;&gt;"",INDEX($P$2:$U$853,MATCH($X499,$W$2:$W$853,0),COLUMNS($X$2:AC499)),"")</f>
        <v/>
      </c>
    </row>
    <row r="500" spans="1:30" x14ac:dyDescent="0.2">
      <c r="A500" s="1">
        <v>1994</v>
      </c>
      <c r="B500" s="2">
        <v>34515</v>
      </c>
      <c r="C500" s="1" t="s">
        <v>522</v>
      </c>
      <c r="D500" s="1" t="s">
        <v>270</v>
      </c>
      <c r="E500" s="1" t="s">
        <v>337</v>
      </c>
      <c r="F500" s="1" t="s">
        <v>338</v>
      </c>
      <c r="G500" s="6" t="str">
        <f>VLOOKUP(A500,WorldCups!$A$2:$B$23,2,FALSE)</f>
        <v>USA</v>
      </c>
      <c r="H500" s="1" t="s">
        <v>339</v>
      </c>
      <c r="I500" s="1">
        <v>0</v>
      </c>
      <c r="J500" s="1">
        <v>2</v>
      </c>
      <c r="K500" s="1" t="s">
        <v>340</v>
      </c>
      <c r="L500" s="1" t="s">
        <v>14</v>
      </c>
      <c r="M500" s="1" t="str">
        <f>IF(ISNUMBER(SEARCH("Group",Table2[[#This Row],[Round]])),"Group stages",Table2[[#This Row],[Round]])</f>
        <v>Group stages</v>
      </c>
      <c r="O500" s="1">
        <f>Table2[[#This Row],[Year]]</f>
        <v>1994</v>
      </c>
      <c r="P500" s="1" t="str">
        <f>INDEX(Table2[[HomeTeam]:[Group_details]],ROWS($N$2:N500),COLUMNS($N$2:N500))</f>
        <v>Greece</v>
      </c>
      <c r="Q500" s="1">
        <f>INDEX(Table2[[HomeTeam]:[Group_details]],ROWS($N$2:O500),COLUMNS($N$2:O500))</f>
        <v>0</v>
      </c>
      <c r="R500" s="1">
        <f>INDEX(Table2[[HomeTeam]:[Group_details]],ROWS($N$2:P500),COLUMNS($N$2:P500))</f>
        <v>2</v>
      </c>
      <c r="S500" s="1" t="str">
        <f>INDEX(Table2[[HomeTeam]:[Group_details]],ROWS($N$2:Q500),COLUMNS($N$2:Q500))</f>
        <v>Nigeria</v>
      </c>
      <c r="T500" s="1" t="str">
        <f>INDEX(Table2[[HomeTeam]:[Group_details]],ROWS($N$2:R500),COLUMNS($N$2:R500))</f>
        <v xml:space="preserve"> </v>
      </c>
      <c r="U500" s="1" t="str">
        <f>INDEX(Table2[[HomeTeam]:[Group_details]],ROWS($N$2:S500),COLUMNS($N$2:S500))</f>
        <v>Group stages</v>
      </c>
      <c r="V500" s="1" t="b">
        <f t="shared" si="7"/>
        <v>0</v>
      </c>
      <c r="W500" s="1" t="str">
        <f>IF(V500=TRUE,ROWS($V$2:V500),"")</f>
        <v/>
      </c>
      <c r="X500" s="1" t="str">
        <f>IFERROR(SMALL($W$2:$W$853,ROWS($W$2:W500)),"")</f>
        <v/>
      </c>
      <c r="Y500" s="1" t="str">
        <f>IF($X500&lt;&gt;"",INDEX($P$2:$U$853,MATCH($X500,$W$2:$W$853,0),COLUMNS($X$2:X500)),"")</f>
        <v/>
      </c>
      <c r="Z500" s="1" t="str">
        <f>IF($X500&lt;&gt;"",INDEX($P$2:$U$853,MATCH($X500,$W$2:$W$853,0),COLUMNS($X$2:Y500)),"")</f>
        <v/>
      </c>
      <c r="AA500" s="1" t="str">
        <f>IF($X500&lt;&gt;"",INDEX($P$2:$U$853,MATCH($X500,$W$2:$W$853,0),COLUMNS($X$2:Z500)),"")</f>
        <v/>
      </c>
      <c r="AB500" s="1" t="str">
        <f>IF($X500&lt;&gt;"",INDEX($P$2:$U$853,MATCH($X500,$W$2:$W$853,0),COLUMNS($X$2:AA500)),"")</f>
        <v/>
      </c>
      <c r="AC500" s="1" t="str">
        <f>IF($X500&lt;&gt;"",INDEX($P$2:$U$853,MATCH($X500,$W$2:$W$853,0),COLUMNS($X$2:AB500)),"")</f>
        <v/>
      </c>
      <c r="AD500" s="1" t="str">
        <f>IF($X500&lt;&gt;"",INDEX($P$2:$U$853,MATCH($X500,$W$2:$W$853,0),COLUMNS($X$2:AC500)),"")</f>
        <v/>
      </c>
    </row>
    <row r="501" spans="1:30" x14ac:dyDescent="0.2">
      <c r="A501" s="1">
        <v>1994</v>
      </c>
      <c r="B501" s="2">
        <v>34515</v>
      </c>
      <c r="C501" s="1" t="s">
        <v>522</v>
      </c>
      <c r="D501" s="1" t="s">
        <v>270</v>
      </c>
      <c r="E501" s="1" t="s">
        <v>319</v>
      </c>
      <c r="F501" s="1" t="s">
        <v>320</v>
      </c>
      <c r="G501" s="6" t="str">
        <f>VLOOKUP(A501,WorldCups!$A$2:$B$23,2,FALSE)</f>
        <v>USA</v>
      </c>
      <c r="H501" s="1" t="s">
        <v>25</v>
      </c>
      <c r="I501" s="1">
        <v>0</v>
      </c>
      <c r="J501" s="1">
        <v>2</v>
      </c>
      <c r="K501" s="1" t="s">
        <v>156</v>
      </c>
      <c r="L501" s="1" t="s">
        <v>14</v>
      </c>
      <c r="M501" s="1" t="str">
        <f>IF(ISNUMBER(SEARCH("Group",Table2[[#This Row],[Round]])),"Group stages",Table2[[#This Row],[Round]])</f>
        <v>Group stages</v>
      </c>
      <c r="O501" s="1">
        <f>Table2[[#This Row],[Year]]</f>
        <v>1994</v>
      </c>
      <c r="P501" s="1" t="str">
        <f>INDEX(Table2[[HomeTeam]:[Group_details]],ROWS($N$2:N501),COLUMNS($N$2:N501))</f>
        <v>Argentina</v>
      </c>
      <c r="Q501" s="1">
        <f>INDEX(Table2[[HomeTeam]:[Group_details]],ROWS($N$2:O501),COLUMNS($N$2:O501))</f>
        <v>0</v>
      </c>
      <c r="R501" s="1">
        <f>INDEX(Table2[[HomeTeam]:[Group_details]],ROWS($N$2:P501),COLUMNS($N$2:P501))</f>
        <v>2</v>
      </c>
      <c r="S501" s="1" t="str">
        <f>INDEX(Table2[[HomeTeam]:[Group_details]],ROWS($N$2:Q501),COLUMNS($N$2:Q501))</f>
        <v>Bulgaria</v>
      </c>
      <c r="T501" s="1" t="str">
        <f>INDEX(Table2[[HomeTeam]:[Group_details]],ROWS($N$2:R501),COLUMNS($N$2:R501))</f>
        <v xml:space="preserve"> </v>
      </c>
      <c r="U501" s="1" t="str">
        <f>INDEX(Table2[[HomeTeam]:[Group_details]],ROWS($N$2:S501),COLUMNS($N$2:S501))</f>
        <v>Group stages</v>
      </c>
      <c r="V501" s="1" t="b">
        <f t="shared" si="7"/>
        <v>0</v>
      </c>
      <c r="W501" s="1" t="str">
        <f>IF(V501=TRUE,ROWS($V$2:V501),"")</f>
        <v/>
      </c>
      <c r="X501" s="1" t="str">
        <f>IFERROR(SMALL($W$2:$W$853,ROWS($W$2:W501)),"")</f>
        <v/>
      </c>
      <c r="Y501" s="1" t="str">
        <f>IF($X501&lt;&gt;"",INDEX($P$2:$U$853,MATCH($X501,$W$2:$W$853,0),COLUMNS($X$2:X501)),"")</f>
        <v/>
      </c>
      <c r="Z501" s="1" t="str">
        <f>IF($X501&lt;&gt;"",INDEX($P$2:$U$853,MATCH($X501,$W$2:$W$853,0),COLUMNS($X$2:Y501)),"")</f>
        <v/>
      </c>
      <c r="AA501" s="1" t="str">
        <f>IF($X501&lt;&gt;"",INDEX($P$2:$U$853,MATCH($X501,$W$2:$W$853,0),COLUMNS($X$2:Z501)),"")</f>
        <v/>
      </c>
      <c r="AB501" s="1" t="str">
        <f>IF($X501&lt;&gt;"",INDEX($P$2:$U$853,MATCH($X501,$W$2:$W$853,0),COLUMNS($X$2:AA501)),"")</f>
        <v/>
      </c>
      <c r="AC501" s="1" t="str">
        <f>IF($X501&lt;&gt;"",INDEX($P$2:$U$853,MATCH($X501,$W$2:$W$853,0),COLUMNS($X$2:AB501)),"")</f>
        <v/>
      </c>
      <c r="AD501" s="1" t="str">
        <f>IF($X501&lt;&gt;"",INDEX($P$2:$U$853,MATCH($X501,$W$2:$W$853,0),COLUMNS($X$2:AC501)),"")</f>
        <v/>
      </c>
    </row>
    <row r="502" spans="1:30" x14ac:dyDescent="0.2">
      <c r="A502" s="1">
        <v>1994</v>
      </c>
      <c r="B502" s="2">
        <v>34517</v>
      </c>
      <c r="C502" s="1" t="s">
        <v>523</v>
      </c>
      <c r="D502" s="1" t="s">
        <v>287</v>
      </c>
      <c r="E502" s="1" t="s">
        <v>321</v>
      </c>
      <c r="F502" s="1" t="s">
        <v>322</v>
      </c>
      <c r="G502" s="6" t="str">
        <f>VLOOKUP(A502,WorldCups!$A$2:$B$23,2,FALSE)</f>
        <v>USA</v>
      </c>
      <c r="H502" s="1" t="s">
        <v>51</v>
      </c>
      <c r="I502" s="1">
        <v>3</v>
      </c>
      <c r="J502" s="1">
        <v>2</v>
      </c>
      <c r="K502" s="1" t="s">
        <v>18</v>
      </c>
      <c r="L502" s="1" t="s">
        <v>14</v>
      </c>
      <c r="M502" s="1" t="str">
        <f>IF(ISNUMBER(SEARCH("Group",Table2[[#This Row],[Round]])),"Group stages",Table2[[#This Row],[Round]])</f>
        <v>Round of 16</v>
      </c>
      <c r="O502" s="1">
        <f>Table2[[#This Row],[Year]]</f>
        <v>1994</v>
      </c>
      <c r="P502" s="1" t="str">
        <f>INDEX(Table2[[HomeTeam]:[Group_details]],ROWS($N$2:N502),COLUMNS($N$2:N502))</f>
        <v>Germany</v>
      </c>
      <c r="Q502" s="1">
        <f>INDEX(Table2[[HomeTeam]:[Group_details]],ROWS($N$2:O502),COLUMNS($N$2:O502))</f>
        <v>3</v>
      </c>
      <c r="R502" s="1">
        <f>INDEX(Table2[[HomeTeam]:[Group_details]],ROWS($N$2:P502),COLUMNS($N$2:P502))</f>
        <v>2</v>
      </c>
      <c r="S502" s="1" t="str">
        <f>INDEX(Table2[[HomeTeam]:[Group_details]],ROWS($N$2:Q502),COLUMNS($N$2:Q502))</f>
        <v>Belgium</v>
      </c>
      <c r="T502" s="1" t="str">
        <f>INDEX(Table2[[HomeTeam]:[Group_details]],ROWS($N$2:R502),COLUMNS($N$2:R502))</f>
        <v xml:space="preserve"> </v>
      </c>
      <c r="U502" s="1" t="str">
        <f>INDEX(Table2[[HomeTeam]:[Group_details]],ROWS($N$2:S502),COLUMNS($N$2:S502))</f>
        <v>Round of 16</v>
      </c>
      <c r="V502" s="1" t="b">
        <f t="shared" si="7"/>
        <v>0</v>
      </c>
      <c r="W502" s="1" t="str">
        <f>IF(V502=TRUE,ROWS($V$2:V502),"")</f>
        <v/>
      </c>
      <c r="X502" s="1" t="str">
        <f>IFERROR(SMALL($W$2:$W$853,ROWS($W$2:W502)),"")</f>
        <v/>
      </c>
      <c r="Y502" s="1" t="str">
        <f>IF($X502&lt;&gt;"",INDEX($P$2:$U$853,MATCH($X502,$W$2:$W$853,0),COLUMNS($X$2:X502)),"")</f>
        <v/>
      </c>
      <c r="Z502" s="1" t="str">
        <f>IF($X502&lt;&gt;"",INDEX($P$2:$U$853,MATCH($X502,$W$2:$W$853,0),COLUMNS($X$2:Y502)),"")</f>
        <v/>
      </c>
      <c r="AA502" s="1" t="str">
        <f>IF($X502&lt;&gt;"",INDEX($P$2:$U$853,MATCH($X502,$W$2:$W$853,0),COLUMNS($X$2:Z502)),"")</f>
        <v/>
      </c>
      <c r="AB502" s="1" t="str">
        <f>IF($X502&lt;&gt;"",INDEX($P$2:$U$853,MATCH($X502,$W$2:$W$853,0),COLUMNS($X$2:AA502)),"")</f>
        <v/>
      </c>
      <c r="AC502" s="1" t="str">
        <f>IF($X502&lt;&gt;"",INDEX($P$2:$U$853,MATCH($X502,$W$2:$W$853,0),COLUMNS($X$2:AB502)),"")</f>
        <v/>
      </c>
      <c r="AD502" s="1" t="str">
        <f>IF($X502&lt;&gt;"",INDEX($P$2:$U$853,MATCH($X502,$W$2:$W$853,0),COLUMNS($X$2:AC502)),"")</f>
        <v/>
      </c>
    </row>
    <row r="503" spans="1:30" x14ac:dyDescent="0.2">
      <c r="A503" s="1">
        <v>1994</v>
      </c>
      <c r="B503" s="2">
        <v>34517</v>
      </c>
      <c r="C503" s="1" t="s">
        <v>509</v>
      </c>
      <c r="D503" s="1" t="s">
        <v>287</v>
      </c>
      <c r="E503" s="1" t="s">
        <v>331</v>
      </c>
      <c r="F503" s="1" t="s">
        <v>332</v>
      </c>
      <c r="G503" s="6" t="str">
        <f>VLOOKUP(A503,WorldCups!$A$2:$B$23,2,FALSE)</f>
        <v>USA</v>
      </c>
      <c r="H503" s="1" t="s">
        <v>54</v>
      </c>
      <c r="I503" s="1">
        <v>3</v>
      </c>
      <c r="J503" s="1">
        <v>0</v>
      </c>
      <c r="K503" s="1" t="s">
        <v>44</v>
      </c>
      <c r="L503" s="1" t="s">
        <v>14</v>
      </c>
      <c r="M503" s="1" t="str">
        <f>IF(ISNUMBER(SEARCH("Group",Table2[[#This Row],[Round]])),"Group stages",Table2[[#This Row],[Round]])</f>
        <v>Round of 16</v>
      </c>
      <c r="O503" s="1">
        <f>Table2[[#This Row],[Year]]</f>
        <v>1994</v>
      </c>
      <c r="P503" s="1" t="str">
        <f>INDEX(Table2[[HomeTeam]:[Group_details]],ROWS($N$2:N503),COLUMNS($N$2:N503))</f>
        <v>Spain</v>
      </c>
      <c r="Q503" s="1">
        <f>INDEX(Table2[[HomeTeam]:[Group_details]],ROWS($N$2:O503),COLUMNS($N$2:O503))</f>
        <v>3</v>
      </c>
      <c r="R503" s="1">
        <f>INDEX(Table2[[HomeTeam]:[Group_details]],ROWS($N$2:P503),COLUMNS($N$2:P503))</f>
        <v>0</v>
      </c>
      <c r="S503" s="1" t="str">
        <f>INDEX(Table2[[HomeTeam]:[Group_details]],ROWS($N$2:Q503),COLUMNS($N$2:Q503))</f>
        <v>Switzerland</v>
      </c>
      <c r="T503" s="1" t="str">
        <f>INDEX(Table2[[HomeTeam]:[Group_details]],ROWS($N$2:R503),COLUMNS($N$2:R503))</f>
        <v xml:space="preserve"> </v>
      </c>
      <c r="U503" s="1" t="str">
        <f>INDEX(Table2[[HomeTeam]:[Group_details]],ROWS($N$2:S503),COLUMNS($N$2:S503))</f>
        <v>Round of 16</v>
      </c>
      <c r="V503" s="1" t="b">
        <f t="shared" si="7"/>
        <v>0</v>
      </c>
      <c r="W503" s="1" t="str">
        <f>IF(V503=TRUE,ROWS($V$2:V503),"")</f>
        <v/>
      </c>
      <c r="X503" s="1" t="str">
        <f>IFERROR(SMALL($W$2:$W$853,ROWS($W$2:W503)),"")</f>
        <v/>
      </c>
      <c r="Y503" s="1" t="str">
        <f>IF($X503&lt;&gt;"",INDEX($P$2:$U$853,MATCH($X503,$W$2:$W$853,0),COLUMNS($X$2:X503)),"")</f>
        <v/>
      </c>
      <c r="Z503" s="1" t="str">
        <f>IF($X503&lt;&gt;"",INDEX($P$2:$U$853,MATCH($X503,$W$2:$W$853,0),COLUMNS($X$2:Y503)),"")</f>
        <v/>
      </c>
      <c r="AA503" s="1" t="str">
        <f>IF($X503&lt;&gt;"",INDEX($P$2:$U$853,MATCH($X503,$W$2:$W$853,0),COLUMNS($X$2:Z503)),"")</f>
        <v/>
      </c>
      <c r="AB503" s="1" t="str">
        <f>IF($X503&lt;&gt;"",INDEX($P$2:$U$853,MATCH($X503,$W$2:$W$853,0),COLUMNS($X$2:AA503)),"")</f>
        <v/>
      </c>
      <c r="AC503" s="1" t="str">
        <f>IF($X503&lt;&gt;"",INDEX($P$2:$U$853,MATCH($X503,$W$2:$W$853,0),COLUMNS($X$2:AB503)),"")</f>
        <v/>
      </c>
      <c r="AD503" s="1" t="str">
        <f>IF($X503&lt;&gt;"",INDEX($P$2:$U$853,MATCH($X503,$W$2:$W$853,0),COLUMNS($X$2:AC503)),"")</f>
        <v/>
      </c>
    </row>
    <row r="504" spans="1:30" x14ac:dyDescent="0.2">
      <c r="A504" s="1">
        <v>1994</v>
      </c>
      <c r="B504" s="2">
        <v>34518</v>
      </c>
      <c r="C504" s="1" t="s">
        <v>523</v>
      </c>
      <c r="D504" s="1" t="s">
        <v>287</v>
      </c>
      <c r="E504" s="1" t="s">
        <v>319</v>
      </c>
      <c r="F504" s="1" t="s">
        <v>320</v>
      </c>
      <c r="G504" s="6" t="str">
        <f>VLOOKUP(A504,WorldCups!$A$2:$B$23,2,FALSE)</f>
        <v>USA</v>
      </c>
      <c r="H504" s="1" t="s">
        <v>333</v>
      </c>
      <c r="I504" s="1">
        <v>1</v>
      </c>
      <c r="J504" s="1">
        <v>3</v>
      </c>
      <c r="K504" s="1" t="s">
        <v>48</v>
      </c>
      <c r="L504" s="1" t="s">
        <v>14</v>
      </c>
      <c r="M504" s="1" t="str">
        <f>IF(ISNUMBER(SEARCH("Group",Table2[[#This Row],[Round]])),"Group stages",Table2[[#This Row],[Round]])</f>
        <v>Round of 16</v>
      </c>
      <c r="O504" s="1">
        <f>Table2[[#This Row],[Year]]</f>
        <v>1994</v>
      </c>
      <c r="P504" s="1" t="str">
        <f>INDEX(Table2[[HomeTeam]:[Group_details]],ROWS($N$2:N504),COLUMNS($N$2:N504))</f>
        <v>Saudi Arabia</v>
      </c>
      <c r="Q504" s="1">
        <f>INDEX(Table2[[HomeTeam]:[Group_details]],ROWS($N$2:O504),COLUMNS($N$2:O504))</f>
        <v>1</v>
      </c>
      <c r="R504" s="1">
        <f>INDEX(Table2[[HomeTeam]:[Group_details]],ROWS($N$2:P504),COLUMNS($N$2:P504))</f>
        <v>3</v>
      </c>
      <c r="S504" s="1" t="str">
        <f>INDEX(Table2[[HomeTeam]:[Group_details]],ROWS($N$2:Q504),COLUMNS($N$2:Q504))</f>
        <v>Sweden</v>
      </c>
      <c r="T504" s="1" t="str">
        <f>INDEX(Table2[[HomeTeam]:[Group_details]],ROWS($N$2:R504),COLUMNS($N$2:R504))</f>
        <v xml:space="preserve"> </v>
      </c>
      <c r="U504" s="1" t="str">
        <f>INDEX(Table2[[HomeTeam]:[Group_details]],ROWS($N$2:S504),COLUMNS($N$2:S504))</f>
        <v>Round of 16</v>
      </c>
      <c r="V504" s="1" t="b">
        <f t="shared" si="7"/>
        <v>0</v>
      </c>
      <c r="W504" s="1" t="str">
        <f>IF(V504=TRUE,ROWS($V$2:V504),"")</f>
        <v/>
      </c>
      <c r="X504" s="1" t="str">
        <f>IFERROR(SMALL($W$2:$W$853,ROWS($W$2:W504)),"")</f>
        <v/>
      </c>
      <c r="Y504" s="1" t="str">
        <f>IF($X504&lt;&gt;"",INDEX($P$2:$U$853,MATCH($X504,$W$2:$W$853,0),COLUMNS($X$2:X504)),"")</f>
        <v/>
      </c>
      <c r="Z504" s="1" t="str">
        <f>IF($X504&lt;&gt;"",INDEX($P$2:$U$853,MATCH($X504,$W$2:$W$853,0),COLUMNS($X$2:Y504)),"")</f>
        <v/>
      </c>
      <c r="AA504" s="1" t="str">
        <f>IF($X504&lt;&gt;"",INDEX($P$2:$U$853,MATCH($X504,$W$2:$W$853,0),COLUMNS($X$2:Z504)),"")</f>
        <v/>
      </c>
      <c r="AB504" s="1" t="str">
        <f>IF($X504&lt;&gt;"",INDEX($P$2:$U$853,MATCH($X504,$W$2:$W$853,0),COLUMNS($X$2:AA504)),"")</f>
        <v/>
      </c>
      <c r="AC504" s="1" t="str">
        <f>IF($X504&lt;&gt;"",INDEX($P$2:$U$853,MATCH($X504,$W$2:$W$853,0),COLUMNS($X$2:AB504)),"")</f>
        <v/>
      </c>
      <c r="AD504" s="1" t="str">
        <f>IF($X504&lt;&gt;"",INDEX($P$2:$U$853,MATCH($X504,$W$2:$W$853,0),COLUMNS($X$2:AC504)),"")</f>
        <v/>
      </c>
    </row>
    <row r="505" spans="1:30" x14ac:dyDescent="0.2">
      <c r="A505" s="1">
        <v>1994</v>
      </c>
      <c r="B505" s="2">
        <v>34518</v>
      </c>
      <c r="C505" s="1" t="s">
        <v>534</v>
      </c>
      <c r="D505" s="1" t="s">
        <v>287</v>
      </c>
      <c r="E505" s="1" t="s">
        <v>327</v>
      </c>
      <c r="F505" s="1" t="s">
        <v>328</v>
      </c>
      <c r="G505" s="6" t="str">
        <f>VLOOKUP(A505,WorldCups!$A$2:$B$23,2,FALSE)</f>
        <v>USA</v>
      </c>
      <c r="H505" s="1" t="s">
        <v>23</v>
      </c>
      <c r="I505" s="1">
        <v>3</v>
      </c>
      <c r="J505" s="1">
        <v>2</v>
      </c>
      <c r="K505" s="1" t="s">
        <v>25</v>
      </c>
      <c r="L505" s="1" t="s">
        <v>14</v>
      </c>
      <c r="M505" s="1" t="str">
        <f>IF(ISNUMBER(SEARCH("Group",Table2[[#This Row],[Round]])),"Group stages",Table2[[#This Row],[Round]])</f>
        <v>Round of 16</v>
      </c>
      <c r="O505" s="1">
        <f>Table2[[#This Row],[Year]]</f>
        <v>1994</v>
      </c>
      <c r="P505" s="1" t="str">
        <f>INDEX(Table2[[HomeTeam]:[Group_details]],ROWS($N$2:N505),COLUMNS($N$2:N505))</f>
        <v>Romania</v>
      </c>
      <c r="Q505" s="1">
        <f>INDEX(Table2[[HomeTeam]:[Group_details]],ROWS($N$2:O505),COLUMNS($N$2:O505))</f>
        <v>3</v>
      </c>
      <c r="R505" s="1">
        <f>INDEX(Table2[[HomeTeam]:[Group_details]],ROWS($N$2:P505),COLUMNS($N$2:P505))</f>
        <v>2</v>
      </c>
      <c r="S505" s="1" t="str">
        <f>INDEX(Table2[[HomeTeam]:[Group_details]],ROWS($N$2:Q505),COLUMNS($N$2:Q505))</f>
        <v>Argentina</v>
      </c>
      <c r="T505" s="1" t="str">
        <f>INDEX(Table2[[HomeTeam]:[Group_details]],ROWS($N$2:R505),COLUMNS($N$2:R505))</f>
        <v xml:space="preserve"> </v>
      </c>
      <c r="U505" s="1" t="str">
        <f>INDEX(Table2[[HomeTeam]:[Group_details]],ROWS($N$2:S505),COLUMNS($N$2:S505))</f>
        <v>Round of 16</v>
      </c>
      <c r="V505" s="1" t="b">
        <f t="shared" si="7"/>
        <v>0</v>
      </c>
      <c r="W505" s="1" t="str">
        <f>IF(V505=TRUE,ROWS($V$2:V505),"")</f>
        <v/>
      </c>
      <c r="X505" s="1" t="str">
        <f>IFERROR(SMALL($W$2:$W$853,ROWS($W$2:W505)),"")</f>
        <v/>
      </c>
      <c r="Y505" s="1" t="str">
        <f>IF($X505&lt;&gt;"",INDEX($P$2:$U$853,MATCH($X505,$W$2:$W$853,0),COLUMNS($X$2:X505)),"")</f>
        <v/>
      </c>
      <c r="Z505" s="1" t="str">
        <f>IF($X505&lt;&gt;"",INDEX($P$2:$U$853,MATCH($X505,$W$2:$W$853,0),COLUMNS($X$2:Y505)),"")</f>
        <v/>
      </c>
      <c r="AA505" s="1" t="str">
        <f>IF($X505&lt;&gt;"",INDEX($P$2:$U$853,MATCH($X505,$W$2:$W$853,0),COLUMNS($X$2:Z505)),"")</f>
        <v/>
      </c>
      <c r="AB505" s="1" t="str">
        <f>IF($X505&lt;&gt;"",INDEX($P$2:$U$853,MATCH($X505,$W$2:$W$853,0),COLUMNS($X$2:AA505)),"")</f>
        <v/>
      </c>
      <c r="AC505" s="1" t="str">
        <f>IF($X505&lt;&gt;"",INDEX($P$2:$U$853,MATCH($X505,$W$2:$W$853,0),COLUMNS($X$2:AB505)),"")</f>
        <v/>
      </c>
      <c r="AD505" s="1" t="str">
        <f>IF($X505&lt;&gt;"",INDEX($P$2:$U$853,MATCH($X505,$W$2:$W$853,0),COLUMNS($X$2:AC505)),"")</f>
        <v/>
      </c>
    </row>
    <row r="506" spans="1:30" x14ac:dyDescent="0.2">
      <c r="A506" s="1">
        <v>1994</v>
      </c>
      <c r="B506" s="2">
        <v>34519</v>
      </c>
      <c r="C506" s="1" t="s">
        <v>523</v>
      </c>
      <c r="D506" s="1" t="s">
        <v>287</v>
      </c>
      <c r="E506" s="1" t="s">
        <v>329</v>
      </c>
      <c r="F506" s="1" t="s">
        <v>330</v>
      </c>
      <c r="G506" s="6" t="str">
        <f>VLOOKUP(A506,WorldCups!$A$2:$B$23,2,FALSE)</f>
        <v>USA</v>
      </c>
      <c r="H506" s="1" t="s">
        <v>45</v>
      </c>
      <c r="I506" s="1">
        <v>2</v>
      </c>
      <c r="J506" s="1">
        <v>0</v>
      </c>
      <c r="K506" s="1" t="s">
        <v>304</v>
      </c>
      <c r="L506" s="1" t="s">
        <v>14</v>
      </c>
      <c r="M506" s="1" t="str">
        <f>IF(ISNUMBER(SEARCH("Group",Table2[[#This Row],[Round]])),"Group stages",Table2[[#This Row],[Round]])</f>
        <v>Round of 16</v>
      </c>
      <c r="O506" s="1">
        <f>Table2[[#This Row],[Year]]</f>
        <v>1994</v>
      </c>
      <c r="P506" s="1" t="str">
        <f>INDEX(Table2[[HomeTeam]:[Group_details]],ROWS($N$2:N506),COLUMNS($N$2:N506))</f>
        <v>Netherlands</v>
      </c>
      <c r="Q506" s="1">
        <f>INDEX(Table2[[HomeTeam]:[Group_details]],ROWS($N$2:O506),COLUMNS($N$2:O506))</f>
        <v>2</v>
      </c>
      <c r="R506" s="1">
        <f>INDEX(Table2[[HomeTeam]:[Group_details]],ROWS($N$2:P506),COLUMNS($N$2:P506))</f>
        <v>0</v>
      </c>
      <c r="S506" s="1" t="str">
        <f>INDEX(Table2[[HomeTeam]:[Group_details]],ROWS($N$2:Q506),COLUMNS($N$2:Q506))</f>
        <v>Republic of Ireland</v>
      </c>
      <c r="T506" s="1" t="str">
        <f>INDEX(Table2[[HomeTeam]:[Group_details]],ROWS($N$2:R506),COLUMNS($N$2:R506))</f>
        <v xml:space="preserve"> </v>
      </c>
      <c r="U506" s="1" t="str">
        <f>INDEX(Table2[[HomeTeam]:[Group_details]],ROWS($N$2:S506),COLUMNS($N$2:S506))</f>
        <v>Round of 16</v>
      </c>
      <c r="V506" s="1" t="b">
        <f t="shared" si="7"/>
        <v>0</v>
      </c>
      <c r="W506" s="1" t="str">
        <f>IF(V506=TRUE,ROWS($V$2:V506),"")</f>
        <v/>
      </c>
      <c r="X506" s="1" t="str">
        <f>IFERROR(SMALL($W$2:$W$853,ROWS($W$2:W506)),"")</f>
        <v/>
      </c>
      <c r="Y506" s="1" t="str">
        <f>IF($X506&lt;&gt;"",INDEX($P$2:$U$853,MATCH($X506,$W$2:$W$853,0),COLUMNS($X$2:X506)),"")</f>
        <v/>
      </c>
      <c r="Z506" s="1" t="str">
        <f>IF($X506&lt;&gt;"",INDEX($P$2:$U$853,MATCH($X506,$W$2:$W$853,0),COLUMNS($X$2:Y506)),"")</f>
        <v/>
      </c>
      <c r="AA506" s="1" t="str">
        <f>IF($X506&lt;&gt;"",INDEX($P$2:$U$853,MATCH($X506,$W$2:$W$853,0),COLUMNS($X$2:Z506)),"")</f>
        <v/>
      </c>
      <c r="AB506" s="1" t="str">
        <f>IF($X506&lt;&gt;"",INDEX($P$2:$U$853,MATCH($X506,$W$2:$W$853,0),COLUMNS($X$2:AA506)),"")</f>
        <v/>
      </c>
      <c r="AC506" s="1" t="str">
        <f>IF($X506&lt;&gt;"",INDEX($P$2:$U$853,MATCH($X506,$W$2:$W$853,0),COLUMNS($X$2:AB506)),"")</f>
        <v/>
      </c>
      <c r="AD506" s="1" t="str">
        <f>IF($X506&lt;&gt;"",INDEX($P$2:$U$853,MATCH($X506,$W$2:$W$853,0),COLUMNS($X$2:AC506)),"")</f>
        <v/>
      </c>
    </row>
    <row r="507" spans="1:30" x14ac:dyDescent="0.2">
      <c r="A507" s="1">
        <v>1994</v>
      </c>
      <c r="B507" s="2">
        <v>34519</v>
      </c>
      <c r="C507" s="1" t="s">
        <v>533</v>
      </c>
      <c r="D507" s="1" t="s">
        <v>287</v>
      </c>
      <c r="E507" s="1" t="s">
        <v>334</v>
      </c>
      <c r="F507" s="1" t="s">
        <v>335</v>
      </c>
      <c r="G507" s="6" t="str">
        <f>VLOOKUP(A507,WorldCups!$A$2:$B$23,2,FALSE)</f>
        <v>USA</v>
      </c>
      <c r="H507" s="1" t="s">
        <v>21</v>
      </c>
      <c r="I507" s="1">
        <v>1</v>
      </c>
      <c r="J507" s="1">
        <v>0</v>
      </c>
      <c r="K507" s="1" t="s">
        <v>17</v>
      </c>
      <c r="L507" s="1" t="s">
        <v>14</v>
      </c>
      <c r="M507" s="1" t="str">
        <f>IF(ISNUMBER(SEARCH("Group",Table2[[#This Row],[Round]])),"Group stages",Table2[[#This Row],[Round]])</f>
        <v>Round of 16</v>
      </c>
      <c r="O507" s="1">
        <f>Table2[[#This Row],[Year]]</f>
        <v>1994</v>
      </c>
      <c r="P507" s="1" t="str">
        <f>INDEX(Table2[[HomeTeam]:[Group_details]],ROWS($N$2:N507),COLUMNS($N$2:N507))</f>
        <v>Brazil</v>
      </c>
      <c r="Q507" s="1">
        <f>INDEX(Table2[[HomeTeam]:[Group_details]],ROWS($N$2:O507),COLUMNS($N$2:O507))</f>
        <v>1</v>
      </c>
      <c r="R507" s="1">
        <f>INDEX(Table2[[HomeTeam]:[Group_details]],ROWS($N$2:P507),COLUMNS($N$2:P507))</f>
        <v>0</v>
      </c>
      <c r="S507" s="1" t="str">
        <f>INDEX(Table2[[HomeTeam]:[Group_details]],ROWS($N$2:Q507),COLUMNS($N$2:Q507))</f>
        <v>USA</v>
      </c>
      <c r="T507" s="1" t="str">
        <f>INDEX(Table2[[HomeTeam]:[Group_details]],ROWS($N$2:R507),COLUMNS($N$2:R507))</f>
        <v xml:space="preserve"> </v>
      </c>
      <c r="U507" s="1" t="str">
        <f>INDEX(Table2[[HomeTeam]:[Group_details]],ROWS($N$2:S507),COLUMNS($N$2:S507))</f>
        <v>Round of 16</v>
      </c>
      <c r="V507" s="1" t="b">
        <f t="shared" si="7"/>
        <v>0</v>
      </c>
      <c r="W507" s="1" t="str">
        <f>IF(V507=TRUE,ROWS($V$2:V507),"")</f>
        <v/>
      </c>
      <c r="X507" s="1" t="str">
        <f>IFERROR(SMALL($W$2:$W$853,ROWS($W$2:W507)),"")</f>
        <v/>
      </c>
      <c r="Y507" s="1" t="str">
        <f>IF($X507&lt;&gt;"",INDEX($P$2:$U$853,MATCH($X507,$W$2:$W$853,0),COLUMNS($X$2:X507)),"")</f>
        <v/>
      </c>
      <c r="Z507" s="1" t="str">
        <f>IF($X507&lt;&gt;"",INDEX($P$2:$U$853,MATCH($X507,$W$2:$W$853,0),COLUMNS($X$2:Y507)),"")</f>
        <v/>
      </c>
      <c r="AA507" s="1" t="str">
        <f>IF($X507&lt;&gt;"",INDEX($P$2:$U$853,MATCH($X507,$W$2:$W$853,0),COLUMNS($X$2:Z507)),"")</f>
        <v/>
      </c>
      <c r="AB507" s="1" t="str">
        <f>IF($X507&lt;&gt;"",INDEX($P$2:$U$853,MATCH($X507,$W$2:$W$853,0),COLUMNS($X$2:AA507)),"")</f>
        <v/>
      </c>
      <c r="AC507" s="1" t="str">
        <f>IF($X507&lt;&gt;"",INDEX($P$2:$U$853,MATCH($X507,$W$2:$W$853,0),COLUMNS($X$2:AB507)),"")</f>
        <v/>
      </c>
      <c r="AD507" s="1" t="str">
        <f>IF($X507&lt;&gt;"",INDEX($P$2:$U$853,MATCH($X507,$W$2:$W$853,0),COLUMNS($X$2:AC507)),"")</f>
        <v/>
      </c>
    </row>
    <row r="508" spans="1:30" x14ac:dyDescent="0.2">
      <c r="A508" s="1">
        <v>1994</v>
      </c>
      <c r="B508" s="2">
        <v>34520</v>
      </c>
      <c r="C508" s="1" t="s">
        <v>507</v>
      </c>
      <c r="D508" s="1" t="s">
        <v>287</v>
      </c>
      <c r="E508" s="1" t="s">
        <v>337</v>
      </c>
      <c r="F508" s="1" t="s">
        <v>338</v>
      </c>
      <c r="G508" s="6" t="str">
        <f>VLOOKUP(A508,WorldCups!$A$2:$B$23,2,FALSE)</f>
        <v>USA</v>
      </c>
      <c r="H508" s="1" t="s">
        <v>340</v>
      </c>
      <c r="I508" s="1">
        <v>1</v>
      </c>
      <c r="J508" s="1">
        <v>2</v>
      </c>
      <c r="K508" s="1" t="s">
        <v>57</v>
      </c>
      <c r="L508" s="1" t="s">
        <v>63</v>
      </c>
      <c r="M508" s="1" t="str">
        <f>IF(ISNUMBER(SEARCH("Group",Table2[[#This Row],[Round]])),"Group stages",Table2[[#This Row],[Round]])</f>
        <v>Round of 16</v>
      </c>
      <c r="O508" s="1">
        <f>Table2[[#This Row],[Year]]</f>
        <v>1994</v>
      </c>
      <c r="P508" s="1" t="str">
        <f>INDEX(Table2[[HomeTeam]:[Group_details]],ROWS($N$2:N508),COLUMNS($N$2:N508))</f>
        <v>Nigeria</v>
      </c>
      <c r="Q508" s="1">
        <f>INDEX(Table2[[HomeTeam]:[Group_details]],ROWS($N$2:O508),COLUMNS($N$2:O508))</f>
        <v>1</v>
      </c>
      <c r="R508" s="1">
        <f>INDEX(Table2[[HomeTeam]:[Group_details]],ROWS($N$2:P508),COLUMNS($N$2:P508))</f>
        <v>2</v>
      </c>
      <c r="S508" s="1" t="str">
        <f>INDEX(Table2[[HomeTeam]:[Group_details]],ROWS($N$2:Q508),COLUMNS($N$2:Q508))</f>
        <v>Italy</v>
      </c>
      <c r="T508" s="1" t="str">
        <f>INDEX(Table2[[HomeTeam]:[Group_details]],ROWS($N$2:R508),COLUMNS($N$2:R508))</f>
        <v xml:space="preserve">Italy win after extra time </v>
      </c>
      <c r="U508" s="1" t="str">
        <f>INDEX(Table2[[HomeTeam]:[Group_details]],ROWS($N$2:S508),COLUMNS($N$2:S508))</f>
        <v>Round of 16</v>
      </c>
      <c r="V508" s="1" t="b">
        <f t="shared" si="7"/>
        <v>0</v>
      </c>
      <c r="W508" s="1" t="str">
        <f>IF(V508=TRUE,ROWS($V$2:V508),"")</f>
        <v/>
      </c>
      <c r="X508" s="1" t="str">
        <f>IFERROR(SMALL($W$2:$W$853,ROWS($W$2:W508)),"")</f>
        <v/>
      </c>
      <c r="Y508" s="1" t="str">
        <f>IF($X508&lt;&gt;"",INDEX($P$2:$U$853,MATCH($X508,$W$2:$W$853,0),COLUMNS($X$2:X508)),"")</f>
        <v/>
      </c>
      <c r="Z508" s="1" t="str">
        <f>IF($X508&lt;&gt;"",INDEX($P$2:$U$853,MATCH($X508,$W$2:$W$853,0),COLUMNS($X$2:Y508)),"")</f>
        <v/>
      </c>
      <c r="AA508" s="1" t="str">
        <f>IF($X508&lt;&gt;"",INDEX($P$2:$U$853,MATCH($X508,$W$2:$W$853,0),COLUMNS($X$2:Z508)),"")</f>
        <v/>
      </c>
      <c r="AB508" s="1" t="str">
        <f>IF($X508&lt;&gt;"",INDEX($P$2:$U$853,MATCH($X508,$W$2:$W$853,0),COLUMNS($X$2:AA508)),"")</f>
        <v/>
      </c>
      <c r="AC508" s="1" t="str">
        <f>IF($X508&lt;&gt;"",INDEX($P$2:$U$853,MATCH($X508,$W$2:$W$853,0),COLUMNS($X$2:AB508)),"")</f>
        <v/>
      </c>
      <c r="AD508" s="1" t="str">
        <f>IF($X508&lt;&gt;"",INDEX($P$2:$U$853,MATCH($X508,$W$2:$W$853,0),COLUMNS($X$2:AC508)),"")</f>
        <v/>
      </c>
    </row>
    <row r="509" spans="1:30" x14ac:dyDescent="0.2">
      <c r="A509" s="1">
        <v>1994</v>
      </c>
      <c r="B509" s="2">
        <v>34520</v>
      </c>
      <c r="C509" s="1" t="s">
        <v>509</v>
      </c>
      <c r="D509" s="1" t="s">
        <v>287</v>
      </c>
      <c r="E509" s="1" t="s">
        <v>325</v>
      </c>
      <c r="F509" s="1" t="s">
        <v>326</v>
      </c>
      <c r="G509" s="6" t="str">
        <f>VLOOKUP(A509,WorldCups!$A$2:$B$23,2,FALSE)</f>
        <v>USA</v>
      </c>
      <c r="H509" s="1" t="s">
        <v>13</v>
      </c>
      <c r="I509" s="1">
        <v>1</v>
      </c>
      <c r="J509" s="1">
        <v>1</v>
      </c>
      <c r="K509" s="1" t="s">
        <v>156</v>
      </c>
      <c r="L509" s="1" t="s">
        <v>341</v>
      </c>
      <c r="M509" s="1" t="str">
        <f>IF(ISNUMBER(SEARCH("Group",Table2[[#This Row],[Round]])),"Group stages",Table2[[#This Row],[Round]])</f>
        <v>Round of 16</v>
      </c>
      <c r="O509" s="1">
        <f>Table2[[#This Row],[Year]]</f>
        <v>1994</v>
      </c>
      <c r="P509" s="1" t="str">
        <f>INDEX(Table2[[HomeTeam]:[Group_details]],ROWS($N$2:N509),COLUMNS($N$2:N509))</f>
        <v>Mexico</v>
      </c>
      <c r="Q509" s="1">
        <f>INDEX(Table2[[HomeTeam]:[Group_details]],ROWS($N$2:O509),COLUMNS($N$2:O509))</f>
        <v>1</v>
      </c>
      <c r="R509" s="1">
        <f>INDEX(Table2[[HomeTeam]:[Group_details]],ROWS($N$2:P509),COLUMNS($N$2:P509))</f>
        <v>1</v>
      </c>
      <c r="S509" s="1" t="str">
        <f>INDEX(Table2[[HomeTeam]:[Group_details]],ROWS($N$2:Q509),COLUMNS($N$2:Q509))</f>
        <v>Bulgaria</v>
      </c>
      <c r="T509" s="1" t="str">
        <f>INDEX(Table2[[HomeTeam]:[Group_details]],ROWS($N$2:R509),COLUMNS($N$2:R509))</f>
        <v xml:space="preserve">Bulgaria win on penalties (1 - 3) </v>
      </c>
      <c r="U509" s="1" t="str">
        <f>INDEX(Table2[[HomeTeam]:[Group_details]],ROWS($N$2:S509),COLUMNS($N$2:S509))</f>
        <v>Round of 16</v>
      </c>
      <c r="V509" s="1" t="b">
        <f t="shared" si="7"/>
        <v>0</v>
      </c>
      <c r="W509" s="1" t="str">
        <f>IF(V509=TRUE,ROWS($V$2:V509),"")</f>
        <v/>
      </c>
      <c r="X509" s="1" t="str">
        <f>IFERROR(SMALL($W$2:$W$853,ROWS($W$2:W509)),"")</f>
        <v/>
      </c>
      <c r="Y509" s="1" t="str">
        <f>IF($X509&lt;&gt;"",INDEX($P$2:$U$853,MATCH($X509,$W$2:$W$853,0),COLUMNS($X$2:X509)),"")</f>
        <v/>
      </c>
      <c r="Z509" s="1" t="str">
        <f>IF($X509&lt;&gt;"",INDEX($P$2:$U$853,MATCH($X509,$W$2:$W$853,0),COLUMNS($X$2:Y509)),"")</f>
        <v/>
      </c>
      <c r="AA509" s="1" t="str">
        <f>IF($X509&lt;&gt;"",INDEX($P$2:$U$853,MATCH($X509,$W$2:$W$853,0),COLUMNS($X$2:Z509)),"")</f>
        <v/>
      </c>
      <c r="AB509" s="1" t="str">
        <f>IF($X509&lt;&gt;"",INDEX($P$2:$U$853,MATCH($X509,$W$2:$W$853,0),COLUMNS($X$2:AA509)),"")</f>
        <v/>
      </c>
      <c r="AC509" s="1" t="str">
        <f>IF($X509&lt;&gt;"",INDEX($P$2:$U$853,MATCH($X509,$W$2:$W$853,0),COLUMNS($X$2:AB509)),"")</f>
        <v/>
      </c>
      <c r="AD509" s="1" t="str">
        <f>IF($X509&lt;&gt;"",INDEX($P$2:$U$853,MATCH($X509,$W$2:$W$853,0),COLUMNS($X$2:AC509)),"")</f>
        <v/>
      </c>
    </row>
    <row r="510" spans="1:30" x14ac:dyDescent="0.2">
      <c r="A510" s="1">
        <v>1994</v>
      </c>
      <c r="B510" s="2">
        <v>34524</v>
      </c>
      <c r="C510" s="1" t="s">
        <v>523</v>
      </c>
      <c r="D510" s="1" t="s">
        <v>61</v>
      </c>
      <c r="E510" s="1" t="s">
        <v>337</v>
      </c>
      <c r="F510" s="1" t="s">
        <v>338</v>
      </c>
      <c r="G510" s="6" t="str">
        <f>VLOOKUP(A510,WorldCups!$A$2:$B$23,2,FALSE)</f>
        <v>USA</v>
      </c>
      <c r="H510" s="1" t="s">
        <v>57</v>
      </c>
      <c r="I510" s="1">
        <v>2</v>
      </c>
      <c r="J510" s="1">
        <v>1</v>
      </c>
      <c r="K510" s="1" t="s">
        <v>54</v>
      </c>
      <c r="L510" s="1" t="s">
        <v>14</v>
      </c>
      <c r="M510" s="1" t="str">
        <f>IF(ISNUMBER(SEARCH("Group",Table2[[#This Row],[Round]])),"Group stages",Table2[[#This Row],[Round]])</f>
        <v>Quarter-finals</v>
      </c>
      <c r="O510" s="1">
        <f>Table2[[#This Row],[Year]]</f>
        <v>1994</v>
      </c>
      <c r="P510" s="1" t="str">
        <f>INDEX(Table2[[HomeTeam]:[Group_details]],ROWS($N$2:N510),COLUMNS($N$2:N510))</f>
        <v>Italy</v>
      </c>
      <c r="Q510" s="1">
        <f>INDEX(Table2[[HomeTeam]:[Group_details]],ROWS($N$2:O510),COLUMNS($N$2:O510))</f>
        <v>2</v>
      </c>
      <c r="R510" s="1">
        <f>INDEX(Table2[[HomeTeam]:[Group_details]],ROWS($N$2:P510),COLUMNS($N$2:P510))</f>
        <v>1</v>
      </c>
      <c r="S510" s="1" t="str">
        <f>INDEX(Table2[[HomeTeam]:[Group_details]],ROWS($N$2:Q510),COLUMNS($N$2:Q510))</f>
        <v>Spain</v>
      </c>
      <c r="T510" s="1" t="str">
        <f>INDEX(Table2[[HomeTeam]:[Group_details]],ROWS($N$2:R510),COLUMNS($N$2:R510))</f>
        <v xml:space="preserve"> </v>
      </c>
      <c r="U510" s="1" t="str">
        <f>INDEX(Table2[[HomeTeam]:[Group_details]],ROWS($N$2:S510),COLUMNS($N$2:S510))</f>
        <v>Quarter-finals</v>
      </c>
      <c r="V510" s="1" t="b">
        <f t="shared" si="7"/>
        <v>0</v>
      </c>
      <c r="W510" s="1" t="str">
        <f>IF(V510=TRUE,ROWS($V$2:V510),"")</f>
        <v/>
      </c>
      <c r="X510" s="1" t="str">
        <f>IFERROR(SMALL($W$2:$W$853,ROWS($W$2:W510)),"")</f>
        <v/>
      </c>
      <c r="Y510" s="1" t="str">
        <f>IF($X510&lt;&gt;"",INDEX($P$2:$U$853,MATCH($X510,$W$2:$W$853,0),COLUMNS($X$2:X510)),"")</f>
        <v/>
      </c>
      <c r="Z510" s="1" t="str">
        <f>IF($X510&lt;&gt;"",INDEX($P$2:$U$853,MATCH($X510,$W$2:$W$853,0),COLUMNS($X$2:Y510)),"")</f>
        <v/>
      </c>
      <c r="AA510" s="1" t="str">
        <f>IF($X510&lt;&gt;"",INDEX($P$2:$U$853,MATCH($X510,$W$2:$W$853,0),COLUMNS($X$2:Z510)),"")</f>
        <v/>
      </c>
      <c r="AB510" s="1" t="str">
        <f>IF($X510&lt;&gt;"",INDEX($P$2:$U$853,MATCH($X510,$W$2:$W$853,0),COLUMNS($X$2:AA510)),"")</f>
        <v/>
      </c>
      <c r="AC510" s="1" t="str">
        <f>IF($X510&lt;&gt;"",INDEX($P$2:$U$853,MATCH($X510,$W$2:$W$853,0),COLUMNS($X$2:AB510)),"")</f>
        <v/>
      </c>
      <c r="AD510" s="1" t="str">
        <f>IF($X510&lt;&gt;"",INDEX($P$2:$U$853,MATCH($X510,$W$2:$W$853,0),COLUMNS($X$2:AC510)),"")</f>
        <v/>
      </c>
    </row>
    <row r="511" spans="1:30" x14ac:dyDescent="0.2">
      <c r="A511" s="1">
        <v>1994</v>
      </c>
      <c r="B511" s="2">
        <v>34524</v>
      </c>
      <c r="C511" s="1" t="s">
        <v>505</v>
      </c>
      <c r="D511" s="1" t="s">
        <v>61</v>
      </c>
      <c r="E511" s="1" t="s">
        <v>319</v>
      </c>
      <c r="F511" s="1" t="s">
        <v>320</v>
      </c>
      <c r="G511" s="6" t="str">
        <f>VLOOKUP(A511,WorldCups!$A$2:$B$23,2,FALSE)</f>
        <v>USA</v>
      </c>
      <c r="H511" s="1" t="s">
        <v>45</v>
      </c>
      <c r="I511" s="1">
        <v>2</v>
      </c>
      <c r="J511" s="1">
        <v>3</v>
      </c>
      <c r="K511" s="1" t="s">
        <v>21</v>
      </c>
      <c r="L511" s="1" t="s">
        <v>14</v>
      </c>
      <c r="M511" s="1" t="str">
        <f>IF(ISNUMBER(SEARCH("Group",Table2[[#This Row],[Round]])),"Group stages",Table2[[#This Row],[Round]])</f>
        <v>Quarter-finals</v>
      </c>
      <c r="O511" s="1">
        <f>Table2[[#This Row],[Year]]</f>
        <v>1994</v>
      </c>
      <c r="P511" s="1" t="str">
        <f>INDEX(Table2[[HomeTeam]:[Group_details]],ROWS($N$2:N511),COLUMNS($N$2:N511))</f>
        <v>Netherlands</v>
      </c>
      <c r="Q511" s="1">
        <f>INDEX(Table2[[HomeTeam]:[Group_details]],ROWS($N$2:O511),COLUMNS($N$2:O511))</f>
        <v>2</v>
      </c>
      <c r="R511" s="1">
        <f>INDEX(Table2[[HomeTeam]:[Group_details]],ROWS($N$2:P511),COLUMNS($N$2:P511))</f>
        <v>3</v>
      </c>
      <c r="S511" s="1" t="str">
        <f>INDEX(Table2[[HomeTeam]:[Group_details]],ROWS($N$2:Q511),COLUMNS($N$2:Q511))</f>
        <v>Brazil</v>
      </c>
      <c r="T511" s="1" t="str">
        <f>INDEX(Table2[[HomeTeam]:[Group_details]],ROWS($N$2:R511),COLUMNS($N$2:R511))</f>
        <v xml:space="preserve"> </v>
      </c>
      <c r="U511" s="1" t="str">
        <f>INDEX(Table2[[HomeTeam]:[Group_details]],ROWS($N$2:S511),COLUMNS($N$2:S511))</f>
        <v>Quarter-finals</v>
      </c>
      <c r="V511" s="1" t="b">
        <f t="shared" si="7"/>
        <v>0</v>
      </c>
      <c r="W511" s="1" t="str">
        <f>IF(V511=TRUE,ROWS($V$2:V511),"")</f>
        <v/>
      </c>
      <c r="X511" s="1" t="str">
        <f>IFERROR(SMALL($W$2:$W$853,ROWS($W$2:W511)),"")</f>
        <v/>
      </c>
      <c r="Y511" s="1" t="str">
        <f>IF($X511&lt;&gt;"",INDEX($P$2:$U$853,MATCH($X511,$W$2:$W$853,0),COLUMNS($X$2:X511)),"")</f>
        <v/>
      </c>
      <c r="Z511" s="1" t="str">
        <f>IF($X511&lt;&gt;"",INDEX($P$2:$U$853,MATCH($X511,$W$2:$W$853,0),COLUMNS($X$2:Y511)),"")</f>
        <v/>
      </c>
      <c r="AA511" s="1" t="str">
        <f>IF($X511&lt;&gt;"",INDEX($P$2:$U$853,MATCH($X511,$W$2:$W$853,0),COLUMNS($X$2:Z511)),"")</f>
        <v/>
      </c>
      <c r="AB511" s="1" t="str">
        <f>IF($X511&lt;&gt;"",INDEX($P$2:$U$853,MATCH($X511,$W$2:$W$853,0),COLUMNS($X$2:AA511)),"")</f>
        <v/>
      </c>
      <c r="AC511" s="1" t="str">
        <f>IF($X511&lt;&gt;"",INDEX($P$2:$U$853,MATCH($X511,$W$2:$W$853,0),COLUMNS($X$2:AB511)),"")</f>
        <v/>
      </c>
      <c r="AD511" s="1" t="str">
        <f>IF($X511&lt;&gt;"",INDEX($P$2:$U$853,MATCH($X511,$W$2:$W$853,0),COLUMNS($X$2:AC511)),"")</f>
        <v/>
      </c>
    </row>
    <row r="512" spans="1:30" x14ac:dyDescent="0.2">
      <c r="A512" s="1">
        <v>1994</v>
      </c>
      <c r="B512" s="2">
        <v>34525</v>
      </c>
      <c r="C512" s="1" t="s">
        <v>523</v>
      </c>
      <c r="D512" s="1" t="s">
        <v>61</v>
      </c>
      <c r="E512" s="1" t="s">
        <v>325</v>
      </c>
      <c r="F512" s="1" t="s">
        <v>326</v>
      </c>
      <c r="G512" s="6" t="str">
        <f>VLOOKUP(A512,WorldCups!$A$2:$B$23,2,FALSE)</f>
        <v>USA</v>
      </c>
      <c r="H512" s="1" t="s">
        <v>156</v>
      </c>
      <c r="I512" s="1">
        <v>2</v>
      </c>
      <c r="J512" s="1">
        <v>1</v>
      </c>
      <c r="K512" s="1" t="s">
        <v>51</v>
      </c>
      <c r="L512" s="1" t="s">
        <v>14</v>
      </c>
      <c r="M512" s="1" t="str">
        <f>IF(ISNUMBER(SEARCH("Group",Table2[[#This Row],[Round]])),"Group stages",Table2[[#This Row],[Round]])</f>
        <v>Quarter-finals</v>
      </c>
      <c r="O512" s="1">
        <f>Table2[[#This Row],[Year]]</f>
        <v>1994</v>
      </c>
      <c r="P512" s="1" t="str">
        <f>INDEX(Table2[[HomeTeam]:[Group_details]],ROWS($N$2:N512),COLUMNS($N$2:N512))</f>
        <v>Bulgaria</v>
      </c>
      <c r="Q512" s="1">
        <f>INDEX(Table2[[HomeTeam]:[Group_details]],ROWS($N$2:O512),COLUMNS($N$2:O512))</f>
        <v>2</v>
      </c>
      <c r="R512" s="1">
        <f>INDEX(Table2[[HomeTeam]:[Group_details]],ROWS($N$2:P512),COLUMNS($N$2:P512))</f>
        <v>1</v>
      </c>
      <c r="S512" s="1" t="str">
        <f>INDEX(Table2[[HomeTeam]:[Group_details]],ROWS($N$2:Q512),COLUMNS($N$2:Q512))</f>
        <v>Germany</v>
      </c>
      <c r="T512" s="1" t="str">
        <f>INDEX(Table2[[HomeTeam]:[Group_details]],ROWS($N$2:R512),COLUMNS($N$2:R512))</f>
        <v xml:space="preserve"> </v>
      </c>
      <c r="U512" s="1" t="str">
        <f>INDEX(Table2[[HomeTeam]:[Group_details]],ROWS($N$2:S512),COLUMNS($N$2:S512))</f>
        <v>Quarter-finals</v>
      </c>
      <c r="V512" s="1" t="b">
        <f t="shared" si="7"/>
        <v>0</v>
      </c>
      <c r="W512" s="1" t="str">
        <f>IF(V512=TRUE,ROWS($V$2:V512),"")</f>
        <v/>
      </c>
      <c r="X512" s="1" t="str">
        <f>IFERROR(SMALL($W$2:$W$853,ROWS($W$2:W512)),"")</f>
        <v/>
      </c>
      <c r="Y512" s="1" t="str">
        <f>IF($X512&lt;&gt;"",INDEX($P$2:$U$853,MATCH($X512,$W$2:$W$853,0),COLUMNS($X$2:X512)),"")</f>
        <v/>
      </c>
      <c r="Z512" s="1" t="str">
        <f>IF($X512&lt;&gt;"",INDEX($P$2:$U$853,MATCH($X512,$W$2:$W$853,0),COLUMNS($X$2:Y512)),"")</f>
        <v/>
      </c>
      <c r="AA512" s="1" t="str">
        <f>IF($X512&lt;&gt;"",INDEX($P$2:$U$853,MATCH($X512,$W$2:$W$853,0),COLUMNS($X$2:Z512)),"")</f>
        <v/>
      </c>
      <c r="AB512" s="1" t="str">
        <f>IF($X512&lt;&gt;"",INDEX($P$2:$U$853,MATCH($X512,$W$2:$W$853,0),COLUMNS($X$2:AA512)),"")</f>
        <v/>
      </c>
      <c r="AC512" s="1" t="str">
        <f>IF($X512&lt;&gt;"",INDEX($P$2:$U$853,MATCH($X512,$W$2:$W$853,0),COLUMNS($X$2:AB512)),"")</f>
        <v/>
      </c>
      <c r="AD512" s="1" t="str">
        <f>IF($X512&lt;&gt;"",INDEX($P$2:$U$853,MATCH($X512,$W$2:$W$853,0),COLUMNS($X$2:AC512)),"")</f>
        <v/>
      </c>
    </row>
    <row r="513" spans="1:30" x14ac:dyDescent="0.2">
      <c r="A513" s="1">
        <v>1994</v>
      </c>
      <c r="B513" s="2">
        <v>34525</v>
      </c>
      <c r="C513" s="1" t="s">
        <v>533</v>
      </c>
      <c r="D513" s="1" t="s">
        <v>61</v>
      </c>
      <c r="E513" s="1" t="s">
        <v>334</v>
      </c>
      <c r="F513" s="1" t="s">
        <v>335</v>
      </c>
      <c r="G513" s="6" t="str">
        <f>VLOOKUP(A513,WorldCups!$A$2:$B$23,2,FALSE)</f>
        <v>USA</v>
      </c>
      <c r="H513" s="1" t="s">
        <v>23</v>
      </c>
      <c r="I513" s="1">
        <v>2</v>
      </c>
      <c r="J513" s="1">
        <v>2</v>
      </c>
      <c r="K513" s="1" t="s">
        <v>48</v>
      </c>
      <c r="L513" s="1" t="s">
        <v>342</v>
      </c>
      <c r="M513" s="1" t="str">
        <f>IF(ISNUMBER(SEARCH("Group",Table2[[#This Row],[Round]])),"Group stages",Table2[[#This Row],[Round]])</f>
        <v>Quarter-finals</v>
      </c>
      <c r="O513" s="1">
        <f>Table2[[#This Row],[Year]]</f>
        <v>1994</v>
      </c>
      <c r="P513" s="1" t="str">
        <f>INDEX(Table2[[HomeTeam]:[Group_details]],ROWS($N$2:N513),COLUMNS($N$2:N513))</f>
        <v>Romania</v>
      </c>
      <c r="Q513" s="1">
        <f>INDEX(Table2[[HomeTeam]:[Group_details]],ROWS($N$2:O513),COLUMNS($N$2:O513))</f>
        <v>2</v>
      </c>
      <c r="R513" s="1">
        <f>INDEX(Table2[[HomeTeam]:[Group_details]],ROWS($N$2:P513),COLUMNS($N$2:P513))</f>
        <v>2</v>
      </c>
      <c r="S513" s="1" t="str">
        <f>INDEX(Table2[[HomeTeam]:[Group_details]],ROWS($N$2:Q513),COLUMNS($N$2:Q513))</f>
        <v>Sweden</v>
      </c>
      <c r="T513" s="1" t="str">
        <f>INDEX(Table2[[HomeTeam]:[Group_details]],ROWS($N$2:R513),COLUMNS($N$2:R513))</f>
        <v xml:space="preserve">Sweden win on penalties (4 - 5) </v>
      </c>
      <c r="U513" s="1" t="str">
        <f>INDEX(Table2[[HomeTeam]:[Group_details]],ROWS($N$2:S513),COLUMNS($N$2:S513))</f>
        <v>Quarter-finals</v>
      </c>
      <c r="V513" s="1" t="b">
        <f t="shared" si="7"/>
        <v>0</v>
      </c>
      <c r="W513" s="1" t="str">
        <f>IF(V513=TRUE,ROWS($V$2:V513),"")</f>
        <v/>
      </c>
      <c r="X513" s="1" t="str">
        <f>IFERROR(SMALL($W$2:$W$853,ROWS($W$2:W513)),"")</f>
        <v/>
      </c>
      <c r="Y513" s="1" t="str">
        <f>IF($X513&lt;&gt;"",INDEX($P$2:$U$853,MATCH($X513,$W$2:$W$853,0),COLUMNS($X$2:X513)),"")</f>
        <v/>
      </c>
      <c r="Z513" s="1" t="str">
        <f>IF($X513&lt;&gt;"",INDEX($P$2:$U$853,MATCH($X513,$W$2:$W$853,0),COLUMNS($X$2:Y513)),"")</f>
        <v/>
      </c>
      <c r="AA513" s="1" t="str">
        <f>IF($X513&lt;&gt;"",INDEX($P$2:$U$853,MATCH($X513,$W$2:$W$853,0),COLUMNS($X$2:Z513)),"")</f>
        <v/>
      </c>
      <c r="AB513" s="1" t="str">
        <f>IF($X513&lt;&gt;"",INDEX($P$2:$U$853,MATCH($X513,$W$2:$W$853,0),COLUMNS($X$2:AA513)),"")</f>
        <v/>
      </c>
      <c r="AC513" s="1" t="str">
        <f>IF($X513&lt;&gt;"",INDEX($P$2:$U$853,MATCH($X513,$W$2:$W$853,0),COLUMNS($X$2:AB513)),"")</f>
        <v/>
      </c>
      <c r="AD513" s="1" t="str">
        <f>IF($X513&lt;&gt;"",INDEX($P$2:$U$853,MATCH($X513,$W$2:$W$853,0),COLUMNS($X$2:AC513)),"")</f>
        <v/>
      </c>
    </row>
    <row r="514" spans="1:30" x14ac:dyDescent="0.2">
      <c r="A514" s="1">
        <v>1994</v>
      </c>
      <c r="B514" s="2">
        <v>34528</v>
      </c>
      <c r="C514" s="1" t="s">
        <v>503</v>
      </c>
      <c r="D514" s="1" t="s">
        <v>31</v>
      </c>
      <c r="E514" s="1" t="s">
        <v>325</v>
      </c>
      <c r="F514" s="1" t="s">
        <v>326</v>
      </c>
      <c r="G514" s="6" t="str">
        <f>VLOOKUP(A514,WorldCups!$A$2:$B$23,2,FALSE)</f>
        <v>USA</v>
      </c>
      <c r="H514" s="1" t="s">
        <v>156</v>
      </c>
      <c r="I514" s="1">
        <v>1</v>
      </c>
      <c r="J514" s="1">
        <v>2</v>
      </c>
      <c r="K514" s="1" t="s">
        <v>57</v>
      </c>
      <c r="L514" s="1" t="s">
        <v>14</v>
      </c>
      <c r="M514" s="1" t="str">
        <f>IF(ISNUMBER(SEARCH("Group",Table2[[#This Row],[Round]])),"Group stages",Table2[[#This Row],[Round]])</f>
        <v>Semi-finals</v>
      </c>
      <c r="O514" s="1">
        <f>Table2[[#This Row],[Year]]</f>
        <v>1994</v>
      </c>
      <c r="P514" s="1" t="str">
        <f>INDEX(Table2[[HomeTeam]:[Group_details]],ROWS($N$2:N514),COLUMNS($N$2:N514))</f>
        <v>Bulgaria</v>
      </c>
      <c r="Q514" s="1">
        <f>INDEX(Table2[[HomeTeam]:[Group_details]],ROWS($N$2:O514),COLUMNS($N$2:O514))</f>
        <v>1</v>
      </c>
      <c r="R514" s="1">
        <f>INDEX(Table2[[HomeTeam]:[Group_details]],ROWS($N$2:P514),COLUMNS($N$2:P514))</f>
        <v>2</v>
      </c>
      <c r="S514" s="1" t="str">
        <f>INDEX(Table2[[HomeTeam]:[Group_details]],ROWS($N$2:Q514),COLUMNS($N$2:Q514))</f>
        <v>Italy</v>
      </c>
      <c r="T514" s="1" t="str">
        <f>INDEX(Table2[[HomeTeam]:[Group_details]],ROWS($N$2:R514),COLUMNS($N$2:R514))</f>
        <v xml:space="preserve"> </v>
      </c>
      <c r="U514" s="1" t="str">
        <f>INDEX(Table2[[HomeTeam]:[Group_details]],ROWS($N$2:S514),COLUMNS($N$2:S514))</f>
        <v>Semi-finals</v>
      </c>
      <c r="V514" s="1" t="b">
        <f t="shared" si="7"/>
        <v>0</v>
      </c>
      <c r="W514" s="1" t="str">
        <f>IF(V514=TRUE,ROWS($V$2:V514),"")</f>
        <v/>
      </c>
      <c r="X514" s="1" t="str">
        <f>IFERROR(SMALL($W$2:$W$853,ROWS($W$2:W514)),"")</f>
        <v/>
      </c>
      <c r="Y514" s="1" t="str">
        <f>IF($X514&lt;&gt;"",INDEX($P$2:$U$853,MATCH($X514,$W$2:$W$853,0),COLUMNS($X$2:X514)),"")</f>
        <v/>
      </c>
      <c r="Z514" s="1" t="str">
        <f>IF($X514&lt;&gt;"",INDEX($P$2:$U$853,MATCH($X514,$W$2:$W$853,0),COLUMNS($X$2:Y514)),"")</f>
        <v/>
      </c>
      <c r="AA514" s="1" t="str">
        <f>IF($X514&lt;&gt;"",INDEX($P$2:$U$853,MATCH($X514,$W$2:$W$853,0),COLUMNS($X$2:Z514)),"")</f>
        <v/>
      </c>
      <c r="AB514" s="1" t="str">
        <f>IF($X514&lt;&gt;"",INDEX($P$2:$U$853,MATCH($X514,$W$2:$W$853,0),COLUMNS($X$2:AA514)),"")</f>
        <v/>
      </c>
      <c r="AC514" s="1" t="str">
        <f>IF($X514&lt;&gt;"",INDEX($P$2:$U$853,MATCH($X514,$W$2:$W$853,0),COLUMNS($X$2:AB514)),"")</f>
        <v/>
      </c>
      <c r="AD514" s="1" t="str">
        <f>IF($X514&lt;&gt;"",INDEX($P$2:$U$853,MATCH($X514,$W$2:$W$853,0),COLUMNS($X$2:AC514)),"")</f>
        <v/>
      </c>
    </row>
    <row r="515" spans="1:30" x14ac:dyDescent="0.2">
      <c r="A515" s="1">
        <v>1994</v>
      </c>
      <c r="B515" s="2">
        <v>34528</v>
      </c>
      <c r="C515" s="1" t="s">
        <v>509</v>
      </c>
      <c r="D515" s="1" t="s">
        <v>31</v>
      </c>
      <c r="E515" s="1" t="s">
        <v>327</v>
      </c>
      <c r="F515" s="1" t="s">
        <v>328</v>
      </c>
      <c r="G515" s="6" t="str">
        <f>VLOOKUP(A515,WorldCups!$A$2:$B$23,2,FALSE)</f>
        <v>USA</v>
      </c>
      <c r="H515" s="1" t="s">
        <v>48</v>
      </c>
      <c r="I515" s="1">
        <v>0</v>
      </c>
      <c r="J515" s="1">
        <v>1</v>
      </c>
      <c r="K515" s="1" t="s">
        <v>21</v>
      </c>
      <c r="L515" s="1" t="s">
        <v>14</v>
      </c>
      <c r="M515" s="1" t="str">
        <f>IF(ISNUMBER(SEARCH("Group",Table2[[#This Row],[Round]])),"Group stages",Table2[[#This Row],[Round]])</f>
        <v>Semi-finals</v>
      </c>
      <c r="O515" s="1">
        <f>Table2[[#This Row],[Year]]</f>
        <v>1994</v>
      </c>
      <c r="P515" s="1" t="str">
        <f>INDEX(Table2[[HomeTeam]:[Group_details]],ROWS($N$2:N515),COLUMNS($N$2:N515))</f>
        <v>Sweden</v>
      </c>
      <c r="Q515" s="1">
        <f>INDEX(Table2[[HomeTeam]:[Group_details]],ROWS($N$2:O515),COLUMNS($N$2:O515))</f>
        <v>0</v>
      </c>
      <c r="R515" s="1">
        <f>INDEX(Table2[[HomeTeam]:[Group_details]],ROWS($N$2:P515),COLUMNS($N$2:P515))</f>
        <v>1</v>
      </c>
      <c r="S515" s="1" t="str">
        <f>INDEX(Table2[[HomeTeam]:[Group_details]],ROWS($N$2:Q515),COLUMNS($N$2:Q515))</f>
        <v>Brazil</v>
      </c>
      <c r="T515" s="1" t="str">
        <f>INDEX(Table2[[HomeTeam]:[Group_details]],ROWS($N$2:R515),COLUMNS($N$2:R515))</f>
        <v xml:space="preserve"> </v>
      </c>
      <c r="U515" s="1" t="str">
        <f>INDEX(Table2[[HomeTeam]:[Group_details]],ROWS($N$2:S515),COLUMNS($N$2:S515))</f>
        <v>Semi-finals</v>
      </c>
      <c r="V515" s="1" t="b">
        <f t="shared" ref="V515:V578" si="8">IF(O515=$V$1,TRUE)</f>
        <v>0</v>
      </c>
      <c r="W515" s="1" t="str">
        <f>IF(V515=TRUE,ROWS($V$2:V515),"")</f>
        <v/>
      </c>
      <c r="X515" s="1" t="str">
        <f>IFERROR(SMALL($W$2:$W$853,ROWS($W$2:W515)),"")</f>
        <v/>
      </c>
      <c r="Y515" s="1" t="str">
        <f>IF($X515&lt;&gt;"",INDEX($P$2:$U$853,MATCH($X515,$W$2:$W$853,0),COLUMNS($X$2:X515)),"")</f>
        <v/>
      </c>
      <c r="Z515" s="1" t="str">
        <f>IF($X515&lt;&gt;"",INDEX($P$2:$U$853,MATCH($X515,$W$2:$W$853,0),COLUMNS($X$2:Y515)),"")</f>
        <v/>
      </c>
      <c r="AA515" s="1" t="str">
        <f>IF($X515&lt;&gt;"",INDEX($P$2:$U$853,MATCH($X515,$W$2:$W$853,0),COLUMNS($X$2:Z515)),"")</f>
        <v/>
      </c>
      <c r="AB515" s="1" t="str">
        <f>IF($X515&lt;&gt;"",INDEX($P$2:$U$853,MATCH($X515,$W$2:$W$853,0),COLUMNS($X$2:AA515)),"")</f>
        <v/>
      </c>
      <c r="AC515" s="1" t="str">
        <f>IF($X515&lt;&gt;"",INDEX($P$2:$U$853,MATCH($X515,$W$2:$W$853,0),COLUMNS($X$2:AB515)),"")</f>
        <v/>
      </c>
      <c r="AD515" s="1" t="str">
        <f>IF($X515&lt;&gt;"",INDEX($P$2:$U$853,MATCH($X515,$W$2:$W$853,0),COLUMNS($X$2:AC515)),"")</f>
        <v/>
      </c>
    </row>
    <row r="516" spans="1:30" x14ac:dyDescent="0.2">
      <c r="A516" s="1">
        <v>1994</v>
      </c>
      <c r="B516" s="2">
        <v>34531</v>
      </c>
      <c r="C516" s="1" t="s">
        <v>533</v>
      </c>
      <c r="D516" s="1" t="s">
        <v>62</v>
      </c>
      <c r="E516" s="1" t="s">
        <v>327</v>
      </c>
      <c r="F516" s="1" t="s">
        <v>328</v>
      </c>
      <c r="G516" s="6" t="str">
        <f>VLOOKUP(A516,WorldCups!$A$2:$B$23,2,FALSE)</f>
        <v>USA</v>
      </c>
      <c r="H516" s="1" t="s">
        <v>48</v>
      </c>
      <c r="I516" s="1">
        <v>4</v>
      </c>
      <c r="J516" s="1">
        <v>0</v>
      </c>
      <c r="K516" s="1" t="s">
        <v>156</v>
      </c>
      <c r="L516" s="1" t="s">
        <v>14</v>
      </c>
      <c r="M516" s="1" t="str">
        <f>IF(ISNUMBER(SEARCH("Group",Table2[[#This Row],[Round]])),"Group stages",Table2[[#This Row],[Round]])</f>
        <v>Match for third place</v>
      </c>
      <c r="O516" s="1">
        <f>Table2[[#This Row],[Year]]</f>
        <v>1994</v>
      </c>
      <c r="P516" s="1" t="str">
        <f>INDEX(Table2[[HomeTeam]:[Group_details]],ROWS($N$2:N516),COLUMNS($N$2:N516))</f>
        <v>Sweden</v>
      </c>
      <c r="Q516" s="1">
        <f>INDEX(Table2[[HomeTeam]:[Group_details]],ROWS($N$2:O516),COLUMNS($N$2:O516))</f>
        <v>4</v>
      </c>
      <c r="R516" s="1">
        <f>INDEX(Table2[[HomeTeam]:[Group_details]],ROWS($N$2:P516),COLUMNS($N$2:P516))</f>
        <v>0</v>
      </c>
      <c r="S516" s="1" t="str">
        <f>INDEX(Table2[[HomeTeam]:[Group_details]],ROWS($N$2:Q516),COLUMNS($N$2:Q516))</f>
        <v>Bulgaria</v>
      </c>
      <c r="T516" s="1" t="str">
        <f>INDEX(Table2[[HomeTeam]:[Group_details]],ROWS($N$2:R516),COLUMNS($N$2:R516))</f>
        <v xml:space="preserve"> </v>
      </c>
      <c r="U516" s="1" t="str">
        <f>INDEX(Table2[[HomeTeam]:[Group_details]],ROWS($N$2:S516),COLUMNS($N$2:S516))</f>
        <v>Match for third place</v>
      </c>
      <c r="V516" s="1" t="b">
        <f t="shared" si="8"/>
        <v>0</v>
      </c>
      <c r="W516" s="1" t="str">
        <f>IF(V516=TRUE,ROWS($V$2:V516),"")</f>
        <v/>
      </c>
      <c r="X516" s="1" t="str">
        <f>IFERROR(SMALL($W$2:$W$853,ROWS($W$2:W516)),"")</f>
        <v/>
      </c>
      <c r="Y516" s="1" t="str">
        <f>IF($X516&lt;&gt;"",INDEX($P$2:$U$853,MATCH($X516,$W$2:$W$853,0),COLUMNS($X$2:X516)),"")</f>
        <v/>
      </c>
      <c r="Z516" s="1" t="str">
        <f>IF($X516&lt;&gt;"",INDEX($P$2:$U$853,MATCH($X516,$W$2:$W$853,0),COLUMNS($X$2:Y516)),"")</f>
        <v/>
      </c>
      <c r="AA516" s="1" t="str">
        <f>IF($X516&lt;&gt;"",INDEX($P$2:$U$853,MATCH($X516,$W$2:$W$853,0),COLUMNS($X$2:Z516)),"")</f>
        <v/>
      </c>
      <c r="AB516" s="1" t="str">
        <f>IF($X516&lt;&gt;"",INDEX($P$2:$U$853,MATCH($X516,$W$2:$W$853,0),COLUMNS($X$2:AA516)),"")</f>
        <v/>
      </c>
      <c r="AC516" s="1" t="str">
        <f>IF($X516&lt;&gt;"",INDEX($P$2:$U$853,MATCH($X516,$W$2:$W$853,0),COLUMNS($X$2:AB516)),"")</f>
        <v/>
      </c>
      <c r="AD516" s="1" t="str">
        <f>IF($X516&lt;&gt;"",INDEX($P$2:$U$853,MATCH($X516,$W$2:$W$853,0),COLUMNS($X$2:AC516)),"")</f>
        <v/>
      </c>
    </row>
    <row r="517" spans="1:30" x14ac:dyDescent="0.2">
      <c r="A517" s="1">
        <v>1994</v>
      </c>
      <c r="B517" s="2">
        <v>34532</v>
      </c>
      <c r="C517" s="1" t="s">
        <v>533</v>
      </c>
      <c r="D517" s="1" t="s">
        <v>32</v>
      </c>
      <c r="E517" s="1" t="s">
        <v>327</v>
      </c>
      <c r="F517" s="1" t="s">
        <v>328</v>
      </c>
      <c r="G517" s="6" t="str">
        <f>VLOOKUP(A517,WorldCups!$A$2:$B$23,2,FALSE)</f>
        <v>USA</v>
      </c>
      <c r="H517" s="1" t="s">
        <v>21</v>
      </c>
      <c r="I517" s="1">
        <v>0</v>
      </c>
      <c r="J517" s="1">
        <v>0</v>
      </c>
      <c r="K517" s="1" t="s">
        <v>57</v>
      </c>
      <c r="L517" s="1" t="s">
        <v>343</v>
      </c>
      <c r="M517" s="1" t="str">
        <f>IF(ISNUMBER(SEARCH("Group",Table2[[#This Row],[Round]])),"Group stages",Table2[[#This Row],[Round]])</f>
        <v>Final</v>
      </c>
      <c r="O517" s="1">
        <f>Table2[[#This Row],[Year]]</f>
        <v>1994</v>
      </c>
      <c r="P517" s="1" t="str">
        <f>INDEX(Table2[[HomeTeam]:[Group_details]],ROWS($N$2:N517),COLUMNS($N$2:N517))</f>
        <v>Brazil</v>
      </c>
      <c r="Q517" s="1">
        <f>INDEX(Table2[[HomeTeam]:[Group_details]],ROWS($N$2:O517),COLUMNS($N$2:O517))</f>
        <v>0</v>
      </c>
      <c r="R517" s="1">
        <f>INDEX(Table2[[HomeTeam]:[Group_details]],ROWS($N$2:P517),COLUMNS($N$2:P517))</f>
        <v>0</v>
      </c>
      <c r="S517" s="1" t="str">
        <f>INDEX(Table2[[HomeTeam]:[Group_details]],ROWS($N$2:Q517),COLUMNS($N$2:Q517))</f>
        <v>Italy</v>
      </c>
      <c r="T517" s="1" t="str">
        <f>INDEX(Table2[[HomeTeam]:[Group_details]],ROWS($N$2:R517),COLUMNS($N$2:R517))</f>
        <v xml:space="preserve">Brazil win on penalties (3 - 2) </v>
      </c>
      <c r="U517" s="1" t="str">
        <f>INDEX(Table2[[HomeTeam]:[Group_details]],ROWS($N$2:S517),COLUMNS($N$2:S517))</f>
        <v>Final</v>
      </c>
      <c r="V517" s="1" t="b">
        <f t="shared" si="8"/>
        <v>0</v>
      </c>
      <c r="W517" s="1" t="str">
        <f>IF(V517=TRUE,ROWS($V$2:V517),"")</f>
        <v/>
      </c>
      <c r="X517" s="1" t="str">
        <f>IFERROR(SMALL($W$2:$W$853,ROWS($W$2:W517)),"")</f>
        <v/>
      </c>
      <c r="Y517" s="1" t="str">
        <f>IF($X517&lt;&gt;"",INDEX($P$2:$U$853,MATCH($X517,$W$2:$W$853,0),COLUMNS($X$2:X517)),"")</f>
        <v/>
      </c>
      <c r="Z517" s="1" t="str">
        <f>IF($X517&lt;&gt;"",INDEX($P$2:$U$853,MATCH($X517,$W$2:$W$853,0),COLUMNS($X$2:Y517)),"")</f>
        <v/>
      </c>
      <c r="AA517" s="1" t="str">
        <f>IF($X517&lt;&gt;"",INDEX($P$2:$U$853,MATCH($X517,$W$2:$W$853,0),COLUMNS($X$2:Z517)),"")</f>
        <v/>
      </c>
      <c r="AB517" s="1" t="str">
        <f>IF($X517&lt;&gt;"",INDEX($P$2:$U$853,MATCH($X517,$W$2:$W$853,0),COLUMNS($X$2:AA517)),"")</f>
        <v/>
      </c>
      <c r="AC517" s="1" t="str">
        <f>IF($X517&lt;&gt;"",INDEX($P$2:$U$853,MATCH($X517,$W$2:$W$853,0),COLUMNS($X$2:AB517)),"")</f>
        <v/>
      </c>
      <c r="AD517" s="1" t="str">
        <f>IF($X517&lt;&gt;"",INDEX($P$2:$U$853,MATCH($X517,$W$2:$W$853,0),COLUMNS($X$2:AC517)),"")</f>
        <v/>
      </c>
    </row>
    <row r="518" spans="1:30" x14ac:dyDescent="0.2">
      <c r="A518" s="1">
        <v>1998</v>
      </c>
      <c r="B518" s="2">
        <v>35956</v>
      </c>
      <c r="C518" s="1" t="s">
        <v>511</v>
      </c>
      <c r="D518" s="1" t="s">
        <v>214</v>
      </c>
      <c r="E518" s="1" t="s">
        <v>344</v>
      </c>
      <c r="F518" s="1" t="s">
        <v>345</v>
      </c>
      <c r="G518" s="6" t="str">
        <f>VLOOKUP(A518,WorldCups!$A$2:$B$23,2,FALSE)</f>
        <v>France</v>
      </c>
      <c r="H518" s="1" t="s">
        <v>21</v>
      </c>
      <c r="I518" s="1">
        <v>2</v>
      </c>
      <c r="J518" s="1">
        <v>1</v>
      </c>
      <c r="K518" s="1" t="s">
        <v>109</v>
      </c>
      <c r="L518" s="1" t="s">
        <v>14</v>
      </c>
      <c r="M518" s="1" t="str">
        <f>IF(ISNUMBER(SEARCH("Group",Table2[[#This Row],[Round]])),"Group stages",Table2[[#This Row],[Round]])</f>
        <v>Group stages</v>
      </c>
      <c r="O518" s="1">
        <f>Table2[[#This Row],[Year]]</f>
        <v>1998</v>
      </c>
      <c r="P518" s="1" t="str">
        <f>INDEX(Table2[[HomeTeam]:[Group_details]],ROWS($N$2:N518),COLUMNS($N$2:N518))</f>
        <v>Brazil</v>
      </c>
      <c r="Q518" s="1">
        <f>INDEX(Table2[[HomeTeam]:[Group_details]],ROWS($N$2:O518),COLUMNS($N$2:O518))</f>
        <v>2</v>
      </c>
      <c r="R518" s="1">
        <f>INDEX(Table2[[HomeTeam]:[Group_details]],ROWS($N$2:P518),COLUMNS($N$2:P518))</f>
        <v>1</v>
      </c>
      <c r="S518" s="1" t="str">
        <f>INDEX(Table2[[HomeTeam]:[Group_details]],ROWS($N$2:Q518),COLUMNS($N$2:Q518))</f>
        <v>Scotland</v>
      </c>
      <c r="T518" s="1" t="str">
        <f>INDEX(Table2[[HomeTeam]:[Group_details]],ROWS($N$2:R518),COLUMNS($N$2:R518))</f>
        <v xml:space="preserve"> </v>
      </c>
      <c r="U518" s="1" t="str">
        <f>INDEX(Table2[[HomeTeam]:[Group_details]],ROWS($N$2:S518),COLUMNS($N$2:S518))</f>
        <v>Group stages</v>
      </c>
      <c r="V518" s="1" t="b">
        <f t="shared" si="8"/>
        <v>0</v>
      </c>
      <c r="W518" s="1" t="str">
        <f>IF(V518=TRUE,ROWS($V$2:V518),"")</f>
        <v/>
      </c>
      <c r="X518" s="1" t="str">
        <f>IFERROR(SMALL($W$2:$W$853,ROWS($W$2:W518)),"")</f>
        <v/>
      </c>
      <c r="Y518" s="1" t="str">
        <f>IF($X518&lt;&gt;"",INDEX($P$2:$U$853,MATCH($X518,$W$2:$W$853,0),COLUMNS($X$2:X518)),"")</f>
        <v/>
      </c>
      <c r="Z518" s="1" t="str">
        <f>IF($X518&lt;&gt;"",INDEX($P$2:$U$853,MATCH($X518,$W$2:$W$853,0),COLUMNS($X$2:Y518)),"")</f>
        <v/>
      </c>
      <c r="AA518" s="1" t="str">
        <f>IF($X518&lt;&gt;"",INDEX($P$2:$U$853,MATCH($X518,$W$2:$W$853,0),COLUMNS($X$2:Z518)),"")</f>
        <v/>
      </c>
      <c r="AB518" s="1" t="str">
        <f>IF($X518&lt;&gt;"",INDEX($P$2:$U$853,MATCH($X518,$W$2:$W$853,0),COLUMNS($X$2:AA518)),"")</f>
        <v/>
      </c>
      <c r="AC518" s="1" t="str">
        <f>IF($X518&lt;&gt;"",INDEX($P$2:$U$853,MATCH($X518,$W$2:$W$853,0),COLUMNS($X$2:AB518)),"")</f>
        <v/>
      </c>
      <c r="AD518" s="1" t="str">
        <f>IF($X518&lt;&gt;"",INDEX($P$2:$U$853,MATCH($X518,$W$2:$W$853,0),COLUMNS($X$2:AC518)),"")</f>
        <v/>
      </c>
    </row>
    <row r="519" spans="1:30" x14ac:dyDescent="0.2">
      <c r="A519" s="1">
        <v>1998</v>
      </c>
      <c r="B519" s="2">
        <v>35956</v>
      </c>
      <c r="C519" s="1" t="s">
        <v>530</v>
      </c>
      <c r="D519" s="1" t="s">
        <v>214</v>
      </c>
      <c r="E519" s="1" t="s">
        <v>346</v>
      </c>
      <c r="F519" s="1" t="s">
        <v>347</v>
      </c>
      <c r="G519" s="6" t="str">
        <f>VLOOKUP(A519,WorldCups!$A$2:$B$23,2,FALSE)</f>
        <v>France</v>
      </c>
      <c r="H519" s="1" t="s">
        <v>188</v>
      </c>
      <c r="I519" s="1">
        <v>2</v>
      </c>
      <c r="J519" s="1">
        <v>2</v>
      </c>
      <c r="K519" s="1" t="s">
        <v>77</v>
      </c>
      <c r="L519" s="1" t="s">
        <v>14</v>
      </c>
      <c r="M519" s="1" t="str">
        <f>IF(ISNUMBER(SEARCH("Group",Table2[[#This Row],[Round]])),"Group stages",Table2[[#This Row],[Round]])</f>
        <v>Group stages</v>
      </c>
      <c r="O519" s="1">
        <f>Table2[[#This Row],[Year]]</f>
        <v>1998</v>
      </c>
      <c r="P519" s="1" t="str">
        <f>INDEX(Table2[[HomeTeam]:[Group_details]],ROWS($N$2:N519),COLUMNS($N$2:N519))</f>
        <v>Morocco</v>
      </c>
      <c r="Q519" s="1">
        <f>INDEX(Table2[[HomeTeam]:[Group_details]],ROWS($N$2:O519),COLUMNS($N$2:O519))</f>
        <v>2</v>
      </c>
      <c r="R519" s="1">
        <f>INDEX(Table2[[HomeTeam]:[Group_details]],ROWS($N$2:P519),COLUMNS($N$2:P519))</f>
        <v>2</v>
      </c>
      <c r="S519" s="1" t="str">
        <f>INDEX(Table2[[HomeTeam]:[Group_details]],ROWS($N$2:Q519),COLUMNS($N$2:Q519))</f>
        <v>Norway</v>
      </c>
      <c r="T519" s="1" t="str">
        <f>INDEX(Table2[[HomeTeam]:[Group_details]],ROWS($N$2:R519),COLUMNS($N$2:R519))</f>
        <v xml:space="preserve"> </v>
      </c>
      <c r="U519" s="1" t="str">
        <f>INDEX(Table2[[HomeTeam]:[Group_details]],ROWS($N$2:S519),COLUMNS($N$2:S519))</f>
        <v>Group stages</v>
      </c>
      <c r="V519" s="1" t="b">
        <f t="shared" si="8"/>
        <v>0</v>
      </c>
      <c r="W519" s="1" t="str">
        <f>IF(V519=TRUE,ROWS($V$2:V519),"")</f>
        <v/>
      </c>
      <c r="X519" s="1" t="str">
        <f>IFERROR(SMALL($W$2:$W$853,ROWS($W$2:W519)),"")</f>
        <v/>
      </c>
      <c r="Y519" s="1" t="str">
        <f>IF($X519&lt;&gt;"",INDEX($P$2:$U$853,MATCH($X519,$W$2:$W$853,0),COLUMNS($X$2:X519)),"")</f>
        <v/>
      </c>
      <c r="Z519" s="1" t="str">
        <f>IF($X519&lt;&gt;"",INDEX($P$2:$U$853,MATCH($X519,$W$2:$W$853,0),COLUMNS($X$2:Y519)),"")</f>
        <v/>
      </c>
      <c r="AA519" s="1" t="str">
        <f>IF($X519&lt;&gt;"",INDEX($P$2:$U$853,MATCH($X519,$W$2:$W$853,0),COLUMNS($X$2:Z519)),"")</f>
        <v/>
      </c>
      <c r="AB519" s="1" t="str">
        <f>IF($X519&lt;&gt;"",INDEX($P$2:$U$853,MATCH($X519,$W$2:$W$853,0),COLUMNS($X$2:AA519)),"")</f>
        <v/>
      </c>
      <c r="AC519" s="1" t="str">
        <f>IF($X519&lt;&gt;"",INDEX($P$2:$U$853,MATCH($X519,$W$2:$W$853,0),COLUMNS($X$2:AB519)),"")</f>
        <v/>
      </c>
      <c r="AD519" s="1" t="str">
        <f>IF($X519&lt;&gt;"",INDEX($P$2:$U$853,MATCH($X519,$W$2:$W$853,0),COLUMNS($X$2:AC519)),"")</f>
        <v/>
      </c>
    </row>
    <row r="520" spans="1:30" x14ac:dyDescent="0.2">
      <c r="A520" s="1">
        <v>1998</v>
      </c>
      <c r="B520" s="2">
        <v>35957</v>
      </c>
      <c r="C520" s="1" t="s">
        <v>511</v>
      </c>
      <c r="D520" s="1" t="s">
        <v>213</v>
      </c>
      <c r="E520" s="1" t="s">
        <v>85</v>
      </c>
      <c r="F520" s="1" t="s">
        <v>86</v>
      </c>
      <c r="G520" s="6" t="str">
        <f>VLOOKUP(A520,WorldCups!$A$2:$B$23,2,FALSE)</f>
        <v>France</v>
      </c>
      <c r="H520" s="1" t="s">
        <v>57</v>
      </c>
      <c r="I520" s="1">
        <v>2</v>
      </c>
      <c r="J520" s="1">
        <v>2</v>
      </c>
      <c r="K520" s="1" t="s">
        <v>26</v>
      </c>
      <c r="L520" s="1" t="s">
        <v>14</v>
      </c>
      <c r="M520" s="1" t="str">
        <f>IF(ISNUMBER(SEARCH("Group",Table2[[#This Row],[Round]])),"Group stages",Table2[[#This Row],[Round]])</f>
        <v>Group stages</v>
      </c>
      <c r="O520" s="1">
        <f>Table2[[#This Row],[Year]]</f>
        <v>1998</v>
      </c>
      <c r="P520" s="1" t="str">
        <f>INDEX(Table2[[HomeTeam]:[Group_details]],ROWS($N$2:N520),COLUMNS($N$2:N520))</f>
        <v>Italy</v>
      </c>
      <c r="Q520" s="1">
        <f>INDEX(Table2[[HomeTeam]:[Group_details]],ROWS($N$2:O520),COLUMNS($N$2:O520))</f>
        <v>2</v>
      </c>
      <c r="R520" s="1">
        <f>INDEX(Table2[[HomeTeam]:[Group_details]],ROWS($N$2:P520),COLUMNS($N$2:P520))</f>
        <v>2</v>
      </c>
      <c r="S520" s="1" t="str">
        <f>INDEX(Table2[[HomeTeam]:[Group_details]],ROWS($N$2:Q520),COLUMNS($N$2:Q520))</f>
        <v>Chile</v>
      </c>
      <c r="T520" s="1" t="str">
        <f>INDEX(Table2[[HomeTeam]:[Group_details]],ROWS($N$2:R520),COLUMNS($N$2:R520))</f>
        <v xml:space="preserve"> </v>
      </c>
      <c r="U520" s="1" t="str">
        <f>INDEX(Table2[[HomeTeam]:[Group_details]],ROWS($N$2:S520),COLUMNS($N$2:S520))</f>
        <v>Group stages</v>
      </c>
      <c r="V520" s="1" t="b">
        <f t="shared" si="8"/>
        <v>0</v>
      </c>
      <c r="W520" s="1" t="str">
        <f>IF(V520=TRUE,ROWS($V$2:V520),"")</f>
        <v/>
      </c>
      <c r="X520" s="1" t="str">
        <f>IFERROR(SMALL($W$2:$W$853,ROWS($W$2:W520)),"")</f>
        <v/>
      </c>
      <c r="Y520" s="1" t="str">
        <f>IF($X520&lt;&gt;"",INDEX($P$2:$U$853,MATCH($X520,$W$2:$W$853,0),COLUMNS($X$2:X520)),"")</f>
        <v/>
      </c>
      <c r="Z520" s="1" t="str">
        <f>IF($X520&lt;&gt;"",INDEX($P$2:$U$853,MATCH($X520,$W$2:$W$853,0),COLUMNS($X$2:Y520)),"")</f>
        <v/>
      </c>
      <c r="AA520" s="1" t="str">
        <f>IF($X520&lt;&gt;"",INDEX($P$2:$U$853,MATCH($X520,$W$2:$W$853,0),COLUMNS($X$2:Z520)),"")</f>
        <v/>
      </c>
      <c r="AB520" s="1" t="str">
        <f>IF($X520&lt;&gt;"",INDEX($P$2:$U$853,MATCH($X520,$W$2:$W$853,0),COLUMNS($X$2:AA520)),"")</f>
        <v/>
      </c>
      <c r="AC520" s="1" t="str">
        <f>IF($X520&lt;&gt;"",INDEX($P$2:$U$853,MATCH($X520,$W$2:$W$853,0),COLUMNS($X$2:AB520)),"")</f>
        <v/>
      </c>
      <c r="AD520" s="1" t="str">
        <f>IF($X520&lt;&gt;"",INDEX($P$2:$U$853,MATCH($X520,$W$2:$W$853,0),COLUMNS($X$2:AC520)),"")</f>
        <v/>
      </c>
    </row>
    <row r="521" spans="1:30" x14ac:dyDescent="0.2">
      <c r="A521" s="1">
        <v>1998</v>
      </c>
      <c r="B521" s="2">
        <v>35957</v>
      </c>
      <c r="C521" s="1" t="s">
        <v>530</v>
      </c>
      <c r="D521" s="1" t="s">
        <v>213</v>
      </c>
      <c r="E521" s="1" t="s">
        <v>72</v>
      </c>
      <c r="F521" s="1" t="s">
        <v>73</v>
      </c>
      <c r="G521" s="6" t="str">
        <f>VLOOKUP(A521,WorldCups!$A$2:$B$23,2,FALSE)</f>
        <v>France</v>
      </c>
      <c r="H521" s="1" t="s">
        <v>238</v>
      </c>
      <c r="I521" s="1">
        <v>1</v>
      </c>
      <c r="J521" s="1">
        <v>1</v>
      </c>
      <c r="K521" s="1" t="s">
        <v>36</v>
      </c>
      <c r="L521" s="1" t="s">
        <v>14</v>
      </c>
      <c r="M521" s="1" t="str">
        <f>IF(ISNUMBER(SEARCH("Group",Table2[[#This Row],[Round]])),"Group stages",Table2[[#This Row],[Round]])</f>
        <v>Group stages</v>
      </c>
      <c r="O521" s="1">
        <f>Table2[[#This Row],[Year]]</f>
        <v>1998</v>
      </c>
      <c r="P521" s="1" t="str">
        <f>INDEX(Table2[[HomeTeam]:[Group_details]],ROWS($N$2:N521),COLUMNS($N$2:N521))</f>
        <v>Cameroon</v>
      </c>
      <c r="Q521" s="1">
        <f>INDEX(Table2[[HomeTeam]:[Group_details]],ROWS($N$2:O521),COLUMNS($N$2:O521))</f>
        <v>1</v>
      </c>
      <c r="R521" s="1">
        <f>INDEX(Table2[[HomeTeam]:[Group_details]],ROWS($N$2:P521),COLUMNS($N$2:P521))</f>
        <v>1</v>
      </c>
      <c r="S521" s="1" t="str">
        <f>INDEX(Table2[[HomeTeam]:[Group_details]],ROWS($N$2:Q521),COLUMNS($N$2:Q521))</f>
        <v>Austria</v>
      </c>
      <c r="T521" s="1" t="str">
        <f>INDEX(Table2[[HomeTeam]:[Group_details]],ROWS($N$2:R521),COLUMNS($N$2:R521))</f>
        <v xml:space="preserve"> </v>
      </c>
      <c r="U521" s="1" t="str">
        <f>INDEX(Table2[[HomeTeam]:[Group_details]],ROWS($N$2:S521),COLUMNS($N$2:S521))</f>
        <v>Group stages</v>
      </c>
      <c r="V521" s="1" t="b">
        <f t="shared" si="8"/>
        <v>0</v>
      </c>
      <c r="W521" s="1" t="str">
        <f>IF(V521=TRUE,ROWS($V$2:V521),"")</f>
        <v/>
      </c>
      <c r="X521" s="1" t="str">
        <f>IFERROR(SMALL($W$2:$W$853,ROWS($W$2:W521)),"")</f>
        <v/>
      </c>
      <c r="Y521" s="1" t="str">
        <f>IF($X521&lt;&gt;"",INDEX($P$2:$U$853,MATCH($X521,$W$2:$W$853,0),COLUMNS($X$2:X521)),"")</f>
        <v/>
      </c>
      <c r="Z521" s="1" t="str">
        <f>IF($X521&lt;&gt;"",INDEX($P$2:$U$853,MATCH($X521,$W$2:$W$853,0),COLUMNS($X$2:Y521)),"")</f>
        <v/>
      </c>
      <c r="AA521" s="1" t="str">
        <f>IF($X521&lt;&gt;"",INDEX($P$2:$U$853,MATCH($X521,$W$2:$W$853,0),COLUMNS($X$2:Z521)),"")</f>
        <v/>
      </c>
      <c r="AB521" s="1" t="str">
        <f>IF($X521&lt;&gt;"",INDEX($P$2:$U$853,MATCH($X521,$W$2:$W$853,0),COLUMNS($X$2:AA521)),"")</f>
        <v/>
      </c>
      <c r="AC521" s="1" t="str">
        <f>IF($X521&lt;&gt;"",INDEX($P$2:$U$853,MATCH($X521,$W$2:$W$853,0),COLUMNS($X$2:AB521)),"")</f>
        <v/>
      </c>
      <c r="AD521" s="1" t="str">
        <f>IF($X521&lt;&gt;"",INDEX($P$2:$U$853,MATCH($X521,$W$2:$W$853,0),COLUMNS($X$2:AC521)),"")</f>
        <v/>
      </c>
    </row>
    <row r="522" spans="1:30" x14ac:dyDescent="0.2">
      <c r="A522" s="1">
        <v>1998</v>
      </c>
      <c r="B522" s="2">
        <v>35958</v>
      </c>
      <c r="C522" s="1" t="s">
        <v>505</v>
      </c>
      <c r="D522" s="1" t="s">
        <v>270</v>
      </c>
      <c r="E522" s="1" t="s">
        <v>346</v>
      </c>
      <c r="F522" s="1" t="s">
        <v>347</v>
      </c>
      <c r="G522" s="6" t="str">
        <f>VLOOKUP(A522,WorldCups!$A$2:$B$23,2,FALSE)</f>
        <v>France</v>
      </c>
      <c r="H522" s="1" t="s">
        <v>28</v>
      </c>
      <c r="I522" s="1">
        <v>0</v>
      </c>
      <c r="J522" s="1">
        <v>0</v>
      </c>
      <c r="K522" s="1" t="s">
        <v>156</v>
      </c>
      <c r="L522" s="1" t="s">
        <v>14</v>
      </c>
      <c r="M522" s="1" t="str">
        <f>IF(ISNUMBER(SEARCH("Group",Table2[[#This Row],[Round]])),"Group stages",Table2[[#This Row],[Round]])</f>
        <v>Group stages</v>
      </c>
      <c r="O522" s="1">
        <f>Table2[[#This Row],[Year]]</f>
        <v>1998</v>
      </c>
      <c r="P522" s="1" t="str">
        <f>INDEX(Table2[[HomeTeam]:[Group_details]],ROWS($N$2:N522),COLUMNS($N$2:N522))</f>
        <v>Paraguay</v>
      </c>
      <c r="Q522" s="1">
        <f>INDEX(Table2[[HomeTeam]:[Group_details]],ROWS($N$2:O522),COLUMNS($N$2:O522))</f>
        <v>0</v>
      </c>
      <c r="R522" s="1">
        <f>INDEX(Table2[[HomeTeam]:[Group_details]],ROWS($N$2:P522),COLUMNS($N$2:P522))</f>
        <v>0</v>
      </c>
      <c r="S522" s="1" t="str">
        <f>INDEX(Table2[[HomeTeam]:[Group_details]],ROWS($N$2:Q522),COLUMNS($N$2:Q522))</f>
        <v>Bulgaria</v>
      </c>
      <c r="T522" s="1" t="str">
        <f>INDEX(Table2[[HomeTeam]:[Group_details]],ROWS($N$2:R522),COLUMNS($N$2:R522))</f>
        <v xml:space="preserve"> </v>
      </c>
      <c r="U522" s="1" t="str">
        <f>INDEX(Table2[[HomeTeam]:[Group_details]],ROWS($N$2:S522),COLUMNS($N$2:S522))</f>
        <v>Group stages</v>
      </c>
      <c r="V522" s="1" t="b">
        <f t="shared" si="8"/>
        <v>0</v>
      </c>
      <c r="W522" s="1" t="str">
        <f>IF(V522=TRUE,ROWS($V$2:V522),"")</f>
        <v/>
      </c>
      <c r="X522" s="1" t="str">
        <f>IFERROR(SMALL($W$2:$W$853,ROWS($W$2:W522)),"")</f>
        <v/>
      </c>
      <c r="Y522" s="1" t="str">
        <f>IF($X522&lt;&gt;"",INDEX($P$2:$U$853,MATCH($X522,$W$2:$W$853,0),COLUMNS($X$2:X522)),"")</f>
        <v/>
      </c>
      <c r="Z522" s="1" t="str">
        <f>IF($X522&lt;&gt;"",INDEX($P$2:$U$853,MATCH($X522,$W$2:$W$853,0),COLUMNS($X$2:Y522)),"")</f>
        <v/>
      </c>
      <c r="AA522" s="1" t="str">
        <f>IF($X522&lt;&gt;"",INDEX($P$2:$U$853,MATCH($X522,$W$2:$W$853,0),COLUMNS($X$2:Z522)),"")</f>
        <v/>
      </c>
      <c r="AB522" s="1" t="str">
        <f>IF($X522&lt;&gt;"",INDEX($P$2:$U$853,MATCH($X522,$W$2:$W$853,0),COLUMNS($X$2:AA522)),"")</f>
        <v/>
      </c>
      <c r="AC522" s="1" t="str">
        <f>IF($X522&lt;&gt;"",INDEX($P$2:$U$853,MATCH($X522,$W$2:$W$853,0),COLUMNS($X$2:AB522)),"")</f>
        <v/>
      </c>
      <c r="AD522" s="1" t="str">
        <f>IF($X522&lt;&gt;"",INDEX($P$2:$U$853,MATCH($X522,$W$2:$W$853,0),COLUMNS($X$2:AC522)),"")</f>
        <v/>
      </c>
    </row>
    <row r="523" spans="1:30" x14ac:dyDescent="0.2">
      <c r="A523" s="1">
        <v>1998</v>
      </c>
      <c r="B523" s="2">
        <v>35958</v>
      </c>
      <c r="C523" s="1" t="s">
        <v>511</v>
      </c>
      <c r="D523" s="1" t="s">
        <v>268</v>
      </c>
      <c r="E523" s="1" t="s">
        <v>348</v>
      </c>
      <c r="F523" s="1" t="s">
        <v>349</v>
      </c>
      <c r="G523" s="6" t="str">
        <f>VLOOKUP(A523,WorldCups!$A$2:$B$23,2,FALSE)</f>
        <v>France</v>
      </c>
      <c r="H523" s="1" t="s">
        <v>333</v>
      </c>
      <c r="I523" s="1">
        <v>0</v>
      </c>
      <c r="J523" s="1">
        <v>1</v>
      </c>
      <c r="K523" s="1" t="s">
        <v>284</v>
      </c>
      <c r="L523" s="1" t="s">
        <v>14</v>
      </c>
      <c r="M523" s="1" t="str">
        <f>IF(ISNUMBER(SEARCH("Group",Table2[[#This Row],[Round]])),"Group stages",Table2[[#This Row],[Round]])</f>
        <v>Group stages</v>
      </c>
      <c r="O523" s="1">
        <f>Table2[[#This Row],[Year]]</f>
        <v>1998</v>
      </c>
      <c r="P523" s="1" t="str">
        <f>INDEX(Table2[[HomeTeam]:[Group_details]],ROWS($N$2:N523),COLUMNS($N$2:N523))</f>
        <v>Saudi Arabia</v>
      </c>
      <c r="Q523" s="1">
        <f>INDEX(Table2[[HomeTeam]:[Group_details]],ROWS($N$2:O523),COLUMNS($N$2:O523))</f>
        <v>0</v>
      </c>
      <c r="R523" s="1">
        <f>INDEX(Table2[[HomeTeam]:[Group_details]],ROWS($N$2:P523),COLUMNS($N$2:P523))</f>
        <v>1</v>
      </c>
      <c r="S523" s="1" t="str">
        <f>INDEX(Table2[[HomeTeam]:[Group_details]],ROWS($N$2:Q523),COLUMNS($N$2:Q523))</f>
        <v>Denmark</v>
      </c>
      <c r="T523" s="1" t="str">
        <f>INDEX(Table2[[HomeTeam]:[Group_details]],ROWS($N$2:R523),COLUMNS($N$2:R523))</f>
        <v xml:space="preserve"> </v>
      </c>
      <c r="U523" s="1" t="str">
        <f>INDEX(Table2[[HomeTeam]:[Group_details]],ROWS($N$2:S523),COLUMNS($N$2:S523))</f>
        <v>Group stages</v>
      </c>
      <c r="V523" s="1" t="b">
        <f t="shared" si="8"/>
        <v>0</v>
      </c>
      <c r="W523" s="1" t="str">
        <f>IF(V523=TRUE,ROWS($V$2:V523),"")</f>
        <v/>
      </c>
      <c r="X523" s="1" t="str">
        <f>IFERROR(SMALL($W$2:$W$853,ROWS($W$2:W523)),"")</f>
        <v/>
      </c>
      <c r="Y523" s="1" t="str">
        <f>IF($X523&lt;&gt;"",INDEX($P$2:$U$853,MATCH($X523,$W$2:$W$853,0),COLUMNS($X$2:X523)),"")</f>
        <v/>
      </c>
      <c r="Z523" s="1" t="str">
        <f>IF($X523&lt;&gt;"",INDEX($P$2:$U$853,MATCH($X523,$W$2:$W$853,0),COLUMNS($X$2:Y523)),"")</f>
        <v/>
      </c>
      <c r="AA523" s="1" t="str">
        <f>IF($X523&lt;&gt;"",INDEX($P$2:$U$853,MATCH($X523,$W$2:$W$853,0),COLUMNS($X$2:Z523)),"")</f>
        <v/>
      </c>
      <c r="AB523" s="1" t="str">
        <f>IF($X523&lt;&gt;"",INDEX($P$2:$U$853,MATCH($X523,$W$2:$W$853,0),COLUMNS($X$2:AA523)),"")</f>
        <v/>
      </c>
      <c r="AC523" s="1" t="str">
        <f>IF($X523&lt;&gt;"",INDEX($P$2:$U$853,MATCH($X523,$W$2:$W$853,0),COLUMNS($X$2:AB523)),"")</f>
        <v/>
      </c>
      <c r="AD523" s="1" t="str">
        <f>IF($X523&lt;&gt;"",INDEX($P$2:$U$853,MATCH($X523,$W$2:$W$853,0),COLUMNS($X$2:AC523)),"")</f>
        <v/>
      </c>
    </row>
    <row r="524" spans="1:30" x14ac:dyDescent="0.2">
      <c r="A524" s="1">
        <v>1998</v>
      </c>
      <c r="B524" s="2">
        <v>35958</v>
      </c>
      <c r="C524" s="1" t="s">
        <v>530</v>
      </c>
      <c r="D524" s="1" t="s">
        <v>268</v>
      </c>
      <c r="E524" s="1" t="s">
        <v>75</v>
      </c>
      <c r="F524" s="1" t="s">
        <v>76</v>
      </c>
      <c r="G524" s="6" t="str">
        <f>VLOOKUP(A524,WorldCups!$A$2:$B$23,2,FALSE)</f>
        <v>France</v>
      </c>
      <c r="H524" s="1" t="s">
        <v>12</v>
      </c>
      <c r="I524" s="1">
        <v>3</v>
      </c>
      <c r="J524" s="1">
        <v>0</v>
      </c>
      <c r="K524" s="1" t="s">
        <v>350</v>
      </c>
      <c r="L524" s="1" t="s">
        <v>14</v>
      </c>
      <c r="M524" s="1" t="str">
        <f>IF(ISNUMBER(SEARCH("Group",Table2[[#This Row],[Round]])),"Group stages",Table2[[#This Row],[Round]])</f>
        <v>Group stages</v>
      </c>
      <c r="O524" s="1">
        <f>Table2[[#This Row],[Year]]</f>
        <v>1998</v>
      </c>
      <c r="P524" s="1" t="str">
        <f>INDEX(Table2[[HomeTeam]:[Group_details]],ROWS($N$2:N524),COLUMNS($N$2:N524))</f>
        <v>France</v>
      </c>
      <c r="Q524" s="1">
        <f>INDEX(Table2[[HomeTeam]:[Group_details]],ROWS($N$2:O524),COLUMNS($N$2:O524))</f>
        <v>3</v>
      </c>
      <c r="R524" s="1">
        <f>INDEX(Table2[[HomeTeam]:[Group_details]],ROWS($N$2:P524),COLUMNS($N$2:P524))</f>
        <v>0</v>
      </c>
      <c r="S524" s="1" t="str">
        <f>INDEX(Table2[[HomeTeam]:[Group_details]],ROWS($N$2:Q524),COLUMNS($N$2:Q524))</f>
        <v>South Africa</v>
      </c>
      <c r="T524" s="1" t="str">
        <f>INDEX(Table2[[HomeTeam]:[Group_details]],ROWS($N$2:R524),COLUMNS($N$2:R524))</f>
        <v xml:space="preserve"> </v>
      </c>
      <c r="U524" s="1" t="str">
        <f>INDEX(Table2[[HomeTeam]:[Group_details]],ROWS($N$2:S524),COLUMNS($N$2:S524))</f>
        <v>Group stages</v>
      </c>
      <c r="V524" s="1" t="b">
        <f t="shared" si="8"/>
        <v>0</v>
      </c>
      <c r="W524" s="1" t="str">
        <f>IF(V524=TRUE,ROWS($V$2:V524),"")</f>
        <v/>
      </c>
      <c r="X524" s="1" t="str">
        <f>IFERROR(SMALL($W$2:$W$853,ROWS($W$2:W524)),"")</f>
        <v/>
      </c>
      <c r="Y524" s="1" t="str">
        <f>IF($X524&lt;&gt;"",INDEX($P$2:$U$853,MATCH($X524,$W$2:$W$853,0),COLUMNS($X$2:X524)),"")</f>
        <v/>
      </c>
      <c r="Z524" s="1" t="str">
        <f>IF($X524&lt;&gt;"",INDEX($P$2:$U$853,MATCH($X524,$W$2:$W$853,0),COLUMNS($X$2:Y524)),"")</f>
        <v/>
      </c>
      <c r="AA524" s="1" t="str">
        <f>IF($X524&lt;&gt;"",INDEX($P$2:$U$853,MATCH($X524,$W$2:$W$853,0),COLUMNS($X$2:Z524)),"")</f>
        <v/>
      </c>
      <c r="AB524" s="1" t="str">
        <f>IF($X524&lt;&gt;"",INDEX($P$2:$U$853,MATCH($X524,$W$2:$W$853,0),COLUMNS($X$2:AA524)),"")</f>
        <v/>
      </c>
      <c r="AC524" s="1" t="str">
        <f>IF($X524&lt;&gt;"",INDEX($P$2:$U$853,MATCH($X524,$W$2:$W$853,0),COLUMNS($X$2:AB524)),"")</f>
        <v/>
      </c>
      <c r="AD524" s="1" t="str">
        <f>IF($X524&lt;&gt;"",INDEX($P$2:$U$853,MATCH($X524,$W$2:$W$853,0),COLUMNS($X$2:AC524)),"")</f>
        <v/>
      </c>
    </row>
    <row r="525" spans="1:30" x14ac:dyDescent="0.2">
      <c r="A525" s="1">
        <v>1998</v>
      </c>
      <c r="B525" s="2">
        <v>35959</v>
      </c>
      <c r="C525" s="1" t="s">
        <v>505</v>
      </c>
      <c r="D525" s="1" t="s">
        <v>270</v>
      </c>
      <c r="E525" s="1" t="s">
        <v>351</v>
      </c>
      <c r="F525" s="1" t="s">
        <v>352</v>
      </c>
      <c r="G525" s="6" t="str">
        <f>VLOOKUP(A525,WorldCups!$A$2:$B$23,2,FALSE)</f>
        <v>France</v>
      </c>
      <c r="H525" s="1" t="s">
        <v>54</v>
      </c>
      <c r="I525" s="1">
        <v>2</v>
      </c>
      <c r="J525" s="1">
        <v>3</v>
      </c>
      <c r="K525" s="1" t="s">
        <v>340</v>
      </c>
      <c r="L525" s="1" t="s">
        <v>14</v>
      </c>
      <c r="M525" s="1" t="str">
        <f>IF(ISNUMBER(SEARCH("Group",Table2[[#This Row],[Round]])),"Group stages",Table2[[#This Row],[Round]])</f>
        <v>Group stages</v>
      </c>
      <c r="O525" s="1">
        <f>Table2[[#This Row],[Year]]</f>
        <v>1998</v>
      </c>
      <c r="P525" s="1" t="str">
        <f>INDEX(Table2[[HomeTeam]:[Group_details]],ROWS($N$2:N525),COLUMNS($N$2:N525))</f>
        <v>Spain</v>
      </c>
      <c r="Q525" s="1">
        <f>INDEX(Table2[[HomeTeam]:[Group_details]],ROWS($N$2:O525),COLUMNS($N$2:O525))</f>
        <v>2</v>
      </c>
      <c r="R525" s="1">
        <f>INDEX(Table2[[HomeTeam]:[Group_details]],ROWS($N$2:P525),COLUMNS($N$2:P525))</f>
        <v>3</v>
      </c>
      <c r="S525" s="1" t="str">
        <f>INDEX(Table2[[HomeTeam]:[Group_details]],ROWS($N$2:Q525),COLUMNS($N$2:Q525))</f>
        <v>Nigeria</v>
      </c>
      <c r="T525" s="1" t="str">
        <f>INDEX(Table2[[HomeTeam]:[Group_details]],ROWS($N$2:R525),COLUMNS($N$2:R525))</f>
        <v xml:space="preserve"> </v>
      </c>
      <c r="U525" s="1" t="str">
        <f>INDEX(Table2[[HomeTeam]:[Group_details]],ROWS($N$2:S525),COLUMNS($N$2:S525))</f>
        <v>Group stages</v>
      </c>
      <c r="V525" s="1" t="b">
        <f t="shared" si="8"/>
        <v>0</v>
      </c>
      <c r="W525" s="1" t="str">
        <f>IF(V525=TRUE,ROWS($V$2:V525),"")</f>
        <v/>
      </c>
      <c r="X525" s="1" t="str">
        <f>IFERROR(SMALL($W$2:$W$853,ROWS($W$2:W525)),"")</f>
        <v/>
      </c>
      <c r="Y525" s="1" t="str">
        <f>IF($X525&lt;&gt;"",INDEX($P$2:$U$853,MATCH($X525,$W$2:$W$853,0),COLUMNS($X$2:X525)),"")</f>
        <v/>
      </c>
      <c r="Z525" s="1" t="str">
        <f>IF($X525&lt;&gt;"",INDEX($P$2:$U$853,MATCH($X525,$W$2:$W$853,0),COLUMNS($X$2:Y525)),"")</f>
        <v/>
      </c>
      <c r="AA525" s="1" t="str">
        <f>IF($X525&lt;&gt;"",INDEX($P$2:$U$853,MATCH($X525,$W$2:$W$853,0),COLUMNS($X$2:Z525)),"")</f>
        <v/>
      </c>
      <c r="AB525" s="1" t="str">
        <f>IF($X525&lt;&gt;"",INDEX($P$2:$U$853,MATCH($X525,$W$2:$W$853,0),COLUMNS($X$2:AA525)),"")</f>
        <v/>
      </c>
      <c r="AC525" s="1" t="str">
        <f>IF($X525&lt;&gt;"",INDEX($P$2:$U$853,MATCH($X525,$W$2:$W$853,0),COLUMNS($X$2:AB525)),"")</f>
        <v/>
      </c>
      <c r="AD525" s="1" t="str">
        <f>IF($X525&lt;&gt;"",INDEX($P$2:$U$853,MATCH($X525,$W$2:$W$853,0),COLUMNS($X$2:AC525)),"")</f>
        <v/>
      </c>
    </row>
    <row r="526" spans="1:30" x14ac:dyDescent="0.2">
      <c r="A526" s="1">
        <v>1998</v>
      </c>
      <c r="B526" s="2">
        <v>35959</v>
      </c>
      <c r="C526" s="1" t="s">
        <v>511</v>
      </c>
      <c r="D526" s="1" t="s">
        <v>281</v>
      </c>
      <c r="E526" s="1" t="s">
        <v>353</v>
      </c>
      <c r="F526" s="1" t="s">
        <v>354</v>
      </c>
      <c r="G526" s="6" t="str">
        <f>VLOOKUP(A526,WorldCups!$A$2:$B$23,2,FALSE)</f>
        <v>France</v>
      </c>
      <c r="H526" s="1" t="s">
        <v>116</v>
      </c>
      <c r="I526" s="1">
        <v>1</v>
      </c>
      <c r="J526" s="1">
        <v>3</v>
      </c>
      <c r="K526" s="1" t="s">
        <v>13</v>
      </c>
      <c r="L526" s="1" t="s">
        <v>14</v>
      </c>
      <c r="M526" s="1" t="str">
        <f>IF(ISNUMBER(SEARCH("Group",Table2[[#This Row],[Round]])),"Group stages",Table2[[#This Row],[Round]])</f>
        <v>Group stages</v>
      </c>
      <c r="O526" s="1">
        <f>Table2[[#This Row],[Year]]</f>
        <v>1998</v>
      </c>
      <c r="P526" s="1" t="str">
        <f>INDEX(Table2[[HomeTeam]:[Group_details]],ROWS($N$2:N526),COLUMNS($N$2:N526))</f>
        <v>Korea Republic</v>
      </c>
      <c r="Q526" s="1">
        <f>INDEX(Table2[[HomeTeam]:[Group_details]],ROWS($N$2:O526),COLUMNS($N$2:O526))</f>
        <v>1</v>
      </c>
      <c r="R526" s="1">
        <f>INDEX(Table2[[HomeTeam]:[Group_details]],ROWS($N$2:P526),COLUMNS($N$2:P526))</f>
        <v>3</v>
      </c>
      <c r="S526" s="1" t="str">
        <f>INDEX(Table2[[HomeTeam]:[Group_details]],ROWS($N$2:Q526),COLUMNS($N$2:Q526))</f>
        <v>Mexico</v>
      </c>
      <c r="T526" s="1" t="str">
        <f>INDEX(Table2[[HomeTeam]:[Group_details]],ROWS($N$2:R526),COLUMNS($N$2:R526))</f>
        <v xml:space="preserve"> </v>
      </c>
      <c r="U526" s="1" t="str">
        <f>INDEX(Table2[[HomeTeam]:[Group_details]],ROWS($N$2:S526),COLUMNS($N$2:S526))</f>
        <v>Group stages</v>
      </c>
      <c r="V526" s="1" t="b">
        <f t="shared" si="8"/>
        <v>0</v>
      </c>
      <c r="W526" s="1" t="str">
        <f>IF(V526=TRUE,ROWS($V$2:V526),"")</f>
        <v/>
      </c>
      <c r="X526" s="1" t="str">
        <f>IFERROR(SMALL($W$2:$W$853,ROWS($W$2:W526)),"")</f>
        <v/>
      </c>
      <c r="Y526" s="1" t="str">
        <f>IF($X526&lt;&gt;"",INDEX($P$2:$U$853,MATCH($X526,$W$2:$W$853,0),COLUMNS($X$2:X526)),"")</f>
        <v/>
      </c>
      <c r="Z526" s="1" t="str">
        <f>IF($X526&lt;&gt;"",INDEX($P$2:$U$853,MATCH($X526,$W$2:$W$853,0),COLUMNS($X$2:Y526)),"")</f>
        <v/>
      </c>
      <c r="AA526" s="1" t="str">
        <f>IF($X526&lt;&gt;"",INDEX($P$2:$U$853,MATCH($X526,$W$2:$W$853,0),COLUMNS($X$2:Z526)),"")</f>
        <v/>
      </c>
      <c r="AB526" s="1" t="str">
        <f>IF($X526&lt;&gt;"",INDEX($P$2:$U$853,MATCH($X526,$W$2:$W$853,0),COLUMNS($X$2:AA526)),"")</f>
        <v/>
      </c>
      <c r="AC526" s="1" t="str">
        <f>IF($X526&lt;&gt;"",INDEX($P$2:$U$853,MATCH($X526,$W$2:$W$853,0),COLUMNS($X$2:AB526)),"")</f>
        <v/>
      </c>
      <c r="AD526" s="1" t="str">
        <f>IF($X526&lt;&gt;"",INDEX($P$2:$U$853,MATCH($X526,$W$2:$W$853,0),COLUMNS($X$2:AC526)),"")</f>
        <v/>
      </c>
    </row>
    <row r="527" spans="1:30" x14ac:dyDescent="0.2">
      <c r="A527" s="1">
        <v>1998</v>
      </c>
      <c r="B527" s="2">
        <v>35959</v>
      </c>
      <c r="C527" s="1" t="s">
        <v>530</v>
      </c>
      <c r="D527" s="1" t="s">
        <v>281</v>
      </c>
      <c r="E527" s="1" t="s">
        <v>344</v>
      </c>
      <c r="F527" s="1" t="s">
        <v>345</v>
      </c>
      <c r="G527" s="6" t="str">
        <f>VLOOKUP(A527,WorldCups!$A$2:$B$23,2,FALSE)</f>
        <v>France</v>
      </c>
      <c r="H527" s="1" t="s">
        <v>45</v>
      </c>
      <c r="I527" s="1">
        <v>0</v>
      </c>
      <c r="J527" s="1">
        <v>0</v>
      </c>
      <c r="K527" s="1" t="s">
        <v>18</v>
      </c>
      <c r="L527" s="1" t="s">
        <v>14</v>
      </c>
      <c r="M527" s="1" t="str">
        <f>IF(ISNUMBER(SEARCH("Group",Table2[[#This Row],[Round]])),"Group stages",Table2[[#This Row],[Round]])</f>
        <v>Group stages</v>
      </c>
      <c r="O527" s="1">
        <f>Table2[[#This Row],[Year]]</f>
        <v>1998</v>
      </c>
      <c r="P527" s="1" t="str">
        <f>INDEX(Table2[[HomeTeam]:[Group_details]],ROWS($N$2:N527),COLUMNS($N$2:N527))</f>
        <v>Netherlands</v>
      </c>
      <c r="Q527" s="1">
        <f>INDEX(Table2[[HomeTeam]:[Group_details]],ROWS($N$2:O527),COLUMNS($N$2:O527))</f>
        <v>0</v>
      </c>
      <c r="R527" s="1">
        <f>INDEX(Table2[[HomeTeam]:[Group_details]],ROWS($N$2:P527),COLUMNS($N$2:P527))</f>
        <v>0</v>
      </c>
      <c r="S527" s="1" t="str">
        <f>INDEX(Table2[[HomeTeam]:[Group_details]],ROWS($N$2:Q527),COLUMNS($N$2:Q527))</f>
        <v>Belgium</v>
      </c>
      <c r="T527" s="1" t="str">
        <f>INDEX(Table2[[HomeTeam]:[Group_details]],ROWS($N$2:R527),COLUMNS($N$2:R527))</f>
        <v xml:space="preserve"> </v>
      </c>
      <c r="U527" s="1" t="str">
        <f>INDEX(Table2[[HomeTeam]:[Group_details]],ROWS($N$2:S527),COLUMNS($N$2:S527))</f>
        <v>Group stages</v>
      </c>
      <c r="V527" s="1" t="b">
        <f t="shared" si="8"/>
        <v>0</v>
      </c>
      <c r="W527" s="1" t="str">
        <f>IF(V527=TRUE,ROWS($V$2:V527),"")</f>
        <v/>
      </c>
      <c r="X527" s="1" t="str">
        <f>IFERROR(SMALL($W$2:$W$853,ROWS($W$2:W527)),"")</f>
        <v/>
      </c>
      <c r="Y527" s="1" t="str">
        <f>IF($X527&lt;&gt;"",INDEX($P$2:$U$853,MATCH($X527,$W$2:$W$853,0),COLUMNS($X$2:X527)),"")</f>
        <v/>
      </c>
      <c r="Z527" s="1" t="str">
        <f>IF($X527&lt;&gt;"",INDEX($P$2:$U$853,MATCH($X527,$W$2:$W$853,0),COLUMNS($X$2:Y527)),"")</f>
        <v/>
      </c>
      <c r="AA527" s="1" t="str">
        <f>IF($X527&lt;&gt;"",INDEX($P$2:$U$853,MATCH($X527,$W$2:$W$853,0),COLUMNS($X$2:Z527)),"")</f>
        <v/>
      </c>
      <c r="AB527" s="1" t="str">
        <f>IF($X527&lt;&gt;"",INDEX($P$2:$U$853,MATCH($X527,$W$2:$W$853,0),COLUMNS($X$2:AA527)),"")</f>
        <v/>
      </c>
      <c r="AC527" s="1" t="str">
        <f>IF($X527&lt;&gt;"",INDEX($P$2:$U$853,MATCH($X527,$W$2:$W$853,0),COLUMNS($X$2:AB527)),"")</f>
        <v/>
      </c>
      <c r="AD527" s="1" t="str">
        <f>IF($X527&lt;&gt;"",INDEX($P$2:$U$853,MATCH($X527,$W$2:$W$853,0),COLUMNS($X$2:AC527)),"")</f>
        <v/>
      </c>
    </row>
    <row r="528" spans="1:30" x14ac:dyDescent="0.2">
      <c r="A528" s="1">
        <v>1998</v>
      </c>
      <c r="B528" s="2">
        <v>35960</v>
      </c>
      <c r="C528" s="1" t="s">
        <v>505</v>
      </c>
      <c r="D528" s="1" t="s">
        <v>355</v>
      </c>
      <c r="E528" s="1" t="s">
        <v>72</v>
      </c>
      <c r="F528" s="1" t="s">
        <v>73</v>
      </c>
      <c r="G528" s="6" t="str">
        <f>VLOOKUP(A528,WorldCups!$A$2:$B$23,2,FALSE)</f>
        <v>France</v>
      </c>
      <c r="H528" s="1" t="s">
        <v>25</v>
      </c>
      <c r="I528" s="1">
        <v>1</v>
      </c>
      <c r="J528" s="1">
        <v>0</v>
      </c>
      <c r="K528" s="1" t="s">
        <v>356</v>
      </c>
      <c r="L528" s="1" t="s">
        <v>14</v>
      </c>
      <c r="M528" s="1" t="str">
        <f>IF(ISNUMBER(SEARCH("Group",Table2[[#This Row],[Round]])),"Group stages",Table2[[#This Row],[Round]])</f>
        <v>Group stages</v>
      </c>
      <c r="O528" s="1">
        <f>Table2[[#This Row],[Year]]</f>
        <v>1998</v>
      </c>
      <c r="P528" s="1" t="str">
        <f>INDEX(Table2[[HomeTeam]:[Group_details]],ROWS($N$2:N528),COLUMNS($N$2:N528))</f>
        <v>Argentina</v>
      </c>
      <c r="Q528" s="1">
        <f>INDEX(Table2[[HomeTeam]:[Group_details]],ROWS($N$2:O528),COLUMNS($N$2:O528))</f>
        <v>1</v>
      </c>
      <c r="R528" s="1">
        <f>INDEX(Table2[[HomeTeam]:[Group_details]],ROWS($N$2:P528),COLUMNS($N$2:P528))</f>
        <v>0</v>
      </c>
      <c r="S528" s="1" t="str">
        <f>INDEX(Table2[[HomeTeam]:[Group_details]],ROWS($N$2:Q528),COLUMNS($N$2:Q528))</f>
        <v>Japan</v>
      </c>
      <c r="T528" s="1" t="str">
        <f>INDEX(Table2[[HomeTeam]:[Group_details]],ROWS($N$2:R528),COLUMNS($N$2:R528))</f>
        <v xml:space="preserve"> </v>
      </c>
      <c r="U528" s="1" t="str">
        <f>INDEX(Table2[[HomeTeam]:[Group_details]],ROWS($N$2:S528),COLUMNS($N$2:S528))</f>
        <v>Group stages</v>
      </c>
      <c r="V528" s="1" t="b">
        <f t="shared" si="8"/>
        <v>0</v>
      </c>
      <c r="W528" s="1" t="str">
        <f>IF(V528=TRUE,ROWS($V$2:V528),"")</f>
        <v/>
      </c>
      <c r="X528" s="1" t="str">
        <f>IFERROR(SMALL($W$2:$W$853,ROWS($W$2:W528)),"")</f>
        <v/>
      </c>
      <c r="Y528" s="1" t="str">
        <f>IF($X528&lt;&gt;"",INDEX($P$2:$U$853,MATCH($X528,$W$2:$W$853,0),COLUMNS($X$2:X528)),"")</f>
        <v/>
      </c>
      <c r="Z528" s="1" t="str">
        <f>IF($X528&lt;&gt;"",INDEX($P$2:$U$853,MATCH($X528,$W$2:$W$853,0),COLUMNS($X$2:Y528)),"")</f>
        <v/>
      </c>
      <c r="AA528" s="1" t="str">
        <f>IF($X528&lt;&gt;"",INDEX($P$2:$U$853,MATCH($X528,$W$2:$W$853,0),COLUMNS($X$2:Z528)),"")</f>
        <v/>
      </c>
      <c r="AB528" s="1" t="str">
        <f>IF($X528&lt;&gt;"",INDEX($P$2:$U$853,MATCH($X528,$W$2:$W$853,0),COLUMNS($X$2:AA528)),"")</f>
        <v/>
      </c>
      <c r="AC528" s="1" t="str">
        <f>IF($X528&lt;&gt;"",INDEX($P$2:$U$853,MATCH($X528,$W$2:$W$853,0),COLUMNS($X$2:AB528)),"")</f>
        <v/>
      </c>
      <c r="AD528" s="1" t="str">
        <f>IF($X528&lt;&gt;"",INDEX($P$2:$U$853,MATCH($X528,$W$2:$W$853,0),COLUMNS($X$2:AC528)),"")</f>
        <v/>
      </c>
    </row>
    <row r="529" spans="1:30" x14ac:dyDescent="0.2">
      <c r="A529" s="1">
        <v>1998</v>
      </c>
      <c r="B529" s="2">
        <v>35960</v>
      </c>
      <c r="C529" s="1" t="s">
        <v>511</v>
      </c>
      <c r="D529" s="1" t="s">
        <v>274</v>
      </c>
      <c r="E529" s="1" t="s">
        <v>357</v>
      </c>
      <c r="F529" s="1" t="s">
        <v>358</v>
      </c>
      <c r="G529" s="6" t="str">
        <f>VLOOKUP(A529,WorldCups!$A$2:$B$23,2,FALSE)</f>
        <v>France</v>
      </c>
      <c r="H529" s="1" t="s">
        <v>20</v>
      </c>
      <c r="I529" s="1">
        <v>1</v>
      </c>
      <c r="J529" s="1">
        <v>0</v>
      </c>
      <c r="K529" s="1" t="s">
        <v>228</v>
      </c>
      <c r="L529" s="1" t="s">
        <v>14</v>
      </c>
      <c r="M529" s="1" t="str">
        <f>IF(ISNUMBER(SEARCH("Group",Table2[[#This Row],[Round]])),"Group stages",Table2[[#This Row],[Round]])</f>
        <v>Group stages</v>
      </c>
      <c r="O529" s="1">
        <f>Table2[[#This Row],[Year]]</f>
        <v>1998</v>
      </c>
      <c r="P529" s="1" t="str">
        <f>INDEX(Table2[[HomeTeam]:[Group_details]],ROWS($N$2:N529),COLUMNS($N$2:N529))</f>
        <v>Yugoslavia</v>
      </c>
      <c r="Q529" s="1">
        <f>INDEX(Table2[[HomeTeam]:[Group_details]],ROWS($N$2:O529),COLUMNS($N$2:O529))</f>
        <v>1</v>
      </c>
      <c r="R529" s="1">
        <f>INDEX(Table2[[HomeTeam]:[Group_details]],ROWS($N$2:P529),COLUMNS($N$2:P529))</f>
        <v>0</v>
      </c>
      <c r="S529" s="1" t="str">
        <f>INDEX(Table2[[HomeTeam]:[Group_details]],ROWS($N$2:Q529),COLUMNS($N$2:Q529))</f>
        <v>Iran</v>
      </c>
      <c r="T529" s="1" t="str">
        <f>INDEX(Table2[[HomeTeam]:[Group_details]],ROWS($N$2:R529),COLUMNS($N$2:R529))</f>
        <v xml:space="preserve"> </v>
      </c>
      <c r="U529" s="1" t="str">
        <f>INDEX(Table2[[HomeTeam]:[Group_details]],ROWS($N$2:S529),COLUMNS($N$2:S529))</f>
        <v>Group stages</v>
      </c>
      <c r="V529" s="1" t="b">
        <f t="shared" si="8"/>
        <v>0</v>
      </c>
      <c r="W529" s="1" t="str">
        <f>IF(V529=TRUE,ROWS($V$2:V529),"")</f>
        <v/>
      </c>
      <c r="X529" s="1" t="str">
        <f>IFERROR(SMALL($W$2:$W$853,ROWS($W$2:W529)),"")</f>
        <v/>
      </c>
      <c r="Y529" s="1" t="str">
        <f>IF($X529&lt;&gt;"",INDEX($P$2:$U$853,MATCH($X529,$W$2:$W$853,0),COLUMNS($X$2:X529)),"")</f>
        <v/>
      </c>
      <c r="Z529" s="1" t="str">
        <f>IF($X529&lt;&gt;"",INDEX($P$2:$U$853,MATCH($X529,$W$2:$W$853,0),COLUMNS($X$2:Y529)),"")</f>
        <v/>
      </c>
      <c r="AA529" s="1" t="str">
        <f>IF($X529&lt;&gt;"",INDEX($P$2:$U$853,MATCH($X529,$W$2:$W$853,0),COLUMNS($X$2:Z529)),"")</f>
        <v/>
      </c>
      <c r="AB529" s="1" t="str">
        <f>IF($X529&lt;&gt;"",INDEX($P$2:$U$853,MATCH($X529,$W$2:$W$853,0),COLUMNS($X$2:AA529)),"")</f>
        <v/>
      </c>
      <c r="AC529" s="1" t="str">
        <f>IF($X529&lt;&gt;"",INDEX($P$2:$U$853,MATCH($X529,$W$2:$W$853,0),COLUMNS($X$2:AB529)),"")</f>
        <v/>
      </c>
      <c r="AD529" s="1" t="str">
        <f>IF($X529&lt;&gt;"",INDEX($P$2:$U$853,MATCH($X529,$W$2:$W$853,0),COLUMNS($X$2:AC529)),"")</f>
        <v/>
      </c>
    </row>
    <row r="530" spans="1:30" x14ac:dyDescent="0.2">
      <c r="A530" s="1">
        <v>1998</v>
      </c>
      <c r="B530" s="2">
        <v>35960</v>
      </c>
      <c r="C530" s="1" t="s">
        <v>530</v>
      </c>
      <c r="D530" s="1" t="s">
        <v>355</v>
      </c>
      <c r="E530" s="1" t="s">
        <v>348</v>
      </c>
      <c r="F530" s="1" t="s">
        <v>349</v>
      </c>
      <c r="G530" s="6" t="str">
        <f>VLOOKUP(A530,WorldCups!$A$2:$B$23,2,FALSE)</f>
        <v>France</v>
      </c>
      <c r="H530" s="1" t="s">
        <v>359</v>
      </c>
      <c r="I530" s="1">
        <v>1</v>
      </c>
      <c r="J530" s="1">
        <v>3</v>
      </c>
      <c r="K530" s="1" t="s">
        <v>360</v>
      </c>
      <c r="L530" s="1" t="s">
        <v>14</v>
      </c>
      <c r="M530" s="1" t="str">
        <f>IF(ISNUMBER(SEARCH("Group",Table2[[#This Row],[Round]])),"Group stages",Table2[[#This Row],[Round]])</f>
        <v>Group stages</v>
      </c>
      <c r="O530" s="1">
        <f>Table2[[#This Row],[Year]]</f>
        <v>1998</v>
      </c>
      <c r="P530" s="1" t="str">
        <f>INDEX(Table2[[HomeTeam]:[Group_details]],ROWS($N$2:N530),COLUMNS($N$2:N530))</f>
        <v>Jamaica</v>
      </c>
      <c r="Q530" s="1">
        <f>INDEX(Table2[[HomeTeam]:[Group_details]],ROWS($N$2:O530),COLUMNS($N$2:O530))</f>
        <v>1</v>
      </c>
      <c r="R530" s="1">
        <f>INDEX(Table2[[HomeTeam]:[Group_details]],ROWS($N$2:P530),COLUMNS($N$2:P530))</f>
        <v>3</v>
      </c>
      <c r="S530" s="1" t="str">
        <f>INDEX(Table2[[HomeTeam]:[Group_details]],ROWS($N$2:Q530),COLUMNS($N$2:Q530))</f>
        <v>Croatia</v>
      </c>
      <c r="T530" s="1" t="str">
        <f>INDEX(Table2[[HomeTeam]:[Group_details]],ROWS($N$2:R530),COLUMNS($N$2:R530))</f>
        <v xml:space="preserve"> </v>
      </c>
      <c r="U530" s="1" t="str">
        <f>INDEX(Table2[[HomeTeam]:[Group_details]],ROWS($N$2:S530),COLUMNS($N$2:S530))</f>
        <v>Group stages</v>
      </c>
      <c r="V530" s="1" t="b">
        <f t="shared" si="8"/>
        <v>0</v>
      </c>
      <c r="W530" s="1" t="str">
        <f>IF(V530=TRUE,ROWS($V$2:V530),"")</f>
        <v/>
      </c>
      <c r="X530" s="1" t="str">
        <f>IFERROR(SMALL($W$2:$W$853,ROWS($W$2:W530)),"")</f>
        <v/>
      </c>
      <c r="Y530" s="1" t="str">
        <f>IF($X530&lt;&gt;"",INDEX($P$2:$U$853,MATCH($X530,$W$2:$W$853,0),COLUMNS($X$2:X530)),"")</f>
        <v/>
      </c>
      <c r="Z530" s="1" t="str">
        <f>IF($X530&lt;&gt;"",INDEX($P$2:$U$853,MATCH($X530,$W$2:$W$853,0),COLUMNS($X$2:Y530)),"")</f>
        <v/>
      </c>
      <c r="AA530" s="1" t="str">
        <f>IF($X530&lt;&gt;"",INDEX($P$2:$U$853,MATCH($X530,$W$2:$W$853,0),COLUMNS($X$2:Z530)),"")</f>
        <v/>
      </c>
      <c r="AB530" s="1" t="str">
        <f>IF($X530&lt;&gt;"",INDEX($P$2:$U$853,MATCH($X530,$W$2:$W$853,0),COLUMNS($X$2:AA530)),"")</f>
        <v/>
      </c>
      <c r="AC530" s="1" t="str">
        <f>IF($X530&lt;&gt;"",INDEX($P$2:$U$853,MATCH($X530,$W$2:$W$853,0),COLUMNS($X$2:AB530)),"")</f>
        <v/>
      </c>
      <c r="AD530" s="1" t="str">
        <f>IF($X530&lt;&gt;"",INDEX($P$2:$U$853,MATCH($X530,$W$2:$W$853,0),COLUMNS($X$2:AC530)),"")</f>
        <v/>
      </c>
    </row>
    <row r="531" spans="1:30" x14ac:dyDescent="0.2">
      <c r="A531" s="1">
        <v>1998</v>
      </c>
      <c r="B531" s="2">
        <v>35961</v>
      </c>
      <c r="C531" s="1" t="s">
        <v>505</v>
      </c>
      <c r="D531" s="1" t="s">
        <v>361</v>
      </c>
      <c r="E531" s="1" t="s">
        <v>75</v>
      </c>
      <c r="F531" s="1" t="s">
        <v>76</v>
      </c>
      <c r="G531" s="6" t="str">
        <f>VLOOKUP(A531,WorldCups!$A$2:$B$23,2,FALSE)</f>
        <v>France</v>
      </c>
      <c r="H531" s="1" t="s">
        <v>93</v>
      </c>
      <c r="I531" s="1">
        <v>2</v>
      </c>
      <c r="J531" s="1">
        <v>0</v>
      </c>
      <c r="K531" s="1" t="s">
        <v>221</v>
      </c>
      <c r="L531" s="1" t="s">
        <v>14</v>
      </c>
      <c r="M531" s="1" t="str">
        <f>IF(ISNUMBER(SEARCH("Group",Table2[[#This Row],[Round]])),"Group stages",Table2[[#This Row],[Round]])</f>
        <v>Group stages</v>
      </c>
      <c r="O531" s="1">
        <f>Table2[[#This Row],[Year]]</f>
        <v>1998</v>
      </c>
      <c r="P531" s="1" t="str">
        <f>INDEX(Table2[[HomeTeam]:[Group_details]],ROWS($N$2:N531),COLUMNS($N$2:N531))</f>
        <v>England</v>
      </c>
      <c r="Q531" s="1">
        <f>INDEX(Table2[[HomeTeam]:[Group_details]],ROWS($N$2:O531),COLUMNS($N$2:O531))</f>
        <v>2</v>
      </c>
      <c r="R531" s="1">
        <f>INDEX(Table2[[HomeTeam]:[Group_details]],ROWS($N$2:P531),COLUMNS($N$2:P531))</f>
        <v>0</v>
      </c>
      <c r="S531" s="1" t="str">
        <f>INDEX(Table2[[HomeTeam]:[Group_details]],ROWS($N$2:Q531),COLUMNS($N$2:Q531))</f>
        <v>Tunisia</v>
      </c>
      <c r="T531" s="1" t="str">
        <f>INDEX(Table2[[HomeTeam]:[Group_details]],ROWS($N$2:R531),COLUMNS($N$2:R531))</f>
        <v xml:space="preserve"> </v>
      </c>
      <c r="U531" s="1" t="str">
        <f>INDEX(Table2[[HomeTeam]:[Group_details]],ROWS($N$2:S531),COLUMNS($N$2:S531))</f>
        <v>Group stages</v>
      </c>
      <c r="V531" s="1" t="b">
        <f t="shared" si="8"/>
        <v>0</v>
      </c>
      <c r="W531" s="1" t="str">
        <f>IF(V531=TRUE,ROWS($V$2:V531),"")</f>
        <v/>
      </c>
      <c r="X531" s="1" t="str">
        <f>IFERROR(SMALL($W$2:$W$853,ROWS($W$2:W531)),"")</f>
        <v/>
      </c>
      <c r="Y531" s="1" t="str">
        <f>IF($X531&lt;&gt;"",INDEX($P$2:$U$853,MATCH($X531,$W$2:$W$853,0),COLUMNS($X$2:X531)),"")</f>
        <v/>
      </c>
      <c r="Z531" s="1" t="str">
        <f>IF($X531&lt;&gt;"",INDEX($P$2:$U$853,MATCH($X531,$W$2:$W$853,0),COLUMNS($X$2:Y531)),"")</f>
        <v/>
      </c>
      <c r="AA531" s="1" t="str">
        <f>IF($X531&lt;&gt;"",INDEX($P$2:$U$853,MATCH($X531,$W$2:$W$853,0),COLUMNS($X$2:Z531)),"")</f>
        <v/>
      </c>
      <c r="AB531" s="1" t="str">
        <f>IF($X531&lt;&gt;"",INDEX($P$2:$U$853,MATCH($X531,$W$2:$W$853,0),COLUMNS($X$2:AA531)),"")</f>
        <v/>
      </c>
      <c r="AC531" s="1" t="str">
        <f>IF($X531&lt;&gt;"",INDEX($P$2:$U$853,MATCH($X531,$W$2:$W$853,0),COLUMNS($X$2:AB531)),"")</f>
        <v/>
      </c>
      <c r="AD531" s="1" t="str">
        <f>IF($X531&lt;&gt;"",INDEX($P$2:$U$853,MATCH($X531,$W$2:$W$853,0),COLUMNS($X$2:AC531)),"")</f>
        <v/>
      </c>
    </row>
    <row r="532" spans="1:30" x14ac:dyDescent="0.2">
      <c r="A532" s="1">
        <v>1998</v>
      </c>
      <c r="B532" s="2">
        <v>35961</v>
      </c>
      <c r="C532" s="1" t="s">
        <v>511</v>
      </c>
      <c r="D532" s="1" t="s">
        <v>361</v>
      </c>
      <c r="E532" s="1" t="s">
        <v>353</v>
      </c>
      <c r="F532" s="1" t="s">
        <v>354</v>
      </c>
      <c r="G532" s="6" t="str">
        <f>VLOOKUP(A532,WorldCups!$A$2:$B$23,2,FALSE)</f>
        <v>France</v>
      </c>
      <c r="H532" s="1" t="s">
        <v>23</v>
      </c>
      <c r="I532" s="1">
        <v>1</v>
      </c>
      <c r="J532" s="1">
        <v>0</v>
      </c>
      <c r="K532" s="1" t="s">
        <v>151</v>
      </c>
      <c r="L532" s="1" t="s">
        <v>14</v>
      </c>
      <c r="M532" s="1" t="str">
        <f>IF(ISNUMBER(SEARCH("Group",Table2[[#This Row],[Round]])),"Group stages",Table2[[#This Row],[Round]])</f>
        <v>Group stages</v>
      </c>
      <c r="O532" s="1">
        <f>Table2[[#This Row],[Year]]</f>
        <v>1998</v>
      </c>
      <c r="P532" s="1" t="str">
        <f>INDEX(Table2[[HomeTeam]:[Group_details]],ROWS($N$2:N532),COLUMNS($N$2:N532))</f>
        <v>Romania</v>
      </c>
      <c r="Q532" s="1">
        <f>INDEX(Table2[[HomeTeam]:[Group_details]],ROWS($N$2:O532),COLUMNS($N$2:O532))</f>
        <v>1</v>
      </c>
      <c r="R532" s="1">
        <f>INDEX(Table2[[HomeTeam]:[Group_details]],ROWS($N$2:P532),COLUMNS($N$2:P532))</f>
        <v>0</v>
      </c>
      <c r="S532" s="1" t="str">
        <f>INDEX(Table2[[HomeTeam]:[Group_details]],ROWS($N$2:Q532),COLUMNS($N$2:Q532))</f>
        <v>Colombia</v>
      </c>
      <c r="T532" s="1" t="str">
        <f>INDEX(Table2[[HomeTeam]:[Group_details]],ROWS($N$2:R532),COLUMNS($N$2:R532))</f>
        <v xml:space="preserve"> </v>
      </c>
      <c r="U532" s="1" t="str">
        <f>INDEX(Table2[[HomeTeam]:[Group_details]],ROWS($N$2:S532),COLUMNS($N$2:S532))</f>
        <v>Group stages</v>
      </c>
      <c r="V532" s="1" t="b">
        <f t="shared" si="8"/>
        <v>0</v>
      </c>
      <c r="W532" s="1" t="str">
        <f>IF(V532=TRUE,ROWS($V$2:V532),"")</f>
        <v/>
      </c>
      <c r="X532" s="1" t="str">
        <f>IFERROR(SMALL($W$2:$W$853,ROWS($W$2:W532)),"")</f>
        <v/>
      </c>
      <c r="Y532" s="1" t="str">
        <f>IF($X532&lt;&gt;"",INDEX($P$2:$U$853,MATCH($X532,$W$2:$W$853,0),COLUMNS($X$2:X532)),"")</f>
        <v/>
      </c>
      <c r="Z532" s="1" t="str">
        <f>IF($X532&lt;&gt;"",INDEX($P$2:$U$853,MATCH($X532,$W$2:$W$853,0),COLUMNS($X$2:Y532)),"")</f>
        <v/>
      </c>
      <c r="AA532" s="1" t="str">
        <f>IF($X532&lt;&gt;"",INDEX($P$2:$U$853,MATCH($X532,$W$2:$W$853,0),COLUMNS($X$2:Z532)),"")</f>
        <v/>
      </c>
      <c r="AB532" s="1" t="str">
        <f>IF($X532&lt;&gt;"",INDEX($P$2:$U$853,MATCH($X532,$W$2:$W$853,0),COLUMNS($X$2:AA532)),"")</f>
        <v/>
      </c>
      <c r="AC532" s="1" t="str">
        <f>IF($X532&lt;&gt;"",INDEX($P$2:$U$853,MATCH($X532,$W$2:$W$853,0),COLUMNS($X$2:AB532)),"")</f>
        <v/>
      </c>
      <c r="AD532" s="1" t="str">
        <f>IF($X532&lt;&gt;"",INDEX($P$2:$U$853,MATCH($X532,$W$2:$W$853,0),COLUMNS($X$2:AC532)),"")</f>
        <v/>
      </c>
    </row>
    <row r="533" spans="1:30" x14ac:dyDescent="0.2">
      <c r="A533" s="1">
        <v>1998</v>
      </c>
      <c r="B533" s="2">
        <v>35961</v>
      </c>
      <c r="C533" s="1" t="s">
        <v>530</v>
      </c>
      <c r="D533" s="1" t="s">
        <v>274</v>
      </c>
      <c r="E533" s="1" t="s">
        <v>65</v>
      </c>
      <c r="F533" s="1" t="s">
        <v>66</v>
      </c>
      <c r="G533" s="6" t="str">
        <f>VLOOKUP(A533,WorldCups!$A$2:$B$23,2,FALSE)</f>
        <v>France</v>
      </c>
      <c r="H533" s="1" t="s">
        <v>51</v>
      </c>
      <c r="I533" s="1">
        <v>2</v>
      </c>
      <c r="J533" s="1">
        <v>0</v>
      </c>
      <c r="K533" s="1" t="s">
        <v>17</v>
      </c>
      <c r="L533" s="1" t="s">
        <v>14</v>
      </c>
      <c r="M533" s="1" t="str">
        <f>IF(ISNUMBER(SEARCH("Group",Table2[[#This Row],[Round]])),"Group stages",Table2[[#This Row],[Round]])</f>
        <v>Group stages</v>
      </c>
      <c r="O533" s="1">
        <f>Table2[[#This Row],[Year]]</f>
        <v>1998</v>
      </c>
      <c r="P533" s="1" t="str">
        <f>INDEX(Table2[[HomeTeam]:[Group_details]],ROWS($N$2:N533),COLUMNS($N$2:N533))</f>
        <v>Germany</v>
      </c>
      <c r="Q533" s="1">
        <f>INDEX(Table2[[HomeTeam]:[Group_details]],ROWS($N$2:O533),COLUMNS($N$2:O533))</f>
        <v>2</v>
      </c>
      <c r="R533" s="1">
        <f>INDEX(Table2[[HomeTeam]:[Group_details]],ROWS($N$2:P533),COLUMNS($N$2:P533))</f>
        <v>0</v>
      </c>
      <c r="S533" s="1" t="str">
        <f>INDEX(Table2[[HomeTeam]:[Group_details]],ROWS($N$2:Q533),COLUMNS($N$2:Q533))</f>
        <v>USA</v>
      </c>
      <c r="T533" s="1" t="str">
        <f>INDEX(Table2[[HomeTeam]:[Group_details]],ROWS($N$2:R533),COLUMNS($N$2:R533))</f>
        <v xml:space="preserve"> </v>
      </c>
      <c r="U533" s="1" t="str">
        <f>INDEX(Table2[[HomeTeam]:[Group_details]],ROWS($N$2:S533),COLUMNS($N$2:S533))</f>
        <v>Group stages</v>
      </c>
      <c r="V533" s="1" t="b">
        <f t="shared" si="8"/>
        <v>0</v>
      </c>
      <c r="W533" s="1" t="str">
        <f>IF(V533=TRUE,ROWS($V$2:V533),"")</f>
        <v/>
      </c>
      <c r="X533" s="1" t="str">
        <f>IFERROR(SMALL($W$2:$W$853,ROWS($W$2:W533)),"")</f>
        <v/>
      </c>
      <c r="Y533" s="1" t="str">
        <f>IF($X533&lt;&gt;"",INDEX($P$2:$U$853,MATCH($X533,$W$2:$W$853,0),COLUMNS($X$2:X533)),"")</f>
        <v/>
      </c>
      <c r="Z533" s="1" t="str">
        <f>IF($X533&lt;&gt;"",INDEX($P$2:$U$853,MATCH($X533,$W$2:$W$853,0),COLUMNS($X$2:Y533)),"")</f>
        <v/>
      </c>
      <c r="AA533" s="1" t="str">
        <f>IF($X533&lt;&gt;"",INDEX($P$2:$U$853,MATCH($X533,$W$2:$W$853,0),COLUMNS($X$2:Z533)),"")</f>
        <v/>
      </c>
      <c r="AB533" s="1" t="str">
        <f>IF($X533&lt;&gt;"",INDEX($P$2:$U$853,MATCH($X533,$W$2:$W$853,0),COLUMNS($X$2:AA533)),"")</f>
        <v/>
      </c>
      <c r="AC533" s="1" t="str">
        <f>IF($X533&lt;&gt;"",INDEX($P$2:$U$853,MATCH($X533,$W$2:$W$853,0),COLUMNS($X$2:AB533)),"")</f>
        <v/>
      </c>
      <c r="AD533" s="1" t="str">
        <f>IF($X533&lt;&gt;"",INDEX($P$2:$U$853,MATCH($X533,$W$2:$W$853,0),COLUMNS($X$2:AC533)),"")</f>
        <v/>
      </c>
    </row>
    <row r="534" spans="1:30" x14ac:dyDescent="0.2">
      <c r="A534" s="1">
        <v>1998</v>
      </c>
      <c r="B534" s="2">
        <v>35962</v>
      </c>
      <c r="C534" s="1" t="s">
        <v>511</v>
      </c>
      <c r="D534" s="1" t="s">
        <v>214</v>
      </c>
      <c r="E534" s="1" t="s">
        <v>85</v>
      </c>
      <c r="F534" s="1" t="s">
        <v>86</v>
      </c>
      <c r="G534" s="6" t="str">
        <f>VLOOKUP(A534,WorldCups!$A$2:$B$23,2,FALSE)</f>
        <v>France</v>
      </c>
      <c r="H534" s="1" t="s">
        <v>109</v>
      </c>
      <c r="I534" s="1">
        <v>1</v>
      </c>
      <c r="J534" s="1">
        <v>1</v>
      </c>
      <c r="K534" s="1" t="s">
        <v>77</v>
      </c>
      <c r="L534" s="1" t="s">
        <v>14</v>
      </c>
      <c r="M534" s="1" t="str">
        <f>IF(ISNUMBER(SEARCH("Group",Table2[[#This Row],[Round]])),"Group stages",Table2[[#This Row],[Round]])</f>
        <v>Group stages</v>
      </c>
      <c r="O534" s="1">
        <f>Table2[[#This Row],[Year]]</f>
        <v>1998</v>
      </c>
      <c r="P534" s="1" t="str">
        <f>INDEX(Table2[[HomeTeam]:[Group_details]],ROWS($N$2:N534),COLUMNS($N$2:N534))</f>
        <v>Scotland</v>
      </c>
      <c r="Q534" s="1">
        <f>INDEX(Table2[[HomeTeam]:[Group_details]],ROWS($N$2:O534),COLUMNS($N$2:O534))</f>
        <v>1</v>
      </c>
      <c r="R534" s="1">
        <f>INDEX(Table2[[HomeTeam]:[Group_details]],ROWS($N$2:P534),COLUMNS($N$2:P534))</f>
        <v>1</v>
      </c>
      <c r="S534" s="1" t="str">
        <f>INDEX(Table2[[HomeTeam]:[Group_details]],ROWS($N$2:Q534),COLUMNS($N$2:Q534))</f>
        <v>Norway</v>
      </c>
      <c r="T534" s="1" t="str">
        <f>INDEX(Table2[[HomeTeam]:[Group_details]],ROWS($N$2:R534),COLUMNS($N$2:R534))</f>
        <v xml:space="preserve"> </v>
      </c>
      <c r="U534" s="1" t="str">
        <f>INDEX(Table2[[HomeTeam]:[Group_details]],ROWS($N$2:S534),COLUMNS($N$2:S534))</f>
        <v>Group stages</v>
      </c>
      <c r="V534" s="1" t="b">
        <f t="shared" si="8"/>
        <v>0</v>
      </c>
      <c r="W534" s="1" t="str">
        <f>IF(V534=TRUE,ROWS($V$2:V534),"")</f>
        <v/>
      </c>
      <c r="X534" s="1" t="str">
        <f>IFERROR(SMALL($W$2:$W$853,ROWS($W$2:W534)),"")</f>
        <v/>
      </c>
      <c r="Y534" s="1" t="str">
        <f>IF($X534&lt;&gt;"",INDEX($P$2:$U$853,MATCH($X534,$W$2:$W$853,0),COLUMNS($X$2:X534)),"")</f>
        <v/>
      </c>
      <c r="Z534" s="1" t="str">
        <f>IF($X534&lt;&gt;"",INDEX($P$2:$U$853,MATCH($X534,$W$2:$W$853,0),COLUMNS($X$2:Y534)),"")</f>
        <v/>
      </c>
      <c r="AA534" s="1" t="str">
        <f>IF($X534&lt;&gt;"",INDEX($P$2:$U$853,MATCH($X534,$W$2:$W$853,0),COLUMNS($X$2:Z534)),"")</f>
        <v/>
      </c>
      <c r="AB534" s="1" t="str">
        <f>IF($X534&lt;&gt;"",INDEX($P$2:$U$853,MATCH($X534,$W$2:$W$853,0),COLUMNS($X$2:AA534)),"")</f>
        <v/>
      </c>
      <c r="AC534" s="1" t="str">
        <f>IF($X534&lt;&gt;"",INDEX($P$2:$U$853,MATCH($X534,$W$2:$W$853,0),COLUMNS($X$2:AB534)),"")</f>
        <v/>
      </c>
      <c r="AD534" s="1" t="str">
        <f>IF($X534&lt;&gt;"",INDEX($P$2:$U$853,MATCH($X534,$W$2:$W$853,0),COLUMNS($X$2:AC534)),"")</f>
        <v/>
      </c>
    </row>
    <row r="535" spans="1:30" x14ac:dyDescent="0.2">
      <c r="A535" s="1">
        <v>1998</v>
      </c>
      <c r="B535" s="2">
        <v>35962</v>
      </c>
      <c r="C535" s="1" t="s">
        <v>530</v>
      </c>
      <c r="D535" s="1" t="s">
        <v>214</v>
      </c>
      <c r="E535" s="1" t="s">
        <v>351</v>
      </c>
      <c r="F535" s="1" t="s">
        <v>352</v>
      </c>
      <c r="G535" s="6" t="str">
        <f>VLOOKUP(A535,WorldCups!$A$2:$B$23,2,FALSE)</f>
        <v>France</v>
      </c>
      <c r="H535" s="1" t="s">
        <v>21</v>
      </c>
      <c r="I535" s="1">
        <v>3</v>
      </c>
      <c r="J535" s="1">
        <v>0</v>
      </c>
      <c r="K535" s="1" t="s">
        <v>188</v>
      </c>
      <c r="L535" s="1" t="s">
        <v>14</v>
      </c>
      <c r="M535" s="1" t="str">
        <f>IF(ISNUMBER(SEARCH("Group",Table2[[#This Row],[Round]])),"Group stages",Table2[[#This Row],[Round]])</f>
        <v>Group stages</v>
      </c>
      <c r="O535" s="1">
        <f>Table2[[#This Row],[Year]]</f>
        <v>1998</v>
      </c>
      <c r="P535" s="1" t="str">
        <f>INDEX(Table2[[HomeTeam]:[Group_details]],ROWS($N$2:N535),COLUMNS($N$2:N535))</f>
        <v>Brazil</v>
      </c>
      <c r="Q535" s="1">
        <f>INDEX(Table2[[HomeTeam]:[Group_details]],ROWS($N$2:O535),COLUMNS($N$2:O535))</f>
        <v>3</v>
      </c>
      <c r="R535" s="1">
        <f>INDEX(Table2[[HomeTeam]:[Group_details]],ROWS($N$2:P535),COLUMNS($N$2:P535))</f>
        <v>0</v>
      </c>
      <c r="S535" s="1" t="str">
        <f>INDEX(Table2[[HomeTeam]:[Group_details]],ROWS($N$2:Q535),COLUMNS($N$2:Q535))</f>
        <v>Morocco</v>
      </c>
      <c r="T535" s="1" t="str">
        <f>INDEX(Table2[[HomeTeam]:[Group_details]],ROWS($N$2:R535),COLUMNS($N$2:R535))</f>
        <v xml:space="preserve"> </v>
      </c>
      <c r="U535" s="1" t="str">
        <f>INDEX(Table2[[HomeTeam]:[Group_details]],ROWS($N$2:S535),COLUMNS($N$2:S535))</f>
        <v>Group stages</v>
      </c>
      <c r="V535" s="1" t="b">
        <f t="shared" si="8"/>
        <v>0</v>
      </c>
      <c r="W535" s="1" t="str">
        <f>IF(V535=TRUE,ROWS($V$2:V535),"")</f>
        <v/>
      </c>
      <c r="X535" s="1" t="str">
        <f>IFERROR(SMALL($W$2:$W$853,ROWS($W$2:W535)),"")</f>
        <v/>
      </c>
      <c r="Y535" s="1" t="str">
        <f>IF($X535&lt;&gt;"",INDEX($P$2:$U$853,MATCH($X535,$W$2:$W$853,0),COLUMNS($X$2:X535)),"")</f>
        <v/>
      </c>
      <c r="Z535" s="1" t="str">
        <f>IF($X535&lt;&gt;"",INDEX($P$2:$U$853,MATCH($X535,$W$2:$W$853,0),COLUMNS($X$2:Y535)),"")</f>
        <v/>
      </c>
      <c r="AA535" s="1" t="str">
        <f>IF($X535&lt;&gt;"",INDEX($P$2:$U$853,MATCH($X535,$W$2:$W$853,0),COLUMNS($X$2:Z535)),"")</f>
        <v/>
      </c>
      <c r="AB535" s="1" t="str">
        <f>IF($X535&lt;&gt;"",INDEX($P$2:$U$853,MATCH($X535,$W$2:$W$853,0),COLUMNS($X$2:AA535)),"")</f>
        <v/>
      </c>
      <c r="AC535" s="1" t="str">
        <f>IF($X535&lt;&gt;"",INDEX($P$2:$U$853,MATCH($X535,$W$2:$W$853,0),COLUMNS($X$2:AB535)),"")</f>
        <v/>
      </c>
      <c r="AD535" s="1" t="str">
        <f>IF($X535&lt;&gt;"",INDEX($P$2:$U$853,MATCH($X535,$W$2:$W$853,0),COLUMNS($X$2:AC535)),"")</f>
        <v/>
      </c>
    </row>
    <row r="536" spans="1:30" x14ac:dyDescent="0.2">
      <c r="A536" s="1">
        <v>1998</v>
      </c>
      <c r="B536" s="2">
        <v>35963</v>
      </c>
      <c r="C536" s="1" t="s">
        <v>511</v>
      </c>
      <c r="D536" s="1" t="s">
        <v>213</v>
      </c>
      <c r="E536" s="1" t="s">
        <v>357</v>
      </c>
      <c r="F536" s="1" t="s">
        <v>358</v>
      </c>
      <c r="G536" s="6" t="str">
        <f>VLOOKUP(A536,WorldCups!$A$2:$B$23,2,FALSE)</f>
        <v>France</v>
      </c>
      <c r="H536" s="1" t="s">
        <v>26</v>
      </c>
      <c r="I536" s="1">
        <v>1</v>
      </c>
      <c r="J536" s="1">
        <v>1</v>
      </c>
      <c r="K536" s="1" t="s">
        <v>36</v>
      </c>
      <c r="L536" s="1" t="s">
        <v>14</v>
      </c>
      <c r="M536" s="1" t="str">
        <f>IF(ISNUMBER(SEARCH("Group",Table2[[#This Row],[Round]])),"Group stages",Table2[[#This Row],[Round]])</f>
        <v>Group stages</v>
      </c>
      <c r="O536" s="1">
        <f>Table2[[#This Row],[Year]]</f>
        <v>1998</v>
      </c>
      <c r="P536" s="1" t="str">
        <f>INDEX(Table2[[HomeTeam]:[Group_details]],ROWS($N$2:N536),COLUMNS($N$2:N536))</f>
        <v>Chile</v>
      </c>
      <c r="Q536" s="1">
        <f>INDEX(Table2[[HomeTeam]:[Group_details]],ROWS($N$2:O536),COLUMNS($N$2:O536))</f>
        <v>1</v>
      </c>
      <c r="R536" s="1">
        <f>INDEX(Table2[[HomeTeam]:[Group_details]],ROWS($N$2:P536),COLUMNS($N$2:P536))</f>
        <v>1</v>
      </c>
      <c r="S536" s="1" t="str">
        <f>INDEX(Table2[[HomeTeam]:[Group_details]],ROWS($N$2:Q536),COLUMNS($N$2:Q536))</f>
        <v>Austria</v>
      </c>
      <c r="T536" s="1" t="str">
        <f>INDEX(Table2[[HomeTeam]:[Group_details]],ROWS($N$2:R536),COLUMNS($N$2:R536))</f>
        <v xml:space="preserve"> </v>
      </c>
      <c r="U536" s="1" t="str">
        <f>INDEX(Table2[[HomeTeam]:[Group_details]],ROWS($N$2:S536),COLUMNS($N$2:S536))</f>
        <v>Group stages</v>
      </c>
      <c r="V536" s="1" t="b">
        <f t="shared" si="8"/>
        <v>0</v>
      </c>
      <c r="W536" s="1" t="str">
        <f>IF(V536=TRUE,ROWS($V$2:V536),"")</f>
        <v/>
      </c>
      <c r="X536" s="1" t="str">
        <f>IFERROR(SMALL($W$2:$W$853,ROWS($W$2:W536)),"")</f>
        <v/>
      </c>
      <c r="Y536" s="1" t="str">
        <f>IF($X536&lt;&gt;"",INDEX($P$2:$U$853,MATCH($X536,$W$2:$W$853,0),COLUMNS($X$2:X536)),"")</f>
        <v/>
      </c>
      <c r="Z536" s="1" t="str">
        <f>IF($X536&lt;&gt;"",INDEX($P$2:$U$853,MATCH($X536,$W$2:$W$853,0),COLUMNS($X$2:Y536)),"")</f>
        <v/>
      </c>
      <c r="AA536" s="1" t="str">
        <f>IF($X536&lt;&gt;"",INDEX($P$2:$U$853,MATCH($X536,$W$2:$W$853,0),COLUMNS($X$2:Z536)),"")</f>
        <v/>
      </c>
      <c r="AB536" s="1" t="str">
        <f>IF($X536&lt;&gt;"",INDEX($P$2:$U$853,MATCH($X536,$W$2:$W$853,0),COLUMNS($X$2:AA536)),"")</f>
        <v/>
      </c>
      <c r="AC536" s="1" t="str">
        <f>IF($X536&lt;&gt;"",INDEX($P$2:$U$853,MATCH($X536,$W$2:$W$853,0),COLUMNS($X$2:AB536)),"")</f>
        <v/>
      </c>
      <c r="AD536" s="1" t="str">
        <f>IF($X536&lt;&gt;"",INDEX($P$2:$U$853,MATCH($X536,$W$2:$W$853,0),COLUMNS($X$2:AC536)),"")</f>
        <v/>
      </c>
    </row>
    <row r="537" spans="1:30" x14ac:dyDescent="0.2">
      <c r="A537" s="1">
        <v>1998</v>
      </c>
      <c r="B537" s="2">
        <v>35963</v>
      </c>
      <c r="C537" s="1" t="s">
        <v>530</v>
      </c>
      <c r="D537" s="1" t="s">
        <v>213</v>
      </c>
      <c r="E537" s="1" t="s">
        <v>346</v>
      </c>
      <c r="F537" s="1" t="s">
        <v>347</v>
      </c>
      <c r="G537" s="6" t="str">
        <f>VLOOKUP(A537,WorldCups!$A$2:$B$23,2,FALSE)</f>
        <v>France</v>
      </c>
      <c r="H537" s="1" t="s">
        <v>57</v>
      </c>
      <c r="I537" s="1">
        <v>3</v>
      </c>
      <c r="J537" s="1">
        <v>0</v>
      </c>
      <c r="K537" s="1" t="s">
        <v>238</v>
      </c>
      <c r="L537" s="1" t="s">
        <v>14</v>
      </c>
      <c r="M537" s="1" t="str">
        <f>IF(ISNUMBER(SEARCH("Group",Table2[[#This Row],[Round]])),"Group stages",Table2[[#This Row],[Round]])</f>
        <v>Group stages</v>
      </c>
      <c r="O537" s="1">
        <f>Table2[[#This Row],[Year]]</f>
        <v>1998</v>
      </c>
      <c r="P537" s="1" t="str">
        <f>INDEX(Table2[[HomeTeam]:[Group_details]],ROWS($N$2:N537),COLUMNS($N$2:N537))</f>
        <v>Italy</v>
      </c>
      <c r="Q537" s="1">
        <f>INDEX(Table2[[HomeTeam]:[Group_details]],ROWS($N$2:O537),COLUMNS($N$2:O537))</f>
        <v>3</v>
      </c>
      <c r="R537" s="1">
        <f>INDEX(Table2[[HomeTeam]:[Group_details]],ROWS($N$2:P537),COLUMNS($N$2:P537))</f>
        <v>0</v>
      </c>
      <c r="S537" s="1" t="str">
        <f>INDEX(Table2[[HomeTeam]:[Group_details]],ROWS($N$2:Q537),COLUMNS($N$2:Q537))</f>
        <v>Cameroon</v>
      </c>
      <c r="T537" s="1" t="str">
        <f>INDEX(Table2[[HomeTeam]:[Group_details]],ROWS($N$2:R537),COLUMNS($N$2:R537))</f>
        <v xml:space="preserve"> </v>
      </c>
      <c r="U537" s="1" t="str">
        <f>INDEX(Table2[[HomeTeam]:[Group_details]],ROWS($N$2:S537),COLUMNS($N$2:S537))</f>
        <v>Group stages</v>
      </c>
      <c r="V537" s="1" t="b">
        <f t="shared" si="8"/>
        <v>0</v>
      </c>
      <c r="W537" s="1" t="str">
        <f>IF(V537=TRUE,ROWS($V$2:V537),"")</f>
        <v/>
      </c>
      <c r="X537" s="1" t="str">
        <f>IFERROR(SMALL($W$2:$W$853,ROWS($W$2:W537)),"")</f>
        <v/>
      </c>
      <c r="Y537" s="1" t="str">
        <f>IF($X537&lt;&gt;"",INDEX($P$2:$U$853,MATCH($X537,$W$2:$W$853,0),COLUMNS($X$2:X537)),"")</f>
        <v/>
      </c>
      <c r="Z537" s="1" t="str">
        <f>IF($X537&lt;&gt;"",INDEX($P$2:$U$853,MATCH($X537,$W$2:$W$853,0),COLUMNS($X$2:Y537)),"")</f>
        <v/>
      </c>
      <c r="AA537" s="1" t="str">
        <f>IF($X537&lt;&gt;"",INDEX($P$2:$U$853,MATCH($X537,$W$2:$W$853,0),COLUMNS($X$2:Z537)),"")</f>
        <v/>
      </c>
      <c r="AB537" s="1" t="str">
        <f>IF($X537&lt;&gt;"",INDEX($P$2:$U$853,MATCH($X537,$W$2:$W$853,0),COLUMNS($X$2:AA537)),"")</f>
        <v/>
      </c>
      <c r="AC537" s="1" t="str">
        <f>IF($X537&lt;&gt;"",INDEX($P$2:$U$853,MATCH($X537,$W$2:$W$853,0),COLUMNS($X$2:AB537)),"")</f>
        <v/>
      </c>
      <c r="AD537" s="1" t="str">
        <f>IF($X537&lt;&gt;"",INDEX($P$2:$U$853,MATCH($X537,$W$2:$W$853,0),COLUMNS($X$2:AC537)),"")</f>
        <v/>
      </c>
    </row>
    <row r="538" spans="1:30" x14ac:dyDescent="0.2">
      <c r="A538" s="1">
        <v>1998</v>
      </c>
      <c r="B538" s="2">
        <v>35964</v>
      </c>
      <c r="C538" s="1" t="s">
        <v>511</v>
      </c>
      <c r="D538" s="1" t="s">
        <v>268</v>
      </c>
      <c r="E538" s="1" t="s">
        <v>72</v>
      </c>
      <c r="F538" s="1" t="s">
        <v>73</v>
      </c>
      <c r="G538" s="6" t="str">
        <f>VLOOKUP(A538,WorldCups!$A$2:$B$23,2,FALSE)</f>
        <v>France</v>
      </c>
      <c r="H538" s="1" t="s">
        <v>350</v>
      </c>
      <c r="I538" s="1">
        <v>1</v>
      </c>
      <c r="J538" s="1">
        <v>1</v>
      </c>
      <c r="K538" s="1" t="s">
        <v>284</v>
      </c>
      <c r="L538" s="1" t="s">
        <v>14</v>
      </c>
      <c r="M538" s="1" t="str">
        <f>IF(ISNUMBER(SEARCH("Group",Table2[[#This Row],[Round]])),"Group stages",Table2[[#This Row],[Round]])</f>
        <v>Group stages</v>
      </c>
      <c r="O538" s="1">
        <f>Table2[[#This Row],[Year]]</f>
        <v>1998</v>
      </c>
      <c r="P538" s="1" t="str">
        <f>INDEX(Table2[[HomeTeam]:[Group_details]],ROWS($N$2:N538),COLUMNS($N$2:N538))</f>
        <v>South Africa</v>
      </c>
      <c r="Q538" s="1">
        <f>INDEX(Table2[[HomeTeam]:[Group_details]],ROWS($N$2:O538),COLUMNS($N$2:O538))</f>
        <v>1</v>
      </c>
      <c r="R538" s="1">
        <f>INDEX(Table2[[HomeTeam]:[Group_details]],ROWS($N$2:P538),COLUMNS($N$2:P538))</f>
        <v>1</v>
      </c>
      <c r="S538" s="1" t="str">
        <f>INDEX(Table2[[HomeTeam]:[Group_details]],ROWS($N$2:Q538),COLUMNS($N$2:Q538))</f>
        <v>Denmark</v>
      </c>
      <c r="T538" s="1" t="str">
        <f>INDEX(Table2[[HomeTeam]:[Group_details]],ROWS($N$2:R538),COLUMNS($N$2:R538))</f>
        <v xml:space="preserve"> </v>
      </c>
      <c r="U538" s="1" t="str">
        <f>INDEX(Table2[[HomeTeam]:[Group_details]],ROWS($N$2:S538),COLUMNS($N$2:S538))</f>
        <v>Group stages</v>
      </c>
      <c r="V538" s="1" t="b">
        <f t="shared" si="8"/>
        <v>0</v>
      </c>
      <c r="W538" s="1" t="str">
        <f>IF(V538=TRUE,ROWS($V$2:V538),"")</f>
        <v/>
      </c>
      <c r="X538" s="1" t="str">
        <f>IFERROR(SMALL($W$2:$W$853,ROWS($W$2:W538)),"")</f>
        <v/>
      </c>
      <c r="Y538" s="1" t="str">
        <f>IF($X538&lt;&gt;"",INDEX($P$2:$U$853,MATCH($X538,$W$2:$W$853,0),COLUMNS($X$2:X538)),"")</f>
        <v/>
      </c>
      <c r="Z538" s="1" t="str">
        <f>IF($X538&lt;&gt;"",INDEX($P$2:$U$853,MATCH($X538,$W$2:$W$853,0),COLUMNS($X$2:Y538)),"")</f>
        <v/>
      </c>
      <c r="AA538" s="1" t="str">
        <f>IF($X538&lt;&gt;"",INDEX($P$2:$U$853,MATCH($X538,$W$2:$W$853,0),COLUMNS($X$2:Z538)),"")</f>
        <v/>
      </c>
      <c r="AB538" s="1" t="str">
        <f>IF($X538&lt;&gt;"",INDEX($P$2:$U$853,MATCH($X538,$W$2:$W$853,0),COLUMNS($X$2:AA538)),"")</f>
        <v/>
      </c>
      <c r="AC538" s="1" t="str">
        <f>IF($X538&lt;&gt;"",INDEX($P$2:$U$853,MATCH($X538,$W$2:$W$853,0),COLUMNS($X$2:AB538)),"")</f>
        <v/>
      </c>
      <c r="AD538" s="1" t="str">
        <f>IF($X538&lt;&gt;"",INDEX($P$2:$U$853,MATCH($X538,$W$2:$W$853,0),COLUMNS($X$2:AC538)),"")</f>
        <v/>
      </c>
    </row>
    <row r="539" spans="1:30" x14ac:dyDescent="0.2">
      <c r="A539" s="1">
        <v>1998</v>
      </c>
      <c r="B539" s="2">
        <v>35964</v>
      </c>
      <c r="C539" s="1" t="s">
        <v>530</v>
      </c>
      <c r="D539" s="1" t="s">
        <v>268</v>
      </c>
      <c r="E539" s="1" t="s">
        <v>344</v>
      </c>
      <c r="F539" s="1" t="s">
        <v>345</v>
      </c>
      <c r="G539" s="6" t="str">
        <f>VLOOKUP(A539,WorldCups!$A$2:$B$23,2,FALSE)</f>
        <v>France</v>
      </c>
      <c r="H539" s="1" t="s">
        <v>12</v>
      </c>
      <c r="I539" s="1">
        <v>4</v>
      </c>
      <c r="J539" s="1">
        <v>0</v>
      </c>
      <c r="K539" s="1" t="s">
        <v>333</v>
      </c>
      <c r="L539" s="1" t="s">
        <v>14</v>
      </c>
      <c r="M539" s="1" t="str">
        <f>IF(ISNUMBER(SEARCH("Group",Table2[[#This Row],[Round]])),"Group stages",Table2[[#This Row],[Round]])</f>
        <v>Group stages</v>
      </c>
      <c r="O539" s="1">
        <f>Table2[[#This Row],[Year]]</f>
        <v>1998</v>
      </c>
      <c r="P539" s="1" t="str">
        <f>INDEX(Table2[[HomeTeam]:[Group_details]],ROWS($N$2:N539),COLUMNS($N$2:N539))</f>
        <v>France</v>
      </c>
      <c r="Q539" s="1">
        <f>INDEX(Table2[[HomeTeam]:[Group_details]],ROWS($N$2:O539),COLUMNS($N$2:O539))</f>
        <v>4</v>
      </c>
      <c r="R539" s="1">
        <f>INDEX(Table2[[HomeTeam]:[Group_details]],ROWS($N$2:P539),COLUMNS($N$2:P539))</f>
        <v>0</v>
      </c>
      <c r="S539" s="1" t="str">
        <f>INDEX(Table2[[HomeTeam]:[Group_details]],ROWS($N$2:Q539),COLUMNS($N$2:Q539))</f>
        <v>Saudi Arabia</v>
      </c>
      <c r="T539" s="1" t="str">
        <f>INDEX(Table2[[HomeTeam]:[Group_details]],ROWS($N$2:R539),COLUMNS($N$2:R539))</f>
        <v xml:space="preserve"> </v>
      </c>
      <c r="U539" s="1" t="str">
        <f>INDEX(Table2[[HomeTeam]:[Group_details]],ROWS($N$2:S539),COLUMNS($N$2:S539))</f>
        <v>Group stages</v>
      </c>
      <c r="V539" s="1" t="b">
        <f t="shared" si="8"/>
        <v>0</v>
      </c>
      <c r="W539" s="1" t="str">
        <f>IF(V539=TRUE,ROWS($V$2:V539),"")</f>
        <v/>
      </c>
      <c r="X539" s="1" t="str">
        <f>IFERROR(SMALL($W$2:$W$853,ROWS($W$2:W539)),"")</f>
        <v/>
      </c>
      <c r="Y539" s="1" t="str">
        <f>IF($X539&lt;&gt;"",INDEX($P$2:$U$853,MATCH($X539,$W$2:$W$853,0),COLUMNS($X$2:X539)),"")</f>
        <v/>
      </c>
      <c r="Z539" s="1" t="str">
        <f>IF($X539&lt;&gt;"",INDEX($P$2:$U$853,MATCH($X539,$W$2:$W$853,0),COLUMNS($X$2:Y539)),"")</f>
        <v/>
      </c>
      <c r="AA539" s="1" t="str">
        <f>IF($X539&lt;&gt;"",INDEX($P$2:$U$853,MATCH($X539,$W$2:$W$853,0),COLUMNS($X$2:Z539)),"")</f>
        <v/>
      </c>
      <c r="AB539" s="1" t="str">
        <f>IF($X539&lt;&gt;"",INDEX($P$2:$U$853,MATCH($X539,$W$2:$W$853,0),COLUMNS($X$2:AA539)),"")</f>
        <v/>
      </c>
      <c r="AC539" s="1" t="str">
        <f>IF($X539&lt;&gt;"",INDEX($P$2:$U$853,MATCH($X539,$W$2:$W$853,0),COLUMNS($X$2:AB539)),"")</f>
        <v/>
      </c>
      <c r="AD539" s="1" t="str">
        <f>IF($X539&lt;&gt;"",INDEX($P$2:$U$853,MATCH($X539,$W$2:$W$853,0),COLUMNS($X$2:AC539)),"")</f>
        <v/>
      </c>
    </row>
    <row r="540" spans="1:30" x14ac:dyDescent="0.2">
      <c r="A540" s="1">
        <v>1998</v>
      </c>
      <c r="B540" s="2">
        <v>35965</v>
      </c>
      <c r="C540" s="1" t="s">
        <v>511</v>
      </c>
      <c r="D540" s="1" t="s">
        <v>270</v>
      </c>
      <c r="E540" s="1" t="s">
        <v>65</v>
      </c>
      <c r="F540" s="1" t="s">
        <v>66</v>
      </c>
      <c r="G540" s="6" t="str">
        <f>VLOOKUP(A540,WorldCups!$A$2:$B$23,2,FALSE)</f>
        <v>France</v>
      </c>
      <c r="H540" s="1" t="s">
        <v>340</v>
      </c>
      <c r="I540" s="1">
        <v>1</v>
      </c>
      <c r="J540" s="1">
        <v>0</v>
      </c>
      <c r="K540" s="1" t="s">
        <v>156</v>
      </c>
      <c r="L540" s="1" t="s">
        <v>14</v>
      </c>
      <c r="M540" s="1" t="str">
        <f>IF(ISNUMBER(SEARCH("Group",Table2[[#This Row],[Round]])),"Group stages",Table2[[#This Row],[Round]])</f>
        <v>Group stages</v>
      </c>
      <c r="O540" s="1">
        <f>Table2[[#This Row],[Year]]</f>
        <v>1998</v>
      </c>
      <c r="P540" s="1" t="str">
        <f>INDEX(Table2[[HomeTeam]:[Group_details]],ROWS($N$2:N540),COLUMNS($N$2:N540))</f>
        <v>Nigeria</v>
      </c>
      <c r="Q540" s="1">
        <f>INDEX(Table2[[HomeTeam]:[Group_details]],ROWS($N$2:O540),COLUMNS($N$2:O540))</f>
        <v>1</v>
      </c>
      <c r="R540" s="1">
        <f>INDEX(Table2[[HomeTeam]:[Group_details]],ROWS($N$2:P540),COLUMNS($N$2:P540))</f>
        <v>0</v>
      </c>
      <c r="S540" s="1" t="str">
        <f>INDEX(Table2[[HomeTeam]:[Group_details]],ROWS($N$2:Q540),COLUMNS($N$2:Q540))</f>
        <v>Bulgaria</v>
      </c>
      <c r="T540" s="1" t="str">
        <f>INDEX(Table2[[HomeTeam]:[Group_details]],ROWS($N$2:R540),COLUMNS($N$2:R540))</f>
        <v xml:space="preserve"> </v>
      </c>
      <c r="U540" s="1" t="str">
        <f>INDEX(Table2[[HomeTeam]:[Group_details]],ROWS($N$2:S540),COLUMNS($N$2:S540))</f>
        <v>Group stages</v>
      </c>
      <c r="V540" s="1" t="b">
        <f t="shared" si="8"/>
        <v>0</v>
      </c>
      <c r="W540" s="1" t="str">
        <f>IF(V540=TRUE,ROWS($V$2:V540),"")</f>
        <v/>
      </c>
      <c r="X540" s="1" t="str">
        <f>IFERROR(SMALL($W$2:$W$853,ROWS($W$2:W540)),"")</f>
        <v/>
      </c>
      <c r="Y540" s="1" t="str">
        <f>IF($X540&lt;&gt;"",INDEX($P$2:$U$853,MATCH($X540,$W$2:$W$853,0),COLUMNS($X$2:X540)),"")</f>
        <v/>
      </c>
      <c r="Z540" s="1" t="str">
        <f>IF($X540&lt;&gt;"",INDEX($P$2:$U$853,MATCH($X540,$W$2:$W$853,0),COLUMNS($X$2:Y540)),"")</f>
        <v/>
      </c>
      <c r="AA540" s="1" t="str">
        <f>IF($X540&lt;&gt;"",INDEX($P$2:$U$853,MATCH($X540,$W$2:$W$853,0),COLUMNS($X$2:Z540)),"")</f>
        <v/>
      </c>
      <c r="AB540" s="1" t="str">
        <f>IF($X540&lt;&gt;"",INDEX($P$2:$U$853,MATCH($X540,$W$2:$W$853,0),COLUMNS($X$2:AA540)),"")</f>
        <v/>
      </c>
      <c r="AC540" s="1" t="str">
        <f>IF($X540&lt;&gt;"",INDEX($P$2:$U$853,MATCH($X540,$W$2:$W$853,0),COLUMNS($X$2:AB540)),"")</f>
        <v/>
      </c>
      <c r="AD540" s="1" t="str">
        <f>IF($X540&lt;&gt;"",INDEX($P$2:$U$853,MATCH($X540,$W$2:$W$853,0),COLUMNS($X$2:AC540)),"")</f>
        <v/>
      </c>
    </row>
    <row r="541" spans="1:30" x14ac:dyDescent="0.2">
      <c r="A541" s="1">
        <v>1998</v>
      </c>
      <c r="B541" s="2">
        <v>35965</v>
      </c>
      <c r="C541" s="1" t="s">
        <v>530</v>
      </c>
      <c r="D541" s="1" t="s">
        <v>270</v>
      </c>
      <c r="E541" s="1" t="s">
        <v>357</v>
      </c>
      <c r="F541" s="1" t="s">
        <v>358</v>
      </c>
      <c r="G541" s="6" t="str">
        <f>VLOOKUP(A541,WorldCups!$A$2:$B$23,2,FALSE)</f>
        <v>France</v>
      </c>
      <c r="H541" s="1" t="s">
        <v>54</v>
      </c>
      <c r="I541" s="1">
        <v>0</v>
      </c>
      <c r="J541" s="1">
        <v>0</v>
      </c>
      <c r="K541" s="1" t="s">
        <v>28</v>
      </c>
      <c r="L541" s="1" t="s">
        <v>14</v>
      </c>
      <c r="M541" s="1" t="str">
        <f>IF(ISNUMBER(SEARCH("Group",Table2[[#This Row],[Round]])),"Group stages",Table2[[#This Row],[Round]])</f>
        <v>Group stages</v>
      </c>
      <c r="O541" s="1">
        <f>Table2[[#This Row],[Year]]</f>
        <v>1998</v>
      </c>
      <c r="P541" s="1" t="str">
        <f>INDEX(Table2[[HomeTeam]:[Group_details]],ROWS($N$2:N541),COLUMNS($N$2:N541))</f>
        <v>Spain</v>
      </c>
      <c r="Q541" s="1">
        <f>INDEX(Table2[[HomeTeam]:[Group_details]],ROWS($N$2:O541),COLUMNS($N$2:O541))</f>
        <v>0</v>
      </c>
      <c r="R541" s="1">
        <f>INDEX(Table2[[HomeTeam]:[Group_details]],ROWS($N$2:P541),COLUMNS($N$2:P541))</f>
        <v>0</v>
      </c>
      <c r="S541" s="1" t="str">
        <f>INDEX(Table2[[HomeTeam]:[Group_details]],ROWS($N$2:Q541),COLUMNS($N$2:Q541))</f>
        <v>Paraguay</v>
      </c>
      <c r="T541" s="1" t="str">
        <f>INDEX(Table2[[HomeTeam]:[Group_details]],ROWS($N$2:R541),COLUMNS($N$2:R541))</f>
        <v xml:space="preserve"> </v>
      </c>
      <c r="U541" s="1" t="str">
        <f>INDEX(Table2[[HomeTeam]:[Group_details]],ROWS($N$2:S541),COLUMNS($N$2:S541))</f>
        <v>Group stages</v>
      </c>
      <c r="V541" s="1" t="b">
        <f t="shared" si="8"/>
        <v>0</v>
      </c>
      <c r="W541" s="1" t="str">
        <f>IF(V541=TRUE,ROWS($V$2:V541),"")</f>
        <v/>
      </c>
      <c r="X541" s="1" t="str">
        <f>IFERROR(SMALL($W$2:$W$853,ROWS($W$2:W541)),"")</f>
        <v/>
      </c>
      <c r="Y541" s="1" t="str">
        <f>IF($X541&lt;&gt;"",INDEX($P$2:$U$853,MATCH($X541,$W$2:$W$853,0),COLUMNS($X$2:X541)),"")</f>
        <v/>
      </c>
      <c r="Z541" s="1" t="str">
        <f>IF($X541&lt;&gt;"",INDEX($P$2:$U$853,MATCH($X541,$W$2:$W$853,0),COLUMNS($X$2:Y541)),"")</f>
        <v/>
      </c>
      <c r="AA541" s="1" t="str">
        <f>IF($X541&lt;&gt;"",INDEX($P$2:$U$853,MATCH($X541,$W$2:$W$853,0),COLUMNS($X$2:Z541)),"")</f>
        <v/>
      </c>
      <c r="AB541" s="1" t="str">
        <f>IF($X541&lt;&gt;"",INDEX($P$2:$U$853,MATCH($X541,$W$2:$W$853,0),COLUMNS($X$2:AA541)),"")</f>
        <v/>
      </c>
      <c r="AC541" s="1" t="str">
        <f>IF($X541&lt;&gt;"",INDEX($P$2:$U$853,MATCH($X541,$W$2:$W$853,0),COLUMNS($X$2:AB541)),"")</f>
        <v/>
      </c>
      <c r="AD541" s="1" t="str">
        <f>IF($X541&lt;&gt;"",INDEX($P$2:$U$853,MATCH($X541,$W$2:$W$853,0),COLUMNS($X$2:AC541)),"")</f>
        <v/>
      </c>
    </row>
    <row r="542" spans="1:30" x14ac:dyDescent="0.2">
      <c r="A542" s="1">
        <v>1998</v>
      </c>
      <c r="B542" s="2">
        <v>35966</v>
      </c>
      <c r="C542" s="1" t="s">
        <v>505</v>
      </c>
      <c r="D542" s="1" t="s">
        <v>355</v>
      </c>
      <c r="E542" s="1" t="s">
        <v>351</v>
      </c>
      <c r="F542" s="1" t="s">
        <v>352</v>
      </c>
      <c r="G542" s="6" t="str">
        <f>VLOOKUP(A542,WorldCups!$A$2:$B$23,2,FALSE)</f>
        <v>France</v>
      </c>
      <c r="H542" s="1" t="s">
        <v>356</v>
      </c>
      <c r="I542" s="1">
        <v>0</v>
      </c>
      <c r="J542" s="1">
        <v>1</v>
      </c>
      <c r="K542" s="1" t="s">
        <v>360</v>
      </c>
      <c r="L542" s="1" t="s">
        <v>14</v>
      </c>
      <c r="M542" s="1" t="str">
        <f>IF(ISNUMBER(SEARCH("Group",Table2[[#This Row],[Round]])),"Group stages",Table2[[#This Row],[Round]])</f>
        <v>Group stages</v>
      </c>
      <c r="O542" s="1">
        <f>Table2[[#This Row],[Year]]</f>
        <v>1998</v>
      </c>
      <c r="P542" s="1" t="str">
        <f>INDEX(Table2[[HomeTeam]:[Group_details]],ROWS($N$2:N542),COLUMNS($N$2:N542))</f>
        <v>Japan</v>
      </c>
      <c r="Q542" s="1">
        <f>INDEX(Table2[[HomeTeam]:[Group_details]],ROWS($N$2:O542),COLUMNS($N$2:O542))</f>
        <v>0</v>
      </c>
      <c r="R542" s="1">
        <f>INDEX(Table2[[HomeTeam]:[Group_details]],ROWS($N$2:P542),COLUMNS($N$2:P542))</f>
        <v>1</v>
      </c>
      <c r="S542" s="1" t="str">
        <f>INDEX(Table2[[HomeTeam]:[Group_details]],ROWS($N$2:Q542),COLUMNS($N$2:Q542))</f>
        <v>Croatia</v>
      </c>
      <c r="T542" s="1" t="str">
        <f>INDEX(Table2[[HomeTeam]:[Group_details]],ROWS($N$2:R542),COLUMNS($N$2:R542))</f>
        <v xml:space="preserve"> </v>
      </c>
      <c r="U542" s="1" t="str">
        <f>INDEX(Table2[[HomeTeam]:[Group_details]],ROWS($N$2:S542),COLUMNS($N$2:S542))</f>
        <v>Group stages</v>
      </c>
      <c r="V542" s="1" t="b">
        <f t="shared" si="8"/>
        <v>0</v>
      </c>
      <c r="W542" s="1" t="str">
        <f>IF(V542=TRUE,ROWS($V$2:V542),"")</f>
        <v/>
      </c>
      <c r="X542" s="1" t="str">
        <f>IFERROR(SMALL($W$2:$W$853,ROWS($W$2:W542)),"")</f>
        <v/>
      </c>
      <c r="Y542" s="1" t="str">
        <f>IF($X542&lt;&gt;"",INDEX($P$2:$U$853,MATCH($X542,$W$2:$W$853,0),COLUMNS($X$2:X542)),"")</f>
        <v/>
      </c>
      <c r="Z542" s="1" t="str">
        <f>IF($X542&lt;&gt;"",INDEX($P$2:$U$853,MATCH($X542,$W$2:$W$853,0),COLUMNS($X$2:Y542)),"")</f>
        <v/>
      </c>
      <c r="AA542" s="1" t="str">
        <f>IF($X542&lt;&gt;"",INDEX($P$2:$U$853,MATCH($X542,$W$2:$W$853,0),COLUMNS($X$2:Z542)),"")</f>
        <v/>
      </c>
      <c r="AB542" s="1" t="str">
        <f>IF($X542&lt;&gt;"",INDEX($P$2:$U$853,MATCH($X542,$W$2:$W$853,0),COLUMNS($X$2:AA542)),"")</f>
        <v/>
      </c>
      <c r="AC542" s="1" t="str">
        <f>IF($X542&lt;&gt;"",INDEX($P$2:$U$853,MATCH($X542,$W$2:$W$853,0),COLUMNS($X$2:AB542)),"")</f>
        <v/>
      </c>
      <c r="AD542" s="1" t="str">
        <f>IF($X542&lt;&gt;"",INDEX($P$2:$U$853,MATCH($X542,$W$2:$W$853,0),COLUMNS($X$2:AC542)),"")</f>
        <v/>
      </c>
    </row>
    <row r="543" spans="1:30" x14ac:dyDescent="0.2">
      <c r="A543" s="1">
        <v>1998</v>
      </c>
      <c r="B543" s="2">
        <v>35966</v>
      </c>
      <c r="C543" s="1" t="s">
        <v>511</v>
      </c>
      <c r="D543" s="1" t="s">
        <v>281</v>
      </c>
      <c r="E543" s="1" t="s">
        <v>85</v>
      </c>
      <c r="F543" s="1" t="s">
        <v>86</v>
      </c>
      <c r="G543" s="6" t="str">
        <f>VLOOKUP(A543,WorldCups!$A$2:$B$23,2,FALSE)</f>
        <v>France</v>
      </c>
      <c r="H543" s="1" t="s">
        <v>18</v>
      </c>
      <c r="I543" s="1">
        <v>2</v>
      </c>
      <c r="J543" s="1">
        <v>2</v>
      </c>
      <c r="K543" s="1" t="s">
        <v>13</v>
      </c>
      <c r="L543" s="1" t="s">
        <v>14</v>
      </c>
      <c r="M543" s="1" t="str">
        <f>IF(ISNUMBER(SEARCH("Group",Table2[[#This Row],[Round]])),"Group stages",Table2[[#This Row],[Round]])</f>
        <v>Group stages</v>
      </c>
      <c r="O543" s="1">
        <f>Table2[[#This Row],[Year]]</f>
        <v>1998</v>
      </c>
      <c r="P543" s="1" t="str">
        <f>INDEX(Table2[[HomeTeam]:[Group_details]],ROWS($N$2:N543),COLUMNS($N$2:N543))</f>
        <v>Belgium</v>
      </c>
      <c r="Q543" s="1">
        <f>INDEX(Table2[[HomeTeam]:[Group_details]],ROWS($N$2:O543),COLUMNS($N$2:O543))</f>
        <v>2</v>
      </c>
      <c r="R543" s="1">
        <f>INDEX(Table2[[HomeTeam]:[Group_details]],ROWS($N$2:P543),COLUMNS($N$2:P543))</f>
        <v>2</v>
      </c>
      <c r="S543" s="1" t="str">
        <f>INDEX(Table2[[HomeTeam]:[Group_details]],ROWS($N$2:Q543),COLUMNS($N$2:Q543))</f>
        <v>Mexico</v>
      </c>
      <c r="T543" s="1" t="str">
        <f>INDEX(Table2[[HomeTeam]:[Group_details]],ROWS($N$2:R543),COLUMNS($N$2:R543))</f>
        <v xml:space="preserve"> </v>
      </c>
      <c r="U543" s="1" t="str">
        <f>INDEX(Table2[[HomeTeam]:[Group_details]],ROWS($N$2:S543),COLUMNS($N$2:S543))</f>
        <v>Group stages</v>
      </c>
      <c r="V543" s="1" t="b">
        <f t="shared" si="8"/>
        <v>0</v>
      </c>
      <c r="W543" s="1" t="str">
        <f>IF(V543=TRUE,ROWS($V$2:V543),"")</f>
        <v/>
      </c>
      <c r="X543" s="1" t="str">
        <f>IFERROR(SMALL($W$2:$W$853,ROWS($W$2:W543)),"")</f>
        <v/>
      </c>
      <c r="Y543" s="1" t="str">
        <f>IF($X543&lt;&gt;"",INDEX($P$2:$U$853,MATCH($X543,$W$2:$W$853,0),COLUMNS($X$2:X543)),"")</f>
        <v/>
      </c>
      <c r="Z543" s="1" t="str">
        <f>IF($X543&lt;&gt;"",INDEX($P$2:$U$853,MATCH($X543,$W$2:$W$853,0),COLUMNS($X$2:Y543)),"")</f>
        <v/>
      </c>
      <c r="AA543" s="1" t="str">
        <f>IF($X543&lt;&gt;"",INDEX($P$2:$U$853,MATCH($X543,$W$2:$W$853,0),COLUMNS($X$2:Z543)),"")</f>
        <v/>
      </c>
      <c r="AB543" s="1" t="str">
        <f>IF($X543&lt;&gt;"",INDEX($P$2:$U$853,MATCH($X543,$W$2:$W$853,0),COLUMNS($X$2:AA543)),"")</f>
        <v/>
      </c>
      <c r="AC543" s="1" t="str">
        <f>IF($X543&lt;&gt;"",INDEX($P$2:$U$853,MATCH($X543,$W$2:$W$853,0),COLUMNS($X$2:AB543)),"")</f>
        <v/>
      </c>
      <c r="AD543" s="1" t="str">
        <f>IF($X543&lt;&gt;"",INDEX($P$2:$U$853,MATCH($X543,$W$2:$W$853,0),COLUMNS($X$2:AC543)),"")</f>
        <v/>
      </c>
    </row>
    <row r="544" spans="1:30" x14ac:dyDescent="0.2">
      <c r="A544" s="1">
        <v>1998</v>
      </c>
      <c r="B544" s="2">
        <v>35966</v>
      </c>
      <c r="C544" s="1" t="s">
        <v>530</v>
      </c>
      <c r="D544" s="1" t="s">
        <v>281</v>
      </c>
      <c r="E544" s="1" t="s">
        <v>75</v>
      </c>
      <c r="F544" s="1" t="s">
        <v>76</v>
      </c>
      <c r="G544" s="6" t="str">
        <f>VLOOKUP(A544,WorldCups!$A$2:$B$23,2,FALSE)</f>
        <v>France</v>
      </c>
      <c r="H544" s="1" t="s">
        <v>45</v>
      </c>
      <c r="I544" s="1">
        <v>5</v>
      </c>
      <c r="J544" s="1">
        <v>0</v>
      </c>
      <c r="K544" s="1" t="s">
        <v>116</v>
      </c>
      <c r="L544" s="1" t="s">
        <v>14</v>
      </c>
      <c r="M544" s="1" t="str">
        <f>IF(ISNUMBER(SEARCH("Group",Table2[[#This Row],[Round]])),"Group stages",Table2[[#This Row],[Round]])</f>
        <v>Group stages</v>
      </c>
      <c r="O544" s="1">
        <f>Table2[[#This Row],[Year]]</f>
        <v>1998</v>
      </c>
      <c r="P544" s="1" t="str">
        <f>INDEX(Table2[[HomeTeam]:[Group_details]],ROWS($N$2:N544),COLUMNS($N$2:N544))</f>
        <v>Netherlands</v>
      </c>
      <c r="Q544" s="1">
        <f>INDEX(Table2[[HomeTeam]:[Group_details]],ROWS($N$2:O544),COLUMNS($N$2:O544))</f>
        <v>5</v>
      </c>
      <c r="R544" s="1">
        <f>INDEX(Table2[[HomeTeam]:[Group_details]],ROWS($N$2:P544),COLUMNS($N$2:P544))</f>
        <v>0</v>
      </c>
      <c r="S544" s="1" t="str">
        <f>INDEX(Table2[[HomeTeam]:[Group_details]],ROWS($N$2:Q544),COLUMNS($N$2:Q544))</f>
        <v>Korea Republic</v>
      </c>
      <c r="T544" s="1" t="str">
        <f>INDEX(Table2[[HomeTeam]:[Group_details]],ROWS($N$2:R544),COLUMNS($N$2:R544))</f>
        <v xml:space="preserve"> </v>
      </c>
      <c r="U544" s="1" t="str">
        <f>INDEX(Table2[[HomeTeam]:[Group_details]],ROWS($N$2:S544),COLUMNS($N$2:S544))</f>
        <v>Group stages</v>
      </c>
      <c r="V544" s="1" t="b">
        <f t="shared" si="8"/>
        <v>0</v>
      </c>
      <c r="W544" s="1" t="str">
        <f>IF(V544=TRUE,ROWS($V$2:V544),"")</f>
        <v/>
      </c>
      <c r="X544" s="1" t="str">
        <f>IFERROR(SMALL($W$2:$W$853,ROWS($W$2:W544)),"")</f>
        <v/>
      </c>
      <c r="Y544" s="1" t="str">
        <f>IF($X544&lt;&gt;"",INDEX($P$2:$U$853,MATCH($X544,$W$2:$W$853,0),COLUMNS($X$2:X544)),"")</f>
        <v/>
      </c>
      <c r="Z544" s="1" t="str">
        <f>IF($X544&lt;&gt;"",INDEX($P$2:$U$853,MATCH($X544,$W$2:$W$853,0),COLUMNS($X$2:Y544)),"")</f>
        <v/>
      </c>
      <c r="AA544" s="1" t="str">
        <f>IF($X544&lt;&gt;"",INDEX($P$2:$U$853,MATCH($X544,$W$2:$W$853,0),COLUMNS($X$2:Z544)),"")</f>
        <v/>
      </c>
      <c r="AB544" s="1" t="str">
        <f>IF($X544&lt;&gt;"",INDEX($P$2:$U$853,MATCH($X544,$W$2:$W$853,0),COLUMNS($X$2:AA544)),"")</f>
        <v/>
      </c>
      <c r="AC544" s="1" t="str">
        <f>IF($X544&lt;&gt;"",INDEX($P$2:$U$853,MATCH($X544,$W$2:$W$853,0),COLUMNS($X$2:AB544)),"")</f>
        <v/>
      </c>
      <c r="AD544" s="1" t="str">
        <f>IF($X544&lt;&gt;"",INDEX($P$2:$U$853,MATCH($X544,$W$2:$W$853,0),COLUMNS($X$2:AC544)),"")</f>
        <v/>
      </c>
    </row>
    <row r="545" spans="1:30" x14ac:dyDescent="0.2">
      <c r="A545" s="1">
        <v>1998</v>
      </c>
      <c r="B545" s="2">
        <v>35967</v>
      </c>
      <c r="C545" s="1" t="s">
        <v>505</v>
      </c>
      <c r="D545" s="1" t="s">
        <v>274</v>
      </c>
      <c r="E545" s="1" t="s">
        <v>348</v>
      </c>
      <c r="F545" s="1" t="s">
        <v>349</v>
      </c>
      <c r="G545" s="6" t="str">
        <f>VLOOKUP(A545,WorldCups!$A$2:$B$23,2,FALSE)</f>
        <v>France</v>
      </c>
      <c r="H545" s="1" t="s">
        <v>51</v>
      </c>
      <c r="I545" s="1">
        <v>2</v>
      </c>
      <c r="J545" s="1">
        <v>2</v>
      </c>
      <c r="K545" s="1" t="s">
        <v>20</v>
      </c>
      <c r="L545" s="1" t="s">
        <v>14</v>
      </c>
      <c r="M545" s="1" t="str">
        <f>IF(ISNUMBER(SEARCH("Group",Table2[[#This Row],[Round]])),"Group stages",Table2[[#This Row],[Round]])</f>
        <v>Group stages</v>
      </c>
      <c r="O545" s="1">
        <f>Table2[[#This Row],[Year]]</f>
        <v>1998</v>
      </c>
      <c r="P545" s="1" t="str">
        <f>INDEX(Table2[[HomeTeam]:[Group_details]],ROWS($N$2:N545),COLUMNS($N$2:N545))</f>
        <v>Germany</v>
      </c>
      <c r="Q545" s="1">
        <f>INDEX(Table2[[HomeTeam]:[Group_details]],ROWS($N$2:O545),COLUMNS($N$2:O545))</f>
        <v>2</v>
      </c>
      <c r="R545" s="1">
        <f>INDEX(Table2[[HomeTeam]:[Group_details]],ROWS($N$2:P545),COLUMNS($N$2:P545))</f>
        <v>2</v>
      </c>
      <c r="S545" s="1" t="str">
        <f>INDEX(Table2[[HomeTeam]:[Group_details]],ROWS($N$2:Q545),COLUMNS($N$2:Q545))</f>
        <v>Yugoslavia</v>
      </c>
      <c r="T545" s="1" t="str">
        <f>INDEX(Table2[[HomeTeam]:[Group_details]],ROWS($N$2:R545),COLUMNS($N$2:R545))</f>
        <v xml:space="preserve"> </v>
      </c>
      <c r="U545" s="1" t="str">
        <f>INDEX(Table2[[HomeTeam]:[Group_details]],ROWS($N$2:S545),COLUMNS($N$2:S545))</f>
        <v>Group stages</v>
      </c>
      <c r="V545" s="1" t="b">
        <f t="shared" si="8"/>
        <v>0</v>
      </c>
      <c r="W545" s="1" t="str">
        <f>IF(V545=TRUE,ROWS($V$2:V545),"")</f>
        <v/>
      </c>
      <c r="X545" s="1" t="str">
        <f>IFERROR(SMALL($W$2:$W$853,ROWS($W$2:W545)),"")</f>
        <v/>
      </c>
      <c r="Y545" s="1" t="str">
        <f>IF($X545&lt;&gt;"",INDEX($P$2:$U$853,MATCH($X545,$W$2:$W$853,0),COLUMNS($X$2:X545)),"")</f>
        <v/>
      </c>
      <c r="Z545" s="1" t="str">
        <f>IF($X545&lt;&gt;"",INDEX($P$2:$U$853,MATCH($X545,$W$2:$W$853,0),COLUMNS($X$2:Y545)),"")</f>
        <v/>
      </c>
      <c r="AA545" s="1" t="str">
        <f>IF($X545&lt;&gt;"",INDEX($P$2:$U$853,MATCH($X545,$W$2:$W$853,0),COLUMNS($X$2:Z545)),"")</f>
        <v/>
      </c>
      <c r="AB545" s="1" t="str">
        <f>IF($X545&lt;&gt;"",INDEX($P$2:$U$853,MATCH($X545,$W$2:$W$853,0),COLUMNS($X$2:AA545)),"")</f>
        <v/>
      </c>
      <c r="AC545" s="1" t="str">
        <f>IF($X545&lt;&gt;"",INDEX($P$2:$U$853,MATCH($X545,$W$2:$W$853,0),COLUMNS($X$2:AB545)),"")</f>
        <v/>
      </c>
      <c r="AD545" s="1" t="str">
        <f>IF($X545&lt;&gt;"",INDEX($P$2:$U$853,MATCH($X545,$W$2:$W$853,0),COLUMNS($X$2:AC545)),"")</f>
        <v/>
      </c>
    </row>
    <row r="546" spans="1:30" x14ac:dyDescent="0.2">
      <c r="A546" s="1">
        <v>1998</v>
      </c>
      <c r="B546" s="2">
        <v>35967</v>
      </c>
      <c r="C546" s="1" t="s">
        <v>511</v>
      </c>
      <c r="D546" s="1" t="s">
        <v>355</v>
      </c>
      <c r="E546" s="1" t="s">
        <v>65</v>
      </c>
      <c r="F546" s="1" t="s">
        <v>66</v>
      </c>
      <c r="G546" s="6" t="str">
        <f>VLOOKUP(A546,WorldCups!$A$2:$B$23,2,FALSE)</f>
        <v>France</v>
      </c>
      <c r="H546" s="1" t="s">
        <v>25</v>
      </c>
      <c r="I546" s="1">
        <v>5</v>
      </c>
      <c r="J546" s="1">
        <v>0</v>
      </c>
      <c r="K546" s="1" t="s">
        <v>359</v>
      </c>
      <c r="L546" s="1" t="s">
        <v>14</v>
      </c>
      <c r="M546" s="1" t="str">
        <f>IF(ISNUMBER(SEARCH("Group",Table2[[#This Row],[Round]])),"Group stages",Table2[[#This Row],[Round]])</f>
        <v>Group stages</v>
      </c>
      <c r="O546" s="1">
        <f>Table2[[#This Row],[Year]]</f>
        <v>1998</v>
      </c>
      <c r="P546" s="1" t="str">
        <f>INDEX(Table2[[HomeTeam]:[Group_details]],ROWS($N$2:N546),COLUMNS($N$2:N546))</f>
        <v>Argentina</v>
      </c>
      <c r="Q546" s="1">
        <f>INDEX(Table2[[HomeTeam]:[Group_details]],ROWS($N$2:O546),COLUMNS($N$2:O546))</f>
        <v>5</v>
      </c>
      <c r="R546" s="1">
        <f>INDEX(Table2[[HomeTeam]:[Group_details]],ROWS($N$2:P546),COLUMNS($N$2:P546))</f>
        <v>0</v>
      </c>
      <c r="S546" s="1" t="str">
        <f>INDEX(Table2[[HomeTeam]:[Group_details]],ROWS($N$2:Q546),COLUMNS($N$2:Q546))</f>
        <v>Jamaica</v>
      </c>
      <c r="T546" s="1" t="str">
        <f>INDEX(Table2[[HomeTeam]:[Group_details]],ROWS($N$2:R546),COLUMNS($N$2:R546))</f>
        <v xml:space="preserve"> </v>
      </c>
      <c r="U546" s="1" t="str">
        <f>INDEX(Table2[[HomeTeam]:[Group_details]],ROWS($N$2:S546),COLUMNS($N$2:S546))</f>
        <v>Group stages</v>
      </c>
      <c r="V546" s="1" t="b">
        <f t="shared" si="8"/>
        <v>0</v>
      </c>
      <c r="W546" s="1" t="str">
        <f>IF(V546=TRUE,ROWS($V$2:V546),"")</f>
        <v/>
      </c>
      <c r="X546" s="1" t="str">
        <f>IFERROR(SMALL($W$2:$W$853,ROWS($W$2:W546)),"")</f>
        <v/>
      </c>
      <c r="Y546" s="1" t="str">
        <f>IF($X546&lt;&gt;"",INDEX($P$2:$U$853,MATCH($X546,$W$2:$W$853,0),COLUMNS($X$2:X546)),"")</f>
        <v/>
      </c>
      <c r="Z546" s="1" t="str">
        <f>IF($X546&lt;&gt;"",INDEX($P$2:$U$853,MATCH($X546,$W$2:$W$853,0),COLUMNS($X$2:Y546)),"")</f>
        <v/>
      </c>
      <c r="AA546" s="1" t="str">
        <f>IF($X546&lt;&gt;"",INDEX($P$2:$U$853,MATCH($X546,$W$2:$W$853,0),COLUMNS($X$2:Z546)),"")</f>
        <v/>
      </c>
      <c r="AB546" s="1" t="str">
        <f>IF($X546&lt;&gt;"",INDEX($P$2:$U$853,MATCH($X546,$W$2:$W$853,0),COLUMNS($X$2:AA546)),"")</f>
        <v/>
      </c>
      <c r="AC546" s="1" t="str">
        <f>IF($X546&lt;&gt;"",INDEX($P$2:$U$853,MATCH($X546,$W$2:$W$853,0),COLUMNS($X$2:AB546)),"")</f>
        <v/>
      </c>
      <c r="AD546" s="1" t="str">
        <f>IF($X546&lt;&gt;"",INDEX($P$2:$U$853,MATCH($X546,$W$2:$W$853,0),COLUMNS($X$2:AC546)),"")</f>
        <v/>
      </c>
    </row>
    <row r="547" spans="1:30" x14ac:dyDescent="0.2">
      <c r="A547" s="1">
        <v>1998</v>
      </c>
      <c r="B547" s="2">
        <v>35967</v>
      </c>
      <c r="C547" s="1" t="s">
        <v>530</v>
      </c>
      <c r="D547" s="1" t="s">
        <v>274</v>
      </c>
      <c r="E547" s="1" t="s">
        <v>353</v>
      </c>
      <c r="F547" s="1" t="s">
        <v>354</v>
      </c>
      <c r="G547" s="6" t="str">
        <f>VLOOKUP(A547,WorldCups!$A$2:$B$23,2,FALSE)</f>
        <v>France</v>
      </c>
      <c r="H547" s="1" t="s">
        <v>17</v>
      </c>
      <c r="I547" s="1">
        <v>1</v>
      </c>
      <c r="J547" s="1">
        <v>2</v>
      </c>
      <c r="K547" s="1" t="s">
        <v>228</v>
      </c>
      <c r="L547" s="1" t="s">
        <v>14</v>
      </c>
      <c r="M547" s="1" t="str">
        <f>IF(ISNUMBER(SEARCH("Group",Table2[[#This Row],[Round]])),"Group stages",Table2[[#This Row],[Round]])</f>
        <v>Group stages</v>
      </c>
      <c r="O547" s="1">
        <f>Table2[[#This Row],[Year]]</f>
        <v>1998</v>
      </c>
      <c r="P547" s="1" t="str">
        <f>INDEX(Table2[[HomeTeam]:[Group_details]],ROWS($N$2:N547),COLUMNS($N$2:N547))</f>
        <v>USA</v>
      </c>
      <c r="Q547" s="1">
        <f>INDEX(Table2[[HomeTeam]:[Group_details]],ROWS($N$2:O547),COLUMNS($N$2:O547))</f>
        <v>1</v>
      </c>
      <c r="R547" s="1">
        <f>INDEX(Table2[[HomeTeam]:[Group_details]],ROWS($N$2:P547),COLUMNS($N$2:P547))</f>
        <v>2</v>
      </c>
      <c r="S547" s="1" t="str">
        <f>INDEX(Table2[[HomeTeam]:[Group_details]],ROWS($N$2:Q547),COLUMNS($N$2:Q547))</f>
        <v>Iran</v>
      </c>
      <c r="T547" s="1" t="str">
        <f>INDEX(Table2[[HomeTeam]:[Group_details]],ROWS($N$2:R547),COLUMNS($N$2:R547))</f>
        <v xml:space="preserve"> </v>
      </c>
      <c r="U547" s="1" t="str">
        <f>INDEX(Table2[[HomeTeam]:[Group_details]],ROWS($N$2:S547),COLUMNS($N$2:S547))</f>
        <v>Group stages</v>
      </c>
      <c r="V547" s="1" t="b">
        <f t="shared" si="8"/>
        <v>0</v>
      </c>
      <c r="W547" s="1" t="str">
        <f>IF(V547=TRUE,ROWS($V$2:V547),"")</f>
        <v/>
      </c>
      <c r="X547" s="1" t="str">
        <f>IFERROR(SMALL($W$2:$W$853,ROWS($W$2:W547)),"")</f>
        <v/>
      </c>
      <c r="Y547" s="1" t="str">
        <f>IF($X547&lt;&gt;"",INDEX($P$2:$U$853,MATCH($X547,$W$2:$W$853,0),COLUMNS($X$2:X547)),"")</f>
        <v/>
      </c>
      <c r="Z547" s="1" t="str">
        <f>IF($X547&lt;&gt;"",INDEX($P$2:$U$853,MATCH($X547,$W$2:$W$853,0),COLUMNS($X$2:Y547)),"")</f>
        <v/>
      </c>
      <c r="AA547" s="1" t="str">
        <f>IF($X547&lt;&gt;"",INDEX($P$2:$U$853,MATCH($X547,$W$2:$W$853,0),COLUMNS($X$2:Z547)),"")</f>
        <v/>
      </c>
      <c r="AB547" s="1" t="str">
        <f>IF($X547&lt;&gt;"",INDEX($P$2:$U$853,MATCH($X547,$W$2:$W$853,0),COLUMNS($X$2:AA547)),"")</f>
        <v/>
      </c>
      <c r="AC547" s="1" t="str">
        <f>IF($X547&lt;&gt;"",INDEX($P$2:$U$853,MATCH($X547,$W$2:$W$853,0),COLUMNS($X$2:AB547)),"")</f>
        <v/>
      </c>
      <c r="AD547" s="1" t="str">
        <f>IF($X547&lt;&gt;"",INDEX($P$2:$U$853,MATCH($X547,$W$2:$W$853,0),COLUMNS($X$2:AC547)),"")</f>
        <v/>
      </c>
    </row>
    <row r="548" spans="1:30" x14ac:dyDescent="0.2">
      <c r="A548" s="1">
        <v>1998</v>
      </c>
      <c r="B548" s="2">
        <v>35968</v>
      </c>
      <c r="C548" s="1" t="s">
        <v>511</v>
      </c>
      <c r="D548" s="1" t="s">
        <v>361</v>
      </c>
      <c r="E548" s="1" t="s">
        <v>346</v>
      </c>
      <c r="F548" s="1" t="s">
        <v>347</v>
      </c>
      <c r="G548" s="6" t="str">
        <f>VLOOKUP(A548,WorldCups!$A$2:$B$23,2,FALSE)</f>
        <v>France</v>
      </c>
      <c r="H548" s="1" t="s">
        <v>151</v>
      </c>
      <c r="I548" s="1">
        <v>1</v>
      </c>
      <c r="J548" s="1">
        <v>0</v>
      </c>
      <c r="K548" s="1" t="s">
        <v>221</v>
      </c>
      <c r="L548" s="1" t="s">
        <v>14</v>
      </c>
      <c r="M548" s="1" t="str">
        <f>IF(ISNUMBER(SEARCH("Group",Table2[[#This Row],[Round]])),"Group stages",Table2[[#This Row],[Round]])</f>
        <v>Group stages</v>
      </c>
      <c r="O548" s="1">
        <f>Table2[[#This Row],[Year]]</f>
        <v>1998</v>
      </c>
      <c r="P548" s="1" t="str">
        <f>INDEX(Table2[[HomeTeam]:[Group_details]],ROWS($N$2:N548),COLUMNS($N$2:N548))</f>
        <v>Colombia</v>
      </c>
      <c r="Q548" s="1">
        <f>INDEX(Table2[[HomeTeam]:[Group_details]],ROWS($N$2:O548),COLUMNS($N$2:O548))</f>
        <v>1</v>
      </c>
      <c r="R548" s="1">
        <f>INDEX(Table2[[HomeTeam]:[Group_details]],ROWS($N$2:P548),COLUMNS($N$2:P548))</f>
        <v>0</v>
      </c>
      <c r="S548" s="1" t="str">
        <f>INDEX(Table2[[HomeTeam]:[Group_details]],ROWS($N$2:Q548),COLUMNS($N$2:Q548))</f>
        <v>Tunisia</v>
      </c>
      <c r="T548" s="1" t="str">
        <f>INDEX(Table2[[HomeTeam]:[Group_details]],ROWS($N$2:R548),COLUMNS($N$2:R548))</f>
        <v xml:space="preserve"> </v>
      </c>
      <c r="U548" s="1" t="str">
        <f>INDEX(Table2[[HomeTeam]:[Group_details]],ROWS($N$2:S548),COLUMNS($N$2:S548))</f>
        <v>Group stages</v>
      </c>
      <c r="V548" s="1" t="b">
        <f t="shared" si="8"/>
        <v>0</v>
      </c>
      <c r="W548" s="1" t="str">
        <f>IF(V548=TRUE,ROWS($V$2:V548),"")</f>
        <v/>
      </c>
      <c r="X548" s="1" t="str">
        <f>IFERROR(SMALL($W$2:$W$853,ROWS($W$2:W548)),"")</f>
        <v/>
      </c>
      <c r="Y548" s="1" t="str">
        <f>IF($X548&lt;&gt;"",INDEX($P$2:$U$853,MATCH($X548,$W$2:$W$853,0),COLUMNS($X$2:X548)),"")</f>
        <v/>
      </c>
      <c r="Z548" s="1" t="str">
        <f>IF($X548&lt;&gt;"",INDEX($P$2:$U$853,MATCH($X548,$W$2:$W$853,0),COLUMNS($X$2:Y548)),"")</f>
        <v/>
      </c>
      <c r="AA548" s="1" t="str">
        <f>IF($X548&lt;&gt;"",INDEX($P$2:$U$853,MATCH($X548,$W$2:$W$853,0),COLUMNS($X$2:Z548)),"")</f>
        <v/>
      </c>
      <c r="AB548" s="1" t="str">
        <f>IF($X548&lt;&gt;"",INDEX($P$2:$U$853,MATCH($X548,$W$2:$W$853,0),COLUMNS($X$2:AA548)),"")</f>
        <v/>
      </c>
      <c r="AC548" s="1" t="str">
        <f>IF($X548&lt;&gt;"",INDEX($P$2:$U$853,MATCH($X548,$W$2:$W$853,0),COLUMNS($X$2:AB548)),"")</f>
        <v/>
      </c>
      <c r="AD548" s="1" t="str">
        <f>IF($X548&lt;&gt;"",INDEX($P$2:$U$853,MATCH($X548,$W$2:$W$853,0),COLUMNS($X$2:AC548)),"")</f>
        <v/>
      </c>
    </row>
    <row r="549" spans="1:30" x14ac:dyDescent="0.2">
      <c r="A549" s="1">
        <v>1998</v>
      </c>
      <c r="B549" s="2">
        <v>35968</v>
      </c>
      <c r="C549" s="1" t="s">
        <v>530</v>
      </c>
      <c r="D549" s="1" t="s">
        <v>361</v>
      </c>
      <c r="E549" s="1" t="s">
        <v>72</v>
      </c>
      <c r="F549" s="1" t="s">
        <v>73</v>
      </c>
      <c r="G549" s="6" t="str">
        <f>VLOOKUP(A549,WorldCups!$A$2:$B$23,2,FALSE)</f>
        <v>France</v>
      </c>
      <c r="H549" s="1" t="s">
        <v>23</v>
      </c>
      <c r="I549" s="1">
        <v>2</v>
      </c>
      <c r="J549" s="1">
        <v>1</v>
      </c>
      <c r="K549" s="1" t="s">
        <v>93</v>
      </c>
      <c r="L549" s="1" t="s">
        <v>14</v>
      </c>
      <c r="M549" s="1" t="str">
        <f>IF(ISNUMBER(SEARCH("Group",Table2[[#This Row],[Round]])),"Group stages",Table2[[#This Row],[Round]])</f>
        <v>Group stages</v>
      </c>
      <c r="O549" s="1">
        <f>Table2[[#This Row],[Year]]</f>
        <v>1998</v>
      </c>
      <c r="P549" s="1" t="str">
        <f>INDEX(Table2[[HomeTeam]:[Group_details]],ROWS($N$2:N549),COLUMNS($N$2:N549))</f>
        <v>Romania</v>
      </c>
      <c r="Q549" s="1">
        <f>INDEX(Table2[[HomeTeam]:[Group_details]],ROWS($N$2:O549),COLUMNS($N$2:O549))</f>
        <v>2</v>
      </c>
      <c r="R549" s="1">
        <f>INDEX(Table2[[HomeTeam]:[Group_details]],ROWS($N$2:P549),COLUMNS($N$2:P549))</f>
        <v>1</v>
      </c>
      <c r="S549" s="1" t="str">
        <f>INDEX(Table2[[HomeTeam]:[Group_details]],ROWS($N$2:Q549),COLUMNS($N$2:Q549))</f>
        <v>England</v>
      </c>
      <c r="T549" s="1" t="str">
        <f>INDEX(Table2[[HomeTeam]:[Group_details]],ROWS($N$2:R549),COLUMNS($N$2:R549))</f>
        <v xml:space="preserve"> </v>
      </c>
      <c r="U549" s="1" t="str">
        <f>INDEX(Table2[[HomeTeam]:[Group_details]],ROWS($N$2:S549),COLUMNS($N$2:S549))</f>
        <v>Group stages</v>
      </c>
      <c r="V549" s="1" t="b">
        <f t="shared" si="8"/>
        <v>0</v>
      </c>
      <c r="W549" s="1" t="str">
        <f>IF(V549=TRUE,ROWS($V$2:V549),"")</f>
        <v/>
      </c>
      <c r="X549" s="1" t="str">
        <f>IFERROR(SMALL($W$2:$W$853,ROWS($W$2:W549)),"")</f>
        <v/>
      </c>
      <c r="Y549" s="1" t="str">
        <f>IF($X549&lt;&gt;"",INDEX($P$2:$U$853,MATCH($X549,$W$2:$W$853,0),COLUMNS($X$2:X549)),"")</f>
        <v/>
      </c>
      <c r="Z549" s="1" t="str">
        <f>IF($X549&lt;&gt;"",INDEX($P$2:$U$853,MATCH($X549,$W$2:$W$853,0),COLUMNS($X$2:Y549)),"")</f>
        <v/>
      </c>
      <c r="AA549" s="1" t="str">
        <f>IF($X549&lt;&gt;"",INDEX($P$2:$U$853,MATCH($X549,$W$2:$W$853,0),COLUMNS($X$2:Z549)),"")</f>
        <v/>
      </c>
      <c r="AB549" s="1" t="str">
        <f>IF($X549&lt;&gt;"",INDEX($P$2:$U$853,MATCH($X549,$W$2:$W$853,0),COLUMNS($X$2:AA549)),"")</f>
        <v/>
      </c>
      <c r="AC549" s="1" t="str">
        <f>IF($X549&lt;&gt;"",INDEX($P$2:$U$853,MATCH($X549,$W$2:$W$853,0),COLUMNS($X$2:AB549)),"")</f>
        <v/>
      </c>
      <c r="AD549" s="1" t="str">
        <f>IF($X549&lt;&gt;"",INDEX($P$2:$U$853,MATCH($X549,$W$2:$W$853,0),COLUMNS($X$2:AC549)),"")</f>
        <v/>
      </c>
    </row>
    <row r="550" spans="1:30" x14ac:dyDescent="0.2">
      <c r="A550" s="1">
        <v>1998</v>
      </c>
      <c r="B550" s="2">
        <v>35969</v>
      </c>
      <c r="C550" s="1" t="s">
        <v>503</v>
      </c>
      <c r="D550" s="1" t="s">
        <v>213</v>
      </c>
      <c r="E550" s="1" t="s">
        <v>344</v>
      </c>
      <c r="F550" s="1" t="s">
        <v>345</v>
      </c>
      <c r="G550" s="6" t="str">
        <f>VLOOKUP(A550,WorldCups!$A$2:$B$23,2,FALSE)</f>
        <v>France</v>
      </c>
      <c r="H550" s="1" t="s">
        <v>57</v>
      </c>
      <c r="I550" s="1">
        <v>2</v>
      </c>
      <c r="J550" s="1">
        <v>1</v>
      </c>
      <c r="K550" s="1" t="s">
        <v>36</v>
      </c>
      <c r="L550" s="1" t="s">
        <v>14</v>
      </c>
      <c r="M550" s="1" t="str">
        <f>IF(ISNUMBER(SEARCH("Group",Table2[[#This Row],[Round]])),"Group stages",Table2[[#This Row],[Round]])</f>
        <v>Group stages</v>
      </c>
      <c r="O550" s="1">
        <f>Table2[[#This Row],[Year]]</f>
        <v>1998</v>
      </c>
      <c r="P550" s="1" t="str">
        <f>INDEX(Table2[[HomeTeam]:[Group_details]],ROWS($N$2:N550),COLUMNS($N$2:N550))</f>
        <v>Italy</v>
      </c>
      <c r="Q550" s="1">
        <f>INDEX(Table2[[HomeTeam]:[Group_details]],ROWS($N$2:O550),COLUMNS($N$2:O550))</f>
        <v>2</v>
      </c>
      <c r="R550" s="1">
        <f>INDEX(Table2[[HomeTeam]:[Group_details]],ROWS($N$2:P550),COLUMNS($N$2:P550))</f>
        <v>1</v>
      </c>
      <c r="S550" s="1" t="str">
        <f>INDEX(Table2[[HomeTeam]:[Group_details]],ROWS($N$2:Q550),COLUMNS($N$2:Q550))</f>
        <v>Austria</v>
      </c>
      <c r="T550" s="1" t="str">
        <f>INDEX(Table2[[HomeTeam]:[Group_details]],ROWS($N$2:R550),COLUMNS($N$2:R550))</f>
        <v xml:space="preserve"> </v>
      </c>
      <c r="U550" s="1" t="str">
        <f>INDEX(Table2[[HomeTeam]:[Group_details]],ROWS($N$2:S550),COLUMNS($N$2:S550))</f>
        <v>Group stages</v>
      </c>
      <c r="V550" s="1" t="b">
        <f t="shared" si="8"/>
        <v>0</v>
      </c>
      <c r="W550" s="1" t="str">
        <f>IF(V550=TRUE,ROWS($V$2:V550),"")</f>
        <v/>
      </c>
      <c r="X550" s="1" t="str">
        <f>IFERROR(SMALL($W$2:$W$853,ROWS($W$2:W550)),"")</f>
        <v/>
      </c>
      <c r="Y550" s="1" t="str">
        <f>IF($X550&lt;&gt;"",INDEX($P$2:$U$853,MATCH($X550,$W$2:$W$853,0),COLUMNS($X$2:X550)),"")</f>
        <v/>
      </c>
      <c r="Z550" s="1" t="str">
        <f>IF($X550&lt;&gt;"",INDEX($P$2:$U$853,MATCH($X550,$W$2:$W$853,0),COLUMNS($X$2:Y550)),"")</f>
        <v/>
      </c>
      <c r="AA550" s="1" t="str">
        <f>IF($X550&lt;&gt;"",INDEX($P$2:$U$853,MATCH($X550,$W$2:$W$853,0),COLUMNS($X$2:Z550)),"")</f>
        <v/>
      </c>
      <c r="AB550" s="1" t="str">
        <f>IF($X550&lt;&gt;"",INDEX($P$2:$U$853,MATCH($X550,$W$2:$W$853,0),COLUMNS($X$2:AA550)),"")</f>
        <v/>
      </c>
      <c r="AC550" s="1" t="str">
        <f>IF($X550&lt;&gt;"",INDEX($P$2:$U$853,MATCH($X550,$W$2:$W$853,0),COLUMNS($X$2:AB550)),"")</f>
        <v/>
      </c>
      <c r="AD550" s="1" t="str">
        <f>IF($X550&lt;&gt;"",INDEX($P$2:$U$853,MATCH($X550,$W$2:$W$853,0),COLUMNS($X$2:AC550)),"")</f>
        <v/>
      </c>
    </row>
    <row r="551" spans="1:30" x14ac:dyDescent="0.2">
      <c r="A551" s="1">
        <v>1998</v>
      </c>
      <c r="B551" s="2">
        <v>35969</v>
      </c>
      <c r="C551" s="1" t="s">
        <v>503</v>
      </c>
      <c r="D551" s="1" t="s">
        <v>213</v>
      </c>
      <c r="E551" s="1" t="s">
        <v>351</v>
      </c>
      <c r="F551" s="1" t="s">
        <v>352</v>
      </c>
      <c r="G551" s="6" t="str">
        <f>VLOOKUP(A551,WorldCups!$A$2:$B$23,2,FALSE)</f>
        <v>France</v>
      </c>
      <c r="H551" s="1" t="s">
        <v>26</v>
      </c>
      <c r="I551" s="1">
        <v>1</v>
      </c>
      <c r="J551" s="1">
        <v>1</v>
      </c>
      <c r="K551" s="1" t="s">
        <v>238</v>
      </c>
      <c r="L551" s="1" t="s">
        <v>14</v>
      </c>
      <c r="M551" s="1" t="str">
        <f>IF(ISNUMBER(SEARCH("Group",Table2[[#This Row],[Round]])),"Group stages",Table2[[#This Row],[Round]])</f>
        <v>Group stages</v>
      </c>
      <c r="O551" s="1">
        <f>Table2[[#This Row],[Year]]</f>
        <v>1998</v>
      </c>
      <c r="P551" s="1" t="str">
        <f>INDEX(Table2[[HomeTeam]:[Group_details]],ROWS($N$2:N551),COLUMNS($N$2:N551))</f>
        <v>Chile</v>
      </c>
      <c r="Q551" s="1">
        <f>INDEX(Table2[[HomeTeam]:[Group_details]],ROWS($N$2:O551),COLUMNS($N$2:O551))</f>
        <v>1</v>
      </c>
      <c r="R551" s="1">
        <f>INDEX(Table2[[HomeTeam]:[Group_details]],ROWS($N$2:P551),COLUMNS($N$2:P551))</f>
        <v>1</v>
      </c>
      <c r="S551" s="1" t="str">
        <f>INDEX(Table2[[HomeTeam]:[Group_details]],ROWS($N$2:Q551),COLUMNS($N$2:Q551))</f>
        <v>Cameroon</v>
      </c>
      <c r="T551" s="1" t="str">
        <f>INDEX(Table2[[HomeTeam]:[Group_details]],ROWS($N$2:R551),COLUMNS($N$2:R551))</f>
        <v xml:space="preserve"> </v>
      </c>
      <c r="U551" s="1" t="str">
        <f>INDEX(Table2[[HomeTeam]:[Group_details]],ROWS($N$2:S551),COLUMNS($N$2:S551))</f>
        <v>Group stages</v>
      </c>
      <c r="V551" s="1" t="b">
        <f t="shared" si="8"/>
        <v>0</v>
      </c>
      <c r="W551" s="1" t="str">
        <f>IF(V551=TRUE,ROWS($V$2:V551),"")</f>
        <v/>
      </c>
      <c r="X551" s="1" t="str">
        <f>IFERROR(SMALL($W$2:$W$853,ROWS($W$2:W551)),"")</f>
        <v/>
      </c>
      <c r="Y551" s="1" t="str">
        <f>IF($X551&lt;&gt;"",INDEX($P$2:$U$853,MATCH($X551,$W$2:$W$853,0),COLUMNS($X$2:X551)),"")</f>
        <v/>
      </c>
      <c r="Z551" s="1" t="str">
        <f>IF($X551&lt;&gt;"",INDEX($P$2:$U$853,MATCH($X551,$W$2:$W$853,0),COLUMNS($X$2:Y551)),"")</f>
        <v/>
      </c>
      <c r="AA551" s="1" t="str">
        <f>IF($X551&lt;&gt;"",INDEX($P$2:$U$853,MATCH($X551,$W$2:$W$853,0),COLUMNS($X$2:Z551)),"")</f>
        <v/>
      </c>
      <c r="AB551" s="1" t="str">
        <f>IF($X551&lt;&gt;"",INDEX($P$2:$U$853,MATCH($X551,$W$2:$W$853,0),COLUMNS($X$2:AA551)),"")</f>
        <v/>
      </c>
      <c r="AC551" s="1" t="str">
        <f>IF($X551&lt;&gt;"",INDEX($P$2:$U$853,MATCH($X551,$W$2:$W$853,0),COLUMNS($X$2:AB551)),"")</f>
        <v/>
      </c>
      <c r="AD551" s="1" t="str">
        <f>IF($X551&lt;&gt;"",INDEX($P$2:$U$853,MATCH($X551,$W$2:$W$853,0),COLUMNS($X$2:AC551)),"")</f>
        <v/>
      </c>
    </row>
    <row r="552" spans="1:30" x14ac:dyDescent="0.2">
      <c r="A552" s="1">
        <v>1998</v>
      </c>
      <c r="B552" s="2">
        <v>35969</v>
      </c>
      <c r="C552" s="1" t="s">
        <v>530</v>
      </c>
      <c r="D552" s="1" t="s">
        <v>214</v>
      </c>
      <c r="E552" s="1" t="s">
        <v>357</v>
      </c>
      <c r="F552" s="1" t="s">
        <v>358</v>
      </c>
      <c r="G552" s="6" t="str">
        <f>VLOOKUP(A552,WorldCups!$A$2:$B$23,2,FALSE)</f>
        <v>France</v>
      </c>
      <c r="H552" s="1" t="s">
        <v>109</v>
      </c>
      <c r="I552" s="1">
        <v>0</v>
      </c>
      <c r="J552" s="1">
        <v>3</v>
      </c>
      <c r="K552" s="1" t="s">
        <v>188</v>
      </c>
      <c r="L552" s="1" t="s">
        <v>14</v>
      </c>
      <c r="M552" s="1" t="str">
        <f>IF(ISNUMBER(SEARCH("Group",Table2[[#This Row],[Round]])),"Group stages",Table2[[#This Row],[Round]])</f>
        <v>Group stages</v>
      </c>
      <c r="O552" s="1">
        <f>Table2[[#This Row],[Year]]</f>
        <v>1998</v>
      </c>
      <c r="P552" s="1" t="str">
        <f>INDEX(Table2[[HomeTeam]:[Group_details]],ROWS($N$2:N552),COLUMNS($N$2:N552))</f>
        <v>Scotland</v>
      </c>
      <c r="Q552" s="1">
        <f>INDEX(Table2[[HomeTeam]:[Group_details]],ROWS($N$2:O552),COLUMNS($N$2:O552))</f>
        <v>0</v>
      </c>
      <c r="R552" s="1">
        <f>INDEX(Table2[[HomeTeam]:[Group_details]],ROWS($N$2:P552),COLUMNS($N$2:P552))</f>
        <v>3</v>
      </c>
      <c r="S552" s="1" t="str">
        <f>INDEX(Table2[[HomeTeam]:[Group_details]],ROWS($N$2:Q552),COLUMNS($N$2:Q552))</f>
        <v>Morocco</v>
      </c>
      <c r="T552" s="1" t="str">
        <f>INDEX(Table2[[HomeTeam]:[Group_details]],ROWS($N$2:R552),COLUMNS($N$2:R552))</f>
        <v xml:space="preserve"> </v>
      </c>
      <c r="U552" s="1" t="str">
        <f>INDEX(Table2[[HomeTeam]:[Group_details]],ROWS($N$2:S552),COLUMNS($N$2:S552))</f>
        <v>Group stages</v>
      </c>
      <c r="V552" s="1" t="b">
        <f t="shared" si="8"/>
        <v>0</v>
      </c>
      <c r="W552" s="1" t="str">
        <f>IF(V552=TRUE,ROWS($V$2:V552),"")</f>
        <v/>
      </c>
      <c r="X552" s="1" t="str">
        <f>IFERROR(SMALL($W$2:$W$853,ROWS($W$2:W552)),"")</f>
        <v/>
      </c>
      <c r="Y552" s="1" t="str">
        <f>IF($X552&lt;&gt;"",INDEX($P$2:$U$853,MATCH($X552,$W$2:$W$853,0),COLUMNS($X$2:X552)),"")</f>
        <v/>
      </c>
      <c r="Z552" s="1" t="str">
        <f>IF($X552&lt;&gt;"",INDEX($P$2:$U$853,MATCH($X552,$W$2:$W$853,0),COLUMNS($X$2:Y552)),"")</f>
        <v/>
      </c>
      <c r="AA552" s="1" t="str">
        <f>IF($X552&lt;&gt;"",INDEX($P$2:$U$853,MATCH($X552,$W$2:$W$853,0),COLUMNS($X$2:Z552)),"")</f>
        <v/>
      </c>
      <c r="AB552" s="1" t="str">
        <f>IF($X552&lt;&gt;"",INDEX($P$2:$U$853,MATCH($X552,$W$2:$W$853,0),COLUMNS($X$2:AA552)),"")</f>
        <v/>
      </c>
      <c r="AC552" s="1" t="str">
        <f>IF($X552&lt;&gt;"",INDEX($P$2:$U$853,MATCH($X552,$W$2:$W$853,0),COLUMNS($X$2:AB552)),"")</f>
        <v/>
      </c>
      <c r="AD552" s="1" t="str">
        <f>IF($X552&lt;&gt;"",INDEX($P$2:$U$853,MATCH($X552,$W$2:$W$853,0),COLUMNS($X$2:AC552)),"")</f>
        <v/>
      </c>
    </row>
    <row r="553" spans="1:30" x14ac:dyDescent="0.2">
      <c r="A553" s="1">
        <v>1998</v>
      </c>
      <c r="B553" s="2">
        <v>35969</v>
      </c>
      <c r="C553" s="1" t="s">
        <v>530</v>
      </c>
      <c r="D553" s="1" t="s">
        <v>214</v>
      </c>
      <c r="E553" s="1" t="s">
        <v>75</v>
      </c>
      <c r="F553" s="1" t="s">
        <v>76</v>
      </c>
      <c r="G553" s="6" t="str">
        <f>VLOOKUP(A553,WorldCups!$A$2:$B$23,2,FALSE)</f>
        <v>France</v>
      </c>
      <c r="H553" s="1" t="s">
        <v>21</v>
      </c>
      <c r="I553" s="1">
        <v>1</v>
      </c>
      <c r="J553" s="1">
        <v>2</v>
      </c>
      <c r="K553" s="1" t="s">
        <v>77</v>
      </c>
      <c r="L553" s="1" t="s">
        <v>14</v>
      </c>
      <c r="M553" s="1" t="str">
        <f>IF(ISNUMBER(SEARCH("Group",Table2[[#This Row],[Round]])),"Group stages",Table2[[#This Row],[Round]])</f>
        <v>Group stages</v>
      </c>
      <c r="O553" s="1">
        <f>Table2[[#This Row],[Year]]</f>
        <v>1998</v>
      </c>
      <c r="P553" s="1" t="str">
        <f>INDEX(Table2[[HomeTeam]:[Group_details]],ROWS($N$2:N553),COLUMNS($N$2:N553))</f>
        <v>Brazil</v>
      </c>
      <c r="Q553" s="1">
        <f>INDEX(Table2[[HomeTeam]:[Group_details]],ROWS($N$2:O553),COLUMNS($N$2:O553))</f>
        <v>1</v>
      </c>
      <c r="R553" s="1">
        <f>INDEX(Table2[[HomeTeam]:[Group_details]],ROWS($N$2:P553),COLUMNS($N$2:P553))</f>
        <v>2</v>
      </c>
      <c r="S553" s="1" t="str">
        <f>INDEX(Table2[[HomeTeam]:[Group_details]],ROWS($N$2:Q553),COLUMNS($N$2:Q553))</f>
        <v>Norway</v>
      </c>
      <c r="T553" s="1" t="str">
        <f>INDEX(Table2[[HomeTeam]:[Group_details]],ROWS($N$2:R553),COLUMNS($N$2:R553))</f>
        <v xml:space="preserve"> </v>
      </c>
      <c r="U553" s="1" t="str">
        <f>INDEX(Table2[[HomeTeam]:[Group_details]],ROWS($N$2:S553),COLUMNS($N$2:S553))</f>
        <v>Group stages</v>
      </c>
      <c r="V553" s="1" t="b">
        <f t="shared" si="8"/>
        <v>0</v>
      </c>
      <c r="W553" s="1" t="str">
        <f>IF(V553=TRUE,ROWS($V$2:V553),"")</f>
        <v/>
      </c>
      <c r="X553" s="1" t="str">
        <f>IFERROR(SMALL($W$2:$W$853,ROWS($W$2:W553)),"")</f>
        <v/>
      </c>
      <c r="Y553" s="1" t="str">
        <f>IF($X553&lt;&gt;"",INDEX($P$2:$U$853,MATCH($X553,$W$2:$W$853,0),COLUMNS($X$2:X553)),"")</f>
        <v/>
      </c>
      <c r="Z553" s="1" t="str">
        <f>IF($X553&lt;&gt;"",INDEX($P$2:$U$853,MATCH($X553,$W$2:$W$853,0),COLUMNS($X$2:Y553)),"")</f>
        <v/>
      </c>
      <c r="AA553" s="1" t="str">
        <f>IF($X553&lt;&gt;"",INDEX($P$2:$U$853,MATCH($X553,$W$2:$W$853,0),COLUMNS($X$2:Z553)),"")</f>
        <v/>
      </c>
      <c r="AB553" s="1" t="str">
        <f>IF($X553&lt;&gt;"",INDEX($P$2:$U$853,MATCH($X553,$W$2:$W$853,0),COLUMNS($X$2:AA553)),"")</f>
        <v/>
      </c>
      <c r="AC553" s="1" t="str">
        <f>IF($X553&lt;&gt;"",INDEX($P$2:$U$853,MATCH($X553,$W$2:$W$853,0),COLUMNS($X$2:AB553)),"")</f>
        <v/>
      </c>
      <c r="AD553" s="1" t="str">
        <f>IF($X553&lt;&gt;"",INDEX($P$2:$U$853,MATCH($X553,$W$2:$W$853,0),COLUMNS($X$2:AC553)),"")</f>
        <v/>
      </c>
    </row>
    <row r="554" spans="1:30" x14ac:dyDescent="0.2">
      <c r="A554" s="1">
        <v>1998</v>
      </c>
      <c r="B554" s="2">
        <v>35970</v>
      </c>
      <c r="C554" s="1" t="s">
        <v>503</v>
      </c>
      <c r="D554" s="1" t="s">
        <v>268</v>
      </c>
      <c r="E554" s="1" t="s">
        <v>353</v>
      </c>
      <c r="F554" s="1" t="s">
        <v>354</v>
      </c>
      <c r="G554" s="6" t="str">
        <f>VLOOKUP(A554,WorldCups!$A$2:$B$23,2,FALSE)</f>
        <v>France</v>
      </c>
      <c r="H554" s="1" t="s">
        <v>12</v>
      </c>
      <c r="I554" s="1">
        <v>2</v>
      </c>
      <c r="J554" s="1">
        <v>1</v>
      </c>
      <c r="K554" s="1" t="s">
        <v>284</v>
      </c>
      <c r="L554" s="1" t="s">
        <v>14</v>
      </c>
      <c r="M554" s="1" t="str">
        <f>IF(ISNUMBER(SEARCH("Group",Table2[[#This Row],[Round]])),"Group stages",Table2[[#This Row],[Round]])</f>
        <v>Group stages</v>
      </c>
      <c r="O554" s="1">
        <f>Table2[[#This Row],[Year]]</f>
        <v>1998</v>
      </c>
      <c r="P554" s="1" t="str">
        <f>INDEX(Table2[[HomeTeam]:[Group_details]],ROWS($N$2:N554),COLUMNS($N$2:N554))</f>
        <v>France</v>
      </c>
      <c r="Q554" s="1">
        <f>INDEX(Table2[[HomeTeam]:[Group_details]],ROWS($N$2:O554),COLUMNS($N$2:O554))</f>
        <v>2</v>
      </c>
      <c r="R554" s="1">
        <f>INDEX(Table2[[HomeTeam]:[Group_details]],ROWS($N$2:P554),COLUMNS($N$2:P554))</f>
        <v>1</v>
      </c>
      <c r="S554" s="1" t="str">
        <f>INDEX(Table2[[HomeTeam]:[Group_details]],ROWS($N$2:Q554),COLUMNS($N$2:Q554))</f>
        <v>Denmark</v>
      </c>
      <c r="T554" s="1" t="str">
        <f>INDEX(Table2[[HomeTeam]:[Group_details]],ROWS($N$2:R554),COLUMNS($N$2:R554))</f>
        <v xml:space="preserve"> </v>
      </c>
      <c r="U554" s="1" t="str">
        <f>INDEX(Table2[[HomeTeam]:[Group_details]],ROWS($N$2:S554),COLUMNS($N$2:S554))</f>
        <v>Group stages</v>
      </c>
      <c r="V554" s="1" t="b">
        <f t="shared" si="8"/>
        <v>0</v>
      </c>
      <c r="W554" s="1" t="str">
        <f>IF(V554=TRUE,ROWS($V$2:V554),"")</f>
        <v/>
      </c>
      <c r="X554" s="1" t="str">
        <f>IFERROR(SMALL($W$2:$W$853,ROWS($W$2:W554)),"")</f>
        <v/>
      </c>
      <c r="Y554" s="1" t="str">
        <f>IF($X554&lt;&gt;"",INDEX($P$2:$U$853,MATCH($X554,$W$2:$W$853,0),COLUMNS($X$2:X554)),"")</f>
        <v/>
      </c>
      <c r="Z554" s="1" t="str">
        <f>IF($X554&lt;&gt;"",INDEX($P$2:$U$853,MATCH($X554,$W$2:$W$853,0),COLUMNS($X$2:Y554)),"")</f>
        <v/>
      </c>
      <c r="AA554" s="1" t="str">
        <f>IF($X554&lt;&gt;"",INDEX($P$2:$U$853,MATCH($X554,$W$2:$W$853,0),COLUMNS($X$2:Z554)),"")</f>
        <v/>
      </c>
      <c r="AB554" s="1" t="str">
        <f>IF($X554&lt;&gt;"",INDEX($P$2:$U$853,MATCH($X554,$W$2:$W$853,0),COLUMNS($X$2:AA554)),"")</f>
        <v/>
      </c>
      <c r="AC554" s="1" t="str">
        <f>IF($X554&lt;&gt;"",INDEX($P$2:$U$853,MATCH($X554,$W$2:$W$853,0),COLUMNS($X$2:AB554)),"")</f>
        <v/>
      </c>
      <c r="AD554" s="1" t="str">
        <f>IF($X554&lt;&gt;"",INDEX($P$2:$U$853,MATCH($X554,$W$2:$W$853,0),COLUMNS($X$2:AC554)),"")</f>
        <v/>
      </c>
    </row>
    <row r="555" spans="1:30" x14ac:dyDescent="0.2">
      <c r="A555" s="1">
        <v>1998</v>
      </c>
      <c r="B555" s="2">
        <v>35970</v>
      </c>
      <c r="C555" s="1" t="s">
        <v>503</v>
      </c>
      <c r="D555" s="1" t="s">
        <v>268</v>
      </c>
      <c r="E555" s="1" t="s">
        <v>85</v>
      </c>
      <c r="F555" s="1" t="s">
        <v>86</v>
      </c>
      <c r="G555" s="6" t="str">
        <f>VLOOKUP(A555,WorldCups!$A$2:$B$23,2,FALSE)</f>
        <v>France</v>
      </c>
      <c r="H555" s="1" t="s">
        <v>350</v>
      </c>
      <c r="I555" s="1">
        <v>2</v>
      </c>
      <c r="J555" s="1">
        <v>2</v>
      </c>
      <c r="K555" s="1" t="s">
        <v>333</v>
      </c>
      <c r="L555" s="1" t="s">
        <v>14</v>
      </c>
      <c r="M555" s="1" t="str">
        <f>IF(ISNUMBER(SEARCH("Group",Table2[[#This Row],[Round]])),"Group stages",Table2[[#This Row],[Round]])</f>
        <v>Group stages</v>
      </c>
      <c r="O555" s="1">
        <f>Table2[[#This Row],[Year]]</f>
        <v>1998</v>
      </c>
      <c r="P555" s="1" t="str">
        <f>INDEX(Table2[[HomeTeam]:[Group_details]],ROWS($N$2:N555),COLUMNS($N$2:N555))</f>
        <v>South Africa</v>
      </c>
      <c r="Q555" s="1">
        <f>INDEX(Table2[[HomeTeam]:[Group_details]],ROWS($N$2:O555),COLUMNS($N$2:O555))</f>
        <v>2</v>
      </c>
      <c r="R555" s="1">
        <f>INDEX(Table2[[HomeTeam]:[Group_details]],ROWS($N$2:P555),COLUMNS($N$2:P555))</f>
        <v>2</v>
      </c>
      <c r="S555" s="1" t="str">
        <f>INDEX(Table2[[HomeTeam]:[Group_details]],ROWS($N$2:Q555),COLUMNS($N$2:Q555))</f>
        <v>Saudi Arabia</v>
      </c>
      <c r="T555" s="1" t="str">
        <f>INDEX(Table2[[HomeTeam]:[Group_details]],ROWS($N$2:R555),COLUMNS($N$2:R555))</f>
        <v xml:space="preserve"> </v>
      </c>
      <c r="U555" s="1" t="str">
        <f>INDEX(Table2[[HomeTeam]:[Group_details]],ROWS($N$2:S555),COLUMNS($N$2:S555))</f>
        <v>Group stages</v>
      </c>
      <c r="V555" s="1" t="b">
        <f t="shared" si="8"/>
        <v>0</v>
      </c>
      <c r="W555" s="1" t="str">
        <f>IF(V555=TRUE,ROWS($V$2:V555),"")</f>
        <v/>
      </c>
      <c r="X555" s="1" t="str">
        <f>IFERROR(SMALL($W$2:$W$853,ROWS($W$2:W555)),"")</f>
        <v/>
      </c>
      <c r="Y555" s="1" t="str">
        <f>IF($X555&lt;&gt;"",INDEX($P$2:$U$853,MATCH($X555,$W$2:$W$853,0),COLUMNS($X$2:X555)),"")</f>
        <v/>
      </c>
      <c r="Z555" s="1" t="str">
        <f>IF($X555&lt;&gt;"",INDEX($P$2:$U$853,MATCH($X555,$W$2:$W$853,0),COLUMNS($X$2:Y555)),"")</f>
        <v/>
      </c>
      <c r="AA555" s="1" t="str">
        <f>IF($X555&lt;&gt;"",INDEX($P$2:$U$853,MATCH($X555,$W$2:$W$853,0),COLUMNS($X$2:Z555)),"")</f>
        <v/>
      </c>
      <c r="AB555" s="1" t="str">
        <f>IF($X555&lt;&gt;"",INDEX($P$2:$U$853,MATCH($X555,$W$2:$W$853,0),COLUMNS($X$2:AA555)),"")</f>
        <v/>
      </c>
      <c r="AC555" s="1" t="str">
        <f>IF($X555&lt;&gt;"",INDEX($P$2:$U$853,MATCH($X555,$W$2:$W$853,0),COLUMNS($X$2:AB555)),"")</f>
        <v/>
      </c>
      <c r="AD555" s="1" t="str">
        <f>IF($X555&lt;&gt;"",INDEX($P$2:$U$853,MATCH($X555,$W$2:$W$853,0),COLUMNS($X$2:AC555)),"")</f>
        <v/>
      </c>
    </row>
    <row r="556" spans="1:30" x14ac:dyDescent="0.2">
      <c r="A556" s="1">
        <v>1998</v>
      </c>
      <c r="B556" s="2">
        <v>35970</v>
      </c>
      <c r="C556" s="1" t="s">
        <v>530</v>
      </c>
      <c r="D556" s="1" t="s">
        <v>270</v>
      </c>
      <c r="E556" s="1" t="s">
        <v>348</v>
      </c>
      <c r="F556" s="1" t="s">
        <v>349</v>
      </c>
      <c r="G556" s="6" t="str">
        <f>VLOOKUP(A556,WorldCups!$A$2:$B$23,2,FALSE)</f>
        <v>France</v>
      </c>
      <c r="H556" s="1" t="s">
        <v>54</v>
      </c>
      <c r="I556" s="1">
        <v>6</v>
      </c>
      <c r="J556" s="1">
        <v>1</v>
      </c>
      <c r="K556" s="1" t="s">
        <v>156</v>
      </c>
      <c r="L556" s="1" t="s">
        <v>14</v>
      </c>
      <c r="M556" s="1" t="str">
        <f>IF(ISNUMBER(SEARCH("Group",Table2[[#This Row],[Round]])),"Group stages",Table2[[#This Row],[Round]])</f>
        <v>Group stages</v>
      </c>
      <c r="O556" s="1">
        <f>Table2[[#This Row],[Year]]</f>
        <v>1998</v>
      </c>
      <c r="P556" s="1" t="str">
        <f>INDEX(Table2[[HomeTeam]:[Group_details]],ROWS($N$2:N556),COLUMNS($N$2:N556))</f>
        <v>Spain</v>
      </c>
      <c r="Q556" s="1">
        <f>INDEX(Table2[[HomeTeam]:[Group_details]],ROWS($N$2:O556),COLUMNS($N$2:O556))</f>
        <v>6</v>
      </c>
      <c r="R556" s="1">
        <f>INDEX(Table2[[HomeTeam]:[Group_details]],ROWS($N$2:P556),COLUMNS($N$2:P556))</f>
        <v>1</v>
      </c>
      <c r="S556" s="1" t="str">
        <f>INDEX(Table2[[HomeTeam]:[Group_details]],ROWS($N$2:Q556),COLUMNS($N$2:Q556))</f>
        <v>Bulgaria</v>
      </c>
      <c r="T556" s="1" t="str">
        <f>INDEX(Table2[[HomeTeam]:[Group_details]],ROWS($N$2:R556),COLUMNS($N$2:R556))</f>
        <v xml:space="preserve"> </v>
      </c>
      <c r="U556" s="1" t="str">
        <f>INDEX(Table2[[HomeTeam]:[Group_details]],ROWS($N$2:S556),COLUMNS($N$2:S556))</f>
        <v>Group stages</v>
      </c>
      <c r="V556" s="1" t="b">
        <f t="shared" si="8"/>
        <v>0</v>
      </c>
      <c r="W556" s="1" t="str">
        <f>IF(V556=TRUE,ROWS($V$2:V556),"")</f>
        <v/>
      </c>
      <c r="X556" s="1" t="str">
        <f>IFERROR(SMALL($W$2:$W$853,ROWS($W$2:W556)),"")</f>
        <v/>
      </c>
      <c r="Y556" s="1" t="str">
        <f>IF($X556&lt;&gt;"",INDEX($P$2:$U$853,MATCH($X556,$W$2:$W$853,0),COLUMNS($X$2:X556)),"")</f>
        <v/>
      </c>
      <c r="Z556" s="1" t="str">
        <f>IF($X556&lt;&gt;"",INDEX($P$2:$U$853,MATCH($X556,$W$2:$W$853,0),COLUMNS($X$2:Y556)),"")</f>
        <v/>
      </c>
      <c r="AA556" s="1" t="str">
        <f>IF($X556&lt;&gt;"",INDEX($P$2:$U$853,MATCH($X556,$W$2:$W$853,0),COLUMNS($X$2:Z556)),"")</f>
        <v/>
      </c>
      <c r="AB556" s="1" t="str">
        <f>IF($X556&lt;&gt;"",INDEX($P$2:$U$853,MATCH($X556,$W$2:$W$853,0),COLUMNS($X$2:AA556)),"")</f>
        <v/>
      </c>
      <c r="AC556" s="1" t="str">
        <f>IF($X556&lt;&gt;"",INDEX($P$2:$U$853,MATCH($X556,$W$2:$W$853,0),COLUMNS($X$2:AB556)),"")</f>
        <v/>
      </c>
      <c r="AD556" s="1" t="str">
        <f>IF($X556&lt;&gt;"",INDEX($P$2:$U$853,MATCH($X556,$W$2:$W$853,0),COLUMNS($X$2:AC556)),"")</f>
        <v/>
      </c>
    </row>
    <row r="557" spans="1:30" x14ac:dyDescent="0.2">
      <c r="A557" s="1">
        <v>1998</v>
      </c>
      <c r="B557" s="2">
        <v>35970</v>
      </c>
      <c r="C557" s="1" t="s">
        <v>530</v>
      </c>
      <c r="D557" s="1" t="s">
        <v>270</v>
      </c>
      <c r="E557" s="1" t="s">
        <v>72</v>
      </c>
      <c r="F557" s="1" t="s">
        <v>73</v>
      </c>
      <c r="G557" s="6" t="str">
        <f>VLOOKUP(A557,WorldCups!$A$2:$B$23,2,FALSE)</f>
        <v>France</v>
      </c>
      <c r="H557" s="1" t="s">
        <v>340</v>
      </c>
      <c r="I557" s="1">
        <v>1</v>
      </c>
      <c r="J557" s="1">
        <v>3</v>
      </c>
      <c r="K557" s="1" t="s">
        <v>28</v>
      </c>
      <c r="L557" s="1" t="s">
        <v>14</v>
      </c>
      <c r="M557" s="1" t="str">
        <f>IF(ISNUMBER(SEARCH("Group",Table2[[#This Row],[Round]])),"Group stages",Table2[[#This Row],[Round]])</f>
        <v>Group stages</v>
      </c>
      <c r="O557" s="1">
        <f>Table2[[#This Row],[Year]]</f>
        <v>1998</v>
      </c>
      <c r="P557" s="1" t="str">
        <f>INDEX(Table2[[HomeTeam]:[Group_details]],ROWS($N$2:N557),COLUMNS($N$2:N557))</f>
        <v>Nigeria</v>
      </c>
      <c r="Q557" s="1">
        <f>INDEX(Table2[[HomeTeam]:[Group_details]],ROWS($N$2:O557),COLUMNS($N$2:O557))</f>
        <v>1</v>
      </c>
      <c r="R557" s="1">
        <f>INDEX(Table2[[HomeTeam]:[Group_details]],ROWS($N$2:P557),COLUMNS($N$2:P557))</f>
        <v>3</v>
      </c>
      <c r="S557" s="1" t="str">
        <f>INDEX(Table2[[HomeTeam]:[Group_details]],ROWS($N$2:Q557),COLUMNS($N$2:Q557))</f>
        <v>Paraguay</v>
      </c>
      <c r="T557" s="1" t="str">
        <f>INDEX(Table2[[HomeTeam]:[Group_details]],ROWS($N$2:R557),COLUMNS($N$2:R557))</f>
        <v xml:space="preserve"> </v>
      </c>
      <c r="U557" s="1" t="str">
        <f>INDEX(Table2[[HomeTeam]:[Group_details]],ROWS($N$2:S557),COLUMNS($N$2:S557))</f>
        <v>Group stages</v>
      </c>
      <c r="V557" s="1" t="b">
        <f t="shared" si="8"/>
        <v>0</v>
      </c>
      <c r="W557" s="1" t="str">
        <f>IF(V557=TRUE,ROWS($V$2:V557),"")</f>
        <v/>
      </c>
      <c r="X557" s="1" t="str">
        <f>IFERROR(SMALL($W$2:$W$853,ROWS($W$2:W557)),"")</f>
        <v/>
      </c>
      <c r="Y557" s="1" t="str">
        <f>IF($X557&lt;&gt;"",INDEX($P$2:$U$853,MATCH($X557,$W$2:$W$853,0),COLUMNS($X$2:X557)),"")</f>
        <v/>
      </c>
      <c r="Z557" s="1" t="str">
        <f>IF($X557&lt;&gt;"",INDEX($P$2:$U$853,MATCH($X557,$W$2:$W$853,0),COLUMNS($X$2:Y557)),"")</f>
        <v/>
      </c>
      <c r="AA557" s="1" t="str">
        <f>IF($X557&lt;&gt;"",INDEX($P$2:$U$853,MATCH($X557,$W$2:$W$853,0),COLUMNS($X$2:Z557)),"")</f>
        <v/>
      </c>
      <c r="AB557" s="1" t="str">
        <f>IF($X557&lt;&gt;"",INDEX($P$2:$U$853,MATCH($X557,$W$2:$W$853,0),COLUMNS($X$2:AA557)),"")</f>
        <v/>
      </c>
      <c r="AC557" s="1" t="str">
        <f>IF($X557&lt;&gt;"",INDEX($P$2:$U$853,MATCH($X557,$W$2:$W$853,0),COLUMNS($X$2:AB557)),"")</f>
        <v/>
      </c>
      <c r="AD557" s="1" t="str">
        <f>IF($X557&lt;&gt;"",INDEX($P$2:$U$853,MATCH($X557,$W$2:$W$853,0),COLUMNS($X$2:AC557)),"")</f>
        <v/>
      </c>
    </row>
    <row r="558" spans="1:30" x14ac:dyDescent="0.2">
      <c r="A558" s="1">
        <v>1998</v>
      </c>
      <c r="B558" s="2">
        <v>35971</v>
      </c>
      <c r="C558" s="1" t="s">
        <v>503</v>
      </c>
      <c r="D558" s="1" t="s">
        <v>281</v>
      </c>
      <c r="E558" s="1" t="s">
        <v>65</v>
      </c>
      <c r="F558" s="1" t="s">
        <v>66</v>
      </c>
      <c r="G558" s="6" t="str">
        <f>VLOOKUP(A558,WorldCups!$A$2:$B$23,2,FALSE)</f>
        <v>France</v>
      </c>
      <c r="H558" s="1" t="s">
        <v>18</v>
      </c>
      <c r="I558" s="1">
        <v>1</v>
      </c>
      <c r="J558" s="1">
        <v>1</v>
      </c>
      <c r="K558" s="1" t="s">
        <v>116</v>
      </c>
      <c r="L558" s="1" t="s">
        <v>14</v>
      </c>
      <c r="M558" s="1" t="str">
        <f>IF(ISNUMBER(SEARCH("Group",Table2[[#This Row],[Round]])),"Group stages",Table2[[#This Row],[Round]])</f>
        <v>Group stages</v>
      </c>
      <c r="O558" s="1">
        <f>Table2[[#This Row],[Year]]</f>
        <v>1998</v>
      </c>
      <c r="P558" s="1" t="str">
        <f>INDEX(Table2[[HomeTeam]:[Group_details]],ROWS($N$2:N558),COLUMNS($N$2:N558))</f>
        <v>Belgium</v>
      </c>
      <c r="Q558" s="1">
        <f>INDEX(Table2[[HomeTeam]:[Group_details]],ROWS($N$2:O558),COLUMNS($N$2:O558))</f>
        <v>1</v>
      </c>
      <c r="R558" s="1">
        <f>INDEX(Table2[[HomeTeam]:[Group_details]],ROWS($N$2:P558),COLUMNS($N$2:P558))</f>
        <v>1</v>
      </c>
      <c r="S558" s="1" t="str">
        <f>INDEX(Table2[[HomeTeam]:[Group_details]],ROWS($N$2:Q558),COLUMNS($N$2:Q558))</f>
        <v>Korea Republic</v>
      </c>
      <c r="T558" s="1" t="str">
        <f>INDEX(Table2[[HomeTeam]:[Group_details]],ROWS($N$2:R558),COLUMNS($N$2:R558))</f>
        <v xml:space="preserve"> </v>
      </c>
      <c r="U558" s="1" t="str">
        <f>INDEX(Table2[[HomeTeam]:[Group_details]],ROWS($N$2:S558),COLUMNS($N$2:S558))</f>
        <v>Group stages</v>
      </c>
      <c r="V558" s="1" t="b">
        <f t="shared" si="8"/>
        <v>0</v>
      </c>
      <c r="W558" s="1" t="str">
        <f>IF(V558=TRUE,ROWS($V$2:V558),"")</f>
        <v/>
      </c>
      <c r="X558" s="1" t="str">
        <f>IFERROR(SMALL($W$2:$W$853,ROWS($W$2:W558)),"")</f>
        <v/>
      </c>
      <c r="Y558" s="1" t="str">
        <f>IF($X558&lt;&gt;"",INDEX($P$2:$U$853,MATCH($X558,$W$2:$W$853,0),COLUMNS($X$2:X558)),"")</f>
        <v/>
      </c>
      <c r="Z558" s="1" t="str">
        <f>IF($X558&lt;&gt;"",INDEX($P$2:$U$853,MATCH($X558,$W$2:$W$853,0),COLUMNS($X$2:Y558)),"")</f>
        <v/>
      </c>
      <c r="AA558" s="1" t="str">
        <f>IF($X558&lt;&gt;"",INDEX($P$2:$U$853,MATCH($X558,$W$2:$W$853,0),COLUMNS($X$2:Z558)),"")</f>
        <v/>
      </c>
      <c r="AB558" s="1" t="str">
        <f>IF($X558&lt;&gt;"",INDEX($P$2:$U$853,MATCH($X558,$W$2:$W$853,0),COLUMNS($X$2:AA558)),"")</f>
        <v/>
      </c>
      <c r="AC558" s="1" t="str">
        <f>IF($X558&lt;&gt;"",INDEX($P$2:$U$853,MATCH($X558,$W$2:$W$853,0),COLUMNS($X$2:AB558)),"")</f>
        <v/>
      </c>
      <c r="AD558" s="1" t="str">
        <f>IF($X558&lt;&gt;"",INDEX($P$2:$U$853,MATCH($X558,$W$2:$W$853,0),COLUMNS($X$2:AC558)),"")</f>
        <v/>
      </c>
    </row>
    <row r="559" spans="1:30" x14ac:dyDescent="0.2">
      <c r="A559" s="1">
        <v>1998</v>
      </c>
      <c r="B559" s="2">
        <v>35971</v>
      </c>
      <c r="C559" s="1" t="s">
        <v>503</v>
      </c>
      <c r="D559" s="1" t="s">
        <v>281</v>
      </c>
      <c r="E559" s="1" t="s">
        <v>357</v>
      </c>
      <c r="F559" s="1" t="s">
        <v>358</v>
      </c>
      <c r="G559" s="6" t="str">
        <f>VLOOKUP(A559,WorldCups!$A$2:$B$23,2,FALSE)</f>
        <v>France</v>
      </c>
      <c r="H559" s="1" t="s">
        <v>45</v>
      </c>
      <c r="I559" s="1">
        <v>2</v>
      </c>
      <c r="J559" s="1">
        <v>2</v>
      </c>
      <c r="K559" s="1" t="s">
        <v>13</v>
      </c>
      <c r="L559" s="1" t="s">
        <v>14</v>
      </c>
      <c r="M559" s="1" t="str">
        <f>IF(ISNUMBER(SEARCH("Group",Table2[[#This Row],[Round]])),"Group stages",Table2[[#This Row],[Round]])</f>
        <v>Group stages</v>
      </c>
      <c r="O559" s="1">
        <f>Table2[[#This Row],[Year]]</f>
        <v>1998</v>
      </c>
      <c r="P559" s="1" t="str">
        <f>INDEX(Table2[[HomeTeam]:[Group_details]],ROWS($N$2:N559),COLUMNS($N$2:N559))</f>
        <v>Netherlands</v>
      </c>
      <c r="Q559" s="1">
        <f>INDEX(Table2[[HomeTeam]:[Group_details]],ROWS($N$2:O559),COLUMNS($N$2:O559))</f>
        <v>2</v>
      </c>
      <c r="R559" s="1">
        <f>INDEX(Table2[[HomeTeam]:[Group_details]],ROWS($N$2:P559),COLUMNS($N$2:P559))</f>
        <v>2</v>
      </c>
      <c r="S559" s="1" t="str">
        <f>INDEX(Table2[[HomeTeam]:[Group_details]],ROWS($N$2:Q559),COLUMNS($N$2:Q559))</f>
        <v>Mexico</v>
      </c>
      <c r="T559" s="1" t="str">
        <f>INDEX(Table2[[HomeTeam]:[Group_details]],ROWS($N$2:R559),COLUMNS($N$2:R559))</f>
        <v xml:space="preserve"> </v>
      </c>
      <c r="U559" s="1" t="str">
        <f>INDEX(Table2[[HomeTeam]:[Group_details]],ROWS($N$2:S559),COLUMNS($N$2:S559))</f>
        <v>Group stages</v>
      </c>
      <c r="V559" s="1" t="b">
        <f t="shared" si="8"/>
        <v>0</v>
      </c>
      <c r="W559" s="1" t="str">
        <f>IF(V559=TRUE,ROWS($V$2:V559),"")</f>
        <v/>
      </c>
      <c r="X559" s="1" t="str">
        <f>IFERROR(SMALL($W$2:$W$853,ROWS($W$2:W559)),"")</f>
        <v/>
      </c>
      <c r="Y559" s="1" t="str">
        <f>IF($X559&lt;&gt;"",INDEX($P$2:$U$853,MATCH($X559,$W$2:$W$853,0),COLUMNS($X$2:X559)),"")</f>
        <v/>
      </c>
      <c r="Z559" s="1" t="str">
        <f>IF($X559&lt;&gt;"",INDEX($P$2:$U$853,MATCH($X559,$W$2:$W$853,0),COLUMNS($X$2:Y559)),"")</f>
        <v/>
      </c>
      <c r="AA559" s="1" t="str">
        <f>IF($X559&lt;&gt;"",INDEX($P$2:$U$853,MATCH($X559,$W$2:$W$853,0),COLUMNS($X$2:Z559)),"")</f>
        <v/>
      </c>
      <c r="AB559" s="1" t="str">
        <f>IF($X559&lt;&gt;"",INDEX($P$2:$U$853,MATCH($X559,$W$2:$W$853,0),COLUMNS($X$2:AA559)),"")</f>
        <v/>
      </c>
      <c r="AC559" s="1" t="str">
        <f>IF($X559&lt;&gt;"",INDEX($P$2:$U$853,MATCH($X559,$W$2:$W$853,0),COLUMNS($X$2:AB559)),"")</f>
        <v/>
      </c>
      <c r="AD559" s="1" t="str">
        <f>IF($X559&lt;&gt;"",INDEX($P$2:$U$853,MATCH($X559,$W$2:$W$853,0),COLUMNS($X$2:AC559)),"")</f>
        <v/>
      </c>
    </row>
    <row r="560" spans="1:30" x14ac:dyDescent="0.2">
      <c r="A560" s="1">
        <v>1998</v>
      </c>
      <c r="B560" s="2">
        <v>35971</v>
      </c>
      <c r="C560" s="1" t="s">
        <v>530</v>
      </c>
      <c r="D560" s="1" t="s">
        <v>274</v>
      </c>
      <c r="E560" s="1" t="s">
        <v>346</v>
      </c>
      <c r="F560" s="1" t="s">
        <v>347</v>
      </c>
      <c r="G560" s="6" t="str">
        <f>VLOOKUP(A560,WorldCups!$A$2:$B$23,2,FALSE)</f>
        <v>France</v>
      </c>
      <c r="H560" s="1" t="s">
        <v>51</v>
      </c>
      <c r="I560" s="1">
        <v>2</v>
      </c>
      <c r="J560" s="1">
        <v>0</v>
      </c>
      <c r="K560" s="1" t="s">
        <v>228</v>
      </c>
      <c r="L560" s="1" t="s">
        <v>14</v>
      </c>
      <c r="M560" s="1" t="str">
        <f>IF(ISNUMBER(SEARCH("Group",Table2[[#This Row],[Round]])),"Group stages",Table2[[#This Row],[Round]])</f>
        <v>Group stages</v>
      </c>
      <c r="O560" s="1">
        <f>Table2[[#This Row],[Year]]</f>
        <v>1998</v>
      </c>
      <c r="P560" s="1" t="str">
        <f>INDEX(Table2[[HomeTeam]:[Group_details]],ROWS($N$2:N560),COLUMNS($N$2:N560))</f>
        <v>Germany</v>
      </c>
      <c r="Q560" s="1">
        <f>INDEX(Table2[[HomeTeam]:[Group_details]],ROWS($N$2:O560),COLUMNS($N$2:O560))</f>
        <v>2</v>
      </c>
      <c r="R560" s="1">
        <f>INDEX(Table2[[HomeTeam]:[Group_details]],ROWS($N$2:P560),COLUMNS($N$2:P560))</f>
        <v>0</v>
      </c>
      <c r="S560" s="1" t="str">
        <f>INDEX(Table2[[HomeTeam]:[Group_details]],ROWS($N$2:Q560),COLUMNS($N$2:Q560))</f>
        <v>Iran</v>
      </c>
      <c r="T560" s="1" t="str">
        <f>INDEX(Table2[[HomeTeam]:[Group_details]],ROWS($N$2:R560),COLUMNS($N$2:R560))</f>
        <v xml:space="preserve"> </v>
      </c>
      <c r="U560" s="1" t="str">
        <f>INDEX(Table2[[HomeTeam]:[Group_details]],ROWS($N$2:S560),COLUMNS($N$2:S560))</f>
        <v>Group stages</v>
      </c>
      <c r="V560" s="1" t="b">
        <f t="shared" si="8"/>
        <v>0</v>
      </c>
      <c r="W560" s="1" t="str">
        <f>IF(V560=TRUE,ROWS($V$2:V560),"")</f>
        <v/>
      </c>
      <c r="X560" s="1" t="str">
        <f>IFERROR(SMALL($W$2:$W$853,ROWS($W$2:W560)),"")</f>
        <v/>
      </c>
      <c r="Y560" s="1" t="str">
        <f>IF($X560&lt;&gt;"",INDEX($P$2:$U$853,MATCH($X560,$W$2:$W$853,0),COLUMNS($X$2:X560)),"")</f>
        <v/>
      </c>
      <c r="Z560" s="1" t="str">
        <f>IF($X560&lt;&gt;"",INDEX($P$2:$U$853,MATCH($X560,$W$2:$W$853,0),COLUMNS($X$2:Y560)),"")</f>
        <v/>
      </c>
      <c r="AA560" s="1" t="str">
        <f>IF($X560&lt;&gt;"",INDEX($P$2:$U$853,MATCH($X560,$W$2:$W$853,0),COLUMNS($X$2:Z560)),"")</f>
        <v/>
      </c>
      <c r="AB560" s="1" t="str">
        <f>IF($X560&lt;&gt;"",INDEX($P$2:$U$853,MATCH($X560,$W$2:$W$853,0),COLUMNS($X$2:AA560)),"")</f>
        <v/>
      </c>
      <c r="AC560" s="1" t="str">
        <f>IF($X560&lt;&gt;"",INDEX($P$2:$U$853,MATCH($X560,$W$2:$W$853,0),COLUMNS($X$2:AB560)),"")</f>
        <v/>
      </c>
      <c r="AD560" s="1" t="str">
        <f>IF($X560&lt;&gt;"",INDEX($P$2:$U$853,MATCH($X560,$W$2:$W$853,0),COLUMNS($X$2:AC560)),"")</f>
        <v/>
      </c>
    </row>
    <row r="561" spans="1:30" x14ac:dyDescent="0.2">
      <c r="A561" s="1">
        <v>1998</v>
      </c>
      <c r="B561" s="2">
        <v>35971</v>
      </c>
      <c r="C561" s="1" t="s">
        <v>530</v>
      </c>
      <c r="D561" s="1" t="s">
        <v>274</v>
      </c>
      <c r="E561" s="1" t="s">
        <v>351</v>
      </c>
      <c r="F561" s="1" t="s">
        <v>352</v>
      </c>
      <c r="G561" s="6" t="str">
        <f>VLOOKUP(A561,WorldCups!$A$2:$B$23,2,FALSE)</f>
        <v>France</v>
      </c>
      <c r="H561" s="1" t="s">
        <v>17</v>
      </c>
      <c r="I561" s="1">
        <v>0</v>
      </c>
      <c r="J561" s="1">
        <v>1</v>
      </c>
      <c r="K561" s="1" t="s">
        <v>20</v>
      </c>
      <c r="L561" s="1" t="s">
        <v>14</v>
      </c>
      <c r="M561" s="1" t="str">
        <f>IF(ISNUMBER(SEARCH("Group",Table2[[#This Row],[Round]])),"Group stages",Table2[[#This Row],[Round]])</f>
        <v>Group stages</v>
      </c>
      <c r="O561" s="1">
        <f>Table2[[#This Row],[Year]]</f>
        <v>1998</v>
      </c>
      <c r="P561" s="1" t="str">
        <f>INDEX(Table2[[HomeTeam]:[Group_details]],ROWS($N$2:N561),COLUMNS($N$2:N561))</f>
        <v>USA</v>
      </c>
      <c r="Q561" s="1">
        <f>INDEX(Table2[[HomeTeam]:[Group_details]],ROWS($N$2:O561),COLUMNS($N$2:O561))</f>
        <v>0</v>
      </c>
      <c r="R561" s="1">
        <f>INDEX(Table2[[HomeTeam]:[Group_details]],ROWS($N$2:P561),COLUMNS($N$2:P561))</f>
        <v>1</v>
      </c>
      <c r="S561" s="1" t="str">
        <f>INDEX(Table2[[HomeTeam]:[Group_details]],ROWS($N$2:Q561),COLUMNS($N$2:Q561))</f>
        <v>Yugoslavia</v>
      </c>
      <c r="T561" s="1" t="str">
        <f>INDEX(Table2[[HomeTeam]:[Group_details]],ROWS($N$2:R561),COLUMNS($N$2:R561))</f>
        <v xml:space="preserve"> </v>
      </c>
      <c r="U561" s="1" t="str">
        <f>INDEX(Table2[[HomeTeam]:[Group_details]],ROWS($N$2:S561),COLUMNS($N$2:S561))</f>
        <v>Group stages</v>
      </c>
      <c r="V561" s="1" t="b">
        <f t="shared" si="8"/>
        <v>0</v>
      </c>
      <c r="W561" s="1" t="str">
        <f>IF(V561=TRUE,ROWS($V$2:V561),"")</f>
        <v/>
      </c>
      <c r="X561" s="1" t="str">
        <f>IFERROR(SMALL($W$2:$W$853,ROWS($W$2:W561)),"")</f>
        <v/>
      </c>
      <c r="Y561" s="1" t="str">
        <f>IF($X561&lt;&gt;"",INDEX($P$2:$U$853,MATCH($X561,$W$2:$W$853,0),COLUMNS($X$2:X561)),"")</f>
        <v/>
      </c>
      <c r="Z561" s="1" t="str">
        <f>IF($X561&lt;&gt;"",INDEX($P$2:$U$853,MATCH($X561,$W$2:$W$853,0),COLUMNS($X$2:Y561)),"")</f>
        <v/>
      </c>
      <c r="AA561" s="1" t="str">
        <f>IF($X561&lt;&gt;"",INDEX($P$2:$U$853,MATCH($X561,$W$2:$W$853,0),COLUMNS($X$2:Z561)),"")</f>
        <v/>
      </c>
      <c r="AB561" s="1" t="str">
        <f>IF($X561&lt;&gt;"",INDEX($P$2:$U$853,MATCH($X561,$W$2:$W$853,0),COLUMNS($X$2:AA561)),"")</f>
        <v/>
      </c>
      <c r="AC561" s="1" t="str">
        <f>IF($X561&lt;&gt;"",INDEX($P$2:$U$853,MATCH($X561,$W$2:$W$853,0),COLUMNS($X$2:AB561)),"")</f>
        <v/>
      </c>
      <c r="AD561" s="1" t="str">
        <f>IF($X561&lt;&gt;"",INDEX($P$2:$U$853,MATCH($X561,$W$2:$W$853,0),COLUMNS($X$2:AC561)),"")</f>
        <v/>
      </c>
    </row>
    <row r="562" spans="1:30" x14ac:dyDescent="0.2">
      <c r="A562" s="1">
        <v>1998</v>
      </c>
      <c r="B562" s="2">
        <v>35972</v>
      </c>
      <c r="C562" s="1" t="s">
        <v>503</v>
      </c>
      <c r="D562" s="1" t="s">
        <v>355</v>
      </c>
      <c r="E562" s="1" t="s">
        <v>353</v>
      </c>
      <c r="F562" s="1" t="s">
        <v>354</v>
      </c>
      <c r="G562" s="6" t="str">
        <f>VLOOKUP(A562,WorldCups!$A$2:$B$23,2,FALSE)</f>
        <v>France</v>
      </c>
      <c r="H562" s="1" t="s">
        <v>356</v>
      </c>
      <c r="I562" s="1">
        <v>1</v>
      </c>
      <c r="J562" s="1">
        <v>2</v>
      </c>
      <c r="K562" s="1" t="s">
        <v>359</v>
      </c>
      <c r="L562" s="1" t="s">
        <v>14</v>
      </c>
      <c r="M562" s="1" t="str">
        <f>IF(ISNUMBER(SEARCH("Group",Table2[[#This Row],[Round]])),"Group stages",Table2[[#This Row],[Round]])</f>
        <v>Group stages</v>
      </c>
      <c r="O562" s="1">
        <f>Table2[[#This Row],[Year]]</f>
        <v>1998</v>
      </c>
      <c r="P562" s="1" t="str">
        <f>INDEX(Table2[[HomeTeam]:[Group_details]],ROWS($N$2:N562),COLUMNS($N$2:N562))</f>
        <v>Japan</v>
      </c>
      <c r="Q562" s="1">
        <f>INDEX(Table2[[HomeTeam]:[Group_details]],ROWS($N$2:O562),COLUMNS($N$2:O562))</f>
        <v>1</v>
      </c>
      <c r="R562" s="1">
        <f>INDEX(Table2[[HomeTeam]:[Group_details]],ROWS($N$2:P562),COLUMNS($N$2:P562))</f>
        <v>2</v>
      </c>
      <c r="S562" s="1" t="str">
        <f>INDEX(Table2[[HomeTeam]:[Group_details]],ROWS($N$2:Q562),COLUMNS($N$2:Q562))</f>
        <v>Jamaica</v>
      </c>
      <c r="T562" s="1" t="str">
        <f>INDEX(Table2[[HomeTeam]:[Group_details]],ROWS($N$2:R562),COLUMNS($N$2:R562))</f>
        <v xml:space="preserve"> </v>
      </c>
      <c r="U562" s="1" t="str">
        <f>INDEX(Table2[[HomeTeam]:[Group_details]],ROWS($N$2:S562),COLUMNS($N$2:S562))</f>
        <v>Group stages</v>
      </c>
      <c r="V562" s="1" t="b">
        <f t="shared" si="8"/>
        <v>0</v>
      </c>
      <c r="W562" s="1" t="str">
        <f>IF(V562=TRUE,ROWS($V$2:V562),"")</f>
        <v/>
      </c>
      <c r="X562" s="1" t="str">
        <f>IFERROR(SMALL($W$2:$W$853,ROWS($W$2:W562)),"")</f>
        <v/>
      </c>
      <c r="Y562" s="1" t="str">
        <f>IF($X562&lt;&gt;"",INDEX($P$2:$U$853,MATCH($X562,$W$2:$W$853,0),COLUMNS($X$2:X562)),"")</f>
        <v/>
      </c>
      <c r="Z562" s="1" t="str">
        <f>IF($X562&lt;&gt;"",INDEX($P$2:$U$853,MATCH($X562,$W$2:$W$853,0),COLUMNS($X$2:Y562)),"")</f>
        <v/>
      </c>
      <c r="AA562" s="1" t="str">
        <f>IF($X562&lt;&gt;"",INDEX($P$2:$U$853,MATCH($X562,$W$2:$W$853,0),COLUMNS($X$2:Z562)),"")</f>
        <v/>
      </c>
      <c r="AB562" s="1" t="str">
        <f>IF($X562&lt;&gt;"",INDEX($P$2:$U$853,MATCH($X562,$W$2:$W$853,0),COLUMNS($X$2:AA562)),"")</f>
        <v/>
      </c>
      <c r="AC562" s="1" t="str">
        <f>IF($X562&lt;&gt;"",INDEX($P$2:$U$853,MATCH($X562,$W$2:$W$853,0),COLUMNS($X$2:AB562)),"")</f>
        <v/>
      </c>
      <c r="AD562" s="1" t="str">
        <f>IF($X562&lt;&gt;"",INDEX($P$2:$U$853,MATCH($X562,$W$2:$W$853,0),COLUMNS($X$2:AC562)),"")</f>
        <v/>
      </c>
    </row>
    <row r="563" spans="1:30" x14ac:dyDescent="0.2">
      <c r="A563" s="1">
        <v>1998</v>
      </c>
      <c r="B563" s="2">
        <v>35972</v>
      </c>
      <c r="C563" s="1" t="s">
        <v>503</v>
      </c>
      <c r="D563" s="1" t="s">
        <v>355</v>
      </c>
      <c r="E563" s="1" t="s">
        <v>85</v>
      </c>
      <c r="F563" s="1" t="s">
        <v>86</v>
      </c>
      <c r="G563" s="6" t="str">
        <f>VLOOKUP(A563,WorldCups!$A$2:$B$23,2,FALSE)</f>
        <v>France</v>
      </c>
      <c r="H563" s="1" t="s">
        <v>25</v>
      </c>
      <c r="I563" s="1">
        <v>1</v>
      </c>
      <c r="J563" s="1">
        <v>0</v>
      </c>
      <c r="K563" s="1" t="s">
        <v>360</v>
      </c>
      <c r="L563" s="1" t="s">
        <v>14</v>
      </c>
      <c r="M563" s="1" t="str">
        <f>IF(ISNUMBER(SEARCH("Group",Table2[[#This Row],[Round]])),"Group stages",Table2[[#This Row],[Round]])</f>
        <v>Group stages</v>
      </c>
      <c r="O563" s="1">
        <f>Table2[[#This Row],[Year]]</f>
        <v>1998</v>
      </c>
      <c r="P563" s="1" t="str">
        <f>INDEX(Table2[[HomeTeam]:[Group_details]],ROWS($N$2:N563),COLUMNS($N$2:N563))</f>
        <v>Argentina</v>
      </c>
      <c r="Q563" s="1">
        <f>INDEX(Table2[[HomeTeam]:[Group_details]],ROWS($N$2:O563),COLUMNS($N$2:O563))</f>
        <v>1</v>
      </c>
      <c r="R563" s="1">
        <f>INDEX(Table2[[HomeTeam]:[Group_details]],ROWS($N$2:P563),COLUMNS($N$2:P563))</f>
        <v>0</v>
      </c>
      <c r="S563" s="1" t="str">
        <f>INDEX(Table2[[HomeTeam]:[Group_details]],ROWS($N$2:Q563),COLUMNS($N$2:Q563))</f>
        <v>Croatia</v>
      </c>
      <c r="T563" s="1" t="str">
        <f>INDEX(Table2[[HomeTeam]:[Group_details]],ROWS($N$2:R563),COLUMNS($N$2:R563))</f>
        <v xml:space="preserve"> </v>
      </c>
      <c r="U563" s="1" t="str">
        <f>INDEX(Table2[[HomeTeam]:[Group_details]],ROWS($N$2:S563),COLUMNS($N$2:S563))</f>
        <v>Group stages</v>
      </c>
      <c r="V563" s="1" t="b">
        <f t="shared" si="8"/>
        <v>0</v>
      </c>
      <c r="W563" s="1" t="str">
        <f>IF(V563=TRUE,ROWS($V$2:V563),"")</f>
        <v/>
      </c>
      <c r="X563" s="1" t="str">
        <f>IFERROR(SMALL($W$2:$W$853,ROWS($W$2:W563)),"")</f>
        <v/>
      </c>
      <c r="Y563" s="1" t="str">
        <f>IF($X563&lt;&gt;"",INDEX($P$2:$U$853,MATCH($X563,$W$2:$W$853,0),COLUMNS($X$2:X563)),"")</f>
        <v/>
      </c>
      <c r="Z563" s="1" t="str">
        <f>IF($X563&lt;&gt;"",INDEX($P$2:$U$853,MATCH($X563,$W$2:$W$853,0),COLUMNS($X$2:Y563)),"")</f>
        <v/>
      </c>
      <c r="AA563" s="1" t="str">
        <f>IF($X563&lt;&gt;"",INDEX($P$2:$U$853,MATCH($X563,$W$2:$W$853,0),COLUMNS($X$2:Z563)),"")</f>
        <v/>
      </c>
      <c r="AB563" s="1" t="str">
        <f>IF($X563&lt;&gt;"",INDEX($P$2:$U$853,MATCH($X563,$W$2:$W$853,0),COLUMNS($X$2:AA563)),"")</f>
        <v/>
      </c>
      <c r="AC563" s="1" t="str">
        <f>IF($X563&lt;&gt;"",INDEX($P$2:$U$853,MATCH($X563,$W$2:$W$853,0),COLUMNS($X$2:AB563)),"")</f>
        <v/>
      </c>
      <c r="AD563" s="1" t="str">
        <f>IF($X563&lt;&gt;"",INDEX($P$2:$U$853,MATCH($X563,$W$2:$W$853,0),COLUMNS($X$2:AC563)),"")</f>
        <v/>
      </c>
    </row>
    <row r="564" spans="1:30" x14ac:dyDescent="0.2">
      <c r="A564" s="1">
        <v>1998</v>
      </c>
      <c r="B564" s="2">
        <v>35972</v>
      </c>
      <c r="C564" s="1" t="s">
        <v>530</v>
      </c>
      <c r="D564" s="1" t="s">
        <v>361</v>
      </c>
      <c r="E564" s="1" t="s">
        <v>344</v>
      </c>
      <c r="F564" s="1" t="s">
        <v>345</v>
      </c>
      <c r="G564" s="6" t="str">
        <f>VLOOKUP(A564,WorldCups!$A$2:$B$23,2,FALSE)</f>
        <v>France</v>
      </c>
      <c r="H564" s="1" t="s">
        <v>23</v>
      </c>
      <c r="I564" s="1">
        <v>1</v>
      </c>
      <c r="J564" s="1">
        <v>1</v>
      </c>
      <c r="K564" s="1" t="s">
        <v>221</v>
      </c>
      <c r="L564" s="1" t="s">
        <v>14</v>
      </c>
      <c r="M564" s="1" t="str">
        <f>IF(ISNUMBER(SEARCH("Group",Table2[[#This Row],[Round]])),"Group stages",Table2[[#This Row],[Round]])</f>
        <v>Group stages</v>
      </c>
      <c r="O564" s="1">
        <f>Table2[[#This Row],[Year]]</f>
        <v>1998</v>
      </c>
      <c r="P564" s="1" t="str">
        <f>INDEX(Table2[[HomeTeam]:[Group_details]],ROWS($N$2:N564),COLUMNS($N$2:N564))</f>
        <v>Romania</v>
      </c>
      <c r="Q564" s="1">
        <f>INDEX(Table2[[HomeTeam]:[Group_details]],ROWS($N$2:O564),COLUMNS($N$2:O564))</f>
        <v>1</v>
      </c>
      <c r="R564" s="1">
        <f>INDEX(Table2[[HomeTeam]:[Group_details]],ROWS($N$2:P564),COLUMNS($N$2:P564))</f>
        <v>1</v>
      </c>
      <c r="S564" s="1" t="str">
        <f>INDEX(Table2[[HomeTeam]:[Group_details]],ROWS($N$2:Q564),COLUMNS($N$2:Q564))</f>
        <v>Tunisia</v>
      </c>
      <c r="T564" s="1" t="str">
        <f>INDEX(Table2[[HomeTeam]:[Group_details]],ROWS($N$2:R564),COLUMNS($N$2:R564))</f>
        <v xml:space="preserve"> </v>
      </c>
      <c r="U564" s="1" t="str">
        <f>INDEX(Table2[[HomeTeam]:[Group_details]],ROWS($N$2:S564),COLUMNS($N$2:S564))</f>
        <v>Group stages</v>
      </c>
      <c r="V564" s="1" t="b">
        <f t="shared" si="8"/>
        <v>0</v>
      </c>
      <c r="W564" s="1" t="str">
        <f>IF(V564=TRUE,ROWS($V$2:V564),"")</f>
        <v/>
      </c>
      <c r="X564" s="1" t="str">
        <f>IFERROR(SMALL($W$2:$W$853,ROWS($W$2:W564)),"")</f>
        <v/>
      </c>
      <c r="Y564" s="1" t="str">
        <f>IF($X564&lt;&gt;"",INDEX($P$2:$U$853,MATCH($X564,$W$2:$W$853,0),COLUMNS($X$2:X564)),"")</f>
        <v/>
      </c>
      <c r="Z564" s="1" t="str">
        <f>IF($X564&lt;&gt;"",INDEX($P$2:$U$853,MATCH($X564,$W$2:$W$853,0),COLUMNS($X$2:Y564)),"")</f>
        <v/>
      </c>
      <c r="AA564" s="1" t="str">
        <f>IF($X564&lt;&gt;"",INDEX($P$2:$U$853,MATCH($X564,$W$2:$W$853,0),COLUMNS($X$2:Z564)),"")</f>
        <v/>
      </c>
      <c r="AB564" s="1" t="str">
        <f>IF($X564&lt;&gt;"",INDEX($P$2:$U$853,MATCH($X564,$W$2:$W$853,0),COLUMNS($X$2:AA564)),"")</f>
        <v/>
      </c>
      <c r="AC564" s="1" t="str">
        <f>IF($X564&lt;&gt;"",INDEX($P$2:$U$853,MATCH($X564,$W$2:$W$853,0),COLUMNS($X$2:AB564)),"")</f>
        <v/>
      </c>
      <c r="AD564" s="1" t="str">
        <f>IF($X564&lt;&gt;"",INDEX($P$2:$U$853,MATCH($X564,$W$2:$W$853,0),COLUMNS($X$2:AC564)),"")</f>
        <v/>
      </c>
    </row>
    <row r="565" spans="1:30" x14ac:dyDescent="0.2">
      <c r="A565" s="1">
        <v>1998</v>
      </c>
      <c r="B565" s="2">
        <v>35972</v>
      </c>
      <c r="C565" s="1" t="s">
        <v>530</v>
      </c>
      <c r="D565" s="1" t="s">
        <v>361</v>
      </c>
      <c r="E565" s="1" t="s">
        <v>348</v>
      </c>
      <c r="F565" s="1" t="s">
        <v>349</v>
      </c>
      <c r="G565" s="6" t="str">
        <f>VLOOKUP(A565,WorldCups!$A$2:$B$23,2,FALSE)</f>
        <v>France</v>
      </c>
      <c r="H565" s="1" t="s">
        <v>151</v>
      </c>
      <c r="I565" s="1">
        <v>0</v>
      </c>
      <c r="J565" s="1">
        <v>2</v>
      </c>
      <c r="K565" s="1" t="s">
        <v>93</v>
      </c>
      <c r="L565" s="1" t="s">
        <v>14</v>
      </c>
      <c r="M565" s="1" t="str">
        <f>IF(ISNUMBER(SEARCH("Group",Table2[[#This Row],[Round]])),"Group stages",Table2[[#This Row],[Round]])</f>
        <v>Group stages</v>
      </c>
      <c r="O565" s="1">
        <f>Table2[[#This Row],[Year]]</f>
        <v>1998</v>
      </c>
      <c r="P565" s="1" t="str">
        <f>INDEX(Table2[[HomeTeam]:[Group_details]],ROWS($N$2:N565),COLUMNS($N$2:N565))</f>
        <v>Colombia</v>
      </c>
      <c r="Q565" s="1">
        <f>INDEX(Table2[[HomeTeam]:[Group_details]],ROWS($N$2:O565),COLUMNS($N$2:O565))</f>
        <v>0</v>
      </c>
      <c r="R565" s="1">
        <f>INDEX(Table2[[HomeTeam]:[Group_details]],ROWS($N$2:P565),COLUMNS($N$2:P565))</f>
        <v>2</v>
      </c>
      <c r="S565" s="1" t="str">
        <f>INDEX(Table2[[HomeTeam]:[Group_details]],ROWS($N$2:Q565),COLUMNS($N$2:Q565))</f>
        <v>England</v>
      </c>
      <c r="T565" s="1" t="str">
        <f>INDEX(Table2[[HomeTeam]:[Group_details]],ROWS($N$2:R565),COLUMNS($N$2:R565))</f>
        <v xml:space="preserve"> </v>
      </c>
      <c r="U565" s="1" t="str">
        <f>INDEX(Table2[[HomeTeam]:[Group_details]],ROWS($N$2:S565),COLUMNS($N$2:S565))</f>
        <v>Group stages</v>
      </c>
      <c r="V565" s="1" t="b">
        <f t="shared" si="8"/>
        <v>0</v>
      </c>
      <c r="W565" s="1" t="str">
        <f>IF(V565=TRUE,ROWS($V$2:V565),"")</f>
        <v/>
      </c>
      <c r="X565" s="1" t="str">
        <f>IFERROR(SMALL($W$2:$W$853,ROWS($W$2:W565)),"")</f>
        <v/>
      </c>
      <c r="Y565" s="1" t="str">
        <f>IF($X565&lt;&gt;"",INDEX($P$2:$U$853,MATCH($X565,$W$2:$W$853,0),COLUMNS($X$2:X565)),"")</f>
        <v/>
      </c>
      <c r="Z565" s="1" t="str">
        <f>IF($X565&lt;&gt;"",INDEX($P$2:$U$853,MATCH($X565,$W$2:$W$853,0),COLUMNS($X$2:Y565)),"")</f>
        <v/>
      </c>
      <c r="AA565" s="1" t="str">
        <f>IF($X565&lt;&gt;"",INDEX($P$2:$U$853,MATCH($X565,$W$2:$W$853,0),COLUMNS($X$2:Z565)),"")</f>
        <v/>
      </c>
      <c r="AB565" s="1" t="str">
        <f>IF($X565&lt;&gt;"",INDEX($P$2:$U$853,MATCH($X565,$W$2:$W$853,0),COLUMNS($X$2:AA565)),"")</f>
        <v/>
      </c>
      <c r="AC565" s="1" t="str">
        <f>IF($X565&lt;&gt;"",INDEX($P$2:$U$853,MATCH($X565,$W$2:$W$853,0),COLUMNS($X$2:AB565)),"")</f>
        <v/>
      </c>
      <c r="AD565" s="1" t="str">
        <f>IF($X565&lt;&gt;"",INDEX($P$2:$U$853,MATCH($X565,$W$2:$W$853,0),COLUMNS($X$2:AC565)),"")</f>
        <v/>
      </c>
    </row>
    <row r="566" spans="1:30" x14ac:dyDescent="0.2">
      <c r="A566" s="1">
        <v>1998</v>
      </c>
      <c r="B566" s="2">
        <v>35973</v>
      </c>
      <c r="C566" s="1" t="s">
        <v>509</v>
      </c>
      <c r="D566" s="1" t="s">
        <v>287</v>
      </c>
      <c r="E566" s="1" t="s">
        <v>75</v>
      </c>
      <c r="F566" s="1" t="s">
        <v>76</v>
      </c>
      <c r="G566" s="6" t="str">
        <f>VLOOKUP(A566,WorldCups!$A$2:$B$23,2,FALSE)</f>
        <v>France</v>
      </c>
      <c r="H566" s="1" t="s">
        <v>57</v>
      </c>
      <c r="I566" s="1">
        <v>1</v>
      </c>
      <c r="J566" s="1">
        <v>0</v>
      </c>
      <c r="K566" s="1" t="s">
        <v>77</v>
      </c>
      <c r="L566" s="1" t="s">
        <v>14</v>
      </c>
      <c r="M566" s="1" t="str">
        <f>IF(ISNUMBER(SEARCH("Group",Table2[[#This Row],[Round]])),"Group stages",Table2[[#This Row],[Round]])</f>
        <v>Round of 16</v>
      </c>
      <c r="O566" s="1">
        <f>Table2[[#This Row],[Year]]</f>
        <v>1998</v>
      </c>
      <c r="P566" s="1" t="str">
        <f>INDEX(Table2[[HomeTeam]:[Group_details]],ROWS($N$2:N566),COLUMNS($N$2:N566))</f>
        <v>Italy</v>
      </c>
      <c r="Q566" s="1">
        <f>INDEX(Table2[[HomeTeam]:[Group_details]],ROWS($N$2:O566),COLUMNS($N$2:O566))</f>
        <v>1</v>
      </c>
      <c r="R566" s="1">
        <f>INDEX(Table2[[HomeTeam]:[Group_details]],ROWS($N$2:P566),COLUMNS($N$2:P566))</f>
        <v>0</v>
      </c>
      <c r="S566" s="1" t="str">
        <f>INDEX(Table2[[HomeTeam]:[Group_details]],ROWS($N$2:Q566),COLUMNS($N$2:Q566))</f>
        <v>Norway</v>
      </c>
      <c r="T566" s="1" t="str">
        <f>INDEX(Table2[[HomeTeam]:[Group_details]],ROWS($N$2:R566),COLUMNS($N$2:R566))</f>
        <v xml:space="preserve"> </v>
      </c>
      <c r="U566" s="1" t="str">
        <f>INDEX(Table2[[HomeTeam]:[Group_details]],ROWS($N$2:S566),COLUMNS($N$2:S566))</f>
        <v>Round of 16</v>
      </c>
      <c r="V566" s="1" t="b">
        <f t="shared" si="8"/>
        <v>0</v>
      </c>
      <c r="W566" s="1" t="str">
        <f>IF(V566=TRUE,ROWS($V$2:V566),"")</f>
        <v/>
      </c>
      <c r="X566" s="1" t="str">
        <f>IFERROR(SMALL($W$2:$W$853,ROWS($W$2:W566)),"")</f>
        <v/>
      </c>
      <c r="Y566" s="1" t="str">
        <f>IF($X566&lt;&gt;"",INDEX($P$2:$U$853,MATCH($X566,$W$2:$W$853,0),COLUMNS($X$2:X566)),"")</f>
        <v/>
      </c>
      <c r="Z566" s="1" t="str">
        <f>IF($X566&lt;&gt;"",INDEX($P$2:$U$853,MATCH($X566,$W$2:$W$853,0),COLUMNS($X$2:Y566)),"")</f>
        <v/>
      </c>
      <c r="AA566" s="1" t="str">
        <f>IF($X566&lt;&gt;"",INDEX($P$2:$U$853,MATCH($X566,$W$2:$W$853,0),COLUMNS($X$2:Z566)),"")</f>
        <v/>
      </c>
      <c r="AB566" s="1" t="str">
        <f>IF($X566&lt;&gt;"",INDEX($P$2:$U$853,MATCH($X566,$W$2:$W$853,0),COLUMNS($X$2:AA566)),"")</f>
        <v/>
      </c>
      <c r="AC566" s="1" t="str">
        <f>IF($X566&lt;&gt;"",INDEX($P$2:$U$853,MATCH($X566,$W$2:$W$853,0),COLUMNS($X$2:AB566)),"")</f>
        <v/>
      </c>
      <c r="AD566" s="1" t="str">
        <f>IF($X566&lt;&gt;"",INDEX($P$2:$U$853,MATCH($X566,$W$2:$W$853,0),COLUMNS($X$2:AC566)),"")</f>
        <v/>
      </c>
    </row>
    <row r="567" spans="1:30" x14ac:dyDescent="0.2">
      <c r="A567" s="1">
        <v>1998</v>
      </c>
      <c r="B567" s="2">
        <v>35973</v>
      </c>
      <c r="C567" s="1" t="s">
        <v>530</v>
      </c>
      <c r="D567" s="1" t="s">
        <v>287</v>
      </c>
      <c r="E567" s="1" t="s">
        <v>65</v>
      </c>
      <c r="F567" s="1" t="s">
        <v>66</v>
      </c>
      <c r="G567" s="6" t="str">
        <f>VLOOKUP(A567,WorldCups!$A$2:$B$23,2,FALSE)</f>
        <v>France</v>
      </c>
      <c r="H567" s="1" t="s">
        <v>21</v>
      </c>
      <c r="I567" s="1">
        <v>4</v>
      </c>
      <c r="J567" s="1">
        <v>1</v>
      </c>
      <c r="K567" s="1" t="s">
        <v>26</v>
      </c>
      <c r="L567" s="1" t="s">
        <v>14</v>
      </c>
      <c r="M567" s="1" t="str">
        <f>IF(ISNUMBER(SEARCH("Group",Table2[[#This Row],[Round]])),"Group stages",Table2[[#This Row],[Round]])</f>
        <v>Round of 16</v>
      </c>
      <c r="O567" s="1">
        <f>Table2[[#This Row],[Year]]</f>
        <v>1998</v>
      </c>
      <c r="P567" s="1" t="str">
        <f>INDEX(Table2[[HomeTeam]:[Group_details]],ROWS($N$2:N567),COLUMNS($N$2:N567))</f>
        <v>Brazil</v>
      </c>
      <c r="Q567" s="1">
        <f>INDEX(Table2[[HomeTeam]:[Group_details]],ROWS($N$2:O567),COLUMNS($N$2:O567))</f>
        <v>4</v>
      </c>
      <c r="R567" s="1">
        <f>INDEX(Table2[[HomeTeam]:[Group_details]],ROWS($N$2:P567),COLUMNS($N$2:P567))</f>
        <v>1</v>
      </c>
      <c r="S567" s="1" t="str">
        <f>INDEX(Table2[[HomeTeam]:[Group_details]],ROWS($N$2:Q567),COLUMNS($N$2:Q567))</f>
        <v>Chile</v>
      </c>
      <c r="T567" s="1" t="str">
        <f>INDEX(Table2[[HomeTeam]:[Group_details]],ROWS($N$2:R567),COLUMNS($N$2:R567))</f>
        <v xml:space="preserve"> </v>
      </c>
      <c r="U567" s="1" t="str">
        <f>INDEX(Table2[[HomeTeam]:[Group_details]],ROWS($N$2:S567),COLUMNS($N$2:S567))</f>
        <v>Round of 16</v>
      </c>
      <c r="V567" s="1" t="b">
        <f t="shared" si="8"/>
        <v>0</v>
      </c>
      <c r="W567" s="1" t="str">
        <f>IF(V567=TRUE,ROWS($V$2:V567),"")</f>
        <v/>
      </c>
      <c r="X567" s="1" t="str">
        <f>IFERROR(SMALL($W$2:$W$853,ROWS($W$2:W567)),"")</f>
        <v/>
      </c>
      <c r="Y567" s="1" t="str">
        <f>IF($X567&lt;&gt;"",INDEX($P$2:$U$853,MATCH($X567,$W$2:$W$853,0),COLUMNS($X$2:X567)),"")</f>
        <v/>
      </c>
      <c r="Z567" s="1" t="str">
        <f>IF($X567&lt;&gt;"",INDEX($P$2:$U$853,MATCH($X567,$W$2:$W$853,0),COLUMNS($X$2:Y567)),"")</f>
        <v/>
      </c>
      <c r="AA567" s="1" t="str">
        <f>IF($X567&lt;&gt;"",INDEX($P$2:$U$853,MATCH($X567,$W$2:$W$853,0),COLUMNS($X$2:Z567)),"")</f>
        <v/>
      </c>
      <c r="AB567" s="1" t="str">
        <f>IF($X567&lt;&gt;"",INDEX($P$2:$U$853,MATCH($X567,$W$2:$W$853,0),COLUMNS($X$2:AA567)),"")</f>
        <v/>
      </c>
      <c r="AC567" s="1" t="str">
        <f>IF($X567&lt;&gt;"",INDEX($P$2:$U$853,MATCH($X567,$W$2:$W$853,0),COLUMNS($X$2:AB567)),"")</f>
        <v/>
      </c>
      <c r="AD567" s="1" t="str">
        <f>IF($X567&lt;&gt;"",INDEX($P$2:$U$853,MATCH($X567,$W$2:$W$853,0),COLUMNS($X$2:AC567)),"")</f>
        <v/>
      </c>
    </row>
    <row r="568" spans="1:30" x14ac:dyDescent="0.2">
      <c r="A568" s="1">
        <v>1998</v>
      </c>
      <c r="B568" s="2">
        <v>35974</v>
      </c>
      <c r="C568" s="1" t="s">
        <v>509</v>
      </c>
      <c r="D568" s="1" t="s">
        <v>287</v>
      </c>
      <c r="E568" s="1" t="s">
        <v>348</v>
      </c>
      <c r="F568" s="1" t="s">
        <v>349</v>
      </c>
      <c r="G568" s="6" t="str">
        <f>VLOOKUP(A568,WorldCups!$A$2:$B$23,2,FALSE)</f>
        <v>France</v>
      </c>
      <c r="H568" s="1" t="s">
        <v>12</v>
      </c>
      <c r="I568" s="1">
        <v>1</v>
      </c>
      <c r="J568" s="1">
        <v>0</v>
      </c>
      <c r="K568" s="1" t="s">
        <v>28</v>
      </c>
      <c r="L568" s="1" t="s">
        <v>292</v>
      </c>
      <c r="M568" s="1" t="str">
        <f>IF(ISNUMBER(SEARCH("Group",Table2[[#This Row],[Round]])),"Group stages",Table2[[#This Row],[Round]])</f>
        <v>Round of 16</v>
      </c>
      <c r="O568" s="1">
        <f>Table2[[#This Row],[Year]]</f>
        <v>1998</v>
      </c>
      <c r="P568" s="1" t="str">
        <f>INDEX(Table2[[HomeTeam]:[Group_details]],ROWS($N$2:N568),COLUMNS($N$2:N568))</f>
        <v>France</v>
      </c>
      <c r="Q568" s="1">
        <f>INDEX(Table2[[HomeTeam]:[Group_details]],ROWS($N$2:O568),COLUMNS($N$2:O568))</f>
        <v>1</v>
      </c>
      <c r="R568" s="1">
        <f>INDEX(Table2[[HomeTeam]:[Group_details]],ROWS($N$2:P568),COLUMNS($N$2:P568))</f>
        <v>0</v>
      </c>
      <c r="S568" s="1" t="str">
        <f>INDEX(Table2[[HomeTeam]:[Group_details]],ROWS($N$2:Q568),COLUMNS($N$2:Q568))</f>
        <v>Paraguay</v>
      </c>
      <c r="T568" s="1" t="str">
        <f>INDEX(Table2[[HomeTeam]:[Group_details]],ROWS($N$2:R568),COLUMNS($N$2:R568))</f>
        <v xml:space="preserve">France win after extra time </v>
      </c>
      <c r="U568" s="1" t="str">
        <f>INDEX(Table2[[HomeTeam]:[Group_details]],ROWS($N$2:S568),COLUMNS($N$2:S568))</f>
        <v>Round of 16</v>
      </c>
      <c r="V568" s="1" t="b">
        <f t="shared" si="8"/>
        <v>0</v>
      </c>
      <c r="W568" s="1" t="str">
        <f>IF(V568=TRUE,ROWS($V$2:V568),"")</f>
        <v/>
      </c>
      <c r="X568" s="1" t="str">
        <f>IFERROR(SMALL($W$2:$W$853,ROWS($W$2:W568)),"")</f>
        <v/>
      </c>
      <c r="Y568" s="1" t="str">
        <f>IF($X568&lt;&gt;"",INDEX($P$2:$U$853,MATCH($X568,$W$2:$W$853,0),COLUMNS($X$2:X568)),"")</f>
        <v/>
      </c>
      <c r="Z568" s="1" t="str">
        <f>IF($X568&lt;&gt;"",INDEX($P$2:$U$853,MATCH($X568,$W$2:$W$853,0),COLUMNS($X$2:Y568)),"")</f>
        <v/>
      </c>
      <c r="AA568" s="1" t="str">
        <f>IF($X568&lt;&gt;"",INDEX($P$2:$U$853,MATCH($X568,$W$2:$W$853,0),COLUMNS($X$2:Z568)),"")</f>
        <v/>
      </c>
      <c r="AB568" s="1" t="str">
        <f>IF($X568&lt;&gt;"",INDEX($P$2:$U$853,MATCH($X568,$W$2:$W$853,0),COLUMNS($X$2:AA568)),"")</f>
        <v/>
      </c>
      <c r="AC568" s="1" t="str">
        <f>IF($X568&lt;&gt;"",INDEX($P$2:$U$853,MATCH($X568,$W$2:$W$853,0),COLUMNS($X$2:AB568)),"")</f>
        <v/>
      </c>
      <c r="AD568" s="1" t="str">
        <f>IF($X568&lt;&gt;"",INDEX($P$2:$U$853,MATCH($X568,$W$2:$W$853,0),COLUMNS($X$2:AC568)),"")</f>
        <v/>
      </c>
    </row>
    <row r="569" spans="1:30" x14ac:dyDescent="0.2">
      <c r="A569" s="1">
        <v>1998</v>
      </c>
      <c r="B569" s="2">
        <v>35974</v>
      </c>
      <c r="C569" s="1" t="s">
        <v>530</v>
      </c>
      <c r="D569" s="1" t="s">
        <v>287</v>
      </c>
      <c r="E569" s="1" t="s">
        <v>344</v>
      </c>
      <c r="F569" s="1" t="s">
        <v>345</v>
      </c>
      <c r="G569" s="6" t="str">
        <f>VLOOKUP(A569,WorldCups!$A$2:$B$23,2,FALSE)</f>
        <v>France</v>
      </c>
      <c r="H569" s="1" t="s">
        <v>340</v>
      </c>
      <c r="I569" s="1">
        <v>1</v>
      </c>
      <c r="J569" s="1">
        <v>4</v>
      </c>
      <c r="K569" s="1" t="s">
        <v>284</v>
      </c>
      <c r="L569" s="1" t="s">
        <v>14</v>
      </c>
      <c r="M569" s="1" t="str">
        <f>IF(ISNUMBER(SEARCH("Group",Table2[[#This Row],[Round]])),"Group stages",Table2[[#This Row],[Round]])</f>
        <v>Round of 16</v>
      </c>
      <c r="O569" s="1">
        <f>Table2[[#This Row],[Year]]</f>
        <v>1998</v>
      </c>
      <c r="P569" s="1" t="str">
        <f>INDEX(Table2[[HomeTeam]:[Group_details]],ROWS($N$2:N569),COLUMNS($N$2:N569))</f>
        <v>Nigeria</v>
      </c>
      <c r="Q569" s="1">
        <f>INDEX(Table2[[HomeTeam]:[Group_details]],ROWS($N$2:O569),COLUMNS($N$2:O569))</f>
        <v>1</v>
      </c>
      <c r="R569" s="1">
        <f>INDEX(Table2[[HomeTeam]:[Group_details]],ROWS($N$2:P569),COLUMNS($N$2:P569))</f>
        <v>4</v>
      </c>
      <c r="S569" s="1" t="str">
        <f>INDEX(Table2[[HomeTeam]:[Group_details]],ROWS($N$2:Q569),COLUMNS($N$2:Q569))</f>
        <v>Denmark</v>
      </c>
      <c r="T569" s="1" t="str">
        <f>INDEX(Table2[[HomeTeam]:[Group_details]],ROWS($N$2:R569),COLUMNS($N$2:R569))</f>
        <v xml:space="preserve"> </v>
      </c>
      <c r="U569" s="1" t="str">
        <f>INDEX(Table2[[HomeTeam]:[Group_details]],ROWS($N$2:S569),COLUMNS($N$2:S569))</f>
        <v>Round of 16</v>
      </c>
      <c r="V569" s="1" t="b">
        <f t="shared" si="8"/>
        <v>0</v>
      </c>
      <c r="W569" s="1" t="str">
        <f>IF(V569=TRUE,ROWS($V$2:V569),"")</f>
        <v/>
      </c>
      <c r="X569" s="1" t="str">
        <f>IFERROR(SMALL($W$2:$W$853,ROWS($W$2:W569)),"")</f>
        <v/>
      </c>
      <c r="Y569" s="1" t="str">
        <f>IF($X569&lt;&gt;"",INDEX($P$2:$U$853,MATCH($X569,$W$2:$W$853,0),COLUMNS($X$2:X569)),"")</f>
        <v/>
      </c>
      <c r="Z569" s="1" t="str">
        <f>IF($X569&lt;&gt;"",INDEX($P$2:$U$853,MATCH($X569,$W$2:$W$853,0),COLUMNS($X$2:Y569)),"")</f>
        <v/>
      </c>
      <c r="AA569" s="1" t="str">
        <f>IF($X569&lt;&gt;"",INDEX($P$2:$U$853,MATCH($X569,$W$2:$W$853,0),COLUMNS($X$2:Z569)),"")</f>
        <v/>
      </c>
      <c r="AB569" s="1" t="str">
        <f>IF($X569&lt;&gt;"",INDEX($P$2:$U$853,MATCH($X569,$W$2:$W$853,0),COLUMNS($X$2:AA569)),"")</f>
        <v/>
      </c>
      <c r="AC569" s="1" t="str">
        <f>IF($X569&lt;&gt;"",INDEX($P$2:$U$853,MATCH($X569,$W$2:$W$853,0),COLUMNS($X$2:AB569)),"")</f>
        <v/>
      </c>
      <c r="AD569" s="1" t="str">
        <f>IF($X569&lt;&gt;"",INDEX($P$2:$U$853,MATCH($X569,$W$2:$W$853,0),COLUMNS($X$2:AC569)),"")</f>
        <v/>
      </c>
    </row>
    <row r="570" spans="1:30" x14ac:dyDescent="0.2">
      <c r="A570" s="1">
        <v>1998</v>
      </c>
      <c r="B570" s="2">
        <v>35975</v>
      </c>
      <c r="C570" s="1" t="s">
        <v>509</v>
      </c>
      <c r="D570" s="1" t="s">
        <v>287</v>
      </c>
      <c r="E570" s="1" t="s">
        <v>346</v>
      </c>
      <c r="F570" s="1" t="s">
        <v>347</v>
      </c>
      <c r="G570" s="6" t="str">
        <f>VLOOKUP(A570,WorldCups!$A$2:$B$23,2,FALSE)</f>
        <v>France</v>
      </c>
      <c r="H570" s="1" t="s">
        <v>51</v>
      </c>
      <c r="I570" s="1">
        <v>2</v>
      </c>
      <c r="J570" s="1">
        <v>1</v>
      </c>
      <c r="K570" s="1" t="s">
        <v>13</v>
      </c>
      <c r="L570" s="1" t="s">
        <v>14</v>
      </c>
      <c r="M570" s="1" t="str">
        <f>IF(ISNUMBER(SEARCH("Group",Table2[[#This Row],[Round]])),"Group stages",Table2[[#This Row],[Round]])</f>
        <v>Round of 16</v>
      </c>
      <c r="O570" s="1">
        <f>Table2[[#This Row],[Year]]</f>
        <v>1998</v>
      </c>
      <c r="P570" s="1" t="str">
        <f>INDEX(Table2[[HomeTeam]:[Group_details]],ROWS($N$2:N570),COLUMNS($N$2:N570))</f>
        <v>Germany</v>
      </c>
      <c r="Q570" s="1">
        <f>INDEX(Table2[[HomeTeam]:[Group_details]],ROWS($N$2:O570),COLUMNS($N$2:O570))</f>
        <v>2</v>
      </c>
      <c r="R570" s="1">
        <f>INDEX(Table2[[HomeTeam]:[Group_details]],ROWS($N$2:P570),COLUMNS($N$2:P570))</f>
        <v>1</v>
      </c>
      <c r="S570" s="1" t="str">
        <f>INDEX(Table2[[HomeTeam]:[Group_details]],ROWS($N$2:Q570),COLUMNS($N$2:Q570))</f>
        <v>Mexico</v>
      </c>
      <c r="T570" s="1" t="str">
        <f>INDEX(Table2[[HomeTeam]:[Group_details]],ROWS($N$2:R570),COLUMNS($N$2:R570))</f>
        <v xml:space="preserve"> </v>
      </c>
      <c r="U570" s="1" t="str">
        <f>INDEX(Table2[[HomeTeam]:[Group_details]],ROWS($N$2:S570),COLUMNS($N$2:S570))</f>
        <v>Round of 16</v>
      </c>
      <c r="V570" s="1" t="b">
        <f t="shared" si="8"/>
        <v>0</v>
      </c>
      <c r="W570" s="1" t="str">
        <f>IF(V570=TRUE,ROWS($V$2:V570),"")</f>
        <v/>
      </c>
      <c r="X570" s="1" t="str">
        <f>IFERROR(SMALL($W$2:$W$853,ROWS($W$2:W570)),"")</f>
        <v/>
      </c>
      <c r="Y570" s="1" t="str">
        <f>IF($X570&lt;&gt;"",INDEX($P$2:$U$853,MATCH($X570,$W$2:$W$853,0),COLUMNS($X$2:X570)),"")</f>
        <v/>
      </c>
      <c r="Z570" s="1" t="str">
        <f>IF($X570&lt;&gt;"",INDEX($P$2:$U$853,MATCH($X570,$W$2:$W$853,0),COLUMNS($X$2:Y570)),"")</f>
        <v/>
      </c>
      <c r="AA570" s="1" t="str">
        <f>IF($X570&lt;&gt;"",INDEX($P$2:$U$853,MATCH($X570,$W$2:$W$853,0),COLUMNS($X$2:Z570)),"")</f>
        <v/>
      </c>
      <c r="AB570" s="1" t="str">
        <f>IF($X570&lt;&gt;"",INDEX($P$2:$U$853,MATCH($X570,$W$2:$W$853,0),COLUMNS($X$2:AA570)),"")</f>
        <v/>
      </c>
      <c r="AC570" s="1" t="str">
        <f>IF($X570&lt;&gt;"",INDEX($P$2:$U$853,MATCH($X570,$W$2:$W$853,0),COLUMNS($X$2:AB570)),"")</f>
        <v/>
      </c>
      <c r="AD570" s="1" t="str">
        <f>IF($X570&lt;&gt;"",INDEX($P$2:$U$853,MATCH($X570,$W$2:$W$853,0),COLUMNS($X$2:AC570)),"")</f>
        <v/>
      </c>
    </row>
    <row r="571" spans="1:30" x14ac:dyDescent="0.2">
      <c r="A571" s="1">
        <v>1998</v>
      </c>
      <c r="B571" s="2">
        <v>35975</v>
      </c>
      <c r="C571" s="1" t="s">
        <v>530</v>
      </c>
      <c r="D571" s="1" t="s">
        <v>287</v>
      </c>
      <c r="E571" s="1" t="s">
        <v>72</v>
      </c>
      <c r="F571" s="1" t="s">
        <v>73</v>
      </c>
      <c r="G571" s="6" t="str">
        <f>VLOOKUP(A571,WorldCups!$A$2:$B$23,2,FALSE)</f>
        <v>France</v>
      </c>
      <c r="H571" s="1" t="s">
        <v>45</v>
      </c>
      <c r="I571" s="1">
        <v>2</v>
      </c>
      <c r="J571" s="1">
        <v>1</v>
      </c>
      <c r="K571" s="1" t="s">
        <v>20</v>
      </c>
      <c r="L571" s="1" t="s">
        <v>14</v>
      </c>
      <c r="M571" s="1" t="str">
        <f>IF(ISNUMBER(SEARCH("Group",Table2[[#This Row],[Round]])),"Group stages",Table2[[#This Row],[Round]])</f>
        <v>Round of 16</v>
      </c>
      <c r="O571" s="1">
        <f>Table2[[#This Row],[Year]]</f>
        <v>1998</v>
      </c>
      <c r="P571" s="1" t="str">
        <f>INDEX(Table2[[HomeTeam]:[Group_details]],ROWS($N$2:N571),COLUMNS($N$2:N571))</f>
        <v>Netherlands</v>
      </c>
      <c r="Q571" s="1">
        <f>INDEX(Table2[[HomeTeam]:[Group_details]],ROWS($N$2:O571),COLUMNS($N$2:O571))</f>
        <v>2</v>
      </c>
      <c r="R571" s="1">
        <f>INDEX(Table2[[HomeTeam]:[Group_details]],ROWS($N$2:P571),COLUMNS($N$2:P571))</f>
        <v>1</v>
      </c>
      <c r="S571" s="1" t="str">
        <f>INDEX(Table2[[HomeTeam]:[Group_details]],ROWS($N$2:Q571),COLUMNS($N$2:Q571))</f>
        <v>Yugoslavia</v>
      </c>
      <c r="T571" s="1" t="str">
        <f>INDEX(Table2[[HomeTeam]:[Group_details]],ROWS($N$2:R571),COLUMNS($N$2:R571))</f>
        <v xml:space="preserve"> </v>
      </c>
      <c r="U571" s="1" t="str">
        <f>INDEX(Table2[[HomeTeam]:[Group_details]],ROWS($N$2:S571),COLUMNS($N$2:S571))</f>
        <v>Round of 16</v>
      </c>
      <c r="V571" s="1" t="b">
        <f t="shared" si="8"/>
        <v>0</v>
      </c>
      <c r="W571" s="1" t="str">
        <f>IF(V571=TRUE,ROWS($V$2:V571),"")</f>
        <v/>
      </c>
      <c r="X571" s="1" t="str">
        <f>IFERROR(SMALL($W$2:$W$853,ROWS($W$2:W571)),"")</f>
        <v/>
      </c>
      <c r="Y571" s="1" t="str">
        <f>IF($X571&lt;&gt;"",INDEX($P$2:$U$853,MATCH($X571,$W$2:$W$853,0),COLUMNS($X$2:X571)),"")</f>
        <v/>
      </c>
      <c r="Z571" s="1" t="str">
        <f>IF($X571&lt;&gt;"",INDEX($P$2:$U$853,MATCH($X571,$W$2:$W$853,0),COLUMNS($X$2:Y571)),"")</f>
        <v/>
      </c>
      <c r="AA571" s="1" t="str">
        <f>IF($X571&lt;&gt;"",INDEX($P$2:$U$853,MATCH($X571,$W$2:$W$853,0),COLUMNS($X$2:Z571)),"")</f>
        <v/>
      </c>
      <c r="AB571" s="1" t="str">
        <f>IF($X571&lt;&gt;"",INDEX($P$2:$U$853,MATCH($X571,$W$2:$W$853,0),COLUMNS($X$2:AA571)),"")</f>
        <v/>
      </c>
      <c r="AC571" s="1" t="str">
        <f>IF($X571&lt;&gt;"",INDEX($P$2:$U$853,MATCH($X571,$W$2:$W$853,0),COLUMNS($X$2:AB571)),"")</f>
        <v/>
      </c>
      <c r="AD571" s="1" t="str">
        <f>IF($X571&lt;&gt;"",INDEX($P$2:$U$853,MATCH($X571,$W$2:$W$853,0),COLUMNS($X$2:AC571)),"")</f>
        <v/>
      </c>
    </row>
    <row r="572" spans="1:30" x14ac:dyDescent="0.2">
      <c r="A572" s="1">
        <v>1998</v>
      </c>
      <c r="B572" s="2">
        <v>35976</v>
      </c>
      <c r="C572" s="1" t="s">
        <v>509</v>
      </c>
      <c r="D572" s="1" t="s">
        <v>287</v>
      </c>
      <c r="E572" s="1" t="s">
        <v>85</v>
      </c>
      <c r="F572" s="1" t="s">
        <v>86</v>
      </c>
      <c r="G572" s="6" t="str">
        <f>VLOOKUP(A572,WorldCups!$A$2:$B$23,2,FALSE)</f>
        <v>France</v>
      </c>
      <c r="H572" s="1" t="s">
        <v>23</v>
      </c>
      <c r="I572" s="1">
        <v>0</v>
      </c>
      <c r="J572" s="1">
        <v>1</v>
      </c>
      <c r="K572" s="1" t="s">
        <v>360</v>
      </c>
      <c r="L572" s="1" t="s">
        <v>14</v>
      </c>
      <c r="M572" s="1" t="str">
        <f>IF(ISNUMBER(SEARCH("Group",Table2[[#This Row],[Round]])),"Group stages",Table2[[#This Row],[Round]])</f>
        <v>Round of 16</v>
      </c>
      <c r="O572" s="1">
        <f>Table2[[#This Row],[Year]]</f>
        <v>1998</v>
      </c>
      <c r="P572" s="1" t="str">
        <f>INDEX(Table2[[HomeTeam]:[Group_details]],ROWS($N$2:N572),COLUMNS($N$2:N572))</f>
        <v>Romania</v>
      </c>
      <c r="Q572" s="1">
        <f>INDEX(Table2[[HomeTeam]:[Group_details]],ROWS($N$2:O572),COLUMNS($N$2:O572))</f>
        <v>0</v>
      </c>
      <c r="R572" s="1">
        <f>INDEX(Table2[[HomeTeam]:[Group_details]],ROWS($N$2:P572),COLUMNS($N$2:P572))</f>
        <v>1</v>
      </c>
      <c r="S572" s="1" t="str">
        <f>INDEX(Table2[[HomeTeam]:[Group_details]],ROWS($N$2:Q572),COLUMNS($N$2:Q572))</f>
        <v>Croatia</v>
      </c>
      <c r="T572" s="1" t="str">
        <f>INDEX(Table2[[HomeTeam]:[Group_details]],ROWS($N$2:R572),COLUMNS($N$2:R572))</f>
        <v xml:space="preserve"> </v>
      </c>
      <c r="U572" s="1" t="str">
        <f>INDEX(Table2[[HomeTeam]:[Group_details]],ROWS($N$2:S572),COLUMNS($N$2:S572))</f>
        <v>Round of 16</v>
      </c>
      <c r="V572" s="1" t="b">
        <f t="shared" si="8"/>
        <v>0</v>
      </c>
      <c r="W572" s="1" t="str">
        <f>IF(V572=TRUE,ROWS($V$2:V572),"")</f>
        <v/>
      </c>
      <c r="X572" s="1" t="str">
        <f>IFERROR(SMALL($W$2:$W$853,ROWS($W$2:W572)),"")</f>
        <v/>
      </c>
      <c r="Y572" s="1" t="str">
        <f>IF($X572&lt;&gt;"",INDEX($P$2:$U$853,MATCH($X572,$W$2:$W$853,0),COLUMNS($X$2:X572)),"")</f>
        <v/>
      </c>
      <c r="Z572" s="1" t="str">
        <f>IF($X572&lt;&gt;"",INDEX($P$2:$U$853,MATCH($X572,$W$2:$W$853,0),COLUMNS($X$2:Y572)),"")</f>
        <v/>
      </c>
      <c r="AA572" s="1" t="str">
        <f>IF($X572&lt;&gt;"",INDEX($P$2:$U$853,MATCH($X572,$W$2:$W$853,0),COLUMNS($X$2:Z572)),"")</f>
        <v/>
      </c>
      <c r="AB572" s="1" t="str">
        <f>IF($X572&lt;&gt;"",INDEX($P$2:$U$853,MATCH($X572,$W$2:$W$853,0),COLUMNS($X$2:AA572)),"")</f>
        <v/>
      </c>
      <c r="AC572" s="1" t="str">
        <f>IF($X572&lt;&gt;"",INDEX($P$2:$U$853,MATCH($X572,$W$2:$W$853,0),COLUMNS($X$2:AB572)),"")</f>
        <v/>
      </c>
      <c r="AD572" s="1" t="str">
        <f>IF($X572&lt;&gt;"",INDEX($P$2:$U$853,MATCH($X572,$W$2:$W$853,0),COLUMNS($X$2:AC572)),"")</f>
        <v/>
      </c>
    </row>
    <row r="573" spans="1:30" x14ac:dyDescent="0.2">
      <c r="A573" s="1">
        <v>1998</v>
      </c>
      <c r="B573" s="2">
        <v>35976</v>
      </c>
      <c r="C573" s="1" t="s">
        <v>530</v>
      </c>
      <c r="D573" s="1" t="s">
        <v>287</v>
      </c>
      <c r="E573" s="1" t="s">
        <v>357</v>
      </c>
      <c r="F573" s="1" t="s">
        <v>358</v>
      </c>
      <c r="G573" s="6" t="str">
        <f>VLOOKUP(A573,WorldCups!$A$2:$B$23,2,FALSE)</f>
        <v>France</v>
      </c>
      <c r="H573" s="1" t="s">
        <v>25</v>
      </c>
      <c r="I573" s="1">
        <v>2</v>
      </c>
      <c r="J573" s="1">
        <v>2</v>
      </c>
      <c r="K573" s="1" t="s">
        <v>93</v>
      </c>
      <c r="L573" s="1" t="s">
        <v>362</v>
      </c>
      <c r="M573" s="1" t="str">
        <f>IF(ISNUMBER(SEARCH("Group",Table2[[#This Row],[Round]])),"Group stages",Table2[[#This Row],[Round]])</f>
        <v>Round of 16</v>
      </c>
      <c r="O573" s="1">
        <f>Table2[[#This Row],[Year]]</f>
        <v>1998</v>
      </c>
      <c r="P573" s="1" t="str">
        <f>INDEX(Table2[[HomeTeam]:[Group_details]],ROWS($N$2:N573),COLUMNS($N$2:N573))</f>
        <v>Argentina</v>
      </c>
      <c r="Q573" s="1">
        <f>INDEX(Table2[[HomeTeam]:[Group_details]],ROWS($N$2:O573),COLUMNS($N$2:O573))</f>
        <v>2</v>
      </c>
      <c r="R573" s="1">
        <f>INDEX(Table2[[HomeTeam]:[Group_details]],ROWS($N$2:P573),COLUMNS($N$2:P573))</f>
        <v>2</v>
      </c>
      <c r="S573" s="1" t="str">
        <f>INDEX(Table2[[HomeTeam]:[Group_details]],ROWS($N$2:Q573),COLUMNS($N$2:Q573))</f>
        <v>England</v>
      </c>
      <c r="T573" s="1" t="str">
        <f>INDEX(Table2[[HomeTeam]:[Group_details]],ROWS($N$2:R573),COLUMNS($N$2:R573))</f>
        <v xml:space="preserve">Argentina win on penalties (4 - 3) </v>
      </c>
      <c r="U573" s="1" t="str">
        <f>INDEX(Table2[[HomeTeam]:[Group_details]],ROWS($N$2:S573),COLUMNS($N$2:S573))</f>
        <v>Round of 16</v>
      </c>
      <c r="V573" s="1" t="b">
        <f t="shared" si="8"/>
        <v>0</v>
      </c>
      <c r="W573" s="1" t="str">
        <f>IF(V573=TRUE,ROWS($V$2:V573),"")</f>
        <v/>
      </c>
      <c r="X573" s="1" t="str">
        <f>IFERROR(SMALL($W$2:$W$853,ROWS($W$2:W573)),"")</f>
        <v/>
      </c>
      <c r="Y573" s="1" t="str">
        <f>IF($X573&lt;&gt;"",INDEX($P$2:$U$853,MATCH($X573,$W$2:$W$853,0),COLUMNS($X$2:X573)),"")</f>
        <v/>
      </c>
      <c r="Z573" s="1" t="str">
        <f>IF($X573&lt;&gt;"",INDEX($P$2:$U$853,MATCH($X573,$W$2:$W$853,0),COLUMNS($X$2:Y573)),"")</f>
        <v/>
      </c>
      <c r="AA573" s="1" t="str">
        <f>IF($X573&lt;&gt;"",INDEX($P$2:$U$853,MATCH($X573,$W$2:$W$853,0),COLUMNS($X$2:Z573)),"")</f>
        <v/>
      </c>
      <c r="AB573" s="1" t="str">
        <f>IF($X573&lt;&gt;"",INDEX($P$2:$U$853,MATCH($X573,$W$2:$W$853,0),COLUMNS($X$2:AA573)),"")</f>
        <v/>
      </c>
      <c r="AC573" s="1" t="str">
        <f>IF($X573&lt;&gt;"",INDEX($P$2:$U$853,MATCH($X573,$W$2:$W$853,0),COLUMNS($X$2:AB573)),"")</f>
        <v/>
      </c>
      <c r="AD573" s="1" t="str">
        <f>IF($X573&lt;&gt;"",INDEX($P$2:$U$853,MATCH($X573,$W$2:$W$853,0),COLUMNS($X$2:AC573)),"")</f>
        <v/>
      </c>
    </row>
    <row r="574" spans="1:30" x14ac:dyDescent="0.2">
      <c r="A574" s="1">
        <v>1998</v>
      </c>
      <c r="B574" s="2">
        <v>35979</v>
      </c>
      <c r="C574" s="1" t="s">
        <v>509</v>
      </c>
      <c r="D574" s="1" t="s">
        <v>61</v>
      </c>
      <c r="E574" s="1" t="s">
        <v>344</v>
      </c>
      <c r="F574" s="1" t="s">
        <v>345</v>
      </c>
      <c r="G574" s="6" t="str">
        <f>VLOOKUP(A574,WorldCups!$A$2:$B$23,2,FALSE)</f>
        <v>France</v>
      </c>
      <c r="H574" s="1" t="s">
        <v>57</v>
      </c>
      <c r="I574" s="1">
        <v>0</v>
      </c>
      <c r="J574" s="1">
        <v>0</v>
      </c>
      <c r="K574" s="1" t="s">
        <v>12</v>
      </c>
      <c r="L574" s="1" t="s">
        <v>289</v>
      </c>
      <c r="M574" s="1" t="str">
        <f>IF(ISNUMBER(SEARCH("Group",Table2[[#This Row],[Round]])),"Group stages",Table2[[#This Row],[Round]])</f>
        <v>Quarter-finals</v>
      </c>
      <c r="O574" s="1">
        <f>Table2[[#This Row],[Year]]</f>
        <v>1998</v>
      </c>
      <c r="P574" s="1" t="str">
        <f>INDEX(Table2[[HomeTeam]:[Group_details]],ROWS($N$2:N574),COLUMNS($N$2:N574))</f>
        <v>Italy</v>
      </c>
      <c r="Q574" s="1">
        <f>INDEX(Table2[[HomeTeam]:[Group_details]],ROWS($N$2:O574),COLUMNS($N$2:O574))</f>
        <v>0</v>
      </c>
      <c r="R574" s="1">
        <f>INDEX(Table2[[HomeTeam]:[Group_details]],ROWS($N$2:P574),COLUMNS($N$2:P574))</f>
        <v>0</v>
      </c>
      <c r="S574" s="1" t="str">
        <f>INDEX(Table2[[HomeTeam]:[Group_details]],ROWS($N$2:Q574),COLUMNS($N$2:Q574))</f>
        <v>France</v>
      </c>
      <c r="T574" s="1" t="str">
        <f>INDEX(Table2[[HomeTeam]:[Group_details]],ROWS($N$2:R574),COLUMNS($N$2:R574))</f>
        <v xml:space="preserve">France win on penalties (3 - 4) </v>
      </c>
      <c r="U574" s="1" t="str">
        <f>INDEX(Table2[[HomeTeam]:[Group_details]],ROWS($N$2:S574),COLUMNS($N$2:S574))</f>
        <v>Quarter-finals</v>
      </c>
      <c r="V574" s="1" t="b">
        <f t="shared" si="8"/>
        <v>0</v>
      </c>
      <c r="W574" s="1" t="str">
        <f>IF(V574=TRUE,ROWS($V$2:V574),"")</f>
        <v/>
      </c>
      <c r="X574" s="1" t="str">
        <f>IFERROR(SMALL($W$2:$W$853,ROWS($W$2:W574)),"")</f>
        <v/>
      </c>
      <c r="Y574" s="1" t="str">
        <f>IF($X574&lt;&gt;"",INDEX($P$2:$U$853,MATCH($X574,$W$2:$W$853,0),COLUMNS($X$2:X574)),"")</f>
        <v/>
      </c>
      <c r="Z574" s="1" t="str">
        <f>IF($X574&lt;&gt;"",INDEX($P$2:$U$853,MATCH($X574,$W$2:$W$853,0),COLUMNS($X$2:Y574)),"")</f>
        <v/>
      </c>
      <c r="AA574" s="1" t="str">
        <f>IF($X574&lt;&gt;"",INDEX($P$2:$U$853,MATCH($X574,$W$2:$W$853,0),COLUMNS($X$2:Z574)),"")</f>
        <v/>
      </c>
      <c r="AB574" s="1" t="str">
        <f>IF($X574&lt;&gt;"",INDEX($P$2:$U$853,MATCH($X574,$W$2:$W$853,0),COLUMNS($X$2:AA574)),"")</f>
        <v/>
      </c>
      <c r="AC574" s="1" t="str">
        <f>IF($X574&lt;&gt;"",INDEX($P$2:$U$853,MATCH($X574,$W$2:$W$853,0),COLUMNS($X$2:AB574)),"")</f>
        <v/>
      </c>
      <c r="AD574" s="1" t="str">
        <f>IF($X574&lt;&gt;"",INDEX($P$2:$U$853,MATCH($X574,$W$2:$W$853,0),COLUMNS($X$2:AC574)),"")</f>
        <v/>
      </c>
    </row>
    <row r="575" spans="1:30" x14ac:dyDescent="0.2">
      <c r="A575" s="1">
        <v>1998</v>
      </c>
      <c r="B575" s="2">
        <v>35979</v>
      </c>
      <c r="C575" s="1" t="s">
        <v>530</v>
      </c>
      <c r="D575" s="1" t="s">
        <v>61</v>
      </c>
      <c r="E575" s="1" t="s">
        <v>351</v>
      </c>
      <c r="F575" s="1" t="s">
        <v>352</v>
      </c>
      <c r="G575" s="6" t="str">
        <f>VLOOKUP(A575,WorldCups!$A$2:$B$23,2,FALSE)</f>
        <v>France</v>
      </c>
      <c r="H575" s="1" t="s">
        <v>21</v>
      </c>
      <c r="I575" s="1">
        <v>3</v>
      </c>
      <c r="J575" s="1">
        <v>2</v>
      </c>
      <c r="K575" s="1" t="s">
        <v>284</v>
      </c>
      <c r="L575" s="1" t="s">
        <v>14</v>
      </c>
      <c r="M575" s="1" t="str">
        <f>IF(ISNUMBER(SEARCH("Group",Table2[[#This Row],[Round]])),"Group stages",Table2[[#This Row],[Round]])</f>
        <v>Quarter-finals</v>
      </c>
      <c r="O575" s="1">
        <f>Table2[[#This Row],[Year]]</f>
        <v>1998</v>
      </c>
      <c r="P575" s="1" t="str">
        <f>INDEX(Table2[[HomeTeam]:[Group_details]],ROWS($N$2:N575),COLUMNS($N$2:N575))</f>
        <v>Brazil</v>
      </c>
      <c r="Q575" s="1">
        <f>INDEX(Table2[[HomeTeam]:[Group_details]],ROWS($N$2:O575),COLUMNS($N$2:O575))</f>
        <v>3</v>
      </c>
      <c r="R575" s="1">
        <f>INDEX(Table2[[HomeTeam]:[Group_details]],ROWS($N$2:P575),COLUMNS($N$2:P575))</f>
        <v>2</v>
      </c>
      <c r="S575" s="1" t="str">
        <f>INDEX(Table2[[HomeTeam]:[Group_details]],ROWS($N$2:Q575),COLUMNS($N$2:Q575))</f>
        <v>Denmark</v>
      </c>
      <c r="T575" s="1" t="str">
        <f>INDEX(Table2[[HomeTeam]:[Group_details]],ROWS($N$2:R575),COLUMNS($N$2:R575))</f>
        <v xml:space="preserve"> </v>
      </c>
      <c r="U575" s="1" t="str">
        <f>INDEX(Table2[[HomeTeam]:[Group_details]],ROWS($N$2:S575),COLUMNS($N$2:S575))</f>
        <v>Quarter-finals</v>
      </c>
      <c r="V575" s="1" t="b">
        <f t="shared" si="8"/>
        <v>0</v>
      </c>
      <c r="W575" s="1" t="str">
        <f>IF(V575=TRUE,ROWS($V$2:V575),"")</f>
        <v/>
      </c>
      <c r="X575" s="1" t="str">
        <f>IFERROR(SMALL($W$2:$W$853,ROWS($W$2:W575)),"")</f>
        <v/>
      </c>
      <c r="Y575" s="1" t="str">
        <f>IF($X575&lt;&gt;"",INDEX($P$2:$U$853,MATCH($X575,$W$2:$W$853,0),COLUMNS($X$2:X575)),"")</f>
        <v/>
      </c>
      <c r="Z575" s="1" t="str">
        <f>IF($X575&lt;&gt;"",INDEX($P$2:$U$853,MATCH($X575,$W$2:$W$853,0),COLUMNS($X$2:Y575)),"")</f>
        <v/>
      </c>
      <c r="AA575" s="1" t="str">
        <f>IF($X575&lt;&gt;"",INDEX($P$2:$U$853,MATCH($X575,$W$2:$W$853,0),COLUMNS($X$2:Z575)),"")</f>
        <v/>
      </c>
      <c r="AB575" s="1" t="str">
        <f>IF($X575&lt;&gt;"",INDEX($P$2:$U$853,MATCH($X575,$W$2:$W$853,0),COLUMNS($X$2:AA575)),"")</f>
        <v/>
      </c>
      <c r="AC575" s="1" t="str">
        <f>IF($X575&lt;&gt;"",INDEX($P$2:$U$853,MATCH($X575,$W$2:$W$853,0),COLUMNS($X$2:AB575)),"")</f>
        <v/>
      </c>
      <c r="AD575" s="1" t="str">
        <f>IF($X575&lt;&gt;"",INDEX($P$2:$U$853,MATCH($X575,$W$2:$W$853,0),COLUMNS($X$2:AC575)),"")</f>
        <v/>
      </c>
    </row>
    <row r="576" spans="1:30" x14ac:dyDescent="0.2">
      <c r="A576" s="1">
        <v>1998</v>
      </c>
      <c r="B576" s="2">
        <v>35980</v>
      </c>
      <c r="C576" s="1" t="s">
        <v>509</v>
      </c>
      <c r="D576" s="1" t="s">
        <v>61</v>
      </c>
      <c r="E576" s="1" t="s">
        <v>75</v>
      </c>
      <c r="F576" s="1" t="s">
        <v>76</v>
      </c>
      <c r="G576" s="6" t="str">
        <f>VLOOKUP(A576,WorldCups!$A$2:$B$23,2,FALSE)</f>
        <v>France</v>
      </c>
      <c r="H576" s="1" t="s">
        <v>45</v>
      </c>
      <c r="I576" s="1">
        <v>2</v>
      </c>
      <c r="J576" s="1">
        <v>1</v>
      </c>
      <c r="K576" s="1" t="s">
        <v>25</v>
      </c>
      <c r="L576" s="1" t="s">
        <v>14</v>
      </c>
      <c r="M576" s="1" t="str">
        <f>IF(ISNUMBER(SEARCH("Group",Table2[[#This Row],[Round]])),"Group stages",Table2[[#This Row],[Round]])</f>
        <v>Quarter-finals</v>
      </c>
      <c r="O576" s="1">
        <f>Table2[[#This Row],[Year]]</f>
        <v>1998</v>
      </c>
      <c r="P576" s="1" t="str">
        <f>INDEX(Table2[[HomeTeam]:[Group_details]],ROWS($N$2:N576),COLUMNS($N$2:N576))</f>
        <v>Netherlands</v>
      </c>
      <c r="Q576" s="1">
        <f>INDEX(Table2[[HomeTeam]:[Group_details]],ROWS($N$2:O576),COLUMNS($N$2:O576))</f>
        <v>2</v>
      </c>
      <c r="R576" s="1">
        <f>INDEX(Table2[[HomeTeam]:[Group_details]],ROWS($N$2:P576),COLUMNS($N$2:P576))</f>
        <v>1</v>
      </c>
      <c r="S576" s="1" t="str">
        <f>INDEX(Table2[[HomeTeam]:[Group_details]],ROWS($N$2:Q576),COLUMNS($N$2:Q576))</f>
        <v>Argentina</v>
      </c>
      <c r="T576" s="1" t="str">
        <f>INDEX(Table2[[HomeTeam]:[Group_details]],ROWS($N$2:R576),COLUMNS($N$2:R576))</f>
        <v xml:space="preserve"> </v>
      </c>
      <c r="U576" s="1" t="str">
        <f>INDEX(Table2[[HomeTeam]:[Group_details]],ROWS($N$2:S576),COLUMNS($N$2:S576))</f>
        <v>Quarter-finals</v>
      </c>
      <c r="V576" s="1" t="b">
        <f t="shared" si="8"/>
        <v>0</v>
      </c>
      <c r="W576" s="1" t="str">
        <f>IF(V576=TRUE,ROWS($V$2:V576),"")</f>
        <v/>
      </c>
      <c r="X576" s="1" t="str">
        <f>IFERROR(SMALL($W$2:$W$853,ROWS($W$2:W576)),"")</f>
        <v/>
      </c>
      <c r="Y576" s="1" t="str">
        <f>IF($X576&lt;&gt;"",INDEX($P$2:$U$853,MATCH($X576,$W$2:$W$853,0),COLUMNS($X$2:X576)),"")</f>
        <v/>
      </c>
      <c r="Z576" s="1" t="str">
        <f>IF($X576&lt;&gt;"",INDEX($P$2:$U$853,MATCH($X576,$W$2:$W$853,0),COLUMNS($X$2:Y576)),"")</f>
        <v/>
      </c>
      <c r="AA576" s="1" t="str">
        <f>IF($X576&lt;&gt;"",INDEX($P$2:$U$853,MATCH($X576,$W$2:$W$853,0),COLUMNS($X$2:Z576)),"")</f>
        <v/>
      </c>
      <c r="AB576" s="1" t="str">
        <f>IF($X576&lt;&gt;"",INDEX($P$2:$U$853,MATCH($X576,$W$2:$W$853,0),COLUMNS($X$2:AA576)),"")</f>
        <v/>
      </c>
      <c r="AC576" s="1" t="str">
        <f>IF($X576&lt;&gt;"",INDEX($P$2:$U$853,MATCH($X576,$W$2:$W$853,0),COLUMNS($X$2:AB576)),"")</f>
        <v/>
      </c>
      <c r="AD576" s="1" t="str">
        <f>IF($X576&lt;&gt;"",INDEX($P$2:$U$853,MATCH($X576,$W$2:$W$853,0),COLUMNS($X$2:AC576)),"")</f>
        <v/>
      </c>
    </row>
    <row r="577" spans="1:30" x14ac:dyDescent="0.2">
      <c r="A577" s="1">
        <v>1998</v>
      </c>
      <c r="B577" s="2">
        <v>35980</v>
      </c>
      <c r="C577" s="1" t="s">
        <v>530</v>
      </c>
      <c r="D577" s="1" t="s">
        <v>61</v>
      </c>
      <c r="E577" s="1" t="s">
        <v>353</v>
      </c>
      <c r="F577" s="1" t="s">
        <v>354</v>
      </c>
      <c r="G577" s="6" t="str">
        <f>VLOOKUP(A577,WorldCups!$A$2:$B$23,2,FALSE)</f>
        <v>France</v>
      </c>
      <c r="H577" s="1" t="s">
        <v>51</v>
      </c>
      <c r="I577" s="1">
        <v>0</v>
      </c>
      <c r="J577" s="1">
        <v>3</v>
      </c>
      <c r="K577" s="1" t="s">
        <v>360</v>
      </c>
      <c r="L577" s="1" t="s">
        <v>14</v>
      </c>
      <c r="M577" s="1" t="str">
        <f>IF(ISNUMBER(SEARCH("Group",Table2[[#This Row],[Round]])),"Group stages",Table2[[#This Row],[Round]])</f>
        <v>Quarter-finals</v>
      </c>
      <c r="O577" s="1">
        <f>Table2[[#This Row],[Year]]</f>
        <v>1998</v>
      </c>
      <c r="P577" s="1" t="str">
        <f>INDEX(Table2[[HomeTeam]:[Group_details]],ROWS($N$2:N577),COLUMNS($N$2:N577))</f>
        <v>Germany</v>
      </c>
      <c r="Q577" s="1">
        <f>INDEX(Table2[[HomeTeam]:[Group_details]],ROWS($N$2:O577),COLUMNS($N$2:O577))</f>
        <v>0</v>
      </c>
      <c r="R577" s="1">
        <f>INDEX(Table2[[HomeTeam]:[Group_details]],ROWS($N$2:P577),COLUMNS($N$2:P577))</f>
        <v>3</v>
      </c>
      <c r="S577" s="1" t="str">
        <f>INDEX(Table2[[HomeTeam]:[Group_details]],ROWS($N$2:Q577),COLUMNS($N$2:Q577))</f>
        <v>Croatia</v>
      </c>
      <c r="T577" s="1" t="str">
        <f>INDEX(Table2[[HomeTeam]:[Group_details]],ROWS($N$2:R577),COLUMNS($N$2:R577))</f>
        <v xml:space="preserve"> </v>
      </c>
      <c r="U577" s="1" t="str">
        <f>INDEX(Table2[[HomeTeam]:[Group_details]],ROWS($N$2:S577),COLUMNS($N$2:S577))</f>
        <v>Quarter-finals</v>
      </c>
      <c r="V577" s="1" t="b">
        <f t="shared" si="8"/>
        <v>0</v>
      </c>
      <c r="W577" s="1" t="str">
        <f>IF(V577=TRUE,ROWS($V$2:V577),"")</f>
        <v/>
      </c>
      <c r="X577" s="1" t="str">
        <f>IFERROR(SMALL($W$2:$W$853,ROWS($W$2:W577)),"")</f>
        <v/>
      </c>
      <c r="Y577" s="1" t="str">
        <f>IF($X577&lt;&gt;"",INDEX($P$2:$U$853,MATCH($X577,$W$2:$W$853,0),COLUMNS($X$2:X577)),"")</f>
        <v/>
      </c>
      <c r="Z577" s="1" t="str">
        <f>IF($X577&lt;&gt;"",INDEX($P$2:$U$853,MATCH($X577,$W$2:$W$853,0),COLUMNS($X$2:Y577)),"")</f>
        <v/>
      </c>
      <c r="AA577" s="1" t="str">
        <f>IF($X577&lt;&gt;"",INDEX($P$2:$U$853,MATCH($X577,$W$2:$W$853,0),COLUMNS($X$2:Z577)),"")</f>
        <v/>
      </c>
      <c r="AB577" s="1" t="str">
        <f>IF($X577&lt;&gt;"",INDEX($P$2:$U$853,MATCH($X577,$W$2:$W$853,0),COLUMNS($X$2:AA577)),"")</f>
        <v/>
      </c>
      <c r="AC577" s="1" t="str">
        <f>IF($X577&lt;&gt;"",INDEX($P$2:$U$853,MATCH($X577,$W$2:$W$853,0),COLUMNS($X$2:AB577)),"")</f>
        <v/>
      </c>
      <c r="AD577" s="1" t="str">
        <f>IF($X577&lt;&gt;"",INDEX($P$2:$U$853,MATCH($X577,$W$2:$W$853,0),COLUMNS($X$2:AC577)),"")</f>
        <v/>
      </c>
    </row>
    <row r="578" spans="1:30" x14ac:dyDescent="0.2">
      <c r="A578" s="1">
        <v>1998</v>
      </c>
      <c r="B578" s="2">
        <v>35983</v>
      </c>
      <c r="C578" s="1" t="s">
        <v>530</v>
      </c>
      <c r="D578" s="1" t="s">
        <v>31</v>
      </c>
      <c r="E578" s="1" t="s">
        <v>75</v>
      </c>
      <c r="F578" s="1" t="s">
        <v>76</v>
      </c>
      <c r="G578" s="6" t="str">
        <f>VLOOKUP(A578,WorldCups!$A$2:$B$23,2,FALSE)</f>
        <v>France</v>
      </c>
      <c r="H578" s="1" t="s">
        <v>21</v>
      </c>
      <c r="I578" s="1">
        <v>1</v>
      </c>
      <c r="J578" s="1">
        <v>1</v>
      </c>
      <c r="K578" s="1" t="s">
        <v>45</v>
      </c>
      <c r="L578" s="1" t="s">
        <v>363</v>
      </c>
      <c r="M578" s="1" t="str">
        <f>IF(ISNUMBER(SEARCH("Group",Table2[[#This Row],[Round]])),"Group stages",Table2[[#This Row],[Round]])</f>
        <v>Semi-finals</v>
      </c>
      <c r="O578" s="1">
        <f>Table2[[#This Row],[Year]]</f>
        <v>1998</v>
      </c>
      <c r="P578" s="1" t="str">
        <f>INDEX(Table2[[HomeTeam]:[Group_details]],ROWS($N$2:N578),COLUMNS($N$2:N578))</f>
        <v>Brazil</v>
      </c>
      <c r="Q578" s="1">
        <f>INDEX(Table2[[HomeTeam]:[Group_details]],ROWS($N$2:O578),COLUMNS($N$2:O578))</f>
        <v>1</v>
      </c>
      <c r="R578" s="1">
        <f>INDEX(Table2[[HomeTeam]:[Group_details]],ROWS($N$2:P578),COLUMNS($N$2:P578))</f>
        <v>1</v>
      </c>
      <c r="S578" s="1" t="str">
        <f>INDEX(Table2[[HomeTeam]:[Group_details]],ROWS($N$2:Q578),COLUMNS($N$2:Q578))</f>
        <v>Netherlands</v>
      </c>
      <c r="T578" s="1" t="str">
        <f>INDEX(Table2[[HomeTeam]:[Group_details]],ROWS($N$2:R578),COLUMNS($N$2:R578))</f>
        <v xml:space="preserve">Brazil win on penalties (4 - 2) </v>
      </c>
      <c r="U578" s="1" t="str">
        <f>INDEX(Table2[[HomeTeam]:[Group_details]],ROWS($N$2:S578),COLUMNS($N$2:S578))</f>
        <v>Semi-finals</v>
      </c>
      <c r="V578" s="1" t="b">
        <f t="shared" si="8"/>
        <v>0</v>
      </c>
      <c r="W578" s="1" t="str">
        <f>IF(V578=TRUE,ROWS($V$2:V578),"")</f>
        <v/>
      </c>
      <c r="X578" s="1" t="str">
        <f>IFERROR(SMALL($W$2:$W$853,ROWS($W$2:W578)),"")</f>
        <v/>
      </c>
      <c r="Y578" s="1" t="str">
        <f>IF($X578&lt;&gt;"",INDEX($P$2:$U$853,MATCH($X578,$W$2:$W$853,0),COLUMNS($X$2:X578)),"")</f>
        <v/>
      </c>
      <c r="Z578" s="1" t="str">
        <f>IF($X578&lt;&gt;"",INDEX($P$2:$U$853,MATCH($X578,$W$2:$W$853,0),COLUMNS($X$2:Y578)),"")</f>
        <v/>
      </c>
      <c r="AA578" s="1" t="str">
        <f>IF($X578&lt;&gt;"",INDEX($P$2:$U$853,MATCH($X578,$W$2:$W$853,0),COLUMNS($X$2:Z578)),"")</f>
        <v/>
      </c>
      <c r="AB578" s="1" t="str">
        <f>IF($X578&lt;&gt;"",INDEX($P$2:$U$853,MATCH($X578,$W$2:$W$853,0),COLUMNS($X$2:AA578)),"")</f>
        <v/>
      </c>
      <c r="AC578" s="1" t="str">
        <f>IF($X578&lt;&gt;"",INDEX($P$2:$U$853,MATCH($X578,$W$2:$W$853,0),COLUMNS($X$2:AB578)),"")</f>
        <v/>
      </c>
      <c r="AD578" s="1" t="str">
        <f>IF($X578&lt;&gt;"",INDEX($P$2:$U$853,MATCH($X578,$W$2:$W$853,0),COLUMNS($X$2:AC578)),"")</f>
        <v/>
      </c>
    </row>
    <row r="579" spans="1:30" x14ac:dyDescent="0.2">
      <c r="A579" s="1">
        <v>1998</v>
      </c>
      <c r="B579" s="2">
        <v>35984</v>
      </c>
      <c r="C579" s="1" t="s">
        <v>530</v>
      </c>
      <c r="D579" s="1" t="s">
        <v>31</v>
      </c>
      <c r="E579" s="1" t="s">
        <v>344</v>
      </c>
      <c r="F579" s="1" t="s">
        <v>345</v>
      </c>
      <c r="G579" s="6" t="str">
        <f>VLOOKUP(A579,WorldCups!$A$2:$B$23,2,FALSE)</f>
        <v>France</v>
      </c>
      <c r="H579" s="1" t="s">
        <v>12</v>
      </c>
      <c r="I579" s="1">
        <v>2</v>
      </c>
      <c r="J579" s="1">
        <v>1</v>
      </c>
      <c r="K579" s="1" t="s">
        <v>360</v>
      </c>
      <c r="L579" s="1" t="s">
        <v>14</v>
      </c>
      <c r="M579" s="1" t="str">
        <f>IF(ISNUMBER(SEARCH("Group",Table2[[#This Row],[Round]])),"Group stages",Table2[[#This Row],[Round]])</f>
        <v>Semi-finals</v>
      </c>
      <c r="O579" s="1">
        <f>Table2[[#This Row],[Year]]</f>
        <v>1998</v>
      </c>
      <c r="P579" s="1" t="str">
        <f>INDEX(Table2[[HomeTeam]:[Group_details]],ROWS($N$2:N579),COLUMNS($N$2:N579))</f>
        <v>France</v>
      </c>
      <c r="Q579" s="1">
        <f>INDEX(Table2[[HomeTeam]:[Group_details]],ROWS($N$2:O579),COLUMNS($N$2:O579))</f>
        <v>2</v>
      </c>
      <c r="R579" s="1">
        <f>INDEX(Table2[[HomeTeam]:[Group_details]],ROWS($N$2:P579),COLUMNS($N$2:P579))</f>
        <v>1</v>
      </c>
      <c r="S579" s="1" t="str">
        <f>INDEX(Table2[[HomeTeam]:[Group_details]],ROWS($N$2:Q579),COLUMNS($N$2:Q579))</f>
        <v>Croatia</v>
      </c>
      <c r="T579" s="1" t="str">
        <f>INDEX(Table2[[HomeTeam]:[Group_details]],ROWS($N$2:R579),COLUMNS($N$2:R579))</f>
        <v xml:space="preserve"> </v>
      </c>
      <c r="U579" s="1" t="str">
        <f>INDEX(Table2[[HomeTeam]:[Group_details]],ROWS($N$2:S579),COLUMNS($N$2:S579))</f>
        <v>Semi-finals</v>
      </c>
      <c r="V579" s="1" t="b">
        <f t="shared" ref="V579:V642" si="9">IF(O579=$V$1,TRUE)</f>
        <v>0</v>
      </c>
      <c r="W579" s="1" t="str">
        <f>IF(V579=TRUE,ROWS($V$2:V579),"")</f>
        <v/>
      </c>
      <c r="X579" s="1" t="str">
        <f>IFERROR(SMALL($W$2:$W$853,ROWS($W$2:W579)),"")</f>
        <v/>
      </c>
      <c r="Y579" s="1" t="str">
        <f>IF($X579&lt;&gt;"",INDEX($P$2:$U$853,MATCH($X579,$W$2:$W$853,0),COLUMNS($X$2:X579)),"")</f>
        <v/>
      </c>
      <c r="Z579" s="1" t="str">
        <f>IF($X579&lt;&gt;"",INDEX($P$2:$U$853,MATCH($X579,$W$2:$W$853,0),COLUMNS($X$2:Y579)),"")</f>
        <v/>
      </c>
      <c r="AA579" s="1" t="str">
        <f>IF($X579&lt;&gt;"",INDEX($P$2:$U$853,MATCH($X579,$W$2:$W$853,0),COLUMNS($X$2:Z579)),"")</f>
        <v/>
      </c>
      <c r="AB579" s="1" t="str">
        <f>IF($X579&lt;&gt;"",INDEX($P$2:$U$853,MATCH($X579,$W$2:$W$853,0),COLUMNS($X$2:AA579)),"")</f>
        <v/>
      </c>
      <c r="AC579" s="1" t="str">
        <f>IF($X579&lt;&gt;"",INDEX($P$2:$U$853,MATCH($X579,$W$2:$W$853,0),COLUMNS($X$2:AB579)),"")</f>
        <v/>
      </c>
      <c r="AD579" s="1" t="str">
        <f>IF($X579&lt;&gt;"",INDEX($P$2:$U$853,MATCH($X579,$W$2:$W$853,0),COLUMNS($X$2:AC579)),"")</f>
        <v/>
      </c>
    </row>
    <row r="580" spans="1:30" x14ac:dyDescent="0.2">
      <c r="A580" s="1">
        <v>1998</v>
      </c>
      <c r="B580" s="2">
        <v>35987</v>
      </c>
      <c r="C580" s="1" t="s">
        <v>530</v>
      </c>
      <c r="D580" s="1" t="s">
        <v>62</v>
      </c>
      <c r="E580" s="1" t="s">
        <v>65</v>
      </c>
      <c r="F580" s="1" t="s">
        <v>66</v>
      </c>
      <c r="G580" s="6" t="str">
        <f>VLOOKUP(A580,WorldCups!$A$2:$B$23,2,FALSE)</f>
        <v>France</v>
      </c>
      <c r="H580" s="1" t="s">
        <v>45</v>
      </c>
      <c r="I580" s="1">
        <v>1</v>
      </c>
      <c r="J580" s="1">
        <v>2</v>
      </c>
      <c r="K580" s="1" t="s">
        <v>360</v>
      </c>
      <c r="L580" s="1" t="s">
        <v>14</v>
      </c>
      <c r="M580" s="1" t="str">
        <f>IF(ISNUMBER(SEARCH("Group",Table2[[#This Row],[Round]])),"Group stages",Table2[[#This Row],[Round]])</f>
        <v>Match for third place</v>
      </c>
      <c r="O580" s="1">
        <f>Table2[[#This Row],[Year]]</f>
        <v>1998</v>
      </c>
      <c r="P580" s="1" t="str">
        <f>INDEX(Table2[[HomeTeam]:[Group_details]],ROWS($N$2:N580),COLUMNS($N$2:N580))</f>
        <v>Netherlands</v>
      </c>
      <c r="Q580" s="1">
        <f>INDEX(Table2[[HomeTeam]:[Group_details]],ROWS($N$2:O580),COLUMNS($N$2:O580))</f>
        <v>1</v>
      </c>
      <c r="R580" s="1">
        <f>INDEX(Table2[[HomeTeam]:[Group_details]],ROWS($N$2:P580),COLUMNS($N$2:P580))</f>
        <v>2</v>
      </c>
      <c r="S580" s="1" t="str">
        <f>INDEX(Table2[[HomeTeam]:[Group_details]],ROWS($N$2:Q580),COLUMNS($N$2:Q580))</f>
        <v>Croatia</v>
      </c>
      <c r="T580" s="1" t="str">
        <f>INDEX(Table2[[HomeTeam]:[Group_details]],ROWS($N$2:R580),COLUMNS($N$2:R580))</f>
        <v xml:space="preserve"> </v>
      </c>
      <c r="U580" s="1" t="str">
        <f>INDEX(Table2[[HomeTeam]:[Group_details]],ROWS($N$2:S580),COLUMNS($N$2:S580))</f>
        <v>Match for third place</v>
      </c>
      <c r="V580" s="1" t="b">
        <f t="shared" si="9"/>
        <v>0</v>
      </c>
      <c r="W580" s="1" t="str">
        <f>IF(V580=TRUE,ROWS($V$2:V580),"")</f>
        <v/>
      </c>
      <c r="X580" s="1" t="str">
        <f>IFERROR(SMALL($W$2:$W$853,ROWS($W$2:W580)),"")</f>
        <v/>
      </c>
      <c r="Y580" s="1" t="str">
        <f>IF($X580&lt;&gt;"",INDEX($P$2:$U$853,MATCH($X580,$W$2:$W$853,0),COLUMNS($X$2:X580)),"")</f>
        <v/>
      </c>
      <c r="Z580" s="1" t="str">
        <f>IF($X580&lt;&gt;"",INDEX($P$2:$U$853,MATCH($X580,$W$2:$W$853,0),COLUMNS($X$2:Y580)),"")</f>
        <v/>
      </c>
      <c r="AA580" s="1" t="str">
        <f>IF($X580&lt;&gt;"",INDEX($P$2:$U$853,MATCH($X580,$W$2:$W$853,0),COLUMNS($X$2:Z580)),"")</f>
        <v/>
      </c>
      <c r="AB580" s="1" t="str">
        <f>IF($X580&lt;&gt;"",INDEX($P$2:$U$853,MATCH($X580,$W$2:$W$853,0),COLUMNS($X$2:AA580)),"")</f>
        <v/>
      </c>
      <c r="AC580" s="1" t="str">
        <f>IF($X580&lt;&gt;"",INDEX($P$2:$U$853,MATCH($X580,$W$2:$W$853,0),COLUMNS($X$2:AB580)),"")</f>
        <v/>
      </c>
      <c r="AD580" s="1" t="str">
        <f>IF($X580&lt;&gt;"",INDEX($P$2:$U$853,MATCH($X580,$W$2:$W$853,0),COLUMNS($X$2:AC580)),"")</f>
        <v/>
      </c>
    </row>
    <row r="581" spans="1:30" x14ac:dyDescent="0.2">
      <c r="A581" s="1">
        <v>1998</v>
      </c>
      <c r="B581" s="2">
        <v>35988</v>
      </c>
      <c r="C581" s="1" t="s">
        <v>530</v>
      </c>
      <c r="D581" s="1" t="s">
        <v>32</v>
      </c>
      <c r="E581" s="1" t="s">
        <v>344</v>
      </c>
      <c r="F581" s="1" t="s">
        <v>345</v>
      </c>
      <c r="G581" s="6" t="str">
        <f>VLOOKUP(A581,WorldCups!$A$2:$B$23,2,FALSE)</f>
        <v>France</v>
      </c>
      <c r="H581" s="1" t="s">
        <v>21</v>
      </c>
      <c r="I581" s="1">
        <v>0</v>
      </c>
      <c r="J581" s="1">
        <v>3</v>
      </c>
      <c r="K581" s="1" t="s">
        <v>12</v>
      </c>
      <c r="L581" s="1" t="s">
        <v>14</v>
      </c>
      <c r="M581" s="1" t="str">
        <f>IF(ISNUMBER(SEARCH("Group",Table2[[#This Row],[Round]])),"Group stages",Table2[[#This Row],[Round]])</f>
        <v>Final</v>
      </c>
      <c r="O581" s="1">
        <f>Table2[[#This Row],[Year]]</f>
        <v>1998</v>
      </c>
      <c r="P581" s="1" t="str">
        <f>INDEX(Table2[[HomeTeam]:[Group_details]],ROWS($N$2:N581),COLUMNS($N$2:N581))</f>
        <v>Brazil</v>
      </c>
      <c r="Q581" s="1">
        <f>INDEX(Table2[[HomeTeam]:[Group_details]],ROWS($N$2:O581),COLUMNS($N$2:O581))</f>
        <v>0</v>
      </c>
      <c r="R581" s="1">
        <f>INDEX(Table2[[HomeTeam]:[Group_details]],ROWS($N$2:P581),COLUMNS($N$2:P581))</f>
        <v>3</v>
      </c>
      <c r="S581" s="1" t="str">
        <f>INDEX(Table2[[HomeTeam]:[Group_details]],ROWS($N$2:Q581),COLUMNS($N$2:Q581))</f>
        <v>France</v>
      </c>
      <c r="T581" s="1" t="str">
        <f>INDEX(Table2[[HomeTeam]:[Group_details]],ROWS($N$2:R581),COLUMNS($N$2:R581))</f>
        <v xml:space="preserve"> </v>
      </c>
      <c r="U581" s="1" t="str">
        <f>INDEX(Table2[[HomeTeam]:[Group_details]],ROWS($N$2:S581),COLUMNS($N$2:S581))</f>
        <v>Final</v>
      </c>
      <c r="V581" s="1" t="b">
        <f t="shared" si="9"/>
        <v>0</v>
      </c>
      <c r="W581" s="1" t="str">
        <f>IF(V581=TRUE,ROWS($V$2:V581),"")</f>
        <v/>
      </c>
      <c r="X581" s="1" t="str">
        <f>IFERROR(SMALL($W$2:$W$853,ROWS($W$2:W581)),"")</f>
        <v/>
      </c>
      <c r="Y581" s="1" t="str">
        <f>IF($X581&lt;&gt;"",INDEX($P$2:$U$853,MATCH($X581,$W$2:$W$853,0),COLUMNS($X$2:X581)),"")</f>
        <v/>
      </c>
      <c r="Z581" s="1" t="str">
        <f>IF($X581&lt;&gt;"",INDEX($P$2:$U$853,MATCH($X581,$W$2:$W$853,0),COLUMNS($X$2:Y581)),"")</f>
        <v/>
      </c>
      <c r="AA581" s="1" t="str">
        <f>IF($X581&lt;&gt;"",INDEX($P$2:$U$853,MATCH($X581,$W$2:$W$853,0),COLUMNS($X$2:Z581)),"")</f>
        <v/>
      </c>
      <c r="AB581" s="1" t="str">
        <f>IF($X581&lt;&gt;"",INDEX($P$2:$U$853,MATCH($X581,$W$2:$W$853,0),COLUMNS($X$2:AA581)),"")</f>
        <v/>
      </c>
      <c r="AC581" s="1" t="str">
        <f>IF($X581&lt;&gt;"",INDEX($P$2:$U$853,MATCH($X581,$W$2:$W$853,0),COLUMNS($X$2:AB581)),"")</f>
        <v/>
      </c>
      <c r="AD581" s="1" t="str">
        <f>IF($X581&lt;&gt;"",INDEX($P$2:$U$853,MATCH($X581,$W$2:$W$853,0),COLUMNS($X$2:AC581)),"")</f>
        <v/>
      </c>
    </row>
    <row r="582" spans="1:30" x14ac:dyDescent="0.2">
      <c r="A582" s="1">
        <v>2002</v>
      </c>
      <c r="B582" s="2">
        <v>37407</v>
      </c>
      <c r="C582" s="1" t="s">
        <v>535</v>
      </c>
      <c r="D582" s="1" t="s">
        <v>214</v>
      </c>
      <c r="E582" s="1" t="s">
        <v>364</v>
      </c>
      <c r="F582" s="1" t="s">
        <v>365</v>
      </c>
      <c r="G582" s="6" t="str">
        <f>VLOOKUP(A582,WorldCups!$A$2:$B$23,2,FALSE)</f>
        <v>Korea/Japan</v>
      </c>
      <c r="H582" s="1" t="s">
        <v>12</v>
      </c>
      <c r="I582" s="1">
        <v>0</v>
      </c>
      <c r="J582" s="1">
        <v>1</v>
      </c>
      <c r="K582" s="1" t="s">
        <v>366</v>
      </c>
      <c r="L582" s="1" t="s">
        <v>14</v>
      </c>
      <c r="M582" s="1" t="str">
        <f>IF(ISNUMBER(SEARCH("Group",Table2[[#This Row],[Round]])),"Group stages",Table2[[#This Row],[Round]])</f>
        <v>Group stages</v>
      </c>
      <c r="O582" s="1">
        <f>Table2[[#This Row],[Year]]</f>
        <v>2002</v>
      </c>
      <c r="P582" s="1" t="str">
        <f>INDEX(Table2[[HomeTeam]:[Group_details]],ROWS($N$2:N582),COLUMNS($N$2:N582))</f>
        <v>France</v>
      </c>
      <c r="Q582" s="1">
        <f>INDEX(Table2[[HomeTeam]:[Group_details]],ROWS($N$2:O582),COLUMNS($N$2:O582))</f>
        <v>0</v>
      </c>
      <c r="R582" s="1">
        <f>INDEX(Table2[[HomeTeam]:[Group_details]],ROWS($N$2:P582),COLUMNS($N$2:P582))</f>
        <v>1</v>
      </c>
      <c r="S582" s="1" t="str">
        <f>INDEX(Table2[[HomeTeam]:[Group_details]],ROWS($N$2:Q582),COLUMNS($N$2:Q582))</f>
        <v>Senegal</v>
      </c>
      <c r="T582" s="1" t="str">
        <f>INDEX(Table2[[HomeTeam]:[Group_details]],ROWS($N$2:R582),COLUMNS($N$2:R582))</f>
        <v xml:space="preserve"> </v>
      </c>
      <c r="U582" s="1" t="str">
        <f>INDEX(Table2[[HomeTeam]:[Group_details]],ROWS($N$2:S582),COLUMNS($N$2:S582))</f>
        <v>Group stages</v>
      </c>
      <c r="V582" s="1" t="b">
        <f t="shared" si="9"/>
        <v>0</v>
      </c>
      <c r="W582" s="1" t="str">
        <f>IF(V582=TRUE,ROWS($V$2:V582),"")</f>
        <v/>
      </c>
      <c r="X582" s="1" t="str">
        <f>IFERROR(SMALL($W$2:$W$853,ROWS($W$2:W582)),"")</f>
        <v/>
      </c>
      <c r="Y582" s="1" t="str">
        <f>IF($X582&lt;&gt;"",INDEX($P$2:$U$853,MATCH($X582,$W$2:$W$853,0),COLUMNS($X$2:X582)),"")</f>
        <v/>
      </c>
      <c r="Z582" s="1" t="str">
        <f>IF($X582&lt;&gt;"",INDEX($P$2:$U$853,MATCH($X582,$W$2:$W$853,0),COLUMNS($X$2:Y582)),"")</f>
        <v/>
      </c>
      <c r="AA582" s="1" t="str">
        <f>IF($X582&lt;&gt;"",INDEX($P$2:$U$853,MATCH($X582,$W$2:$W$853,0),COLUMNS($X$2:Z582)),"")</f>
        <v/>
      </c>
      <c r="AB582" s="1" t="str">
        <f>IF($X582&lt;&gt;"",INDEX($P$2:$U$853,MATCH($X582,$W$2:$W$853,0),COLUMNS($X$2:AA582)),"")</f>
        <v/>
      </c>
      <c r="AC582" s="1" t="str">
        <f>IF($X582&lt;&gt;"",INDEX($P$2:$U$853,MATCH($X582,$W$2:$W$853,0),COLUMNS($X$2:AB582)),"")</f>
        <v/>
      </c>
      <c r="AD582" s="1" t="str">
        <f>IF($X582&lt;&gt;"",INDEX($P$2:$U$853,MATCH($X582,$W$2:$W$853,0),COLUMNS($X$2:AC582)),"")</f>
        <v/>
      </c>
    </row>
    <row r="583" spans="1:30" x14ac:dyDescent="0.2">
      <c r="A583" s="1">
        <v>2002</v>
      </c>
      <c r="B583" s="2">
        <v>37408</v>
      </c>
      <c r="C583" s="1" t="s">
        <v>510</v>
      </c>
      <c r="D583" s="1" t="s">
        <v>214</v>
      </c>
      <c r="E583" s="1" t="s">
        <v>367</v>
      </c>
      <c r="F583" s="1" t="s">
        <v>368</v>
      </c>
      <c r="G583" s="6" t="str">
        <f>VLOOKUP(A583,WorldCups!$A$2:$B$23,2,FALSE)</f>
        <v>Korea/Japan</v>
      </c>
      <c r="H583" s="1" t="s">
        <v>30</v>
      </c>
      <c r="I583" s="1">
        <v>1</v>
      </c>
      <c r="J583" s="1">
        <v>2</v>
      </c>
      <c r="K583" s="1" t="s">
        <v>284</v>
      </c>
      <c r="L583" s="1" t="s">
        <v>14</v>
      </c>
      <c r="M583" s="1" t="str">
        <f>IF(ISNUMBER(SEARCH("Group",Table2[[#This Row],[Round]])),"Group stages",Table2[[#This Row],[Round]])</f>
        <v>Group stages</v>
      </c>
      <c r="O583" s="1">
        <f>Table2[[#This Row],[Year]]</f>
        <v>2002</v>
      </c>
      <c r="P583" s="1" t="str">
        <f>INDEX(Table2[[HomeTeam]:[Group_details]],ROWS($N$2:N583),COLUMNS($N$2:N583))</f>
        <v>Uruguay</v>
      </c>
      <c r="Q583" s="1">
        <f>INDEX(Table2[[HomeTeam]:[Group_details]],ROWS($N$2:O583),COLUMNS($N$2:O583))</f>
        <v>1</v>
      </c>
      <c r="R583" s="1">
        <f>INDEX(Table2[[HomeTeam]:[Group_details]],ROWS($N$2:P583),COLUMNS($N$2:P583))</f>
        <v>2</v>
      </c>
      <c r="S583" s="1" t="str">
        <f>INDEX(Table2[[HomeTeam]:[Group_details]],ROWS($N$2:Q583),COLUMNS($N$2:Q583))</f>
        <v>Denmark</v>
      </c>
      <c r="T583" s="1" t="str">
        <f>INDEX(Table2[[HomeTeam]:[Group_details]],ROWS($N$2:R583),COLUMNS($N$2:R583))</f>
        <v xml:space="preserve"> </v>
      </c>
      <c r="U583" s="1" t="str">
        <f>INDEX(Table2[[HomeTeam]:[Group_details]],ROWS($N$2:S583),COLUMNS($N$2:S583))</f>
        <v>Group stages</v>
      </c>
      <c r="V583" s="1" t="b">
        <f t="shared" si="9"/>
        <v>0</v>
      </c>
      <c r="W583" s="1" t="str">
        <f>IF(V583=TRUE,ROWS($V$2:V583),"")</f>
        <v/>
      </c>
      <c r="X583" s="1" t="str">
        <f>IFERROR(SMALL($W$2:$W$853,ROWS($W$2:W583)),"")</f>
        <v/>
      </c>
      <c r="Y583" s="1" t="str">
        <f>IF($X583&lt;&gt;"",INDEX($P$2:$U$853,MATCH($X583,$W$2:$W$853,0),COLUMNS($X$2:X583)),"")</f>
        <v/>
      </c>
      <c r="Z583" s="1" t="str">
        <f>IF($X583&lt;&gt;"",INDEX($P$2:$U$853,MATCH($X583,$W$2:$W$853,0),COLUMNS($X$2:Y583)),"")</f>
        <v/>
      </c>
      <c r="AA583" s="1" t="str">
        <f>IF($X583&lt;&gt;"",INDEX($P$2:$U$853,MATCH($X583,$W$2:$W$853,0),COLUMNS($X$2:Z583)),"")</f>
        <v/>
      </c>
      <c r="AB583" s="1" t="str">
        <f>IF($X583&lt;&gt;"",INDEX($P$2:$U$853,MATCH($X583,$W$2:$W$853,0),COLUMNS($X$2:AA583)),"")</f>
        <v/>
      </c>
      <c r="AC583" s="1" t="str">
        <f>IF($X583&lt;&gt;"",INDEX($P$2:$U$853,MATCH($X583,$W$2:$W$853,0),COLUMNS($X$2:AB583)),"")</f>
        <v/>
      </c>
      <c r="AD583" s="1" t="str">
        <f>IF($X583&lt;&gt;"",INDEX($P$2:$U$853,MATCH($X583,$W$2:$W$853,0),COLUMNS($X$2:AC583)),"")</f>
        <v/>
      </c>
    </row>
    <row r="584" spans="1:30" x14ac:dyDescent="0.2">
      <c r="A584" s="1">
        <v>2002</v>
      </c>
      <c r="B584" s="2">
        <v>37408</v>
      </c>
      <c r="C584" s="1" t="s">
        <v>514</v>
      </c>
      <c r="D584" s="1" t="s">
        <v>281</v>
      </c>
      <c r="E584" s="1" t="s">
        <v>369</v>
      </c>
      <c r="F584" s="1" t="s">
        <v>370</v>
      </c>
      <c r="G584" s="6" t="str">
        <f>VLOOKUP(A584,WorldCups!$A$2:$B$23,2,FALSE)</f>
        <v>Korea/Japan</v>
      </c>
      <c r="H584" s="1" t="s">
        <v>304</v>
      </c>
      <c r="I584" s="1">
        <v>1</v>
      </c>
      <c r="J584" s="1">
        <v>1</v>
      </c>
      <c r="K584" s="1" t="s">
        <v>238</v>
      </c>
      <c r="L584" s="1" t="s">
        <v>14</v>
      </c>
      <c r="M584" s="1" t="str">
        <f>IF(ISNUMBER(SEARCH("Group",Table2[[#This Row],[Round]])),"Group stages",Table2[[#This Row],[Round]])</f>
        <v>Group stages</v>
      </c>
      <c r="O584" s="1">
        <f>Table2[[#This Row],[Year]]</f>
        <v>2002</v>
      </c>
      <c r="P584" s="1" t="str">
        <f>INDEX(Table2[[HomeTeam]:[Group_details]],ROWS($N$2:N584),COLUMNS($N$2:N584))</f>
        <v>Republic of Ireland</v>
      </c>
      <c r="Q584" s="1">
        <f>INDEX(Table2[[HomeTeam]:[Group_details]],ROWS($N$2:O584),COLUMNS($N$2:O584))</f>
        <v>1</v>
      </c>
      <c r="R584" s="1">
        <f>INDEX(Table2[[HomeTeam]:[Group_details]],ROWS($N$2:P584),COLUMNS($N$2:P584))</f>
        <v>1</v>
      </c>
      <c r="S584" s="1" t="str">
        <f>INDEX(Table2[[HomeTeam]:[Group_details]],ROWS($N$2:Q584),COLUMNS($N$2:Q584))</f>
        <v>Cameroon</v>
      </c>
      <c r="T584" s="1" t="str">
        <f>INDEX(Table2[[HomeTeam]:[Group_details]],ROWS($N$2:R584),COLUMNS($N$2:R584))</f>
        <v xml:space="preserve"> </v>
      </c>
      <c r="U584" s="1" t="str">
        <f>INDEX(Table2[[HomeTeam]:[Group_details]],ROWS($N$2:S584),COLUMNS($N$2:S584))</f>
        <v>Group stages</v>
      </c>
      <c r="V584" s="1" t="b">
        <f t="shared" si="9"/>
        <v>0</v>
      </c>
      <c r="W584" s="1" t="str">
        <f>IF(V584=TRUE,ROWS($V$2:V584),"")</f>
        <v/>
      </c>
      <c r="X584" s="1" t="str">
        <f>IFERROR(SMALL($W$2:$W$853,ROWS($W$2:W584)),"")</f>
        <v/>
      </c>
      <c r="Y584" s="1" t="str">
        <f>IF($X584&lt;&gt;"",INDEX($P$2:$U$853,MATCH($X584,$W$2:$W$853,0),COLUMNS($X$2:X584)),"")</f>
        <v/>
      </c>
      <c r="Z584" s="1" t="str">
        <f>IF($X584&lt;&gt;"",INDEX($P$2:$U$853,MATCH($X584,$W$2:$W$853,0),COLUMNS($X$2:Y584)),"")</f>
        <v/>
      </c>
      <c r="AA584" s="1" t="str">
        <f>IF($X584&lt;&gt;"",INDEX($P$2:$U$853,MATCH($X584,$W$2:$W$853,0),COLUMNS($X$2:Z584)),"")</f>
        <v/>
      </c>
      <c r="AB584" s="1" t="str">
        <f>IF($X584&lt;&gt;"",INDEX($P$2:$U$853,MATCH($X584,$W$2:$W$853,0),COLUMNS($X$2:AA584)),"")</f>
        <v/>
      </c>
      <c r="AC584" s="1" t="str">
        <f>IF($X584&lt;&gt;"",INDEX($P$2:$U$853,MATCH($X584,$W$2:$W$853,0),COLUMNS($X$2:AB584)),"")</f>
        <v/>
      </c>
      <c r="AD584" s="1" t="str">
        <f>IF($X584&lt;&gt;"",INDEX($P$2:$U$853,MATCH($X584,$W$2:$W$853,0),COLUMNS($X$2:AC584)),"")</f>
        <v/>
      </c>
    </row>
    <row r="585" spans="1:30" x14ac:dyDescent="0.2">
      <c r="A585" s="1">
        <v>2002</v>
      </c>
      <c r="B585" s="2">
        <v>37408</v>
      </c>
      <c r="C585" s="1" t="s">
        <v>535</v>
      </c>
      <c r="D585" s="1" t="s">
        <v>281</v>
      </c>
      <c r="E585" s="1" t="s">
        <v>371</v>
      </c>
      <c r="F585" s="1" t="s">
        <v>372</v>
      </c>
      <c r="G585" s="6" t="str">
        <f>VLOOKUP(A585,WorldCups!$A$2:$B$23,2,FALSE)</f>
        <v>Korea/Japan</v>
      </c>
      <c r="H585" s="1" t="s">
        <v>51</v>
      </c>
      <c r="I585" s="1">
        <v>8</v>
      </c>
      <c r="J585" s="1">
        <v>0</v>
      </c>
      <c r="K585" s="1" t="s">
        <v>333</v>
      </c>
      <c r="L585" s="1" t="s">
        <v>14</v>
      </c>
      <c r="M585" s="1" t="str">
        <f>IF(ISNUMBER(SEARCH("Group",Table2[[#This Row],[Round]])),"Group stages",Table2[[#This Row],[Round]])</f>
        <v>Group stages</v>
      </c>
      <c r="O585" s="1">
        <f>Table2[[#This Row],[Year]]</f>
        <v>2002</v>
      </c>
      <c r="P585" s="1" t="str">
        <f>INDEX(Table2[[HomeTeam]:[Group_details]],ROWS($N$2:N585),COLUMNS($N$2:N585))</f>
        <v>Germany</v>
      </c>
      <c r="Q585" s="1">
        <f>INDEX(Table2[[HomeTeam]:[Group_details]],ROWS($N$2:O585),COLUMNS($N$2:O585))</f>
        <v>8</v>
      </c>
      <c r="R585" s="1">
        <f>INDEX(Table2[[HomeTeam]:[Group_details]],ROWS($N$2:P585),COLUMNS($N$2:P585))</f>
        <v>0</v>
      </c>
      <c r="S585" s="1" t="str">
        <f>INDEX(Table2[[HomeTeam]:[Group_details]],ROWS($N$2:Q585),COLUMNS($N$2:Q585))</f>
        <v>Saudi Arabia</v>
      </c>
      <c r="T585" s="1" t="str">
        <f>INDEX(Table2[[HomeTeam]:[Group_details]],ROWS($N$2:R585),COLUMNS($N$2:R585))</f>
        <v xml:space="preserve"> </v>
      </c>
      <c r="U585" s="1" t="str">
        <f>INDEX(Table2[[HomeTeam]:[Group_details]],ROWS($N$2:S585),COLUMNS($N$2:S585))</f>
        <v>Group stages</v>
      </c>
      <c r="V585" s="1" t="b">
        <f t="shared" si="9"/>
        <v>0</v>
      </c>
      <c r="W585" s="1" t="str">
        <f>IF(V585=TRUE,ROWS($V$2:V585),"")</f>
        <v/>
      </c>
      <c r="X585" s="1" t="str">
        <f>IFERROR(SMALL($W$2:$W$853,ROWS($W$2:W585)),"")</f>
        <v/>
      </c>
      <c r="Y585" s="1" t="str">
        <f>IF($X585&lt;&gt;"",INDEX($P$2:$U$853,MATCH($X585,$W$2:$W$853,0),COLUMNS($X$2:X585)),"")</f>
        <v/>
      </c>
      <c r="Z585" s="1" t="str">
        <f>IF($X585&lt;&gt;"",INDEX($P$2:$U$853,MATCH($X585,$W$2:$W$853,0),COLUMNS($X$2:Y585)),"")</f>
        <v/>
      </c>
      <c r="AA585" s="1" t="str">
        <f>IF($X585&lt;&gt;"",INDEX($P$2:$U$853,MATCH($X585,$W$2:$W$853,0),COLUMNS($X$2:Z585)),"")</f>
        <v/>
      </c>
      <c r="AB585" s="1" t="str">
        <f>IF($X585&lt;&gt;"",INDEX($P$2:$U$853,MATCH($X585,$W$2:$W$853,0),COLUMNS($X$2:AA585)),"")</f>
        <v/>
      </c>
      <c r="AC585" s="1" t="str">
        <f>IF($X585&lt;&gt;"",INDEX($P$2:$U$853,MATCH($X585,$W$2:$W$853,0),COLUMNS($X$2:AB585)),"")</f>
        <v/>
      </c>
      <c r="AD585" s="1" t="str">
        <f>IF($X585&lt;&gt;"",INDEX($P$2:$U$853,MATCH($X585,$W$2:$W$853,0),COLUMNS($X$2:AC585)),"")</f>
        <v/>
      </c>
    </row>
    <row r="586" spans="1:30" x14ac:dyDescent="0.2">
      <c r="A586" s="1">
        <v>2002</v>
      </c>
      <c r="B586" s="2">
        <v>37409</v>
      </c>
      <c r="C586" s="1" t="s">
        <v>505</v>
      </c>
      <c r="D586" s="1" t="s">
        <v>274</v>
      </c>
      <c r="E586" s="1" t="s">
        <v>373</v>
      </c>
      <c r="F586" s="1" t="s">
        <v>374</v>
      </c>
      <c r="G586" s="6" t="str">
        <f>VLOOKUP(A586,WorldCups!$A$2:$B$23,2,FALSE)</f>
        <v>Korea/Japan</v>
      </c>
      <c r="H586" s="1" t="s">
        <v>25</v>
      </c>
      <c r="I586" s="1">
        <v>1</v>
      </c>
      <c r="J586" s="1">
        <v>0</v>
      </c>
      <c r="K586" s="1" t="s">
        <v>340</v>
      </c>
      <c r="L586" s="1" t="s">
        <v>14</v>
      </c>
      <c r="M586" s="1" t="str">
        <f>IF(ISNUMBER(SEARCH("Group",Table2[[#This Row],[Round]])),"Group stages",Table2[[#This Row],[Round]])</f>
        <v>Group stages</v>
      </c>
      <c r="O586" s="1">
        <f>Table2[[#This Row],[Year]]</f>
        <v>2002</v>
      </c>
      <c r="P586" s="1" t="str">
        <f>INDEX(Table2[[HomeTeam]:[Group_details]],ROWS($N$2:N586),COLUMNS($N$2:N586))</f>
        <v>Argentina</v>
      </c>
      <c r="Q586" s="1">
        <f>INDEX(Table2[[HomeTeam]:[Group_details]],ROWS($N$2:O586),COLUMNS($N$2:O586))</f>
        <v>1</v>
      </c>
      <c r="R586" s="1">
        <f>INDEX(Table2[[HomeTeam]:[Group_details]],ROWS($N$2:P586),COLUMNS($N$2:P586))</f>
        <v>0</v>
      </c>
      <c r="S586" s="1" t="str">
        <f>INDEX(Table2[[HomeTeam]:[Group_details]],ROWS($N$2:Q586),COLUMNS($N$2:Q586))</f>
        <v>Nigeria</v>
      </c>
      <c r="T586" s="1" t="str">
        <f>INDEX(Table2[[HomeTeam]:[Group_details]],ROWS($N$2:R586),COLUMNS($N$2:R586))</f>
        <v xml:space="preserve"> </v>
      </c>
      <c r="U586" s="1" t="str">
        <f>INDEX(Table2[[HomeTeam]:[Group_details]],ROWS($N$2:S586),COLUMNS($N$2:S586))</f>
        <v>Group stages</v>
      </c>
      <c r="V586" s="1" t="b">
        <f t="shared" si="9"/>
        <v>0</v>
      </c>
      <c r="W586" s="1" t="str">
        <f>IF(V586=TRUE,ROWS($V$2:V586),"")</f>
        <v/>
      </c>
      <c r="X586" s="1" t="str">
        <f>IFERROR(SMALL($W$2:$W$853,ROWS($W$2:W586)),"")</f>
        <v/>
      </c>
      <c r="Y586" s="1" t="str">
        <f>IF($X586&lt;&gt;"",INDEX($P$2:$U$853,MATCH($X586,$W$2:$W$853,0),COLUMNS($X$2:X586)),"")</f>
        <v/>
      </c>
      <c r="Z586" s="1" t="str">
        <f>IF($X586&lt;&gt;"",INDEX($P$2:$U$853,MATCH($X586,$W$2:$W$853,0),COLUMNS($X$2:Y586)),"")</f>
        <v/>
      </c>
      <c r="AA586" s="1" t="str">
        <f>IF($X586&lt;&gt;"",INDEX($P$2:$U$853,MATCH($X586,$W$2:$W$853,0),COLUMNS($X$2:Z586)),"")</f>
        <v/>
      </c>
      <c r="AB586" s="1" t="str">
        <f>IF($X586&lt;&gt;"",INDEX($P$2:$U$853,MATCH($X586,$W$2:$W$853,0),COLUMNS($X$2:AA586)),"")</f>
        <v/>
      </c>
      <c r="AC586" s="1" t="str">
        <f>IF($X586&lt;&gt;"",INDEX($P$2:$U$853,MATCH($X586,$W$2:$W$853,0),COLUMNS($X$2:AB586)),"")</f>
        <v/>
      </c>
      <c r="AD586" s="1" t="str">
        <f>IF($X586&lt;&gt;"",INDEX($P$2:$U$853,MATCH($X586,$W$2:$W$853,0),COLUMNS($X$2:AC586)),"")</f>
        <v/>
      </c>
    </row>
    <row r="587" spans="1:30" x14ac:dyDescent="0.2">
      <c r="A587" s="1">
        <v>2002</v>
      </c>
      <c r="B587" s="2">
        <v>37409</v>
      </c>
      <c r="C587" s="1" t="s">
        <v>509</v>
      </c>
      <c r="D587" s="1" t="s">
        <v>213</v>
      </c>
      <c r="E587" s="1" t="s">
        <v>375</v>
      </c>
      <c r="F587" s="1" t="s">
        <v>376</v>
      </c>
      <c r="G587" s="6" t="str">
        <f>VLOOKUP(A587,WorldCups!$A$2:$B$23,2,FALSE)</f>
        <v>Korea/Japan</v>
      </c>
      <c r="H587" s="1" t="s">
        <v>28</v>
      </c>
      <c r="I587" s="1">
        <v>2</v>
      </c>
      <c r="J587" s="1">
        <v>2</v>
      </c>
      <c r="K587" s="1" t="s">
        <v>350</v>
      </c>
      <c r="L587" s="1" t="s">
        <v>14</v>
      </c>
      <c r="M587" s="1" t="str">
        <f>IF(ISNUMBER(SEARCH("Group",Table2[[#This Row],[Round]])),"Group stages",Table2[[#This Row],[Round]])</f>
        <v>Group stages</v>
      </c>
      <c r="O587" s="1">
        <f>Table2[[#This Row],[Year]]</f>
        <v>2002</v>
      </c>
      <c r="P587" s="1" t="str">
        <f>INDEX(Table2[[HomeTeam]:[Group_details]],ROWS($N$2:N587),COLUMNS($N$2:N587))</f>
        <v>Paraguay</v>
      </c>
      <c r="Q587" s="1">
        <f>INDEX(Table2[[HomeTeam]:[Group_details]],ROWS($N$2:O587),COLUMNS($N$2:O587))</f>
        <v>2</v>
      </c>
      <c r="R587" s="1">
        <f>INDEX(Table2[[HomeTeam]:[Group_details]],ROWS($N$2:P587),COLUMNS($N$2:P587))</f>
        <v>2</v>
      </c>
      <c r="S587" s="1" t="str">
        <f>INDEX(Table2[[HomeTeam]:[Group_details]],ROWS($N$2:Q587),COLUMNS($N$2:Q587))</f>
        <v>South Africa</v>
      </c>
      <c r="T587" s="1" t="str">
        <f>INDEX(Table2[[HomeTeam]:[Group_details]],ROWS($N$2:R587),COLUMNS($N$2:R587))</f>
        <v xml:space="preserve"> </v>
      </c>
      <c r="U587" s="1" t="str">
        <f>INDEX(Table2[[HomeTeam]:[Group_details]],ROWS($N$2:S587),COLUMNS($N$2:S587))</f>
        <v>Group stages</v>
      </c>
      <c r="V587" s="1" t="b">
        <f t="shared" si="9"/>
        <v>0</v>
      </c>
      <c r="W587" s="1" t="str">
        <f>IF(V587=TRUE,ROWS($V$2:V587),"")</f>
        <v/>
      </c>
      <c r="X587" s="1" t="str">
        <f>IFERROR(SMALL($W$2:$W$853,ROWS($W$2:W587)),"")</f>
        <v/>
      </c>
      <c r="Y587" s="1" t="str">
        <f>IF($X587&lt;&gt;"",INDEX($P$2:$U$853,MATCH($X587,$W$2:$W$853,0),COLUMNS($X$2:X587)),"")</f>
        <v/>
      </c>
      <c r="Z587" s="1" t="str">
        <f>IF($X587&lt;&gt;"",INDEX($P$2:$U$853,MATCH($X587,$W$2:$W$853,0),COLUMNS($X$2:Y587)),"")</f>
        <v/>
      </c>
      <c r="AA587" s="1" t="str">
        <f>IF($X587&lt;&gt;"",INDEX($P$2:$U$853,MATCH($X587,$W$2:$W$853,0),COLUMNS($X$2:Z587)),"")</f>
        <v/>
      </c>
      <c r="AB587" s="1" t="str">
        <f>IF($X587&lt;&gt;"",INDEX($P$2:$U$853,MATCH($X587,$W$2:$W$853,0),COLUMNS($X$2:AA587)),"")</f>
        <v/>
      </c>
      <c r="AC587" s="1" t="str">
        <f>IF($X587&lt;&gt;"",INDEX($P$2:$U$853,MATCH($X587,$W$2:$W$853,0),COLUMNS($X$2:AB587)),"")</f>
        <v/>
      </c>
      <c r="AD587" s="1" t="str">
        <f>IF($X587&lt;&gt;"",INDEX($P$2:$U$853,MATCH($X587,$W$2:$W$853,0),COLUMNS($X$2:AC587)),"")</f>
        <v/>
      </c>
    </row>
    <row r="588" spans="1:30" x14ac:dyDescent="0.2">
      <c r="A588" s="1">
        <v>2002</v>
      </c>
      <c r="B588" s="2">
        <v>37409</v>
      </c>
      <c r="C588" s="1" t="s">
        <v>513</v>
      </c>
      <c r="D588" s="1" t="s">
        <v>274</v>
      </c>
      <c r="E588" s="1" t="s">
        <v>377</v>
      </c>
      <c r="F588" s="1" t="s">
        <v>378</v>
      </c>
      <c r="G588" s="6" t="str">
        <f>VLOOKUP(A588,WorldCups!$A$2:$B$23,2,FALSE)</f>
        <v>Korea/Japan</v>
      </c>
      <c r="H588" s="1" t="s">
        <v>93</v>
      </c>
      <c r="I588" s="1">
        <v>1</v>
      </c>
      <c r="J588" s="1">
        <v>1</v>
      </c>
      <c r="K588" s="1" t="s">
        <v>48</v>
      </c>
      <c r="L588" s="1" t="s">
        <v>14</v>
      </c>
      <c r="M588" s="1" t="str">
        <f>IF(ISNUMBER(SEARCH("Group",Table2[[#This Row],[Round]])),"Group stages",Table2[[#This Row],[Round]])</f>
        <v>Group stages</v>
      </c>
      <c r="O588" s="1">
        <f>Table2[[#This Row],[Year]]</f>
        <v>2002</v>
      </c>
      <c r="P588" s="1" t="str">
        <f>INDEX(Table2[[HomeTeam]:[Group_details]],ROWS($N$2:N588),COLUMNS($N$2:N588))</f>
        <v>England</v>
      </c>
      <c r="Q588" s="1">
        <f>INDEX(Table2[[HomeTeam]:[Group_details]],ROWS($N$2:O588),COLUMNS($N$2:O588))</f>
        <v>1</v>
      </c>
      <c r="R588" s="1">
        <f>INDEX(Table2[[HomeTeam]:[Group_details]],ROWS($N$2:P588),COLUMNS($N$2:P588))</f>
        <v>1</v>
      </c>
      <c r="S588" s="1" t="str">
        <f>INDEX(Table2[[HomeTeam]:[Group_details]],ROWS($N$2:Q588),COLUMNS($N$2:Q588))</f>
        <v>Sweden</v>
      </c>
      <c r="T588" s="1" t="str">
        <f>INDEX(Table2[[HomeTeam]:[Group_details]],ROWS($N$2:R588),COLUMNS($N$2:R588))</f>
        <v xml:space="preserve"> </v>
      </c>
      <c r="U588" s="1" t="str">
        <f>INDEX(Table2[[HomeTeam]:[Group_details]],ROWS($N$2:S588),COLUMNS($N$2:S588))</f>
        <v>Group stages</v>
      </c>
      <c r="V588" s="1" t="b">
        <f t="shared" si="9"/>
        <v>0</v>
      </c>
      <c r="W588" s="1" t="str">
        <f>IF(V588=TRUE,ROWS($V$2:V588),"")</f>
        <v/>
      </c>
      <c r="X588" s="1" t="str">
        <f>IFERROR(SMALL($W$2:$W$853,ROWS($W$2:W588)),"")</f>
        <v/>
      </c>
      <c r="Y588" s="1" t="str">
        <f>IF($X588&lt;&gt;"",INDEX($P$2:$U$853,MATCH($X588,$W$2:$W$853,0),COLUMNS($X$2:X588)),"")</f>
        <v/>
      </c>
      <c r="Z588" s="1" t="str">
        <f>IF($X588&lt;&gt;"",INDEX($P$2:$U$853,MATCH($X588,$W$2:$W$853,0),COLUMNS($X$2:Y588)),"")</f>
        <v/>
      </c>
      <c r="AA588" s="1" t="str">
        <f>IF($X588&lt;&gt;"",INDEX($P$2:$U$853,MATCH($X588,$W$2:$W$853,0),COLUMNS($X$2:Z588)),"")</f>
        <v/>
      </c>
      <c r="AB588" s="1" t="str">
        <f>IF($X588&lt;&gt;"",INDEX($P$2:$U$853,MATCH($X588,$W$2:$W$853,0),COLUMNS($X$2:AA588)),"")</f>
        <v/>
      </c>
      <c r="AC588" s="1" t="str">
        <f>IF($X588&lt;&gt;"",INDEX($P$2:$U$853,MATCH($X588,$W$2:$W$853,0),COLUMNS($X$2:AB588)),"")</f>
        <v/>
      </c>
      <c r="AD588" s="1" t="str">
        <f>IF($X588&lt;&gt;"",INDEX($P$2:$U$853,MATCH($X588,$W$2:$W$853,0),COLUMNS($X$2:AC588)),"")</f>
        <v/>
      </c>
    </row>
    <row r="589" spans="1:30" x14ac:dyDescent="0.2">
      <c r="A589" s="1">
        <v>2002</v>
      </c>
      <c r="B589" s="2">
        <v>37409</v>
      </c>
      <c r="C589" s="1" t="s">
        <v>535</v>
      </c>
      <c r="D589" s="1" t="s">
        <v>213</v>
      </c>
      <c r="E589" s="1" t="s">
        <v>379</v>
      </c>
      <c r="F589" s="1" t="s">
        <v>380</v>
      </c>
      <c r="G589" s="6" t="str">
        <f>VLOOKUP(A589,WorldCups!$A$2:$B$23,2,FALSE)</f>
        <v>Korea/Japan</v>
      </c>
      <c r="H589" s="1" t="s">
        <v>54</v>
      </c>
      <c r="I589" s="1">
        <v>3</v>
      </c>
      <c r="J589" s="1">
        <v>1</v>
      </c>
      <c r="K589" s="1" t="s">
        <v>381</v>
      </c>
      <c r="L589" s="1" t="s">
        <v>14</v>
      </c>
      <c r="M589" s="1" t="str">
        <f>IF(ISNUMBER(SEARCH("Group",Table2[[#This Row],[Round]])),"Group stages",Table2[[#This Row],[Round]])</f>
        <v>Group stages</v>
      </c>
      <c r="O589" s="1">
        <f>Table2[[#This Row],[Year]]</f>
        <v>2002</v>
      </c>
      <c r="P589" s="1" t="str">
        <f>INDEX(Table2[[HomeTeam]:[Group_details]],ROWS($N$2:N589),COLUMNS($N$2:N589))</f>
        <v>Spain</v>
      </c>
      <c r="Q589" s="1">
        <f>INDEX(Table2[[HomeTeam]:[Group_details]],ROWS($N$2:O589),COLUMNS($N$2:O589))</f>
        <v>3</v>
      </c>
      <c r="R589" s="1">
        <f>INDEX(Table2[[HomeTeam]:[Group_details]],ROWS($N$2:P589),COLUMNS($N$2:P589))</f>
        <v>1</v>
      </c>
      <c r="S589" s="1" t="str">
        <f>INDEX(Table2[[HomeTeam]:[Group_details]],ROWS($N$2:Q589),COLUMNS($N$2:Q589))</f>
        <v>Slovenia</v>
      </c>
      <c r="T589" s="1" t="str">
        <f>INDEX(Table2[[HomeTeam]:[Group_details]],ROWS($N$2:R589),COLUMNS($N$2:R589))</f>
        <v xml:space="preserve"> </v>
      </c>
      <c r="U589" s="1" t="str">
        <f>INDEX(Table2[[HomeTeam]:[Group_details]],ROWS($N$2:S589),COLUMNS($N$2:S589))</f>
        <v>Group stages</v>
      </c>
      <c r="V589" s="1" t="b">
        <f t="shared" si="9"/>
        <v>0</v>
      </c>
      <c r="W589" s="1" t="str">
        <f>IF(V589=TRUE,ROWS($V$2:V589),"")</f>
        <v/>
      </c>
      <c r="X589" s="1" t="str">
        <f>IFERROR(SMALL($W$2:$W$853,ROWS($W$2:W589)),"")</f>
        <v/>
      </c>
      <c r="Y589" s="1" t="str">
        <f>IF($X589&lt;&gt;"",INDEX($P$2:$U$853,MATCH($X589,$W$2:$W$853,0),COLUMNS($X$2:X589)),"")</f>
        <v/>
      </c>
      <c r="Z589" s="1" t="str">
        <f>IF($X589&lt;&gt;"",INDEX($P$2:$U$853,MATCH($X589,$W$2:$W$853,0),COLUMNS($X$2:Y589)),"")</f>
        <v/>
      </c>
      <c r="AA589" s="1" t="str">
        <f>IF($X589&lt;&gt;"",INDEX($P$2:$U$853,MATCH($X589,$W$2:$W$853,0),COLUMNS($X$2:Z589)),"")</f>
        <v/>
      </c>
      <c r="AB589" s="1" t="str">
        <f>IF($X589&lt;&gt;"",INDEX($P$2:$U$853,MATCH($X589,$W$2:$W$853,0),COLUMNS($X$2:AA589)),"")</f>
        <v/>
      </c>
      <c r="AC589" s="1" t="str">
        <f>IF($X589&lt;&gt;"",INDEX($P$2:$U$853,MATCH($X589,$W$2:$W$853,0),COLUMNS($X$2:AB589)),"")</f>
        <v/>
      </c>
      <c r="AD589" s="1" t="str">
        <f>IF($X589&lt;&gt;"",INDEX($P$2:$U$853,MATCH($X589,$W$2:$W$853,0),COLUMNS($X$2:AC589)),"")</f>
        <v/>
      </c>
    </row>
    <row r="590" spans="1:30" x14ac:dyDescent="0.2">
      <c r="A590" s="1">
        <v>2002</v>
      </c>
      <c r="B590" s="2">
        <v>37410</v>
      </c>
      <c r="C590" s="1" t="s">
        <v>510</v>
      </c>
      <c r="D590" s="1" t="s">
        <v>268</v>
      </c>
      <c r="E590" s="1" t="s">
        <v>367</v>
      </c>
      <c r="F590" s="1" t="s">
        <v>368</v>
      </c>
      <c r="G590" s="6" t="str">
        <f>VLOOKUP(A590,WorldCups!$A$2:$B$23,2,FALSE)</f>
        <v>Korea/Japan</v>
      </c>
      <c r="H590" s="1" t="s">
        <v>21</v>
      </c>
      <c r="I590" s="1">
        <v>2</v>
      </c>
      <c r="J590" s="1">
        <v>1</v>
      </c>
      <c r="K590" s="1" t="s">
        <v>115</v>
      </c>
      <c r="L590" s="1" t="s">
        <v>14</v>
      </c>
      <c r="M590" s="1" t="str">
        <f>IF(ISNUMBER(SEARCH("Group",Table2[[#This Row],[Round]])),"Group stages",Table2[[#This Row],[Round]])</f>
        <v>Group stages</v>
      </c>
      <c r="O590" s="1">
        <f>Table2[[#This Row],[Year]]</f>
        <v>2002</v>
      </c>
      <c r="P590" s="1" t="str">
        <f>INDEX(Table2[[HomeTeam]:[Group_details]],ROWS($N$2:N590),COLUMNS($N$2:N590))</f>
        <v>Brazil</v>
      </c>
      <c r="Q590" s="1">
        <f>INDEX(Table2[[HomeTeam]:[Group_details]],ROWS($N$2:O590),COLUMNS($N$2:O590))</f>
        <v>2</v>
      </c>
      <c r="R590" s="1">
        <f>INDEX(Table2[[HomeTeam]:[Group_details]],ROWS($N$2:P590),COLUMNS($N$2:P590))</f>
        <v>1</v>
      </c>
      <c r="S590" s="1" t="str">
        <f>INDEX(Table2[[HomeTeam]:[Group_details]],ROWS($N$2:Q590),COLUMNS($N$2:Q590))</f>
        <v>Turkey</v>
      </c>
      <c r="T590" s="1" t="str">
        <f>INDEX(Table2[[HomeTeam]:[Group_details]],ROWS($N$2:R590),COLUMNS($N$2:R590))</f>
        <v xml:space="preserve"> </v>
      </c>
      <c r="U590" s="1" t="str">
        <f>INDEX(Table2[[HomeTeam]:[Group_details]],ROWS($N$2:S590),COLUMNS($N$2:S590))</f>
        <v>Group stages</v>
      </c>
      <c r="V590" s="1" t="b">
        <f t="shared" si="9"/>
        <v>0</v>
      </c>
      <c r="W590" s="1" t="str">
        <f>IF(V590=TRUE,ROWS($V$2:V590),"")</f>
        <v/>
      </c>
      <c r="X590" s="1" t="str">
        <f>IFERROR(SMALL($W$2:$W$853,ROWS($W$2:W590)),"")</f>
        <v/>
      </c>
      <c r="Y590" s="1" t="str">
        <f>IF($X590&lt;&gt;"",INDEX($P$2:$U$853,MATCH($X590,$W$2:$W$853,0),COLUMNS($X$2:X590)),"")</f>
        <v/>
      </c>
      <c r="Z590" s="1" t="str">
        <f>IF($X590&lt;&gt;"",INDEX($P$2:$U$853,MATCH($X590,$W$2:$W$853,0),COLUMNS($X$2:Y590)),"")</f>
        <v/>
      </c>
      <c r="AA590" s="1" t="str">
        <f>IF($X590&lt;&gt;"",INDEX($P$2:$U$853,MATCH($X590,$W$2:$W$853,0),COLUMNS($X$2:Z590)),"")</f>
        <v/>
      </c>
      <c r="AB590" s="1" t="str">
        <f>IF($X590&lt;&gt;"",INDEX($P$2:$U$853,MATCH($X590,$W$2:$W$853,0),COLUMNS($X$2:AA590)),"")</f>
        <v/>
      </c>
      <c r="AC590" s="1" t="str">
        <f>IF($X590&lt;&gt;"",INDEX($P$2:$U$853,MATCH($X590,$W$2:$W$853,0),COLUMNS($X$2:AB590)),"")</f>
        <v/>
      </c>
      <c r="AD590" s="1" t="str">
        <f>IF($X590&lt;&gt;"",INDEX($P$2:$U$853,MATCH($X590,$W$2:$W$853,0),COLUMNS($X$2:AC590)),"")</f>
        <v/>
      </c>
    </row>
    <row r="591" spans="1:30" x14ac:dyDescent="0.2">
      <c r="A591" s="1">
        <v>2002</v>
      </c>
      <c r="B591" s="2">
        <v>37410</v>
      </c>
      <c r="C591" s="1" t="s">
        <v>535</v>
      </c>
      <c r="D591" s="1" t="s">
        <v>361</v>
      </c>
      <c r="E591" s="1" t="s">
        <v>371</v>
      </c>
      <c r="F591" s="1" t="s">
        <v>372</v>
      </c>
      <c r="G591" s="6" t="str">
        <f>VLOOKUP(A591,WorldCups!$A$2:$B$23,2,FALSE)</f>
        <v>Korea/Japan</v>
      </c>
      <c r="H591" s="1" t="s">
        <v>57</v>
      </c>
      <c r="I591" s="1">
        <v>2</v>
      </c>
      <c r="J591" s="1">
        <v>0</v>
      </c>
      <c r="K591" s="1" t="s">
        <v>382</v>
      </c>
      <c r="L591" s="1" t="s">
        <v>14</v>
      </c>
      <c r="M591" s="1" t="str">
        <f>IF(ISNUMBER(SEARCH("Group",Table2[[#This Row],[Round]])),"Group stages",Table2[[#This Row],[Round]])</f>
        <v>Group stages</v>
      </c>
      <c r="O591" s="1">
        <f>Table2[[#This Row],[Year]]</f>
        <v>2002</v>
      </c>
      <c r="P591" s="1" t="str">
        <f>INDEX(Table2[[HomeTeam]:[Group_details]],ROWS($N$2:N591),COLUMNS($N$2:N591))</f>
        <v>Italy</v>
      </c>
      <c r="Q591" s="1">
        <f>INDEX(Table2[[HomeTeam]:[Group_details]],ROWS($N$2:O591),COLUMNS($N$2:O591))</f>
        <v>2</v>
      </c>
      <c r="R591" s="1">
        <f>INDEX(Table2[[HomeTeam]:[Group_details]],ROWS($N$2:P591),COLUMNS($N$2:P591))</f>
        <v>0</v>
      </c>
      <c r="S591" s="1" t="str">
        <f>INDEX(Table2[[HomeTeam]:[Group_details]],ROWS($N$2:Q591),COLUMNS($N$2:Q591))</f>
        <v>Ecuador</v>
      </c>
      <c r="T591" s="1" t="str">
        <f>INDEX(Table2[[HomeTeam]:[Group_details]],ROWS($N$2:R591),COLUMNS($N$2:R591))</f>
        <v xml:space="preserve"> </v>
      </c>
      <c r="U591" s="1" t="str">
        <f>INDEX(Table2[[HomeTeam]:[Group_details]],ROWS($N$2:S591),COLUMNS($N$2:S591))</f>
        <v>Group stages</v>
      </c>
      <c r="V591" s="1" t="b">
        <f t="shared" si="9"/>
        <v>0</v>
      </c>
      <c r="W591" s="1" t="str">
        <f>IF(V591=TRUE,ROWS($V$2:V591),"")</f>
        <v/>
      </c>
      <c r="X591" s="1" t="str">
        <f>IFERROR(SMALL($W$2:$W$853,ROWS($W$2:W591)),"")</f>
        <v/>
      </c>
      <c r="Y591" s="1" t="str">
        <f>IF($X591&lt;&gt;"",INDEX($P$2:$U$853,MATCH($X591,$W$2:$W$853,0),COLUMNS($X$2:X591)),"")</f>
        <v/>
      </c>
      <c r="Z591" s="1" t="str">
        <f>IF($X591&lt;&gt;"",INDEX($P$2:$U$853,MATCH($X591,$W$2:$W$853,0),COLUMNS($X$2:Y591)),"")</f>
        <v/>
      </c>
      <c r="AA591" s="1" t="str">
        <f>IF($X591&lt;&gt;"",INDEX($P$2:$U$853,MATCH($X591,$W$2:$W$853,0),COLUMNS($X$2:Z591)),"")</f>
        <v/>
      </c>
      <c r="AB591" s="1" t="str">
        <f>IF($X591&lt;&gt;"",INDEX($P$2:$U$853,MATCH($X591,$W$2:$W$853,0),COLUMNS($X$2:AA591)),"")</f>
        <v/>
      </c>
      <c r="AC591" s="1" t="str">
        <f>IF($X591&lt;&gt;"",INDEX($P$2:$U$853,MATCH($X591,$W$2:$W$853,0),COLUMNS($X$2:AB591)),"")</f>
        <v/>
      </c>
      <c r="AD591" s="1" t="str">
        <f>IF($X591&lt;&gt;"",INDEX($P$2:$U$853,MATCH($X591,$W$2:$W$853,0),COLUMNS($X$2:AC591)),"")</f>
        <v/>
      </c>
    </row>
    <row r="592" spans="1:30" x14ac:dyDescent="0.2">
      <c r="A592" s="1">
        <v>2002</v>
      </c>
      <c r="B592" s="2">
        <v>37410</v>
      </c>
      <c r="C592" s="1" t="s">
        <v>514</v>
      </c>
      <c r="D592" s="1" t="s">
        <v>361</v>
      </c>
      <c r="E592" s="1" t="s">
        <v>369</v>
      </c>
      <c r="F592" s="1" t="s">
        <v>370</v>
      </c>
      <c r="G592" s="6" t="str">
        <f>VLOOKUP(A592,WorldCups!$A$2:$B$23,2,FALSE)</f>
        <v>Korea/Japan</v>
      </c>
      <c r="H592" s="1" t="s">
        <v>360</v>
      </c>
      <c r="I592" s="1">
        <v>0</v>
      </c>
      <c r="J592" s="1">
        <v>1</v>
      </c>
      <c r="K592" s="1" t="s">
        <v>13</v>
      </c>
      <c r="L592" s="1" t="s">
        <v>14</v>
      </c>
      <c r="M592" s="1" t="str">
        <f>IF(ISNUMBER(SEARCH("Group",Table2[[#This Row],[Round]])),"Group stages",Table2[[#This Row],[Round]])</f>
        <v>Group stages</v>
      </c>
      <c r="O592" s="1">
        <f>Table2[[#This Row],[Year]]</f>
        <v>2002</v>
      </c>
      <c r="P592" s="1" t="str">
        <f>INDEX(Table2[[HomeTeam]:[Group_details]],ROWS($N$2:N592),COLUMNS($N$2:N592))</f>
        <v>Croatia</v>
      </c>
      <c r="Q592" s="1">
        <f>INDEX(Table2[[HomeTeam]:[Group_details]],ROWS($N$2:O592),COLUMNS($N$2:O592))</f>
        <v>0</v>
      </c>
      <c r="R592" s="1">
        <f>INDEX(Table2[[HomeTeam]:[Group_details]],ROWS($N$2:P592),COLUMNS($N$2:P592))</f>
        <v>1</v>
      </c>
      <c r="S592" s="1" t="str">
        <f>INDEX(Table2[[HomeTeam]:[Group_details]],ROWS($N$2:Q592),COLUMNS($N$2:Q592))</f>
        <v>Mexico</v>
      </c>
      <c r="T592" s="1" t="str">
        <f>INDEX(Table2[[HomeTeam]:[Group_details]],ROWS($N$2:R592),COLUMNS($N$2:R592))</f>
        <v xml:space="preserve"> </v>
      </c>
      <c r="U592" s="1" t="str">
        <f>INDEX(Table2[[HomeTeam]:[Group_details]],ROWS($N$2:S592),COLUMNS($N$2:S592))</f>
        <v>Group stages</v>
      </c>
      <c r="V592" s="1" t="b">
        <f t="shared" si="9"/>
        <v>0</v>
      </c>
      <c r="W592" s="1" t="str">
        <f>IF(V592=TRUE,ROWS($V$2:V592),"")</f>
        <v/>
      </c>
      <c r="X592" s="1" t="str">
        <f>IFERROR(SMALL($W$2:$W$853,ROWS($W$2:W592)),"")</f>
        <v/>
      </c>
      <c r="Y592" s="1" t="str">
        <f>IF($X592&lt;&gt;"",INDEX($P$2:$U$853,MATCH($X592,$W$2:$W$853,0),COLUMNS($X$2:X592)),"")</f>
        <v/>
      </c>
      <c r="Z592" s="1" t="str">
        <f>IF($X592&lt;&gt;"",INDEX($P$2:$U$853,MATCH($X592,$W$2:$W$853,0),COLUMNS($X$2:Y592)),"")</f>
        <v/>
      </c>
      <c r="AA592" s="1" t="str">
        <f>IF($X592&lt;&gt;"",INDEX($P$2:$U$853,MATCH($X592,$W$2:$W$853,0),COLUMNS($X$2:Z592)),"")</f>
        <v/>
      </c>
      <c r="AB592" s="1" t="str">
        <f>IF($X592&lt;&gt;"",INDEX($P$2:$U$853,MATCH($X592,$W$2:$W$853,0),COLUMNS($X$2:AA592)),"")</f>
        <v/>
      </c>
      <c r="AC592" s="1" t="str">
        <f>IF($X592&lt;&gt;"",INDEX($P$2:$U$853,MATCH($X592,$W$2:$W$853,0),COLUMNS($X$2:AB592)),"")</f>
        <v/>
      </c>
      <c r="AD592" s="1" t="str">
        <f>IF($X592&lt;&gt;"",INDEX($P$2:$U$853,MATCH($X592,$W$2:$W$853,0),COLUMNS($X$2:AC592)),"")</f>
        <v/>
      </c>
    </row>
    <row r="593" spans="1:30" x14ac:dyDescent="0.2">
      <c r="A593" s="1">
        <v>2002</v>
      </c>
      <c r="B593" s="2">
        <v>37411</v>
      </c>
      <c r="C593" s="1" t="s">
        <v>514</v>
      </c>
      <c r="D593" s="1" t="s">
        <v>268</v>
      </c>
      <c r="E593" s="1" t="s">
        <v>379</v>
      </c>
      <c r="F593" s="1" t="s">
        <v>380</v>
      </c>
      <c r="G593" s="6" t="str">
        <f>VLOOKUP(A593,WorldCups!$A$2:$B$23,2,FALSE)</f>
        <v>Korea/Japan</v>
      </c>
      <c r="H593" s="1" t="s">
        <v>383</v>
      </c>
      <c r="I593" s="1">
        <v>0</v>
      </c>
      <c r="J593" s="1">
        <v>2</v>
      </c>
      <c r="K593" s="1" t="s">
        <v>301</v>
      </c>
      <c r="L593" s="1" t="s">
        <v>14</v>
      </c>
      <c r="M593" s="1" t="str">
        <f>IF(ISNUMBER(SEARCH("Group",Table2[[#This Row],[Round]])),"Group stages",Table2[[#This Row],[Round]])</f>
        <v>Group stages</v>
      </c>
      <c r="O593" s="1">
        <f>Table2[[#This Row],[Year]]</f>
        <v>2002</v>
      </c>
      <c r="P593" s="1" t="str">
        <f>INDEX(Table2[[HomeTeam]:[Group_details]],ROWS($N$2:N593),COLUMNS($N$2:N593))</f>
        <v>China PR</v>
      </c>
      <c r="Q593" s="1">
        <f>INDEX(Table2[[HomeTeam]:[Group_details]],ROWS($N$2:O593),COLUMNS($N$2:O593))</f>
        <v>0</v>
      </c>
      <c r="R593" s="1">
        <f>INDEX(Table2[[HomeTeam]:[Group_details]],ROWS($N$2:P593),COLUMNS($N$2:P593))</f>
        <v>2</v>
      </c>
      <c r="S593" s="1" t="str">
        <f>INDEX(Table2[[HomeTeam]:[Group_details]],ROWS($N$2:Q593),COLUMNS($N$2:Q593))</f>
        <v>Costa Rica</v>
      </c>
      <c r="T593" s="1" t="str">
        <f>INDEX(Table2[[HomeTeam]:[Group_details]],ROWS($N$2:R593),COLUMNS($N$2:R593))</f>
        <v xml:space="preserve"> </v>
      </c>
      <c r="U593" s="1" t="str">
        <f>INDEX(Table2[[HomeTeam]:[Group_details]],ROWS($N$2:S593),COLUMNS($N$2:S593))</f>
        <v>Group stages</v>
      </c>
      <c r="V593" s="1" t="b">
        <f t="shared" si="9"/>
        <v>0</v>
      </c>
      <c r="W593" s="1" t="str">
        <f>IF(V593=TRUE,ROWS($V$2:V593),"")</f>
        <v/>
      </c>
      <c r="X593" s="1" t="str">
        <f>IFERROR(SMALL($W$2:$W$853,ROWS($W$2:W593)),"")</f>
        <v/>
      </c>
      <c r="Y593" s="1" t="str">
        <f>IF($X593&lt;&gt;"",INDEX($P$2:$U$853,MATCH($X593,$W$2:$W$853,0),COLUMNS($X$2:X593)),"")</f>
        <v/>
      </c>
      <c r="Z593" s="1" t="str">
        <f>IF($X593&lt;&gt;"",INDEX($P$2:$U$853,MATCH($X593,$W$2:$W$853,0),COLUMNS($X$2:Y593)),"")</f>
        <v/>
      </c>
      <c r="AA593" s="1" t="str">
        <f>IF($X593&lt;&gt;"",INDEX($P$2:$U$853,MATCH($X593,$W$2:$W$853,0),COLUMNS($X$2:Z593)),"")</f>
        <v/>
      </c>
      <c r="AB593" s="1" t="str">
        <f>IF($X593&lt;&gt;"",INDEX($P$2:$U$853,MATCH($X593,$W$2:$W$853,0),COLUMNS($X$2:AA593)),"")</f>
        <v/>
      </c>
      <c r="AC593" s="1" t="str">
        <f>IF($X593&lt;&gt;"",INDEX($P$2:$U$853,MATCH($X593,$W$2:$W$853,0),COLUMNS($X$2:AB593)),"")</f>
        <v/>
      </c>
      <c r="AD593" s="1" t="str">
        <f>IF($X593&lt;&gt;"",INDEX($P$2:$U$853,MATCH($X593,$W$2:$W$853,0),COLUMNS($X$2:AC593)),"")</f>
        <v/>
      </c>
    </row>
    <row r="594" spans="1:30" x14ac:dyDescent="0.2">
      <c r="A594" s="1">
        <v>2002</v>
      </c>
      <c r="B594" s="2">
        <v>37411</v>
      </c>
      <c r="C594" s="1" t="s">
        <v>510</v>
      </c>
      <c r="D594" s="1" t="s">
        <v>355</v>
      </c>
      <c r="E594" s="1" t="s">
        <v>377</v>
      </c>
      <c r="F594" s="1" t="s">
        <v>378</v>
      </c>
      <c r="G594" s="6" t="str">
        <f>VLOOKUP(A594,WorldCups!$A$2:$B$23,2,FALSE)</f>
        <v>Korea/Japan</v>
      </c>
      <c r="H594" s="1" t="s">
        <v>356</v>
      </c>
      <c r="I594" s="1">
        <v>2</v>
      </c>
      <c r="J594" s="1">
        <v>2</v>
      </c>
      <c r="K594" s="1" t="s">
        <v>18</v>
      </c>
      <c r="L594" s="1" t="s">
        <v>14</v>
      </c>
      <c r="M594" s="1" t="str">
        <f>IF(ISNUMBER(SEARCH("Group",Table2[[#This Row],[Round]])),"Group stages",Table2[[#This Row],[Round]])</f>
        <v>Group stages</v>
      </c>
      <c r="O594" s="1">
        <f>Table2[[#This Row],[Year]]</f>
        <v>2002</v>
      </c>
      <c r="P594" s="1" t="str">
        <f>INDEX(Table2[[HomeTeam]:[Group_details]],ROWS($N$2:N594),COLUMNS($N$2:N594))</f>
        <v>Japan</v>
      </c>
      <c r="Q594" s="1">
        <f>INDEX(Table2[[HomeTeam]:[Group_details]],ROWS($N$2:O594),COLUMNS($N$2:O594))</f>
        <v>2</v>
      </c>
      <c r="R594" s="1">
        <f>INDEX(Table2[[HomeTeam]:[Group_details]],ROWS($N$2:P594),COLUMNS($N$2:P594))</f>
        <v>2</v>
      </c>
      <c r="S594" s="1" t="str">
        <f>INDEX(Table2[[HomeTeam]:[Group_details]],ROWS($N$2:Q594),COLUMNS($N$2:Q594))</f>
        <v>Belgium</v>
      </c>
      <c r="T594" s="1" t="str">
        <f>INDEX(Table2[[HomeTeam]:[Group_details]],ROWS($N$2:R594),COLUMNS($N$2:R594))</f>
        <v xml:space="preserve"> </v>
      </c>
      <c r="U594" s="1" t="str">
        <f>INDEX(Table2[[HomeTeam]:[Group_details]],ROWS($N$2:S594),COLUMNS($N$2:S594))</f>
        <v>Group stages</v>
      </c>
      <c r="V594" s="1" t="b">
        <f t="shared" si="9"/>
        <v>0</v>
      </c>
      <c r="W594" s="1" t="str">
        <f>IF(V594=TRUE,ROWS($V$2:V594),"")</f>
        <v/>
      </c>
      <c r="X594" s="1" t="str">
        <f>IFERROR(SMALL($W$2:$W$853,ROWS($W$2:W594)),"")</f>
        <v/>
      </c>
      <c r="Y594" s="1" t="str">
        <f>IF($X594&lt;&gt;"",INDEX($P$2:$U$853,MATCH($X594,$W$2:$W$853,0),COLUMNS($X$2:X594)),"")</f>
        <v/>
      </c>
      <c r="Z594" s="1" t="str">
        <f>IF($X594&lt;&gt;"",INDEX($P$2:$U$853,MATCH($X594,$W$2:$W$853,0),COLUMNS($X$2:Y594)),"")</f>
        <v/>
      </c>
      <c r="AA594" s="1" t="str">
        <f>IF($X594&lt;&gt;"",INDEX($P$2:$U$853,MATCH($X594,$W$2:$W$853,0),COLUMNS($X$2:Z594)),"")</f>
        <v/>
      </c>
      <c r="AB594" s="1" t="str">
        <f>IF($X594&lt;&gt;"",INDEX($P$2:$U$853,MATCH($X594,$W$2:$W$853,0),COLUMNS($X$2:AA594)),"")</f>
        <v/>
      </c>
      <c r="AC594" s="1" t="str">
        <f>IF($X594&lt;&gt;"",INDEX($P$2:$U$853,MATCH($X594,$W$2:$W$853,0),COLUMNS($X$2:AB594)),"")</f>
        <v/>
      </c>
      <c r="AD594" s="1" t="str">
        <f>IF($X594&lt;&gt;"",INDEX($P$2:$U$853,MATCH($X594,$W$2:$W$853,0),COLUMNS($X$2:AC594)),"")</f>
        <v/>
      </c>
    </row>
    <row r="595" spans="1:30" x14ac:dyDescent="0.2">
      <c r="A595" s="1">
        <v>2002</v>
      </c>
      <c r="B595" s="2">
        <v>37411</v>
      </c>
      <c r="C595" s="1" t="s">
        <v>535</v>
      </c>
      <c r="D595" s="1" t="s">
        <v>270</v>
      </c>
      <c r="E595" s="1" t="s">
        <v>375</v>
      </c>
      <c r="F595" s="1" t="s">
        <v>376</v>
      </c>
      <c r="G595" s="6" t="str">
        <f>VLOOKUP(A595,WorldCups!$A$2:$B$23,2,FALSE)</f>
        <v>Korea/Japan</v>
      </c>
      <c r="H595" s="1" t="s">
        <v>116</v>
      </c>
      <c r="I595" s="1">
        <v>2</v>
      </c>
      <c r="J595" s="1">
        <v>0</v>
      </c>
      <c r="K595" s="1" t="s">
        <v>80</v>
      </c>
      <c r="L595" s="1" t="s">
        <v>14</v>
      </c>
      <c r="M595" s="1" t="str">
        <f>IF(ISNUMBER(SEARCH("Group",Table2[[#This Row],[Round]])),"Group stages",Table2[[#This Row],[Round]])</f>
        <v>Group stages</v>
      </c>
      <c r="O595" s="1">
        <f>Table2[[#This Row],[Year]]</f>
        <v>2002</v>
      </c>
      <c r="P595" s="1" t="str">
        <f>INDEX(Table2[[HomeTeam]:[Group_details]],ROWS($N$2:N595),COLUMNS($N$2:N595))</f>
        <v>Korea Republic</v>
      </c>
      <c r="Q595" s="1">
        <f>INDEX(Table2[[HomeTeam]:[Group_details]],ROWS($N$2:O595),COLUMNS($N$2:O595))</f>
        <v>2</v>
      </c>
      <c r="R595" s="1">
        <f>INDEX(Table2[[HomeTeam]:[Group_details]],ROWS($N$2:P595),COLUMNS($N$2:P595))</f>
        <v>0</v>
      </c>
      <c r="S595" s="1" t="str">
        <f>INDEX(Table2[[HomeTeam]:[Group_details]],ROWS($N$2:Q595),COLUMNS($N$2:Q595))</f>
        <v>Poland</v>
      </c>
      <c r="T595" s="1" t="str">
        <f>INDEX(Table2[[HomeTeam]:[Group_details]],ROWS($N$2:R595),COLUMNS($N$2:R595))</f>
        <v xml:space="preserve"> </v>
      </c>
      <c r="U595" s="1" t="str">
        <f>INDEX(Table2[[HomeTeam]:[Group_details]],ROWS($N$2:S595),COLUMNS($N$2:S595))</f>
        <v>Group stages</v>
      </c>
      <c r="V595" s="1" t="b">
        <f t="shared" si="9"/>
        <v>0</v>
      </c>
      <c r="W595" s="1" t="str">
        <f>IF(V595=TRUE,ROWS($V$2:V595),"")</f>
        <v/>
      </c>
      <c r="X595" s="1" t="str">
        <f>IFERROR(SMALL($W$2:$W$853,ROWS($W$2:W595)),"")</f>
        <v/>
      </c>
      <c r="Y595" s="1" t="str">
        <f>IF($X595&lt;&gt;"",INDEX($P$2:$U$853,MATCH($X595,$W$2:$W$853,0),COLUMNS($X$2:X595)),"")</f>
        <v/>
      </c>
      <c r="Z595" s="1" t="str">
        <f>IF($X595&lt;&gt;"",INDEX($P$2:$U$853,MATCH($X595,$W$2:$W$853,0),COLUMNS($X$2:Y595)),"")</f>
        <v/>
      </c>
      <c r="AA595" s="1" t="str">
        <f>IF($X595&lt;&gt;"",INDEX($P$2:$U$853,MATCH($X595,$W$2:$W$853,0),COLUMNS($X$2:Z595)),"")</f>
        <v/>
      </c>
      <c r="AB595" s="1" t="str">
        <f>IF($X595&lt;&gt;"",INDEX($P$2:$U$853,MATCH($X595,$W$2:$W$853,0),COLUMNS($X$2:AA595)),"")</f>
        <v/>
      </c>
      <c r="AC595" s="1" t="str">
        <f>IF($X595&lt;&gt;"",INDEX($P$2:$U$853,MATCH($X595,$W$2:$W$853,0),COLUMNS($X$2:AB595)),"")</f>
        <v/>
      </c>
      <c r="AD595" s="1" t="str">
        <f>IF($X595&lt;&gt;"",INDEX($P$2:$U$853,MATCH($X595,$W$2:$W$853,0),COLUMNS($X$2:AC595)),"")</f>
        <v/>
      </c>
    </row>
    <row r="596" spans="1:30" x14ac:dyDescent="0.2">
      <c r="A596" s="1">
        <v>2002</v>
      </c>
      <c r="B596" s="2">
        <v>37412</v>
      </c>
      <c r="C596" s="1" t="s">
        <v>514</v>
      </c>
      <c r="D596" s="1" t="s">
        <v>355</v>
      </c>
      <c r="E596" s="1" t="s">
        <v>384</v>
      </c>
      <c r="F596" s="1" t="s">
        <v>385</v>
      </c>
      <c r="G596" s="6" t="str">
        <f>VLOOKUP(A596,WorldCups!$A$2:$B$23,2,FALSE)</f>
        <v>Korea/Japan</v>
      </c>
      <c r="H596" s="1" t="s">
        <v>336</v>
      </c>
      <c r="I596" s="1">
        <v>2</v>
      </c>
      <c r="J596" s="1">
        <v>0</v>
      </c>
      <c r="K596" s="1" t="s">
        <v>221</v>
      </c>
      <c r="L596" s="1" t="s">
        <v>14</v>
      </c>
      <c r="M596" s="1" t="str">
        <f>IF(ISNUMBER(SEARCH("Group",Table2[[#This Row],[Round]])),"Group stages",Table2[[#This Row],[Round]])</f>
        <v>Group stages</v>
      </c>
      <c r="O596" s="1">
        <f>Table2[[#This Row],[Year]]</f>
        <v>2002</v>
      </c>
      <c r="P596" s="1" t="str">
        <f>INDEX(Table2[[HomeTeam]:[Group_details]],ROWS($N$2:N596),COLUMNS($N$2:N596))</f>
        <v>Russia</v>
      </c>
      <c r="Q596" s="1">
        <f>INDEX(Table2[[HomeTeam]:[Group_details]],ROWS($N$2:O596),COLUMNS($N$2:O596))</f>
        <v>2</v>
      </c>
      <c r="R596" s="1">
        <f>INDEX(Table2[[HomeTeam]:[Group_details]],ROWS($N$2:P596),COLUMNS($N$2:P596))</f>
        <v>0</v>
      </c>
      <c r="S596" s="1" t="str">
        <f>INDEX(Table2[[HomeTeam]:[Group_details]],ROWS($N$2:Q596),COLUMNS($N$2:Q596))</f>
        <v>Tunisia</v>
      </c>
      <c r="T596" s="1" t="str">
        <f>INDEX(Table2[[HomeTeam]:[Group_details]],ROWS($N$2:R596),COLUMNS($N$2:R596))</f>
        <v xml:space="preserve"> </v>
      </c>
      <c r="U596" s="1" t="str">
        <f>INDEX(Table2[[HomeTeam]:[Group_details]],ROWS($N$2:S596),COLUMNS($N$2:S596))</f>
        <v>Group stages</v>
      </c>
      <c r="V596" s="1" t="b">
        <f t="shared" si="9"/>
        <v>0</v>
      </c>
      <c r="W596" s="1" t="str">
        <f>IF(V596=TRUE,ROWS($V$2:V596),"")</f>
        <v/>
      </c>
      <c r="X596" s="1" t="str">
        <f>IFERROR(SMALL($W$2:$W$853,ROWS($W$2:W596)),"")</f>
        <v/>
      </c>
      <c r="Y596" s="1" t="str">
        <f>IF($X596&lt;&gt;"",INDEX($P$2:$U$853,MATCH($X596,$W$2:$W$853,0),COLUMNS($X$2:X596)),"")</f>
        <v/>
      </c>
      <c r="Z596" s="1" t="str">
        <f>IF($X596&lt;&gt;"",INDEX($P$2:$U$853,MATCH($X596,$W$2:$W$853,0),COLUMNS($X$2:Y596)),"")</f>
        <v/>
      </c>
      <c r="AA596" s="1" t="str">
        <f>IF($X596&lt;&gt;"",INDEX($P$2:$U$853,MATCH($X596,$W$2:$W$853,0),COLUMNS($X$2:Z596)),"")</f>
        <v/>
      </c>
      <c r="AB596" s="1" t="str">
        <f>IF($X596&lt;&gt;"",INDEX($P$2:$U$853,MATCH($X596,$W$2:$W$853,0),COLUMNS($X$2:AA596)),"")</f>
        <v/>
      </c>
      <c r="AC596" s="1" t="str">
        <f>IF($X596&lt;&gt;"",INDEX($P$2:$U$853,MATCH($X596,$W$2:$W$853,0),COLUMNS($X$2:AB596)),"")</f>
        <v/>
      </c>
      <c r="AD596" s="1" t="str">
        <f>IF($X596&lt;&gt;"",INDEX($P$2:$U$853,MATCH($X596,$W$2:$W$853,0),COLUMNS($X$2:AC596)),"")</f>
        <v/>
      </c>
    </row>
    <row r="597" spans="1:30" x14ac:dyDescent="0.2">
      <c r="A597" s="1">
        <v>2002</v>
      </c>
      <c r="B597" s="2">
        <v>37412</v>
      </c>
      <c r="C597" s="1" t="s">
        <v>510</v>
      </c>
      <c r="D597" s="1" t="s">
        <v>270</v>
      </c>
      <c r="E597" s="1" t="s">
        <v>386</v>
      </c>
      <c r="F597" s="1" t="s">
        <v>387</v>
      </c>
      <c r="G597" s="6" t="str">
        <f>VLOOKUP(A597,WorldCups!$A$2:$B$23,2,FALSE)</f>
        <v>Korea/Japan</v>
      </c>
      <c r="H597" s="1" t="s">
        <v>17</v>
      </c>
      <c r="I597" s="1">
        <v>3</v>
      </c>
      <c r="J597" s="1">
        <v>2</v>
      </c>
      <c r="K597" s="1" t="s">
        <v>170</v>
      </c>
      <c r="L597" s="1" t="s">
        <v>14</v>
      </c>
      <c r="M597" s="1" t="str">
        <f>IF(ISNUMBER(SEARCH("Group",Table2[[#This Row],[Round]])),"Group stages",Table2[[#This Row],[Round]])</f>
        <v>Group stages</v>
      </c>
      <c r="O597" s="1">
        <f>Table2[[#This Row],[Year]]</f>
        <v>2002</v>
      </c>
      <c r="P597" s="1" t="str">
        <f>INDEX(Table2[[HomeTeam]:[Group_details]],ROWS($N$2:N597),COLUMNS($N$2:N597))</f>
        <v>USA</v>
      </c>
      <c r="Q597" s="1">
        <f>INDEX(Table2[[HomeTeam]:[Group_details]],ROWS($N$2:O597),COLUMNS($N$2:O597))</f>
        <v>3</v>
      </c>
      <c r="R597" s="1">
        <f>INDEX(Table2[[HomeTeam]:[Group_details]],ROWS($N$2:P597),COLUMNS($N$2:P597))</f>
        <v>2</v>
      </c>
      <c r="S597" s="1" t="str">
        <f>INDEX(Table2[[HomeTeam]:[Group_details]],ROWS($N$2:Q597),COLUMNS($N$2:Q597))</f>
        <v>Portugal</v>
      </c>
      <c r="T597" s="1" t="str">
        <f>INDEX(Table2[[HomeTeam]:[Group_details]],ROWS($N$2:R597),COLUMNS($N$2:R597))</f>
        <v xml:space="preserve"> </v>
      </c>
      <c r="U597" s="1" t="str">
        <f>INDEX(Table2[[HomeTeam]:[Group_details]],ROWS($N$2:S597),COLUMNS($N$2:S597))</f>
        <v>Group stages</v>
      </c>
      <c r="V597" s="1" t="b">
        <f t="shared" si="9"/>
        <v>0</v>
      </c>
      <c r="W597" s="1" t="str">
        <f>IF(V597=TRUE,ROWS($V$2:V597),"")</f>
        <v/>
      </c>
      <c r="X597" s="1" t="str">
        <f>IFERROR(SMALL($W$2:$W$853,ROWS($W$2:W597)),"")</f>
        <v/>
      </c>
      <c r="Y597" s="1" t="str">
        <f>IF($X597&lt;&gt;"",INDEX($P$2:$U$853,MATCH($X597,$W$2:$W$853,0),COLUMNS($X$2:X597)),"")</f>
        <v/>
      </c>
      <c r="Z597" s="1" t="str">
        <f>IF($X597&lt;&gt;"",INDEX($P$2:$U$853,MATCH($X597,$W$2:$W$853,0),COLUMNS($X$2:Y597)),"")</f>
        <v/>
      </c>
      <c r="AA597" s="1" t="str">
        <f>IF($X597&lt;&gt;"",INDEX($P$2:$U$853,MATCH($X597,$W$2:$W$853,0),COLUMNS($X$2:Z597)),"")</f>
        <v/>
      </c>
      <c r="AB597" s="1" t="str">
        <f>IF($X597&lt;&gt;"",INDEX($P$2:$U$853,MATCH($X597,$W$2:$W$853,0),COLUMNS($X$2:AA597)),"")</f>
        <v/>
      </c>
      <c r="AC597" s="1" t="str">
        <f>IF($X597&lt;&gt;"",INDEX($P$2:$U$853,MATCH($X597,$W$2:$W$853,0),COLUMNS($X$2:AB597)),"")</f>
        <v/>
      </c>
      <c r="AD597" s="1" t="str">
        <f>IF($X597&lt;&gt;"",INDEX($P$2:$U$853,MATCH($X597,$W$2:$W$853,0),COLUMNS($X$2:AC597)),"")</f>
        <v/>
      </c>
    </row>
    <row r="598" spans="1:30" x14ac:dyDescent="0.2">
      <c r="A598" s="1">
        <v>2002</v>
      </c>
      <c r="B598" s="2">
        <v>37412</v>
      </c>
      <c r="C598" s="1" t="s">
        <v>535</v>
      </c>
      <c r="D598" s="1" t="s">
        <v>281</v>
      </c>
      <c r="E598" s="1" t="s">
        <v>373</v>
      </c>
      <c r="F598" s="1" t="s">
        <v>374</v>
      </c>
      <c r="G598" s="6" t="str">
        <f>VLOOKUP(A598,WorldCups!$A$2:$B$23,2,FALSE)</f>
        <v>Korea/Japan</v>
      </c>
      <c r="H598" s="1" t="s">
        <v>51</v>
      </c>
      <c r="I598" s="1">
        <v>1</v>
      </c>
      <c r="J598" s="1">
        <v>1</v>
      </c>
      <c r="K598" s="1" t="s">
        <v>304</v>
      </c>
      <c r="L598" s="1" t="s">
        <v>14</v>
      </c>
      <c r="M598" s="1" t="str">
        <f>IF(ISNUMBER(SEARCH("Group",Table2[[#This Row],[Round]])),"Group stages",Table2[[#This Row],[Round]])</f>
        <v>Group stages</v>
      </c>
      <c r="O598" s="1">
        <f>Table2[[#This Row],[Year]]</f>
        <v>2002</v>
      </c>
      <c r="P598" s="1" t="str">
        <f>INDEX(Table2[[HomeTeam]:[Group_details]],ROWS($N$2:N598),COLUMNS($N$2:N598))</f>
        <v>Germany</v>
      </c>
      <c r="Q598" s="1">
        <f>INDEX(Table2[[HomeTeam]:[Group_details]],ROWS($N$2:O598),COLUMNS($N$2:O598))</f>
        <v>1</v>
      </c>
      <c r="R598" s="1">
        <f>INDEX(Table2[[HomeTeam]:[Group_details]],ROWS($N$2:P598),COLUMNS($N$2:P598))</f>
        <v>1</v>
      </c>
      <c r="S598" s="1" t="str">
        <f>INDEX(Table2[[HomeTeam]:[Group_details]],ROWS($N$2:Q598),COLUMNS($N$2:Q598))</f>
        <v>Republic of Ireland</v>
      </c>
      <c r="T598" s="1" t="str">
        <f>INDEX(Table2[[HomeTeam]:[Group_details]],ROWS($N$2:R598),COLUMNS($N$2:R598))</f>
        <v xml:space="preserve"> </v>
      </c>
      <c r="U598" s="1" t="str">
        <f>INDEX(Table2[[HomeTeam]:[Group_details]],ROWS($N$2:S598),COLUMNS($N$2:S598))</f>
        <v>Group stages</v>
      </c>
      <c r="V598" s="1" t="b">
        <f t="shared" si="9"/>
        <v>0</v>
      </c>
      <c r="W598" s="1" t="str">
        <f>IF(V598=TRUE,ROWS($V$2:V598),"")</f>
        <v/>
      </c>
      <c r="X598" s="1" t="str">
        <f>IFERROR(SMALL($W$2:$W$853,ROWS($W$2:W598)),"")</f>
        <v/>
      </c>
      <c r="Y598" s="1" t="str">
        <f>IF($X598&lt;&gt;"",INDEX($P$2:$U$853,MATCH($X598,$W$2:$W$853,0),COLUMNS($X$2:X598)),"")</f>
        <v/>
      </c>
      <c r="Z598" s="1" t="str">
        <f>IF($X598&lt;&gt;"",INDEX($P$2:$U$853,MATCH($X598,$W$2:$W$853,0),COLUMNS($X$2:Y598)),"")</f>
        <v/>
      </c>
      <c r="AA598" s="1" t="str">
        <f>IF($X598&lt;&gt;"",INDEX($P$2:$U$853,MATCH($X598,$W$2:$W$853,0),COLUMNS($X$2:Z598)),"")</f>
        <v/>
      </c>
      <c r="AB598" s="1" t="str">
        <f>IF($X598&lt;&gt;"",INDEX($P$2:$U$853,MATCH($X598,$W$2:$W$853,0),COLUMNS($X$2:AA598)),"")</f>
        <v/>
      </c>
      <c r="AC598" s="1" t="str">
        <f>IF($X598&lt;&gt;"",INDEX($P$2:$U$853,MATCH($X598,$W$2:$W$853,0),COLUMNS($X$2:AB598)),"")</f>
        <v/>
      </c>
      <c r="AD598" s="1" t="str">
        <f>IF($X598&lt;&gt;"",INDEX($P$2:$U$853,MATCH($X598,$W$2:$W$853,0),COLUMNS($X$2:AC598)),"")</f>
        <v/>
      </c>
    </row>
    <row r="599" spans="1:30" x14ac:dyDescent="0.2">
      <c r="A599" s="1">
        <v>2002</v>
      </c>
      <c r="B599" s="2">
        <v>37413</v>
      </c>
      <c r="C599" s="1" t="s">
        <v>514</v>
      </c>
      <c r="D599" s="1" t="s">
        <v>214</v>
      </c>
      <c r="E599" s="1" t="s">
        <v>388</v>
      </c>
      <c r="F599" s="1" t="s">
        <v>389</v>
      </c>
      <c r="G599" s="6" t="str">
        <f>VLOOKUP(A599,WorldCups!$A$2:$B$23,2,FALSE)</f>
        <v>Korea/Japan</v>
      </c>
      <c r="H599" s="1" t="s">
        <v>284</v>
      </c>
      <c r="I599" s="1">
        <v>1</v>
      </c>
      <c r="J599" s="1">
        <v>1</v>
      </c>
      <c r="K599" s="1" t="s">
        <v>366</v>
      </c>
      <c r="L599" s="1" t="s">
        <v>14</v>
      </c>
      <c r="M599" s="1" t="str">
        <f>IF(ISNUMBER(SEARCH("Group",Table2[[#This Row],[Round]])),"Group stages",Table2[[#This Row],[Round]])</f>
        <v>Group stages</v>
      </c>
      <c r="O599" s="1">
        <f>Table2[[#This Row],[Year]]</f>
        <v>2002</v>
      </c>
      <c r="P599" s="1" t="str">
        <f>INDEX(Table2[[HomeTeam]:[Group_details]],ROWS($N$2:N599),COLUMNS($N$2:N599))</f>
        <v>Denmark</v>
      </c>
      <c r="Q599" s="1">
        <f>INDEX(Table2[[HomeTeam]:[Group_details]],ROWS($N$2:O599),COLUMNS($N$2:O599))</f>
        <v>1</v>
      </c>
      <c r="R599" s="1">
        <f>INDEX(Table2[[HomeTeam]:[Group_details]],ROWS($N$2:P599),COLUMNS($N$2:P599))</f>
        <v>1</v>
      </c>
      <c r="S599" s="1" t="str">
        <f>INDEX(Table2[[HomeTeam]:[Group_details]],ROWS($N$2:Q599),COLUMNS($N$2:Q599))</f>
        <v>Senegal</v>
      </c>
      <c r="T599" s="1" t="str">
        <f>INDEX(Table2[[HomeTeam]:[Group_details]],ROWS($N$2:R599),COLUMNS($N$2:R599))</f>
        <v xml:space="preserve"> </v>
      </c>
      <c r="U599" s="1" t="str">
        <f>INDEX(Table2[[HomeTeam]:[Group_details]],ROWS($N$2:S599),COLUMNS($N$2:S599))</f>
        <v>Group stages</v>
      </c>
      <c r="V599" s="1" t="b">
        <f t="shared" si="9"/>
        <v>0</v>
      </c>
      <c r="W599" s="1" t="str">
        <f>IF(V599=TRUE,ROWS($V$2:V599),"")</f>
        <v/>
      </c>
      <c r="X599" s="1" t="str">
        <f>IFERROR(SMALL($W$2:$W$853,ROWS($W$2:W599)),"")</f>
        <v/>
      </c>
      <c r="Y599" s="1" t="str">
        <f>IF($X599&lt;&gt;"",INDEX($P$2:$U$853,MATCH($X599,$W$2:$W$853,0),COLUMNS($X$2:X599)),"")</f>
        <v/>
      </c>
      <c r="Z599" s="1" t="str">
        <f>IF($X599&lt;&gt;"",INDEX($P$2:$U$853,MATCH($X599,$W$2:$W$853,0),COLUMNS($X$2:Y599)),"")</f>
        <v/>
      </c>
      <c r="AA599" s="1" t="str">
        <f>IF($X599&lt;&gt;"",INDEX($P$2:$U$853,MATCH($X599,$W$2:$W$853,0),COLUMNS($X$2:Z599)),"")</f>
        <v/>
      </c>
      <c r="AB599" s="1" t="str">
        <f>IF($X599&lt;&gt;"",INDEX($P$2:$U$853,MATCH($X599,$W$2:$W$853,0),COLUMNS($X$2:AA599)),"")</f>
        <v/>
      </c>
      <c r="AC599" s="1" t="str">
        <f>IF($X599&lt;&gt;"",INDEX($P$2:$U$853,MATCH($X599,$W$2:$W$853,0),COLUMNS($X$2:AB599)),"")</f>
        <v/>
      </c>
      <c r="AD599" s="1" t="str">
        <f>IF($X599&lt;&gt;"",INDEX($P$2:$U$853,MATCH($X599,$W$2:$W$853,0),COLUMNS($X$2:AC599)),"")</f>
        <v/>
      </c>
    </row>
    <row r="600" spans="1:30" x14ac:dyDescent="0.2">
      <c r="A600" s="1">
        <v>2002</v>
      </c>
      <c r="B600" s="2">
        <v>37413</v>
      </c>
      <c r="C600" s="1" t="s">
        <v>510</v>
      </c>
      <c r="D600" s="1" t="s">
        <v>281</v>
      </c>
      <c r="E600" s="1" t="s">
        <v>377</v>
      </c>
      <c r="F600" s="1" t="s">
        <v>378</v>
      </c>
      <c r="G600" s="6" t="str">
        <f>VLOOKUP(A600,WorldCups!$A$2:$B$23,2,FALSE)</f>
        <v>Korea/Japan</v>
      </c>
      <c r="H600" s="1" t="s">
        <v>238</v>
      </c>
      <c r="I600" s="1">
        <v>1</v>
      </c>
      <c r="J600" s="1">
        <v>0</v>
      </c>
      <c r="K600" s="1" t="s">
        <v>333</v>
      </c>
      <c r="L600" s="1" t="s">
        <v>14</v>
      </c>
      <c r="M600" s="1" t="str">
        <f>IF(ISNUMBER(SEARCH("Group",Table2[[#This Row],[Round]])),"Group stages",Table2[[#This Row],[Round]])</f>
        <v>Group stages</v>
      </c>
      <c r="O600" s="1">
        <f>Table2[[#This Row],[Year]]</f>
        <v>2002</v>
      </c>
      <c r="P600" s="1" t="str">
        <f>INDEX(Table2[[HomeTeam]:[Group_details]],ROWS($N$2:N600),COLUMNS($N$2:N600))</f>
        <v>Cameroon</v>
      </c>
      <c r="Q600" s="1">
        <f>INDEX(Table2[[HomeTeam]:[Group_details]],ROWS($N$2:O600),COLUMNS($N$2:O600))</f>
        <v>1</v>
      </c>
      <c r="R600" s="1">
        <f>INDEX(Table2[[HomeTeam]:[Group_details]],ROWS($N$2:P600),COLUMNS($N$2:P600))</f>
        <v>0</v>
      </c>
      <c r="S600" s="1" t="str">
        <f>INDEX(Table2[[HomeTeam]:[Group_details]],ROWS($N$2:Q600),COLUMNS($N$2:Q600))</f>
        <v>Saudi Arabia</v>
      </c>
      <c r="T600" s="1" t="str">
        <f>INDEX(Table2[[HomeTeam]:[Group_details]],ROWS($N$2:R600),COLUMNS($N$2:R600))</f>
        <v xml:space="preserve"> </v>
      </c>
      <c r="U600" s="1" t="str">
        <f>INDEX(Table2[[HomeTeam]:[Group_details]],ROWS($N$2:S600),COLUMNS($N$2:S600))</f>
        <v>Group stages</v>
      </c>
      <c r="V600" s="1" t="b">
        <f t="shared" si="9"/>
        <v>0</v>
      </c>
      <c r="W600" s="1" t="str">
        <f>IF(V600=TRUE,ROWS($V$2:V600),"")</f>
        <v/>
      </c>
      <c r="X600" s="1" t="str">
        <f>IFERROR(SMALL($W$2:$W$853,ROWS($W$2:W600)),"")</f>
        <v/>
      </c>
      <c r="Y600" s="1" t="str">
        <f>IF($X600&lt;&gt;"",INDEX($P$2:$U$853,MATCH($X600,$W$2:$W$853,0),COLUMNS($X$2:X600)),"")</f>
        <v/>
      </c>
      <c r="Z600" s="1" t="str">
        <f>IF($X600&lt;&gt;"",INDEX($P$2:$U$853,MATCH($X600,$W$2:$W$853,0),COLUMNS($X$2:Y600)),"")</f>
        <v/>
      </c>
      <c r="AA600" s="1" t="str">
        <f>IF($X600&lt;&gt;"",INDEX($P$2:$U$853,MATCH($X600,$W$2:$W$853,0),COLUMNS($X$2:Z600)),"")</f>
        <v/>
      </c>
      <c r="AB600" s="1" t="str">
        <f>IF($X600&lt;&gt;"",INDEX($P$2:$U$853,MATCH($X600,$W$2:$W$853,0),COLUMNS($X$2:AA600)),"")</f>
        <v/>
      </c>
      <c r="AC600" s="1" t="str">
        <f>IF($X600&lt;&gt;"",INDEX($P$2:$U$853,MATCH($X600,$W$2:$W$853,0),COLUMNS($X$2:AB600)),"")</f>
        <v/>
      </c>
      <c r="AD600" s="1" t="str">
        <f>IF($X600&lt;&gt;"",INDEX($P$2:$U$853,MATCH($X600,$W$2:$W$853,0),COLUMNS($X$2:AC600)),"")</f>
        <v/>
      </c>
    </row>
    <row r="601" spans="1:30" x14ac:dyDescent="0.2">
      <c r="A601" s="1">
        <v>2002</v>
      </c>
      <c r="B601" s="2">
        <v>37413</v>
      </c>
      <c r="C601" s="1" t="s">
        <v>535</v>
      </c>
      <c r="D601" s="1" t="s">
        <v>214</v>
      </c>
      <c r="E601" s="1" t="s">
        <v>375</v>
      </c>
      <c r="F601" s="1" t="s">
        <v>376</v>
      </c>
      <c r="G601" s="6" t="str">
        <f>VLOOKUP(A601,WorldCups!$A$2:$B$23,2,FALSE)</f>
        <v>Korea/Japan</v>
      </c>
      <c r="H601" s="1" t="s">
        <v>12</v>
      </c>
      <c r="I601" s="1">
        <v>0</v>
      </c>
      <c r="J601" s="1">
        <v>0</v>
      </c>
      <c r="K601" s="1" t="s">
        <v>30</v>
      </c>
      <c r="L601" s="1" t="s">
        <v>14</v>
      </c>
      <c r="M601" s="1" t="str">
        <f>IF(ISNUMBER(SEARCH("Group",Table2[[#This Row],[Round]])),"Group stages",Table2[[#This Row],[Round]])</f>
        <v>Group stages</v>
      </c>
      <c r="O601" s="1">
        <f>Table2[[#This Row],[Year]]</f>
        <v>2002</v>
      </c>
      <c r="P601" s="1" t="str">
        <f>INDEX(Table2[[HomeTeam]:[Group_details]],ROWS($N$2:N601),COLUMNS($N$2:N601))</f>
        <v>France</v>
      </c>
      <c r="Q601" s="1">
        <f>INDEX(Table2[[HomeTeam]:[Group_details]],ROWS($N$2:O601),COLUMNS($N$2:O601))</f>
        <v>0</v>
      </c>
      <c r="R601" s="1">
        <f>INDEX(Table2[[HomeTeam]:[Group_details]],ROWS($N$2:P601),COLUMNS($N$2:P601))</f>
        <v>0</v>
      </c>
      <c r="S601" s="1" t="str">
        <f>INDEX(Table2[[HomeTeam]:[Group_details]],ROWS($N$2:Q601),COLUMNS($N$2:Q601))</f>
        <v>Uruguay</v>
      </c>
      <c r="T601" s="1" t="str">
        <f>INDEX(Table2[[HomeTeam]:[Group_details]],ROWS($N$2:R601),COLUMNS($N$2:R601))</f>
        <v xml:space="preserve"> </v>
      </c>
      <c r="U601" s="1" t="str">
        <f>INDEX(Table2[[HomeTeam]:[Group_details]],ROWS($N$2:S601),COLUMNS($N$2:S601))</f>
        <v>Group stages</v>
      </c>
      <c r="V601" s="1" t="b">
        <f t="shared" si="9"/>
        <v>0</v>
      </c>
      <c r="W601" s="1" t="str">
        <f>IF(V601=TRUE,ROWS($V$2:V601),"")</f>
        <v/>
      </c>
      <c r="X601" s="1" t="str">
        <f>IFERROR(SMALL($W$2:$W$853,ROWS($W$2:W601)),"")</f>
        <v/>
      </c>
      <c r="Y601" s="1" t="str">
        <f>IF($X601&lt;&gt;"",INDEX($P$2:$U$853,MATCH($X601,$W$2:$W$853,0),COLUMNS($X$2:X601)),"")</f>
        <v/>
      </c>
      <c r="Z601" s="1" t="str">
        <f>IF($X601&lt;&gt;"",INDEX($P$2:$U$853,MATCH($X601,$W$2:$W$853,0),COLUMNS($X$2:Y601)),"")</f>
        <v/>
      </c>
      <c r="AA601" s="1" t="str">
        <f>IF($X601&lt;&gt;"",INDEX($P$2:$U$853,MATCH($X601,$W$2:$W$853,0),COLUMNS($X$2:Z601)),"")</f>
        <v/>
      </c>
      <c r="AB601" s="1" t="str">
        <f>IF($X601&lt;&gt;"",INDEX($P$2:$U$853,MATCH($X601,$W$2:$W$853,0),COLUMNS($X$2:AA601)),"")</f>
        <v/>
      </c>
      <c r="AC601" s="1" t="str">
        <f>IF($X601&lt;&gt;"",INDEX($P$2:$U$853,MATCH($X601,$W$2:$W$853,0),COLUMNS($X$2:AB601)),"")</f>
        <v/>
      </c>
      <c r="AD601" s="1" t="str">
        <f>IF($X601&lt;&gt;"",INDEX($P$2:$U$853,MATCH($X601,$W$2:$W$853,0),COLUMNS($X$2:AC601)),"")</f>
        <v/>
      </c>
    </row>
    <row r="602" spans="1:30" x14ac:dyDescent="0.2">
      <c r="A602" s="1">
        <v>2002</v>
      </c>
      <c r="B602" s="2">
        <v>37414</v>
      </c>
      <c r="C602" s="1" t="s">
        <v>514</v>
      </c>
      <c r="D602" s="1" t="s">
        <v>274</v>
      </c>
      <c r="E602" s="1" t="s">
        <v>384</v>
      </c>
      <c r="F602" s="1" t="s">
        <v>385</v>
      </c>
      <c r="G602" s="6" t="str">
        <f>VLOOKUP(A602,WorldCups!$A$2:$B$23,2,FALSE)</f>
        <v>Korea/Japan</v>
      </c>
      <c r="H602" s="1" t="s">
        <v>48</v>
      </c>
      <c r="I602" s="1">
        <v>2</v>
      </c>
      <c r="J602" s="1">
        <v>1</v>
      </c>
      <c r="K602" s="1" t="s">
        <v>340</v>
      </c>
      <c r="L602" s="1" t="s">
        <v>14</v>
      </c>
      <c r="M602" s="1" t="str">
        <f>IF(ISNUMBER(SEARCH("Group",Table2[[#This Row],[Round]])),"Group stages",Table2[[#This Row],[Round]])</f>
        <v>Group stages</v>
      </c>
      <c r="O602" s="1">
        <f>Table2[[#This Row],[Year]]</f>
        <v>2002</v>
      </c>
      <c r="P602" s="1" t="str">
        <f>INDEX(Table2[[HomeTeam]:[Group_details]],ROWS($N$2:N602),COLUMNS($N$2:N602))</f>
        <v>Sweden</v>
      </c>
      <c r="Q602" s="1">
        <f>INDEX(Table2[[HomeTeam]:[Group_details]],ROWS($N$2:O602),COLUMNS($N$2:O602))</f>
        <v>2</v>
      </c>
      <c r="R602" s="1">
        <f>INDEX(Table2[[HomeTeam]:[Group_details]],ROWS($N$2:P602),COLUMNS($N$2:P602))</f>
        <v>1</v>
      </c>
      <c r="S602" s="1" t="str">
        <f>INDEX(Table2[[HomeTeam]:[Group_details]],ROWS($N$2:Q602),COLUMNS($N$2:Q602))</f>
        <v>Nigeria</v>
      </c>
      <c r="T602" s="1" t="str">
        <f>INDEX(Table2[[HomeTeam]:[Group_details]],ROWS($N$2:R602),COLUMNS($N$2:R602))</f>
        <v xml:space="preserve"> </v>
      </c>
      <c r="U602" s="1" t="str">
        <f>INDEX(Table2[[HomeTeam]:[Group_details]],ROWS($N$2:S602),COLUMNS($N$2:S602))</f>
        <v>Group stages</v>
      </c>
      <c r="V602" s="1" t="b">
        <f t="shared" si="9"/>
        <v>0</v>
      </c>
      <c r="W602" s="1" t="str">
        <f>IF(V602=TRUE,ROWS($V$2:V602),"")</f>
        <v/>
      </c>
      <c r="X602" s="1" t="str">
        <f>IFERROR(SMALL($W$2:$W$853,ROWS($W$2:W602)),"")</f>
        <v/>
      </c>
      <c r="Y602" s="1" t="str">
        <f>IF($X602&lt;&gt;"",INDEX($P$2:$U$853,MATCH($X602,$W$2:$W$853,0),COLUMNS($X$2:X602)),"")</f>
        <v/>
      </c>
      <c r="Z602" s="1" t="str">
        <f>IF($X602&lt;&gt;"",INDEX($P$2:$U$853,MATCH($X602,$W$2:$W$853,0),COLUMNS($X$2:Y602)),"")</f>
        <v/>
      </c>
      <c r="AA602" s="1" t="str">
        <f>IF($X602&lt;&gt;"",INDEX($P$2:$U$853,MATCH($X602,$W$2:$W$853,0),COLUMNS($X$2:Z602)),"")</f>
        <v/>
      </c>
      <c r="AB602" s="1" t="str">
        <f>IF($X602&lt;&gt;"",INDEX($P$2:$U$853,MATCH($X602,$W$2:$W$853,0),COLUMNS($X$2:AA602)),"")</f>
        <v/>
      </c>
      <c r="AC602" s="1" t="str">
        <f>IF($X602&lt;&gt;"",INDEX($P$2:$U$853,MATCH($X602,$W$2:$W$853,0),COLUMNS($X$2:AB602)),"")</f>
        <v/>
      </c>
      <c r="AD602" s="1" t="str">
        <f>IF($X602&lt;&gt;"",INDEX($P$2:$U$853,MATCH($X602,$W$2:$W$853,0),COLUMNS($X$2:AC602)),"")</f>
        <v/>
      </c>
    </row>
    <row r="603" spans="1:30" x14ac:dyDescent="0.2">
      <c r="A603" s="1">
        <v>2002</v>
      </c>
      <c r="B603" s="2">
        <v>37414</v>
      </c>
      <c r="C603" s="1" t="s">
        <v>535</v>
      </c>
      <c r="D603" s="1" t="s">
        <v>274</v>
      </c>
      <c r="E603" s="1" t="s">
        <v>371</v>
      </c>
      <c r="F603" s="1" t="s">
        <v>372</v>
      </c>
      <c r="G603" s="6" t="str">
        <f>VLOOKUP(A603,WorldCups!$A$2:$B$23,2,FALSE)</f>
        <v>Korea/Japan</v>
      </c>
      <c r="H603" s="1" t="s">
        <v>25</v>
      </c>
      <c r="I603" s="1">
        <v>0</v>
      </c>
      <c r="J603" s="1">
        <v>1</v>
      </c>
      <c r="K603" s="1" t="s">
        <v>93</v>
      </c>
      <c r="L603" s="1" t="s">
        <v>14</v>
      </c>
      <c r="M603" s="1" t="str">
        <f>IF(ISNUMBER(SEARCH("Group",Table2[[#This Row],[Round]])),"Group stages",Table2[[#This Row],[Round]])</f>
        <v>Group stages</v>
      </c>
      <c r="O603" s="1">
        <f>Table2[[#This Row],[Year]]</f>
        <v>2002</v>
      </c>
      <c r="P603" s="1" t="str">
        <f>INDEX(Table2[[HomeTeam]:[Group_details]],ROWS($N$2:N603),COLUMNS($N$2:N603))</f>
        <v>Argentina</v>
      </c>
      <c r="Q603" s="1">
        <f>INDEX(Table2[[HomeTeam]:[Group_details]],ROWS($N$2:O603),COLUMNS($N$2:O603))</f>
        <v>0</v>
      </c>
      <c r="R603" s="1">
        <f>INDEX(Table2[[HomeTeam]:[Group_details]],ROWS($N$2:P603),COLUMNS($N$2:P603))</f>
        <v>1</v>
      </c>
      <c r="S603" s="1" t="str">
        <f>INDEX(Table2[[HomeTeam]:[Group_details]],ROWS($N$2:Q603),COLUMNS($N$2:Q603))</f>
        <v>England</v>
      </c>
      <c r="T603" s="1" t="str">
        <f>INDEX(Table2[[HomeTeam]:[Group_details]],ROWS($N$2:R603),COLUMNS($N$2:R603))</f>
        <v xml:space="preserve"> </v>
      </c>
      <c r="U603" s="1" t="str">
        <f>INDEX(Table2[[HomeTeam]:[Group_details]],ROWS($N$2:S603),COLUMNS($N$2:S603))</f>
        <v>Group stages</v>
      </c>
      <c r="V603" s="1" t="b">
        <f t="shared" si="9"/>
        <v>0</v>
      </c>
      <c r="W603" s="1" t="str">
        <f>IF(V603=TRUE,ROWS($V$2:V603),"")</f>
        <v/>
      </c>
      <c r="X603" s="1" t="str">
        <f>IFERROR(SMALL($W$2:$W$853,ROWS($W$2:W603)),"")</f>
        <v/>
      </c>
      <c r="Y603" s="1" t="str">
        <f>IF($X603&lt;&gt;"",INDEX($P$2:$U$853,MATCH($X603,$W$2:$W$853,0),COLUMNS($X$2:X603)),"")</f>
        <v/>
      </c>
      <c r="Z603" s="1" t="str">
        <f>IF($X603&lt;&gt;"",INDEX($P$2:$U$853,MATCH($X603,$W$2:$W$853,0),COLUMNS($X$2:Y603)),"")</f>
        <v/>
      </c>
      <c r="AA603" s="1" t="str">
        <f>IF($X603&lt;&gt;"",INDEX($P$2:$U$853,MATCH($X603,$W$2:$W$853,0),COLUMNS($X$2:Z603)),"")</f>
        <v/>
      </c>
      <c r="AB603" s="1" t="str">
        <f>IF($X603&lt;&gt;"",INDEX($P$2:$U$853,MATCH($X603,$W$2:$W$853,0),COLUMNS($X$2:AA603)),"")</f>
        <v/>
      </c>
      <c r="AC603" s="1" t="str">
        <f>IF($X603&lt;&gt;"",INDEX($P$2:$U$853,MATCH($X603,$W$2:$W$853,0),COLUMNS($X$2:AB603)),"")</f>
        <v/>
      </c>
      <c r="AD603" s="1" t="str">
        <f>IF($X603&lt;&gt;"",INDEX($P$2:$U$853,MATCH($X603,$W$2:$W$853,0),COLUMNS($X$2:AC603)),"")</f>
        <v/>
      </c>
    </row>
    <row r="604" spans="1:30" x14ac:dyDescent="0.2">
      <c r="A604" s="1">
        <v>2002</v>
      </c>
      <c r="B604" s="2">
        <v>37414</v>
      </c>
      <c r="C604" s="1" t="s">
        <v>510</v>
      </c>
      <c r="D604" s="1" t="s">
        <v>213</v>
      </c>
      <c r="E604" s="1" t="s">
        <v>390</v>
      </c>
      <c r="F604" s="1" t="s">
        <v>391</v>
      </c>
      <c r="G604" s="6" t="str">
        <f>VLOOKUP(A604,WorldCups!$A$2:$B$23,2,FALSE)</f>
        <v>Korea/Japan</v>
      </c>
      <c r="H604" s="1" t="s">
        <v>54</v>
      </c>
      <c r="I604" s="1">
        <v>3</v>
      </c>
      <c r="J604" s="1">
        <v>1</v>
      </c>
      <c r="K604" s="1" t="s">
        <v>28</v>
      </c>
      <c r="L604" s="1" t="s">
        <v>14</v>
      </c>
      <c r="M604" s="1" t="str">
        <f>IF(ISNUMBER(SEARCH("Group",Table2[[#This Row],[Round]])),"Group stages",Table2[[#This Row],[Round]])</f>
        <v>Group stages</v>
      </c>
      <c r="O604" s="1">
        <f>Table2[[#This Row],[Year]]</f>
        <v>2002</v>
      </c>
      <c r="P604" s="1" t="str">
        <f>INDEX(Table2[[HomeTeam]:[Group_details]],ROWS($N$2:N604),COLUMNS($N$2:N604))</f>
        <v>Spain</v>
      </c>
      <c r="Q604" s="1">
        <f>INDEX(Table2[[HomeTeam]:[Group_details]],ROWS($N$2:O604),COLUMNS($N$2:O604))</f>
        <v>3</v>
      </c>
      <c r="R604" s="1">
        <f>INDEX(Table2[[HomeTeam]:[Group_details]],ROWS($N$2:P604),COLUMNS($N$2:P604))</f>
        <v>1</v>
      </c>
      <c r="S604" s="1" t="str">
        <f>INDEX(Table2[[HomeTeam]:[Group_details]],ROWS($N$2:Q604),COLUMNS($N$2:Q604))</f>
        <v>Paraguay</v>
      </c>
      <c r="T604" s="1" t="str">
        <f>INDEX(Table2[[HomeTeam]:[Group_details]],ROWS($N$2:R604),COLUMNS($N$2:R604))</f>
        <v xml:space="preserve"> </v>
      </c>
      <c r="U604" s="1" t="str">
        <f>INDEX(Table2[[HomeTeam]:[Group_details]],ROWS($N$2:S604),COLUMNS($N$2:S604))</f>
        <v>Group stages</v>
      </c>
      <c r="V604" s="1" t="b">
        <f t="shared" si="9"/>
        <v>0</v>
      </c>
      <c r="W604" s="1" t="str">
        <f>IF(V604=TRUE,ROWS($V$2:V604),"")</f>
        <v/>
      </c>
      <c r="X604" s="1" t="str">
        <f>IFERROR(SMALL($W$2:$W$853,ROWS($W$2:W604)),"")</f>
        <v/>
      </c>
      <c r="Y604" s="1" t="str">
        <f>IF($X604&lt;&gt;"",INDEX($P$2:$U$853,MATCH($X604,$W$2:$W$853,0),COLUMNS($X$2:X604)),"")</f>
        <v/>
      </c>
      <c r="Z604" s="1" t="str">
        <f>IF($X604&lt;&gt;"",INDEX($P$2:$U$853,MATCH($X604,$W$2:$W$853,0),COLUMNS($X$2:Y604)),"")</f>
        <v/>
      </c>
      <c r="AA604" s="1" t="str">
        <f>IF($X604&lt;&gt;"",INDEX($P$2:$U$853,MATCH($X604,$W$2:$W$853,0),COLUMNS($X$2:Z604)),"")</f>
        <v/>
      </c>
      <c r="AB604" s="1" t="str">
        <f>IF($X604&lt;&gt;"",INDEX($P$2:$U$853,MATCH($X604,$W$2:$W$853,0),COLUMNS($X$2:AA604)),"")</f>
        <v/>
      </c>
      <c r="AC604" s="1" t="str">
        <f>IF($X604&lt;&gt;"",INDEX($P$2:$U$853,MATCH($X604,$W$2:$W$853,0),COLUMNS($X$2:AB604)),"")</f>
        <v/>
      </c>
      <c r="AD604" s="1" t="str">
        <f>IF($X604&lt;&gt;"",INDEX($P$2:$U$853,MATCH($X604,$W$2:$W$853,0),COLUMNS($X$2:AC604)),"")</f>
        <v/>
      </c>
    </row>
    <row r="605" spans="1:30" x14ac:dyDescent="0.2">
      <c r="A605" s="1">
        <v>2002</v>
      </c>
      <c r="B605" s="2">
        <v>37415</v>
      </c>
      <c r="C605" s="1" t="s">
        <v>514</v>
      </c>
      <c r="D605" s="1" t="s">
        <v>213</v>
      </c>
      <c r="E605" s="1" t="s">
        <v>388</v>
      </c>
      <c r="F605" s="1" t="s">
        <v>389</v>
      </c>
      <c r="G605" s="6" t="str">
        <f>VLOOKUP(A605,WorldCups!$A$2:$B$23,2,FALSE)</f>
        <v>Korea/Japan</v>
      </c>
      <c r="H605" s="1" t="s">
        <v>350</v>
      </c>
      <c r="I605" s="1">
        <v>1</v>
      </c>
      <c r="J605" s="1">
        <v>0</v>
      </c>
      <c r="K605" s="1" t="s">
        <v>381</v>
      </c>
      <c r="L605" s="1" t="s">
        <v>14</v>
      </c>
      <c r="M605" s="1" t="str">
        <f>IF(ISNUMBER(SEARCH("Group",Table2[[#This Row],[Round]])),"Group stages",Table2[[#This Row],[Round]])</f>
        <v>Group stages</v>
      </c>
      <c r="O605" s="1">
        <f>Table2[[#This Row],[Year]]</f>
        <v>2002</v>
      </c>
      <c r="P605" s="1" t="str">
        <f>INDEX(Table2[[HomeTeam]:[Group_details]],ROWS($N$2:N605),COLUMNS($N$2:N605))</f>
        <v>South Africa</v>
      </c>
      <c r="Q605" s="1">
        <f>INDEX(Table2[[HomeTeam]:[Group_details]],ROWS($N$2:O605),COLUMNS($N$2:O605))</f>
        <v>1</v>
      </c>
      <c r="R605" s="1">
        <f>INDEX(Table2[[HomeTeam]:[Group_details]],ROWS($N$2:P605),COLUMNS($N$2:P605))</f>
        <v>0</v>
      </c>
      <c r="S605" s="1" t="str">
        <f>INDEX(Table2[[HomeTeam]:[Group_details]],ROWS($N$2:Q605),COLUMNS($N$2:Q605))</f>
        <v>Slovenia</v>
      </c>
      <c r="T605" s="1" t="str">
        <f>INDEX(Table2[[HomeTeam]:[Group_details]],ROWS($N$2:R605),COLUMNS($N$2:R605))</f>
        <v xml:space="preserve"> </v>
      </c>
      <c r="U605" s="1" t="str">
        <f>INDEX(Table2[[HomeTeam]:[Group_details]],ROWS($N$2:S605),COLUMNS($N$2:S605))</f>
        <v>Group stages</v>
      </c>
      <c r="V605" s="1" t="b">
        <f t="shared" si="9"/>
        <v>0</v>
      </c>
      <c r="W605" s="1" t="str">
        <f>IF(V605=TRUE,ROWS($V$2:V605),"")</f>
        <v/>
      </c>
      <c r="X605" s="1" t="str">
        <f>IFERROR(SMALL($W$2:$W$853,ROWS($W$2:W605)),"")</f>
        <v/>
      </c>
      <c r="Y605" s="1" t="str">
        <f>IF($X605&lt;&gt;"",INDEX($P$2:$U$853,MATCH($X605,$W$2:$W$853,0),COLUMNS($X$2:X605)),"")</f>
        <v/>
      </c>
      <c r="Z605" s="1" t="str">
        <f>IF($X605&lt;&gt;"",INDEX($P$2:$U$853,MATCH($X605,$W$2:$W$853,0),COLUMNS($X$2:Y605)),"")</f>
        <v/>
      </c>
      <c r="AA605" s="1" t="str">
        <f>IF($X605&lt;&gt;"",INDEX($P$2:$U$853,MATCH($X605,$W$2:$W$853,0),COLUMNS($X$2:Z605)),"")</f>
        <v/>
      </c>
      <c r="AB605" s="1" t="str">
        <f>IF($X605&lt;&gt;"",INDEX($P$2:$U$853,MATCH($X605,$W$2:$W$853,0),COLUMNS($X$2:AA605)),"")</f>
        <v/>
      </c>
      <c r="AC605" s="1" t="str">
        <f>IF($X605&lt;&gt;"",INDEX($P$2:$U$853,MATCH($X605,$W$2:$W$853,0),COLUMNS($X$2:AB605)),"")</f>
        <v/>
      </c>
      <c r="AD605" s="1" t="str">
        <f>IF($X605&lt;&gt;"",INDEX($P$2:$U$853,MATCH($X605,$W$2:$W$853,0),COLUMNS($X$2:AC605)),"")</f>
        <v/>
      </c>
    </row>
    <row r="606" spans="1:30" x14ac:dyDescent="0.2">
      <c r="A606" s="1">
        <v>2002</v>
      </c>
      <c r="B606" s="2">
        <v>37415</v>
      </c>
      <c r="C606" s="1" t="s">
        <v>535</v>
      </c>
      <c r="D606" s="1" t="s">
        <v>268</v>
      </c>
      <c r="E606" s="1" t="s">
        <v>392</v>
      </c>
      <c r="F606" s="1" t="s">
        <v>393</v>
      </c>
      <c r="G606" s="6" t="str">
        <f>VLOOKUP(A606,WorldCups!$A$2:$B$23,2,FALSE)</f>
        <v>Korea/Japan</v>
      </c>
      <c r="H606" s="1" t="s">
        <v>21</v>
      </c>
      <c r="I606" s="1">
        <v>4</v>
      </c>
      <c r="J606" s="1">
        <v>0</v>
      </c>
      <c r="K606" s="1" t="s">
        <v>383</v>
      </c>
      <c r="L606" s="1" t="s">
        <v>14</v>
      </c>
      <c r="M606" s="1" t="str">
        <f>IF(ISNUMBER(SEARCH("Group",Table2[[#This Row],[Round]])),"Group stages",Table2[[#This Row],[Round]])</f>
        <v>Group stages</v>
      </c>
      <c r="O606" s="1">
        <f>Table2[[#This Row],[Year]]</f>
        <v>2002</v>
      </c>
      <c r="P606" s="1" t="str">
        <f>INDEX(Table2[[HomeTeam]:[Group_details]],ROWS($N$2:N606),COLUMNS($N$2:N606))</f>
        <v>Brazil</v>
      </c>
      <c r="Q606" s="1">
        <f>INDEX(Table2[[HomeTeam]:[Group_details]],ROWS($N$2:O606),COLUMNS($N$2:O606))</f>
        <v>4</v>
      </c>
      <c r="R606" s="1">
        <f>INDEX(Table2[[HomeTeam]:[Group_details]],ROWS($N$2:P606),COLUMNS($N$2:P606))</f>
        <v>0</v>
      </c>
      <c r="S606" s="1" t="str">
        <f>INDEX(Table2[[HomeTeam]:[Group_details]],ROWS($N$2:Q606),COLUMNS($N$2:Q606))</f>
        <v>China PR</v>
      </c>
      <c r="T606" s="1" t="str">
        <f>INDEX(Table2[[HomeTeam]:[Group_details]],ROWS($N$2:R606),COLUMNS($N$2:R606))</f>
        <v xml:space="preserve"> </v>
      </c>
      <c r="U606" s="1" t="str">
        <f>INDEX(Table2[[HomeTeam]:[Group_details]],ROWS($N$2:S606),COLUMNS($N$2:S606))</f>
        <v>Group stages</v>
      </c>
      <c r="V606" s="1" t="b">
        <f t="shared" si="9"/>
        <v>0</v>
      </c>
      <c r="W606" s="1" t="str">
        <f>IF(V606=TRUE,ROWS($V$2:V606),"")</f>
        <v/>
      </c>
      <c r="X606" s="1" t="str">
        <f>IFERROR(SMALL($W$2:$W$853,ROWS($W$2:W606)),"")</f>
        <v/>
      </c>
      <c r="Y606" s="1" t="str">
        <f>IF($X606&lt;&gt;"",INDEX($P$2:$U$853,MATCH($X606,$W$2:$W$853,0),COLUMNS($X$2:X606)),"")</f>
        <v/>
      </c>
      <c r="Z606" s="1" t="str">
        <f>IF($X606&lt;&gt;"",INDEX($P$2:$U$853,MATCH($X606,$W$2:$W$853,0),COLUMNS($X$2:Y606)),"")</f>
        <v/>
      </c>
      <c r="AA606" s="1" t="str">
        <f>IF($X606&lt;&gt;"",INDEX($P$2:$U$853,MATCH($X606,$W$2:$W$853,0),COLUMNS($X$2:Z606)),"")</f>
        <v/>
      </c>
      <c r="AB606" s="1" t="str">
        <f>IF($X606&lt;&gt;"",INDEX($P$2:$U$853,MATCH($X606,$W$2:$W$853,0),COLUMNS($X$2:AA606)),"")</f>
        <v/>
      </c>
      <c r="AC606" s="1" t="str">
        <f>IF($X606&lt;&gt;"",INDEX($P$2:$U$853,MATCH($X606,$W$2:$W$853,0),COLUMNS($X$2:AB606)),"")</f>
        <v/>
      </c>
      <c r="AD606" s="1" t="str">
        <f>IF($X606&lt;&gt;"",INDEX($P$2:$U$853,MATCH($X606,$W$2:$W$853,0),COLUMNS($X$2:AC606)),"")</f>
        <v/>
      </c>
    </row>
    <row r="607" spans="1:30" x14ac:dyDescent="0.2">
      <c r="A607" s="1">
        <v>2002</v>
      </c>
      <c r="B607" s="2">
        <v>37415</v>
      </c>
      <c r="C607" s="1" t="s">
        <v>510</v>
      </c>
      <c r="D607" s="1" t="s">
        <v>361</v>
      </c>
      <c r="E607" s="1" t="s">
        <v>373</v>
      </c>
      <c r="F607" s="1" t="s">
        <v>374</v>
      </c>
      <c r="G607" s="6" t="str">
        <f>VLOOKUP(A607,WorldCups!$A$2:$B$23,2,FALSE)</f>
        <v>Korea/Japan</v>
      </c>
      <c r="H607" s="1" t="s">
        <v>57</v>
      </c>
      <c r="I607" s="1">
        <v>1</v>
      </c>
      <c r="J607" s="1">
        <v>2</v>
      </c>
      <c r="K607" s="1" t="s">
        <v>360</v>
      </c>
      <c r="L607" s="1" t="s">
        <v>14</v>
      </c>
      <c r="M607" s="1" t="str">
        <f>IF(ISNUMBER(SEARCH("Group",Table2[[#This Row],[Round]])),"Group stages",Table2[[#This Row],[Round]])</f>
        <v>Group stages</v>
      </c>
      <c r="O607" s="1">
        <f>Table2[[#This Row],[Year]]</f>
        <v>2002</v>
      </c>
      <c r="P607" s="1" t="str">
        <f>INDEX(Table2[[HomeTeam]:[Group_details]],ROWS($N$2:N607),COLUMNS($N$2:N607))</f>
        <v>Italy</v>
      </c>
      <c r="Q607" s="1">
        <f>INDEX(Table2[[HomeTeam]:[Group_details]],ROWS($N$2:O607),COLUMNS($N$2:O607))</f>
        <v>1</v>
      </c>
      <c r="R607" s="1">
        <f>INDEX(Table2[[HomeTeam]:[Group_details]],ROWS($N$2:P607),COLUMNS($N$2:P607))</f>
        <v>2</v>
      </c>
      <c r="S607" s="1" t="str">
        <f>INDEX(Table2[[HomeTeam]:[Group_details]],ROWS($N$2:Q607),COLUMNS($N$2:Q607))</f>
        <v>Croatia</v>
      </c>
      <c r="T607" s="1" t="str">
        <f>INDEX(Table2[[HomeTeam]:[Group_details]],ROWS($N$2:R607),COLUMNS($N$2:R607))</f>
        <v xml:space="preserve"> </v>
      </c>
      <c r="U607" s="1" t="str">
        <f>INDEX(Table2[[HomeTeam]:[Group_details]],ROWS($N$2:S607),COLUMNS($N$2:S607))</f>
        <v>Group stages</v>
      </c>
      <c r="V607" s="1" t="b">
        <f t="shared" si="9"/>
        <v>0</v>
      </c>
      <c r="W607" s="1" t="str">
        <f>IF(V607=TRUE,ROWS($V$2:V607),"")</f>
        <v/>
      </c>
      <c r="X607" s="1" t="str">
        <f>IFERROR(SMALL($W$2:$W$853,ROWS($W$2:W607)),"")</f>
        <v/>
      </c>
      <c r="Y607" s="1" t="str">
        <f>IF($X607&lt;&gt;"",INDEX($P$2:$U$853,MATCH($X607,$W$2:$W$853,0),COLUMNS($X$2:X607)),"")</f>
        <v/>
      </c>
      <c r="Z607" s="1" t="str">
        <f>IF($X607&lt;&gt;"",INDEX($P$2:$U$853,MATCH($X607,$W$2:$W$853,0),COLUMNS($X$2:Y607)),"")</f>
        <v/>
      </c>
      <c r="AA607" s="1" t="str">
        <f>IF($X607&lt;&gt;"",INDEX($P$2:$U$853,MATCH($X607,$W$2:$W$853,0),COLUMNS($X$2:Z607)),"")</f>
        <v/>
      </c>
      <c r="AB607" s="1" t="str">
        <f>IF($X607&lt;&gt;"",INDEX($P$2:$U$853,MATCH($X607,$W$2:$W$853,0),COLUMNS($X$2:AA607)),"")</f>
        <v/>
      </c>
      <c r="AC607" s="1" t="str">
        <f>IF($X607&lt;&gt;"",INDEX($P$2:$U$853,MATCH($X607,$W$2:$W$853,0),COLUMNS($X$2:AB607)),"")</f>
        <v/>
      </c>
      <c r="AD607" s="1" t="str">
        <f>IF($X607&lt;&gt;"",INDEX($P$2:$U$853,MATCH($X607,$W$2:$W$853,0),COLUMNS($X$2:AC607)),"")</f>
        <v/>
      </c>
    </row>
    <row r="608" spans="1:30" x14ac:dyDescent="0.2">
      <c r="A608" s="1">
        <v>2002</v>
      </c>
      <c r="B608" s="2">
        <v>37416</v>
      </c>
      <c r="C608" s="1" t="s">
        <v>510</v>
      </c>
      <c r="D608" s="1" t="s">
        <v>268</v>
      </c>
      <c r="E608" s="1" t="s">
        <v>394</v>
      </c>
      <c r="F608" s="1" t="s">
        <v>395</v>
      </c>
      <c r="G608" s="6" t="str">
        <f>VLOOKUP(A608,WorldCups!$A$2:$B$23,2,FALSE)</f>
        <v>Korea/Japan</v>
      </c>
      <c r="H608" s="1" t="s">
        <v>301</v>
      </c>
      <c r="I608" s="1">
        <v>1</v>
      </c>
      <c r="J608" s="1">
        <v>1</v>
      </c>
      <c r="K608" s="1" t="s">
        <v>115</v>
      </c>
      <c r="L608" s="1" t="s">
        <v>14</v>
      </c>
      <c r="M608" s="1" t="str">
        <f>IF(ISNUMBER(SEARCH("Group",Table2[[#This Row],[Round]])),"Group stages",Table2[[#This Row],[Round]])</f>
        <v>Group stages</v>
      </c>
      <c r="O608" s="1">
        <f>Table2[[#This Row],[Year]]</f>
        <v>2002</v>
      </c>
      <c r="P608" s="1" t="str">
        <f>INDEX(Table2[[HomeTeam]:[Group_details]],ROWS($N$2:N608),COLUMNS($N$2:N608))</f>
        <v>Costa Rica</v>
      </c>
      <c r="Q608" s="1">
        <f>INDEX(Table2[[HomeTeam]:[Group_details]],ROWS($N$2:O608),COLUMNS($N$2:O608))</f>
        <v>1</v>
      </c>
      <c r="R608" s="1">
        <f>INDEX(Table2[[HomeTeam]:[Group_details]],ROWS($N$2:P608),COLUMNS($N$2:P608))</f>
        <v>1</v>
      </c>
      <c r="S608" s="1" t="str">
        <f>INDEX(Table2[[HomeTeam]:[Group_details]],ROWS($N$2:Q608),COLUMNS($N$2:Q608))</f>
        <v>Turkey</v>
      </c>
      <c r="T608" s="1" t="str">
        <f>INDEX(Table2[[HomeTeam]:[Group_details]],ROWS($N$2:R608),COLUMNS($N$2:R608))</f>
        <v xml:space="preserve"> </v>
      </c>
      <c r="U608" s="1" t="str">
        <f>INDEX(Table2[[HomeTeam]:[Group_details]],ROWS($N$2:S608),COLUMNS($N$2:S608))</f>
        <v>Group stages</v>
      </c>
      <c r="V608" s="1" t="b">
        <f t="shared" si="9"/>
        <v>0</v>
      </c>
      <c r="W608" s="1" t="str">
        <f>IF(V608=TRUE,ROWS($V$2:V608),"")</f>
        <v/>
      </c>
      <c r="X608" s="1" t="str">
        <f>IFERROR(SMALL($W$2:$W$853,ROWS($W$2:W608)),"")</f>
        <v/>
      </c>
      <c r="Y608" s="1" t="str">
        <f>IF($X608&lt;&gt;"",INDEX($P$2:$U$853,MATCH($X608,$W$2:$W$853,0),COLUMNS($X$2:X608)),"")</f>
        <v/>
      </c>
      <c r="Z608" s="1" t="str">
        <f>IF($X608&lt;&gt;"",INDEX($P$2:$U$853,MATCH($X608,$W$2:$W$853,0),COLUMNS($X$2:Y608)),"")</f>
        <v/>
      </c>
      <c r="AA608" s="1" t="str">
        <f>IF($X608&lt;&gt;"",INDEX($P$2:$U$853,MATCH($X608,$W$2:$W$853,0),COLUMNS($X$2:Z608)),"")</f>
        <v/>
      </c>
      <c r="AB608" s="1" t="str">
        <f>IF($X608&lt;&gt;"",INDEX($P$2:$U$853,MATCH($X608,$W$2:$W$853,0),COLUMNS($X$2:AA608)),"")</f>
        <v/>
      </c>
      <c r="AC608" s="1" t="str">
        <f>IF($X608&lt;&gt;"",INDEX($P$2:$U$853,MATCH($X608,$W$2:$W$853,0),COLUMNS($X$2:AB608)),"")</f>
        <v/>
      </c>
      <c r="AD608" s="1" t="str">
        <f>IF($X608&lt;&gt;"",INDEX($P$2:$U$853,MATCH($X608,$W$2:$W$853,0),COLUMNS($X$2:AC608)),"")</f>
        <v/>
      </c>
    </row>
    <row r="609" spans="1:30" x14ac:dyDescent="0.2">
      <c r="A609" s="1">
        <v>2002</v>
      </c>
      <c r="B609" s="2">
        <v>37416</v>
      </c>
      <c r="C609" s="1" t="s">
        <v>535</v>
      </c>
      <c r="D609" s="1" t="s">
        <v>355</v>
      </c>
      <c r="E609" s="1" t="s">
        <v>396</v>
      </c>
      <c r="F609" s="1" t="s">
        <v>397</v>
      </c>
      <c r="G609" s="6" t="str">
        <f>VLOOKUP(A609,WorldCups!$A$2:$B$23,2,FALSE)</f>
        <v>Korea/Japan</v>
      </c>
      <c r="H609" s="1" t="s">
        <v>356</v>
      </c>
      <c r="I609" s="1">
        <v>1</v>
      </c>
      <c r="J609" s="1">
        <v>0</v>
      </c>
      <c r="K609" s="1" t="s">
        <v>336</v>
      </c>
      <c r="L609" s="1" t="s">
        <v>14</v>
      </c>
      <c r="M609" s="1" t="str">
        <f>IF(ISNUMBER(SEARCH("Group",Table2[[#This Row],[Round]])),"Group stages",Table2[[#This Row],[Round]])</f>
        <v>Group stages</v>
      </c>
      <c r="O609" s="1">
        <f>Table2[[#This Row],[Year]]</f>
        <v>2002</v>
      </c>
      <c r="P609" s="1" t="str">
        <f>INDEX(Table2[[HomeTeam]:[Group_details]],ROWS($N$2:N609),COLUMNS($N$2:N609))</f>
        <v>Japan</v>
      </c>
      <c r="Q609" s="1">
        <f>INDEX(Table2[[HomeTeam]:[Group_details]],ROWS($N$2:O609),COLUMNS($N$2:O609))</f>
        <v>1</v>
      </c>
      <c r="R609" s="1">
        <f>INDEX(Table2[[HomeTeam]:[Group_details]],ROWS($N$2:P609),COLUMNS($N$2:P609))</f>
        <v>0</v>
      </c>
      <c r="S609" s="1" t="str">
        <f>INDEX(Table2[[HomeTeam]:[Group_details]],ROWS($N$2:Q609),COLUMNS($N$2:Q609))</f>
        <v>Russia</v>
      </c>
      <c r="T609" s="1" t="str">
        <f>INDEX(Table2[[HomeTeam]:[Group_details]],ROWS($N$2:R609),COLUMNS($N$2:R609))</f>
        <v xml:space="preserve"> </v>
      </c>
      <c r="U609" s="1" t="str">
        <f>INDEX(Table2[[HomeTeam]:[Group_details]],ROWS($N$2:S609),COLUMNS($N$2:S609))</f>
        <v>Group stages</v>
      </c>
      <c r="V609" s="1" t="b">
        <f t="shared" si="9"/>
        <v>0</v>
      </c>
      <c r="W609" s="1" t="str">
        <f>IF(V609=TRUE,ROWS($V$2:V609),"")</f>
        <v/>
      </c>
      <c r="X609" s="1" t="str">
        <f>IFERROR(SMALL($W$2:$W$853,ROWS($W$2:W609)),"")</f>
        <v/>
      </c>
      <c r="Y609" s="1" t="str">
        <f>IF($X609&lt;&gt;"",INDEX($P$2:$U$853,MATCH($X609,$W$2:$W$853,0),COLUMNS($X$2:X609)),"")</f>
        <v/>
      </c>
      <c r="Z609" s="1" t="str">
        <f>IF($X609&lt;&gt;"",INDEX($P$2:$U$853,MATCH($X609,$W$2:$W$853,0),COLUMNS($X$2:Y609)),"")</f>
        <v/>
      </c>
      <c r="AA609" s="1" t="str">
        <f>IF($X609&lt;&gt;"",INDEX($P$2:$U$853,MATCH($X609,$W$2:$W$853,0),COLUMNS($X$2:Z609)),"")</f>
        <v/>
      </c>
      <c r="AB609" s="1" t="str">
        <f>IF($X609&lt;&gt;"",INDEX($P$2:$U$853,MATCH($X609,$W$2:$W$853,0),COLUMNS($X$2:AA609)),"")</f>
        <v/>
      </c>
      <c r="AC609" s="1" t="str">
        <f>IF($X609&lt;&gt;"",INDEX($P$2:$U$853,MATCH($X609,$W$2:$W$853,0),COLUMNS($X$2:AB609)),"")</f>
        <v/>
      </c>
      <c r="AD609" s="1" t="str">
        <f>IF($X609&lt;&gt;"",INDEX($P$2:$U$853,MATCH($X609,$W$2:$W$853,0),COLUMNS($X$2:AC609)),"")</f>
        <v/>
      </c>
    </row>
    <row r="610" spans="1:30" x14ac:dyDescent="0.2">
      <c r="A610" s="1">
        <v>2002</v>
      </c>
      <c r="B610" s="2">
        <v>37416</v>
      </c>
      <c r="C610" s="1" t="s">
        <v>514</v>
      </c>
      <c r="D610" s="1" t="s">
        <v>361</v>
      </c>
      <c r="E610" s="1" t="s">
        <v>398</v>
      </c>
      <c r="F610" s="1" t="s">
        <v>399</v>
      </c>
      <c r="G610" s="6" t="str">
        <f>VLOOKUP(A610,WorldCups!$A$2:$B$23,2,FALSE)</f>
        <v>Korea/Japan</v>
      </c>
      <c r="H610" s="1" t="s">
        <v>13</v>
      </c>
      <c r="I610" s="1">
        <v>2</v>
      </c>
      <c r="J610" s="1">
        <v>1</v>
      </c>
      <c r="K610" s="1" t="s">
        <v>382</v>
      </c>
      <c r="L610" s="1" t="s">
        <v>14</v>
      </c>
      <c r="M610" s="1" t="str">
        <f>IF(ISNUMBER(SEARCH("Group",Table2[[#This Row],[Round]])),"Group stages",Table2[[#This Row],[Round]])</f>
        <v>Group stages</v>
      </c>
      <c r="O610" s="1">
        <f>Table2[[#This Row],[Year]]</f>
        <v>2002</v>
      </c>
      <c r="P610" s="1" t="str">
        <f>INDEX(Table2[[HomeTeam]:[Group_details]],ROWS($N$2:N610),COLUMNS($N$2:N610))</f>
        <v>Mexico</v>
      </c>
      <c r="Q610" s="1">
        <f>INDEX(Table2[[HomeTeam]:[Group_details]],ROWS($N$2:O610),COLUMNS($N$2:O610))</f>
        <v>2</v>
      </c>
      <c r="R610" s="1">
        <f>INDEX(Table2[[HomeTeam]:[Group_details]],ROWS($N$2:P610),COLUMNS($N$2:P610))</f>
        <v>1</v>
      </c>
      <c r="S610" s="1" t="str">
        <f>INDEX(Table2[[HomeTeam]:[Group_details]],ROWS($N$2:Q610),COLUMNS($N$2:Q610))</f>
        <v>Ecuador</v>
      </c>
      <c r="T610" s="1" t="str">
        <f>INDEX(Table2[[HomeTeam]:[Group_details]],ROWS($N$2:R610),COLUMNS($N$2:R610))</f>
        <v xml:space="preserve"> </v>
      </c>
      <c r="U610" s="1" t="str">
        <f>INDEX(Table2[[HomeTeam]:[Group_details]],ROWS($N$2:S610),COLUMNS($N$2:S610))</f>
        <v>Group stages</v>
      </c>
      <c r="V610" s="1" t="b">
        <f t="shared" si="9"/>
        <v>0</v>
      </c>
      <c r="W610" s="1" t="str">
        <f>IF(V610=TRUE,ROWS($V$2:V610),"")</f>
        <v/>
      </c>
      <c r="X610" s="1" t="str">
        <f>IFERROR(SMALL($W$2:$W$853,ROWS($W$2:W610)),"")</f>
        <v/>
      </c>
      <c r="Y610" s="1" t="str">
        <f>IF($X610&lt;&gt;"",INDEX($P$2:$U$853,MATCH($X610,$W$2:$W$853,0),COLUMNS($X$2:X610)),"")</f>
        <v/>
      </c>
      <c r="Z610" s="1" t="str">
        <f>IF($X610&lt;&gt;"",INDEX($P$2:$U$853,MATCH($X610,$W$2:$W$853,0),COLUMNS($X$2:Y610)),"")</f>
        <v/>
      </c>
      <c r="AA610" s="1" t="str">
        <f>IF($X610&lt;&gt;"",INDEX($P$2:$U$853,MATCH($X610,$W$2:$W$853,0),COLUMNS($X$2:Z610)),"")</f>
        <v/>
      </c>
      <c r="AB610" s="1" t="str">
        <f>IF($X610&lt;&gt;"",INDEX($P$2:$U$853,MATCH($X610,$W$2:$W$853,0),COLUMNS($X$2:AA610)),"")</f>
        <v/>
      </c>
      <c r="AC610" s="1" t="str">
        <f>IF($X610&lt;&gt;"",INDEX($P$2:$U$853,MATCH($X610,$W$2:$W$853,0),COLUMNS($X$2:AB610)),"")</f>
        <v/>
      </c>
      <c r="AD610" s="1" t="str">
        <f>IF($X610&lt;&gt;"",INDEX($P$2:$U$853,MATCH($X610,$W$2:$W$853,0),COLUMNS($X$2:AC610)),"")</f>
        <v/>
      </c>
    </row>
    <row r="611" spans="1:30" x14ac:dyDescent="0.2">
      <c r="A611" s="1">
        <v>2002</v>
      </c>
      <c r="B611" s="2">
        <v>37417</v>
      </c>
      <c r="C611" s="1" t="s">
        <v>514</v>
      </c>
      <c r="D611" s="1" t="s">
        <v>270</v>
      </c>
      <c r="E611" s="1" t="s">
        <v>388</v>
      </c>
      <c r="F611" s="1" t="s">
        <v>389</v>
      </c>
      <c r="G611" s="6" t="str">
        <f>VLOOKUP(A611,WorldCups!$A$2:$B$23,2,FALSE)</f>
        <v>Korea/Japan</v>
      </c>
      <c r="H611" s="1" t="s">
        <v>116</v>
      </c>
      <c r="I611" s="1">
        <v>1</v>
      </c>
      <c r="J611" s="1">
        <v>1</v>
      </c>
      <c r="K611" s="1" t="s">
        <v>17</v>
      </c>
      <c r="L611" s="1" t="s">
        <v>14</v>
      </c>
      <c r="M611" s="1" t="str">
        <f>IF(ISNUMBER(SEARCH("Group",Table2[[#This Row],[Round]])),"Group stages",Table2[[#This Row],[Round]])</f>
        <v>Group stages</v>
      </c>
      <c r="O611" s="1">
        <f>Table2[[#This Row],[Year]]</f>
        <v>2002</v>
      </c>
      <c r="P611" s="1" t="str">
        <f>INDEX(Table2[[HomeTeam]:[Group_details]],ROWS($N$2:N611),COLUMNS($N$2:N611))</f>
        <v>Korea Republic</v>
      </c>
      <c r="Q611" s="1">
        <f>INDEX(Table2[[HomeTeam]:[Group_details]],ROWS($N$2:O611),COLUMNS($N$2:O611))</f>
        <v>1</v>
      </c>
      <c r="R611" s="1">
        <f>INDEX(Table2[[HomeTeam]:[Group_details]],ROWS($N$2:P611),COLUMNS($N$2:P611))</f>
        <v>1</v>
      </c>
      <c r="S611" s="1" t="str">
        <f>INDEX(Table2[[HomeTeam]:[Group_details]],ROWS($N$2:Q611),COLUMNS($N$2:Q611))</f>
        <v>USA</v>
      </c>
      <c r="T611" s="1" t="str">
        <f>INDEX(Table2[[HomeTeam]:[Group_details]],ROWS($N$2:R611),COLUMNS($N$2:R611))</f>
        <v xml:space="preserve"> </v>
      </c>
      <c r="U611" s="1" t="str">
        <f>INDEX(Table2[[HomeTeam]:[Group_details]],ROWS($N$2:S611),COLUMNS($N$2:S611))</f>
        <v>Group stages</v>
      </c>
      <c r="V611" s="1" t="b">
        <f t="shared" si="9"/>
        <v>0</v>
      </c>
      <c r="W611" s="1" t="str">
        <f>IF(V611=TRUE,ROWS($V$2:V611),"")</f>
        <v/>
      </c>
      <c r="X611" s="1" t="str">
        <f>IFERROR(SMALL($W$2:$W$853,ROWS($W$2:W611)),"")</f>
        <v/>
      </c>
      <c r="Y611" s="1" t="str">
        <f>IF($X611&lt;&gt;"",INDEX($P$2:$U$853,MATCH($X611,$W$2:$W$853,0),COLUMNS($X$2:X611)),"")</f>
        <v/>
      </c>
      <c r="Z611" s="1" t="str">
        <f>IF($X611&lt;&gt;"",INDEX($P$2:$U$853,MATCH($X611,$W$2:$W$853,0),COLUMNS($X$2:Y611)),"")</f>
        <v/>
      </c>
      <c r="AA611" s="1" t="str">
        <f>IF($X611&lt;&gt;"",INDEX($P$2:$U$853,MATCH($X611,$W$2:$W$853,0),COLUMNS($X$2:Z611)),"")</f>
        <v/>
      </c>
      <c r="AB611" s="1" t="str">
        <f>IF($X611&lt;&gt;"",INDEX($P$2:$U$853,MATCH($X611,$W$2:$W$853,0),COLUMNS($X$2:AA611)),"")</f>
        <v/>
      </c>
      <c r="AC611" s="1" t="str">
        <f>IF($X611&lt;&gt;"",INDEX($P$2:$U$853,MATCH($X611,$W$2:$W$853,0),COLUMNS($X$2:AB611)),"")</f>
        <v/>
      </c>
      <c r="AD611" s="1" t="str">
        <f>IF($X611&lt;&gt;"",INDEX($P$2:$U$853,MATCH($X611,$W$2:$W$853,0),COLUMNS($X$2:AC611)),"")</f>
        <v/>
      </c>
    </row>
    <row r="612" spans="1:30" x14ac:dyDescent="0.2">
      <c r="A612" s="1">
        <v>2002</v>
      </c>
      <c r="B612" s="2">
        <v>37417</v>
      </c>
      <c r="C612" s="1" t="s">
        <v>535</v>
      </c>
      <c r="D612" s="1" t="s">
        <v>270</v>
      </c>
      <c r="E612" s="1" t="s">
        <v>390</v>
      </c>
      <c r="F612" s="1" t="s">
        <v>391</v>
      </c>
      <c r="G612" s="6" t="str">
        <f>VLOOKUP(A612,WorldCups!$A$2:$B$23,2,FALSE)</f>
        <v>Korea/Japan</v>
      </c>
      <c r="H612" s="1" t="s">
        <v>170</v>
      </c>
      <c r="I612" s="1">
        <v>4</v>
      </c>
      <c r="J612" s="1">
        <v>0</v>
      </c>
      <c r="K612" s="1" t="s">
        <v>80</v>
      </c>
      <c r="L612" s="1" t="s">
        <v>14</v>
      </c>
      <c r="M612" s="1" t="str">
        <f>IF(ISNUMBER(SEARCH("Group",Table2[[#This Row],[Round]])),"Group stages",Table2[[#This Row],[Round]])</f>
        <v>Group stages</v>
      </c>
      <c r="O612" s="1">
        <f>Table2[[#This Row],[Year]]</f>
        <v>2002</v>
      </c>
      <c r="P612" s="1" t="str">
        <f>INDEX(Table2[[HomeTeam]:[Group_details]],ROWS($N$2:N612),COLUMNS($N$2:N612))</f>
        <v>Portugal</v>
      </c>
      <c r="Q612" s="1">
        <f>INDEX(Table2[[HomeTeam]:[Group_details]],ROWS($N$2:O612),COLUMNS($N$2:O612))</f>
        <v>4</v>
      </c>
      <c r="R612" s="1">
        <f>INDEX(Table2[[HomeTeam]:[Group_details]],ROWS($N$2:P612),COLUMNS($N$2:P612))</f>
        <v>0</v>
      </c>
      <c r="S612" s="1" t="str">
        <f>INDEX(Table2[[HomeTeam]:[Group_details]],ROWS($N$2:Q612),COLUMNS($N$2:Q612))</f>
        <v>Poland</v>
      </c>
      <c r="T612" s="1" t="str">
        <f>INDEX(Table2[[HomeTeam]:[Group_details]],ROWS($N$2:R612),COLUMNS($N$2:R612))</f>
        <v xml:space="preserve"> </v>
      </c>
      <c r="U612" s="1" t="str">
        <f>INDEX(Table2[[HomeTeam]:[Group_details]],ROWS($N$2:S612),COLUMNS($N$2:S612))</f>
        <v>Group stages</v>
      </c>
      <c r="V612" s="1" t="b">
        <f t="shared" si="9"/>
        <v>0</v>
      </c>
      <c r="W612" s="1" t="str">
        <f>IF(V612=TRUE,ROWS($V$2:V612),"")</f>
        <v/>
      </c>
      <c r="X612" s="1" t="str">
        <f>IFERROR(SMALL($W$2:$W$853,ROWS($W$2:W612)),"")</f>
        <v/>
      </c>
      <c r="Y612" s="1" t="str">
        <f>IF($X612&lt;&gt;"",INDEX($P$2:$U$853,MATCH($X612,$W$2:$W$853,0),COLUMNS($X$2:X612)),"")</f>
        <v/>
      </c>
      <c r="Z612" s="1" t="str">
        <f>IF($X612&lt;&gt;"",INDEX($P$2:$U$853,MATCH($X612,$W$2:$W$853,0),COLUMNS($X$2:Y612)),"")</f>
        <v/>
      </c>
      <c r="AA612" s="1" t="str">
        <f>IF($X612&lt;&gt;"",INDEX($P$2:$U$853,MATCH($X612,$W$2:$W$853,0),COLUMNS($X$2:Z612)),"")</f>
        <v/>
      </c>
      <c r="AB612" s="1" t="str">
        <f>IF($X612&lt;&gt;"",INDEX($P$2:$U$853,MATCH($X612,$W$2:$W$853,0),COLUMNS($X$2:AA612)),"")</f>
        <v/>
      </c>
      <c r="AC612" s="1" t="str">
        <f>IF($X612&lt;&gt;"",INDEX($P$2:$U$853,MATCH($X612,$W$2:$W$853,0),COLUMNS($X$2:AB612)),"")</f>
        <v/>
      </c>
      <c r="AD612" s="1" t="str">
        <f>IF($X612&lt;&gt;"",INDEX($P$2:$U$853,MATCH($X612,$W$2:$W$853,0),COLUMNS($X$2:AC612)),"")</f>
        <v/>
      </c>
    </row>
    <row r="613" spans="1:30" x14ac:dyDescent="0.2">
      <c r="A613" s="1">
        <v>2002</v>
      </c>
      <c r="B613" s="2">
        <v>37417</v>
      </c>
      <c r="C613" s="1" t="s">
        <v>510</v>
      </c>
      <c r="D613" s="1" t="s">
        <v>355</v>
      </c>
      <c r="E613" s="1" t="s">
        <v>400</v>
      </c>
      <c r="F613" s="1" t="s">
        <v>401</v>
      </c>
      <c r="G613" s="6" t="str">
        <f>VLOOKUP(A613,WorldCups!$A$2:$B$23,2,FALSE)</f>
        <v>Korea/Japan</v>
      </c>
      <c r="H613" s="1" t="s">
        <v>221</v>
      </c>
      <c r="I613" s="1">
        <v>1</v>
      </c>
      <c r="J613" s="1">
        <v>1</v>
      </c>
      <c r="K613" s="1" t="s">
        <v>18</v>
      </c>
      <c r="L613" s="1" t="s">
        <v>14</v>
      </c>
      <c r="M613" s="1" t="str">
        <f>IF(ISNUMBER(SEARCH("Group",Table2[[#This Row],[Round]])),"Group stages",Table2[[#This Row],[Round]])</f>
        <v>Group stages</v>
      </c>
      <c r="O613" s="1">
        <f>Table2[[#This Row],[Year]]</f>
        <v>2002</v>
      </c>
      <c r="P613" s="1" t="str">
        <f>INDEX(Table2[[HomeTeam]:[Group_details]],ROWS($N$2:N613),COLUMNS($N$2:N613))</f>
        <v>Tunisia</v>
      </c>
      <c r="Q613" s="1">
        <f>INDEX(Table2[[HomeTeam]:[Group_details]],ROWS($N$2:O613),COLUMNS($N$2:O613))</f>
        <v>1</v>
      </c>
      <c r="R613" s="1">
        <f>INDEX(Table2[[HomeTeam]:[Group_details]],ROWS($N$2:P613),COLUMNS($N$2:P613))</f>
        <v>1</v>
      </c>
      <c r="S613" s="1" t="str">
        <f>INDEX(Table2[[HomeTeam]:[Group_details]],ROWS($N$2:Q613),COLUMNS($N$2:Q613))</f>
        <v>Belgium</v>
      </c>
      <c r="T613" s="1" t="str">
        <f>INDEX(Table2[[HomeTeam]:[Group_details]],ROWS($N$2:R613),COLUMNS($N$2:R613))</f>
        <v xml:space="preserve"> </v>
      </c>
      <c r="U613" s="1" t="str">
        <f>INDEX(Table2[[HomeTeam]:[Group_details]],ROWS($N$2:S613),COLUMNS($N$2:S613))</f>
        <v>Group stages</v>
      </c>
      <c r="V613" s="1" t="b">
        <f t="shared" si="9"/>
        <v>0</v>
      </c>
      <c r="W613" s="1" t="str">
        <f>IF(V613=TRUE,ROWS($V$2:V613),"")</f>
        <v/>
      </c>
      <c r="X613" s="1" t="str">
        <f>IFERROR(SMALL($W$2:$W$853,ROWS($W$2:W613)),"")</f>
        <v/>
      </c>
      <c r="Y613" s="1" t="str">
        <f>IF($X613&lt;&gt;"",INDEX($P$2:$U$853,MATCH($X613,$W$2:$W$853,0),COLUMNS($X$2:X613)),"")</f>
        <v/>
      </c>
      <c r="Z613" s="1" t="str">
        <f>IF($X613&lt;&gt;"",INDEX($P$2:$U$853,MATCH($X613,$W$2:$W$853,0),COLUMNS($X$2:Y613)),"")</f>
        <v/>
      </c>
      <c r="AA613" s="1" t="str">
        <f>IF($X613&lt;&gt;"",INDEX($P$2:$U$853,MATCH($X613,$W$2:$W$853,0),COLUMNS($X$2:Z613)),"")</f>
        <v/>
      </c>
      <c r="AB613" s="1" t="str">
        <f>IF($X613&lt;&gt;"",INDEX($P$2:$U$853,MATCH($X613,$W$2:$W$853,0),COLUMNS($X$2:AA613)),"")</f>
        <v/>
      </c>
      <c r="AC613" s="1" t="str">
        <f>IF($X613&lt;&gt;"",INDEX($P$2:$U$853,MATCH($X613,$W$2:$W$853,0),COLUMNS($X$2:AB613)),"")</f>
        <v/>
      </c>
      <c r="AD613" s="1" t="str">
        <f>IF($X613&lt;&gt;"",INDEX($P$2:$U$853,MATCH($X613,$W$2:$W$853,0),COLUMNS($X$2:AC613)),"")</f>
        <v/>
      </c>
    </row>
    <row r="614" spans="1:30" x14ac:dyDescent="0.2">
      <c r="A614" s="1">
        <v>2002</v>
      </c>
      <c r="B614" s="2">
        <v>37418</v>
      </c>
      <c r="C614" s="1" t="s">
        <v>514</v>
      </c>
      <c r="D614" s="1" t="s">
        <v>214</v>
      </c>
      <c r="E614" s="1" t="s">
        <v>394</v>
      </c>
      <c r="F614" s="1" t="s">
        <v>395</v>
      </c>
      <c r="G614" s="6" t="str">
        <f>VLOOKUP(A614,WorldCups!$A$2:$B$23,2,FALSE)</f>
        <v>Korea/Japan</v>
      </c>
      <c r="H614" s="1" t="s">
        <v>284</v>
      </c>
      <c r="I614" s="1">
        <v>2</v>
      </c>
      <c r="J614" s="1">
        <v>0</v>
      </c>
      <c r="K614" s="1" t="s">
        <v>12</v>
      </c>
      <c r="L614" s="1" t="s">
        <v>14</v>
      </c>
      <c r="M614" s="1" t="str">
        <f>IF(ISNUMBER(SEARCH("Group",Table2[[#This Row],[Round]])),"Group stages",Table2[[#This Row],[Round]])</f>
        <v>Group stages</v>
      </c>
      <c r="O614" s="1">
        <f>Table2[[#This Row],[Year]]</f>
        <v>2002</v>
      </c>
      <c r="P614" s="1" t="str">
        <f>INDEX(Table2[[HomeTeam]:[Group_details]],ROWS($N$2:N614),COLUMNS($N$2:N614))</f>
        <v>Denmark</v>
      </c>
      <c r="Q614" s="1">
        <f>INDEX(Table2[[HomeTeam]:[Group_details]],ROWS($N$2:O614),COLUMNS($N$2:O614))</f>
        <v>2</v>
      </c>
      <c r="R614" s="1">
        <f>INDEX(Table2[[HomeTeam]:[Group_details]],ROWS($N$2:P614),COLUMNS($N$2:P614))</f>
        <v>0</v>
      </c>
      <c r="S614" s="1" t="str">
        <f>INDEX(Table2[[HomeTeam]:[Group_details]],ROWS($N$2:Q614),COLUMNS($N$2:Q614))</f>
        <v>France</v>
      </c>
      <c r="T614" s="1" t="str">
        <f>INDEX(Table2[[HomeTeam]:[Group_details]],ROWS($N$2:R614),COLUMNS($N$2:R614))</f>
        <v xml:space="preserve"> </v>
      </c>
      <c r="U614" s="1" t="str">
        <f>INDEX(Table2[[HomeTeam]:[Group_details]],ROWS($N$2:S614),COLUMNS($N$2:S614))</f>
        <v>Group stages</v>
      </c>
      <c r="V614" s="1" t="b">
        <f t="shared" si="9"/>
        <v>0</v>
      </c>
      <c r="W614" s="1" t="str">
        <f>IF(V614=TRUE,ROWS($V$2:V614),"")</f>
        <v/>
      </c>
      <c r="X614" s="1" t="str">
        <f>IFERROR(SMALL($W$2:$W$853,ROWS($W$2:W614)),"")</f>
        <v/>
      </c>
      <c r="Y614" s="1" t="str">
        <f>IF($X614&lt;&gt;"",INDEX($P$2:$U$853,MATCH($X614,$W$2:$W$853,0),COLUMNS($X$2:X614)),"")</f>
        <v/>
      </c>
      <c r="Z614" s="1" t="str">
        <f>IF($X614&lt;&gt;"",INDEX($P$2:$U$853,MATCH($X614,$W$2:$W$853,0),COLUMNS($X$2:Y614)),"")</f>
        <v/>
      </c>
      <c r="AA614" s="1" t="str">
        <f>IF($X614&lt;&gt;"",INDEX($P$2:$U$853,MATCH($X614,$W$2:$W$853,0),COLUMNS($X$2:Z614)),"")</f>
        <v/>
      </c>
      <c r="AB614" s="1" t="str">
        <f>IF($X614&lt;&gt;"",INDEX($P$2:$U$853,MATCH($X614,$W$2:$W$853,0),COLUMNS($X$2:AA614)),"")</f>
        <v/>
      </c>
      <c r="AC614" s="1" t="str">
        <f>IF($X614&lt;&gt;"",INDEX($P$2:$U$853,MATCH($X614,$W$2:$W$853,0),COLUMNS($X$2:AB614)),"")</f>
        <v/>
      </c>
      <c r="AD614" s="1" t="str">
        <f>IF($X614&lt;&gt;"",INDEX($P$2:$U$853,MATCH($X614,$W$2:$W$853,0),COLUMNS($X$2:AC614)),"")</f>
        <v/>
      </c>
    </row>
    <row r="615" spans="1:30" x14ac:dyDescent="0.2">
      <c r="A615" s="1">
        <v>2002</v>
      </c>
      <c r="B615" s="2">
        <v>37418</v>
      </c>
      <c r="C615" s="1" t="s">
        <v>514</v>
      </c>
      <c r="D615" s="1" t="s">
        <v>214</v>
      </c>
      <c r="E615" s="1" t="s">
        <v>386</v>
      </c>
      <c r="F615" s="1" t="s">
        <v>387</v>
      </c>
      <c r="G615" s="6" t="str">
        <f>VLOOKUP(A615,WorldCups!$A$2:$B$23,2,FALSE)</f>
        <v>Korea/Japan</v>
      </c>
      <c r="H615" s="1" t="s">
        <v>366</v>
      </c>
      <c r="I615" s="1">
        <v>3</v>
      </c>
      <c r="J615" s="1">
        <v>3</v>
      </c>
      <c r="K615" s="1" t="s">
        <v>30</v>
      </c>
      <c r="L615" s="1" t="s">
        <v>14</v>
      </c>
      <c r="M615" s="1" t="str">
        <f>IF(ISNUMBER(SEARCH("Group",Table2[[#This Row],[Round]])),"Group stages",Table2[[#This Row],[Round]])</f>
        <v>Group stages</v>
      </c>
      <c r="O615" s="1">
        <f>Table2[[#This Row],[Year]]</f>
        <v>2002</v>
      </c>
      <c r="P615" s="1" t="str">
        <f>INDEX(Table2[[HomeTeam]:[Group_details]],ROWS($N$2:N615),COLUMNS($N$2:N615))</f>
        <v>Senegal</v>
      </c>
      <c r="Q615" s="1">
        <f>INDEX(Table2[[HomeTeam]:[Group_details]],ROWS($N$2:O615),COLUMNS($N$2:O615))</f>
        <v>3</v>
      </c>
      <c r="R615" s="1">
        <f>INDEX(Table2[[HomeTeam]:[Group_details]],ROWS($N$2:P615),COLUMNS($N$2:P615))</f>
        <v>3</v>
      </c>
      <c r="S615" s="1" t="str">
        <f>INDEX(Table2[[HomeTeam]:[Group_details]],ROWS($N$2:Q615),COLUMNS($N$2:Q615))</f>
        <v>Uruguay</v>
      </c>
      <c r="T615" s="1" t="str">
        <f>INDEX(Table2[[HomeTeam]:[Group_details]],ROWS($N$2:R615),COLUMNS($N$2:R615))</f>
        <v xml:space="preserve"> </v>
      </c>
      <c r="U615" s="1" t="str">
        <f>INDEX(Table2[[HomeTeam]:[Group_details]],ROWS($N$2:S615),COLUMNS($N$2:S615))</f>
        <v>Group stages</v>
      </c>
      <c r="V615" s="1" t="b">
        <f t="shared" si="9"/>
        <v>0</v>
      </c>
      <c r="W615" s="1" t="str">
        <f>IF(V615=TRUE,ROWS($V$2:V615),"")</f>
        <v/>
      </c>
      <c r="X615" s="1" t="str">
        <f>IFERROR(SMALL($W$2:$W$853,ROWS($W$2:W615)),"")</f>
        <v/>
      </c>
      <c r="Y615" s="1" t="str">
        <f>IF($X615&lt;&gt;"",INDEX($P$2:$U$853,MATCH($X615,$W$2:$W$853,0),COLUMNS($X$2:X615)),"")</f>
        <v/>
      </c>
      <c r="Z615" s="1" t="str">
        <f>IF($X615&lt;&gt;"",INDEX($P$2:$U$853,MATCH($X615,$W$2:$W$853,0),COLUMNS($X$2:Y615)),"")</f>
        <v/>
      </c>
      <c r="AA615" s="1" t="str">
        <f>IF($X615&lt;&gt;"",INDEX($P$2:$U$853,MATCH($X615,$W$2:$W$853,0),COLUMNS($X$2:Z615)),"")</f>
        <v/>
      </c>
      <c r="AB615" s="1" t="str">
        <f>IF($X615&lt;&gt;"",INDEX($P$2:$U$853,MATCH($X615,$W$2:$W$853,0),COLUMNS($X$2:AA615)),"")</f>
        <v/>
      </c>
      <c r="AC615" s="1" t="str">
        <f>IF($X615&lt;&gt;"",INDEX($P$2:$U$853,MATCH($X615,$W$2:$W$853,0),COLUMNS($X$2:AB615)),"")</f>
        <v/>
      </c>
      <c r="AD615" s="1" t="str">
        <f>IF($X615&lt;&gt;"",INDEX($P$2:$U$853,MATCH($X615,$W$2:$W$853,0),COLUMNS($X$2:AC615)),"")</f>
        <v/>
      </c>
    </row>
    <row r="616" spans="1:30" x14ac:dyDescent="0.2">
      <c r="A616" s="1">
        <v>2002</v>
      </c>
      <c r="B616" s="2">
        <v>37418</v>
      </c>
      <c r="C616" s="1" t="s">
        <v>535</v>
      </c>
      <c r="D616" s="1" t="s">
        <v>281</v>
      </c>
      <c r="E616" s="1" t="s">
        <v>396</v>
      </c>
      <c r="F616" s="1" t="s">
        <v>397</v>
      </c>
      <c r="G616" s="6" t="str">
        <f>VLOOKUP(A616,WorldCups!$A$2:$B$23,2,FALSE)</f>
        <v>Korea/Japan</v>
      </c>
      <c r="H616" s="1" t="s">
        <v>333</v>
      </c>
      <c r="I616" s="1">
        <v>0</v>
      </c>
      <c r="J616" s="1">
        <v>3</v>
      </c>
      <c r="K616" s="1" t="s">
        <v>304</v>
      </c>
      <c r="L616" s="1" t="s">
        <v>14</v>
      </c>
      <c r="M616" s="1" t="str">
        <f>IF(ISNUMBER(SEARCH("Group",Table2[[#This Row],[Round]])),"Group stages",Table2[[#This Row],[Round]])</f>
        <v>Group stages</v>
      </c>
      <c r="O616" s="1">
        <f>Table2[[#This Row],[Year]]</f>
        <v>2002</v>
      </c>
      <c r="P616" s="1" t="str">
        <f>INDEX(Table2[[HomeTeam]:[Group_details]],ROWS($N$2:N616),COLUMNS($N$2:N616))</f>
        <v>Saudi Arabia</v>
      </c>
      <c r="Q616" s="1">
        <f>INDEX(Table2[[HomeTeam]:[Group_details]],ROWS($N$2:O616),COLUMNS($N$2:O616))</f>
        <v>0</v>
      </c>
      <c r="R616" s="1">
        <f>INDEX(Table2[[HomeTeam]:[Group_details]],ROWS($N$2:P616),COLUMNS($N$2:P616))</f>
        <v>3</v>
      </c>
      <c r="S616" s="1" t="str">
        <f>INDEX(Table2[[HomeTeam]:[Group_details]],ROWS($N$2:Q616),COLUMNS($N$2:Q616))</f>
        <v>Republic of Ireland</v>
      </c>
      <c r="T616" s="1" t="str">
        <f>INDEX(Table2[[HomeTeam]:[Group_details]],ROWS($N$2:R616),COLUMNS($N$2:R616))</f>
        <v xml:space="preserve"> </v>
      </c>
      <c r="U616" s="1" t="str">
        <f>INDEX(Table2[[HomeTeam]:[Group_details]],ROWS($N$2:S616),COLUMNS($N$2:S616))</f>
        <v>Group stages</v>
      </c>
      <c r="V616" s="1" t="b">
        <f t="shared" si="9"/>
        <v>0</v>
      </c>
      <c r="W616" s="1" t="str">
        <f>IF(V616=TRUE,ROWS($V$2:V616),"")</f>
        <v/>
      </c>
      <c r="X616" s="1" t="str">
        <f>IFERROR(SMALL($W$2:$W$853,ROWS($W$2:W616)),"")</f>
        <v/>
      </c>
      <c r="Y616" s="1" t="str">
        <f>IF($X616&lt;&gt;"",INDEX($P$2:$U$853,MATCH($X616,$W$2:$W$853,0),COLUMNS($X$2:X616)),"")</f>
        <v/>
      </c>
      <c r="Z616" s="1" t="str">
        <f>IF($X616&lt;&gt;"",INDEX($P$2:$U$853,MATCH($X616,$W$2:$W$853,0),COLUMNS($X$2:Y616)),"")</f>
        <v/>
      </c>
      <c r="AA616" s="1" t="str">
        <f>IF($X616&lt;&gt;"",INDEX($P$2:$U$853,MATCH($X616,$W$2:$W$853,0),COLUMNS($X$2:Z616)),"")</f>
        <v/>
      </c>
      <c r="AB616" s="1" t="str">
        <f>IF($X616&lt;&gt;"",INDEX($P$2:$U$853,MATCH($X616,$W$2:$W$853,0),COLUMNS($X$2:AA616)),"")</f>
        <v/>
      </c>
      <c r="AC616" s="1" t="str">
        <f>IF($X616&lt;&gt;"",INDEX($P$2:$U$853,MATCH($X616,$W$2:$W$853,0),COLUMNS($X$2:AB616)),"")</f>
        <v/>
      </c>
      <c r="AD616" s="1" t="str">
        <f>IF($X616&lt;&gt;"",INDEX($P$2:$U$853,MATCH($X616,$W$2:$W$853,0),COLUMNS($X$2:AC616)),"")</f>
        <v/>
      </c>
    </row>
    <row r="617" spans="1:30" x14ac:dyDescent="0.2">
      <c r="A617" s="1">
        <v>2002</v>
      </c>
      <c r="B617" s="2">
        <v>37418</v>
      </c>
      <c r="C617" s="1" t="s">
        <v>535</v>
      </c>
      <c r="D617" s="1" t="s">
        <v>281</v>
      </c>
      <c r="E617" s="1" t="s">
        <v>402</v>
      </c>
      <c r="F617" s="1" t="s">
        <v>403</v>
      </c>
      <c r="G617" s="6" t="str">
        <f>VLOOKUP(A617,WorldCups!$A$2:$B$23,2,FALSE)</f>
        <v>Korea/Japan</v>
      </c>
      <c r="H617" s="1" t="s">
        <v>238</v>
      </c>
      <c r="I617" s="1">
        <v>0</v>
      </c>
      <c r="J617" s="1">
        <v>2</v>
      </c>
      <c r="K617" s="1" t="s">
        <v>51</v>
      </c>
      <c r="L617" s="1" t="s">
        <v>14</v>
      </c>
      <c r="M617" s="1" t="str">
        <f>IF(ISNUMBER(SEARCH("Group",Table2[[#This Row],[Round]])),"Group stages",Table2[[#This Row],[Round]])</f>
        <v>Group stages</v>
      </c>
      <c r="O617" s="1">
        <f>Table2[[#This Row],[Year]]</f>
        <v>2002</v>
      </c>
      <c r="P617" s="1" t="str">
        <f>INDEX(Table2[[HomeTeam]:[Group_details]],ROWS($N$2:N617),COLUMNS($N$2:N617))</f>
        <v>Cameroon</v>
      </c>
      <c r="Q617" s="1">
        <f>INDEX(Table2[[HomeTeam]:[Group_details]],ROWS($N$2:O617),COLUMNS($N$2:O617))</f>
        <v>0</v>
      </c>
      <c r="R617" s="1">
        <f>INDEX(Table2[[HomeTeam]:[Group_details]],ROWS($N$2:P617),COLUMNS($N$2:P617))</f>
        <v>2</v>
      </c>
      <c r="S617" s="1" t="str">
        <f>INDEX(Table2[[HomeTeam]:[Group_details]],ROWS($N$2:Q617),COLUMNS($N$2:Q617))</f>
        <v>Germany</v>
      </c>
      <c r="T617" s="1" t="str">
        <f>INDEX(Table2[[HomeTeam]:[Group_details]],ROWS($N$2:R617),COLUMNS($N$2:R617))</f>
        <v xml:space="preserve"> </v>
      </c>
      <c r="U617" s="1" t="str">
        <f>INDEX(Table2[[HomeTeam]:[Group_details]],ROWS($N$2:S617),COLUMNS($N$2:S617))</f>
        <v>Group stages</v>
      </c>
      <c r="V617" s="1" t="b">
        <f t="shared" si="9"/>
        <v>0</v>
      </c>
      <c r="W617" s="1" t="str">
        <f>IF(V617=TRUE,ROWS($V$2:V617),"")</f>
        <v/>
      </c>
      <c r="X617" s="1" t="str">
        <f>IFERROR(SMALL($W$2:$W$853,ROWS($W$2:W617)),"")</f>
        <v/>
      </c>
      <c r="Y617" s="1" t="str">
        <f>IF($X617&lt;&gt;"",INDEX($P$2:$U$853,MATCH($X617,$W$2:$W$853,0),COLUMNS($X$2:X617)),"")</f>
        <v/>
      </c>
      <c r="Z617" s="1" t="str">
        <f>IF($X617&lt;&gt;"",INDEX($P$2:$U$853,MATCH($X617,$W$2:$W$853,0),COLUMNS($X$2:Y617)),"")</f>
        <v/>
      </c>
      <c r="AA617" s="1" t="str">
        <f>IF($X617&lt;&gt;"",INDEX($P$2:$U$853,MATCH($X617,$W$2:$W$853,0),COLUMNS($X$2:Z617)),"")</f>
        <v/>
      </c>
      <c r="AB617" s="1" t="str">
        <f>IF($X617&lt;&gt;"",INDEX($P$2:$U$853,MATCH($X617,$W$2:$W$853,0),COLUMNS($X$2:AA617)),"")</f>
        <v/>
      </c>
      <c r="AC617" s="1" t="str">
        <f>IF($X617&lt;&gt;"",INDEX($P$2:$U$853,MATCH($X617,$W$2:$W$853,0),COLUMNS($X$2:AB617)),"")</f>
        <v/>
      </c>
      <c r="AD617" s="1" t="str">
        <f>IF($X617&lt;&gt;"",INDEX($P$2:$U$853,MATCH($X617,$W$2:$W$853,0),COLUMNS($X$2:AC617)),"")</f>
        <v/>
      </c>
    </row>
    <row r="618" spans="1:30" x14ac:dyDescent="0.2">
      <c r="A618" s="1">
        <v>2002</v>
      </c>
      <c r="B618" s="2">
        <v>37419</v>
      </c>
      <c r="C618" s="1" t="s">
        <v>514</v>
      </c>
      <c r="D618" s="1" t="s">
        <v>274</v>
      </c>
      <c r="E618" s="1" t="s">
        <v>398</v>
      </c>
      <c r="F618" s="1" t="s">
        <v>399</v>
      </c>
      <c r="G618" s="6" t="str">
        <f>VLOOKUP(A618,WorldCups!$A$2:$B$23,2,FALSE)</f>
        <v>Korea/Japan</v>
      </c>
      <c r="H618" s="1" t="s">
        <v>48</v>
      </c>
      <c r="I618" s="1">
        <v>1</v>
      </c>
      <c r="J618" s="1">
        <v>1</v>
      </c>
      <c r="K618" s="1" t="s">
        <v>25</v>
      </c>
      <c r="L618" s="1" t="s">
        <v>14</v>
      </c>
      <c r="M618" s="1" t="str">
        <f>IF(ISNUMBER(SEARCH("Group",Table2[[#This Row],[Round]])),"Group stages",Table2[[#This Row],[Round]])</f>
        <v>Group stages</v>
      </c>
      <c r="O618" s="1">
        <f>Table2[[#This Row],[Year]]</f>
        <v>2002</v>
      </c>
      <c r="P618" s="1" t="str">
        <f>INDEX(Table2[[HomeTeam]:[Group_details]],ROWS($N$2:N618),COLUMNS($N$2:N618))</f>
        <v>Sweden</v>
      </c>
      <c r="Q618" s="1">
        <f>INDEX(Table2[[HomeTeam]:[Group_details]],ROWS($N$2:O618),COLUMNS($N$2:O618))</f>
        <v>1</v>
      </c>
      <c r="R618" s="1">
        <f>INDEX(Table2[[HomeTeam]:[Group_details]],ROWS($N$2:P618),COLUMNS($N$2:P618))</f>
        <v>1</v>
      </c>
      <c r="S618" s="1" t="str">
        <f>INDEX(Table2[[HomeTeam]:[Group_details]],ROWS($N$2:Q618),COLUMNS($N$2:Q618))</f>
        <v>Argentina</v>
      </c>
      <c r="T618" s="1" t="str">
        <f>INDEX(Table2[[HomeTeam]:[Group_details]],ROWS($N$2:R618),COLUMNS($N$2:R618))</f>
        <v xml:space="preserve"> </v>
      </c>
      <c r="U618" s="1" t="str">
        <f>INDEX(Table2[[HomeTeam]:[Group_details]],ROWS($N$2:S618),COLUMNS($N$2:S618))</f>
        <v>Group stages</v>
      </c>
      <c r="V618" s="1" t="b">
        <f t="shared" si="9"/>
        <v>0</v>
      </c>
      <c r="W618" s="1" t="str">
        <f>IF(V618=TRUE,ROWS($V$2:V618),"")</f>
        <v/>
      </c>
      <c r="X618" s="1" t="str">
        <f>IFERROR(SMALL($W$2:$W$853,ROWS($W$2:W618)),"")</f>
        <v/>
      </c>
      <c r="Y618" s="1" t="str">
        <f>IF($X618&lt;&gt;"",INDEX($P$2:$U$853,MATCH($X618,$W$2:$W$853,0),COLUMNS($X$2:X618)),"")</f>
        <v/>
      </c>
      <c r="Z618" s="1" t="str">
        <f>IF($X618&lt;&gt;"",INDEX($P$2:$U$853,MATCH($X618,$W$2:$W$853,0),COLUMNS($X$2:Y618)),"")</f>
        <v/>
      </c>
      <c r="AA618" s="1" t="str">
        <f>IF($X618&lt;&gt;"",INDEX($P$2:$U$853,MATCH($X618,$W$2:$W$853,0),COLUMNS($X$2:Z618)),"")</f>
        <v/>
      </c>
      <c r="AB618" s="1" t="str">
        <f>IF($X618&lt;&gt;"",INDEX($P$2:$U$853,MATCH($X618,$W$2:$W$853,0),COLUMNS($X$2:AA618)),"")</f>
        <v/>
      </c>
      <c r="AC618" s="1" t="str">
        <f>IF($X618&lt;&gt;"",INDEX($P$2:$U$853,MATCH($X618,$W$2:$W$853,0),COLUMNS($X$2:AB618)),"")</f>
        <v/>
      </c>
      <c r="AD618" s="1" t="str">
        <f>IF($X618&lt;&gt;"",INDEX($P$2:$U$853,MATCH($X618,$W$2:$W$853,0),COLUMNS($X$2:AC618)),"")</f>
        <v/>
      </c>
    </row>
    <row r="619" spans="1:30" x14ac:dyDescent="0.2">
      <c r="A619" s="1">
        <v>2002</v>
      </c>
      <c r="B619" s="2">
        <v>37419</v>
      </c>
      <c r="C619" s="1" t="s">
        <v>514</v>
      </c>
      <c r="D619" s="1" t="s">
        <v>274</v>
      </c>
      <c r="E619" s="1" t="s">
        <v>404</v>
      </c>
      <c r="F619" s="1" t="s">
        <v>405</v>
      </c>
      <c r="G619" s="6" t="str">
        <f>VLOOKUP(A619,WorldCups!$A$2:$B$23,2,FALSE)</f>
        <v>Korea/Japan</v>
      </c>
      <c r="H619" s="1" t="s">
        <v>340</v>
      </c>
      <c r="I619" s="1">
        <v>0</v>
      </c>
      <c r="J619" s="1">
        <v>0</v>
      </c>
      <c r="K619" s="1" t="s">
        <v>93</v>
      </c>
      <c r="L619" s="1" t="s">
        <v>14</v>
      </c>
      <c r="M619" s="1" t="str">
        <f>IF(ISNUMBER(SEARCH("Group",Table2[[#This Row],[Round]])),"Group stages",Table2[[#This Row],[Round]])</f>
        <v>Group stages</v>
      </c>
      <c r="O619" s="1">
        <f>Table2[[#This Row],[Year]]</f>
        <v>2002</v>
      </c>
      <c r="P619" s="1" t="str">
        <f>INDEX(Table2[[HomeTeam]:[Group_details]],ROWS($N$2:N619),COLUMNS($N$2:N619))</f>
        <v>Nigeria</v>
      </c>
      <c r="Q619" s="1">
        <f>INDEX(Table2[[HomeTeam]:[Group_details]],ROWS($N$2:O619),COLUMNS($N$2:O619))</f>
        <v>0</v>
      </c>
      <c r="R619" s="1">
        <f>INDEX(Table2[[HomeTeam]:[Group_details]],ROWS($N$2:P619),COLUMNS($N$2:P619))</f>
        <v>0</v>
      </c>
      <c r="S619" s="1" t="str">
        <f>INDEX(Table2[[HomeTeam]:[Group_details]],ROWS($N$2:Q619),COLUMNS($N$2:Q619))</f>
        <v>England</v>
      </c>
      <c r="T619" s="1" t="str">
        <f>INDEX(Table2[[HomeTeam]:[Group_details]],ROWS($N$2:R619),COLUMNS($N$2:R619))</f>
        <v xml:space="preserve"> </v>
      </c>
      <c r="U619" s="1" t="str">
        <f>INDEX(Table2[[HomeTeam]:[Group_details]],ROWS($N$2:S619),COLUMNS($N$2:S619))</f>
        <v>Group stages</v>
      </c>
      <c r="V619" s="1" t="b">
        <f t="shared" si="9"/>
        <v>0</v>
      </c>
      <c r="W619" s="1" t="str">
        <f>IF(V619=TRUE,ROWS($V$2:V619),"")</f>
        <v/>
      </c>
      <c r="X619" s="1" t="str">
        <f>IFERROR(SMALL($W$2:$W$853,ROWS($W$2:W619)),"")</f>
        <v/>
      </c>
      <c r="Y619" s="1" t="str">
        <f>IF($X619&lt;&gt;"",INDEX($P$2:$U$853,MATCH($X619,$W$2:$W$853,0),COLUMNS($X$2:X619)),"")</f>
        <v/>
      </c>
      <c r="Z619" s="1" t="str">
        <f>IF($X619&lt;&gt;"",INDEX($P$2:$U$853,MATCH($X619,$W$2:$W$853,0),COLUMNS($X$2:Y619)),"")</f>
        <v/>
      </c>
      <c r="AA619" s="1" t="str">
        <f>IF($X619&lt;&gt;"",INDEX($P$2:$U$853,MATCH($X619,$W$2:$W$853,0),COLUMNS($X$2:Z619)),"")</f>
        <v/>
      </c>
      <c r="AB619" s="1" t="str">
        <f>IF($X619&lt;&gt;"",INDEX($P$2:$U$853,MATCH($X619,$W$2:$W$853,0),COLUMNS($X$2:AA619)),"")</f>
        <v/>
      </c>
      <c r="AC619" s="1" t="str">
        <f>IF($X619&lt;&gt;"",INDEX($P$2:$U$853,MATCH($X619,$W$2:$W$853,0),COLUMNS($X$2:AB619)),"")</f>
        <v/>
      </c>
      <c r="AD619" s="1" t="str">
        <f>IF($X619&lt;&gt;"",INDEX($P$2:$U$853,MATCH($X619,$W$2:$W$853,0),COLUMNS($X$2:AC619)),"")</f>
        <v/>
      </c>
    </row>
    <row r="620" spans="1:30" x14ac:dyDescent="0.2">
      <c r="A620" s="1">
        <v>2002</v>
      </c>
      <c r="B620" s="2">
        <v>37419</v>
      </c>
      <c r="C620" s="1" t="s">
        <v>535</v>
      </c>
      <c r="D620" s="1" t="s">
        <v>213</v>
      </c>
      <c r="E620" s="1" t="s">
        <v>392</v>
      </c>
      <c r="F620" s="1" t="s">
        <v>393</v>
      </c>
      <c r="G620" s="6" t="str">
        <f>VLOOKUP(A620,WorldCups!$A$2:$B$23,2,FALSE)</f>
        <v>Korea/Japan</v>
      </c>
      <c r="H620" s="1" t="s">
        <v>381</v>
      </c>
      <c r="I620" s="1">
        <v>1</v>
      </c>
      <c r="J620" s="1">
        <v>3</v>
      </c>
      <c r="K620" s="1" t="s">
        <v>28</v>
      </c>
      <c r="L620" s="1" t="s">
        <v>14</v>
      </c>
      <c r="M620" s="1" t="str">
        <f>IF(ISNUMBER(SEARCH("Group",Table2[[#This Row],[Round]])),"Group stages",Table2[[#This Row],[Round]])</f>
        <v>Group stages</v>
      </c>
      <c r="O620" s="1">
        <f>Table2[[#This Row],[Year]]</f>
        <v>2002</v>
      </c>
      <c r="P620" s="1" t="str">
        <f>INDEX(Table2[[HomeTeam]:[Group_details]],ROWS($N$2:N620),COLUMNS($N$2:N620))</f>
        <v>Slovenia</v>
      </c>
      <c r="Q620" s="1">
        <f>INDEX(Table2[[HomeTeam]:[Group_details]],ROWS($N$2:O620),COLUMNS($N$2:O620))</f>
        <v>1</v>
      </c>
      <c r="R620" s="1">
        <f>INDEX(Table2[[HomeTeam]:[Group_details]],ROWS($N$2:P620),COLUMNS($N$2:P620))</f>
        <v>3</v>
      </c>
      <c r="S620" s="1" t="str">
        <f>INDEX(Table2[[HomeTeam]:[Group_details]],ROWS($N$2:Q620),COLUMNS($N$2:Q620))</f>
        <v>Paraguay</v>
      </c>
      <c r="T620" s="1" t="str">
        <f>INDEX(Table2[[HomeTeam]:[Group_details]],ROWS($N$2:R620),COLUMNS($N$2:R620))</f>
        <v xml:space="preserve"> </v>
      </c>
      <c r="U620" s="1" t="str">
        <f>INDEX(Table2[[HomeTeam]:[Group_details]],ROWS($N$2:S620),COLUMNS($N$2:S620))</f>
        <v>Group stages</v>
      </c>
      <c r="V620" s="1" t="b">
        <f t="shared" si="9"/>
        <v>0</v>
      </c>
      <c r="W620" s="1" t="str">
        <f>IF(V620=TRUE,ROWS($V$2:V620),"")</f>
        <v/>
      </c>
      <c r="X620" s="1" t="str">
        <f>IFERROR(SMALL($W$2:$W$853,ROWS($W$2:W620)),"")</f>
        <v/>
      </c>
      <c r="Y620" s="1" t="str">
        <f>IF($X620&lt;&gt;"",INDEX($P$2:$U$853,MATCH($X620,$W$2:$W$853,0),COLUMNS($X$2:X620)),"")</f>
        <v/>
      </c>
      <c r="Z620" s="1" t="str">
        <f>IF($X620&lt;&gt;"",INDEX($P$2:$U$853,MATCH($X620,$W$2:$W$853,0),COLUMNS($X$2:Y620)),"")</f>
        <v/>
      </c>
      <c r="AA620" s="1" t="str">
        <f>IF($X620&lt;&gt;"",INDEX($P$2:$U$853,MATCH($X620,$W$2:$W$853,0),COLUMNS($X$2:Z620)),"")</f>
        <v/>
      </c>
      <c r="AB620" s="1" t="str">
        <f>IF($X620&lt;&gt;"",INDEX($P$2:$U$853,MATCH($X620,$W$2:$W$853,0),COLUMNS($X$2:AA620)),"")</f>
        <v/>
      </c>
      <c r="AC620" s="1" t="str">
        <f>IF($X620&lt;&gt;"",INDEX($P$2:$U$853,MATCH($X620,$W$2:$W$853,0),COLUMNS($X$2:AB620)),"")</f>
        <v/>
      </c>
      <c r="AD620" s="1" t="str">
        <f>IF($X620&lt;&gt;"",INDEX($P$2:$U$853,MATCH($X620,$W$2:$W$853,0),COLUMNS($X$2:AC620)),"")</f>
        <v/>
      </c>
    </row>
    <row r="621" spans="1:30" x14ac:dyDescent="0.2">
      <c r="A621" s="1">
        <v>2002</v>
      </c>
      <c r="B621" s="2">
        <v>37419</v>
      </c>
      <c r="C621" s="1" t="s">
        <v>535</v>
      </c>
      <c r="D621" s="1" t="s">
        <v>213</v>
      </c>
      <c r="E621" s="1" t="s">
        <v>406</v>
      </c>
      <c r="F621" s="1" t="s">
        <v>407</v>
      </c>
      <c r="G621" s="6" t="str">
        <f>VLOOKUP(A621,WorldCups!$A$2:$B$23,2,FALSE)</f>
        <v>Korea/Japan</v>
      </c>
      <c r="H621" s="1" t="s">
        <v>350</v>
      </c>
      <c r="I621" s="1">
        <v>2</v>
      </c>
      <c r="J621" s="1">
        <v>3</v>
      </c>
      <c r="K621" s="1" t="s">
        <v>54</v>
      </c>
      <c r="L621" s="1" t="s">
        <v>14</v>
      </c>
      <c r="M621" s="1" t="str">
        <f>IF(ISNUMBER(SEARCH("Group",Table2[[#This Row],[Round]])),"Group stages",Table2[[#This Row],[Round]])</f>
        <v>Group stages</v>
      </c>
      <c r="O621" s="1">
        <f>Table2[[#This Row],[Year]]</f>
        <v>2002</v>
      </c>
      <c r="P621" s="1" t="str">
        <f>INDEX(Table2[[HomeTeam]:[Group_details]],ROWS($N$2:N621),COLUMNS($N$2:N621))</f>
        <v>South Africa</v>
      </c>
      <c r="Q621" s="1">
        <f>INDEX(Table2[[HomeTeam]:[Group_details]],ROWS($N$2:O621),COLUMNS($N$2:O621))</f>
        <v>2</v>
      </c>
      <c r="R621" s="1">
        <f>INDEX(Table2[[HomeTeam]:[Group_details]],ROWS($N$2:P621),COLUMNS($N$2:P621))</f>
        <v>3</v>
      </c>
      <c r="S621" s="1" t="str">
        <f>INDEX(Table2[[HomeTeam]:[Group_details]],ROWS($N$2:Q621),COLUMNS($N$2:Q621))</f>
        <v>Spain</v>
      </c>
      <c r="T621" s="1" t="str">
        <f>INDEX(Table2[[HomeTeam]:[Group_details]],ROWS($N$2:R621),COLUMNS($N$2:R621))</f>
        <v xml:space="preserve"> </v>
      </c>
      <c r="U621" s="1" t="str">
        <f>INDEX(Table2[[HomeTeam]:[Group_details]],ROWS($N$2:S621),COLUMNS($N$2:S621))</f>
        <v>Group stages</v>
      </c>
      <c r="V621" s="1" t="b">
        <f t="shared" si="9"/>
        <v>0</v>
      </c>
      <c r="W621" s="1" t="str">
        <f>IF(V621=TRUE,ROWS($V$2:V621),"")</f>
        <v/>
      </c>
      <c r="X621" s="1" t="str">
        <f>IFERROR(SMALL($W$2:$W$853,ROWS($W$2:W621)),"")</f>
        <v/>
      </c>
      <c r="Y621" s="1" t="str">
        <f>IF($X621&lt;&gt;"",INDEX($P$2:$U$853,MATCH($X621,$W$2:$W$853,0),COLUMNS($X$2:X621)),"")</f>
        <v/>
      </c>
      <c r="Z621" s="1" t="str">
        <f>IF($X621&lt;&gt;"",INDEX($P$2:$U$853,MATCH($X621,$W$2:$W$853,0),COLUMNS($X$2:Y621)),"")</f>
        <v/>
      </c>
      <c r="AA621" s="1" t="str">
        <f>IF($X621&lt;&gt;"",INDEX($P$2:$U$853,MATCH($X621,$W$2:$W$853,0),COLUMNS($X$2:Z621)),"")</f>
        <v/>
      </c>
      <c r="AB621" s="1" t="str">
        <f>IF($X621&lt;&gt;"",INDEX($P$2:$U$853,MATCH($X621,$W$2:$W$853,0),COLUMNS($X$2:AA621)),"")</f>
        <v/>
      </c>
      <c r="AC621" s="1" t="str">
        <f>IF($X621&lt;&gt;"",INDEX($P$2:$U$853,MATCH($X621,$W$2:$W$853,0),COLUMNS($X$2:AB621)),"")</f>
        <v/>
      </c>
      <c r="AD621" s="1" t="str">
        <f>IF($X621&lt;&gt;"",INDEX($P$2:$U$853,MATCH($X621,$W$2:$W$853,0),COLUMNS($X$2:AC621)),"")</f>
        <v/>
      </c>
    </row>
    <row r="622" spans="1:30" x14ac:dyDescent="0.2">
      <c r="A622" s="1">
        <v>2002</v>
      </c>
      <c r="B622" s="2">
        <v>37420</v>
      </c>
      <c r="C622" s="1" t="s">
        <v>514</v>
      </c>
      <c r="D622" s="1" t="s">
        <v>268</v>
      </c>
      <c r="E622" s="1" t="s">
        <v>386</v>
      </c>
      <c r="F622" s="1" t="s">
        <v>387</v>
      </c>
      <c r="G622" s="6" t="str">
        <f>VLOOKUP(A622,WorldCups!$A$2:$B$23,2,FALSE)</f>
        <v>Korea/Japan</v>
      </c>
      <c r="H622" s="1" t="s">
        <v>301</v>
      </c>
      <c r="I622" s="1">
        <v>2</v>
      </c>
      <c r="J622" s="1">
        <v>5</v>
      </c>
      <c r="K622" s="1" t="s">
        <v>21</v>
      </c>
      <c r="L622" s="1" t="s">
        <v>14</v>
      </c>
      <c r="M622" s="1" t="str">
        <f>IF(ISNUMBER(SEARCH("Group",Table2[[#This Row],[Round]])),"Group stages",Table2[[#This Row],[Round]])</f>
        <v>Group stages</v>
      </c>
      <c r="O622" s="1">
        <f>Table2[[#This Row],[Year]]</f>
        <v>2002</v>
      </c>
      <c r="P622" s="1" t="str">
        <f>INDEX(Table2[[HomeTeam]:[Group_details]],ROWS($N$2:N622),COLUMNS($N$2:N622))</f>
        <v>Costa Rica</v>
      </c>
      <c r="Q622" s="1">
        <f>INDEX(Table2[[HomeTeam]:[Group_details]],ROWS($N$2:O622),COLUMNS($N$2:O622))</f>
        <v>2</v>
      </c>
      <c r="R622" s="1">
        <f>INDEX(Table2[[HomeTeam]:[Group_details]],ROWS($N$2:P622),COLUMNS($N$2:P622))</f>
        <v>5</v>
      </c>
      <c r="S622" s="1" t="str">
        <f>INDEX(Table2[[HomeTeam]:[Group_details]],ROWS($N$2:Q622),COLUMNS($N$2:Q622))</f>
        <v>Brazil</v>
      </c>
      <c r="T622" s="1" t="str">
        <f>INDEX(Table2[[HomeTeam]:[Group_details]],ROWS($N$2:R622),COLUMNS($N$2:R622))</f>
        <v xml:space="preserve"> </v>
      </c>
      <c r="U622" s="1" t="str">
        <f>INDEX(Table2[[HomeTeam]:[Group_details]],ROWS($N$2:S622),COLUMNS($N$2:S622))</f>
        <v>Group stages</v>
      </c>
      <c r="V622" s="1" t="b">
        <f t="shared" si="9"/>
        <v>0</v>
      </c>
      <c r="W622" s="1" t="str">
        <f>IF(V622=TRUE,ROWS($V$2:V622),"")</f>
        <v/>
      </c>
      <c r="X622" s="1" t="str">
        <f>IFERROR(SMALL($W$2:$W$853,ROWS($W$2:W622)),"")</f>
        <v/>
      </c>
      <c r="Y622" s="1" t="str">
        <f>IF($X622&lt;&gt;"",INDEX($P$2:$U$853,MATCH($X622,$W$2:$W$853,0),COLUMNS($X$2:X622)),"")</f>
        <v/>
      </c>
      <c r="Z622" s="1" t="str">
        <f>IF($X622&lt;&gt;"",INDEX($P$2:$U$853,MATCH($X622,$W$2:$W$853,0),COLUMNS($X$2:Y622)),"")</f>
        <v/>
      </c>
      <c r="AA622" s="1" t="str">
        <f>IF($X622&lt;&gt;"",INDEX($P$2:$U$853,MATCH($X622,$W$2:$W$853,0),COLUMNS($X$2:Z622)),"")</f>
        <v/>
      </c>
      <c r="AB622" s="1" t="str">
        <f>IF($X622&lt;&gt;"",INDEX($P$2:$U$853,MATCH($X622,$W$2:$W$853,0),COLUMNS($X$2:AA622)),"")</f>
        <v/>
      </c>
      <c r="AC622" s="1" t="str">
        <f>IF($X622&lt;&gt;"",INDEX($P$2:$U$853,MATCH($X622,$W$2:$W$853,0),COLUMNS($X$2:AB622)),"")</f>
        <v/>
      </c>
      <c r="AD622" s="1" t="str">
        <f>IF($X622&lt;&gt;"",INDEX($P$2:$U$853,MATCH($X622,$W$2:$W$853,0),COLUMNS($X$2:AC622)),"")</f>
        <v/>
      </c>
    </row>
    <row r="623" spans="1:30" x14ac:dyDescent="0.2">
      <c r="A623" s="1">
        <v>2002</v>
      </c>
      <c r="B623" s="2">
        <v>37420</v>
      </c>
      <c r="C623" s="1" t="s">
        <v>514</v>
      </c>
      <c r="D623" s="1" t="s">
        <v>268</v>
      </c>
      <c r="E623" s="1" t="s">
        <v>364</v>
      </c>
      <c r="F623" s="1" t="s">
        <v>365</v>
      </c>
      <c r="G623" s="6" t="str">
        <f>VLOOKUP(A623,WorldCups!$A$2:$B$23,2,FALSE)</f>
        <v>Korea/Japan</v>
      </c>
      <c r="H623" s="1" t="s">
        <v>115</v>
      </c>
      <c r="I623" s="1">
        <v>3</v>
      </c>
      <c r="J623" s="1">
        <v>0</v>
      </c>
      <c r="K623" s="1" t="s">
        <v>383</v>
      </c>
      <c r="L623" s="1" t="s">
        <v>14</v>
      </c>
      <c r="M623" s="1" t="str">
        <f>IF(ISNUMBER(SEARCH("Group",Table2[[#This Row],[Round]])),"Group stages",Table2[[#This Row],[Round]])</f>
        <v>Group stages</v>
      </c>
      <c r="O623" s="1">
        <f>Table2[[#This Row],[Year]]</f>
        <v>2002</v>
      </c>
      <c r="P623" s="1" t="str">
        <f>INDEX(Table2[[HomeTeam]:[Group_details]],ROWS($N$2:N623),COLUMNS($N$2:N623))</f>
        <v>Turkey</v>
      </c>
      <c r="Q623" s="1">
        <f>INDEX(Table2[[HomeTeam]:[Group_details]],ROWS($N$2:O623),COLUMNS($N$2:O623))</f>
        <v>3</v>
      </c>
      <c r="R623" s="1">
        <f>INDEX(Table2[[HomeTeam]:[Group_details]],ROWS($N$2:P623),COLUMNS($N$2:P623))</f>
        <v>0</v>
      </c>
      <c r="S623" s="1" t="str">
        <f>INDEX(Table2[[HomeTeam]:[Group_details]],ROWS($N$2:Q623),COLUMNS($N$2:Q623))</f>
        <v>China PR</v>
      </c>
      <c r="T623" s="1" t="str">
        <f>INDEX(Table2[[HomeTeam]:[Group_details]],ROWS($N$2:R623),COLUMNS($N$2:R623))</f>
        <v xml:space="preserve"> </v>
      </c>
      <c r="U623" s="1" t="str">
        <f>INDEX(Table2[[HomeTeam]:[Group_details]],ROWS($N$2:S623),COLUMNS($N$2:S623))</f>
        <v>Group stages</v>
      </c>
      <c r="V623" s="1" t="b">
        <f t="shared" si="9"/>
        <v>0</v>
      </c>
      <c r="W623" s="1" t="str">
        <f>IF(V623=TRUE,ROWS($V$2:V623),"")</f>
        <v/>
      </c>
      <c r="X623" s="1" t="str">
        <f>IFERROR(SMALL($W$2:$W$853,ROWS($W$2:W623)),"")</f>
        <v/>
      </c>
      <c r="Y623" s="1" t="str">
        <f>IF($X623&lt;&gt;"",INDEX($P$2:$U$853,MATCH($X623,$W$2:$W$853,0),COLUMNS($X$2:X623)),"")</f>
        <v/>
      </c>
      <c r="Z623" s="1" t="str">
        <f>IF($X623&lt;&gt;"",INDEX($P$2:$U$853,MATCH($X623,$W$2:$W$853,0),COLUMNS($X$2:Y623)),"")</f>
        <v/>
      </c>
      <c r="AA623" s="1" t="str">
        <f>IF($X623&lt;&gt;"",INDEX($P$2:$U$853,MATCH($X623,$W$2:$W$853,0),COLUMNS($X$2:Z623)),"")</f>
        <v/>
      </c>
      <c r="AB623" s="1" t="str">
        <f>IF($X623&lt;&gt;"",INDEX($P$2:$U$853,MATCH($X623,$W$2:$W$853,0),COLUMNS($X$2:AA623)),"")</f>
        <v/>
      </c>
      <c r="AC623" s="1" t="str">
        <f>IF($X623&lt;&gt;"",INDEX($P$2:$U$853,MATCH($X623,$W$2:$W$853,0),COLUMNS($X$2:AB623)),"")</f>
        <v/>
      </c>
      <c r="AD623" s="1" t="str">
        <f>IF($X623&lt;&gt;"",INDEX($P$2:$U$853,MATCH($X623,$W$2:$W$853,0),COLUMNS($X$2:AC623)),"")</f>
        <v/>
      </c>
    </row>
    <row r="624" spans="1:30" x14ac:dyDescent="0.2">
      <c r="A624" s="1">
        <v>2002</v>
      </c>
      <c r="B624" s="2">
        <v>37420</v>
      </c>
      <c r="C624" s="1" t="s">
        <v>535</v>
      </c>
      <c r="D624" s="1" t="s">
        <v>361</v>
      </c>
      <c r="E624" s="1" t="s">
        <v>396</v>
      </c>
      <c r="F624" s="1" t="s">
        <v>397</v>
      </c>
      <c r="G624" s="6" t="str">
        <f>VLOOKUP(A624,WorldCups!$A$2:$B$23,2,FALSE)</f>
        <v>Korea/Japan</v>
      </c>
      <c r="H624" s="1" t="s">
        <v>382</v>
      </c>
      <c r="I624" s="1">
        <v>1</v>
      </c>
      <c r="J624" s="1">
        <v>0</v>
      </c>
      <c r="K624" s="1" t="s">
        <v>360</v>
      </c>
      <c r="L624" s="1" t="s">
        <v>14</v>
      </c>
      <c r="M624" s="1" t="str">
        <f>IF(ISNUMBER(SEARCH("Group",Table2[[#This Row],[Round]])),"Group stages",Table2[[#This Row],[Round]])</f>
        <v>Group stages</v>
      </c>
      <c r="O624" s="1">
        <f>Table2[[#This Row],[Year]]</f>
        <v>2002</v>
      </c>
      <c r="P624" s="1" t="str">
        <f>INDEX(Table2[[HomeTeam]:[Group_details]],ROWS($N$2:N624),COLUMNS($N$2:N624))</f>
        <v>Ecuador</v>
      </c>
      <c r="Q624" s="1">
        <f>INDEX(Table2[[HomeTeam]:[Group_details]],ROWS($N$2:O624),COLUMNS($N$2:O624))</f>
        <v>1</v>
      </c>
      <c r="R624" s="1">
        <f>INDEX(Table2[[HomeTeam]:[Group_details]],ROWS($N$2:P624),COLUMNS($N$2:P624))</f>
        <v>0</v>
      </c>
      <c r="S624" s="1" t="str">
        <f>INDEX(Table2[[HomeTeam]:[Group_details]],ROWS($N$2:Q624),COLUMNS($N$2:Q624))</f>
        <v>Croatia</v>
      </c>
      <c r="T624" s="1" t="str">
        <f>INDEX(Table2[[HomeTeam]:[Group_details]],ROWS($N$2:R624),COLUMNS($N$2:R624))</f>
        <v xml:space="preserve"> </v>
      </c>
      <c r="U624" s="1" t="str">
        <f>INDEX(Table2[[HomeTeam]:[Group_details]],ROWS($N$2:S624),COLUMNS($N$2:S624))</f>
        <v>Group stages</v>
      </c>
      <c r="V624" s="1" t="b">
        <f t="shared" si="9"/>
        <v>0</v>
      </c>
      <c r="W624" s="1" t="str">
        <f>IF(V624=TRUE,ROWS($V$2:V624),"")</f>
        <v/>
      </c>
      <c r="X624" s="1" t="str">
        <f>IFERROR(SMALL($W$2:$W$853,ROWS($W$2:W624)),"")</f>
        <v/>
      </c>
      <c r="Y624" s="1" t="str">
        <f>IF($X624&lt;&gt;"",INDEX($P$2:$U$853,MATCH($X624,$W$2:$W$853,0),COLUMNS($X$2:X624)),"")</f>
        <v/>
      </c>
      <c r="Z624" s="1" t="str">
        <f>IF($X624&lt;&gt;"",INDEX($P$2:$U$853,MATCH($X624,$W$2:$W$853,0),COLUMNS($X$2:Y624)),"")</f>
        <v/>
      </c>
      <c r="AA624" s="1" t="str">
        <f>IF($X624&lt;&gt;"",INDEX($P$2:$U$853,MATCH($X624,$W$2:$W$853,0),COLUMNS($X$2:Z624)),"")</f>
        <v/>
      </c>
      <c r="AB624" s="1" t="str">
        <f>IF($X624&lt;&gt;"",INDEX($P$2:$U$853,MATCH($X624,$W$2:$W$853,0),COLUMNS($X$2:AA624)),"")</f>
        <v/>
      </c>
      <c r="AC624" s="1" t="str">
        <f>IF($X624&lt;&gt;"",INDEX($P$2:$U$853,MATCH($X624,$W$2:$W$853,0),COLUMNS($X$2:AB624)),"")</f>
        <v/>
      </c>
      <c r="AD624" s="1" t="str">
        <f>IF($X624&lt;&gt;"",INDEX($P$2:$U$853,MATCH($X624,$W$2:$W$853,0),COLUMNS($X$2:AC624)),"")</f>
        <v/>
      </c>
    </row>
    <row r="625" spans="1:30" x14ac:dyDescent="0.2">
      <c r="A625" s="1">
        <v>2002</v>
      </c>
      <c r="B625" s="2">
        <v>37420</v>
      </c>
      <c r="C625" s="1" t="s">
        <v>535</v>
      </c>
      <c r="D625" s="1" t="s">
        <v>361</v>
      </c>
      <c r="E625" s="1" t="s">
        <v>400</v>
      </c>
      <c r="F625" s="1" t="s">
        <v>401</v>
      </c>
      <c r="G625" s="6" t="str">
        <f>VLOOKUP(A625,WorldCups!$A$2:$B$23,2,FALSE)</f>
        <v>Korea/Japan</v>
      </c>
      <c r="H625" s="1" t="s">
        <v>13</v>
      </c>
      <c r="I625" s="1">
        <v>1</v>
      </c>
      <c r="J625" s="1">
        <v>1</v>
      </c>
      <c r="K625" s="1" t="s">
        <v>57</v>
      </c>
      <c r="L625" s="1" t="s">
        <v>14</v>
      </c>
      <c r="M625" s="1" t="str">
        <f>IF(ISNUMBER(SEARCH("Group",Table2[[#This Row],[Round]])),"Group stages",Table2[[#This Row],[Round]])</f>
        <v>Group stages</v>
      </c>
      <c r="O625" s="1">
        <f>Table2[[#This Row],[Year]]</f>
        <v>2002</v>
      </c>
      <c r="P625" s="1" t="str">
        <f>INDEX(Table2[[HomeTeam]:[Group_details]],ROWS($N$2:N625),COLUMNS($N$2:N625))</f>
        <v>Mexico</v>
      </c>
      <c r="Q625" s="1">
        <f>INDEX(Table2[[HomeTeam]:[Group_details]],ROWS($N$2:O625),COLUMNS($N$2:O625))</f>
        <v>1</v>
      </c>
      <c r="R625" s="1">
        <f>INDEX(Table2[[HomeTeam]:[Group_details]],ROWS($N$2:P625),COLUMNS($N$2:P625))</f>
        <v>1</v>
      </c>
      <c r="S625" s="1" t="str">
        <f>INDEX(Table2[[HomeTeam]:[Group_details]],ROWS($N$2:Q625),COLUMNS($N$2:Q625))</f>
        <v>Italy</v>
      </c>
      <c r="T625" s="1" t="str">
        <f>INDEX(Table2[[HomeTeam]:[Group_details]],ROWS($N$2:R625),COLUMNS($N$2:R625))</f>
        <v xml:space="preserve"> </v>
      </c>
      <c r="U625" s="1" t="str">
        <f>INDEX(Table2[[HomeTeam]:[Group_details]],ROWS($N$2:S625),COLUMNS($N$2:S625))</f>
        <v>Group stages</v>
      </c>
      <c r="V625" s="1" t="b">
        <f t="shared" si="9"/>
        <v>0</v>
      </c>
      <c r="W625" s="1" t="str">
        <f>IF(V625=TRUE,ROWS($V$2:V625),"")</f>
        <v/>
      </c>
      <c r="X625" s="1" t="str">
        <f>IFERROR(SMALL($W$2:$W$853,ROWS($W$2:W625)),"")</f>
        <v/>
      </c>
      <c r="Y625" s="1" t="str">
        <f>IF($X625&lt;&gt;"",INDEX($P$2:$U$853,MATCH($X625,$W$2:$W$853,0),COLUMNS($X$2:X625)),"")</f>
        <v/>
      </c>
      <c r="Z625" s="1" t="str">
        <f>IF($X625&lt;&gt;"",INDEX($P$2:$U$853,MATCH($X625,$W$2:$W$853,0),COLUMNS($X$2:Y625)),"")</f>
        <v/>
      </c>
      <c r="AA625" s="1" t="str">
        <f>IF($X625&lt;&gt;"",INDEX($P$2:$U$853,MATCH($X625,$W$2:$W$853,0),COLUMNS($X$2:Z625)),"")</f>
        <v/>
      </c>
      <c r="AB625" s="1" t="str">
        <f>IF($X625&lt;&gt;"",INDEX($P$2:$U$853,MATCH($X625,$W$2:$W$853,0),COLUMNS($X$2:AA625)),"")</f>
        <v/>
      </c>
      <c r="AC625" s="1" t="str">
        <f>IF($X625&lt;&gt;"",INDEX($P$2:$U$853,MATCH($X625,$W$2:$W$853,0),COLUMNS($X$2:AB625)),"")</f>
        <v/>
      </c>
      <c r="AD625" s="1" t="str">
        <f>IF($X625&lt;&gt;"",INDEX($P$2:$U$853,MATCH($X625,$W$2:$W$853,0),COLUMNS($X$2:AC625)),"")</f>
        <v/>
      </c>
    </row>
    <row r="626" spans="1:30" x14ac:dyDescent="0.2">
      <c r="A626" s="1">
        <v>2002</v>
      </c>
      <c r="B626" s="2">
        <v>37421</v>
      </c>
      <c r="C626" s="1" t="s">
        <v>514</v>
      </c>
      <c r="D626" s="1" t="s">
        <v>355</v>
      </c>
      <c r="E626" s="1" t="s">
        <v>404</v>
      </c>
      <c r="F626" s="1" t="s">
        <v>405</v>
      </c>
      <c r="G626" s="6" t="str">
        <f>VLOOKUP(A626,WorldCups!$A$2:$B$23,2,FALSE)</f>
        <v>Korea/Japan</v>
      </c>
      <c r="H626" s="1" t="s">
        <v>221</v>
      </c>
      <c r="I626" s="1">
        <v>0</v>
      </c>
      <c r="J626" s="1">
        <v>2</v>
      </c>
      <c r="K626" s="1" t="s">
        <v>356</v>
      </c>
      <c r="L626" s="1" t="s">
        <v>14</v>
      </c>
      <c r="M626" s="1" t="str">
        <f>IF(ISNUMBER(SEARCH("Group",Table2[[#This Row],[Round]])),"Group stages",Table2[[#This Row],[Round]])</f>
        <v>Group stages</v>
      </c>
      <c r="O626" s="1">
        <f>Table2[[#This Row],[Year]]</f>
        <v>2002</v>
      </c>
      <c r="P626" s="1" t="str">
        <f>INDEX(Table2[[HomeTeam]:[Group_details]],ROWS($N$2:N626),COLUMNS($N$2:N626))</f>
        <v>Tunisia</v>
      </c>
      <c r="Q626" s="1">
        <f>INDEX(Table2[[HomeTeam]:[Group_details]],ROWS($N$2:O626),COLUMNS($N$2:O626))</f>
        <v>0</v>
      </c>
      <c r="R626" s="1">
        <f>INDEX(Table2[[HomeTeam]:[Group_details]],ROWS($N$2:P626),COLUMNS($N$2:P626))</f>
        <v>2</v>
      </c>
      <c r="S626" s="1" t="str">
        <f>INDEX(Table2[[HomeTeam]:[Group_details]],ROWS($N$2:Q626),COLUMNS($N$2:Q626))</f>
        <v>Japan</v>
      </c>
      <c r="T626" s="1" t="str">
        <f>INDEX(Table2[[HomeTeam]:[Group_details]],ROWS($N$2:R626),COLUMNS($N$2:R626))</f>
        <v xml:space="preserve"> </v>
      </c>
      <c r="U626" s="1" t="str">
        <f>INDEX(Table2[[HomeTeam]:[Group_details]],ROWS($N$2:S626),COLUMNS($N$2:S626))</f>
        <v>Group stages</v>
      </c>
      <c r="V626" s="1" t="b">
        <f t="shared" si="9"/>
        <v>0</v>
      </c>
      <c r="W626" s="1" t="str">
        <f>IF(V626=TRUE,ROWS($V$2:V626),"")</f>
        <v/>
      </c>
      <c r="X626" s="1" t="str">
        <f>IFERROR(SMALL($W$2:$W$853,ROWS($W$2:W626)),"")</f>
        <v/>
      </c>
      <c r="Y626" s="1" t="str">
        <f>IF($X626&lt;&gt;"",INDEX($P$2:$U$853,MATCH($X626,$W$2:$W$853,0),COLUMNS($X$2:X626)),"")</f>
        <v/>
      </c>
      <c r="Z626" s="1" t="str">
        <f>IF($X626&lt;&gt;"",INDEX($P$2:$U$853,MATCH($X626,$W$2:$W$853,0),COLUMNS($X$2:Y626)),"")</f>
        <v/>
      </c>
      <c r="AA626" s="1" t="str">
        <f>IF($X626&lt;&gt;"",INDEX($P$2:$U$853,MATCH($X626,$W$2:$W$853,0),COLUMNS($X$2:Z626)),"")</f>
        <v/>
      </c>
      <c r="AB626" s="1" t="str">
        <f>IF($X626&lt;&gt;"",INDEX($P$2:$U$853,MATCH($X626,$W$2:$W$853,0),COLUMNS($X$2:AA626)),"")</f>
        <v/>
      </c>
      <c r="AC626" s="1" t="str">
        <f>IF($X626&lt;&gt;"",INDEX($P$2:$U$853,MATCH($X626,$W$2:$W$853,0),COLUMNS($X$2:AB626)),"")</f>
        <v/>
      </c>
      <c r="AD626" s="1" t="str">
        <f>IF($X626&lt;&gt;"",INDEX($P$2:$U$853,MATCH($X626,$W$2:$W$853,0),COLUMNS($X$2:AC626)),"")</f>
        <v/>
      </c>
    </row>
    <row r="627" spans="1:30" x14ac:dyDescent="0.2">
      <c r="A627" s="1">
        <v>2002</v>
      </c>
      <c r="B627" s="2">
        <v>37421</v>
      </c>
      <c r="C627" s="1" t="s">
        <v>535</v>
      </c>
      <c r="D627" s="1" t="s">
        <v>270</v>
      </c>
      <c r="E627" s="1" t="s">
        <v>394</v>
      </c>
      <c r="F627" s="1" t="s">
        <v>395</v>
      </c>
      <c r="G627" s="6" t="str">
        <f>VLOOKUP(A627,WorldCups!$A$2:$B$23,2,FALSE)</f>
        <v>Korea/Japan</v>
      </c>
      <c r="H627" s="1" t="s">
        <v>170</v>
      </c>
      <c r="I627" s="1">
        <v>0</v>
      </c>
      <c r="J627" s="1">
        <v>1</v>
      </c>
      <c r="K627" s="1" t="s">
        <v>116</v>
      </c>
      <c r="L627" s="1" t="s">
        <v>14</v>
      </c>
      <c r="M627" s="1" t="str">
        <f>IF(ISNUMBER(SEARCH("Group",Table2[[#This Row],[Round]])),"Group stages",Table2[[#This Row],[Round]])</f>
        <v>Group stages</v>
      </c>
      <c r="O627" s="1">
        <f>Table2[[#This Row],[Year]]</f>
        <v>2002</v>
      </c>
      <c r="P627" s="1" t="str">
        <f>INDEX(Table2[[HomeTeam]:[Group_details]],ROWS($N$2:N627),COLUMNS($N$2:N627))</f>
        <v>Portugal</v>
      </c>
      <c r="Q627" s="1">
        <f>INDEX(Table2[[HomeTeam]:[Group_details]],ROWS($N$2:O627),COLUMNS($N$2:O627))</f>
        <v>0</v>
      </c>
      <c r="R627" s="1">
        <f>INDEX(Table2[[HomeTeam]:[Group_details]],ROWS($N$2:P627),COLUMNS($N$2:P627))</f>
        <v>1</v>
      </c>
      <c r="S627" s="1" t="str">
        <f>INDEX(Table2[[HomeTeam]:[Group_details]],ROWS($N$2:Q627),COLUMNS($N$2:Q627))</f>
        <v>Korea Republic</v>
      </c>
      <c r="T627" s="1" t="str">
        <f>INDEX(Table2[[HomeTeam]:[Group_details]],ROWS($N$2:R627),COLUMNS($N$2:R627))</f>
        <v xml:space="preserve"> </v>
      </c>
      <c r="U627" s="1" t="str">
        <f>INDEX(Table2[[HomeTeam]:[Group_details]],ROWS($N$2:S627),COLUMNS($N$2:S627))</f>
        <v>Group stages</v>
      </c>
      <c r="V627" s="1" t="b">
        <f t="shared" si="9"/>
        <v>0</v>
      </c>
      <c r="W627" s="1" t="str">
        <f>IF(V627=TRUE,ROWS($V$2:V627),"")</f>
        <v/>
      </c>
      <c r="X627" s="1" t="str">
        <f>IFERROR(SMALL($W$2:$W$853,ROWS($W$2:W627)),"")</f>
        <v/>
      </c>
      <c r="Y627" s="1" t="str">
        <f>IF($X627&lt;&gt;"",INDEX($P$2:$U$853,MATCH($X627,$W$2:$W$853,0),COLUMNS($X$2:X627)),"")</f>
        <v/>
      </c>
      <c r="Z627" s="1" t="str">
        <f>IF($X627&lt;&gt;"",INDEX($P$2:$U$853,MATCH($X627,$W$2:$W$853,0),COLUMNS($X$2:Y627)),"")</f>
        <v/>
      </c>
      <c r="AA627" s="1" t="str">
        <f>IF($X627&lt;&gt;"",INDEX($P$2:$U$853,MATCH($X627,$W$2:$W$853,0),COLUMNS($X$2:Z627)),"")</f>
        <v/>
      </c>
      <c r="AB627" s="1" t="str">
        <f>IF($X627&lt;&gt;"",INDEX($P$2:$U$853,MATCH($X627,$W$2:$W$853,0),COLUMNS($X$2:AA627)),"")</f>
        <v/>
      </c>
      <c r="AC627" s="1" t="str">
        <f>IF($X627&lt;&gt;"",INDEX($P$2:$U$853,MATCH($X627,$W$2:$W$853,0),COLUMNS($X$2:AB627)),"")</f>
        <v/>
      </c>
      <c r="AD627" s="1" t="str">
        <f>IF($X627&lt;&gt;"",INDEX($P$2:$U$853,MATCH($X627,$W$2:$W$853,0),COLUMNS($X$2:AC627)),"")</f>
        <v/>
      </c>
    </row>
    <row r="628" spans="1:30" x14ac:dyDescent="0.2">
      <c r="A628" s="1">
        <v>2002</v>
      </c>
      <c r="B628" s="2">
        <v>37421</v>
      </c>
      <c r="C628" s="1" t="s">
        <v>535</v>
      </c>
      <c r="D628" s="1" t="s">
        <v>270</v>
      </c>
      <c r="E628" s="1" t="s">
        <v>406</v>
      </c>
      <c r="F628" s="1" t="s">
        <v>407</v>
      </c>
      <c r="G628" s="6" t="str">
        <f>VLOOKUP(A628,WorldCups!$A$2:$B$23,2,FALSE)</f>
        <v>Korea/Japan</v>
      </c>
      <c r="H628" s="1" t="s">
        <v>80</v>
      </c>
      <c r="I628" s="1">
        <v>3</v>
      </c>
      <c r="J628" s="1">
        <v>1</v>
      </c>
      <c r="K628" s="1" t="s">
        <v>17</v>
      </c>
      <c r="L628" s="1" t="s">
        <v>14</v>
      </c>
      <c r="M628" s="1" t="str">
        <f>IF(ISNUMBER(SEARCH("Group",Table2[[#This Row],[Round]])),"Group stages",Table2[[#This Row],[Round]])</f>
        <v>Group stages</v>
      </c>
      <c r="O628" s="1">
        <f>Table2[[#This Row],[Year]]</f>
        <v>2002</v>
      </c>
      <c r="P628" s="1" t="str">
        <f>INDEX(Table2[[HomeTeam]:[Group_details]],ROWS($N$2:N628),COLUMNS($N$2:N628))</f>
        <v>Poland</v>
      </c>
      <c r="Q628" s="1">
        <f>INDEX(Table2[[HomeTeam]:[Group_details]],ROWS($N$2:O628),COLUMNS($N$2:O628))</f>
        <v>3</v>
      </c>
      <c r="R628" s="1">
        <f>INDEX(Table2[[HomeTeam]:[Group_details]],ROWS($N$2:P628),COLUMNS($N$2:P628))</f>
        <v>1</v>
      </c>
      <c r="S628" s="1" t="str">
        <f>INDEX(Table2[[HomeTeam]:[Group_details]],ROWS($N$2:Q628),COLUMNS($N$2:Q628))</f>
        <v>USA</v>
      </c>
      <c r="T628" s="1" t="str">
        <f>INDEX(Table2[[HomeTeam]:[Group_details]],ROWS($N$2:R628),COLUMNS($N$2:R628))</f>
        <v xml:space="preserve"> </v>
      </c>
      <c r="U628" s="1" t="str">
        <f>INDEX(Table2[[HomeTeam]:[Group_details]],ROWS($N$2:S628),COLUMNS($N$2:S628))</f>
        <v>Group stages</v>
      </c>
      <c r="V628" s="1" t="b">
        <f t="shared" si="9"/>
        <v>0</v>
      </c>
      <c r="W628" s="1" t="str">
        <f>IF(V628=TRUE,ROWS($V$2:V628),"")</f>
        <v/>
      </c>
      <c r="X628" s="1" t="str">
        <f>IFERROR(SMALL($W$2:$W$853,ROWS($W$2:W628)),"")</f>
        <v/>
      </c>
      <c r="Y628" s="1" t="str">
        <f>IF($X628&lt;&gt;"",INDEX($P$2:$U$853,MATCH($X628,$W$2:$W$853,0),COLUMNS($X$2:X628)),"")</f>
        <v/>
      </c>
      <c r="Z628" s="1" t="str">
        <f>IF($X628&lt;&gt;"",INDEX($P$2:$U$853,MATCH($X628,$W$2:$W$853,0),COLUMNS($X$2:Y628)),"")</f>
        <v/>
      </c>
      <c r="AA628" s="1" t="str">
        <f>IF($X628&lt;&gt;"",INDEX($P$2:$U$853,MATCH($X628,$W$2:$W$853,0),COLUMNS($X$2:Z628)),"")</f>
        <v/>
      </c>
      <c r="AB628" s="1" t="str">
        <f>IF($X628&lt;&gt;"",INDEX($P$2:$U$853,MATCH($X628,$W$2:$W$853,0),COLUMNS($X$2:AA628)),"")</f>
        <v/>
      </c>
      <c r="AC628" s="1" t="str">
        <f>IF($X628&lt;&gt;"",INDEX($P$2:$U$853,MATCH($X628,$W$2:$W$853,0),COLUMNS($X$2:AB628)),"")</f>
        <v/>
      </c>
      <c r="AD628" s="1" t="str">
        <f>IF($X628&lt;&gt;"",INDEX($P$2:$U$853,MATCH($X628,$W$2:$W$853,0),COLUMNS($X$2:AC628)),"")</f>
        <v/>
      </c>
    </row>
    <row r="629" spans="1:30" x14ac:dyDescent="0.2">
      <c r="A629" s="1">
        <v>2002</v>
      </c>
      <c r="B629" s="2">
        <v>37421</v>
      </c>
      <c r="C629" s="1" t="s">
        <v>514</v>
      </c>
      <c r="D629" s="1" t="s">
        <v>355</v>
      </c>
      <c r="E629" s="1" t="s">
        <v>402</v>
      </c>
      <c r="F629" s="1" t="s">
        <v>403</v>
      </c>
      <c r="G629" s="6" t="str">
        <f>VLOOKUP(A629,WorldCups!$A$2:$B$23,2,FALSE)</f>
        <v>Korea/Japan</v>
      </c>
      <c r="H629" s="1" t="s">
        <v>18</v>
      </c>
      <c r="I629" s="1">
        <v>3</v>
      </c>
      <c r="J629" s="1">
        <v>2</v>
      </c>
      <c r="K629" s="1" t="s">
        <v>336</v>
      </c>
      <c r="L629" s="1" t="s">
        <v>14</v>
      </c>
      <c r="M629" s="1" t="str">
        <f>IF(ISNUMBER(SEARCH("Group",Table2[[#This Row],[Round]])),"Group stages",Table2[[#This Row],[Round]])</f>
        <v>Group stages</v>
      </c>
      <c r="O629" s="1">
        <f>Table2[[#This Row],[Year]]</f>
        <v>2002</v>
      </c>
      <c r="P629" s="1" t="str">
        <f>INDEX(Table2[[HomeTeam]:[Group_details]],ROWS($N$2:N629),COLUMNS($N$2:N629))</f>
        <v>Belgium</v>
      </c>
      <c r="Q629" s="1">
        <f>INDEX(Table2[[HomeTeam]:[Group_details]],ROWS($N$2:O629),COLUMNS($N$2:O629))</f>
        <v>3</v>
      </c>
      <c r="R629" s="1">
        <f>INDEX(Table2[[HomeTeam]:[Group_details]],ROWS($N$2:P629),COLUMNS($N$2:P629))</f>
        <v>2</v>
      </c>
      <c r="S629" s="1" t="str">
        <f>INDEX(Table2[[HomeTeam]:[Group_details]],ROWS($N$2:Q629),COLUMNS($N$2:Q629))</f>
        <v>Russia</v>
      </c>
      <c r="T629" s="1" t="str">
        <f>INDEX(Table2[[HomeTeam]:[Group_details]],ROWS($N$2:R629),COLUMNS($N$2:R629))</f>
        <v xml:space="preserve"> </v>
      </c>
      <c r="U629" s="1" t="str">
        <f>INDEX(Table2[[HomeTeam]:[Group_details]],ROWS($N$2:S629),COLUMNS($N$2:S629))</f>
        <v>Group stages</v>
      </c>
      <c r="V629" s="1" t="b">
        <f t="shared" si="9"/>
        <v>0</v>
      </c>
      <c r="W629" s="1" t="str">
        <f>IF(V629=TRUE,ROWS($V$2:V629),"")</f>
        <v/>
      </c>
      <c r="X629" s="1" t="str">
        <f>IFERROR(SMALL($W$2:$W$853,ROWS($W$2:W629)),"")</f>
        <v/>
      </c>
      <c r="Y629" s="1" t="str">
        <f>IF($X629&lt;&gt;"",INDEX($P$2:$U$853,MATCH($X629,$W$2:$W$853,0),COLUMNS($X$2:X629)),"")</f>
        <v/>
      </c>
      <c r="Z629" s="1" t="str">
        <f>IF($X629&lt;&gt;"",INDEX($P$2:$U$853,MATCH($X629,$W$2:$W$853,0),COLUMNS($X$2:Y629)),"")</f>
        <v/>
      </c>
      <c r="AA629" s="1" t="str">
        <f>IF($X629&lt;&gt;"",INDEX($P$2:$U$853,MATCH($X629,$W$2:$W$853,0),COLUMNS($X$2:Z629)),"")</f>
        <v/>
      </c>
      <c r="AB629" s="1" t="str">
        <f>IF($X629&lt;&gt;"",INDEX($P$2:$U$853,MATCH($X629,$W$2:$W$853,0),COLUMNS($X$2:AA629)),"")</f>
        <v/>
      </c>
      <c r="AC629" s="1" t="str">
        <f>IF($X629&lt;&gt;"",INDEX($P$2:$U$853,MATCH($X629,$W$2:$W$853,0),COLUMNS($X$2:AB629)),"")</f>
        <v/>
      </c>
      <c r="AD629" s="1" t="str">
        <f>IF($X629&lt;&gt;"",INDEX($P$2:$U$853,MATCH($X629,$W$2:$W$853,0),COLUMNS($X$2:AC629)),"")</f>
        <v/>
      </c>
    </row>
    <row r="630" spans="1:30" x14ac:dyDescent="0.2">
      <c r="A630" s="1">
        <v>2002</v>
      </c>
      <c r="B630" s="2">
        <v>37422</v>
      </c>
      <c r="C630" s="1" t="s">
        <v>535</v>
      </c>
      <c r="D630" s="1" t="s">
        <v>287</v>
      </c>
      <c r="E630" s="1" t="s">
        <v>369</v>
      </c>
      <c r="F630" s="1" t="s">
        <v>370</v>
      </c>
      <c r="G630" s="6" t="str">
        <f>VLOOKUP(A630,WorldCups!$A$2:$B$23,2,FALSE)</f>
        <v>Korea/Japan</v>
      </c>
      <c r="H630" s="1" t="s">
        <v>284</v>
      </c>
      <c r="I630" s="1">
        <v>0</v>
      </c>
      <c r="J630" s="1">
        <v>3</v>
      </c>
      <c r="K630" s="1" t="s">
        <v>93</v>
      </c>
      <c r="L630" s="1" t="s">
        <v>14</v>
      </c>
      <c r="M630" s="1" t="str">
        <f>IF(ISNUMBER(SEARCH("Group",Table2[[#This Row],[Round]])),"Group stages",Table2[[#This Row],[Round]])</f>
        <v>Round of 16</v>
      </c>
      <c r="O630" s="1">
        <f>Table2[[#This Row],[Year]]</f>
        <v>2002</v>
      </c>
      <c r="P630" s="1" t="str">
        <f>INDEX(Table2[[HomeTeam]:[Group_details]],ROWS($N$2:N630),COLUMNS($N$2:N630))</f>
        <v>Denmark</v>
      </c>
      <c r="Q630" s="1">
        <f>INDEX(Table2[[HomeTeam]:[Group_details]],ROWS($N$2:O630),COLUMNS($N$2:O630))</f>
        <v>0</v>
      </c>
      <c r="R630" s="1">
        <f>INDEX(Table2[[HomeTeam]:[Group_details]],ROWS($N$2:P630),COLUMNS($N$2:P630))</f>
        <v>3</v>
      </c>
      <c r="S630" s="1" t="str">
        <f>INDEX(Table2[[HomeTeam]:[Group_details]],ROWS($N$2:Q630),COLUMNS($N$2:Q630))</f>
        <v>England</v>
      </c>
      <c r="T630" s="1" t="str">
        <f>INDEX(Table2[[HomeTeam]:[Group_details]],ROWS($N$2:R630),COLUMNS($N$2:R630))</f>
        <v xml:space="preserve"> </v>
      </c>
      <c r="U630" s="1" t="str">
        <f>INDEX(Table2[[HomeTeam]:[Group_details]],ROWS($N$2:S630),COLUMNS($N$2:S630))</f>
        <v>Round of 16</v>
      </c>
      <c r="V630" s="1" t="b">
        <f t="shared" si="9"/>
        <v>0</v>
      </c>
      <c r="W630" s="1" t="str">
        <f>IF(V630=TRUE,ROWS($V$2:V630),"")</f>
        <v/>
      </c>
      <c r="X630" s="1" t="str">
        <f>IFERROR(SMALL($W$2:$W$853,ROWS($W$2:W630)),"")</f>
        <v/>
      </c>
      <c r="Y630" s="1" t="str">
        <f>IF($X630&lt;&gt;"",INDEX($P$2:$U$853,MATCH($X630,$W$2:$W$853,0),COLUMNS($X$2:X630)),"")</f>
        <v/>
      </c>
      <c r="Z630" s="1" t="str">
        <f>IF($X630&lt;&gt;"",INDEX($P$2:$U$853,MATCH($X630,$W$2:$W$853,0),COLUMNS($X$2:Y630)),"")</f>
        <v/>
      </c>
      <c r="AA630" s="1" t="str">
        <f>IF($X630&lt;&gt;"",INDEX($P$2:$U$853,MATCH($X630,$W$2:$W$853,0),COLUMNS($X$2:Z630)),"")</f>
        <v/>
      </c>
      <c r="AB630" s="1" t="str">
        <f>IF($X630&lt;&gt;"",INDEX($P$2:$U$853,MATCH($X630,$W$2:$W$853,0),COLUMNS($X$2:AA630)),"")</f>
        <v/>
      </c>
      <c r="AC630" s="1" t="str">
        <f>IF($X630&lt;&gt;"",INDEX($P$2:$U$853,MATCH($X630,$W$2:$W$853,0),COLUMNS($X$2:AB630)),"")</f>
        <v/>
      </c>
      <c r="AD630" s="1" t="str">
        <f>IF($X630&lt;&gt;"",INDEX($P$2:$U$853,MATCH($X630,$W$2:$W$853,0),COLUMNS($X$2:AC630)),"")</f>
        <v/>
      </c>
    </row>
    <row r="631" spans="1:30" x14ac:dyDescent="0.2">
      <c r="A631" s="1">
        <v>2002</v>
      </c>
      <c r="B631" s="2">
        <v>37422</v>
      </c>
      <c r="C631" s="1" t="s">
        <v>514</v>
      </c>
      <c r="D631" s="1" t="s">
        <v>287</v>
      </c>
      <c r="E631" s="1" t="s">
        <v>392</v>
      </c>
      <c r="F631" s="1" t="s">
        <v>393</v>
      </c>
      <c r="G631" s="6" t="str">
        <f>VLOOKUP(A631,WorldCups!$A$2:$B$23,2,FALSE)</f>
        <v>Korea/Japan</v>
      </c>
      <c r="H631" s="1" t="s">
        <v>51</v>
      </c>
      <c r="I631" s="1">
        <v>1</v>
      </c>
      <c r="J631" s="1">
        <v>0</v>
      </c>
      <c r="K631" s="1" t="s">
        <v>28</v>
      </c>
      <c r="L631" s="1" t="s">
        <v>14</v>
      </c>
      <c r="M631" s="1" t="str">
        <f>IF(ISNUMBER(SEARCH("Group",Table2[[#This Row],[Round]])),"Group stages",Table2[[#This Row],[Round]])</f>
        <v>Round of 16</v>
      </c>
      <c r="O631" s="1">
        <f>Table2[[#This Row],[Year]]</f>
        <v>2002</v>
      </c>
      <c r="P631" s="1" t="str">
        <f>INDEX(Table2[[HomeTeam]:[Group_details]],ROWS($N$2:N631),COLUMNS($N$2:N631))</f>
        <v>Germany</v>
      </c>
      <c r="Q631" s="1">
        <f>INDEX(Table2[[HomeTeam]:[Group_details]],ROWS($N$2:O631),COLUMNS($N$2:O631))</f>
        <v>1</v>
      </c>
      <c r="R631" s="1">
        <f>INDEX(Table2[[HomeTeam]:[Group_details]],ROWS($N$2:P631),COLUMNS($N$2:P631))</f>
        <v>0</v>
      </c>
      <c r="S631" s="1" t="str">
        <f>INDEX(Table2[[HomeTeam]:[Group_details]],ROWS($N$2:Q631),COLUMNS($N$2:Q631))</f>
        <v>Paraguay</v>
      </c>
      <c r="T631" s="1" t="str">
        <f>INDEX(Table2[[HomeTeam]:[Group_details]],ROWS($N$2:R631),COLUMNS($N$2:R631))</f>
        <v xml:space="preserve"> </v>
      </c>
      <c r="U631" s="1" t="str">
        <f>INDEX(Table2[[HomeTeam]:[Group_details]],ROWS($N$2:S631),COLUMNS($N$2:S631))</f>
        <v>Round of 16</v>
      </c>
      <c r="V631" s="1" t="b">
        <f t="shared" si="9"/>
        <v>0</v>
      </c>
      <c r="W631" s="1" t="str">
        <f>IF(V631=TRUE,ROWS($V$2:V631),"")</f>
        <v/>
      </c>
      <c r="X631" s="1" t="str">
        <f>IFERROR(SMALL($W$2:$W$853,ROWS($W$2:W631)),"")</f>
        <v/>
      </c>
      <c r="Y631" s="1" t="str">
        <f>IF($X631&lt;&gt;"",INDEX($P$2:$U$853,MATCH($X631,$W$2:$W$853,0),COLUMNS($X$2:X631)),"")</f>
        <v/>
      </c>
      <c r="Z631" s="1" t="str">
        <f>IF($X631&lt;&gt;"",INDEX($P$2:$U$853,MATCH($X631,$W$2:$W$853,0),COLUMNS($X$2:Y631)),"")</f>
        <v/>
      </c>
      <c r="AA631" s="1" t="str">
        <f>IF($X631&lt;&gt;"",INDEX($P$2:$U$853,MATCH($X631,$W$2:$W$853,0),COLUMNS($X$2:Z631)),"")</f>
        <v/>
      </c>
      <c r="AB631" s="1" t="str">
        <f>IF($X631&lt;&gt;"",INDEX($P$2:$U$853,MATCH($X631,$W$2:$W$853,0),COLUMNS($X$2:AA631)),"")</f>
        <v/>
      </c>
      <c r="AC631" s="1" t="str">
        <f>IF($X631&lt;&gt;"",INDEX($P$2:$U$853,MATCH($X631,$W$2:$W$853,0),COLUMNS($X$2:AB631)),"")</f>
        <v/>
      </c>
      <c r="AD631" s="1" t="str">
        <f>IF($X631&lt;&gt;"",INDEX($P$2:$U$853,MATCH($X631,$W$2:$W$853,0),COLUMNS($X$2:AC631)),"")</f>
        <v/>
      </c>
    </row>
    <row r="632" spans="1:30" x14ac:dyDescent="0.2">
      <c r="A632" s="1">
        <v>2002</v>
      </c>
      <c r="B632" s="2">
        <v>37423</v>
      </c>
      <c r="C632" s="1" t="s">
        <v>535</v>
      </c>
      <c r="D632" s="1" t="s">
        <v>287</v>
      </c>
      <c r="E632" s="1" t="s">
        <v>386</v>
      </c>
      <c r="F632" s="1" t="s">
        <v>387</v>
      </c>
      <c r="G632" s="6" t="str">
        <f>VLOOKUP(A632,WorldCups!$A$2:$B$23,2,FALSE)</f>
        <v>Korea/Japan</v>
      </c>
      <c r="H632" s="1" t="s">
        <v>54</v>
      </c>
      <c r="I632" s="1">
        <v>1</v>
      </c>
      <c r="J632" s="1">
        <v>1</v>
      </c>
      <c r="K632" s="1" t="s">
        <v>304</v>
      </c>
      <c r="L632" s="1" t="s">
        <v>408</v>
      </c>
      <c r="M632" s="1" t="str">
        <f>IF(ISNUMBER(SEARCH("Group",Table2[[#This Row],[Round]])),"Group stages",Table2[[#This Row],[Round]])</f>
        <v>Round of 16</v>
      </c>
      <c r="O632" s="1">
        <f>Table2[[#This Row],[Year]]</f>
        <v>2002</v>
      </c>
      <c r="P632" s="1" t="str">
        <f>INDEX(Table2[[HomeTeam]:[Group_details]],ROWS($N$2:N632),COLUMNS($N$2:N632))</f>
        <v>Spain</v>
      </c>
      <c r="Q632" s="1">
        <f>INDEX(Table2[[HomeTeam]:[Group_details]],ROWS($N$2:O632),COLUMNS($N$2:O632))</f>
        <v>1</v>
      </c>
      <c r="R632" s="1">
        <f>INDEX(Table2[[HomeTeam]:[Group_details]],ROWS($N$2:P632),COLUMNS($N$2:P632))</f>
        <v>1</v>
      </c>
      <c r="S632" s="1" t="str">
        <f>INDEX(Table2[[HomeTeam]:[Group_details]],ROWS($N$2:Q632),COLUMNS($N$2:Q632))</f>
        <v>Republic of Ireland</v>
      </c>
      <c r="T632" s="1" t="str">
        <f>INDEX(Table2[[HomeTeam]:[Group_details]],ROWS($N$2:R632),COLUMNS($N$2:R632))</f>
        <v xml:space="preserve">Spain win on penalties (3 - 2) </v>
      </c>
      <c r="U632" s="1" t="str">
        <f>INDEX(Table2[[HomeTeam]:[Group_details]],ROWS($N$2:S632),COLUMNS($N$2:S632))</f>
        <v>Round of 16</v>
      </c>
      <c r="V632" s="1" t="b">
        <f t="shared" si="9"/>
        <v>0</v>
      </c>
      <c r="W632" s="1" t="str">
        <f>IF(V632=TRUE,ROWS($V$2:V632),"")</f>
        <v/>
      </c>
      <c r="X632" s="1" t="str">
        <f>IFERROR(SMALL($W$2:$W$853,ROWS($W$2:W632)),"")</f>
        <v/>
      </c>
      <c r="Y632" s="1" t="str">
        <f>IF($X632&lt;&gt;"",INDEX($P$2:$U$853,MATCH($X632,$W$2:$W$853,0),COLUMNS($X$2:X632)),"")</f>
        <v/>
      </c>
      <c r="Z632" s="1" t="str">
        <f>IF($X632&lt;&gt;"",INDEX($P$2:$U$853,MATCH($X632,$W$2:$W$853,0),COLUMNS($X$2:Y632)),"")</f>
        <v/>
      </c>
      <c r="AA632" s="1" t="str">
        <f>IF($X632&lt;&gt;"",INDEX($P$2:$U$853,MATCH($X632,$W$2:$W$853,0),COLUMNS($X$2:Z632)),"")</f>
        <v/>
      </c>
      <c r="AB632" s="1" t="str">
        <f>IF($X632&lt;&gt;"",INDEX($P$2:$U$853,MATCH($X632,$W$2:$W$853,0),COLUMNS($X$2:AA632)),"")</f>
        <v/>
      </c>
      <c r="AC632" s="1" t="str">
        <f>IF($X632&lt;&gt;"",INDEX($P$2:$U$853,MATCH($X632,$W$2:$W$853,0),COLUMNS($X$2:AB632)),"")</f>
        <v/>
      </c>
      <c r="AD632" s="1" t="str">
        <f>IF($X632&lt;&gt;"",INDEX($P$2:$U$853,MATCH($X632,$W$2:$W$853,0),COLUMNS($X$2:AC632)),"")</f>
        <v/>
      </c>
    </row>
    <row r="633" spans="1:30" x14ac:dyDescent="0.2">
      <c r="A633" s="1">
        <v>2002</v>
      </c>
      <c r="B633" s="2">
        <v>37423</v>
      </c>
      <c r="C633" s="1" t="s">
        <v>514</v>
      </c>
      <c r="D633" s="1" t="s">
        <v>287</v>
      </c>
      <c r="E633" s="1" t="s">
        <v>400</v>
      </c>
      <c r="F633" s="1" t="s">
        <v>401</v>
      </c>
      <c r="G633" s="6" t="str">
        <f>VLOOKUP(A633,WorldCups!$A$2:$B$23,2,FALSE)</f>
        <v>Korea/Japan</v>
      </c>
      <c r="H633" s="1" t="s">
        <v>48</v>
      </c>
      <c r="I633" s="1">
        <v>1</v>
      </c>
      <c r="J633" s="1">
        <v>2</v>
      </c>
      <c r="K633" s="1" t="s">
        <v>366</v>
      </c>
      <c r="L633" s="1" t="s">
        <v>409</v>
      </c>
      <c r="M633" s="1" t="str">
        <f>IF(ISNUMBER(SEARCH("Group",Table2[[#This Row],[Round]])),"Group stages",Table2[[#This Row],[Round]])</f>
        <v>Round of 16</v>
      </c>
      <c r="O633" s="1">
        <f>Table2[[#This Row],[Year]]</f>
        <v>2002</v>
      </c>
      <c r="P633" s="1" t="str">
        <f>INDEX(Table2[[HomeTeam]:[Group_details]],ROWS($N$2:N633),COLUMNS($N$2:N633))</f>
        <v>Sweden</v>
      </c>
      <c r="Q633" s="1">
        <f>INDEX(Table2[[HomeTeam]:[Group_details]],ROWS($N$2:O633),COLUMNS($N$2:O633))</f>
        <v>1</v>
      </c>
      <c r="R633" s="1">
        <f>INDEX(Table2[[HomeTeam]:[Group_details]],ROWS($N$2:P633),COLUMNS($N$2:P633))</f>
        <v>2</v>
      </c>
      <c r="S633" s="1" t="str">
        <f>INDEX(Table2[[HomeTeam]:[Group_details]],ROWS($N$2:Q633),COLUMNS($N$2:Q633))</f>
        <v>Senegal</v>
      </c>
      <c r="T633" s="1" t="str">
        <f>INDEX(Table2[[HomeTeam]:[Group_details]],ROWS($N$2:R633),COLUMNS($N$2:R633))</f>
        <v xml:space="preserve">Win on Golden Goal </v>
      </c>
      <c r="U633" s="1" t="str">
        <f>INDEX(Table2[[HomeTeam]:[Group_details]],ROWS($N$2:S633),COLUMNS($N$2:S633))</f>
        <v>Round of 16</v>
      </c>
      <c r="V633" s="1" t="b">
        <f t="shared" si="9"/>
        <v>0</v>
      </c>
      <c r="W633" s="1" t="str">
        <f>IF(V633=TRUE,ROWS($V$2:V633),"")</f>
        <v/>
      </c>
      <c r="X633" s="1" t="str">
        <f>IFERROR(SMALL($W$2:$W$853,ROWS($W$2:W633)),"")</f>
        <v/>
      </c>
      <c r="Y633" s="1" t="str">
        <f>IF($X633&lt;&gt;"",INDEX($P$2:$U$853,MATCH($X633,$W$2:$W$853,0),COLUMNS($X$2:X633)),"")</f>
        <v/>
      </c>
      <c r="Z633" s="1" t="str">
        <f>IF($X633&lt;&gt;"",INDEX($P$2:$U$853,MATCH($X633,$W$2:$W$853,0),COLUMNS($X$2:Y633)),"")</f>
        <v/>
      </c>
      <c r="AA633" s="1" t="str">
        <f>IF($X633&lt;&gt;"",INDEX($P$2:$U$853,MATCH($X633,$W$2:$W$853,0),COLUMNS($X$2:Z633)),"")</f>
        <v/>
      </c>
      <c r="AB633" s="1" t="str">
        <f>IF($X633&lt;&gt;"",INDEX($P$2:$U$853,MATCH($X633,$W$2:$W$853,0),COLUMNS($X$2:AA633)),"")</f>
        <v/>
      </c>
      <c r="AC633" s="1" t="str">
        <f>IF($X633&lt;&gt;"",INDEX($P$2:$U$853,MATCH($X633,$W$2:$W$853,0),COLUMNS($X$2:AB633)),"")</f>
        <v/>
      </c>
      <c r="AD633" s="1" t="str">
        <f>IF($X633&lt;&gt;"",INDEX($P$2:$U$853,MATCH($X633,$W$2:$W$853,0),COLUMNS($X$2:AC633)),"")</f>
        <v/>
      </c>
    </row>
    <row r="634" spans="1:30" x14ac:dyDescent="0.2">
      <c r="A634" s="1">
        <v>2002</v>
      </c>
      <c r="B634" s="2">
        <v>37424</v>
      </c>
      <c r="C634" s="1" t="s">
        <v>535</v>
      </c>
      <c r="D634" s="1" t="s">
        <v>287</v>
      </c>
      <c r="E634" s="1" t="s">
        <v>384</v>
      </c>
      <c r="F634" s="1" t="s">
        <v>385</v>
      </c>
      <c r="G634" s="6" t="str">
        <f>VLOOKUP(A634,WorldCups!$A$2:$B$23,2,FALSE)</f>
        <v>Korea/Japan</v>
      </c>
      <c r="H634" s="1" t="s">
        <v>21</v>
      </c>
      <c r="I634" s="1">
        <v>2</v>
      </c>
      <c r="J634" s="1">
        <v>0</v>
      </c>
      <c r="K634" s="1" t="s">
        <v>18</v>
      </c>
      <c r="L634" s="1" t="s">
        <v>14</v>
      </c>
      <c r="M634" s="1" t="str">
        <f>IF(ISNUMBER(SEARCH("Group",Table2[[#This Row],[Round]])),"Group stages",Table2[[#This Row],[Round]])</f>
        <v>Round of 16</v>
      </c>
      <c r="O634" s="1">
        <f>Table2[[#This Row],[Year]]</f>
        <v>2002</v>
      </c>
      <c r="P634" s="1" t="str">
        <f>INDEX(Table2[[HomeTeam]:[Group_details]],ROWS($N$2:N634),COLUMNS($N$2:N634))</f>
        <v>Brazil</v>
      </c>
      <c r="Q634" s="1">
        <f>INDEX(Table2[[HomeTeam]:[Group_details]],ROWS($N$2:O634),COLUMNS($N$2:O634))</f>
        <v>2</v>
      </c>
      <c r="R634" s="1">
        <f>INDEX(Table2[[HomeTeam]:[Group_details]],ROWS($N$2:P634),COLUMNS($N$2:P634))</f>
        <v>0</v>
      </c>
      <c r="S634" s="1" t="str">
        <f>INDEX(Table2[[HomeTeam]:[Group_details]],ROWS($N$2:Q634),COLUMNS($N$2:Q634))</f>
        <v>Belgium</v>
      </c>
      <c r="T634" s="1" t="str">
        <f>INDEX(Table2[[HomeTeam]:[Group_details]],ROWS($N$2:R634),COLUMNS($N$2:R634))</f>
        <v xml:space="preserve"> </v>
      </c>
      <c r="U634" s="1" t="str">
        <f>INDEX(Table2[[HomeTeam]:[Group_details]],ROWS($N$2:S634),COLUMNS($N$2:S634))</f>
        <v>Round of 16</v>
      </c>
      <c r="V634" s="1" t="b">
        <f t="shared" si="9"/>
        <v>0</v>
      </c>
      <c r="W634" s="1" t="str">
        <f>IF(V634=TRUE,ROWS($V$2:V634),"")</f>
        <v/>
      </c>
      <c r="X634" s="1" t="str">
        <f>IFERROR(SMALL($W$2:$W$853,ROWS($W$2:W634)),"")</f>
        <v/>
      </c>
      <c r="Y634" s="1" t="str">
        <f>IF($X634&lt;&gt;"",INDEX($P$2:$U$853,MATCH($X634,$W$2:$W$853,0),COLUMNS($X$2:X634)),"")</f>
        <v/>
      </c>
      <c r="Z634" s="1" t="str">
        <f>IF($X634&lt;&gt;"",INDEX($P$2:$U$853,MATCH($X634,$W$2:$W$853,0),COLUMNS($X$2:Y634)),"")</f>
        <v/>
      </c>
      <c r="AA634" s="1" t="str">
        <f>IF($X634&lt;&gt;"",INDEX($P$2:$U$853,MATCH($X634,$W$2:$W$853,0),COLUMNS($X$2:Z634)),"")</f>
        <v/>
      </c>
      <c r="AB634" s="1" t="str">
        <f>IF($X634&lt;&gt;"",INDEX($P$2:$U$853,MATCH($X634,$W$2:$W$853,0),COLUMNS($X$2:AA634)),"")</f>
        <v/>
      </c>
      <c r="AC634" s="1" t="str">
        <f>IF($X634&lt;&gt;"",INDEX($P$2:$U$853,MATCH($X634,$W$2:$W$853,0),COLUMNS($X$2:AB634)),"")</f>
        <v/>
      </c>
      <c r="AD634" s="1" t="str">
        <f>IF($X634&lt;&gt;"",INDEX($P$2:$U$853,MATCH($X634,$W$2:$W$853,0),COLUMNS($X$2:AC634)),"")</f>
        <v/>
      </c>
    </row>
    <row r="635" spans="1:30" x14ac:dyDescent="0.2">
      <c r="A635" s="1">
        <v>2002</v>
      </c>
      <c r="B635" s="2">
        <v>37424</v>
      </c>
      <c r="C635" s="1" t="s">
        <v>514</v>
      </c>
      <c r="D635" s="1" t="s">
        <v>287</v>
      </c>
      <c r="E635" s="1" t="s">
        <v>390</v>
      </c>
      <c r="F635" s="1" t="s">
        <v>391</v>
      </c>
      <c r="G635" s="6" t="str">
        <f>VLOOKUP(A635,WorldCups!$A$2:$B$23,2,FALSE)</f>
        <v>Korea/Japan</v>
      </c>
      <c r="H635" s="1" t="s">
        <v>13</v>
      </c>
      <c r="I635" s="1">
        <v>0</v>
      </c>
      <c r="J635" s="1">
        <v>2</v>
      </c>
      <c r="K635" s="1" t="s">
        <v>17</v>
      </c>
      <c r="L635" s="1" t="s">
        <v>14</v>
      </c>
      <c r="M635" s="1" t="str">
        <f>IF(ISNUMBER(SEARCH("Group",Table2[[#This Row],[Round]])),"Group stages",Table2[[#This Row],[Round]])</f>
        <v>Round of 16</v>
      </c>
      <c r="O635" s="1">
        <f>Table2[[#This Row],[Year]]</f>
        <v>2002</v>
      </c>
      <c r="P635" s="1" t="str">
        <f>INDEX(Table2[[HomeTeam]:[Group_details]],ROWS($N$2:N635),COLUMNS($N$2:N635))</f>
        <v>Mexico</v>
      </c>
      <c r="Q635" s="1">
        <f>INDEX(Table2[[HomeTeam]:[Group_details]],ROWS($N$2:O635),COLUMNS($N$2:O635))</f>
        <v>0</v>
      </c>
      <c r="R635" s="1">
        <f>INDEX(Table2[[HomeTeam]:[Group_details]],ROWS($N$2:P635),COLUMNS($N$2:P635))</f>
        <v>2</v>
      </c>
      <c r="S635" s="1" t="str">
        <f>INDEX(Table2[[HomeTeam]:[Group_details]],ROWS($N$2:Q635),COLUMNS($N$2:Q635))</f>
        <v>USA</v>
      </c>
      <c r="T635" s="1" t="str">
        <f>INDEX(Table2[[HomeTeam]:[Group_details]],ROWS($N$2:R635),COLUMNS($N$2:R635))</f>
        <v xml:space="preserve"> </v>
      </c>
      <c r="U635" s="1" t="str">
        <f>INDEX(Table2[[HomeTeam]:[Group_details]],ROWS($N$2:S635),COLUMNS($N$2:S635))</f>
        <v>Round of 16</v>
      </c>
      <c r="V635" s="1" t="b">
        <f t="shared" si="9"/>
        <v>0</v>
      </c>
      <c r="W635" s="1" t="str">
        <f>IF(V635=TRUE,ROWS($V$2:V635),"")</f>
        <v/>
      </c>
      <c r="X635" s="1" t="str">
        <f>IFERROR(SMALL($W$2:$W$853,ROWS($W$2:W635)),"")</f>
        <v/>
      </c>
      <c r="Y635" s="1" t="str">
        <f>IF($X635&lt;&gt;"",INDEX($P$2:$U$853,MATCH($X635,$W$2:$W$853,0),COLUMNS($X$2:X635)),"")</f>
        <v/>
      </c>
      <c r="Z635" s="1" t="str">
        <f>IF($X635&lt;&gt;"",INDEX($P$2:$U$853,MATCH($X635,$W$2:$W$853,0),COLUMNS($X$2:Y635)),"")</f>
        <v/>
      </c>
      <c r="AA635" s="1" t="str">
        <f>IF($X635&lt;&gt;"",INDEX($P$2:$U$853,MATCH($X635,$W$2:$W$853,0),COLUMNS($X$2:Z635)),"")</f>
        <v/>
      </c>
      <c r="AB635" s="1" t="str">
        <f>IF($X635&lt;&gt;"",INDEX($P$2:$U$853,MATCH($X635,$W$2:$W$853,0),COLUMNS($X$2:AA635)),"")</f>
        <v/>
      </c>
      <c r="AC635" s="1" t="str">
        <f>IF($X635&lt;&gt;"",INDEX($P$2:$U$853,MATCH($X635,$W$2:$W$853,0),COLUMNS($X$2:AB635)),"")</f>
        <v/>
      </c>
      <c r="AD635" s="1" t="str">
        <f>IF($X635&lt;&gt;"",INDEX($P$2:$U$853,MATCH($X635,$W$2:$W$853,0),COLUMNS($X$2:AC635)),"")</f>
        <v/>
      </c>
    </row>
    <row r="636" spans="1:30" x14ac:dyDescent="0.2">
      <c r="A636" s="1">
        <v>2002</v>
      </c>
      <c r="B636" s="2">
        <v>37425</v>
      </c>
      <c r="C636" s="1" t="s">
        <v>514</v>
      </c>
      <c r="D636" s="1" t="s">
        <v>287</v>
      </c>
      <c r="E636" s="1" t="s">
        <v>398</v>
      </c>
      <c r="F636" s="1" t="s">
        <v>399</v>
      </c>
      <c r="G636" s="6" t="str">
        <f>VLOOKUP(A636,WorldCups!$A$2:$B$23,2,FALSE)</f>
        <v>Korea/Japan</v>
      </c>
      <c r="H636" s="1" t="s">
        <v>356</v>
      </c>
      <c r="I636" s="1">
        <v>0</v>
      </c>
      <c r="J636" s="1">
        <v>1</v>
      </c>
      <c r="K636" s="1" t="s">
        <v>115</v>
      </c>
      <c r="L636" s="1" t="s">
        <v>14</v>
      </c>
      <c r="M636" s="1" t="str">
        <f>IF(ISNUMBER(SEARCH("Group",Table2[[#This Row],[Round]])),"Group stages",Table2[[#This Row],[Round]])</f>
        <v>Round of 16</v>
      </c>
      <c r="O636" s="1">
        <f>Table2[[#This Row],[Year]]</f>
        <v>2002</v>
      </c>
      <c r="P636" s="1" t="str">
        <f>INDEX(Table2[[HomeTeam]:[Group_details]],ROWS($N$2:N636),COLUMNS($N$2:N636))</f>
        <v>Japan</v>
      </c>
      <c r="Q636" s="1">
        <f>INDEX(Table2[[HomeTeam]:[Group_details]],ROWS($N$2:O636),COLUMNS($N$2:O636))</f>
        <v>0</v>
      </c>
      <c r="R636" s="1">
        <f>INDEX(Table2[[HomeTeam]:[Group_details]],ROWS($N$2:P636),COLUMNS($N$2:P636))</f>
        <v>1</v>
      </c>
      <c r="S636" s="1" t="str">
        <f>INDEX(Table2[[HomeTeam]:[Group_details]],ROWS($N$2:Q636),COLUMNS($N$2:Q636))</f>
        <v>Turkey</v>
      </c>
      <c r="T636" s="1" t="str">
        <f>INDEX(Table2[[HomeTeam]:[Group_details]],ROWS($N$2:R636),COLUMNS($N$2:R636))</f>
        <v xml:space="preserve"> </v>
      </c>
      <c r="U636" s="1" t="str">
        <f>INDEX(Table2[[HomeTeam]:[Group_details]],ROWS($N$2:S636),COLUMNS($N$2:S636))</f>
        <v>Round of 16</v>
      </c>
      <c r="V636" s="1" t="b">
        <f t="shared" si="9"/>
        <v>0</v>
      </c>
      <c r="W636" s="1" t="str">
        <f>IF(V636=TRUE,ROWS($V$2:V636),"")</f>
        <v/>
      </c>
      <c r="X636" s="1" t="str">
        <f>IFERROR(SMALL($W$2:$W$853,ROWS($W$2:W636)),"")</f>
        <v/>
      </c>
      <c r="Y636" s="1" t="str">
        <f>IF($X636&lt;&gt;"",INDEX($P$2:$U$853,MATCH($X636,$W$2:$W$853,0),COLUMNS($X$2:X636)),"")</f>
        <v/>
      </c>
      <c r="Z636" s="1" t="str">
        <f>IF($X636&lt;&gt;"",INDEX($P$2:$U$853,MATCH($X636,$W$2:$W$853,0),COLUMNS($X$2:Y636)),"")</f>
        <v/>
      </c>
      <c r="AA636" s="1" t="str">
        <f>IF($X636&lt;&gt;"",INDEX($P$2:$U$853,MATCH($X636,$W$2:$W$853,0),COLUMNS($X$2:Z636)),"")</f>
        <v/>
      </c>
      <c r="AB636" s="1" t="str">
        <f>IF($X636&lt;&gt;"",INDEX($P$2:$U$853,MATCH($X636,$W$2:$W$853,0),COLUMNS($X$2:AA636)),"")</f>
        <v/>
      </c>
      <c r="AC636" s="1" t="str">
        <f>IF($X636&lt;&gt;"",INDEX($P$2:$U$853,MATCH($X636,$W$2:$W$853,0),COLUMNS($X$2:AB636)),"")</f>
        <v/>
      </c>
      <c r="AD636" s="1" t="str">
        <f>IF($X636&lt;&gt;"",INDEX($P$2:$U$853,MATCH($X636,$W$2:$W$853,0),COLUMNS($X$2:AC636)),"")</f>
        <v/>
      </c>
    </row>
    <row r="637" spans="1:30" x14ac:dyDescent="0.2">
      <c r="A637" s="1">
        <v>2002</v>
      </c>
      <c r="B637" s="2">
        <v>37425</v>
      </c>
      <c r="C637" s="1" t="s">
        <v>535</v>
      </c>
      <c r="D637" s="1" t="s">
        <v>287</v>
      </c>
      <c r="E637" s="1" t="s">
        <v>406</v>
      </c>
      <c r="F637" s="1" t="s">
        <v>407</v>
      </c>
      <c r="G637" s="6" t="str">
        <f>VLOOKUP(A637,WorldCups!$A$2:$B$23,2,FALSE)</f>
        <v>Korea/Japan</v>
      </c>
      <c r="H637" s="1" t="s">
        <v>116</v>
      </c>
      <c r="I637" s="1">
        <v>2</v>
      </c>
      <c r="J637" s="1">
        <v>1</v>
      </c>
      <c r="K637" s="1" t="s">
        <v>57</v>
      </c>
      <c r="L637" s="1" t="s">
        <v>409</v>
      </c>
      <c r="M637" s="1" t="str">
        <f>IF(ISNUMBER(SEARCH("Group",Table2[[#This Row],[Round]])),"Group stages",Table2[[#This Row],[Round]])</f>
        <v>Round of 16</v>
      </c>
      <c r="O637" s="1">
        <f>Table2[[#This Row],[Year]]</f>
        <v>2002</v>
      </c>
      <c r="P637" s="1" t="str">
        <f>INDEX(Table2[[HomeTeam]:[Group_details]],ROWS($N$2:N637),COLUMNS($N$2:N637))</f>
        <v>Korea Republic</v>
      </c>
      <c r="Q637" s="1">
        <f>INDEX(Table2[[HomeTeam]:[Group_details]],ROWS($N$2:O637),COLUMNS($N$2:O637))</f>
        <v>2</v>
      </c>
      <c r="R637" s="1">
        <f>INDEX(Table2[[HomeTeam]:[Group_details]],ROWS($N$2:P637),COLUMNS($N$2:P637))</f>
        <v>1</v>
      </c>
      <c r="S637" s="1" t="str">
        <f>INDEX(Table2[[HomeTeam]:[Group_details]],ROWS($N$2:Q637),COLUMNS($N$2:Q637))</f>
        <v>Italy</v>
      </c>
      <c r="T637" s="1" t="str">
        <f>INDEX(Table2[[HomeTeam]:[Group_details]],ROWS($N$2:R637),COLUMNS($N$2:R637))</f>
        <v xml:space="preserve">Win on Golden Goal </v>
      </c>
      <c r="U637" s="1" t="str">
        <f>INDEX(Table2[[HomeTeam]:[Group_details]],ROWS($N$2:S637),COLUMNS($N$2:S637))</f>
        <v>Round of 16</v>
      </c>
      <c r="V637" s="1" t="b">
        <f t="shared" si="9"/>
        <v>0</v>
      </c>
      <c r="W637" s="1" t="str">
        <f>IF(V637=TRUE,ROWS($V$2:V637),"")</f>
        <v/>
      </c>
      <c r="X637" s="1" t="str">
        <f>IFERROR(SMALL($W$2:$W$853,ROWS($W$2:W637)),"")</f>
        <v/>
      </c>
      <c r="Y637" s="1" t="str">
        <f>IF($X637&lt;&gt;"",INDEX($P$2:$U$853,MATCH($X637,$W$2:$W$853,0),COLUMNS($X$2:X637)),"")</f>
        <v/>
      </c>
      <c r="Z637" s="1" t="str">
        <f>IF($X637&lt;&gt;"",INDEX($P$2:$U$853,MATCH($X637,$W$2:$W$853,0),COLUMNS($X$2:Y637)),"")</f>
        <v/>
      </c>
      <c r="AA637" s="1" t="str">
        <f>IF($X637&lt;&gt;"",INDEX($P$2:$U$853,MATCH($X637,$W$2:$W$853,0),COLUMNS($X$2:Z637)),"")</f>
        <v/>
      </c>
      <c r="AB637" s="1" t="str">
        <f>IF($X637&lt;&gt;"",INDEX($P$2:$U$853,MATCH($X637,$W$2:$W$853,0),COLUMNS($X$2:AA637)),"")</f>
        <v/>
      </c>
      <c r="AC637" s="1" t="str">
        <f>IF($X637&lt;&gt;"",INDEX($P$2:$U$853,MATCH($X637,$W$2:$W$853,0),COLUMNS($X$2:AB637)),"")</f>
        <v/>
      </c>
      <c r="AD637" s="1" t="str">
        <f>IF($X637&lt;&gt;"",INDEX($P$2:$U$853,MATCH($X637,$W$2:$W$853,0),COLUMNS($X$2:AC637)),"")</f>
        <v/>
      </c>
    </row>
    <row r="638" spans="1:30" x14ac:dyDescent="0.2">
      <c r="A638" s="1">
        <v>2002</v>
      </c>
      <c r="B638" s="2">
        <v>37428</v>
      </c>
      <c r="C638" s="1" t="s">
        <v>514</v>
      </c>
      <c r="D638" s="1" t="s">
        <v>61</v>
      </c>
      <c r="E638" s="1" t="s">
        <v>402</v>
      </c>
      <c r="F638" s="1" t="s">
        <v>403</v>
      </c>
      <c r="G638" s="6" t="str">
        <f>VLOOKUP(A638,WorldCups!$A$2:$B$23,2,FALSE)</f>
        <v>Korea/Japan</v>
      </c>
      <c r="H638" s="1" t="s">
        <v>93</v>
      </c>
      <c r="I638" s="1">
        <v>1</v>
      </c>
      <c r="J638" s="1">
        <v>2</v>
      </c>
      <c r="K638" s="1" t="s">
        <v>21</v>
      </c>
      <c r="L638" s="1" t="s">
        <v>14</v>
      </c>
      <c r="M638" s="1" t="str">
        <f>IF(ISNUMBER(SEARCH("Group",Table2[[#This Row],[Round]])),"Group stages",Table2[[#This Row],[Round]])</f>
        <v>Quarter-finals</v>
      </c>
      <c r="O638" s="1">
        <f>Table2[[#This Row],[Year]]</f>
        <v>2002</v>
      </c>
      <c r="P638" s="1" t="str">
        <f>INDEX(Table2[[HomeTeam]:[Group_details]],ROWS($N$2:N638),COLUMNS($N$2:N638))</f>
        <v>England</v>
      </c>
      <c r="Q638" s="1">
        <f>INDEX(Table2[[HomeTeam]:[Group_details]],ROWS($N$2:O638),COLUMNS($N$2:O638))</f>
        <v>1</v>
      </c>
      <c r="R638" s="1">
        <f>INDEX(Table2[[HomeTeam]:[Group_details]],ROWS($N$2:P638),COLUMNS($N$2:P638))</f>
        <v>2</v>
      </c>
      <c r="S638" s="1" t="str">
        <f>INDEX(Table2[[HomeTeam]:[Group_details]],ROWS($N$2:Q638),COLUMNS($N$2:Q638))</f>
        <v>Brazil</v>
      </c>
      <c r="T638" s="1" t="str">
        <f>INDEX(Table2[[HomeTeam]:[Group_details]],ROWS($N$2:R638),COLUMNS($N$2:R638))</f>
        <v xml:space="preserve"> </v>
      </c>
      <c r="U638" s="1" t="str">
        <f>INDEX(Table2[[HomeTeam]:[Group_details]],ROWS($N$2:S638),COLUMNS($N$2:S638))</f>
        <v>Quarter-finals</v>
      </c>
      <c r="V638" s="1" t="b">
        <f t="shared" si="9"/>
        <v>0</v>
      </c>
      <c r="W638" s="1" t="str">
        <f>IF(V638=TRUE,ROWS($V$2:V638),"")</f>
        <v/>
      </c>
      <c r="X638" s="1" t="str">
        <f>IFERROR(SMALL($W$2:$W$853,ROWS($W$2:W638)),"")</f>
        <v/>
      </c>
      <c r="Y638" s="1" t="str">
        <f>IF($X638&lt;&gt;"",INDEX($P$2:$U$853,MATCH($X638,$W$2:$W$853,0),COLUMNS($X$2:X638)),"")</f>
        <v/>
      </c>
      <c r="Z638" s="1" t="str">
        <f>IF($X638&lt;&gt;"",INDEX($P$2:$U$853,MATCH($X638,$W$2:$W$853,0),COLUMNS($X$2:Y638)),"")</f>
        <v/>
      </c>
      <c r="AA638" s="1" t="str">
        <f>IF($X638&lt;&gt;"",INDEX($P$2:$U$853,MATCH($X638,$W$2:$W$853,0),COLUMNS($X$2:Z638)),"")</f>
        <v/>
      </c>
      <c r="AB638" s="1" t="str">
        <f>IF($X638&lt;&gt;"",INDEX($P$2:$U$853,MATCH($X638,$W$2:$W$853,0),COLUMNS($X$2:AA638)),"")</f>
        <v/>
      </c>
      <c r="AC638" s="1" t="str">
        <f>IF($X638&lt;&gt;"",INDEX($P$2:$U$853,MATCH($X638,$W$2:$W$853,0),COLUMNS($X$2:AB638)),"")</f>
        <v/>
      </c>
      <c r="AD638" s="1" t="str">
        <f>IF($X638&lt;&gt;"",INDEX($P$2:$U$853,MATCH($X638,$W$2:$W$853,0),COLUMNS($X$2:AC638)),"")</f>
        <v/>
      </c>
    </row>
    <row r="639" spans="1:30" x14ac:dyDescent="0.2">
      <c r="A639" s="1">
        <v>2002</v>
      </c>
      <c r="B639" s="2">
        <v>37428</v>
      </c>
      <c r="C639" s="1" t="s">
        <v>535</v>
      </c>
      <c r="D639" s="1" t="s">
        <v>61</v>
      </c>
      <c r="E639" s="1" t="s">
        <v>367</v>
      </c>
      <c r="F639" s="1" t="s">
        <v>368</v>
      </c>
      <c r="G639" s="6" t="str">
        <f>VLOOKUP(A639,WorldCups!$A$2:$B$23,2,FALSE)</f>
        <v>Korea/Japan</v>
      </c>
      <c r="H639" s="1" t="s">
        <v>51</v>
      </c>
      <c r="I639" s="1">
        <v>1</v>
      </c>
      <c r="J639" s="1">
        <v>0</v>
      </c>
      <c r="K639" s="1" t="s">
        <v>17</v>
      </c>
      <c r="L639" s="1" t="s">
        <v>14</v>
      </c>
      <c r="M639" s="1" t="str">
        <f>IF(ISNUMBER(SEARCH("Group",Table2[[#This Row],[Round]])),"Group stages",Table2[[#This Row],[Round]])</f>
        <v>Quarter-finals</v>
      </c>
      <c r="O639" s="1">
        <f>Table2[[#This Row],[Year]]</f>
        <v>2002</v>
      </c>
      <c r="P639" s="1" t="str">
        <f>INDEX(Table2[[HomeTeam]:[Group_details]],ROWS($N$2:N639),COLUMNS($N$2:N639))</f>
        <v>Germany</v>
      </c>
      <c r="Q639" s="1">
        <f>INDEX(Table2[[HomeTeam]:[Group_details]],ROWS($N$2:O639),COLUMNS($N$2:O639))</f>
        <v>1</v>
      </c>
      <c r="R639" s="1">
        <f>INDEX(Table2[[HomeTeam]:[Group_details]],ROWS($N$2:P639),COLUMNS($N$2:P639))</f>
        <v>0</v>
      </c>
      <c r="S639" s="1" t="str">
        <f>INDEX(Table2[[HomeTeam]:[Group_details]],ROWS($N$2:Q639),COLUMNS($N$2:Q639))</f>
        <v>USA</v>
      </c>
      <c r="T639" s="1" t="str">
        <f>INDEX(Table2[[HomeTeam]:[Group_details]],ROWS($N$2:R639),COLUMNS($N$2:R639))</f>
        <v xml:space="preserve"> </v>
      </c>
      <c r="U639" s="1" t="str">
        <f>INDEX(Table2[[HomeTeam]:[Group_details]],ROWS($N$2:S639),COLUMNS($N$2:S639))</f>
        <v>Quarter-finals</v>
      </c>
      <c r="V639" s="1" t="b">
        <f t="shared" si="9"/>
        <v>0</v>
      </c>
      <c r="W639" s="1" t="str">
        <f>IF(V639=TRUE,ROWS($V$2:V639),"")</f>
        <v/>
      </c>
      <c r="X639" s="1" t="str">
        <f>IFERROR(SMALL($W$2:$W$853,ROWS($W$2:W639)),"")</f>
        <v/>
      </c>
      <c r="Y639" s="1" t="str">
        <f>IF($X639&lt;&gt;"",INDEX($P$2:$U$853,MATCH($X639,$W$2:$W$853,0),COLUMNS($X$2:X639)),"")</f>
        <v/>
      </c>
      <c r="Z639" s="1" t="str">
        <f>IF($X639&lt;&gt;"",INDEX($P$2:$U$853,MATCH($X639,$W$2:$W$853,0),COLUMNS($X$2:Y639)),"")</f>
        <v/>
      </c>
      <c r="AA639" s="1" t="str">
        <f>IF($X639&lt;&gt;"",INDEX($P$2:$U$853,MATCH($X639,$W$2:$W$853,0),COLUMNS($X$2:Z639)),"")</f>
        <v/>
      </c>
      <c r="AB639" s="1" t="str">
        <f>IF($X639&lt;&gt;"",INDEX($P$2:$U$853,MATCH($X639,$W$2:$W$853,0),COLUMNS($X$2:AA639)),"")</f>
        <v/>
      </c>
      <c r="AC639" s="1" t="str">
        <f>IF($X639&lt;&gt;"",INDEX($P$2:$U$853,MATCH($X639,$W$2:$W$853,0),COLUMNS($X$2:AB639)),"")</f>
        <v/>
      </c>
      <c r="AD639" s="1" t="str">
        <f>IF($X639&lt;&gt;"",INDEX($P$2:$U$853,MATCH($X639,$W$2:$W$853,0),COLUMNS($X$2:AC639)),"")</f>
        <v/>
      </c>
    </row>
    <row r="640" spans="1:30" x14ac:dyDescent="0.2">
      <c r="A640" s="1">
        <v>2002</v>
      </c>
      <c r="B640" s="2">
        <v>37429</v>
      </c>
      <c r="C640" s="1" t="s">
        <v>535</v>
      </c>
      <c r="D640" s="1" t="s">
        <v>61</v>
      </c>
      <c r="E640" s="1" t="s">
        <v>404</v>
      </c>
      <c r="F640" s="1" t="s">
        <v>405</v>
      </c>
      <c r="G640" s="6" t="str">
        <f>VLOOKUP(A640,WorldCups!$A$2:$B$23,2,FALSE)</f>
        <v>Korea/Japan</v>
      </c>
      <c r="H640" s="1" t="s">
        <v>366</v>
      </c>
      <c r="I640" s="1">
        <v>0</v>
      </c>
      <c r="J640" s="1">
        <v>1</v>
      </c>
      <c r="K640" s="1" t="s">
        <v>115</v>
      </c>
      <c r="L640" s="1" t="s">
        <v>409</v>
      </c>
      <c r="M640" s="1" t="str">
        <f>IF(ISNUMBER(SEARCH("Group",Table2[[#This Row],[Round]])),"Group stages",Table2[[#This Row],[Round]])</f>
        <v>Quarter-finals</v>
      </c>
      <c r="O640" s="1">
        <f>Table2[[#This Row],[Year]]</f>
        <v>2002</v>
      </c>
      <c r="P640" s="1" t="str">
        <f>INDEX(Table2[[HomeTeam]:[Group_details]],ROWS($N$2:N640),COLUMNS($N$2:N640))</f>
        <v>Senegal</v>
      </c>
      <c r="Q640" s="1">
        <f>INDEX(Table2[[HomeTeam]:[Group_details]],ROWS($N$2:O640),COLUMNS($N$2:O640))</f>
        <v>0</v>
      </c>
      <c r="R640" s="1">
        <f>INDEX(Table2[[HomeTeam]:[Group_details]],ROWS($N$2:P640),COLUMNS($N$2:P640))</f>
        <v>1</v>
      </c>
      <c r="S640" s="1" t="str">
        <f>INDEX(Table2[[HomeTeam]:[Group_details]],ROWS($N$2:Q640),COLUMNS($N$2:Q640))</f>
        <v>Turkey</v>
      </c>
      <c r="T640" s="1" t="str">
        <f>INDEX(Table2[[HomeTeam]:[Group_details]],ROWS($N$2:R640),COLUMNS($N$2:R640))</f>
        <v xml:space="preserve">Win on Golden Goal </v>
      </c>
      <c r="U640" s="1" t="str">
        <f>INDEX(Table2[[HomeTeam]:[Group_details]],ROWS($N$2:S640),COLUMNS($N$2:S640))</f>
        <v>Quarter-finals</v>
      </c>
      <c r="V640" s="1" t="b">
        <f t="shared" si="9"/>
        <v>0</v>
      </c>
      <c r="W640" s="1" t="str">
        <f>IF(V640=TRUE,ROWS($V$2:V640),"")</f>
        <v/>
      </c>
      <c r="X640" s="1" t="str">
        <f>IFERROR(SMALL($W$2:$W$853,ROWS($W$2:W640)),"")</f>
        <v/>
      </c>
      <c r="Y640" s="1" t="str">
        <f>IF($X640&lt;&gt;"",INDEX($P$2:$U$853,MATCH($X640,$W$2:$W$853,0),COLUMNS($X$2:X640)),"")</f>
        <v/>
      </c>
      <c r="Z640" s="1" t="str">
        <f>IF($X640&lt;&gt;"",INDEX($P$2:$U$853,MATCH($X640,$W$2:$W$853,0),COLUMNS($X$2:Y640)),"")</f>
        <v/>
      </c>
      <c r="AA640" s="1" t="str">
        <f>IF($X640&lt;&gt;"",INDEX($P$2:$U$853,MATCH($X640,$W$2:$W$853,0),COLUMNS($X$2:Z640)),"")</f>
        <v/>
      </c>
      <c r="AB640" s="1" t="str">
        <f>IF($X640&lt;&gt;"",INDEX($P$2:$U$853,MATCH($X640,$W$2:$W$853,0),COLUMNS($X$2:AA640)),"")</f>
        <v/>
      </c>
      <c r="AC640" s="1" t="str">
        <f>IF($X640&lt;&gt;"",INDEX($P$2:$U$853,MATCH($X640,$W$2:$W$853,0),COLUMNS($X$2:AB640)),"")</f>
        <v/>
      </c>
      <c r="AD640" s="1" t="str">
        <f>IF($X640&lt;&gt;"",INDEX($P$2:$U$853,MATCH($X640,$W$2:$W$853,0),COLUMNS($X$2:AC640)),"")</f>
        <v/>
      </c>
    </row>
    <row r="641" spans="1:30" x14ac:dyDescent="0.2">
      <c r="A641" s="1">
        <v>2002</v>
      </c>
      <c r="B641" s="2">
        <v>37429</v>
      </c>
      <c r="C641" s="1" t="s">
        <v>514</v>
      </c>
      <c r="D641" s="1" t="s">
        <v>61</v>
      </c>
      <c r="E641" s="1" t="s">
        <v>379</v>
      </c>
      <c r="F641" s="1" t="s">
        <v>380</v>
      </c>
      <c r="G641" s="6" t="str">
        <f>VLOOKUP(A641,WorldCups!$A$2:$B$23,2,FALSE)</f>
        <v>Korea/Japan</v>
      </c>
      <c r="H641" s="1" t="s">
        <v>54</v>
      </c>
      <c r="I641" s="1">
        <v>0</v>
      </c>
      <c r="J641" s="1">
        <v>0</v>
      </c>
      <c r="K641" s="1" t="s">
        <v>116</v>
      </c>
      <c r="L641" s="1" t="s">
        <v>410</v>
      </c>
      <c r="M641" s="1" t="str">
        <f>IF(ISNUMBER(SEARCH("Group",Table2[[#This Row],[Round]])),"Group stages",Table2[[#This Row],[Round]])</f>
        <v>Quarter-finals</v>
      </c>
      <c r="O641" s="1">
        <f>Table2[[#This Row],[Year]]</f>
        <v>2002</v>
      </c>
      <c r="P641" s="1" t="str">
        <f>INDEX(Table2[[HomeTeam]:[Group_details]],ROWS($N$2:N641),COLUMNS($N$2:N641))</f>
        <v>Spain</v>
      </c>
      <c r="Q641" s="1">
        <f>INDEX(Table2[[HomeTeam]:[Group_details]],ROWS($N$2:O641),COLUMNS($N$2:O641))</f>
        <v>0</v>
      </c>
      <c r="R641" s="1">
        <f>INDEX(Table2[[HomeTeam]:[Group_details]],ROWS($N$2:P641),COLUMNS($N$2:P641))</f>
        <v>0</v>
      </c>
      <c r="S641" s="1" t="str">
        <f>INDEX(Table2[[HomeTeam]:[Group_details]],ROWS($N$2:Q641),COLUMNS($N$2:Q641))</f>
        <v>Korea Republic</v>
      </c>
      <c r="T641" s="1" t="str">
        <f>INDEX(Table2[[HomeTeam]:[Group_details]],ROWS($N$2:R641),COLUMNS($N$2:R641))</f>
        <v xml:space="preserve">Korea Republic win on penalties (3 - 5) </v>
      </c>
      <c r="U641" s="1" t="str">
        <f>INDEX(Table2[[HomeTeam]:[Group_details]],ROWS($N$2:S641),COLUMNS($N$2:S641))</f>
        <v>Quarter-finals</v>
      </c>
      <c r="V641" s="1" t="b">
        <f t="shared" si="9"/>
        <v>0</v>
      </c>
      <c r="W641" s="1" t="str">
        <f>IF(V641=TRUE,ROWS($V$2:V641),"")</f>
        <v/>
      </c>
      <c r="X641" s="1" t="str">
        <f>IFERROR(SMALL($W$2:$W$853,ROWS($W$2:W641)),"")</f>
        <v/>
      </c>
      <c r="Y641" s="1" t="str">
        <f>IF($X641&lt;&gt;"",INDEX($P$2:$U$853,MATCH($X641,$W$2:$W$853,0),COLUMNS($X$2:X641)),"")</f>
        <v/>
      </c>
      <c r="Z641" s="1" t="str">
        <f>IF($X641&lt;&gt;"",INDEX($P$2:$U$853,MATCH($X641,$W$2:$W$853,0),COLUMNS($X$2:Y641)),"")</f>
        <v/>
      </c>
      <c r="AA641" s="1" t="str">
        <f>IF($X641&lt;&gt;"",INDEX($P$2:$U$853,MATCH($X641,$W$2:$W$853,0),COLUMNS($X$2:Z641)),"")</f>
        <v/>
      </c>
      <c r="AB641" s="1" t="str">
        <f>IF($X641&lt;&gt;"",INDEX($P$2:$U$853,MATCH($X641,$W$2:$W$853,0),COLUMNS($X$2:AA641)),"")</f>
        <v/>
      </c>
      <c r="AC641" s="1" t="str">
        <f>IF($X641&lt;&gt;"",INDEX($P$2:$U$853,MATCH($X641,$W$2:$W$853,0),COLUMNS($X$2:AB641)),"")</f>
        <v/>
      </c>
      <c r="AD641" s="1" t="str">
        <f>IF($X641&lt;&gt;"",INDEX($P$2:$U$853,MATCH($X641,$W$2:$W$853,0),COLUMNS($X$2:AC641)),"")</f>
        <v/>
      </c>
    </row>
    <row r="642" spans="1:30" x14ac:dyDescent="0.2">
      <c r="A642" s="1">
        <v>2002</v>
      </c>
      <c r="B642" s="2">
        <v>37432</v>
      </c>
      <c r="C642" s="1" t="s">
        <v>535</v>
      </c>
      <c r="D642" s="1" t="s">
        <v>31</v>
      </c>
      <c r="E642" s="1" t="s">
        <v>364</v>
      </c>
      <c r="F642" s="1" t="s">
        <v>365</v>
      </c>
      <c r="G642" s="6" t="str">
        <f>VLOOKUP(A642,WorldCups!$A$2:$B$23,2,FALSE)</f>
        <v>Korea/Japan</v>
      </c>
      <c r="H642" s="1" t="s">
        <v>51</v>
      </c>
      <c r="I642" s="1">
        <v>1</v>
      </c>
      <c r="J642" s="1">
        <v>0</v>
      </c>
      <c r="K642" s="1" t="s">
        <v>116</v>
      </c>
      <c r="L642" s="1" t="s">
        <v>14</v>
      </c>
      <c r="M642" s="1" t="str">
        <f>IF(ISNUMBER(SEARCH("Group",Table2[[#This Row],[Round]])),"Group stages",Table2[[#This Row],[Round]])</f>
        <v>Semi-finals</v>
      </c>
      <c r="O642" s="1">
        <f>Table2[[#This Row],[Year]]</f>
        <v>2002</v>
      </c>
      <c r="P642" s="1" t="str">
        <f>INDEX(Table2[[HomeTeam]:[Group_details]],ROWS($N$2:N642),COLUMNS($N$2:N642))</f>
        <v>Germany</v>
      </c>
      <c r="Q642" s="1">
        <f>INDEX(Table2[[HomeTeam]:[Group_details]],ROWS($N$2:O642),COLUMNS($N$2:O642))</f>
        <v>1</v>
      </c>
      <c r="R642" s="1">
        <f>INDEX(Table2[[HomeTeam]:[Group_details]],ROWS($N$2:P642),COLUMNS($N$2:P642))</f>
        <v>0</v>
      </c>
      <c r="S642" s="1" t="str">
        <f>INDEX(Table2[[HomeTeam]:[Group_details]],ROWS($N$2:Q642),COLUMNS($N$2:Q642))</f>
        <v>Korea Republic</v>
      </c>
      <c r="T642" s="1" t="str">
        <f>INDEX(Table2[[HomeTeam]:[Group_details]],ROWS($N$2:R642),COLUMNS($N$2:R642))</f>
        <v xml:space="preserve"> </v>
      </c>
      <c r="U642" s="1" t="str">
        <f>INDEX(Table2[[HomeTeam]:[Group_details]],ROWS($N$2:S642),COLUMNS($N$2:S642))</f>
        <v>Semi-finals</v>
      </c>
      <c r="V642" s="1" t="b">
        <f t="shared" si="9"/>
        <v>0</v>
      </c>
      <c r="W642" s="1" t="str">
        <f>IF(V642=TRUE,ROWS($V$2:V642),"")</f>
        <v/>
      </c>
      <c r="X642" s="1" t="str">
        <f>IFERROR(SMALL($W$2:$W$853,ROWS($W$2:W642)),"")</f>
        <v/>
      </c>
      <c r="Y642" s="1" t="str">
        <f>IF($X642&lt;&gt;"",INDEX($P$2:$U$853,MATCH($X642,$W$2:$W$853,0),COLUMNS($X$2:X642)),"")</f>
        <v/>
      </c>
      <c r="Z642" s="1" t="str">
        <f>IF($X642&lt;&gt;"",INDEX($P$2:$U$853,MATCH($X642,$W$2:$W$853,0),COLUMNS($X$2:Y642)),"")</f>
        <v/>
      </c>
      <c r="AA642" s="1" t="str">
        <f>IF($X642&lt;&gt;"",INDEX($P$2:$U$853,MATCH($X642,$W$2:$W$853,0),COLUMNS($X$2:Z642)),"")</f>
        <v/>
      </c>
      <c r="AB642" s="1" t="str">
        <f>IF($X642&lt;&gt;"",INDEX($P$2:$U$853,MATCH($X642,$W$2:$W$853,0),COLUMNS($X$2:AA642)),"")</f>
        <v/>
      </c>
      <c r="AC642" s="1" t="str">
        <f>IF($X642&lt;&gt;"",INDEX($P$2:$U$853,MATCH($X642,$W$2:$W$853,0),COLUMNS($X$2:AB642)),"")</f>
        <v/>
      </c>
      <c r="AD642" s="1" t="str">
        <f>IF($X642&lt;&gt;"",INDEX($P$2:$U$853,MATCH($X642,$W$2:$W$853,0),COLUMNS($X$2:AC642)),"")</f>
        <v/>
      </c>
    </row>
    <row r="643" spans="1:30" x14ac:dyDescent="0.2">
      <c r="A643" s="1">
        <v>2002</v>
      </c>
      <c r="B643" s="2">
        <v>37433</v>
      </c>
      <c r="C643" s="1" t="s">
        <v>535</v>
      </c>
      <c r="D643" s="1" t="s">
        <v>31</v>
      </c>
      <c r="E643" s="1" t="s">
        <v>377</v>
      </c>
      <c r="F643" s="1" t="s">
        <v>378</v>
      </c>
      <c r="G643" s="6" t="str">
        <f>VLOOKUP(A643,WorldCups!$A$2:$B$23,2,FALSE)</f>
        <v>Korea/Japan</v>
      </c>
      <c r="H643" s="1" t="s">
        <v>21</v>
      </c>
      <c r="I643" s="1">
        <v>1</v>
      </c>
      <c r="J643" s="1">
        <v>0</v>
      </c>
      <c r="K643" s="1" t="s">
        <v>115</v>
      </c>
      <c r="L643" s="1" t="s">
        <v>14</v>
      </c>
      <c r="M643" s="1" t="str">
        <f>IF(ISNUMBER(SEARCH("Group",Table2[[#This Row],[Round]])),"Group stages",Table2[[#This Row],[Round]])</f>
        <v>Semi-finals</v>
      </c>
      <c r="O643" s="1">
        <f>Table2[[#This Row],[Year]]</f>
        <v>2002</v>
      </c>
      <c r="P643" s="1" t="str">
        <f>INDEX(Table2[[HomeTeam]:[Group_details]],ROWS($N$2:N643),COLUMNS($N$2:N643))</f>
        <v>Brazil</v>
      </c>
      <c r="Q643" s="1">
        <f>INDEX(Table2[[HomeTeam]:[Group_details]],ROWS($N$2:O643),COLUMNS($N$2:O643))</f>
        <v>1</v>
      </c>
      <c r="R643" s="1">
        <f>INDEX(Table2[[HomeTeam]:[Group_details]],ROWS($N$2:P643),COLUMNS($N$2:P643))</f>
        <v>0</v>
      </c>
      <c r="S643" s="1" t="str">
        <f>INDEX(Table2[[HomeTeam]:[Group_details]],ROWS($N$2:Q643),COLUMNS($N$2:Q643))</f>
        <v>Turkey</v>
      </c>
      <c r="T643" s="1" t="str">
        <f>INDEX(Table2[[HomeTeam]:[Group_details]],ROWS($N$2:R643),COLUMNS($N$2:R643))</f>
        <v xml:space="preserve"> </v>
      </c>
      <c r="U643" s="1" t="str">
        <f>INDEX(Table2[[HomeTeam]:[Group_details]],ROWS($N$2:S643),COLUMNS($N$2:S643))</f>
        <v>Semi-finals</v>
      </c>
      <c r="V643" s="1" t="b">
        <f t="shared" ref="V643:V706" si="10">IF(O643=$V$1,TRUE)</f>
        <v>0</v>
      </c>
      <c r="W643" s="1" t="str">
        <f>IF(V643=TRUE,ROWS($V$2:V643),"")</f>
        <v/>
      </c>
      <c r="X643" s="1" t="str">
        <f>IFERROR(SMALL($W$2:$W$853,ROWS($W$2:W643)),"")</f>
        <v/>
      </c>
      <c r="Y643" s="1" t="str">
        <f>IF($X643&lt;&gt;"",INDEX($P$2:$U$853,MATCH($X643,$W$2:$W$853,0),COLUMNS($X$2:X643)),"")</f>
        <v/>
      </c>
      <c r="Z643" s="1" t="str">
        <f>IF($X643&lt;&gt;"",INDEX($P$2:$U$853,MATCH($X643,$W$2:$W$853,0),COLUMNS($X$2:Y643)),"")</f>
        <v/>
      </c>
      <c r="AA643" s="1" t="str">
        <f>IF($X643&lt;&gt;"",INDEX($P$2:$U$853,MATCH($X643,$W$2:$W$853,0),COLUMNS($X$2:Z643)),"")</f>
        <v/>
      </c>
      <c r="AB643" s="1" t="str">
        <f>IF($X643&lt;&gt;"",INDEX($P$2:$U$853,MATCH($X643,$W$2:$W$853,0),COLUMNS($X$2:AA643)),"")</f>
        <v/>
      </c>
      <c r="AC643" s="1" t="str">
        <f>IF($X643&lt;&gt;"",INDEX($P$2:$U$853,MATCH($X643,$W$2:$W$853,0),COLUMNS($X$2:AB643)),"")</f>
        <v/>
      </c>
      <c r="AD643" s="1" t="str">
        <f>IF($X643&lt;&gt;"",INDEX($P$2:$U$853,MATCH($X643,$W$2:$W$853,0),COLUMNS($X$2:AC643)),"")</f>
        <v/>
      </c>
    </row>
    <row r="644" spans="1:30" x14ac:dyDescent="0.2">
      <c r="A644" s="1">
        <v>2002</v>
      </c>
      <c r="B644" s="2">
        <v>37436</v>
      </c>
      <c r="C644" s="1" t="s">
        <v>528</v>
      </c>
      <c r="D644" s="1" t="s">
        <v>411</v>
      </c>
      <c r="E644" s="1" t="s">
        <v>388</v>
      </c>
      <c r="F644" s="1" t="s">
        <v>389</v>
      </c>
      <c r="G644" s="6" t="str">
        <f>VLOOKUP(A644,WorldCups!$A$2:$B$23,2,FALSE)</f>
        <v>Korea/Japan</v>
      </c>
      <c r="H644" s="1" t="s">
        <v>116</v>
      </c>
      <c r="I644" s="1">
        <v>2</v>
      </c>
      <c r="J644" s="1">
        <v>3</v>
      </c>
      <c r="K644" s="1" t="s">
        <v>115</v>
      </c>
      <c r="L644" s="1" t="s">
        <v>14</v>
      </c>
      <c r="M644" s="1" t="str">
        <f>IF(ISNUMBER(SEARCH("Group",Table2[[#This Row],[Round]])),"Group stages",Table2[[#This Row],[Round]])</f>
        <v>Third place</v>
      </c>
      <c r="O644" s="1">
        <f>Table2[[#This Row],[Year]]</f>
        <v>2002</v>
      </c>
      <c r="P644" s="1" t="str">
        <f>INDEX(Table2[[HomeTeam]:[Group_details]],ROWS($N$2:N644),COLUMNS($N$2:N644))</f>
        <v>Korea Republic</v>
      </c>
      <c r="Q644" s="1">
        <f>INDEX(Table2[[HomeTeam]:[Group_details]],ROWS($N$2:O644),COLUMNS($N$2:O644))</f>
        <v>2</v>
      </c>
      <c r="R644" s="1">
        <f>INDEX(Table2[[HomeTeam]:[Group_details]],ROWS($N$2:P644),COLUMNS($N$2:P644))</f>
        <v>3</v>
      </c>
      <c r="S644" s="1" t="str">
        <f>INDEX(Table2[[HomeTeam]:[Group_details]],ROWS($N$2:Q644),COLUMNS($N$2:Q644))</f>
        <v>Turkey</v>
      </c>
      <c r="T644" s="1" t="str">
        <f>INDEX(Table2[[HomeTeam]:[Group_details]],ROWS($N$2:R644),COLUMNS($N$2:R644))</f>
        <v xml:space="preserve"> </v>
      </c>
      <c r="U644" s="1" t="str">
        <f>INDEX(Table2[[HomeTeam]:[Group_details]],ROWS($N$2:S644),COLUMNS($N$2:S644))</f>
        <v>Third place</v>
      </c>
      <c r="V644" s="1" t="b">
        <f t="shared" si="10"/>
        <v>0</v>
      </c>
      <c r="W644" s="1" t="str">
        <f>IF(V644=TRUE,ROWS($V$2:V644),"")</f>
        <v/>
      </c>
      <c r="X644" s="1" t="str">
        <f>IFERROR(SMALL($W$2:$W$853,ROWS($W$2:W644)),"")</f>
        <v/>
      </c>
      <c r="Y644" s="1" t="str">
        <f>IF($X644&lt;&gt;"",INDEX($P$2:$U$853,MATCH($X644,$W$2:$W$853,0),COLUMNS($X$2:X644)),"")</f>
        <v/>
      </c>
      <c r="Z644" s="1" t="str">
        <f>IF($X644&lt;&gt;"",INDEX($P$2:$U$853,MATCH($X644,$W$2:$W$853,0),COLUMNS($X$2:Y644)),"")</f>
        <v/>
      </c>
      <c r="AA644" s="1" t="str">
        <f>IF($X644&lt;&gt;"",INDEX($P$2:$U$853,MATCH($X644,$W$2:$W$853,0),COLUMNS($X$2:Z644)),"")</f>
        <v/>
      </c>
      <c r="AB644" s="1" t="str">
        <f>IF($X644&lt;&gt;"",INDEX($P$2:$U$853,MATCH($X644,$W$2:$W$853,0),COLUMNS($X$2:AA644)),"")</f>
        <v/>
      </c>
      <c r="AC644" s="1" t="str">
        <f>IF($X644&lt;&gt;"",INDEX($P$2:$U$853,MATCH($X644,$W$2:$W$853,0),COLUMNS($X$2:AB644)),"")</f>
        <v/>
      </c>
      <c r="AD644" s="1" t="str">
        <f>IF($X644&lt;&gt;"",INDEX($P$2:$U$853,MATCH($X644,$W$2:$W$853,0),COLUMNS($X$2:AC644)),"")</f>
        <v/>
      </c>
    </row>
    <row r="645" spans="1:30" x14ac:dyDescent="0.2">
      <c r="A645" s="1">
        <v>2002</v>
      </c>
      <c r="B645" s="2">
        <v>37437</v>
      </c>
      <c r="C645" s="1" t="s">
        <v>528</v>
      </c>
      <c r="D645" s="1" t="s">
        <v>32</v>
      </c>
      <c r="E645" s="1" t="s">
        <v>396</v>
      </c>
      <c r="F645" s="1" t="s">
        <v>397</v>
      </c>
      <c r="G645" s="6" t="str">
        <f>VLOOKUP(A645,WorldCups!$A$2:$B$23,2,FALSE)</f>
        <v>Korea/Japan</v>
      </c>
      <c r="H645" s="1" t="s">
        <v>51</v>
      </c>
      <c r="I645" s="1">
        <v>0</v>
      </c>
      <c r="J645" s="1">
        <v>2</v>
      </c>
      <c r="K645" s="1" t="s">
        <v>21</v>
      </c>
      <c r="L645" s="1" t="s">
        <v>14</v>
      </c>
      <c r="M645" s="1" t="str">
        <f>IF(ISNUMBER(SEARCH("Group",Table2[[#This Row],[Round]])),"Group stages",Table2[[#This Row],[Round]])</f>
        <v>Final</v>
      </c>
      <c r="O645" s="1">
        <f>Table2[[#This Row],[Year]]</f>
        <v>2002</v>
      </c>
      <c r="P645" s="1" t="str">
        <f>INDEX(Table2[[HomeTeam]:[Group_details]],ROWS($N$2:N645),COLUMNS($N$2:N645))</f>
        <v>Germany</v>
      </c>
      <c r="Q645" s="1">
        <f>INDEX(Table2[[HomeTeam]:[Group_details]],ROWS($N$2:O645),COLUMNS($N$2:O645))</f>
        <v>0</v>
      </c>
      <c r="R645" s="1">
        <f>INDEX(Table2[[HomeTeam]:[Group_details]],ROWS($N$2:P645),COLUMNS($N$2:P645))</f>
        <v>2</v>
      </c>
      <c r="S645" s="1" t="str">
        <f>INDEX(Table2[[HomeTeam]:[Group_details]],ROWS($N$2:Q645),COLUMNS($N$2:Q645))</f>
        <v>Brazil</v>
      </c>
      <c r="T645" s="1" t="str">
        <f>INDEX(Table2[[HomeTeam]:[Group_details]],ROWS($N$2:R645),COLUMNS($N$2:R645))</f>
        <v xml:space="preserve"> </v>
      </c>
      <c r="U645" s="1" t="str">
        <f>INDEX(Table2[[HomeTeam]:[Group_details]],ROWS($N$2:S645),COLUMNS($N$2:S645))</f>
        <v>Final</v>
      </c>
      <c r="V645" s="1" t="b">
        <f t="shared" si="10"/>
        <v>0</v>
      </c>
      <c r="W645" s="1" t="str">
        <f>IF(V645=TRUE,ROWS($V$2:V645),"")</f>
        <v/>
      </c>
      <c r="X645" s="1" t="str">
        <f>IFERROR(SMALL($W$2:$W$853,ROWS($W$2:W645)),"")</f>
        <v/>
      </c>
      <c r="Y645" s="1" t="str">
        <f>IF($X645&lt;&gt;"",INDEX($P$2:$U$853,MATCH($X645,$W$2:$W$853,0),COLUMNS($X$2:X645)),"")</f>
        <v/>
      </c>
      <c r="Z645" s="1" t="str">
        <f>IF($X645&lt;&gt;"",INDEX($P$2:$U$853,MATCH($X645,$W$2:$W$853,0),COLUMNS($X$2:Y645)),"")</f>
        <v/>
      </c>
      <c r="AA645" s="1" t="str">
        <f>IF($X645&lt;&gt;"",INDEX($P$2:$U$853,MATCH($X645,$W$2:$W$853,0),COLUMNS($X$2:Z645)),"")</f>
        <v/>
      </c>
      <c r="AB645" s="1" t="str">
        <f>IF($X645&lt;&gt;"",INDEX($P$2:$U$853,MATCH($X645,$W$2:$W$853,0),COLUMNS($X$2:AA645)),"")</f>
        <v/>
      </c>
      <c r="AC645" s="1" t="str">
        <f>IF($X645&lt;&gt;"",INDEX($P$2:$U$853,MATCH($X645,$W$2:$W$853,0),COLUMNS($X$2:AB645)),"")</f>
        <v/>
      </c>
      <c r="AD645" s="1" t="str">
        <f>IF($X645&lt;&gt;"",INDEX($P$2:$U$853,MATCH($X645,$W$2:$W$853,0),COLUMNS($X$2:AC645)),"")</f>
        <v/>
      </c>
    </row>
    <row r="646" spans="1:30" x14ac:dyDescent="0.2">
      <c r="A646" s="1">
        <v>2006</v>
      </c>
      <c r="B646" s="2">
        <v>38877</v>
      </c>
      <c r="C646" s="1" t="s">
        <v>510</v>
      </c>
      <c r="D646" s="1" t="s">
        <v>214</v>
      </c>
      <c r="E646" s="1" t="s">
        <v>412</v>
      </c>
      <c r="F646" s="1" t="s">
        <v>207</v>
      </c>
      <c r="G646" s="6" t="str">
        <f>VLOOKUP(A646,WorldCups!$A$2:$B$23,2,FALSE)</f>
        <v>Germany</v>
      </c>
      <c r="H646" s="1" t="s">
        <v>51</v>
      </c>
      <c r="I646" s="1">
        <v>4</v>
      </c>
      <c r="J646" s="1">
        <v>2</v>
      </c>
      <c r="K646" s="1" t="s">
        <v>301</v>
      </c>
      <c r="L646" s="1" t="s">
        <v>14</v>
      </c>
      <c r="M646" s="1" t="str">
        <f>IF(ISNUMBER(SEARCH("Group",Table2[[#This Row],[Round]])),"Group stages",Table2[[#This Row],[Round]])</f>
        <v>Group stages</v>
      </c>
      <c r="O646" s="1">
        <f>Table2[[#This Row],[Year]]</f>
        <v>2006</v>
      </c>
      <c r="P646" s="1" t="str">
        <f>INDEX(Table2[[HomeTeam]:[Group_details]],ROWS($N$2:N646),COLUMNS($N$2:N646))</f>
        <v>Germany</v>
      </c>
      <c r="Q646" s="1">
        <f>INDEX(Table2[[HomeTeam]:[Group_details]],ROWS($N$2:O646),COLUMNS($N$2:O646))</f>
        <v>4</v>
      </c>
      <c r="R646" s="1">
        <f>INDEX(Table2[[HomeTeam]:[Group_details]],ROWS($N$2:P646),COLUMNS($N$2:P646))</f>
        <v>2</v>
      </c>
      <c r="S646" s="1" t="str">
        <f>INDEX(Table2[[HomeTeam]:[Group_details]],ROWS($N$2:Q646),COLUMNS($N$2:Q646))</f>
        <v>Costa Rica</v>
      </c>
      <c r="T646" s="1" t="str">
        <f>INDEX(Table2[[HomeTeam]:[Group_details]],ROWS($N$2:R646),COLUMNS($N$2:R646))</f>
        <v xml:space="preserve"> </v>
      </c>
      <c r="U646" s="1" t="str">
        <f>INDEX(Table2[[HomeTeam]:[Group_details]],ROWS($N$2:S646),COLUMNS($N$2:S646))</f>
        <v>Group stages</v>
      </c>
      <c r="V646" s="1" t="b">
        <f t="shared" si="10"/>
        <v>0</v>
      </c>
      <c r="W646" s="1" t="str">
        <f>IF(V646=TRUE,ROWS($V$2:V646),"")</f>
        <v/>
      </c>
      <c r="X646" s="1" t="str">
        <f>IFERROR(SMALL($W$2:$W$853,ROWS($W$2:W646)),"")</f>
        <v/>
      </c>
      <c r="Y646" s="1" t="str">
        <f>IF($X646&lt;&gt;"",INDEX($P$2:$U$853,MATCH($X646,$W$2:$W$853,0),COLUMNS($X$2:X646)),"")</f>
        <v/>
      </c>
      <c r="Z646" s="1" t="str">
        <f>IF($X646&lt;&gt;"",INDEX($P$2:$U$853,MATCH($X646,$W$2:$W$853,0),COLUMNS($X$2:Y646)),"")</f>
        <v/>
      </c>
      <c r="AA646" s="1" t="str">
        <f>IF($X646&lt;&gt;"",INDEX($P$2:$U$853,MATCH($X646,$W$2:$W$853,0),COLUMNS($X$2:Z646)),"")</f>
        <v/>
      </c>
      <c r="AB646" s="1" t="str">
        <f>IF($X646&lt;&gt;"",INDEX($P$2:$U$853,MATCH($X646,$W$2:$W$853,0),COLUMNS($X$2:AA646)),"")</f>
        <v/>
      </c>
      <c r="AC646" s="1" t="str">
        <f>IF($X646&lt;&gt;"",INDEX($P$2:$U$853,MATCH($X646,$W$2:$W$853,0),COLUMNS($X$2:AB646)),"")</f>
        <v/>
      </c>
      <c r="AD646" s="1" t="str">
        <f>IF($X646&lt;&gt;"",INDEX($P$2:$U$853,MATCH($X646,$W$2:$W$853,0),COLUMNS($X$2:AC646)),"")</f>
        <v/>
      </c>
    </row>
    <row r="647" spans="1:30" x14ac:dyDescent="0.2">
      <c r="A647" s="1">
        <v>2006</v>
      </c>
      <c r="B647" s="2">
        <v>38877</v>
      </c>
      <c r="C647" s="1" t="s">
        <v>530</v>
      </c>
      <c r="D647" s="1" t="s">
        <v>214</v>
      </c>
      <c r="E647" s="1" t="s">
        <v>413</v>
      </c>
      <c r="F647" s="1" t="s">
        <v>212</v>
      </c>
      <c r="G647" s="6" t="str">
        <f>VLOOKUP(A647,WorldCups!$A$2:$B$23,2,FALSE)</f>
        <v>Germany</v>
      </c>
      <c r="H647" s="1" t="s">
        <v>80</v>
      </c>
      <c r="I647" s="1">
        <v>0</v>
      </c>
      <c r="J647" s="1">
        <v>2</v>
      </c>
      <c r="K647" s="1" t="s">
        <v>382</v>
      </c>
      <c r="L647" s="1" t="s">
        <v>14</v>
      </c>
      <c r="M647" s="1" t="str">
        <f>IF(ISNUMBER(SEARCH("Group",Table2[[#This Row],[Round]])),"Group stages",Table2[[#This Row],[Round]])</f>
        <v>Group stages</v>
      </c>
      <c r="O647" s="1">
        <f>Table2[[#This Row],[Year]]</f>
        <v>2006</v>
      </c>
      <c r="P647" s="1" t="str">
        <f>INDEX(Table2[[HomeTeam]:[Group_details]],ROWS($N$2:N647),COLUMNS($N$2:N647))</f>
        <v>Poland</v>
      </c>
      <c r="Q647" s="1">
        <f>INDEX(Table2[[HomeTeam]:[Group_details]],ROWS($N$2:O647),COLUMNS($N$2:O647))</f>
        <v>0</v>
      </c>
      <c r="R647" s="1">
        <f>INDEX(Table2[[HomeTeam]:[Group_details]],ROWS($N$2:P647),COLUMNS($N$2:P647))</f>
        <v>2</v>
      </c>
      <c r="S647" s="1" t="str">
        <f>INDEX(Table2[[HomeTeam]:[Group_details]],ROWS($N$2:Q647),COLUMNS($N$2:Q647))</f>
        <v>Ecuador</v>
      </c>
      <c r="T647" s="1" t="str">
        <f>INDEX(Table2[[HomeTeam]:[Group_details]],ROWS($N$2:R647),COLUMNS($N$2:R647))</f>
        <v xml:space="preserve"> </v>
      </c>
      <c r="U647" s="1" t="str">
        <f>INDEX(Table2[[HomeTeam]:[Group_details]],ROWS($N$2:S647),COLUMNS($N$2:S647))</f>
        <v>Group stages</v>
      </c>
      <c r="V647" s="1" t="b">
        <f t="shared" si="10"/>
        <v>0</v>
      </c>
      <c r="W647" s="1" t="str">
        <f>IF(V647=TRUE,ROWS($V$2:V647),"")</f>
        <v/>
      </c>
      <c r="X647" s="1" t="str">
        <f>IFERROR(SMALL($W$2:$W$853,ROWS($W$2:W647)),"")</f>
        <v/>
      </c>
      <c r="Y647" s="1" t="str">
        <f>IF($X647&lt;&gt;"",INDEX($P$2:$U$853,MATCH($X647,$W$2:$W$853,0),COLUMNS($X$2:X647)),"")</f>
        <v/>
      </c>
      <c r="Z647" s="1" t="str">
        <f>IF($X647&lt;&gt;"",INDEX($P$2:$U$853,MATCH($X647,$W$2:$W$853,0),COLUMNS($X$2:Y647)),"")</f>
        <v/>
      </c>
      <c r="AA647" s="1" t="str">
        <f>IF($X647&lt;&gt;"",INDEX($P$2:$U$853,MATCH($X647,$W$2:$W$853,0),COLUMNS($X$2:Z647)),"")</f>
        <v/>
      </c>
      <c r="AB647" s="1" t="str">
        <f>IF($X647&lt;&gt;"",INDEX($P$2:$U$853,MATCH($X647,$W$2:$W$853,0),COLUMNS($X$2:AA647)),"")</f>
        <v/>
      </c>
      <c r="AC647" s="1" t="str">
        <f>IF($X647&lt;&gt;"",INDEX($P$2:$U$853,MATCH($X647,$W$2:$W$853,0),COLUMNS($X$2:AB647)),"")</f>
        <v/>
      </c>
      <c r="AD647" s="1" t="str">
        <f>IF($X647&lt;&gt;"",INDEX($P$2:$U$853,MATCH($X647,$W$2:$W$853,0),COLUMNS($X$2:AC647)),"")</f>
        <v/>
      </c>
    </row>
    <row r="648" spans="1:30" x14ac:dyDescent="0.2">
      <c r="A648" s="1">
        <v>2006</v>
      </c>
      <c r="B648" s="2">
        <v>38878</v>
      </c>
      <c r="C648" s="1" t="s">
        <v>500</v>
      </c>
      <c r="D648" s="1" t="s">
        <v>213</v>
      </c>
      <c r="E648" s="1" t="s">
        <v>414</v>
      </c>
      <c r="F648" s="1" t="s">
        <v>193</v>
      </c>
      <c r="G648" s="6" t="str">
        <f>VLOOKUP(A648,WorldCups!$A$2:$B$23,2,FALSE)</f>
        <v>Germany</v>
      </c>
      <c r="H648" s="1" t="s">
        <v>93</v>
      </c>
      <c r="I648" s="1">
        <v>1</v>
      </c>
      <c r="J648" s="1">
        <v>0</v>
      </c>
      <c r="K648" s="1" t="s">
        <v>28</v>
      </c>
      <c r="L648" s="1" t="s">
        <v>14</v>
      </c>
      <c r="M648" s="1" t="str">
        <f>IF(ISNUMBER(SEARCH("Group",Table2[[#This Row],[Round]])),"Group stages",Table2[[#This Row],[Round]])</f>
        <v>Group stages</v>
      </c>
      <c r="O648" s="1">
        <f>Table2[[#This Row],[Year]]</f>
        <v>2006</v>
      </c>
      <c r="P648" s="1" t="str">
        <f>INDEX(Table2[[HomeTeam]:[Group_details]],ROWS($N$2:N648),COLUMNS($N$2:N648))</f>
        <v>England</v>
      </c>
      <c r="Q648" s="1">
        <f>INDEX(Table2[[HomeTeam]:[Group_details]],ROWS($N$2:O648),COLUMNS($N$2:O648))</f>
        <v>1</v>
      </c>
      <c r="R648" s="1">
        <f>INDEX(Table2[[HomeTeam]:[Group_details]],ROWS($N$2:P648),COLUMNS($N$2:P648))</f>
        <v>0</v>
      </c>
      <c r="S648" s="1" t="str">
        <f>INDEX(Table2[[HomeTeam]:[Group_details]],ROWS($N$2:Q648),COLUMNS($N$2:Q648))</f>
        <v>Paraguay</v>
      </c>
      <c r="T648" s="1" t="str">
        <f>INDEX(Table2[[HomeTeam]:[Group_details]],ROWS($N$2:R648),COLUMNS($N$2:R648))</f>
        <v xml:space="preserve"> </v>
      </c>
      <c r="U648" s="1" t="str">
        <f>INDEX(Table2[[HomeTeam]:[Group_details]],ROWS($N$2:S648),COLUMNS($N$2:S648))</f>
        <v>Group stages</v>
      </c>
      <c r="V648" s="1" t="b">
        <f t="shared" si="10"/>
        <v>0</v>
      </c>
      <c r="W648" s="1" t="str">
        <f>IF(V648=TRUE,ROWS($V$2:V648),"")</f>
        <v/>
      </c>
      <c r="X648" s="1" t="str">
        <f>IFERROR(SMALL($W$2:$W$853,ROWS($W$2:W648)),"")</f>
        <v/>
      </c>
      <c r="Y648" s="1" t="str">
        <f>IF($X648&lt;&gt;"",INDEX($P$2:$U$853,MATCH($X648,$W$2:$W$853,0),COLUMNS($X$2:X648)),"")</f>
        <v/>
      </c>
      <c r="Z648" s="1" t="str">
        <f>IF($X648&lt;&gt;"",INDEX($P$2:$U$853,MATCH($X648,$W$2:$W$853,0),COLUMNS($X$2:Y648)),"")</f>
        <v/>
      </c>
      <c r="AA648" s="1" t="str">
        <f>IF($X648&lt;&gt;"",INDEX($P$2:$U$853,MATCH($X648,$W$2:$W$853,0),COLUMNS($X$2:Z648)),"")</f>
        <v/>
      </c>
      <c r="AB648" s="1" t="str">
        <f>IF($X648&lt;&gt;"",INDEX($P$2:$U$853,MATCH($X648,$W$2:$W$853,0),COLUMNS($X$2:AA648)),"")</f>
        <v/>
      </c>
      <c r="AC648" s="1" t="str">
        <f>IF($X648&lt;&gt;"",INDEX($P$2:$U$853,MATCH($X648,$W$2:$W$853,0),COLUMNS($X$2:AB648)),"")</f>
        <v/>
      </c>
      <c r="AD648" s="1" t="str">
        <f>IF($X648&lt;&gt;"",INDEX($P$2:$U$853,MATCH($X648,$W$2:$W$853,0),COLUMNS($X$2:AC648)),"")</f>
        <v/>
      </c>
    </row>
    <row r="649" spans="1:30" x14ac:dyDescent="0.2">
      <c r="A649" s="1">
        <v>2006</v>
      </c>
      <c r="B649" s="2">
        <v>38878</v>
      </c>
      <c r="C649" s="1" t="s">
        <v>510</v>
      </c>
      <c r="D649" s="1" t="s">
        <v>213</v>
      </c>
      <c r="E649" s="1" t="s">
        <v>415</v>
      </c>
      <c r="F649" s="1" t="s">
        <v>201</v>
      </c>
      <c r="G649" s="6" t="str">
        <f>VLOOKUP(A649,WorldCups!$A$2:$B$23,2,FALSE)</f>
        <v>Germany</v>
      </c>
      <c r="H649" s="1" t="s">
        <v>416</v>
      </c>
      <c r="I649" s="1">
        <v>0</v>
      </c>
      <c r="J649" s="1">
        <v>0</v>
      </c>
      <c r="K649" s="1" t="s">
        <v>48</v>
      </c>
      <c r="L649" s="1" t="s">
        <v>14</v>
      </c>
      <c r="M649" s="1" t="str">
        <f>IF(ISNUMBER(SEARCH("Group",Table2[[#This Row],[Round]])),"Group stages",Table2[[#This Row],[Round]])</f>
        <v>Group stages</v>
      </c>
      <c r="O649" s="1">
        <f>Table2[[#This Row],[Year]]</f>
        <v>2006</v>
      </c>
      <c r="P649" s="1" t="str">
        <f>INDEX(Table2[[HomeTeam]:[Group_details]],ROWS($N$2:N649),COLUMNS($N$2:N649))</f>
        <v>Trinidad and Tobago</v>
      </c>
      <c r="Q649" s="1">
        <f>INDEX(Table2[[HomeTeam]:[Group_details]],ROWS($N$2:O649),COLUMNS($N$2:O649))</f>
        <v>0</v>
      </c>
      <c r="R649" s="1">
        <f>INDEX(Table2[[HomeTeam]:[Group_details]],ROWS($N$2:P649),COLUMNS($N$2:P649))</f>
        <v>0</v>
      </c>
      <c r="S649" s="1" t="str">
        <f>INDEX(Table2[[HomeTeam]:[Group_details]],ROWS($N$2:Q649),COLUMNS($N$2:Q649))</f>
        <v>Sweden</v>
      </c>
      <c r="T649" s="1" t="str">
        <f>INDEX(Table2[[HomeTeam]:[Group_details]],ROWS($N$2:R649),COLUMNS($N$2:R649))</f>
        <v xml:space="preserve"> </v>
      </c>
      <c r="U649" s="1" t="str">
        <f>INDEX(Table2[[HomeTeam]:[Group_details]],ROWS($N$2:S649),COLUMNS($N$2:S649))</f>
        <v>Group stages</v>
      </c>
      <c r="V649" s="1" t="b">
        <f t="shared" si="10"/>
        <v>0</v>
      </c>
      <c r="W649" s="1" t="str">
        <f>IF(V649=TRUE,ROWS($V$2:V649),"")</f>
        <v/>
      </c>
      <c r="X649" s="1" t="str">
        <f>IFERROR(SMALL($W$2:$W$853,ROWS($W$2:W649)),"")</f>
        <v/>
      </c>
      <c r="Y649" s="1" t="str">
        <f>IF($X649&lt;&gt;"",INDEX($P$2:$U$853,MATCH($X649,$W$2:$W$853,0),COLUMNS($X$2:X649)),"")</f>
        <v/>
      </c>
      <c r="Z649" s="1" t="str">
        <f>IF($X649&lt;&gt;"",INDEX($P$2:$U$853,MATCH($X649,$W$2:$W$853,0),COLUMNS($X$2:Y649)),"")</f>
        <v/>
      </c>
      <c r="AA649" s="1" t="str">
        <f>IF($X649&lt;&gt;"",INDEX($P$2:$U$853,MATCH($X649,$W$2:$W$853,0),COLUMNS($X$2:Z649)),"")</f>
        <v/>
      </c>
      <c r="AB649" s="1" t="str">
        <f>IF($X649&lt;&gt;"",INDEX($P$2:$U$853,MATCH($X649,$W$2:$W$853,0),COLUMNS($X$2:AA649)),"")</f>
        <v/>
      </c>
      <c r="AC649" s="1" t="str">
        <f>IF($X649&lt;&gt;"",INDEX($P$2:$U$853,MATCH($X649,$W$2:$W$853,0),COLUMNS($X$2:AB649)),"")</f>
        <v/>
      </c>
      <c r="AD649" s="1" t="str">
        <f>IF($X649&lt;&gt;"",INDEX($P$2:$U$853,MATCH($X649,$W$2:$W$853,0),COLUMNS($X$2:AC649)),"")</f>
        <v/>
      </c>
    </row>
    <row r="650" spans="1:30" x14ac:dyDescent="0.2">
      <c r="A650" s="1">
        <v>2006</v>
      </c>
      <c r="B650" s="2">
        <v>38878</v>
      </c>
      <c r="C650" s="1" t="s">
        <v>530</v>
      </c>
      <c r="D650" s="1" t="s">
        <v>268</v>
      </c>
      <c r="E650" s="1" t="s">
        <v>417</v>
      </c>
      <c r="F650" s="1" t="s">
        <v>197</v>
      </c>
      <c r="G650" s="6" t="str">
        <f>VLOOKUP(A650,WorldCups!$A$2:$B$23,2,FALSE)</f>
        <v>Germany</v>
      </c>
      <c r="H650" s="1" t="s">
        <v>25</v>
      </c>
      <c r="I650" s="1">
        <v>2</v>
      </c>
      <c r="J650" s="1">
        <v>1</v>
      </c>
      <c r="K650" s="1" t="s">
        <v>418</v>
      </c>
      <c r="L650" s="1" t="s">
        <v>14</v>
      </c>
      <c r="M650" s="1" t="str">
        <f>IF(ISNUMBER(SEARCH("Group",Table2[[#This Row],[Round]])),"Group stages",Table2[[#This Row],[Round]])</f>
        <v>Group stages</v>
      </c>
      <c r="O650" s="1">
        <f>Table2[[#This Row],[Year]]</f>
        <v>2006</v>
      </c>
      <c r="P650" s="1" t="str">
        <f>INDEX(Table2[[HomeTeam]:[Group_details]],ROWS($N$2:N650),COLUMNS($N$2:N650))</f>
        <v>Argentina</v>
      </c>
      <c r="Q650" s="1">
        <f>INDEX(Table2[[HomeTeam]:[Group_details]],ROWS($N$2:O650),COLUMNS($N$2:O650))</f>
        <v>2</v>
      </c>
      <c r="R650" s="1">
        <f>INDEX(Table2[[HomeTeam]:[Group_details]],ROWS($N$2:P650),COLUMNS($N$2:P650))</f>
        <v>1</v>
      </c>
      <c r="S650" s="1" t="str">
        <f>INDEX(Table2[[HomeTeam]:[Group_details]],ROWS($N$2:Q650),COLUMNS($N$2:Q650))</f>
        <v>Cï¿½te d'Ivoire</v>
      </c>
      <c r="T650" s="1" t="str">
        <f>INDEX(Table2[[HomeTeam]:[Group_details]],ROWS($N$2:R650),COLUMNS($N$2:R650))</f>
        <v xml:space="preserve"> </v>
      </c>
      <c r="U650" s="1" t="str">
        <f>INDEX(Table2[[HomeTeam]:[Group_details]],ROWS($N$2:S650),COLUMNS($N$2:S650))</f>
        <v>Group stages</v>
      </c>
      <c r="V650" s="1" t="b">
        <f t="shared" si="10"/>
        <v>0</v>
      </c>
      <c r="W650" s="1" t="str">
        <f>IF(V650=TRUE,ROWS($V$2:V650),"")</f>
        <v/>
      </c>
      <c r="X650" s="1" t="str">
        <f>IFERROR(SMALL($W$2:$W$853,ROWS($W$2:W650)),"")</f>
        <v/>
      </c>
      <c r="Y650" s="1" t="str">
        <f>IF($X650&lt;&gt;"",INDEX($P$2:$U$853,MATCH($X650,$W$2:$W$853,0),COLUMNS($X$2:X650)),"")</f>
        <v/>
      </c>
      <c r="Z650" s="1" t="str">
        <f>IF($X650&lt;&gt;"",INDEX($P$2:$U$853,MATCH($X650,$W$2:$W$853,0),COLUMNS($X$2:Y650)),"")</f>
        <v/>
      </c>
      <c r="AA650" s="1" t="str">
        <f>IF($X650&lt;&gt;"",INDEX($P$2:$U$853,MATCH($X650,$W$2:$W$853,0),COLUMNS($X$2:Z650)),"")</f>
        <v/>
      </c>
      <c r="AB650" s="1" t="str">
        <f>IF($X650&lt;&gt;"",INDEX($P$2:$U$853,MATCH($X650,$W$2:$W$853,0),COLUMNS($X$2:AA650)),"")</f>
        <v/>
      </c>
      <c r="AC650" s="1" t="str">
        <f>IF($X650&lt;&gt;"",INDEX($P$2:$U$853,MATCH($X650,$W$2:$W$853,0),COLUMNS($X$2:AB650)),"")</f>
        <v/>
      </c>
      <c r="AD650" s="1" t="str">
        <f>IF($X650&lt;&gt;"",INDEX($P$2:$U$853,MATCH($X650,$W$2:$W$853,0),COLUMNS($X$2:AC650)),"")</f>
        <v/>
      </c>
    </row>
    <row r="651" spans="1:30" x14ac:dyDescent="0.2">
      <c r="A651" s="1">
        <v>2006</v>
      </c>
      <c r="B651" s="2">
        <v>38879</v>
      </c>
      <c r="C651" s="1" t="s">
        <v>500</v>
      </c>
      <c r="D651" s="1" t="s">
        <v>268</v>
      </c>
      <c r="E651" s="1" t="s">
        <v>419</v>
      </c>
      <c r="F651" s="1" t="s">
        <v>420</v>
      </c>
      <c r="G651" s="6" t="str">
        <f>VLOOKUP(A651,WorldCups!$A$2:$B$23,2,FALSE)</f>
        <v>Germany</v>
      </c>
      <c r="H651" s="1" t="s">
        <v>421</v>
      </c>
      <c r="I651" s="1">
        <v>0</v>
      </c>
      <c r="J651" s="1">
        <v>1</v>
      </c>
      <c r="K651" s="1" t="s">
        <v>45</v>
      </c>
      <c r="L651" s="1" t="s">
        <v>14</v>
      </c>
      <c r="M651" s="1" t="str">
        <f>IF(ISNUMBER(SEARCH("Group",Table2[[#This Row],[Round]])),"Group stages",Table2[[#This Row],[Round]])</f>
        <v>Group stages</v>
      </c>
      <c r="O651" s="1">
        <f>Table2[[#This Row],[Year]]</f>
        <v>2006</v>
      </c>
      <c r="P651" s="1" t="str">
        <f>INDEX(Table2[[HomeTeam]:[Group_details]],ROWS($N$2:N651),COLUMNS($N$2:N651))</f>
        <v>Serbia and Montenegro</v>
      </c>
      <c r="Q651" s="1">
        <f>INDEX(Table2[[HomeTeam]:[Group_details]],ROWS($N$2:O651),COLUMNS($N$2:O651))</f>
        <v>0</v>
      </c>
      <c r="R651" s="1">
        <f>INDEX(Table2[[HomeTeam]:[Group_details]],ROWS($N$2:P651),COLUMNS($N$2:P651))</f>
        <v>1</v>
      </c>
      <c r="S651" s="1" t="str">
        <f>INDEX(Table2[[HomeTeam]:[Group_details]],ROWS($N$2:Q651),COLUMNS($N$2:Q651))</f>
        <v>Netherlands</v>
      </c>
      <c r="T651" s="1" t="str">
        <f>INDEX(Table2[[HomeTeam]:[Group_details]],ROWS($N$2:R651),COLUMNS($N$2:R651))</f>
        <v xml:space="preserve"> </v>
      </c>
      <c r="U651" s="1" t="str">
        <f>INDEX(Table2[[HomeTeam]:[Group_details]],ROWS($N$2:S651),COLUMNS($N$2:S651))</f>
        <v>Group stages</v>
      </c>
      <c r="V651" s="1" t="b">
        <f t="shared" si="10"/>
        <v>0</v>
      </c>
      <c r="W651" s="1" t="str">
        <f>IF(V651=TRUE,ROWS($V$2:V651),"")</f>
        <v/>
      </c>
      <c r="X651" s="1" t="str">
        <f>IFERROR(SMALL($W$2:$W$853,ROWS($W$2:W651)),"")</f>
        <v/>
      </c>
      <c r="Y651" s="1" t="str">
        <f>IF($X651&lt;&gt;"",INDEX($P$2:$U$853,MATCH($X651,$W$2:$W$853,0),COLUMNS($X$2:X651)),"")</f>
        <v/>
      </c>
      <c r="Z651" s="1" t="str">
        <f>IF($X651&lt;&gt;"",INDEX($P$2:$U$853,MATCH($X651,$W$2:$W$853,0),COLUMNS($X$2:Y651)),"")</f>
        <v/>
      </c>
      <c r="AA651" s="1" t="str">
        <f>IF($X651&lt;&gt;"",INDEX($P$2:$U$853,MATCH($X651,$W$2:$W$853,0),COLUMNS($X$2:Z651)),"")</f>
        <v/>
      </c>
      <c r="AB651" s="1" t="str">
        <f>IF($X651&lt;&gt;"",INDEX($P$2:$U$853,MATCH($X651,$W$2:$W$853,0),COLUMNS($X$2:AA651)),"")</f>
        <v/>
      </c>
      <c r="AC651" s="1" t="str">
        <f>IF($X651&lt;&gt;"",INDEX($P$2:$U$853,MATCH($X651,$W$2:$W$853,0),COLUMNS($X$2:AB651)),"")</f>
        <v/>
      </c>
      <c r="AD651" s="1" t="str">
        <f>IF($X651&lt;&gt;"",INDEX($P$2:$U$853,MATCH($X651,$W$2:$W$853,0),COLUMNS($X$2:AC651)),"")</f>
        <v/>
      </c>
    </row>
    <row r="652" spans="1:30" x14ac:dyDescent="0.2">
      <c r="A652" s="1">
        <v>2006</v>
      </c>
      <c r="B652" s="2">
        <v>38879</v>
      </c>
      <c r="C652" s="1" t="s">
        <v>510</v>
      </c>
      <c r="D652" s="1" t="s">
        <v>270</v>
      </c>
      <c r="E652" s="1" t="s">
        <v>422</v>
      </c>
      <c r="F652" s="1" t="s">
        <v>423</v>
      </c>
      <c r="G652" s="6" t="str">
        <f>VLOOKUP(A652,WorldCups!$A$2:$B$23,2,FALSE)</f>
        <v>Germany</v>
      </c>
      <c r="H652" s="1" t="s">
        <v>13</v>
      </c>
      <c r="I652" s="1">
        <v>3</v>
      </c>
      <c r="J652" s="1">
        <v>1</v>
      </c>
      <c r="K652" s="1" t="s">
        <v>228</v>
      </c>
      <c r="L652" s="1" t="s">
        <v>14</v>
      </c>
      <c r="M652" s="1" t="str">
        <f>IF(ISNUMBER(SEARCH("Group",Table2[[#This Row],[Round]])),"Group stages",Table2[[#This Row],[Round]])</f>
        <v>Group stages</v>
      </c>
      <c r="O652" s="1">
        <f>Table2[[#This Row],[Year]]</f>
        <v>2006</v>
      </c>
      <c r="P652" s="1" t="str">
        <f>INDEX(Table2[[HomeTeam]:[Group_details]],ROWS($N$2:N652),COLUMNS($N$2:N652))</f>
        <v>Mexico</v>
      </c>
      <c r="Q652" s="1">
        <f>INDEX(Table2[[HomeTeam]:[Group_details]],ROWS($N$2:O652),COLUMNS($N$2:O652))</f>
        <v>3</v>
      </c>
      <c r="R652" s="1">
        <f>INDEX(Table2[[HomeTeam]:[Group_details]],ROWS($N$2:P652),COLUMNS($N$2:P652))</f>
        <v>1</v>
      </c>
      <c r="S652" s="1" t="str">
        <f>INDEX(Table2[[HomeTeam]:[Group_details]],ROWS($N$2:Q652),COLUMNS($N$2:Q652))</f>
        <v>Iran</v>
      </c>
      <c r="T652" s="1" t="str">
        <f>INDEX(Table2[[HomeTeam]:[Group_details]],ROWS($N$2:R652),COLUMNS($N$2:R652))</f>
        <v xml:space="preserve"> </v>
      </c>
      <c r="U652" s="1" t="str">
        <f>INDEX(Table2[[HomeTeam]:[Group_details]],ROWS($N$2:S652),COLUMNS($N$2:S652))</f>
        <v>Group stages</v>
      </c>
      <c r="V652" s="1" t="b">
        <f t="shared" si="10"/>
        <v>0</v>
      </c>
      <c r="W652" s="1" t="str">
        <f>IF(V652=TRUE,ROWS($V$2:V652),"")</f>
        <v/>
      </c>
      <c r="X652" s="1" t="str">
        <f>IFERROR(SMALL($W$2:$W$853,ROWS($W$2:W652)),"")</f>
        <v/>
      </c>
      <c r="Y652" s="1" t="str">
        <f>IF($X652&lt;&gt;"",INDEX($P$2:$U$853,MATCH($X652,$W$2:$W$853,0),COLUMNS($X$2:X652)),"")</f>
        <v/>
      </c>
      <c r="Z652" s="1" t="str">
        <f>IF($X652&lt;&gt;"",INDEX($P$2:$U$853,MATCH($X652,$W$2:$W$853,0),COLUMNS($X$2:Y652)),"")</f>
        <v/>
      </c>
      <c r="AA652" s="1" t="str">
        <f>IF($X652&lt;&gt;"",INDEX($P$2:$U$853,MATCH($X652,$W$2:$W$853,0),COLUMNS($X$2:Z652)),"")</f>
        <v/>
      </c>
      <c r="AB652" s="1" t="str">
        <f>IF($X652&lt;&gt;"",INDEX($P$2:$U$853,MATCH($X652,$W$2:$W$853,0),COLUMNS($X$2:AA652)),"")</f>
        <v/>
      </c>
      <c r="AC652" s="1" t="str">
        <f>IF($X652&lt;&gt;"",INDEX($P$2:$U$853,MATCH($X652,$W$2:$W$853,0),COLUMNS($X$2:AB652)),"")</f>
        <v/>
      </c>
      <c r="AD652" s="1" t="str">
        <f>IF($X652&lt;&gt;"",INDEX($P$2:$U$853,MATCH($X652,$W$2:$W$853,0),COLUMNS($X$2:AC652)),"")</f>
        <v/>
      </c>
    </row>
    <row r="653" spans="1:30" x14ac:dyDescent="0.2">
      <c r="A653" s="1">
        <v>2006</v>
      </c>
      <c r="B653" s="2">
        <v>38879</v>
      </c>
      <c r="C653" s="1" t="s">
        <v>530</v>
      </c>
      <c r="D653" s="1" t="s">
        <v>270</v>
      </c>
      <c r="E653" s="1" t="s">
        <v>424</v>
      </c>
      <c r="F653" s="1" t="s">
        <v>425</v>
      </c>
      <c r="G653" s="6" t="str">
        <f>VLOOKUP(A653,WorldCups!$A$2:$B$23,2,FALSE)</f>
        <v>Germany</v>
      </c>
      <c r="H653" s="1" t="s">
        <v>426</v>
      </c>
      <c r="I653" s="1">
        <v>0</v>
      </c>
      <c r="J653" s="1">
        <v>1</v>
      </c>
      <c r="K653" s="1" t="s">
        <v>170</v>
      </c>
      <c r="L653" s="1" t="s">
        <v>14</v>
      </c>
      <c r="M653" s="1" t="str">
        <f>IF(ISNUMBER(SEARCH("Group",Table2[[#This Row],[Round]])),"Group stages",Table2[[#This Row],[Round]])</f>
        <v>Group stages</v>
      </c>
      <c r="O653" s="1">
        <f>Table2[[#This Row],[Year]]</f>
        <v>2006</v>
      </c>
      <c r="P653" s="1" t="str">
        <f>INDEX(Table2[[HomeTeam]:[Group_details]],ROWS($N$2:N653),COLUMNS($N$2:N653))</f>
        <v>Angola</v>
      </c>
      <c r="Q653" s="1">
        <f>INDEX(Table2[[HomeTeam]:[Group_details]],ROWS($N$2:O653),COLUMNS($N$2:O653))</f>
        <v>0</v>
      </c>
      <c r="R653" s="1">
        <f>INDEX(Table2[[HomeTeam]:[Group_details]],ROWS($N$2:P653),COLUMNS($N$2:P653))</f>
        <v>1</v>
      </c>
      <c r="S653" s="1" t="str">
        <f>INDEX(Table2[[HomeTeam]:[Group_details]],ROWS($N$2:Q653),COLUMNS($N$2:Q653))</f>
        <v>Portugal</v>
      </c>
      <c r="T653" s="1" t="str">
        <f>INDEX(Table2[[HomeTeam]:[Group_details]],ROWS($N$2:R653),COLUMNS($N$2:R653))</f>
        <v xml:space="preserve"> </v>
      </c>
      <c r="U653" s="1" t="str">
        <f>INDEX(Table2[[HomeTeam]:[Group_details]],ROWS($N$2:S653),COLUMNS($N$2:S653))</f>
        <v>Group stages</v>
      </c>
      <c r="V653" s="1" t="b">
        <f t="shared" si="10"/>
        <v>0</v>
      </c>
      <c r="W653" s="1" t="str">
        <f>IF(V653=TRUE,ROWS($V$2:V653),"")</f>
        <v/>
      </c>
      <c r="X653" s="1" t="str">
        <f>IFERROR(SMALL($W$2:$W$853,ROWS($W$2:W653)),"")</f>
        <v/>
      </c>
      <c r="Y653" s="1" t="str">
        <f>IF($X653&lt;&gt;"",INDEX($P$2:$U$853,MATCH($X653,$W$2:$W$853,0),COLUMNS($X$2:X653)),"")</f>
        <v/>
      </c>
      <c r="Z653" s="1" t="str">
        <f>IF($X653&lt;&gt;"",INDEX($P$2:$U$853,MATCH($X653,$W$2:$W$853,0),COLUMNS($X$2:Y653)),"")</f>
        <v/>
      </c>
      <c r="AA653" s="1" t="str">
        <f>IF($X653&lt;&gt;"",INDEX($P$2:$U$853,MATCH($X653,$W$2:$W$853,0),COLUMNS($X$2:Z653)),"")</f>
        <v/>
      </c>
      <c r="AB653" s="1" t="str">
        <f>IF($X653&lt;&gt;"",INDEX($P$2:$U$853,MATCH($X653,$W$2:$W$853,0),COLUMNS($X$2:AA653)),"")</f>
        <v/>
      </c>
      <c r="AC653" s="1" t="str">
        <f>IF($X653&lt;&gt;"",INDEX($P$2:$U$853,MATCH($X653,$W$2:$W$853,0),COLUMNS($X$2:AB653)),"")</f>
        <v/>
      </c>
      <c r="AD653" s="1" t="str">
        <f>IF($X653&lt;&gt;"",INDEX($P$2:$U$853,MATCH($X653,$W$2:$W$853,0),COLUMNS($X$2:AC653)),"")</f>
        <v/>
      </c>
    </row>
    <row r="654" spans="1:30" x14ac:dyDescent="0.2">
      <c r="A654" s="1">
        <v>2006</v>
      </c>
      <c r="B654" s="2">
        <v>38880</v>
      </c>
      <c r="C654" s="1" t="s">
        <v>500</v>
      </c>
      <c r="D654" s="1" t="s">
        <v>274</v>
      </c>
      <c r="E654" s="1" t="s">
        <v>427</v>
      </c>
      <c r="F654" s="1" t="s">
        <v>428</v>
      </c>
      <c r="G654" s="6" t="str">
        <f>VLOOKUP(A654,WorldCups!$A$2:$B$23,2,FALSE)</f>
        <v>Germany</v>
      </c>
      <c r="H654" s="1" t="s">
        <v>199</v>
      </c>
      <c r="I654" s="1">
        <v>3</v>
      </c>
      <c r="J654" s="1">
        <v>1</v>
      </c>
      <c r="K654" s="1" t="s">
        <v>356</v>
      </c>
      <c r="L654" s="1" t="s">
        <v>14</v>
      </c>
      <c r="M654" s="1" t="str">
        <f>IF(ISNUMBER(SEARCH("Group",Table2[[#This Row],[Round]])),"Group stages",Table2[[#This Row],[Round]])</f>
        <v>Group stages</v>
      </c>
      <c r="O654" s="1">
        <f>Table2[[#This Row],[Year]]</f>
        <v>2006</v>
      </c>
      <c r="P654" s="1" t="str">
        <f>INDEX(Table2[[HomeTeam]:[Group_details]],ROWS($N$2:N654),COLUMNS($N$2:N654))</f>
        <v>Australia</v>
      </c>
      <c r="Q654" s="1">
        <f>INDEX(Table2[[HomeTeam]:[Group_details]],ROWS($N$2:O654),COLUMNS($N$2:O654))</f>
        <v>3</v>
      </c>
      <c r="R654" s="1">
        <f>INDEX(Table2[[HomeTeam]:[Group_details]],ROWS($N$2:P654),COLUMNS($N$2:P654))</f>
        <v>1</v>
      </c>
      <c r="S654" s="1" t="str">
        <f>INDEX(Table2[[HomeTeam]:[Group_details]],ROWS($N$2:Q654),COLUMNS($N$2:Q654))</f>
        <v>Japan</v>
      </c>
      <c r="T654" s="1" t="str">
        <f>INDEX(Table2[[HomeTeam]:[Group_details]],ROWS($N$2:R654),COLUMNS($N$2:R654))</f>
        <v xml:space="preserve"> </v>
      </c>
      <c r="U654" s="1" t="str">
        <f>INDEX(Table2[[HomeTeam]:[Group_details]],ROWS($N$2:S654),COLUMNS($N$2:S654))</f>
        <v>Group stages</v>
      </c>
      <c r="V654" s="1" t="b">
        <f t="shared" si="10"/>
        <v>0</v>
      </c>
      <c r="W654" s="1" t="str">
        <f>IF(V654=TRUE,ROWS($V$2:V654),"")</f>
        <v/>
      </c>
      <c r="X654" s="1" t="str">
        <f>IFERROR(SMALL($W$2:$W$853,ROWS($W$2:W654)),"")</f>
        <v/>
      </c>
      <c r="Y654" s="1" t="str">
        <f>IF($X654&lt;&gt;"",INDEX($P$2:$U$853,MATCH($X654,$W$2:$W$853,0),COLUMNS($X$2:X654)),"")</f>
        <v/>
      </c>
      <c r="Z654" s="1" t="str">
        <f>IF($X654&lt;&gt;"",INDEX($P$2:$U$853,MATCH($X654,$W$2:$W$853,0),COLUMNS($X$2:Y654)),"")</f>
        <v/>
      </c>
      <c r="AA654" s="1" t="str">
        <f>IF($X654&lt;&gt;"",INDEX($P$2:$U$853,MATCH($X654,$W$2:$W$853,0),COLUMNS($X$2:Z654)),"")</f>
        <v/>
      </c>
      <c r="AB654" s="1" t="str">
        <f>IF($X654&lt;&gt;"",INDEX($P$2:$U$853,MATCH($X654,$W$2:$W$853,0),COLUMNS($X$2:AA654)),"")</f>
        <v/>
      </c>
      <c r="AC654" s="1" t="str">
        <f>IF($X654&lt;&gt;"",INDEX($P$2:$U$853,MATCH($X654,$W$2:$W$853,0),COLUMNS($X$2:AB654)),"")</f>
        <v/>
      </c>
      <c r="AD654" s="1" t="str">
        <f>IF($X654&lt;&gt;"",INDEX($P$2:$U$853,MATCH($X654,$W$2:$W$853,0),COLUMNS($X$2:AC654)),"")</f>
        <v/>
      </c>
    </row>
    <row r="655" spans="1:30" x14ac:dyDescent="0.2">
      <c r="A655" s="1">
        <v>2006</v>
      </c>
      <c r="B655" s="2">
        <v>38880</v>
      </c>
      <c r="C655" s="1" t="s">
        <v>510</v>
      </c>
      <c r="D655" s="1" t="s">
        <v>281</v>
      </c>
      <c r="E655" s="1" t="s">
        <v>413</v>
      </c>
      <c r="F655" s="1" t="s">
        <v>212</v>
      </c>
      <c r="G655" s="6" t="str">
        <f>VLOOKUP(A655,WorldCups!$A$2:$B$23,2,FALSE)</f>
        <v>Germany</v>
      </c>
      <c r="H655" s="1" t="s">
        <v>17</v>
      </c>
      <c r="I655" s="1">
        <v>0</v>
      </c>
      <c r="J655" s="1">
        <v>3</v>
      </c>
      <c r="K655" s="1" t="s">
        <v>429</v>
      </c>
      <c r="L655" s="1" t="s">
        <v>14</v>
      </c>
      <c r="M655" s="1" t="str">
        <f>IF(ISNUMBER(SEARCH("Group",Table2[[#This Row],[Round]])),"Group stages",Table2[[#This Row],[Round]])</f>
        <v>Group stages</v>
      </c>
      <c r="O655" s="1">
        <f>Table2[[#This Row],[Year]]</f>
        <v>2006</v>
      </c>
      <c r="P655" s="1" t="str">
        <f>INDEX(Table2[[HomeTeam]:[Group_details]],ROWS($N$2:N655),COLUMNS($N$2:N655))</f>
        <v>USA</v>
      </c>
      <c r="Q655" s="1">
        <f>INDEX(Table2[[HomeTeam]:[Group_details]],ROWS($N$2:O655),COLUMNS($N$2:O655))</f>
        <v>0</v>
      </c>
      <c r="R655" s="1">
        <f>INDEX(Table2[[HomeTeam]:[Group_details]],ROWS($N$2:P655),COLUMNS($N$2:P655))</f>
        <v>3</v>
      </c>
      <c r="S655" s="1" t="str">
        <f>INDEX(Table2[[HomeTeam]:[Group_details]],ROWS($N$2:Q655),COLUMNS($N$2:Q655))</f>
        <v>Czech Republic</v>
      </c>
      <c r="T655" s="1" t="str">
        <f>INDEX(Table2[[HomeTeam]:[Group_details]],ROWS($N$2:R655),COLUMNS($N$2:R655))</f>
        <v xml:space="preserve"> </v>
      </c>
      <c r="U655" s="1" t="str">
        <f>INDEX(Table2[[HomeTeam]:[Group_details]],ROWS($N$2:S655),COLUMNS($N$2:S655))</f>
        <v>Group stages</v>
      </c>
      <c r="V655" s="1" t="b">
        <f t="shared" si="10"/>
        <v>0</v>
      </c>
      <c r="W655" s="1" t="str">
        <f>IF(V655=TRUE,ROWS($V$2:V655),"")</f>
        <v/>
      </c>
      <c r="X655" s="1" t="str">
        <f>IFERROR(SMALL($W$2:$W$853,ROWS($W$2:W655)),"")</f>
        <v/>
      </c>
      <c r="Y655" s="1" t="str">
        <f>IF($X655&lt;&gt;"",INDEX($P$2:$U$853,MATCH($X655,$W$2:$W$853,0),COLUMNS($X$2:X655)),"")</f>
        <v/>
      </c>
      <c r="Z655" s="1" t="str">
        <f>IF($X655&lt;&gt;"",INDEX($P$2:$U$853,MATCH($X655,$W$2:$W$853,0),COLUMNS($X$2:Y655)),"")</f>
        <v/>
      </c>
      <c r="AA655" s="1" t="str">
        <f>IF($X655&lt;&gt;"",INDEX($P$2:$U$853,MATCH($X655,$W$2:$W$853,0),COLUMNS($X$2:Z655)),"")</f>
        <v/>
      </c>
      <c r="AB655" s="1" t="str">
        <f>IF($X655&lt;&gt;"",INDEX($P$2:$U$853,MATCH($X655,$W$2:$W$853,0),COLUMNS($X$2:AA655)),"")</f>
        <v/>
      </c>
      <c r="AC655" s="1" t="str">
        <f>IF($X655&lt;&gt;"",INDEX($P$2:$U$853,MATCH($X655,$W$2:$W$853,0),COLUMNS($X$2:AB655)),"")</f>
        <v/>
      </c>
      <c r="AD655" s="1" t="str">
        <f>IF($X655&lt;&gt;"",INDEX($P$2:$U$853,MATCH($X655,$W$2:$W$853,0),COLUMNS($X$2:AC655)),"")</f>
        <v/>
      </c>
    </row>
    <row r="656" spans="1:30" x14ac:dyDescent="0.2">
      <c r="A656" s="1">
        <v>2006</v>
      </c>
      <c r="B656" s="2">
        <v>38880</v>
      </c>
      <c r="C656" s="1" t="s">
        <v>530</v>
      </c>
      <c r="D656" s="1" t="s">
        <v>281</v>
      </c>
      <c r="E656" s="1" t="s">
        <v>430</v>
      </c>
      <c r="F656" s="1" t="s">
        <v>204</v>
      </c>
      <c r="G656" s="6" t="str">
        <f>VLOOKUP(A656,WorldCups!$A$2:$B$23,2,FALSE)</f>
        <v>Germany</v>
      </c>
      <c r="H656" s="1" t="s">
        <v>57</v>
      </c>
      <c r="I656" s="1">
        <v>2</v>
      </c>
      <c r="J656" s="1">
        <v>0</v>
      </c>
      <c r="K656" s="1" t="s">
        <v>431</v>
      </c>
      <c r="L656" s="1" t="s">
        <v>14</v>
      </c>
      <c r="M656" s="1" t="str">
        <f>IF(ISNUMBER(SEARCH("Group",Table2[[#This Row],[Round]])),"Group stages",Table2[[#This Row],[Round]])</f>
        <v>Group stages</v>
      </c>
      <c r="O656" s="1">
        <f>Table2[[#This Row],[Year]]</f>
        <v>2006</v>
      </c>
      <c r="P656" s="1" t="str">
        <f>INDEX(Table2[[HomeTeam]:[Group_details]],ROWS($N$2:N656),COLUMNS($N$2:N656))</f>
        <v>Italy</v>
      </c>
      <c r="Q656" s="1">
        <f>INDEX(Table2[[HomeTeam]:[Group_details]],ROWS($N$2:O656),COLUMNS($N$2:O656))</f>
        <v>2</v>
      </c>
      <c r="R656" s="1">
        <f>INDEX(Table2[[HomeTeam]:[Group_details]],ROWS($N$2:P656),COLUMNS($N$2:P656))</f>
        <v>0</v>
      </c>
      <c r="S656" s="1" t="str">
        <f>INDEX(Table2[[HomeTeam]:[Group_details]],ROWS($N$2:Q656),COLUMNS($N$2:Q656))</f>
        <v>Ghana</v>
      </c>
      <c r="T656" s="1" t="str">
        <f>INDEX(Table2[[HomeTeam]:[Group_details]],ROWS($N$2:R656),COLUMNS($N$2:R656))</f>
        <v xml:space="preserve"> </v>
      </c>
      <c r="U656" s="1" t="str">
        <f>INDEX(Table2[[HomeTeam]:[Group_details]],ROWS($N$2:S656),COLUMNS($N$2:S656))</f>
        <v>Group stages</v>
      </c>
      <c r="V656" s="1" t="b">
        <f t="shared" si="10"/>
        <v>0</v>
      </c>
      <c r="W656" s="1" t="str">
        <f>IF(V656=TRUE,ROWS($V$2:V656),"")</f>
        <v/>
      </c>
      <c r="X656" s="1" t="str">
        <f>IFERROR(SMALL($W$2:$W$853,ROWS($W$2:W656)),"")</f>
        <v/>
      </c>
      <c r="Y656" s="1" t="str">
        <f>IF($X656&lt;&gt;"",INDEX($P$2:$U$853,MATCH($X656,$W$2:$W$853,0),COLUMNS($X$2:X656)),"")</f>
        <v/>
      </c>
      <c r="Z656" s="1" t="str">
        <f>IF($X656&lt;&gt;"",INDEX($P$2:$U$853,MATCH($X656,$W$2:$W$853,0),COLUMNS($X$2:Y656)),"")</f>
        <v/>
      </c>
      <c r="AA656" s="1" t="str">
        <f>IF($X656&lt;&gt;"",INDEX($P$2:$U$853,MATCH($X656,$W$2:$W$853,0),COLUMNS($X$2:Z656)),"")</f>
        <v/>
      </c>
      <c r="AB656" s="1" t="str">
        <f>IF($X656&lt;&gt;"",INDEX($P$2:$U$853,MATCH($X656,$W$2:$W$853,0),COLUMNS($X$2:AA656)),"")</f>
        <v/>
      </c>
      <c r="AC656" s="1" t="str">
        <f>IF($X656&lt;&gt;"",INDEX($P$2:$U$853,MATCH($X656,$W$2:$W$853,0),COLUMNS($X$2:AB656)),"")</f>
        <v/>
      </c>
      <c r="AD656" s="1" t="str">
        <f>IF($X656&lt;&gt;"",INDEX($P$2:$U$853,MATCH($X656,$W$2:$W$853,0),COLUMNS($X$2:AC656)),"")</f>
        <v/>
      </c>
    </row>
    <row r="657" spans="1:30" x14ac:dyDescent="0.2">
      <c r="A657" s="1">
        <v>2006</v>
      </c>
      <c r="B657" s="2">
        <v>38881</v>
      </c>
      <c r="C657" s="1" t="s">
        <v>500</v>
      </c>
      <c r="D657" s="1" t="s">
        <v>361</v>
      </c>
      <c r="E657" s="1" t="s">
        <v>414</v>
      </c>
      <c r="F657" s="1" t="s">
        <v>193</v>
      </c>
      <c r="G657" s="6" t="str">
        <f>VLOOKUP(A657,WorldCups!$A$2:$B$23,2,FALSE)</f>
        <v>Germany</v>
      </c>
      <c r="H657" s="1" t="s">
        <v>116</v>
      </c>
      <c r="I657" s="1">
        <v>2</v>
      </c>
      <c r="J657" s="1">
        <v>1</v>
      </c>
      <c r="K657" s="1" t="s">
        <v>432</v>
      </c>
      <c r="L657" s="1" t="s">
        <v>14</v>
      </c>
      <c r="M657" s="1" t="str">
        <f>IF(ISNUMBER(SEARCH("Group",Table2[[#This Row],[Round]])),"Group stages",Table2[[#This Row],[Round]])</f>
        <v>Group stages</v>
      </c>
      <c r="O657" s="1">
        <f>Table2[[#This Row],[Year]]</f>
        <v>2006</v>
      </c>
      <c r="P657" s="1" t="str">
        <f>INDEX(Table2[[HomeTeam]:[Group_details]],ROWS($N$2:N657),COLUMNS($N$2:N657))</f>
        <v>Korea Republic</v>
      </c>
      <c r="Q657" s="1">
        <f>INDEX(Table2[[HomeTeam]:[Group_details]],ROWS($N$2:O657),COLUMNS($N$2:O657))</f>
        <v>2</v>
      </c>
      <c r="R657" s="1">
        <f>INDEX(Table2[[HomeTeam]:[Group_details]],ROWS($N$2:P657),COLUMNS($N$2:P657))</f>
        <v>1</v>
      </c>
      <c r="S657" s="1" t="str">
        <f>INDEX(Table2[[HomeTeam]:[Group_details]],ROWS($N$2:Q657),COLUMNS($N$2:Q657))</f>
        <v>Togo</v>
      </c>
      <c r="T657" s="1" t="str">
        <f>INDEX(Table2[[HomeTeam]:[Group_details]],ROWS($N$2:R657),COLUMNS($N$2:R657))</f>
        <v xml:space="preserve"> </v>
      </c>
      <c r="U657" s="1" t="str">
        <f>INDEX(Table2[[HomeTeam]:[Group_details]],ROWS($N$2:S657),COLUMNS($N$2:S657))</f>
        <v>Group stages</v>
      </c>
      <c r="V657" s="1" t="b">
        <f t="shared" si="10"/>
        <v>0</v>
      </c>
      <c r="W657" s="1" t="str">
        <f>IF(V657=TRUE,ROWS($V$2:V657),"")</f>
        <v/>
      </c>
      <c r="X657" s="1" t="str">
        <f>IFERROR(SMALL($W$2:$W$853,ROWS($W$2:W657)),"")</f>
        <v/>
      </c>
      <c r="Y657" s="1" t="str">
        <f>IF($X657&lt;&gt;"",INDEX($P$2:$U$853,MATCH($X657,$W$2:$W$853,0),COLUMNS($X$2:X657)),"")</f>
        <v/>
      </c>
      <c r="Z657" s="1" t="str">
        <f>IF($X657&lt;&gt;"",INDEX($P$2:$U$853,MATCH($X657,$W$2:$W$853,0),COLUMNS($X$2:Y657)),"")</f>
        <v/>
      </c>
      <c r="AA657" s="1" t="str">
        <f>IF($X657&lt;&gt;"",INDEX($P$2:$U$853,MATCH($X657,$W$2:$W$853,0),COLUMNS($X$2:Z657)),"")</f>
        <v/>
      </c>
      <c r="AB657" s="1" t="str">
        <f>IF($X657&lt;&gt;"",INDEX($P$2:$U$853,MATCH($X657,$W$2:$W$853,0),COLUMNS($X$2:AA657)),"")</f>
        <v/>
      </c>
      <c r="AC657" s="1" t="str">
        <f>IF($X657&lt;&gt;"",INDEX($P$2:$U$853,MATCH($X657,$W$2:$W$853,0),COLUMNS($X$2:AB657)),"")</f>
        <v/>
      </c>
      <c r="AD657" s="1" t="str">
        <f>IF($X657&lt;&gt;"",INDEX($P$2:$U$853,MATCH($X657,$W$2:$W$853,0),COLUMNS($X$2:AC657)),"")</f>
        <v/>
      </c>
    </row>
    <row r="658" spans="1:30" x14ac:dyDescent="0.2">
      <c r="A658" s="1">
        <v>2006</v>
      </c>
      <c r="B658" s="2">
        <v>38881</v>
      </c>
      <c r="C658" s="1" t="s">
        <v>510</v>
      </c>
      <c r="D658" s="1" t="s">
        <v>361</v>
      </c>
      <c r="E658" s="1" t="s">
        <v>433</v>
      </c>
      <c r="F658" s="1" t="s">
        <v>210</v>
      </c>
      <c r="G658" s="6" t="str">
        <f>VLOOKUP(A658,WorldCups!$A$2:$B$23,2,FALSE)</f>
        <v>Germany</v>
      </c>
      <c r="H658" s="1" t="s">
        <v>12</v>
      </c>
      <c r="I658" s="1">
        <v>0</v>
      </c>
      <c r="J658" s="1">
        <v>0</v>
      </c>
      <c r="K658" s="1" t="s">
        <v>44</v>
      </c>
      <c r="L658" s="1" t="s">
        <v>14</v>
      </c>
      <c r="M658" s="1" t="str">
        <f>IF(ISNUMBER(SEARCH("Group",Table2[[#This Row],[Round]])),"Group stages",Table2[[#This Row],[Round]])</f>
        <v>Group stages</v>
      </c>
      <c r="O658" s="1">
        <f>Table2[[#This Row],[Year]]</f>
        <v>2006</v>
      </c>
      <c r="P658" s="1" t="str">
        <f>INDEX(Table2[[HomeTeam]:[Group_details]],ROWS($N$2:N658),COLUMNS($N$2:N658))</f>
        <v>France</v>
      </c>
      <c r="Q658" s="1">
        <f>INDEX(Table2[[HomeTeam]:[Group_details]],ROWS($N$2:O658),COLUMNS($N$2:O658))</f>
        <v>0</v>
      </c>
      <c r="R658" s="1">
        <f>INDEX(Table2[[HomeTeam]:[Group_details]],ROWS($N$2:P658),COLUMNS($N$2:P658))</f>
        <v>0</v>
      </c>
      <c r="S658" s="1" t="str">
        <f>INDEX(Table2[[HomeTeam]:[Group_details]],ROWS($N$2:Q658),COLUMNS($N$2:Q658))</f>
        <v>Switzerland</v>
      </c>
      <c r="T658" s="1" t="str">
        <f>INDEX(Table2[[HomeTeam]:[Group_details]],ROWS($N$2:R658),COLUMNS($N$2:R658))</f>
        <v xml:space="preserve"> </v>
      </c>
      <c r="U658" s="1" t="str">
        <f>INDEX(Table2[[HomeTeam]:[Group_details]],ROWS($N$2:S658),COLUMNS($N$2:S658))</f>
        <v>Group stages</v>
      </c>
      <c r="V658" s="1" t="b">
        <f t="shared" si="10"/>
        <v>0</v>
      </c>
      <c r="W658" s="1" t="str">
        <f>IF(V658=TRUE,ROWS($V$2:V658),"")</f>
        <v/>
      </c>
      <c r="X658" s="1" t="str">
        <f>IFERROR(SMALL($W$2:$W$853,ROWS($W$2:W658)),"")</f>
        <v/>
      </c>
      <c r="Y658" s="1" t="str">
        <f>IF($X658&lt;&gt;"",INDEX($P$2:$U$853,MATCH($X658,$W$2:$W$853,0),COLUMNS($X$2:X658)),"")</f>
        <v/>
      </c>
      <c r="Z658" s="1" t="str">
        <f>IF($X658&lt;&gt;"",INDEX($P$2:$U$853,MATCH($X658,$W$2:$W$853,0),COLUMNS($X$2:Y658)),"")</f>
        <v/>
      </c>
      <c r="AA658" s="1" t="str">
        <f>IF($X658&lt;&gt;"",INDEX($P$2:$U$853,MATCH($X658,$W$2:$W$853,0),COLUMNS($X$2:Z658)),"")</f>
        <v/>
      </c>
      <c r="AB658" s="1" t="str">
        <f>IF($X658&lt;&gt;"",INDEX($P$2:$U$853,MATCH($X658,$W$2:$W$853,0),COLUMNS($X$2:AA658)),"")</f>
        <v/>
      </c>
      <c r="AC658" s="1" t="str">
        <f>IF($X658&lt;&gt;"",INDEX($P$2:$U$853,MATCH($X658,$W$2:$W$853,0),COLUMNS($X$2:AB658)),"")</f>
        <v/>
      </c>
      <c r="AD658" s="1" t="str">
        <f>IF($X658&lt;&gt;"",INDEX($P$2:$U$853,MATCH($X658,$W$2:$W$853,0),COLUMNS($X$2:AC658)),"")</f>
        <v/>
      </c>
    </row>
    <row r="659" spans="1:30" x14ac:dyDescent="0.2">
      <c r="A659" s="1">
        <v>2006</v>
      </c>
      <c r="B659" s="2">
        <v>38881</v>
      </c>
      <c r="C659" s="1" t="s">
        <v>530</v>
      </c>
      <c r="D659" s="1" t="s">
        <v>274</v>
      </c>
      <c r="E659" s="1" t="s">
        <v>194</v>
      </c>
      <c r="F659" s="1" t="s">
        <v>434</v>
      </c>
      <c r="G659" s="6" t="str">
        <f>VLOOKUP(A659,WorldCups!$A$2:$B$23,2,FALSE)</f>
        <v>Germany</v>
      </c>
      <c r="H659" s="1" t="s">
        <v>21</v>
      </c>
      <c r="I659" s="1">
        <v>1</v>
      </c>
      <c r="J659" s="1">
        <v>0</v>
      </c>
      <c r="K659" s="1" t="s">
        <v>360</v>
      </c>
      <c r="L659" s="1" t="s">
        <v>14</v>
      </c>
      <c r="M659" s="1" t="str">
        <f>IF(ISNUMBER(SEARCH("Group",Table2[[#This Row],[Round]])),"Group stages",Table2[[#This Row],[Round]])</f>
        <v>Group stages</v>
      </c>
      <c r="O659" s="1">
        <f>Table2[[#This Row],[Year]]</f>
        <v>2006</v>
      </c>
      <c r="P659" s="1" t="str">
        <f>INDEX(Table2[[HomeTeam]:[Group_details]],ROWS($N$2:N659),COLUMNS($N$2:N659))</f>
        <v>Brazil</v>
      </c>
      <c r="Q659" s="1">
        <f>INDEX(Table2[[HomeTeam]:[Group_details]],ROWS($N$2:O659),COLUMNS($N$2:O659))</f>
        <v>1</v>
      </c>
      <c r="R659" s="1">
        <f>INDEX(Table2[[HomeTeam]:[Group_details]],ROWS($N$2:P659),COLUMNS($N$2:P659))</f>
        <v>0</v>
      </c>
      <c r="S659" s="1" t="str">
        <f>INDEX(Table2[[HomeTeam]:[Group_details]],ROWS($N$2:Q659),COLUMNS($N$2:Q659))</f>
        <v>Croatia</v>
      </c>
      <c r="T659" s="1" t="str">
        <f>INDEX(Table2[[HomeTeam]:[Group_details]],ROWS($N$2:R659),COLUMNS($N$2:R659))</f>
        <v xml:space="preserve"> </v>
      </c>
      <c r="U659" s="1" t="str">
        <f>INDEX(Table2[[HomeTeam]:[Group_details]],ROWS($N$2:S659),COLUMNS($N$2:S659))</f>
        <v>Group stages</v>
      </c>
      <c r="V659" s="1" t="b">
        <f t="shared" si="10"/>
        <v>0</v>
      </c>
      <c r="W659" s="1" t="str">
        <f>IF(V659=TRUE,ROWS($V$2:V659),"")</f>
        <v/>
      </c>
      <c r="X659" s="1" t="str">
        <f>IFERROR(SMALL($W$2:$W$853,ROWS($W$2:W659)),"")</f>
        <v/>
      </c>
      <c r="Y659" s="1" t="str">
        <f>IF($X659&lt;&gt;"",INDEX($P$2:$U$853,MATCH($X659,$W$2:$W$853,0),COLUMNS($X$2:X659)),"")</f>
        <v/>
      </c>
      <c r="Z659" s="1" t="str">
        <f>IF($X659&lt;&gt;"",INDEX($P$2:$U$853,MATCH($X659,$W$2:$W$853,0),COLUMNS($X$2:Y659)),"")</f>
        <v/>
      </c>
      <c r="AA659" s="1" t="str">
        <f>IF($X659&lt;&gt;"",INDEX($P$2:$U$853,MATCH($X659,$W$2:$W$853,0),COLUMNS($X$2:Z659)),"")</f>
        <v/>
      </c>
      <c r="AB659" s="1" t="str">
        <f>IF($X659&lt;&gt;"",INDEX($P$2:$U$853,MATCH($X659,$W$2:$W$853,0),COLUMNS($X$2:AA659)),"")</f>
        <v/>
      </c>
      <c r="AC659" s="1" t="str">
        <f>IF($X659&lt;&gt;"",INDEX($P$2:$U$853,MATCH($X659,$W$2:$W$853,0),COLUMNS($X$2:AB659)),"")</f>
        <v/>
      </c>
      <c r="AD659" s="1" t="str">
        <f>IF($X659&lt;&gt;"",INDEX($P$2:$U$853,MATCH($X659,$W$2:$W$853,0),COLUMNS($X$2:AC659)),"")</f>
        <v/>
      </c>
    </row>
    <row r="660" spans="1:30" x14ac:dyDescent="0.2">
      <c r="A660" s="1">
        <v>2006</v>
      </c>
      <c r="B660" s="2">
        <v>38882</v>
      </c>
      <c r="C660" s="1" t="s">
        <v>500</v>
      </c>
      <c r="D660" s="1" t="s">
        <v>355</v>
      </c>
      <c r="E660" s="1" t="s">
        <v>419</v>
      </c>
      <c r="F660" s="1" t="s">
        <v>420</v>
      </c>
      <c r="G660" s="6" t="str">
        <f>VLOOKUP(A660,WorldCups!$A$2:$B$23,2,FALSE)</f>
        <v>Germany</v>
      </c>
      <c r="H660" s="1" t="s">
        <v>54</v>
      </c>
      <c r="I660" s="1">
        <v>4</v>
      </c>
      <c r="J660" s="1">
        <v>0</v>
      </c>
      <c r="K660" s="1" t="s">
        <v>435</v>
      </c>
      <c r="L660" s="1" t="s">
        <v>14</v>
      </c>
      <c r="M660" s="1" t="str">
        <f>IF(ISNUMBER(SEARCH("Group",Table2[[#This Row],[Round]])),"Group stages",Table2[[#This Row],[Round]])</f>
        <v>Group stages</v>
      </c>
      <c r="O660" s="1">
        <f>Table2[[#This Row],[Year]]</f>
        <v>2006</v>
      </c>
      <c r="P660" s="1" t="str">
        <f>INDEX(Table2[[HomeTeam]:[Group_details]],ROWS($N$2:N660),COLUMNS($N$2:N660))</f>
        <v>Spain</v>
      </c>
      <c r="Q660" s="1">
        <f>INDEX(Table2[[HomeTeam]:[Group_details]],ROWS($N$2:O660),COLUMNS($N$2:O660))</f>
        <v>4</v>
      </c>
      <c r="R660" s="1">
        <f>INDEX(Table2[[HomeTeam]:[Group_details]],ROWS($N$2:P660),COLUMNS($N$2:P660))</f>
        <v>0</v>
      </c>
      <c r="S660" s="1" t="str">
        <f>INDEX(Table2[[HomeTeam]:[Group_details]],ROWS($N$2:Q660),COLUMNS($N$2:Q660))</f>
        <v>Ukraine</v>
      </c>
      <c r="T660" s="1" t="str">
        <f>INDEX(Table2[[HomeTeam]:[Group_details]],ROWS($N$2:R660),COLUMNS($N$2:R660))</f>
        <v xml:space="preserve"> </v>
      </c>
      <c r="U660" s="1" t="str">
        <f>INDEX(Table2[[HomeTeam]:[Group_details]],ROWS($N$2:S660),COLUMNS($N$2:S660))</f>
        <v>Group stages</v>
      </c>
      <c r="V660" s="1" t="b">
        <f t="shared" si="10"/>
        <v>0</v>
      </c>
      <c r="W660" s="1" t="str">
        <f>IF(V660=TRUE,ROWS($V$2:V660),"")</f>
        <v/>
      </c>
      <c r="X660" s="1" t="str">
        <f>IFERROR(SMALL($W$2:$W$853,ROWS($W$2:W660)),"")</f>
        <v/>
      </c>
      <c r="Y660" s="1" t="str">
        <f>IF($X660&lt;&gt;"",INDEX($P$2:$U$853,MATCH($X660,$W$2:$W$853,0),COLUMNS($X$2:X660)),"")</f>
        <v/>
      </c>
      <c r="Z660" s="1" t="str">
        <f>IF($X660&lt;&gt;"",INDEX($P$2:$U$853,MATCH($X660,$W$2:$W$853,0),COLUMNS($X$2:Y660)),"")</f>
        <v/>
      </c>
      <c r="AA660" s="1" t="str">
        <f>IF($X660&lt;&gt;"",INDEX($P$2:$U$853,MATCH($X660,$W$2:$W$853,0),COLUMNS($X$2:Z660)),"")</f>
        <v/>
      </c>
      <c r="AB660" s="1" t="str">
        <f>IF($X660&lt;&gt;"",INDEX($P$2:$U$853,MATCH($X660,$W$2:$W$853,0),COLUMNS($X$2:AA660)),"")</f>
        <v/>
      </c>
      <c r="AC660" s="1" t="str">
        <f>IF($X660&lt;&gt;"",INDEX($P$2:$U$853,MATCH($X660,$W$2:$W$853,0),COLUMNS($X$2:AB660)),"")</f>
        <v/>
      </c>
      <c r="AD660" s="1" t="str">
        <f>IF($X660&lt;&gt;"",INDEX($P$2:$U$853,MATCH($X660,$W$2:$W$853,0),COLUMNS($X$2:AC660)),"")</f>
        <v/>
      </c>
    </row>
    <row r="661" spans="1:30" x14ac:dyDescent="0.2">
      <c r="A661" s="1">
        <v>2006</v>
      </c>
      <c r="B661" s="2">
        <v>38882</v>
      </c>
      <c r="C661" s="1" t="s">
        <v>510</v>
      </c>
      <c r="D661" s="1" t="s">
        <v>355</v>
      </c>
      <c r="E661" s="1" t="s">
        <v>412</v>
      </c>
      <c r="F661" s="1" t="s">
        <v>207</v>
      </c>
      <c r="G661" s="6" t="str">
        <f>VLOOKUP(A661,WorldCups!$A$2:$B$23,2,FALSE)</f>
        <v>Germany</v>
      </c>
      <c r="H661" s="1" t="s">
        <v>221</v>
      </c>
      <c r="I661" s="1">
        <v>2</v>
      </c>
      <c r="J661" s="1">
        <v>2</v>
      </c>
      <c r="K661" s="1" t="s">
        <v>333</v>
      </c>
      <c r="L661" s="1" t="s">
        <v>14</v>
      </c>
      <c r="M661" s="1" t="str">
        <f>IF(ISNUMBER(SEARCH("Group",Table2[[#This Row],[Round]])),"Group stages",Table2[[#This Row],[Round]])</f>
        <v>Group stages</v>
      </c>
      <c r="O661" s="1">
        <f>Table2[[#This Row],[Year]]</f>
        <v>2006</v>
      </c>
      <c r="P661" s="1" t="str">
        <f>INDEX(Table2[[HomeTeam]:[Group_details]],ROWS($N$2:N661),COLUMNS($N$2:N661))</f>
        <v>Tunisia</v>
      </c>
      <c r="Q661" s="1">
        <f>INDEX(Table2[[HomeTeam]:[Group_details]],ROWS($N$2:O661),COLUMNS($N$2:O661))</f>
        <v>2</v>
      </c>
      <c r="R661" s="1">
        <f>INDEX(Table2[[HomeTeam]:[Group_details]],ROWS($N$2:P661),COLUMNS($N$2:P661))</f>
        <v>2</v>
      </c>
      <c r="S661" s="1" t="str">
        <f>INDEX(Table2[[HomeTeam]:[Group_details]],ROWS($N$2:Q661),COLUMNS($N$2:Q661))</f>
        <v>Saudi Arabia</v>
      </c>
      <c r="T661" s="1" t="str">
        <f>INDEX(Table2[[HomeTeam]:[Group_details]],ROWS($N$2:R661),COLUMNS($N$2:R661))</f>
        <v xml:space="preserve"> </v>
      </c>
      <c r="U661" s="1" t="str">
        <f>INDEX(Table2[[HomeTeam]:[Group_details]],ROWS($N$2:S661),COLUMNS($N$2:S661))</f>
        <v>Group stages</v>
      </c>
      <c r="V661" s="1" t="b">
        <f t="shared" si="10"/>
        <v>0</v>
      </c>
      <c r="W661" s="1" t="str">
        <f>IF(V661=TRUE,ROWS($V$2:V661),"")</f>
        <v/>
      </c>
      <c r="X661" s="1" t="str">
        <f>IFERROR(SMALL($W$2:$W$853,ROWS($W$2:W661)),"")</f>
        <v/>
      </c>
      <c r="Y661" s="1" t="str">
        <f>IF($X661&lt;&gt;"",INDEX($P$2:$U$853,MATCH($X661,$W$2:$W$853,0),COLUMNS($X$2:X661)),"")</f>
        <v/>
      </c>
      <c r="Z661" s="1" t="str">
        <f>IF($X661&lt;&gt;"",INDEX($P$2:$U$853,MATCH($X661,$W$2:$W$853,0),COLUMNS($X$2:Y661)),"")</f>
        <v/>
      </c>
      <c r="AA661" s="1" t="str">
        <f>IF($X661&lt;&gt;"",INDEX($P$2:$U$853,MATCH($X661,$W$2:$W$853,0),COLUMNS($X$2:Z661)),"")</f>
        <v/>
      </c>
      <c r="AB661" s="1" t="str">
        <f>IF($X661&lt;&gt;"",INDEX($P$2:$U$853,MATCH($X661,$W$2:$W$853,0),COLUMNS($X$2:AA661)),"")</f>
        <v/>
      </c>
      <c r="AC661" s="1" t="str">
        <f>IF($X661&lt;&gt;"",INDEX($P$2:$U$853,MATCH($X661,$W$2:$W$853,0),COLUMNS($X$2:AB661)),"")</f>
        <v/>
      </c>
      <c r="AD661" s="1" t="str">
        <f>IF($X661&lt;&gt;"",INDEX($P$2:$U$853,MATCH($X661,$W$2:$W$853,0),COLUMNS($X$2:AC661)),"")</f>
        <v/>
      </c>
    </row>
    <row r="662" spans="1:30" x14ac:dyDescent="0.2">
      <c r="A662" s="1">
        <v>2006</v>
      </c>
      <c r="B662" s="2">
        <v>38882</v>
      </c>
      <c r="C662" s="1" t="s">
        <v>530</v>
      </c>
      <c r="D662" s="1" t="s">
        <v>214</v>
      </c>
      <c r="E662" s="1" t="s">
        <v>415</v>
      </c>
      <c r="F662" s="1" t="s">
        <v>201</v>
      </c>
      <c r="G662" s="6" t="str">
        <f>VLOOKUP(A662,WorldCups!$A$2:$B$23,2,FALSE)</f>
        <v>Germany</v>
      </c>
      <c r="H662" s="1" t="s">
        <v>51</v>
      </c>
      <c r="I662" s="1">
        <v>1</v>
      </c>
      <c r="J662" s="1">
        <v>0</v>
      </c>
      <c r="K662" s="1" t="s">
        <v>80</v>
      </c>
      <c r="L662" s="1" t="s">
        <v>14</v>
      </c>
      <c r="M662" s="1" t="str">
        <f>IF(ISNUMBER(SEARCH("Group",Table2[[#This Row],[Round]])),"Group stages",Table2[[#This Row],[Round]])</f>
        <v>Group stages</v>
      </c>
      <c r="O662" s="1">
        <f>Table2[[#This Row],[Year]]</f>
        <v>2006</v>
      </c>
      <c r="P662" s="1" t="str">
        <f>INDEX(Table2[[HomeTeam]:[Group_details]],ROWS($N$2:N662),COLUMNS($N$2:N662))</f>
        <v>Germany</v>
      </c>
      <c r="Q662" s="1">
        <f>INDEX(Table2[[HomeTeam]:[Group_details]],ROWS($N$2:O662),COLUMNS($N$2:O662))</f>
        <v>1</v>
      </c>
      <c r="R662" s="1">
        <f>INDEX(Table2[[HomeTeam]:[Group_details]],ROWS($N$2:P662),COLUMNS($N$2:P662))</f>
        <v>0</v>
      </c>
      <c r="S662" s="1" t="str">
        <f>INDEX(Table2[[HomeTeam]:[Group_details]],ROWS($N$2:Q662),COLUMNS($N$2:Q662))</f>
        <v>Poland</v>
      </c>
      <c r="T662" s="1" t="str">
        <f>INDEX(Table2[[HomeTeam]:[Group_details]],ROWS($N$2:R662),COLUMNS($N$2:R662))</f>
        <v xml:space="preserve"> </v>
      </c>
      <c r="U662" s="1" t="str">
        <f>INDEX(Table2[[HomeTeam]:[Group_details]],ROWS($N$2:S662),COLUMNS($N$2:S662))</f>
        <v>Group stages</v>
      </c>
      <c r="V662" s="1" t="b">
        <f t="shared" si="10"/>
        <v>0</v>
      </c>
      <c r="W662" s="1" t="str">
        <f>IF(V662=TRUE,ROWS($V$2:V662),"")</f>
        <v/>
      </c>
      <c r="X662" s="1" t="str">
        <f>IFERROR(SMALL($W$2:$W$853,ROWS($W$2:W662)),"")</f>
        <v/>
      </c>
      <c r="Y662" s="1" t="str">
        <f>IF($X662&lt;&gt;"",INDEX($P$2:$U$853,MATCH($X662,$W$2:$W$853,0),COLUMNS($X$2:X662)),"")</f>
        <v/>
      </c>
      <c r="Z662" s="1" t="str">
        <f>IF($X662&lt;&gt;"",INDEX($P$2:$U$853,MATCH($X662,$W$2:$W$853,0),COLUMNS($X$2:Y662)),"")</f>
        <v/>
      </c>
      <c r="AA662" s="1" t="str">
        <f>IF($X662&lt;&gt;"",INDEX($P$2:$U$853,MATCH($X662,$W$2:$W$853,0),COLUMNS($X$2:Z662)),"")</f>
        <v/>
      </c>
      <c r="AB662" s="1" t="str">
        <f>IF($X662&lt;&gt;"",INDEX($P$2:$U$853,MATCH($X662,$W$2:$W$853,0),COLUMNS($X$2:AA662)),"")</f>
        <v/>
      </c>
      <c r="AC662" s="1" t="str">
        <f>IF($X662&lt;&gt;"",INDEX($P$2:$U$853,MATCH($X662,$W$2:$W$853,0),COLUMNS($X$2:AB662)),"")</f>
        <v/>
      </c>
      <c r="AD662" s="1" t="str">
        <f>IF($X662&lt;&gt;"",INDEX($P$2:$U$853,MATCH($X662,$W$2:$W$853,0),COLUMNS($X$2:AC662)),"")</f>
        <v/>
      </c>
    </row>
    <row r="663" spans="1:30" x14ac:dyDescent="0.2">
      <c r="A663" s="1">
        <v>2006</v>
      </c>
      <c r="B663" s="2">
        <v>38883</v>
      </c>
      <c r="C663" s="1" t="s">
        <v>500</v>
      </c>
      <c r="D663" s="1" t="s">
        <v>214</v>
      </c>
      <c r="E663" s="1" t="s">
        <v>417</v>
      </c>
      <c r="F663" s="1" t="s">
        <v>197</v>
      </c>
      <c r="G663" s="6" t="str">
        <f>VLOOKUP(A663,WorldCups!$A$2:$B$23,2,FALSE)</f>
        <v>Germany</v>
      </c>
      <c r="H663" s="1" t="s">
        <v>382</v>
      </c>
      <c r="I663" s="1">
        <v>3</v>
      </c>
      <c r="J663" s="1">
        <v>0</v>
      </c>
      <c r="K663" s="1" t="s">
        <v>301</v>
      </c>
      <c r="L663" s="1" t="s">
        <v>14</v>
      </c>
      <c r="M663" s="1" t="str">
        <f>IF(ISNUMBER(SEARCH("Group",Table2[[#This Row],[Round]])),"Group stages",Table2[[#This Row],[Round]])</f>
        <v>Group stages</v>
      </c>
      <c r="O663" s="1">
        <f>Table2[[#This Row],[Year]]</f>
        <v>2006</v>
      </c>
      <c r="P663" s="1" t="str">
        <f>INDEX(Table2[[HomeTeam]:[Group_details]],ROWS($N$2:N663),COLUMNS($N$2:N663))</f>
        <v>Ecuador</v>
      </c>
      <c r="Q663" s="1">
        <f>INDEX(Table2[[HomeTeam]:[Group_details]],ROWS($N$2:O663),COLUMNS($N$2:O663))</f>
        <v>3</v>
      </c>
      <c r="R663" s="1">
        <f>INDEX(Table2[[HomeTeam]:[Group_details]],ROWS($N$2:P663),COLUMNS($N$2:P663))</f>
        <v>0</v>
      </c>
      <c r="S663" s="1" t="str">
        <f>INDEX(Table2[[HomeTeam]:[Group_details]],ROWS($N$2:Q663),COLUMNS($N$2:Q663))</f>
        <v>Costa Rica</v>
      </c>
      <c r="T663" s="1" t="str">
        <f>INDEX(Table2[[HomeTeam]:[Group_details]],ROWS($N$2:R663),COLUMNS($N$2:R663))</f>
        <v xml:space="preserve"> </v>
      </c>
      <c r="U663" s="1" t="str">
        <f>INDEX(Table2[[HomeTeam]:[Group_details]],ROWS($N$2:S663),COLUMNS($N$2:S663))</f>
        <v>Group stages</v>
      </c>
      <c r="V663" s="1" t="b">
        <f t="shared" si="10"/>
        <v>0</v>
      </c>
      <c r="W663" s="1" t="str">
        <f>IF(V663=TRUE,ROWS($V$2:V663),"")</f>
        <v/>
      </c>
      <c r="X663" s="1" t="str">
        <f>IFERROR(SMALL($W$2:$W$853,ROWS($W$2:W663)),"")</f>
        <v/>
      </c>
      <c r="Y663" s="1" t="str">
        <f>IF($X663&lt;&gt;"",INDEX($P$2:$U$853,MATCH($X663,$W$2:$W$853,0),COLUMNS($X$2:X663)),"")</f>
        <v/>
      </c>
      <c r="Z663" s="1" t="str">
        <f>IF($X663&lt;&gt;"",INDEX($P$2:$U$853,MATCH($X663,$W$2:$W$853,0),COLUMNS($X$2:Y663)),"")</f>
        <v/>
      </c>
      <c r="AA663" s="1" t="str">
        <f>IF($X663&lt;&gt;"",INDEX($P$2:$U$853,MATCH($X663,$W$2:$W$853,0),COLUMNS($X$2:Z663)),"")</f>
        <v/>
      </c>
      <c r="AB663" s="1" t="str">
        <f>IF($X663&lt;&gt;"",INDEX($P$2:$U$853,MATCH($X663,$W$2:$W$853,0),COLUMNS($X$2:AA663)),"")</f>
        <v/>
      </c>
      <c r="AC663" s="1" t="str">
        <f>IF($X663&lt;&gt;"",INDEX($P$2:$U$853,MATCH($X663,$W$2:$W$853,0),COLUMNS($X$2:AB663)),"")</f>
        <v/>
      </c>
      <c r="AD663" s="1" t="str">
        <f>IF($X663&lt;&gt;"",INDEX($P$2:$U$853,MATCH($X663,$W$2:$W$853,0),COLUMNS($X$2:AC663)),"")</f>
        <v/>
      </c>
    </row>
    <row r="664" spans="1:30" x14ac:dyDescent="0.2">
      <c r="A664" s="1">
        <v>2006</v>
      </c>
      <c r="B664" s="2">
        <v>38883</v>
      </c>
      <c r="C664" s="1" t="s">
        <v>510</v>
      </c>
      <c r="D664" s="1" t="s">
        <v>213</v>
      </c>
      <c r="E664" s="1" t="s">
        <v>422</v>
      </c>
      <c r="F664" s="1" t="s">
        <v>423</v>
      </c>
      <c r="G664" s="6" t="str">
        <f>VLOOKUP(A664,WorldCups!$A$2:$B$23,2,FALSE)</f>
        <v>Germany</v>
      </c>
      <c r="H664" s="1" t="s">
        <v>93</v>
      </c>
      <c r="I664" s="1">
        <v>2</v>
      </c>
      <c r="J664" s="1">
        <v>0</v>
      </c>
      <c r="K664" s="1" t="s">
        <v>416</v>
      </c>
      <c r="L664" s="1" t="s">
        <v>14</v>
      </c>
      <c r="M664" s="1" t="str">
        <f>IF(ISNUMBER(SEARCH("Group",Table2[[#This Row],[Round]])),"Group stages",Table2[[#This Row],[Round]])</f>
        <v>Group stages</v>
      </c>
      <c r="O664" s="1">
        <f>Table2[[#This Row],[Year]]</f>
        <v>2006</v>
      </c>
      <c r="P664" s="1" t="str">
        <f>INDEX(Table2[[HomeTeam]:[Group_details]],ROWS($N$2:N664),COLUMNS($N$2:N664))</f>
        <v>England</v>
      </c>
      <c r="Q664" s="1">
        <f>INDEX(Table2[[HomeTeam]:[Group_details]],ROWS($N$2:O664),COLUMNS($N$2:O664))</f>
        <v>2</v>
      </c>
      <c r="R664" s="1">
        <f>INDEX(Table2[[HomeTeam]:[Group_details]],ROWS($N$2:P664),COLUMNS($N$2:P664))</f>
        <v>0</v>
      </c>
      <c r="S664" s="1" t="str">
        <f>INDEX(Table2[[HomeTeam]:[Group_details]],ROWS($N$2:Q664),COLUMNS($N$2:Q664))</f>
        <v>Trinidad and Tobago</v>
      </c>
      <c r="T664" s="1" t="str">
        <f>INDEX(Table2[[HomeTeam]:[Group_details]],ROWS($N$2:R664),COLUMNS($N$2:R664))</f>
        <v xml:space="preserve"> </v>
      </c>
      <c r="U664" s="1" t="str">
        <f>INDEX(Table2[[HomeTeam]:[Group_details]],ROWS($N$2:S664),COLUMNS($N$2:S664))</f>
        <v>Group stages</v>
      </c>
      <c r="V664" s="1" t="b">
        <f t="shared" si="10"/>
        <v>0</v>
      </c>
      <c r="W664" s="1" t="str">
        <f>IF(V664=TRUE,ROWS($V$2:V664),"")</f>
        <v/>
      </c>
      <c r="X664" s="1" t="str">
        <f>IFERROR(SMALL($W$2:$W$853,ROWS($W$2:W664)),"")</f>
        <v/>
      </c>
      <c r="Y664" s="1" t="str">
        <f>IF($X664&lt;&gt;"",INDEX($P$2:$U$853,MATCH($X664,$W$2:$W$853,0),COLUMNS($X$2:X664)),"")</f>
        <v/>
      </c>
      <c r="Z664" s="1" t="str">
        <f>IF($X664&lt;&gt;"",INDEX($P$2:$U$853,MATCH($X664,$W$2:$W$853,0),COLUMNS($X$2:Y664)),"")</f>
        <v/>
      </c>
      <c r="AA664" s="1" t="str">
        <f>IF($X664&lt;&gt;"",INDEX($P$2:$U$853,MATCH($X664,$W$2:$W$853,0),COLUMNS($X$2:Z664)),"")</f>
        <v/>
      </c>
      <c r="AB664" s="1" t="str">
        <f>IF($X664&lt;&gt;"",INDEX($P$2:$U$853,MATCH($X664,$W$2:$W$853,0),COLUMNS($X$2:AA664)),"")</f>
        <v/>
      </c>
      <c r="AC664" s="1" t="str">
        <f>IF($X664&lt;&gt;"",INDEX($P$2:$U$853,MATCH($X664,$W$2:$W$853,0),COLUMNS($X$2:AB664)),"")</f>
        <v/>
      </c>
      <c r="AD664" s="1" t="str">
        <f>IF($X664&lt;&gt;"",INDEX($P$2:$U$853,MATCH($X664,$W$2:$W$853,0),COLUMNS($X$2:AC664)),"")</f>
        <v/>
      </c>
    </row>
    <row r="665" spans="1:30" x14ac:dyDescent="0.2">
      <c r="A665" s="1">
        <v>2006</v>
      </c>
      <c r="B665" s="2">
        <v>38883</v>
      </c>
      <c r="C665" s="1" t="s">
        <v>530</v>
      </c>
      <c r="D665" s="1" t="s">
        <v>213</v>
      </c>
      <c r="E665" s="1" t="s">
        <v>194</v>
      </c>
      <c r="F665" s="1" t="s">
        <v>434</v>
      </c>
      <c r="G665" s="6" t="str">
        <f>VLOOKUP(A665,WorldCups!$A$2:$B$23,2,FALSE)</f>
        <v>Germany</v>
      </c>
      <c r="H665" s="1" t="s">
        <v>48</v>
      </c>
      <c r="I665" s="1">
        <v>1</v>
      </c>
      <c r="J665" s="1">
        <v>0</v>
      </c>
      <c r="K665" s="1" t="s">
        <v>28</v>
      </c>
      <c r="L665" s="1" t="s">
        <v>14</v>
      </c>
      <c r="M665" s="1" t="str">
        <f>IF(ISNUMBER(SEARCH("Group",Table2[[#This Row],[Round]])),"Group stages",Table2[[#This Row],[Round]])</f>
        <v>Group stages</v>
      </c>
      <c r="O665" s="1">
        <f>Table2[[#This Row],[Year]]</f>
        <v>2006</v>
      </c>
      <c r="P665" s="1" t="str">
        <f>INDEX(Table2[[HomeTeam]:[Group_details]],ROWS($N$2:N665),COLUMNS($N$2:N665))</f>
        <v>Sweden</v>
      </c>
      <c r="Q665" s="1">
        <f>INDEX(Table2[[HomeTeam]:[Group_details]],ROWS($N$2:O665),COLUMNS($N$2:O665))</f>
        <v>1</v>
      </c>
      <c r="R665" s="1">
        <f>INDEX(Table2[[HomeTeam]:[Group_details]],ROWS($N$2:P665),COLUMNS($N$2:P665))</f>
        <v>0</v>
      </c>
      <c r="S665" s="1" t="str">
        <f>INDEX(Table2[[HomeTeam]:[Group_details]],ROWS($N$2:Q665),COLUMNS($N$2:Q665))</f>
        <v>Paraguay</v>
      </c>
      <c r="T665" s="1" t="str">
        <f>INDEX(Table2[[HomeTeam]:[Group_details]],ROWS($N$2:R665),COLUMNS($N$2:R665))</f>
        <v xml:space="preserve"> </v>
      </c>
      <c r="U665" s="1" t="str">
        <f>INDEX(Table2[[HomeTeam]:[Group_details]],ROWS($N$2:S665),COLUMNS($N$2:S665))</f>
        <v>Group stages</v>
      </c>
      <c r="V665" s="1" t="b">
        <f t="shared" si="10"/>
        <v>0</v>
      </c>
      <c r="W665" s="1" t="str">
        <f>IF(V665=TRUE,ROWS($V$2:V665),"")</f>
        <v/>
      </c>
      <c r="X665" s="1" t="str">
        <f>IFERROR(SMALL($W$2:$W$853,ROWS($W$2:W665)),"")</f>
        <v/>
      </c>
      <c r="Y665" s="1" t="str">
        <f>IF($X665&lt;&gt;"",INDEX($P$2:$U$853,MATCH($X665,$W$2:$W$853,0),COLUMNS($X$2:X665)),"")</f>
        <v/>
      </c>
      <c r="Z665" s="1" t="str">
        <f>IF($X665&lt;&gt;"",INDEX($P$2:$U$853,MATCH($X665,$W$2:$W$853,0),COLUMNS($X$2:Y665)),"")</f>
        <v/>
      </c>
      <c r="AA665" s="1" t="str">
        <f>IF($X665&lt;&gt;"",INDEX($P$2:$U$853,MATCH($X665,$W$2:$W$853,0),COLUMNS($X$2:Z665)),"")</f>
        <v/>
      </c>
      <c r="AB665" s="1" t="str">
        <f>IF($X665&lt;&gt;"",INDEX($P$2:$U$853,MATCH($X665,$W$2:$W$853,0),COLUMNS($X$2:AA665)),"")</f>
        <v/>
      </c>
      <c r="AC665" s="1" t="str">
        <f>IF($X665&lt;&gt;"",INDEX($P$2:$U$853,MATCH($X665,$W$2:$W$853,0),COLUMNS($X$2:AB665)),"")</f>
        <v/>
      </c>
      <c r="AD665" s="1" t="str">
        <f>IF($X665&lt;&gt;"",INDEX($P$2:$U$853,MATCH($X665,$W$2:$W$853,0),COLUMNS($X$2:AC665)),"")</f>
        <v/>
      </c>
    </row>
    <row r="666" spans="1:30" x14ac:dyDescent="0.2">
      <c r="A666" s="1">
        <v>2006</v>
      </c>
      <c r="B666" s="2">
        <v>38884</v>
      </c>
      <c r="C666" s="1" t="s">
        <v>500</v>
      </c>
      <c r="D666" s="1" t="s">
        <v>268</v>
      </c>
      <c r="E666" s="1" t="s">
        <v>413</v>
      </c>
      <c r="F666" s="1" t="s">
        <v>212</v>
      </c>
      <c r="G666" s="6" t="str">
        <f>VLOOKUP(A666,WorldCups!$A$2:$B$23,2,FALSE)</f>
        <v>Germany</v>
      </c>
      <c r="H666" s="1" t="s">
        <v>25</v>
      </c>
      <c r="I666" s="1">
        <v>6</v>
      </c>
      <c r="J666" s="1">
        <v>0</v>
      </c>
      <c r="K666" s="1" t="s">
        <v>421</v>
      </c>
      <c r="L666" s="1" t="s">
        <v>14</v>
      </c>
      <c r="M666" s="1" t="str">
        <f>IF(ISNUMBER(SEARCH("Group",Table2[[#This Row],[Round]])),"Group stages",Table2[[#This Row],[Round]])</f>
        <v>Group stages</v>
      </c>
      <c r="O666" s="1">
        <f>Table2[[#This Row],[Year]]</f>
        <v>2006</v>
      </c>
      <c r="P666" s="1" t="str">
        <f>INDEX(Table2[[HomeTeam]:[Group_details]],ROWS($N$2:N666),COLUMNS($N$2:N666))</f>
        <v>Argentina</v>
      </c>
      <c r="Q666" s="1">
        <f>INDEX(Table2[[HomeTeam]:[Group_details]],ROWS($N$2:O666),COLUMNS($N$2:O666))</f>
        <v>6</v>
      </c>
      <c r="R666" s="1">
        <f>INDEX(Table2[[HomeTeam]:[Group_details]],ROWS($N$2:P666),COLUMNS($N$2:P666))</f>
        <v>0</v>
      </c>
      <c r="S666" s="1" t="str">
        <f>INDEX(Table2[[HomeTeam]:[Group_details]],ROWS($N$2:Q666),COLUMNS($N$2:Q666))</f>
        <v>Serbia and Montenegro</v>
      </c>
      <c r="T666" s="1" t="str">
        <f>INDEX(Table2[[HomeTeam]:[Group_details]],ROWS($N$2:R666),COLUMNS($N$2:R666))</f>
        <v xml:space="preserve"> </v>
      </c>
      <c r="U666" s="1" t="str">
        <f>INDEX(Table2[[HomeTeam]:[Group_details]],ROWS($N$2:S666),COLUMNS($N$2:S666))</f>
        <v>Group stages</v>
      </c>
      <c r="V666" s="1" t="b">
        <f t="shared" si="10"/>
        <v>0</v>
      </c>
      <c r="W666" s="1" t="str">
        <f>IF(V666=TRUE,ROWS($V$2:V666),"")</f>
        <v/>
      </c>
      <c r="X666" s="1" t="str">
        <f>IFERROR(SMALL($W$2:$W$853,ROWS($W$2:W666)),"")</f>
        <v/>
      </c>
      <c r="Y666" s="1" t="str">
        <f>IF($X666&lt;&gt;"",INDEX($P$2:$U$853,MATCH($X666,$W$2:$W$853,0),COLUMNS($X$2:X666)),"")</f>
        <v/>
      </c>
      <c r="Z666" s="1" t="str">
        <f>IF($X666&lt;&gt;"",INDEX($P$2:$U$853,MATCH($X666,$W$2:$W$853,0),COLUMNS($X$2:Y666)),"")</f>
        <v/>
      </c>
      <c r="AA666" s="1" t="str">
        <f>IF($X666&lt;&gt;"",INDEX($P$2:$U$853,MATCH($X666,$W$2:$W$853,0),COLUMNS($X$2:Z666)),"")</f>
        <v/>
      </c>
      <c r="AB666" s="1" t="str">
        <f>IF($X666&lt;&gt;"",INDEX($P$2:$U$853,MATCH($X666,$W$2:$W$853,0),COLUMNS($X$2:AA666)),"")</f>
        <v/>
      </c>
      <c r="AC666" s="1" t="str">
        <f>IF($X666&lt;&gt;"",INDEX($P$2:$U$853,MATCH($X666,$W$2:$W$853,0),COLUMNS($X$2:AB666)),"")</f>
        <v/>
      </c>
      <c r="AD666" s="1" t="str">
        <f>IF($X666&lt;&gt;"",INDEX($P$2:$U$853,MATCH($X666,$W$2:$W$853,0),COLUMNS($X$2:AC666)),"")</f>
        <v/>
      </c>
    </row>
    <row r="667" spans="1:30" x14ac:dyDescent="0.2">
      <c r="A667" s="1">
        <v>2006</v>
      </c>
      <c r="B667" s="2">
        <v>38884</v>
      </c>
      <c r="C667" s="1" t="s">
        <v>510</v>
      </c>
      <c r="D667" s="1" t="s">
        <v>268</v>
      </c>
      <c r="E667" s="1" t="s">
        <v>433</v>
      </c>
      <c r="F667" s="1" t="s">
        <v>210</v>
      </c>
      <c r="G667" s="6" t="str">
        <f>VLOOKUP(A667,WorldCups!$A$2:$B$23,2,FALSE)</f>
        <v>Germany</v>
      </c>
      <c r="H667" s="1" t="s">
        <v>45</v>
      </c>
      <c r="I667" s="1">
        <v>2</v>
      </c>
      <c r="J667" s="1">
        <v>1</v>
      </c>
      <c r="K667" s="1" t="s">
        <v>418</v>
      </c>
      <c r="L667" s="1" t="s">
        <v>14</v>
      </c>
      <c r="M667" s="1" t="str">
        <f>IF(ISNUMBER(SEARCH("Group",Table2[[#This Row],[Round]])),"Group stages",Table2[[#This Row],[Round]])</f>
        <v>Group stages</v>
      </c>
      <c r="O667" s="1">
        <f>Table2[[#This Row],[Year]]</f>
        <v>2006</v>
      </c>
      <c r="P667" s="1" t="str">
        <f>INDEX(Table2[[HomeTeam]:[Group_details]],ROWS($N$2:N667),COLUMNS($N$2:N667))</f>
        <v>Netherlands</v>
      </c>
      <c r="Q667" s="1">
        <f>INDEX(Table2[[HomeTeam]:[Group_details]],ROWS($N$2:O667),COLUMNS($N$2:O667))</f>
        <v>2</v>
      </c>
      <c r="R667" s="1">
        <f>INDEX(Table2[[HomeTeam]:[Group_details]],ROWS($N$2:P667),COLUMNS($N$2:P667))</f>
        <v>1</v>
      </c>
      <c r="S667" s="1" t="str">
        <f>INDEX(Table2[[HomeTeam]:[Group_details]],ROWS($N$2:Q667),COLUMNS($N$2:Q667))</f>
        <v>Cï¿½te d'Ivoire</v>
      </c>
      <c r="T667" s="1" t="str">
        <f>INDEX(Table2[[HomeTeam]:[Group_details]],ROWS($N$2:R667),COLUMNS($N$2:R667))</f>
        <v xml:space="preserve"> </v>
      </c>
      <c r="U667" s="1" t="str">
        <f>INDEX(Table2[[HomeTeam]:[Group_details]],ROWS($N$2:S667),COLUMNS($N$2:S667))</f>
        <v>Group stages</v>
      </c>
      <c r="V667" s="1" t="b">
        <f t="shared" si="10"/>
        <v>0</v>
      </c>
      <c r="W667" s="1" t="str">
        <f>IF(V667=TRUE,ROWS($V$2:V667),"")</f>
        <v/>
      </c>
      <c r="X667" s="1" t="str">
        <f>IFERROR(SMALL($W$2:$W$853,ROWS($W$2:W667)),"")</f>
        <v/>
      </c>
      <c r="Y667" s="1" t="str">
        <f>IF($X667&lt;&gt;"",INDEX($P$2:$U$853,MATCH($X667,$W$2:$W$853,0),COLUMNS($X$2:X667)),"")</f>
        <v/>
      </c>
      <c r="Z667" s="1" t="str">
        <f>IF($X667&lt;&gt;"",INDEX($P$2:$U$853,MATCH($X667,$W$2:$W$853,0),COLUMNS($X$2:Y667)),"")</f>
        <v/>
      </c>
      <c r="AA667" s="1" t="str">
        <f>IF($X667&lt;&gt;"",INDEX($P$2:$U$853,MATCH($X667,$W$2:$W$853,0),COLUMNS($X$2:Z667)),"")</f>
        <v/>
      </c>
      <c r="AB667" s="1" t="str">
        <f>IF($X667&lt;&gt;"",INDEX($P$2:$U$853,MATCH($X667,$W$2:$W$853,0),COLUMNS($X$2:AA667)),"")</f>
        <v/>
      </c>
      <c r="AC667" s="1" t="str">
        <f>IF($X667&lt;&gt;"",INDEX($P$2:$U$853,MATCH($X667,$W$2:$W$853,0),COLUMNS($X$2:AB667)),"")</f>
        <v/>
      </c>
      <c r="AD667" s="1" t="str">
        <f>IF($X667&lt;&gt;"",INDEX($P$2:$U$853,MATCH($X667,$W$2:$W$853,0),COLUMNS($X$2:AC667)),"")</f>
        <v/>
      </c>
    </row>
    <row r="668" spans="1:30" x14ac:dyDescent="0.2">
      <c r="A668" s="1">
        <v>2006</v>
      </c>
      <c r="B668" s="2">
        <v>38884</v>
      </c>
      <c r="C668" s="1" t="s">
        <v>530</v>
      </c>
      <c r="D668" s="1" t="s">
        <v>270</v>
      </c>
      <c r="E668" s="1" t="s">
        <v>430</v>
      </c>
      <c r="F668" s="1" t="s">
        <v>204</v>
      </c>
      <c r="G668" s="6" t="str">
        <f>VLOOKUP(A668,WorldCups!$A$2:$B$23,2,FALSE)</f>
        <v>Germany</v>
      </c>
      <c r="H668" s="1" t="s">
        <v>13</v>
      </c>
      <c r="I668" s="1">
        <v>0</v>
      </c>
      <c r="J668" s="1">
        <v>0</v>
      </c>
      <c r="K668" s="1" t="s">
        <v>426</v>
      </c>
      <c r="L668" s="1" t="s">
        <v>14</v>
      </c>
      <c r="M668" s="1" t="str">
        <f>IF(ISNUMBER(SEARCH("Group",Table2[[#This Row],[Round]])),"Group stages",Table2[[#This Row],[Round]])</f>
        <v>Group stages</v>
      </c>
      <c r="O668" s="1">
        <f>Table2[[#This Row],[Year]]</f>
        <v>2006</v>
      </c>
      <c r="P668" s="1" t="str">
        <f>INDEX(Table2[[HomeTeam]:[Group_details]],ROWS($N$2:N668),COLUMNS($N$2:N668))</f>
        <v>Mexico</v>
      </c>
      <c r="Q668" s="1">
        <f>INDEX(Table2[[HomeTeam]:[Group_details]],ROWS($N$2:O668),COLUMNS($N$2:O668))</f>
        <v>0</v>
      </c>
      <c r="R668" s="1">
        <f>INDEX(Table2[[HomeTeam]:[Group_details]],ROWS($N$2:P668),COLUMNS($N$2:P668))</f>
        <v>0</v>
      </c>
      <c r="S668" s="1" t="str">
        <f>INDEX(Table2[[HomeTeam]:[Group_details]],ROWS($N$2:Q668),COLUMNS($N$2:Q668))</f>
        <v>Angola</v>
      </c>
      <c r="T668" s="1" t="str">
        <f>INDEX(Table2[[HomeTeam]:[Group_details]],ROWS($N$2:R668),COLUMNS($N$2:R668))</f>
        <v xml:space="preserve"> </v>
      </c>
      <c r="U668" s="1" t="str">
        <f>INDEX(Table2[[HomeTeam]:[Group_details]],ROWS($N$2:S668),COLUMNS($N$2:S668))</f>
        <v>Group stages</v>
      </c>
      <c r="V668" s="1" t="b">
        <f t="shared" si="10"/>
        <v>0</v>
      </c>
      <c r="W668" s="1" t="str">
        <f>IF(V668=TRUE,ROWS($V$2:V668),"")</f>
        <v/>
      </c>
      <c r="X668" s="1" t="str">
        <f>IFERROR(SMALL($W$2:$W$853,ROWS($W$2:W668)),"")</f>
        <v/>
      </c>
      <c r="Y668" s="1" t="str">
        <f>IF($X668&lt;&gt;"",INDEX($P$2:$U$853,MATCH($X668,$W$2:$W$853,0),COLUMNS($X$2:X668)),"")</f>
        <v/>
      </c>
      <c r="Z668" s="1" t="str">
        <f>IF($X668&lt;&gt;"",INDEX($P$2:$U$853,MATCH($X668,$W$2:$W$853,0),COLUMNS($X$2:Y668)),"")</f>
        <v/>
      </c>
      <c r="AA668" s="1" t="str">
        <f>IF($X668&lt;&gt;"",INDEX($P$2:$U$853,MATCH($X668,$W$2:$W$853,0),COLUMNS($X$2:Z668)),"")</f>
        <v/>
      </c>
      <c r="AB668" s="1" t="str">
        <f>IF($X668&lt;&gt;"",INDEX($P$2:$U$853,MATCH($X668,$W$2:$W$853,0),COLUMNS($X$2:AA668)),"")</f>
        <v/>
      </c>
      <c r="AC668" s="1" t="str">
        <f>IF($X668&lt;&gt;"",INDEX($P$2:$U$853,MATCH($X668,$W$2:$W$853,0),COLUMNS($X$2:AB668)),"")</f>
        <v/>
      </c>
      <c r="AD668" s="1" t="str">
        <f>IF($X668&lt;&gt;"",INDEX($P$2:$U$853,MATCH($X668,$W$2:$W$853,0),COLUMNS($X$2:AC668)),"")</f>
        <v/>
      </c>
    </row>
    <row r="669" spans="1:30" x14ac:dyDescent="0.2">
      <c r="A669" s="1">
        <v>2006</v>
      </c>
      <c r="B669" s="2">
        <v>38885</v>
      </c>
      <c r="C669" s="1" t="s">
        <v>500</v>
      </c>
      <c r="D669" s="1" t="s">
        <v>270</v>
      </c>
      <c r="E669" s="1" t="s">
        <v>414</v>
      </c>
      <c r="F669" s="1" t="s">
        <v>193</v>
      </c>
      <c r="G669" s="6" t="str">
        <f>VLOOKUP(A669,WorldCups!$A$2:$B$23,2,FALSE)</f>
        <v>Germany</v>
      </c>
      <c r="H669" s="1" t="s">
        <v>170</v>
      </c>
      <c r="I669" s="1">
        <v>2</v>
      </c>
      <c r="J669" s="1">
        <v>0</v>
      </c>
      <c r="K669" s="1" t="s">
        <v>227</v>
      </c>
      <c r="L669" s="1" t="s">
        <v>14</v>
      </c>
      <c r="M669" s="1" t="str">
        <f>IF(ISNUMBER(SEARCH("Group",Table2[[#This Row],[Round]])),"Group stages",Table2[[#This Row],[Round]])</f>
        <v>Group stages</v>
      </c>
      <c r="O669" s="1">
        <f>Table2[[#This Row],[Year]]</f>
        <v>2006</v>
      </c>
      <c r="P669" s="1" t="str">
        <f>INDEX(Table2[[HomeTeam]:[Group_details]],ROWS($N$2:N669),COLUMNS($N$2:N669))</f>
        <v>Portugal</v>
      </c>
      <c r="Q669" s="1">
        <f>INDEX(Table2[[HomeTeam]:[Group_details]],ROWS($N$2:O669),COLUMNS($N$2:O669))</f>
        <v>2</v>
      </c>
      <c r="R669" s="1">
        <f>INDEX(Table2[[HomeTeam]:[Group_details]],ROWS($N$2:P669),COLUMNS($N$2:P669))</f>
        <v>0</v>
      </c>
      <c r="S669" s="1" t="str">
        <f>INDEX(Table2[[HomeTeam]:[Group_details]],ROWS($N$2:Q669),COLUMNS($N$2:Q669))</f>
        <v>IR Iran</v>
      </c>
      <c r="T669" s="1" t="str">
        <f>INDEX(Table2[[HomeTeam]:[Group_details]],ROWS($N$2:R669),COLUMNS($N$2:R669))</f>
        <v xml:space="preserve"> </v>
      </c>
      <c r="U669" s="1" t="str">
        <f>INDEX(Table2[[HomeTeam]:[Group_details]],ROWS($N$2:S669),COLUMNS($N$2:S669))</f>
        <v>Group stages</v>
      </c>
      <c r="V669" s="1" t="b">
        <f t="shared" si="10"/>
        <v>0</v>
      </c>
      <c r="W669" s="1" t="str">
        <f>IF(V669=TRUE,ROWS($V$2:V669),"")</f>
        <v/>
      </c>
      <c r="X669" s="1" t="str">
        <f>IFERROR(SMALL($W$2:$W$853,ROWS($W$2:W669)),"")</f>
        <v/>
      </c>
      <c r="Y669" s="1" t="str">
        <f>IF($X669&lt;&gt;"",INDEX($P$2:$U$853,MATCH($X669,$W$2:$W$853,0),COLUMNS($X$2:X669)),"")</f>
        <v/>
      </c>
      <c r="Z669" s="1" t="str">
        <f>IF($X669&lt;&gt;"",INDEX($P$2:$U$853,MATCH($X669,$W$2:$W$853,0),COLUMNS($X$2:Y669)),"")</f>
        <v/>
      </c>
      <c r="AA669" s="1" t="str">
        <f>IF($X669&lt;&gt;"",INDEX($P$2:$U$853,MATCH($X669,$W$2:$W$853,0),COLUMNS($X$2:Z669)),"")</f>
        <v/>
      </c>
      <c r="AB669" s="1" t="str">
        <f>IF($X669&lt;&gt;"",INDEX($P$2:$U$853,MATCH($X669,$W$2:$W$853,0),COLUMNS($X$2:AA669)),"")</f>
        <v/>
      </c>
      <c r="AC669" s="1" t="str">
        <f>IF($X669&lt;&gt;"",INDEX($P$2:$U$853,MATCH($X669,$W$2:$W$853,0),COLUMNS($X$2:AB669)),"")</f>
        <v/>
      </c>
      <c r="AD669" s="1" t="str">
        <f>IF($X669&lt;&gt;"",INDEX($P$2:$U$853,MATCH($X669,$W$2:$W$853,0),COLUMNS($X$2:AC669)),"")</f>
        <v/>
      </c>
    </row>
    <row r="670" spans="1:30" x14ac:dyDescent="0.2">
      <c r="A670" s="1">
        <v>2006</v>
      </c>
      <c r="B670" s="2">
        <v>38885</v>
      </c>
      <c r="C670" s="1" t="s">
        <v>510</v>
      </c>
      <c r="D670" s="1" t="s">
        <v>281</v>
      </c>
      <c r="E670" s="1" t="s">
        <v>424</v>
      </c>
      <c r="F670" s="1" t="s">
        <v>425</v>
      </c>
      <c r="G670" s="6" t="str">
        <f>VLOOKUP(A670,WorldCups!$A$2:$B$23,2,FALSE)</f>
        <v>Germany</v>
      </c>
      <c r="H670" s="1" t="s">
        <v>429</v>
      </c>
      <c r="I670" s="1">
        <v>0</v>
      </c>
      <c r="J670" s="1">
        <v>2</v>
      </c>
      <c r="K670" s="1" t="s">
        <v>431</v>
      </c>
      <c r="L670" s="1" t="s">
        <v>14</v>
      </c>
      <c r="M670" s="1" t="str">
        <f>IF(ISNUMBER(SEARCH("Group",Table2[[#This Row],[Round]])),"Group stages",Table2[[#This Row],[Round]])</f>
        <v>Group stages</v>
      </c>
      <c r="O670" s="1">
        <f>Table2[[#This Row],[Year]]</f>
        <v>2006</v>
      </c>
      <c r="P670" s="1" t="str">
        <f>INDEX(Table2[[HomeTeam]:[Group_details]],ROWS($N$2:N670),COLUMNS($N$2:N670))</f>
        <v>Czech Republic</v>
      </c>
      <c r="Q670" s="1">
        <f>INDEX(Table2[[HomeTeam]:[Group_details]],ROWS($N$2:O670),COLUMNS($N$2:O670))</f>
        <v>0</v>
      </c>
      <c r="R670" s="1">
        <f>INDEX(Table2[[HomeTeam]:[Group_details]],ROWS($N$2:P670),COLUMNS($N$2:P670))</f>
        <v>2</v>
      </c>
      <c r="S670" s="1" t="str">
        <f>INDEX(Table2[[HomeTeam]:[Group_details]],ROWS($N$2:Q670),COLUMNS($N$2:Q670))</f>
        <v>Ghana</v>
      </c>
      <c r="T670" s="1" t="str">
        <f>INDEX(Table2[[HomeTeam]:[Group_details]],ROWS($N$2:R670),COLUMNS($N$2:R670))</f>
        <v xml:space="preserve"> </v>
      </c>
      <c r="U670" s="1" t="str">
        <f>INDEX(Table2[[HomeTeam]:[Group_details]],ROWS($N$2:S670),COLUMNS($N$2:S670))</f>
        <v>Group stages</v>
      </c>
      <c r="V670" s="1" t="b">
        <f t="shared" si="10"/>
        <v>0</v>
      </c>
      <c r="W670" s="1" t="str">
        <f>IF(V670=TRUE,ROWS($V$2:V670),"")</f>
        <v/>
      </c>
      <c r="X670" s="1" t="str">
        <f>IFERROR(SMALL($W$2:$W$853,ROWS($W$2:W670)),"")</f>
        <v/>
      </c>
      <c r="Y670" s="1" t="str">
        <f>IF($X670&lt;&gt;"",INDEX($P$2:$U$853,MATCH($X670,$W$2:$W$853,0),COLUMNS($X$2:X670)),"")</f>
        <v/>
      </c>
      <c r="Z670" s="1" t="str">
        <f>IF($X670&lt;&gt;"",INDEX($P$2:$U$853,MATCH($X670,$W$2:$W$853,0),COLUMNS($X$2:Y670)),"")</f>
        <v/>
      </c>
      <c r="AA670" s="1" t="str">
        <f>IF($X670&lt;&gt;"",INDEX($P$2:$U$853,MATCH($X670,$W$2:$W$853,0),COLUMNS($X$2:Z670)),"")</f>
        <v/>
      </c>
      <c r="AB670" s="1" t="str">
        <f>IF($X670&lt;&gt;"",INDEX($P$2:$U$853,MATCH($X670,$W$2:$W$853,0),COLUMNS($X$2:AA670)),"")</f>
        <v/>
      </c>
      <c r="AC670" s="1" t="str">
        <f>IF($X670&lt;&gt;"",INDEX($P$2:$U$853,MATCH($X670,$W$2:$W$853,0),COLUMNS($X$2:AB670)),"")</f>
        <v/>
      </c>
      <c r="AD670" s="1" t="str">
        <f>IF($X670&lt;&gt;"",INDEX($P$2:$U$853,MATCH($X670,$W$2:$W$853,0),COLUMNS($X$2:AC670)),"")</f>
        <v/>
      </c>
    </row>
    <row r="671" spans="1:30" x14ac:dyDescent="0.2">
      <c r="A671" s="1">
        <v>2006</v>
      </c>
      <c r="B671" s="2">
        <v>38885</v>
      </c>
      <c r="C671" s="1" t="s">
        <v>530</v>
      </c>
      <c r="D671" s="1" t="s">
        <v>281</v>
      </c>
      <c r="E671" s="1" t="s">
        <v>427</v>
      </c>
      <c r="F671" s="1" t="s">
        <v>428</v>
      </c>
      <c r="G671" s="6" t="str">
        <f>VLOOKUP(A671,WorldCups!$A$2:$B$23,2,FALSE)</f>
        <v>Germany</v>
      </c>
      <c r="H671" s="1" t="s">
        <v>57</v>
      </c>
      <c r="I671" s="1">
        <v>1</v>
      </c>
      <c r="J671" s="1">
        <v>1</v>
      </c>
      <c r="K671" s="1" t="s">
        <v>17</v>
      </c>
      <c r="L671" s="1" t="s">
        <v>14</v>
      </c>
      <c r="M671" s="1" t="str">
        <f>IF(ISNUMBER(SEARCH("Group",Table2[[#This Row],[Round]])),"Group stages",Table2[[#This Row],[Round]])</f>
        <v>Group stages</v>
      </c>
      <c r="O671" s="1">
        <f>Table2[[#This Row],[Year]]</f>
        <v>2006</v>
      </c>
      <c r="P671" s="1" t="str">
        <f>INDEX(Table2[[HomeTeam]:[Group_details]],ROWS($N$2:N671),COLUMNS($N$2:N671))</f>
        <v>Italy</v>
      </c>
      <c r="Q671" s="1">
        <f>INDEX(Table2[[HomeTeam]:[Group_details]],ROWS($N$2:O671),COLUMNS($N$2:O671))</f>
        <v>1</v>
      </c>
      <c r="R671" s="1">
        <f>INDEX(Table2[[HomeTeam]:[Group_details]],ROWS($N$2:P671),COLUMNS($N$2:P671))</f>
        <v>1</v>
      </c>
      <c r="S671" s="1" t="str">
        <f>INDEX(Table2[[HomeTeam]:[Group_details]],ROWS($N$2:Q671),COLUMNS($N$2:Q671))</f>
        <v>USA</v>
      </c>
      <c r="T671" s="1" t="str">
        <f>INDEX(Table2[[HomeTeam]:[Group_details]],ROWS($N$2:R671),COLUMNS($N$2:R671))</f>
        <v xml:space="preserve"> </v>
      </c>
      <c r="U671" s="1" t="str">
        <f>INDEX(Table2[[HomeTeam]:[Group_details]],ROWS($N$2:S671),COLUMNS($N$2:S671))</f>
        <v>Group stages</v>
      </c>
      <c r="V671" s="1" t="b">
        <f t="shared" si="10"/>
        <v>0</v>
      </c>
      <c r="W671" s="1" t="str">
        <f>IF(V671=TRUE,ROWS($V$2:V671),"")</f>
        <v/>
      </c>
      <c r="X671" s="1" t="str">
        <f>IFERROR(SMALL($W$2:$W$853,ROWS($W$2:W671)),"")</f>
        <v/>
      </c>
      <c r="Y671" s="1" t="str">
        <f>IF($X671&lt;&gt;"",INDEX($P$2:$U$853,MATCH($X671,$W$2:$W$853,0),COLUMNS($X$2:X671)),"")</f>
        <v/>
      </c>
      <c r="Z671" s="1" t="str">
        <f>IF($X671&lt;&gt;"",INDEX($P$2:$U$853,MATCH($X671,$W$2:$W$853,0),COLUMNS($X$2:Y671)),"")</f>
        <v/>
      </c>
      <c r="AA671" s="1" t="str">
        <f>IF($X671&lt;&gt;"",INDEX($P$2:$U$853,MATCH($X671,$W$2:$W$853,0),COLUMNS($X$2:Z671)),"")</f>
        <v/>
      </c>
      <c r="AB671" s="1" t="str">
        <f>IF($X671&lt;&gt;"",INDEX($P$2:$U$853,MATCH($X671,$W$2:$W$853,0),COLUMNS($X$2:AA671)),"")</f>
        <v/>
      </c>
      <c r="AC671" s="1" t="str">
        <f>IF($X671&lt;&gt;"",INDEX($P$2:$U$853,MATCH($X671,$W$2:$W$853,0),COLUMNS($X$2:AB671)),"")</f>
        <v/>
      </c>
      <c r="AD671" s="1" t="str">
        <f>IF($X671&lt;&gt;"",INDEX($P$2:$U$853,MATCH($X671,$W$2:$W$853,0),COLUMNS($X$2:AC671)),"")</f>
        <v/>
      </c>
    </row>
    <row r="672" spans="1:30" x14ac:dyDescent="0.2">
      <c r="A672" s="1">
        <v>2006</v>
      </c>
      <c r="B672" s="2">
        <v>38886</v>
      </c>
      <c r="C672" s="1" t="s">
        <v>500</v>
      </c>
      <c r="D672" s="1" t="s">
        <v>274</v>
      </c>
      <c r="E672" s="1" t="s">
        <v>422</v>
      </c>
      <c r="F672" s="1" t="s">
        <v>423</v>
      </c>
      <c r="G672" s="6" t="str">
        <f>VLOOKUP(A672,WorldCups!$A$2:$B$23,2,FALSE)</f>
        <v>Germany</v>
      </c>
      <c r="H672" s="1" t="s">
        <v>356</v>
      </c>
      <c r="I672" s="1">
        <v>0</v>
      </c>
      <c r="J672" s="1">
        <v>0</v>
      </c>
      <c r="K672" s="1" t="s">
        <v>360</v>
      </c>
      <c r="L672" s="1" t="s">
        <v>14</v>
      </c>
      <c r="M672" s="1" t="str">
        <f>IF(ISNUMBER(SEARCH("Group",Table2[[#This Row],[Round]])),"Group stages",Table2[[#This Row],[Round]])</f>
        <v>Group stages</v>
      </c>
      <c r="O672" s="1">
        <f>Table2[[#This Row],[Year]]</f>
        <v>2006</v>
      </c>
      <c r="P672" s="1" t="str">
        <f>INDEX(Table2[[HomeTeam]:[Group_details]],ROWS($N$2:N672),COLUMNS($N$2:N672))</f>
        <v>Japan</v>
      </c>
      <c r="Q672" s="1">
        <f>INDEX(Table2[[HomeTeam]:[Group_details]],ROWS($N$2:O672),COLUMNS($N$2:O672))</f>
        <v>0</v>
      </c>
      <c r="R672" s="1">
        <f>INDEX(Table2[[HomeTeam]:[Group_details]],ROWS($N$2:P672),COLUMNS($N$2:P672))</f>
        <v>0</v>
      </c>
      <c r="S672" s="1" t="str">
        <f>INDEX(Table2[[HomeTeam]:[Group_details]],ROWS($N$2:Q672),COLUMNS($N$2:Q672))</f>
        <v>Croatia</v>
      </c>
      <c r="T672" s="1" t="str">
        <f>INDEX(Table2[[HomeTeam]:[Group_details]],ROWS($N$2:R672),COLUMNS($N$2:R672))</f>
        <v xml:space="preserve"> </v>
      </c>
      <c r="U672" s="1" t="str">
        <f>INDEX(Table2[[HomeTeam]:[Group_details]],ROWS($N$2:S672),COLUMNS($N$2:S672))</f>
        <v>Group stages</v>
      </c>
      <c r="V672" s="1" t="b">
        <f t="shared" si="10"/>
        <v>0</v>
      </c>
      <c r="W672" s="1" t="str">
        <f>IF(V672=TRUE,ROWS($V$2:V672),"")</f>
        <v/>
      </c>
      <c r="X672" s="1" t="str">
        <f>IFERROR(SMALL($W$2:$W$853,ROWS($W$2:W672)),"")</f>
        <v/>
      </c>
      <c r="Y672" s="1" t="str">
        <f>IF($X672&lt;&gt;"",INDEX($P$2:$U$853,MATCH($X672,$W$2:$W$853,0),COLUMNS($X$2:X672)),"")</f>
        <v/>
      </c>
      <c r="Z672" s="1" t="str">
        <f>IF($X672&lt;&gt;"",INDEX($P$2:$U$853,MATCH($X672,$W$2:$W$853,0),COLUMNS($X$2:Y672)),"")</f>
        <v/>
      </c>
      <c r="AA672" s="1" t="str">
        <f>IF($X672&lt;&gt;"",INDEX($P$2:$U$853,MATCH($X672,$W$2:$W$853,0),COLUMNS($X$2:Z672)),"")</f>
        <v/>
      </c>
      <c r="AB672" s="1" t="str">
        <f>IF($X672&lt;&gt;"",INDEX($P$2:$U$853,MATCH($X672,$W$2:$W$853,0),COLUMNS($X$2:AA672)),"")</f>
        <v/>
      </c>
      <c r="AC672" s="1" t="str">
        <f>IF($X672&lt;&gt;"",INDEX($P$2:$U$853,MATCH($X672,$W$2:$W$853,0),COLUMNS($X$2:AB672)),"")</f>
        <v/>
      </c>
      <c r="AD672" s="1" t="str">
        <f>IF($X672&lt;&gt;"",INDEX($P$2:$U$853,MATCH($X672,$W$2:$W$853,0),COLUMNS($X$2:AC672)),"")</f>
        <v/>
      </c>
    </row>
    <row r="673" spans="1:30" x14ac:dyDescent="0.2">
      <c r="A673" s="1">
        <v>2006</v>
      </c>
      <c r="B673" s="2">
        <v>38886</v>
      </c>
      <c r="C673" s="1" t="s">
        <v>510</v>
      </c>
      <c r="D673" s="1" t="s">
        <v>274</v>
      </c>
      <c r="E673" s="1" t="s">
        <v>412</v>
      </c>
      <c r="F673" s="1" t="s">
        <v>207</v>
      </c>
      <c r="G673" s="6" t="str">
        <f>VLOOKUP(A673,WorldCups!$A$2:$B$23,2,FALSE)</f>
        <v>Germany</v>
      </c>
      <c r="H673" s="1" t="s">
        <v>21</v>
      </c>
      <c r="I673" s="1">
        <v>2</v>
      </c>
      <c r="J673" s="1">
        <v>0</v>
      </c>
      <c r="K673" s="1" t="s">
        <v>199</v>
      </c>
      <c r="L673" s="1" t="s">
        <v>14</v>
      </c>
      <c r="M673" s="1" t="str">
        <f>IF(ISNUMBER(SEARCH("Group",Table2[[#This Row],[Round]])),"Group stages",Table2[[#This Row],[Round]])</f>
        <v>Group stages</v>
      </c>
      <c r="O673" s="1">
        <f>Table2[[#This Row],[Year]]</f>
        <v>2006</v>
      </c>
      <c r="P673" s="1" t="str">
        <f>INDEX(Table2[[HomeTeam]:[Group_details]],ROWS($N$2:N673),COLUMNS($N$2:N673))</f>
        <v>Brazil</v>
      </c>
      <c r="Q673" s="1">
        <f>INDEX(Table2[[HomeTeam]:[Group_details]],ROWS($N$2:O673),COLUMNS($N$2:O673))</f>
        <v>2</v>
      </c>
      <c r="R673" s="1">
        <f>INDEX(Table2[[HomeTeam]:[Group_details]],ROWS($N$2:P673),COLUMNS($N$2:P673))</f>
        <v>0</v>
      </c>
      <c r="S673" s="1" t="str">
        <f>INDEX(Table2[[HomeTeam]:[Group_details]],ROWS($N$2:Q673),COLUMNS($N$2:Q673))</f>
        <v>Australia</v>
      </c>
      <c r="T673" s="1" t="str">
        <f>INDEX(Table2[[HomeTeam]:[Group_details]],ROWS($N$2:R673),COLUMNS($N$2:R673))</f>
        <v xml:space="preserve"> </v>
      </c>
      <c r="U673" s="1" t="str">
        <f>INDEX(Table2[[HomeTeam]:[Group_details]],ROWS($N$2:S673),COLUMNS($N$2:S673))</f>
        <v>Group stages</v>
      </c>
      <c r="V673" s="1" t="b">
        <f t="shared" si="10"/>
        <v>0</v>
      </c>
      <c r="W673" s="1" t="str">
        <f>IF(V673=TRUE,ROWS($V$2:V673),"")</f>
        <v/>
      </c>
      <c r="X673" s="1" t="str">
        <f>IFERROR(SMALL($W$2:$W$853,ROWS($W$2:W673)),"")</f>
        <v/>
      </c>
      <c r="Y673" s="1" t="str">
        <f>IF($X673&lt;&gt;"",INDEX($P$2:$U$853,MATCH($X673,$W$2:$W$853,0),COLUMNS($X$2:X673)),"")</f>
        <v/>
      </c>
      <c r="Z673" s="1" t="str">
        <f>IF($X673&lt;&gt;"",INDEX($P$2:$U$853,MATCH($X673,$W$2:$W$853,0),COLUMNS($X$2:Y673)),"")</f>
        <v/>
      </c>
      <c r="AA673" s="1" t="str">
        <f>IF($X673&lt;&gt;"",INDEX($P$2:$U$853,MATCH($X673,$W$2:$W$853,0),COLUMNS($X$2:Z673)),"")</f>
        <v/>
      </c>
      <c r="AB673" s="1" t="str">
        <f>IF($X673&lt;&gt;"",INDEX($P$2:$U$853,MATCH($X673,$W$2:$W$853,0),COLUMNS($X$2:AA673)),"")</f>
        <v/>
      </c>
      <c r="AC673" s="1" t="str">
        <f>IF($X673&lt;&gt;"",INDEX($P$2:$U$853,MATCH($X673,$W$2:$W$853,0),COLUMNS($X$2:AB673)),"")</f>
        <v/>
      </c>
      <c r="AD673" s="1" t="str">
        <f>IF($X673&lt;&gt;"",INDEX($P$2:$U$853,MATCH($X673,$W$2:$W$853,0),COLUMNS($X$2:AC673)),"")</f>
        <v/>
      </c>
    </row>
    <row r="674" spans="1:30" x14ac:dyDescent="0.2">
      <c r="A674" s="1">
        <v>2006</v>
      </c>
      <c r="B674" s="2">
        <v>38886</v>
      </c>
      <c r="C674" s="1" t="s">
        <v>530</v>
      </c>
      <c r="D674" s="1" t="s">
        <v>361</v>
      </c>
      <c r="E674" s="1" t="s">
        <v>419</v>
      </c>
      <c r="F674" s="1" t="s">
        <v>420</v>
      </c>
      <c r="G674" s="6" t="str">
        <f>VLOOKUP(A674,WorldCups!$A$2:$B$23,2,FALSE)</f>
        <v>Germany</v>
      </c>
      <c r="H674" s="1" t="s">
        <v>12</v>
      </c>
      <c r="I674" s="1">
        <v>1</v>
      </c>
      <c r="J674" s="1">
        <v>1</v>
      </c>
      <c r="K674" s="1" t="s">
        <v>116</v>
      </c>
      <c r="L674" s="1" t="s">
        <v>14</v>
      </c>
      <c r="M674" s="1" t="str">
        <f>IF(ISNUMBER(SEARCH("Group",Table2[[#This Row],[Round]])),"Group stages",Table2[[#This Row],[Round]])</f>
        <v>Group stages</v>
      </c>
      <c r="O674" s="1">
        <f>Table2[[#This Row],[Year]]</f>
        <v>2006</v>
      </c>
      <c r="P674" s="1" t="str">
        <f>INDEX(Table2[[HomeTeam]:[Group_details]],ROWS($N$2:N674),COLUMNS($N$2:N674))</f>
        <v>France</v>
      </c>
      <c r="Q674" s="1">
        <f>INDEX(Table2[[HomeTeam]:[Group_details]],ROWS($N$2:O674),COLUMNS($N$2:O674))</f>
        <v>1</v>
      </c>
      <c r="R674" s="1">
        <f>INDEX(Table2[[HomeTeam]:[Group_details]],ROWS($N$2:P674),COLUMNS($N$2:P674))</f>
        <v>1</v>
      </c>
      <c r="S674" s="1" t="str">
        <f>INDEX(Table2[[HomeTeam]:[Group_details]],ROWS($N$2:Q674),COLUMNS($N$2:Q674))</f>
        <v>Korea Republic</v>
      </c>
      <c r="T674" s="1" t="str">
        <f>INDEX(Table2[[HomeTeam]:[Group_details]],ROWS($N$2:R674),COLUMNS($N$2:R674))</f>
        <v xml:space="preserve"> </v>
      </c>
      <c r="U674" s="1" t="str">
        <f>INDEX(Table2[[HomeTeam]:[Group_details]],ROWS($N$2:S674),COLUMNS($N$2:S674))</f>
        <v>Group stages</v>
      </c>
      <c r="V674" s="1" t="b">
        <f t="shared" si="10"/>
        <v>0</v>
      </c>
      <c r="W674" s="1" t="str">
        <f>IF(V674=TRUE,ROWS($V$2:V674),"")</f>
        <v/>
      </c>
      <c r="X674" s="1" t="str">
        <f>IFERROR(SMALL($W$2:$W$853,ROWS($W$2:W674)),"")</f>
        <v/>
      </c>
      <c r="Y674" s="1" t="str">
        <f>IF($X674&lt;&gt;"",INDEX($P$2:$U$853,MATCH($X674,$W$2:$W$853,0),COLUMNS($X$2:X674)),"")</f>
        <v/>
      </c>
      <c r="Z674" s="1" t="str">
        <f>IF($X674&lt;&gt;"",INDEX($P$2:$U$853,MATCH($X674,$W$2:$W$853,0),COLUMNS($X$2:Y674)),"")</f>
        <v/>
      </c>
      <c r="AA674" s="1" t="str">
        <f>IF($X674&lt;&gt;"",INDEX($P$2:$U$853,MATCH($X674,$W$2:$W$853,0),COLUMNS($X$2:Z674)),"")</f>
        <v/>
      </c>
      <c r="AB674" s="1" t="str">
        <f>IF($X674&lt;&gt;"",INDEX($P$2:$U$853,MATCH($X674,$W$2:$W$853,0),COLUMNS($X$2:AA674)),"")</f>
        <v/>
      </c>
      <c r="AC674" s="1" t="str">
        <f>IF($X674&lt;&gt;"",INDEX($P$2:$U$853,MATCH($X674,$W$2:$W$853,0),COLUMNS($X$2:AB674)),"")</f>
        <v/>
      </c>
      <c r="AD674" s="1" t="str">
        <f>IF($X674&lt;&gt;"",INDEX($P$2:$U$853,MATCH($X674,$W$2:$W$853,0),COLUMNS($X$2:AC674)),"")</f>
        <v/>
      </c>
    </row>
    <row r="675" spans="1:30" x14ac:dyDescent="0.2">
      <c r="A675" s="1">
        <v>2006</v>
      </c>
      <c r="B675" s="2">
        <v>38887</v>
      </c>
      <c r="C675" s="1" t="s">
        <v>500</v>
      </c>
      <c r="D675" s="1" t="s">
        <v>361</v>
      </c>
      <c r="E675" s="1" t="s">
        <v>415</v>
      </c>
      <c r="F675" s="1" t="s">
        <v>201</v>
      </c>
      <c r="G675" s="6" t="str">
        <f>VLOOKUP(A675,WorldCups!$A$2:$B$23,2,FALSE)</f>
        <v>Germany</v>
      </c>
      <c r="H675" s="1" t="s">
        <v>432</v>
      </c>
      <c r="I675" s="1">
        <v>0</v>
      </c>
      <c r="J675" s="1">
        <v>2</v>
      </c>
      <c r="K675" s="1" t="s">
        <v>44</v>
      </c>
      <c r="L675" s="1" t="s">
        <v>14</v>
      </c>
      <c r="M675" s="1" t="str">
        <f>IF(ISNUMBER(SEARCH("Group",Table2[[#This Row],[Round]])),"Group stages",Table2[[#This Row],[Round]])</f>
        <v>Group stages</v>
      </c>
      <c r="O675" s="1">
        <f>Table2[[#This Row],[Year]]</f>
        <v>2006</v>
      </c>
      <c r="P675" s="1" t="str">
        <f>INDEX(Table2[[HomeTeam]:[Group_details]],ROWS($N$2:N675),COLUMNS($N$2:N675))</f>
        <v>Togo</v>
      </c>
      <c r="Q675" s="1">
        <f>INDEX(Table2[[HomeTeam]:[Group_details]],ROWS($N$2:O675),COLUMNS($N$2:O675))</f>
        <v>0</v>
      </c>
      <c r="R675" s="1">
        <f>INDEX(Table2[[HomeTeam]:[Group_details]],ROWS($N$2:P675),COLUMNS($N$2:P675))</f>
        <v>2</v>
      </c>
      <c r="S675" s="1" t="str">
        <f>INDEX(Table2[[HomeTeam]:[Group_details]],ROWS($N$2:Q675),COLUMNS($N$2:Q675))</f>
        <v>Switzerland</v>
      </c>
      <c r="T675" s="1" t="str">
        <f>INDEX(Table2[[HomeTeam]:[Group_details]],ROWS($N$2:R675),COLUMNS($N$2:R675))</f>
        <v xml:space="preserve"> </v>
      </c>
      <c r="U675" s="1" t="str">
        <f>INDEX(Table2[[HomeTeam]:[Group_details]],ROWS($N$2:S675),COLUMNS($N$2:S675))</f>
        <v>Group stages</v>
      </c>
      <c r="V675" s="1" t="b">
        <f t="shared" si="10"/>
        <v>0</v>
      </c>
      <c r="W675" s="1" t="str">
        <f>IF(V675=TRUE,ROWS($V$2:V675),"")</f>
        <v/>
      </c>
      <c r="X675" s="1" t="str">
        <f>IFERROR(SMALL($W$2:$W$853,ROWS($W$2:W675)),"")</f>
        <v/>
      </c>
      <c r="Y675" s="1" t="str">
        <f>IF($X675&lt;&gt;"",INDEX($P$2:$U$853,MATCH($X675,$W$2:$W$853,0),COLUMNS($X$2:X675)),"")</f>
        <v/>
      </c>
      <c r="Z675" s="1" t="str">
        <f>IF($X675&lt;&gt;"",INDEX($P$2:$U$853,MATCH($X675,$W$2:$W$853,0),COLUMNS($X$2:Y675)),"")</f>
        <v/>
      </c>
      <c r="AA675" s="1" t="str">
        <f>IF($X675&lt;&gt;"",INDEX($P$2:$U$853,MATCH($X675,$W$2:$W$853,0),COLUMNS($X$2:Z675)),"")</f>
        <v/>
      </c>
      <c r="AB675" s="1" t="str">
        <f>IF($X675&lt;&gt;"",INDEX($P$2:$U$853,MATCH($X675,$W$2:$W$853,0),COLUMNS($X$2:AA675)),"")</f>
        <v/>
      </c>
      <c r="AC675" s="1" t="str">
        <f>IF($X675&lt;&gt;"",INDEX($P$2:$U$853,MATCH($X675,$W$2:$W$853,0),COLUMNS($X$2:AB675)),"")</f>
        <v/>
      </c>
      <c r="AD675" s="1" t="str">
        <f>IF($X675&lt;&gt;"",INDEX($P$2:$U$853,MATCH($X675,$W$2:$W$853,0),COLUMNS($X$2:AC675)),"")</f>
        <v/>
      </c>
    </row>
    <row r="676" spans="1:30" x14ac:dyDescent="0.2">
      <c r="A676" s="1">
        <v>2006</v>
      </c>
      <c r="B676" s="2">
        <v>38887</v>
      </c>
      <c r="C676" s="1" t="s">
        <v>510</v>
      </c>
      <c r="D676" s="1" t="s">
        <v>355</v>
      </c>
      <c r="E676" s="1" t="s">
        <v>417</v>
      </c>
      <c r="F676" s="1" t="s">
        <v>197</v>
      </c>
      <c r="G676" s="6" t="str">
        <f>VLOOKUP(A676,WorldCups!$A$2:$B$23,2,FALSE)</f>
        <v>Germany</v>
      </c>
      <c r="H676" s="1" t="s">
        <v>333</v>
      </c>
      <c r="I676" s="1">
        <v>0</v>
      </c>
      <c r="J676" s="1">
        <v>4</v>
      </c>
      <c r="K676" s="1" t="s">
        <v>435</v>
      </c>
      <c r="L676" s="1" t="s">
        <v>14</v>
      </c>
      <c r="M676" s="1" t="str">
        <f>IF(ISNUMBER(SEARCH("Group",Table2[[#This Row],[Round]])),"Group stages",Table2[[#This Row],[Round]])</f>
        <v>Group stages</v>
      </c>
      <c r="O676" s="1">
        <f>Table2[[#This Row],[Year]]</f>
        <v>2006</v>
      </c>
      <c r="P676" s="1" t="str">
        <f>INDEX(Table2[[HomeTeam]:[Group_details]],ROWS($N$2:N676),COLUMNS($N$2:N676))</f>
        <v>Saudi Arabia</v>
      </c>
      <c r="Q676" s="1">
        <f>INDEX(Table2[[HomeTeam]:[Group_details]],ROWS($N$2:O676),COLUMNS($N$2:O676))</f>
        <v>0</v>
      </c>
      <c r="R676" s="1">
        <f>INDEX(Table2[[HomeTeam]:[Group_details]],ROWS($N$2:P676),COLUMNS($N$2:P676))</f>
        <v>4</v>
      </c>
      <c r="S676" s="1" t="str">
        <f>INDEX(Table2[[HomeTeam]:[Group_details]],ROWS($N$2:Q676),COLUMNS($N$2:Q676))</f>
        <v>Ukraine</v>
      </c>
      <c r="T676" s="1" t="str">
        <f>INDEX(Table2[[HomeTeam]:[Group_details]],ROWS($N$2:R676),COLUMNS($N$2:R676))</f>
        <v xml:space="preserve"> </v>
      </c>
      <c r="U676" s="1" t="str">
        <f>INDEX(Table2[[HomeTeam]:[Group_details]],ROWS($N$2:S676),COLUMNS($N$2:S676))</f>
        <v>Group stages</v>
      </c>
      <c r="V676" s="1" t="b">
        <f t="shared" si="10"/>
        <v>0</v>
      </c>
      <c r="W676" s="1" t="str">
        <f>IF(V676=TRUE,ROWS($V$2:V676),"")</f>
        <v/>
      </c>
      <c r="X676" s="1" t="str">
        <f>IFERROR(SMALL($W$2:$W$853,ROWS($W$2:W676)),"")</f>
        <v/>
      </c>
      <c r="Y676" s="1" t="str">
        <f>IF($X676&lt;&gt;"",INDEX($P$2:$U$853,MATCH($X676,$W$2:$W$853,0),COLUMNS($X$2:X676)),"")</f>
        <v/>
      </c>
      <c r="Z676" s="1" t="str">
        <f>IF($X676&lt;&gt;"",INDEX($P$2:$U$853,MATCH($X676,$W$2:$W$853,0),COLUMNS($X$2:Y676)),"")</f>
        <v/>
      </c>
      <c r="AA676" s="1" t="str">
        <f>IF($X676&lt;&gt;"",INDEX($P$2:$U$853,MATCH($X676,$W$2:$W$853,0),COLUMNS($X$2:Z676)),"")</f>
        <v/>
      </c>
      <c r="AB676" s="1" t="str">
        <f>IF($X676&lt;&gt;"",INDEX($P$2:$U$853,MATCH($X676,$W$2:$W$853,0),COLUMNS($X$2:AA676)),"")</f>
        <v/>
      </c>
      <c r="AC676" s="1" t="str">
        <f>IF($X676&lt;&gt;"",INDEX($P$2:$U$853,MATCH($X676,$W$2:$W$853,0),COLUMNS($X$2:AB676)),"")</f>
        <v/>
      </c>
      <c r="AD676" s="1" t="str">
        <f>IF($X676&lt;&gt;"",INDEX($P$2:$U$853,MATCH($X676,$W$2:$W$853,0),COLUMNS($X$2:AC676)),"")</f>
        <v/>
      </c>
    </row>
    <row r="677" spans="1:30" x14ac:dyDescent="0.2">
      <c r="A677" s="1">
        <v>2006</v>
      </c>
      <c r="B677" s="2">
        <v>38887</v>
      </c>
      <c r="C677" s="1" t="s">
        <v>530</v>
      </c>
      <c r="D677" s="1" t="s">
        <v>355</v>
      </c>
      <c r="E677" s="1" t="s">
        <v>433</v>
      </c>
      <c r="F677" s="1" t="s">
        <v>210</v>
      </c>
      <c r="G677" s="6" t="str">
        <f>VLOOKUP(A677,WorldCups!$A$2:$B$23,2,FALSE)</f>
        <v>Germany</v>
      </c>
      <c r="H677" s="1" t="s">
        <v>54</v>
      </c>
      <c r="I677" s="1">
        <v>3</v>
      </c>
      <c r="J677" s="1">
        <v>1</v>
      </c>
      <c r="K677" s="1" t="s">
        <v>221</v>
      </c>
      <c r="L677" s="1" t="s">
        <v>14</v>
      </c>
      <c r="M677" s="1" t="str">
        <f>IF(ISNUMBER(SEARCH("Group",Table2[[#This Row],[Round]])),"Group stages",Table2[[#This Row],[Round]])</f>
        <v>Group stages</v>
      </c>
      <c r="O677" s="1">
        <f>Table2[[#This Row],[Year]]</f>
        <v>2006</v>
      </c>
      <c r="P677" s="1" t="str">
        <f>INDEX(Table2[[HomeTeam]:[Group_details]],ROWS($N$2:N677),COLUMNS($N$2:N677))</f>
        <v>Spain</v>
      </c>
      <c r="Q677" s="1">
        <f>INDEX(Table2[[HomeTeam]:[Group_details]],ROWS($N$2:O677),COLUMNS($N$2:O677))</f>
        <v>3</v>
      </c>
      <c r="R677" s="1">
        <f>INDEX(Table2[[HomeTeam]:[Group_details]],ROWS($N$2:P677),COLUMNS($N$2:P677))</f>
        <v>1</v>
      </c>
      <c r="S677" s="1" t="str">
        <f>INDEX(Table2[[HomeTeam]:[Group_details]],ROWS($N$2:Q677),COLUMNS($N$2:Q677))</f>
        <v>Tunisia</v>
      </c>
      <c r="T677" s="1" t="str">
        <f>INDEX(Table2[[HomeTeam]:[Group_details]],ROWS($N$2:R677),COLUMNS($N$2:R677))</f>
        <v xml:space="preserve"> </v>
      </c>
      <c r="U677" s="1" t="str">
        <f>INDEX(Table2[[HomeTeam]:[Group_details]],ROWS($N$2:S677),COLUMNS($N$2:S677))</f>
        <v>Group stages</v>
      </c>
      <c r="V677" s="1" t="b">
        <f t="shared" si="10"/>
        <v>0</v>
      </c>
      <c r="W677" s="1" t="str">
        <f>IF(V677=TRUE,ROWS($V$2:V677),"")</f>
        <v/>
      </c>
      <c r="X677" s="1" t="str">
        <f>IFERROR(SMALL($W$2:$W$853,ROWS($W$2:W677)),"")</f>
        <v/>
      </c>
      <c r="Y677" s="1" t="str">
        <f>IF($X677&lt;&gt;"",INDEX($P$2:$U$853,MATCH($X677,$W$2:$W$853,0),COLUMNS($X$2:X677)),"")</f>
        <v/>
      </c>
      <c r="Z677" s="1" t="str">
        <f>IF($X677&lt;&gt;"",INDEX($P$2:$U$853,MATCH($X677,$W$2:$W$853,0),COLUMNS($X$2:Y677)),"")</f>
        <v/>
      </c>
      <c r="AA677" s="1" t="str">
        <f>IF($X677&lt;&gt;"",INDEX($P$2:$U$853,MATCH($X677,$W$2:$W$853,0),COLUMNS($X$2:Z677)),"")</f>
        <v/>
      </c>
      <c r="AB677" s="1" t="str">
        <f>IF($X677&lt;&gt;"",INDEX($P$2:$U$853,MATCH($X677,$W$2:$W$853,0),COLUMNS($X$2:AA677)),"")</f>
        <v/>
      </c>
      <c r="AC677" s="1" t="str">
        <f>IF($X677&lt;&gt;"",INDEX($P$2:$U$853,MATCH($X677,$W$2:$W$853,0),COLUMNS($X$2:AB677)),"")</f>
        <v/>
      </c>
      <c r="AD677" s="1" t="str">
        <f>IF($X677&lt;&gt;"",INDEX($P$2:$U$853,MATCH($X677,$W$2:$W$853,0),COLUMNS($X$2:AC677)),"")</f>
        <v/>
      </c>
    </row>
    <row r="678" spans="1:30" x14ac:dyDescent="0.2">
      <c r="A678" s="1">
        <v>2006</v>
      </c>
      <c r="B678" s="2">
        <v>38888</v>
      </c>
      <c r="C678" s="1" t="s">
        <v>503</v>
      </c>
      <c r="D678" s="1" t="s">
        <v>214</v>
      </c>
      <c r="E678" s="1" t="s">
        <v>194</v>
      </c>
      <c r="F678" s="1" t="s">
        <v>434</v>
      </c>
      <c r="G678" s="6" t="str">
        <f>VLOOKUP(A678,WorldCups!$A$2:$B$23,2,FALSE)</f>
        <v>Germany</v>
      </c>
      <c r="H678" s="1" t="s">
        <v>382</v>
      </c>
      <c r="I678" s="1">
        <v>0</v>
      </c>
      <c r="J678" s="1">
        <v>3</v>
      </c>
      <c r="K678" s="1" t="s">
        <v>51</v>
      </c>
      <c r="L678" s="1" t="s">
        <v>14</v>
      </c>
      <c r="M678" s="1" t="str">
        <f>IF(ISNUMBER(SEARCH("Group",Table2[[#This Row],[Round]])),"Group stages",Table2[[#This Row],[Round]])</f>
        <v>Group stages</v>
      </c>
      <c r="O678" s="1">
        <f>Table2[[#This Row],[Year]]</f>
        <v>2006</v>
      </c>
      <c r="P678" s="1" t="str">
        <f>INDEX(Table2[[HomeTeam]:[Group_details]],ROWS($N$2:N678),COLUMNS($N$2:N678))</f>
        <v>Ecuador</v>
      </c>
      <c r="Q678" s="1">
        <f>INDEX(Table2[[HomeTeam]:[Group_details]],ROWS($N$2:O678),COLUMNS($N$2:O678))</f>
        <v>0</v>
      </c>
      <c r="R678" s="1">
        <f>INDEX(Table2[[HomeTeam]:[Group_details]],ROWS($N$2:P678),COLUMNS($N$2:P678))</f>
        <v>3</v>
      </c>
      <c r="S678" s="1" t="str">
        <f>INDEX(Table2[[HomeTeam]:[Group_details]],ROWS($N$2:Q678),COLUMNS($N$2:Q678))</f>
        <v>Germany</v>
      </c>
      <c r="T678" s="1" t="str">
        <f>INDEX(Table2[[HomeTeam]:[Group_details]],ROWS($N$2:R678),COLUMNS($N$2:R678))</f>
        <v xml:space="preserve"> </v>
      </c>
      <c r="U678" s="1" t="str">
        <f>INDEX(Table2[[HomeTeam]:[Group_details]],ROWS($N$2:S678),COLUMNS($N$2:S678))</f>
        <v>Group stages</v>
      </c>
      <c r="V678" s="1" t="b">
        <f t="shared" si="10"/>
        <v>0</v>
      </c>
      <c r="W678" s="1" t="str">
        <f>IF(V678=TRUE,ROWS($V$2:V678),"")</f>
        <v/>
      </c>
      <c r="X678" s="1" t="str">
        <f>IFERROR(SMALL($W$2:$W$853,ROWS($W$2:W678)),"")</f>
        <v/>
      </c>
      <c r="Y678" s="1" t="str">
        <f>IF($X678&lt;&gt;"",INDEX($P$2:$U$853,MATCH($X678,$W$2:$W$853,0),COLUMNS($X$2:X678)),"")</f>
        <v/>
      </c>
      <c r="Z678" s="1" t="str">
        <f>IF($X678&lt;&gt;"",INDEX($P$2:$U$853,MATCH($X678,$W$2:$W$853,0),COLUMNS($X$2:Y678)),"")</f>
        <v/>
      </c>
      <c r="AA678" s="1" t="str">
        <f>IF($X678&lt;&gt;"",INDEX($P$2:$U$853,MATCH($X678,$W$2:$W$853,0),COLUMNS($X$2:Z678)),"")</f>
        <v/>
      </c>
      <c r="AB678" s="1" t="str">
        <f>IF($X678&lt;&gt;"",INDEX($P$2:$U$853,MATCH($X678,$W$2:$W$853,0),COLUMNS($X$2:AA678)),"")</f>
        <v/>
      </c>
      <c r="AC678" s="1" t="str">
        <f>IF($X678&lt;&gt;"",INDEX($P$2:$U$853,MATCH($X678,$W$2:$W$853,0),COLUMNS($X$2:AB678)),"")</f>
        <v/>
      </c>
      <c r="AD678" s="1" t="str">
        <f>IF($X678&lt;&gt;"",INDEX($P$2:$U$853,MATCH($X678,$W$2:$W$853,0),COLUMNS($X$2:AC678)),"")</f>
        <v/>
      </c>
    </row>
    <row r="679" spans="1:30" x14ac:dyDescent="0.2">
      <c r="A679" s="1">
        <v>2006</v>
      </c>
      <c r="B679" s="2">
        <v>38888</v>
      </c>
      <c r="C679" s="1" t="s">
        <v>503</v>
      </c>
      <c r="D679" s="1" t="s">
        <v>214</v>
      </c>
      <c r="E679" s="1" t="s">
        <v>430</v>
      </c>
      <c r="F679" s="1" t="s">
        <v>204</v>
      </c>
      <c r="G679" s="6" t="str">
        <f>VLOOKUP(A679,WorldCups!$A$2:$B$23,2,FALSE)</f>
        <v>Germany</v>
      </c>
      <c r="H679" s="1" t="s">
        <v>301</v>
      </c>
      <c r="I679" s="1">
        <v>1</v>
      </c>
      <c r="J679" s="1">
        <v>2</v>
      </c>
      <c r="K679" s="1" t="s">
        <v>80</v>
      </c>
      <c r="L679" s="1" t="s">
        <v>14</v>
      </c>
      <c r="M679" s="1" t="str">
        <f>IF(ISNUMBER(SEARCH("Group",Table2[[#This Row],[Round]])),"Group stages",Table2[[#This Row],[Round]])</f>
        <v>Group stages</v>
      </c>
      <c r="O679" s="1">
        <f>Table2[[#This Row],[Year]]</f>
        <v>2006</v>
      </c>
      <c r="P679" s="1" t="str">
        <f>INDEX(Table2[[HomeTeam]:[Group_details]],ROWS($N$2:N679),COLUMNS($N$2:N679))</f>
        <v>Costa Rica</v>
      </c>
      <c r="Q679" s="1">
        <f>INDEX(Table2[[HomeTeam]:[Group_details]],ROWS($N$2:O679),COLUMNS($N$2:O679))</f>
        <v>1</v>
      </c>
      <c r="R679" s="1">
        <f>INDEX(Table2[[HomeTeam]:[Group_details]],ROWS($N$2:P679),COLUMNS($N$2:P679))</f>
        <v>2</v>
      </c>
      <c r="S679" s="1" t="str">
        <f>INDEX(Table2[[HomeTeam]:[Group_details]],ROWS($N$2:Q679),COLUMNS($N$2:Q679))</f>
        <v>Poland</v>
      </c>
      <c r="T679" s="1" t="str">
        <f>INDEX(Table2[[HomeTeam]:[Group_details]],ROWS($N$2:R679),COLUMNS($N$2:R679))</f>
        <v xml:space="preserve"> </v>
      </c>
      <c r="U679" s="1" t="str">
        <f>INDEX(Table2[[HomeTeam]:[Group_details]],ROWS($N$2:S679),COLUMNS($N$2:S679))</f>
        <v>Group stages</v>
      </c>
      <c r="V679" s="1" t="b">
        <f t="shared" si="10"/>
        <v>0</v>
      </c>
      <c r="W679" s="1" t="str">
        <f>IF(V679=TRUE,ROWS($V$2:V679),"")</f>
        <v/>
      </c>
      <c r="X679" s="1" t="str">
        <f>IFERROR(SMALL($W$2:$W$853,ROWS($W$2:W679)),"")</f>
        <v/>
      </c>
      <c r="Y679" s="1" t="str">
        <f>IF($X679&lt;&gt;"",INDEX($P$2:$U$853,MATCH($X679,$W$2:$W$853,0),COLUMNS($X$2:X679)),"")</f>
        <v/>
      </c>
      <c r="Z679" s="1" t="str">
        <f>IF($X679&lt;&gt;"",INDEX($P$2:$U$853,MATCH($X679,$W$2:$W$853,0),COLUMNS($X$2:Y679)),"")</f>
        <v/>
      </c>
      <c r="AA679" s="1" t="str">
        <f>IF($X679&lt;&gt;"",INDEX($P$2:$U$853,MATCH($X679,$W$2:$W$853,0),COLUMNS($X$2:Z679)),"")</f>
        <v/>
      </c>
      <c r="AB679" s="1" t="str">
        <f>IF($X679&lt;&gt;"",INDEX($P$2:$U$853,MATCH($X679,$W$2:$W$853,0),COLUMNS($X$2:AA679)),"")</f>
        <v/>
      </c>
      <c r="AC679" s="1" t="str">
        <f>IF($X679&lt;&gt;"",INDEX($P$2:$U$853,MATCH($X679,$W$2:$W$853,0),COLUMNS($X$2:AB679)),"")</f>
        <v/>
      </c>
      <c r="AD679" s="1" t="str">
        <f>IF($X679&lt;&gt;"",INDEX($P$2:$U$853,MATCH($X679,$W$2:$W$853,0),COLUMNS($X$2:AC679)),"")</f>
        <v/>
      </c>
    </row>
    <row r="680" spans="1:30" x14ac:dyDescent="0.2">
      <c r="A680" s="1">
        <v>2006</v>
      </c>
      <c r="B680" s="2">
        <v>38888</v>
      </c>
      <c r="C680" s="1" t="s">
        <v>530</v>
      </c>
      <c r="D680" s="1" t="s">
        <v>213</v>
      </c>
      <c r="E680" s="1" t="s">
        <v>424</v>
      </c>
      <c r="F680" s="1" t="s">
        <v>425</v>
      </c>
      <c r="G680" s="6" t="str">
        <f>VLOOKUP(A680,WorldCups!$A$2:$B$23,2,FALSE)</f>
        <v>Germany</v>
      </c>
      <c r="H680" s="1" t="s">
        <v>48</v>
      </c>
      <c r="I680" s="1">
        <v>2</v>
      </c>
      <c r="J680" s="1">
        <v>2</v>
      </c>
      <c r="K680" s="1" t="s">
        <v>93</v>
      </c>
      <c r="L680" s="1" t="s">
        <v>14</v>
      </c>
      <c r="M680" s="1" t="str">
        <f>IF(ISNUMBER(SEARCH("Group",Table2[[#This Row],[Round]])),"Group stages",Table2[[#This Row],[Round]])</f>
        <v>Group stages</v>
      </c>
      <c r="O680" s="1">
        <f>Table2[[#This Row],[Year]]</f>
        <v>2006</v>
      </c>
      <c r="P680" s="1" t="str">
        <f>INDEX(Table2[[HomeTeam]:[Group_details]],ROWS($N$2:N680),COLUMNS($N$2:N680))</f>
        <v>Sweden</v>
      </c>
      <c r="Q680" s="1">
        <f>INDEX(Table2[[HomeTeam]:[Group_details]],ROWS($N$2:O680),COLUMNS($N$2:O680))</f>
        <v>2</v>
      </c>
      <c r="R680" s="1">
        <f>INDEX(Table2[[HomeTeam]:[Group_details]],ROWS($N$2:P680),COLUMNS($N$2:P680))</f>
        <v>2</v>
      </c>
      <c r="S680" s="1" t="str">
        <f>INDEX(Table2[[HomeTeam]:[Group_details]],ROWS($N$2:Q680),COLUMNS($N$2:Q680))</f>
        <v>England</v>
      </c>
      <c r="T680" s="1" t="str">
        <f>INDEX(Table2[[HomeTeam]:[Group_details]],ROWS($N$2:R680),COLUMNS($N$2:R680))</f>
        <v xml:space="preserve"> </v>
      </c>
      <c r="U680" s="1" t="str">
        <f>INDEX(Table2[[HomeTeam]:[Group_details]],ROWS($N$2:S680),COLUMNS($N$2:S680))</f>
        <v>Group stages</v>
      </c>
      <c r="V680" s="1" t="b">
        <f t="shared" si="10"/>
        <v>0</v>
      </c>
      <c r="W680" s="1" t="str">
        <f>IF(V680=TRUE,ROWS($V$2:V680),"")</f>
        <v/>
      </c>
      <c r="X680" s="1" t="str">
        <f>IFERROR(SMALL($W$2:$W$853,ROWS($W$2:W680)),"")</f>
        <v/>
      </c>
      <c r="Y680" s="1" t="str">
        <f>IF($X680&lt;&gt;"",INDEX($P$2:$U$853,MATCH($X680,$W$2:$W$853,0),COLUMNS($X$2:X680)),"")</f>
        <v/>
      </c>
      <c r="Z680" s="1" t="str">
        <f>IF($X680&lt;&gt;"",INDEX($P$2:$U$853,MATCH($X680,$W$2:$W$853,0),COLUMNS($X$2:Y680)),"")</f>
        <v/>
      </c>
      <c r="AA680" s="1" t="str">
        <f>IF($X680&lt;&gt;"",INDEX($P$2:$U$853,MATCH($X680,$W$2:$W$853,0),COLUMNS($X$2:Z680)),"")</f>
        <v/>
      </c>
      <c r="AB680" s="1" t="str">
        <f>IF($X680&lt;&gt;"",INDEX($P$2:$U$853,MATCH($X680,$W$2:$W$853,0),COLUMNS($X$2:AA680)),"")</f>
        <v/>
      </c>
      <c r="AC680" s="1" t="str">
        <f>IF($X680&lt;&gt;"",INDEX($P$2:$U$853,MATCH($X680,$W$2:$W$853,0),COLUMNS($X$2:AB680)),"")</f>
        <v/>
      </c>
      <c r="AD680" s="1" t="str">
        <f>IF($X680&lt;&gt;"",INDEX($P$2:$U$853,MATCH($X680,$W$2:$W$853,0),COLUMNS($X$2:AC680)),"")</f>
        <v/>
      </c>
    </row>
    <row r="681" spans="1:30" x14ac:dyDescent="0.2">
      <c r="A681" s="1">
        <v>2006</v>
      </c>
      <c r="B681" s="2">
        <v>38888</v>
      </c>
      <c r="C681" s="1" t="s">
        <v>530</v>
      </c>
      <c r="D681" s="1" t="s">
        <v>213</v>
      </c>
      <c r="E681" s="1" t="s">
        <v>427</v>
      </c>
      <c r="F681" s="1" t="s">
        <v>428</v>
      </c>
      <c r="G681" s="6" t="str">
        <f>VLOOKUP(A681,WorldCups!$A$2:$B$23,2,FALSE)</f>
        <v>Germany</v>
      </c>
      <c r="H681" s="1" t="s">
        <v>28</v>
      </c>
      <c r="I681" s="1">
        <v>2</v>
      </c>
      <c r="J681" s="1">
        <v>0</v>
      </c>
      <c r="K681" s="1" t="s">
        <v>416</v>
      </c>
      <c r="L681" s="1" t="s">
        <v>14</v>
      </c>
      <c r="M681" s="1" t="str">
        <f>IF(ISNUMBER(SEARCH("Group",Table2[[#This Row],[Round]])),"Group stages",Table2[[#This Row],[Round]])</f>
        <v>Group stages</v>
      </c>
      <c r="O681" s="1">
        <f>Table2[[#This Row],[Year]]</f>
        <v>2006</v>
      </c>
      <c r="P681" s="1" t="str">
        <f>INDEX(Table2[[HomeTeam]:[Group_details]],ROWS($N$2:N681),COLUMNS($N$2:N681))</f>
        <v>Paraguay</v>
      </c>
      <c r="Q681" s="1">
        <f>INDEX(Table2[[HomeTeam]:[Group_details]],ROWS($N$2:O681),COLUMNS($N$2:O681))</f>
        <v>2</v>
      </c>
      <c r="R681" s="1">
        <f>INDEX(Table2[[HomeTeam]:[Group_details]],ROWS($N$2:P681),COLUMNS($N$2:P681))</f>
        <v>0</v>
      </c>
      <c r="S681" s="1" t="str">
        <f>INDEX(Table2[[HomeTeam]:[Group_details]],ROWS($N$2:Q681),COLUMNS($N$2:Q681))</f>
        <v>Trinidad and Tobago</v>
      </c>
      <c r="T681" s="1" t="str">
        <f>INDEX(Table2[[HomeTeam]:[Group_details]],ROWS($N$2:R681),COLUMNS($N$2:R681))</f>
        <v xml:space="preserve"> </v>
      </c>
      <c r="U681" s="1" t="str">
        <f>INDEX(Table2[[HomeTeam]:[Group_details]],ROWS($N$2:S681),COLUMNS($N$2:S681))</f>
        <v>Group stages</v>
      </c>
      <c r="V681" s="1" t="b">
        <f t="shared" si="10"/>
        <v>0</v>
      </c>
      <c r="W681" s="1" t="str">
        <f>IF(V681=TRUE,ROWS($V$2:V681),"")</f>
        <v/>
      </c>
      <c r="X681" s="1" t="str">
        <f>IFERROR(SMALL($W$2:$W$853,ROWS($W$2:W681)),"")</f>
        <v/>
      </c>
      <c r="Y681" s="1" t="str">
        <f>IF($X681&lt;&gt;"",INDEX($P$2:$U$853,MATCH($X681,$W$2:$W$853,0),COLUMNS($X$2:X681)),"")</f>
        <v/>
      </c>
      <c r="Z681" s="1" t="str">
        <f>IF($X681&lt;&gt;"",INDEX($P$2:$U$853,MATCH($X681,$W$2:$W$853,0),COLUMNS($X$2:Y681)),"")</f>
        <v/>
      </c>
      <c r="AA681" s="1" t="str">
        <f>IF($X681&lt;&gt;"",INDEX($P$2:$U$853,MATCH($X681,$W$2:$W$853,0),COLUMNS($X$2:Z681)),"")</f>
        <v/>
      </c>
      <c r="AB681" s="1" t="str">
        <f>IF($X681&lt;&gt;"",INDEX($P$2:$U$853,MATCH($X681,$W$2:$W$853,0),COLUMNS($X$2:AA681)),"")</f>
        <v/>
      </c>
      <c r="AC681" s="1" t="str">
        <f>IF($X681&lt;&gt;"",INDEX($P$2:$U$853,MATCH($X681,$W$2:$W$853,0),COLUMNS($X$2:AB681)),"")</f>
        <v/>
      </c>
      <c r="AD681" s="1" t="str">
        <f>IF($X681&lt;&gt;"",INDEX($P$2:$U$853,MATCH($X681,$W$2:$W$853,0),COLUMNS($X$2:AC681)),"")</f>
        <v/>
      </c>
    </row>
    <row r="682" spans="1:30" x14ac:dyDescent="0.2">
      <c r="A682" s="1">
        <v>2006</v>
      </c>
      <c r="B682" s="2">
        <v>38889</v>
      </c>
      <c r="C682" s="1" t="s">
        <v>503</v>
      </c>
      <c r="D682" s="1" t="s">
        <v>270</v>
      </c>
      <c r="E682" s="1" t="s">
        <v>419</v>
      </c>
      <c r="F682" s="1" t="s">
        <v>420</v>
      </c>
      <c r="G682" s="6" t="str">
        <f>VLOOKUP(A682,WorldCups!$A$2:$B$23,2,FALSE)</f>
        <v>Germany</v>
      </c>
      <c r="H682" s="1" t="s">
        <v>228</v>
      </c>
      <c r="I682" s="1">
        <v>1</v>
      </c>
      <c r="J682" s="1">
        <v>1</v>
      </c>
      <c r="K682" s="1" t="s">
        <v>426</v>
      </c>
      <c r="L682" s="1" t="s">
        <v>14</v>
      </c>
      <c r="M682" s="1" t="str">
        <f>IF(ISNUMBER(SEARCH("Group",Table2[[#This Row],[Round]])),"Group stages",Table2[[#This Row],[Round]])</f>
        <v>Group stages</v>
      </c>
      <c r="O682" s="1">
        <f>Table2[[#This Row],[Year]]</f>
        <v>2006</v>
      </c>
      <c r="P682" s="1" t="str">
        <f>INDEX(Table2[[HomeTeam]:[Group_details]],ROWS($N$2:N682),COLUMNS($N$2:N682))</f>
        <v>Iran</v>
      </c>
      <c r="Q682" s="1">
        <f>INDEX(Table2[[HomeTeam]:[Group_details]],ROWS($N$2:O682),COLUMNS($N$2:O682))</f>
        <v>1</v>
      </c>
      <c r="R682" s="1">
        <f>INDEX(Table2[[HomeTeam]:[Group_details]],ROWS($N$2:P682),COLUMNS($N$2:P682))</f>
        <v>1</v>
      </c>
      <c r="S682" s="1" t="str">
        <f>INDEX(Table2[[HomeTeam]:[Group_details]],ROWS($N$2:Q682),COLUMNS($N$2:Q682))</f>
        <v>Angola</v>
      </c>
      <c r="T682" s="1" t="str">
        <f>INDEX(Table2[[HomeTeam]:[Group_details]],ROWS($N$2:R682),COLUMNS($N$2:R682))</f>
        <v xml:space="preserve"> </v>
      </c>
      <c r="U682" s="1" t="str">
        <f>INDEX(Table2[[HomeTeam]:[Group_details]],ROWS($N$2:S682),COLUMNS($N$2:S682))</f>
        <v>Group stages</v>
      </c>
      <c r="V682" s="1" t="b">
        <f t="shared" si="10"/>
        <v>0</v>
      </c>
      <c r="W682" s="1" t="str">
        <f>IF(V682=TRUE,ROWS($V$2:V682),"")</f>
        <v/>
      </c>
      <c r="X682" s="1" t="str">
        <f>IFERROR(SMALL($W$2:$W$853,ROWS($W$2:W682)),"")</f>
        <v/>
      </c>
      <c r="Y682" s="1" t="str">
        <f>IF($X682&lt;&gt;"",INDEX($P$2:$U$853,MATCH($X682,$W$2:$W$853,0),COLUMNS($X$2:X682)),"")</f>
        <v/>
      </c>
      <c r="Z682" s="1" t="str">
        <f>IF($X682&lt;&gt;"",INDEX($P$2:$U$853,MATCH($X682,$W$2:$W$853,0),COLUMNS($X$2:Y682)),"")</f>
        <v/>
      </c>
      <c r="AA682" s="1" t="str">
        <f>IF($X682&lt;&gt;"",INDEX($P$2:$U$853,MATCH($X682,$W$2:$W$853,0),COLUMNS($X$2:Z682)),"")</f>
        <v/>
      </c>
      <c r="AB682" s="1" t="str">
        <f>IF($X682&lt;&gt;"",INDEX($P$2:$U$853,MATCH($X682,$W$2:$W$853,0),COLUMNS($X$2:AA682)),"")</f>
        <v/>
      </c>
      <c r="AC682" s="1" t="str">
        <f>IF($X682&lt;&gt;"",INDEX($P$2:$U$853,MATCH($X682,$W$2:$W$853,0),COLUMNS($X$2:AB682)),"")</f>
        <v/>
      </c>
      <c r="AD682" s="1" t="str">
        <f>IF($X682&lt;&gt;"",INDEX($P$2:$U$853,MATCH($X682,$W$2:$W$853,0),COLUMNS($X$2:AC682)),"")</f>
        <v/>
      </c>
    </row>
    <row r="683" spans="1:30" x14ac:dyDescent="0.2">
      <c r="A683" s="1">
        <v>2006</v>
      </c>
      <c r="B683" s="2">
        <v>38889</v>
      </c>
      <c r="C683" s="1" t="s">
        <v>503</v>
      </c>
      <c r="D683" s="1" t="s">
        <v>270</v>
      </c>
      <c r="E683" s="1" t="s">
        <v>413</v>
      </c>
      <c r="F683" s="1" t="s">
        <v>212</v>
      </c>
      <c r="G683" s="6" t="str">
        <f>VLOOKUP(A683,WorldCups!$A$2:$B$23,2,FALSE)</f>
        <v>Germany</v>
      </c>
      <c r="H683" s="1" t="s">
        <v>170</v>
      </c>
      <c r="I683" s="1">
        <v>2</v>
      </c>
      <c r="J683" s="1">
        <v>1</v>
      </c>
      <c r="K683" s="1" t="s">
        <v>13</v>
      </c>
      <c r="L683" s="1" t="s">
        <v>14</v>
      </c>
      <c r="M683" s="1" t="str">
        <f>IF(ISNUMBER(SEARCH("Group",Table2[[#This Row],[Round]])),"Group stages",Table2[[#This Row],[Round]])</f>
        <v>Group stages</v>
      </c>
      <c r="O683" s="1">
        <f>Table2[[#This Row],[Year]]</f>
        <v>2006</v>
      </c>
      <c r="P683" s="1" t="str">
        <f>INDEX(Table2[[HomeTeam]:[Group_details]],ROWS($N$2:N683),COLUMNS($N$2:N683))</f>
        <v>Portugal</v>
      </c>
      <c r="Q683" s="1">
        <f>INDEX(Table2[[HomeTeam]:[Group_details]],ROWS($N$2:O683),COLUMNS($N$2:O683))</f>
        <v>2</v>
      </c>
      <c r="R683" s="1">
        <f>INDEX(Table2[[HomeTeam]:[Group_details]],ROWS($N$2:P683),COLUMNS($N$2:P683))</f>
        <v>1</v>
      </c>
      <c r="S683" s="1" t="str">
        <f>INDEX(Table2[[HomeTeam]:[Group_details]],ROWS($N$2:Q683),COLUMNS($N$2:Q683))</f>
        <v>Mexico</v>
      </c>
      <c r="T683" s="1" t="str">
        <f>INDEX(Table2[[HomeTeam]:[Group_details]],ROWS($N$2:R683),COLUMNS($N$2:R683))</f>
        <v xml:space="preserve"> </v>
      </c>
      <c r="U683" s="1" t="str">
        <f>INDEX(Table2[[HomeTeam]:[Group_details]],ROWS($N$2:S683),COLUMNS($N$2:S683))</f>
        <v>Group stages</v>
      </c>
      <c r="V683" s="1" t="b">
        <f t="shared" si="10"/>
        <v>0</v>
      </c>
      <c r="W683" s="1" t="str">
        <f>IF(V683=TRUE,ROWS($V$2:V683),"")</f>
        <v/>
      </c>
      <c r="X683" s="1" t="str">
        <f>IFERROR(SMALL($W$2:$W$853,ROWS($W$2:W683)),"")</f>
        <v/>
      </c>
      <c r="Y683" s="1" t="str">
        <f>IF($X683&lt;&gt;"",INDEX($P$2:$U$853,MATCH($X683,$W$2:$W$853,0),COLUMNS($X$2:X683)),"")</f>
        <v/>
      </c>
      <c r="Z683" s="1" t="str">
        <f>IF($X683&lt;&gt;"",INDEX($P$2:$U$853,MATCH($X683,$W$2:$W$853,0),COLUMNS($X$2:Y683)),"")</f>
        <v/>
      </c>
      <c r="AA683" s="1" t="str">
        <f>IF($X683&lt;&gt;"",INDEX($P$2:$U$853,MATCH($X683,$W$2:$W$853,0),COLUMNS($X$2:Z683)),"")</f>
        <v/>
      </c>
      <c r="AB683" s="1" t="str">
        <f>IF($X683&lt;&gt;"",INDEX($P$2:$U$853,MATCH($X683,$W$2:$W$853,0),COLUMNS($X$2:AA683)),"")</f>
        <v/>
      </c>
      <c r="AC683" s="1" t="str">
        <f>IF($X683&lt;&gt;"",INDEX($P$2:$U$853,MATCH($X683,$W$2:$W$853,0),COLUMNS($X$2:AB683)),"")</f>
        <v/>
      </c>
      <c r="AD683" s="1" t="str">
        <f>IF($X683&lt;&gt;"",INDEX($P$2:$U$853,MATCH($X683,$W$2:$W$853,0),COLUMNS($X$2:AC683)),"")</f>
        <v/>
      </c>
    </row>
    <row r="684" spans="1:30" x14ac:dyDescent="0.2">
      <c r="A684" s="1">
        <v>2006</v>
      </c>
      <c r="B684" s="2">
        <v>38889</v>
      </c>
      <c r="C684" s="1" t="s">
        <v>530</v>
      </c>
      <c r="D684" s="1" t="s">
        <v>268</v>
      </c>
      <c r="E684" s="1" t="s">
        <v>414</v>
      </c>
      <c r="F684" s="1" t="s">
        <v>193</v>
      </c>
      <c r="G684" s="6" t="str">
        <f>VLOOKUP(A684,WorldCups!$A$2:$B$23,2,FALSE)</f>
        <v>Germany</v>
      </c>
      <c r="H684" s="1" t="s">
        <v>45</v>
      </c>
      <c r="I684" s="1">
        <v>0</v>
      </c>
      <c r="J684" s="1">
        <v>0</v>
      </c>
      <c r="K684" s="1" t="s">
        <v>25</v>
      </c>
      <c r="L684" s="1" t="s">
        <v>14</v>
      </c>
      <c r="M684" s="1" t="str">
        <f>IF(ISNUMBER(SEARCH("Group",Table2[[#This Row],[Round]])),"Group stages",Table2[[#This Row],[Round]])</f>
        <v>Group stages</v>
      </c>
      <c r="O684" s="1">
        <f>Table2[[#This Row],[Year]]</f>
        <v>2006</v>
      </c>
      <c r="P684" s="1" t="str">
        <f>INDEX(Table2[[HomeTeam]:[Group_details]],ROWS($N$2:N684),COLUMNS($N$2:N684))</f>
        <v>Netherlands</v>
      </c>
      <c r="Q684" s="1">
        <f>INDEX(Table2[[HomeTeam]:[Group_details]],ROWS($N$2:O684),COLUMNS($N$2:O684))</f>
        <v>0</v>
      </c>
      <c r="R684" s="1">
        <f>INDEX(Table2[[HomeTeam]:[Group_details]],ROWS($N$2:P684),COLUMNS($N$2:P684))</f>
        <v>0</v>
      </c>
      <c r="S684" s="1" t="str">
        <f>INDEX(Table2[[HomeTeam]:[Group_details]],ROWS($N$2:Q684),COLUMNS($N$2:Q684))</f>
        <v>Argentina</v>
      </c>
      <c r="T684" s="1" t="str">
        <f>INDEX(Table2[[HomeTeam]:[Group_details]],ROWS($N$2:R684),COLUMNS($N$2:R684))</f>
        <v xml:space="preserve"> </v>
      </c>
      <c r="U684" s="1" t="str">
        <f>INDEX(Table2[[HomeTeam]:[Group_details]],ROWS($N$2:S684),COLUMNS($N$2:S684))</f>
        <v>Group stages</v>
      </c>
      <c r="V684" s="1" t="b">
        <f t="shared" si="10"/>
        <v>0</v>
      </c>
      <c r="W684" s="1" t="str">
        <f>IF(V684=TRUE,ROWS($V$2:V684),"")</f>
        <v/>
      </c>
      <c r="X684" s="1" t="str">
        <f>IFERROR(SMALL($W$2:$W$853,ROWS($W$2:W684)),"")</f>
        <v/>
      </c>
      <c r="Y684" s="1" t="str">
        <f>IF($X684&lt;&gt;"",INDEX($P$2:$U$853,MATCH($X684,$W$2:$W$853,0),COLUMNS($X$2:X684)),"")</f>
        <v/>
      </c>
      <c r="Z684" s="1" t="str">
        <f>IF($X684&lt;&gt;"",INDEX($P$2:$U$853,MATCH($X684,$W$2:$W$853,0),COLUMNS($X$2:Y684)),"")</f>
        <v/>
      </c>
      <c r="AA684" s="1" t="str">
        <f>IF($X684&lt;&gt;"",INDEX($P$2:$U$853,MATCH($X684,$W$2:$W$853,0),COLUMNS($X$2:Z684)),"")</f>
        <v/>
      </c>
      <c r="AB684" s="1" t="str">
        <f>IF($X684&lt;&gt;"",INDEX($P$2:$U$853,MATCH($X684,$W$2:$W$853,0),COLUMNS($X$2:AA684)),"")</f>
        <v/>
      </c>
      <c r="AC684" s="1" t="str">
        <f>IF($X684&lt;&gt;"",INDEX($P$2:$U$853,MATCH($X684,$W$2:$W$853,0),COLUMNS($X$2:AB684)),"")</f>
        <v/>
      </c>
      <c r="AD684" s="1" t="str">
        <f>IF($X684&lt;&gt;"",INDEX($P$2:$U$853,MATCH($X684,$W$2:$W$853,0),COLUMNS($X$2:AC684)),"")</f>
        <v/>
      </c>
    </row>
    <row r="685" spans="1:30" x14ac:dyDescent="0.2">
      <c r="A685" s="1">
        <v>2006</v>
      </c>
      <c r="B685" s="2">
        <v>38889</v>
      </c>
      <c r="C685" s="1" t="s">
        <v>530</v>
      </c>
      <c r="D685" s="1" t="s">
        <v>268</v>
      </c>
      <c r="E685" s="1" t="s">
        <v>412</v>
      </c>
      <c r="F685" s="1" t="s">
        <v>207</v>
      </c>
      <c r="G685" s="6" t="str">
        <f>VLOOKUP(A685,WorldCups!$A$2:$B$23,2,FALSE)</f>
        <v>Germany</v>
      </c>
      <c r="H685" s="1" t="s">
        <v>418</v>
      </c>
      <c r="I685" s="1">
        <v>3</v>
      </c>
      <c r="J685" s="1">
        <v>2</v>
      </c>
      <c r="K685" s="1" t="s">
        <v>421</v>
      </c>
      <c r="L685" s="1" t="s">
        <v>14</v>
      </c>
      <c r="M685" s="1" t="str">
        <f>IF(ISNUMBER(SEARCH("Group",Table2[[#This Row],[Round]])),"Group stages",Table2[[#This Row],[Round]])</f>
        <v>Group stages</v>
      </c>
      <c r="O685" s="1">
        <f>Table2[[#This Row],[Year]]</f>
        <v>2006</v>
      </c>
      <c r="P685" s="1" t="str">
        <f>INDEX(Table2[[HomeTeam]:[Group_details]],ROWS($N$2:N685),COLUMNS($N$2:N685))</f>
        <v>Cï¿½te d'Ivoire</v>
      </c>
      <c r="Q685" s="1">
        <f>INDEX(Table2[[HomeTeam]:[Group_details]],ROWS($N$2:O685),COLUMNS($N$2:O685))</f>
        <v>3</v>
      </c>
      <c r="R685" s="1">
        <f>INDEX(Table2[[HomeTeam]:[Group_details]],ROWS($N$2:P685),COLUMNS($N$2:P685))</f>
        <v>2</v>
      </c>
      <c r="S685" s="1" t="str">
        <f>INDEX(Table2[[HomeTeam]:[Group_details]],ROWS($N$2:Q685),COLUMNS($N$2:Q685))</f>
        <v>Serbia and Montenegro</v>
      </c>
      <c r="T685" s="1" t="str">
        <f>INDEX(Table2[[HomeTeam]:[Group_details]],ROWS($N$2:R685),COLUMNS($N$2:R685))</f>
        <v xml:space="preserve"> </v>
      </c>
      <c r="U685" s="1" t="str">
        <f>INDEX(Table2[[HomeTeam]:[Group_details]],ROWS($N$2:S685),COLUMNS($N$2:S685))</f>
        <v>Group stages</v>
      </c>
      <c r="V685" s="1" t="b">
        <f t="shared" si="10"/>
        <v>0</v>
      </c>
      <c r="W685" s="1" t="str">
        <f>IF(V685=TRUE,ROWS($V$2:V685),"")</f>
        <v/>
      </c>
      <c r="X685" s="1" t="str">
        <f>IFERROR(SMALL($W$2:$W$853,ROWS($W$2:W685)),"")</f>
        <v/>
      </c>
      <c r="Y685" s="1" t="str">
        <f>IF($X685&lt;&gt;"",INDEX($P$2:$U$853,MATCH($X685,$W$2:$W$853,0),COLUMNS($X$2:X685)),"")</f>
        <v/>
      </c>
      <c r="Z685" s="1" t="str">
        <f>IF($X685&lt;&gt;"",INDEX($P$2:$U$853,MATCH($X685,$W$2:$W$853,0),COLUMNS($X$2:Y685)),"")</f>
        <v/>
      </c>
      <c r="AA685" s="1" t="str">
        <f>IF($X685&lt;&gt;"",INDEX($P$2:$U$853,MATCH($X685,$W$2:$W$853,0),COLUMNS($X$2:Z685)),"")</f>
        <v/>
      </c>
      <c r="AB685" s="1" t="str">
        <f>IF($X685&lt;&gt;"",INDEX($P$2:$U$853,MATCH($X685,$W$2:$W$853,0),COLUMNS($X$2:AA685)),"")</f>
        <v/>
      </c>
      <c r="AC685" s="1" t="str">
        <f>IF($X685&lt;&gt;"",INDEX($P$2:$U$853,MATCH($X685,$W$2:$W$853,0),COLUMNS($X$2:AB685)),"")</f>
        <v/>
      </c>
      <c r="AD685" s="1" t="str">
        <f>IF($X685&lt;&gt;"",INDEX($P$2:$U$853,MATCH($X685,$W$2:$W$853,0),COLUMNS($X$2:AC685)),"")</f>
        <v/>
      </c>
    </row>
    <row r="686" spans="1:30" x14ac:dyDescent="0.2">
      <c r="A686" s="1">
        <v>2006</v>
      </c>
      <c r="B686" s="2">
        <v>38890</v>
      </c>
      <c r="C686" s="1" t="s">
        <v>503</v>
      </c>
      <c r="D686" s="1" t="s">
        <v>281</v>
      </c>
      <c r="E686" s="1" t="s">
        <v>417</v>
      </c>
      <c r="F686" s="1" t="s">
        <v>197</v>
      </c>
      <c r="G686" s="6" t="str">
        <f>VLOOKUP(A686,WorldCups!$A$2:$B$23,2,FALSE)</f>
        <v>Germany</v>
      </c>
      <c r="H686" s="1" t="s">
        <v>429</v>
      </c>
      <c r="I686" s="1">
        <v>0</v>
      </c>
      <c r="J686" s="1">
        <v>2</v>
      </c>
      <c r="K686" s="1" t="s">
        <v>57</v>
      </c>
      <c r="L686" s="1" t="s">
        <v>14</v>
      </c>
      <c r="M686" s="1" t="str">
        <f>IF(ISNUMBER(SEARCH("Group",Table2[[#This Row],[Round]])),"Group stages",Table2[[#This Row],[Round]])</f>
        <v>Group stages</v>
      </c>
      <c r="O686" s="1">
        <f>Table2[[#This Row],[Year]]</f>
        <v>2006</v>
      </c>
      <c r="P686" s="1" t="str">
        <f>INDEX(Table2[[HomeTeam]:[Group_details]],ROWS($N$2:N686),COLUMNS($N$2:N686))</f>
        <v>Czech Republic</v>
      </c>
      <c r="Q686" s="1">
        <f>INDEX(Table2[[HomeTeam]:[Group_details]],ROWS($N$2:O686),COLUMNS($N$2:O686))</f>
        <v>0</v>
      </c>
      <c r="R686" s="1">
        <f>INDEX(Table2[[HomeTeam]:[Group_details]],ROWS($N$2:P686),COLUMNS($N$2:P686))</f>
        <v>2</v>
      </c>
      <c r="S686" s="1" t="str">
        <f>INDEX(Table2[[HomeTeam]:[Group_details]],ROWS($N$2:Q686),COLUMNS($N$2:Q686))</f>
        <v>Italy</v>
      </c>
      <c r="T686" s="1" t="str">
        <f>INDEX(Table2[[HomeTeam]:[Group_details]],ROWS($N$2:R686),COLUMNS($N$2:R686))</f>
        <v xml:space="preserve"> </v>
      </c>
      <c r="U686" s="1" t="str">
        <f>INDEX(Table2[[HomeTeam]:[Group_details]],ROWS($N$2:S686),COLUMNS($N$2:S686))</f>
        <v>Group stages</v>
      </c>
      <c r="V686" s="1" t="b">
        <f t="shared" si="10"/>
        <v>0</v>
      </c>
      <c r="W686" s="1" t="str">
        <f>IF(V686=TRUE,ROWS($V$2:V686),"")</f>
        <v/>
      </c>
      <c r="X686" s="1" t="str">
        <f>IFERROR(SMALL($W$2:$W$853,ROWS($W$2:W686)),"")</f>
        <v/>
      </c>
      <c r="Y686" s="1" t="str">
        <f>IF($X686&lt;&gt;"",INDEX($P$2:$U$853,MATCH($X686,$W$2:$W$853,0),COLUMNS($X$2:X686)),"")</f>
        <v/>
      </c>
      <c r="Z686" s="1" t="str">
        <f>IF($X686&lt;&gt;"",INDEX($P$2:$U$853,MATCH($X686,$W$2:$W$853,0),COLUMNS($X$2:Y686)),"")</f>
        <v/>
      </c>
      <c r="AA686" s="1" t="str">
        <f>IF($X686&lt;&gt;"",INDEX($P$2:$U$853,MATCH($X686,$W$2:$W$853,0),COLUMNS($X$2:Z686)),"")</f>
        <v/>
      </c>
      <c r="AB686" s="1" t="str">
        <f>IF($X686&lt;&gt;"",INDEX($P$2:$U$853,MATCH($X686,$W$2:$W$853,0),COLUMNS($X$2:AA686)),"")</f>
        <v/>
      </c>
      <c r="AC686" s="1" t="str">
        <f>IF($X686&lt;&gt;"",INDEX($P$2:$U$853,MATCH($X686,$W$2:$W$853,0),COLUMNS($X$2:AB686)),"")</f>
        <v/>
      </c>
      <c r="AD686" s="1" t="str">
        <f>IF($X686&lt;&gt;"",INDEX($P$2:$U$853,MATCH($X686,$W$2:$W$853,0),COLUMNS($X$2:AC686)),"")</f>
        <v/>
      </c>
    </row>
    <row r="687" spans="1:30" x14ac:dyDescent="0.2">
      <c r="A687" s="1">
        <v>2006</v>
      </c>
      <c r="B687" s="2">
        <v>38890</v>
      </c>
      <c r="C687" s="1" t="s">
        <v>503</v>
      </c>
      <c r="D687" s="1" t="s">
        <v>281</v>
      </c>
      <c r="E687" s="1" t="s">
        <v>422</v>
      </c>
      <c r="F687" s="1" t="s">
        <v>423</v>
      </c>
      <c r="G687" s="6" t="str">
        <f>VLOOKUP(A687,WorldCups!$A$2:$B$23,2,FALSE)</f>
        <v>Germany</v>
      </c>
      <c r="H687" s="1" t="s">
        <v>431</v>
      </c>
      <c r="I687" s="1">
        <v>2</v>
      </c>
      <c r="J687" s="1">
        <v>1</v>
      </c>
      <c r="K687" s="1" t="s">
        <v>17</v>
      </c>
      <c r="L687" s="1" t="s">
        <v>14</v>
      </c>
      <c r="M687" s="1" t="str">
        <f>IF(ISNUMBER(SEARCH("Group",Table2[[#This Row],[Round]])),"Group stages",Table2[[#This Row],[Round]])</f>
        <v>Group stages</v>
      </c>
      <c r="O687" s="1">
        <f>Table2[[#This Row],[Year]]</f>
        <v>2006</v>
      </c>
      <c r="P687" s="1" t="str">
        <f>INDEX(Table2[[HomeTeam]:[Group_details]],ROWS($N$2:N687),COLUMNS($N$2:N687))</f>
        <v>Ghana</v>
      </c>
      <c r="Q687" s="1">
        <f>INDEX(Table2[[HomeTeam]:[Group_details]],ROWS($N$2:O687),COLUMNS($N$2:O687))</f>
        <v>2</v>
      </c>
      <c r="R687" s="1">
        <f>INDEX(Table2[[HomeTeam]:[Group_details]],ROWS($N$2:P687),COLUMNS($N$2:P687))</f>
        <v>1</v>
      </c>
      <c r="S687" s="1" t="str">
        <f>INDEX(Table2[[HomeTeam]:[Group_details]],ROWS($N$2:Q687),COLUMNS($N$2:Q687))</f>
        <v>USA</v>
      </c>
      <c r="T687" s="1" t="str">
        <f>INDEX(Table2[[HomeTeam]:[Group_details]],ROWS($N$2:R687),COLUMNS($N$2:R687))</f>
        <v xml:space="preserve"> </v>
      </c>
      <c r="U687" s="1" t="str">
        <f>INDEX(Table2[[HomeTeam]:[Group_details]],ROWS($N$2:S687),COLUMNS($N$2:S687))</f>
        <v>Group stages</v>
      </c>
      <c r="V687" s="1" t="b">
        <f t="shared" si="10"/>
        <v>0</v>
      </c>
      <c r="W687" s="1" t="str">
        <f>IF(V687=TRUE,ROWS($V$2:V687),"")</f>
        <v/>
      </c>
      <c r="X687" s="1" t="str">
        <f>IFERROR(SMALL($W$2:$W$853,ROWS($W$2:W687)),"")</f>
        <v/>
      </c>
      <c r="Y687" s="1" t="str">
        <f>IF($X687&lt;&gt;"",INDEX($P$2:$U$853,MATCH($X687,$W$2:$W$853,0),COLUMNS($X$2:X687)),"")</f>
        <v/>
      </c>
      <c r="Z687" s="1" t="str">
        <f>IF($X687&lt;&gt;"",INDEX($P$2:$U$853,MATCH($X687,$W$2:$W$853,0),COLUMNS($X$2:Y687)),"")</f>
        <v/>
      </c>
      <c r="AA687" s="1" t="str">
        <f>IF($X687&lt;&gt;"",INDEX($P$2:$U$853,MATCH($X687,$W$2:$W$853,0),COLUMNS($X$2:Z687)),"")</f>
        <v/>
      </c>
      <c r="AB687" s="1" t="str">
        <f>IF($X687&lt;&gt;"",INDEX($P$2:$U$853,MATCH($X687,$W$2:$W$853,0),COLUMNS($X$2:AA687)),"")</f>
        <v/>
      </c>
      <c r="AC687" s="1" t="str">
        <f>IF($X687&lt;&gt;"",INDEX($P$2:$U$853,MATCH($X687,$W$2:$W$853,0),COLUMNS($X$2:AB687)),"")</f>
        <v/>
      </c>
      <c r="AD687" s="1" t="str">
        <f>IF($X687&lt;&gt;"",INDEX($P$2:$U$853,MATCH($X687,$W$2:$W$853,0),COLUMNS($X$2:AC687)),"")</f>
        <v/>
      </c>
    </row>
    <row r="688" spans="1:30" x14ac:dyDescent="0.2">
      <c r="A688" s="1">
        <v>2006</v>
      </c>
      <c r="B688" s="2">
        <v>38890</v>
      </c>
      <c r="C688" s="1" t="s">
        <v>530</v>
      </c>
      <c r="D688" s="1" t="s">
        <v>274</v>
      </c>
      <c r="E688" s="1" t="s">
        <v>415</v>
      </c>
      <c r="F688" s="1" t="s">
        <v>201</v>
      </c>
      <c r="G688" s="6" t="str">
        <f>VLOOKUP(A688,WorldCups!$A$2:$B$23,2,FALSE)</f>
        <v>Germany</v>
      </c>
      <c r="H688" s="1" t="s">
        <v>356</v>
      </c>
      <c r="I688" s="1">
        <v>1</v>
      </c>
      <c r="J688" s="1">
        <v>4</v>
      </c>
      <c r="K688" s="1" t="s">
        <v>21</v>
      </c>
      <c r="L688" s="1" t="s">
        <v>14</v>
      </c>
      <c r="M688" s="1" t="str">
        <f>IF(ISNUMBER(SEARCH("Group",Table2[[#This Row],[Round]])),"Group stages",Table2[[#This Row],[Round]])</f>
        <v>Group stages</v>
      </c>
      <c r="O688" s="1">
        <f>Table2[[#This Row],[Year]]</f>
        <v>2006</v>
      </c>
      <c r="P688" s="1" t="str">
        <f>INDEX(Table2[[HomeTeam]:[Group_details]],ROWS($N$2:N688),COLUMNS($N$2:N688))</f>
        <v>Japan</v>
      </c>
      <c r="Q688" s="1">
        <f>INDEX(Table2[[HomeTeam]:[Group_details]],ROWS($N$2:O688),COLUMNS($N$2:O688))</f>
        <v>1</v>
      </c>
      <c r="R688" s="1">
        <f>INDEX(Table2[[HomeTeam]:[Group_details]],ROWS($N$2:P688),COLUMNS($N$2:P688))</f>
        <v>4</v>
      </c>
      <c r="S688" s="1" t="str">
        <f>INDEX(Table2[[HomeTeam]:[Group_details]],ROWS($N$2:Q688),COLUMNS($N$2:Q688))</f>
        <v>Brazil</v>
      </c>
      <c r="T688" s="1" t="str">
        <f>INDEX(Table2[[HomeTeam]:[Group_details]],ROWS($N$2:R688),COLUMNS($N$2:R688))</f>
        <v xml:space="preserve"> </v>
      </c>
      <c r="U688" s="1" t="str">
        <f>INDEX(Table2[[HomeTeam]:[Group_details]],ROWS($N$2:S688),COLUMNS($N$2:S688))</f>
        <v>Group stages</v>
      </c>
      <c r="V688" s="1" t="b">
        <f t="shared" si="10"/>
        <v>0</v>
      </c>
      <c r="W688" s="1" t="str">
        <f>IF(V688=TRUE,ROWS($V$2:V688),"")</f>
        <v/>
      </c>
      <c r="X688" s="1" t="str">
        <f>IFERROR(SMALL($W$2:$W$853,ROWS($W$2:W688)),"")</f>
        <v/>
      </c>
      <c r="Y688" s="1" t="str">
        <f>IF($X688&lt;&gt;"",INDEX($P$2:$U$853,MATCH($X688,$W$2:$W$853,0),COLUMNS($X$2:X688)),"")</f>
        <v/>
      </c>
      <c r="Z688" s="1" t="str">
        <f>IF($X688&lt;&gt;"",INDEX($P$2:$U$853,MATCH($X688,$W$2:$W$853,0),COLUMNS($X$2:Y688)),"")</f>
        <v/>
      </c>
      <c r="AA688" s="1" t="str">
        <f>IF($X688&lt;&gt;"",INDEX($P$2:$U$853,MATCH($X688,$W$2:$W$853,0),COLUMNS($X$2:Z688)),"")</f>
        <v/>
      </c>
      <c r="AB688" s="1" t="str">
        <f>IF($X688&lt;&gt;"",INDEX($P$2:$U$853,MATCH($X688,$W$2:$W$853,0),COLUMNS($X$2:AA688)),"")</f>
        <v/>
      </c>
      <c r="AC688" s="1" t="str">
        <f>IF($X688&lt;&gt;"",INDEX($P$2:$U$853,MATCH($X688,$W$2:$W$853,0),COLUMNS($X$2:AB688)),"")</f>
        <v/>
      </c>
      <c r="AD688" s="1" t="str">
        <f>IF($X688&lt;&gt;"",INDEX($P$2:$U$853,MATCH($X688,$W$2:$W$853,0),COLUMNS($X$2:AC688)),"")</f>
        <v/>
      </c>
    </row>
    <row r="689" spans="1:30" x14ac:dyDescent="0.2">
      <c r="A689" s="1">
        <v>2006</v>
      </c>
      <c r="B689" s="2">
        <v>38890</v>
      </c>
      <c r="C689" s="1" t="s">
        <v>530</v>
      </c>
      <c r="D689" s="1" t="s">
        <v>274</v>
      </c>
      <c r="E689" s="1" t="s">
        <v>433</v>
      </c>
      <c r="F689" s="1" t="s">
        <v>210</v>
      </c>
      <c r="G689" s="6" t="str">
        <f>VLOOKUP(A689,WorldCups!$A$2:$B$23,2,FALSE)</f>
        <v>Germany</v>
      </c>
      <c r="H689" s="1" t="s">
        <v>360</v>
      </c>
      <c r="I689" s="1">
        <v>2</v>
      </c>
      <c r="J689" s="1">
        <v>2</v>
      </c>
      <c r="K689" s="1" t="s">
        <v>199</v>
      </c>
      <c r="L689" s="1" t="s">
        <v>14</v>
      </c>
      <c r="M689" s="1" t="str">
        <f>IF(ISNUMBER(SEARCH("Group",Table2[[#This Row],[Round]])),"Group stages",Table2[[#This Row],[Round]])</f>
        <v>Group stages</v>
      </c>
      <c r="O689" s="1">
        <f>Table2[[#This Row],[Year]]</f>
        <v>2006</v>
      </c>
      <c r="P689" s="1" t="str">
        <f>INDEX(Table2[[HomeTeam]:[Group_details]],ROWS($N$2:N689),COLUMNS($N$2:N689))</f>
        <v>Croatia</v>
      </c>
      <c r="Q689" s="1">
        <f>INDEX(Table2[[HomeTeam]:[Group_details]],ROWS($N$2:O689),COLUMNS($N$2:O689))</f>
        <v>2</v>
      </c>
      <c r="R689" s="1">
        <f>INDEX(Table2[[HomeTeam]:[Group_details]],ROWS($N$2:P689),COLUMNS($N$2:P689))</f>
        <v>2</v>
      </c>
      <c r="S689" s="1" t="str">
        <f>INDEX(Table2[[HomeTeam]:[Group_details]],ROWS($N$2:Q689),COLUMNS($N$2:Q689))</f>
        <v>Australia</v>
      </c>
      <c r="T689" s="1" t="str">
        <f>INDEX(Table2[[HomeTeam]:[Group_details]],ROWS($N$2:R689),COLUMNS($N$2:R689))</f>
        <v xml:space="preserve"> </v>
      </c>
      <c r="U689" s="1" t="str">
        <f>INDEX(Table2[[HomeTeam]:[Group_details]],ROWS($N$2:S689),COLUMNS($N$2:S689))</f>
        <v>Group stages</v>
      </c>
      <c r="V689" s="1" t="b">
        <f t="shared" si="10"/>
        <v>0</v>
      </c>
      <c r="W689" s="1" t="str">
        <f>IF(V689=TRUE,ROWS($V$2:V689),"")</f>
        <v/>
      </c>
      <c r="X689" s="1" t="str">
        <f>IFERROR(SMALL($W$2:$W$853,ROWS($W$2:W689)),"")</f>
        <v/>
      </c>
      <c r="Y689" s="1" t="str">
        <f>IF($X689&lt;&gt;"",INDEX($P$2:$U$853,MATCH($X689,$W$2:$W$853,0),COLUMNS($X$2:X689)),"")</f>
        <v/>
      </c>
      <c r="Z689" s="1" t="str">
        <f>IF($X689&lt;&gt;"",INDEX($P$2:$U$853,MATCH($X689,$W$2:$W$853,0),COLUMNS($X$2:Y689)),"")</f>
        <v/>
      </c>
      <c r="AA689" s="1" t="str">
        <f>IF($X689&lt;&gt;"",INDEX($P$2:$U$853,MATCH($X689,$W$2:$W$853,0),COLUMNS($X$2:Z689)),"")</f>
        <v/>
      </c>
      <c r="AB689" s="1" t="str">
        <f>IF($X689&lt;&gt;"",INDEX($P$2:$U$853,MATCH($X689,$W$2:$W$853,0),COLUMNS($X$2:AA689)),"")</f>
        <v/>
      </c>
      <c r="AC689" s="1" t="str">
        <f>IF($X689&lt;&gt;"",INDEX($P$2:$U$853,MATCH($X689,$W$2:$W$853,0),COLUMNS($X$2:AB689)),"")</f>
        <v/>
      </c>
      <c r="AD689" s="1" t="str">
        <f>IF($X689&lt;&gt;"",INDEX($P$2:$U$853,MATCH($X689,$W$2:$W$853,0),COLUMNS($X$2:AC689)),"")</f>
        <v/>
      </c>
    </row>
    <row r="690" spans="1:30" x14ac:dyDescent="0.2">
      <c r="A690" s="1">
        <v>2006</v>
      </c>
      <c r="B690" s="2">
        <v>38891</v>
      </c>
      <c r="C690" s="1" t="s">
        <v>503</v>
      </c>
      <c r="D690" s="1" t="s">
        <v>355</v>
      </c>
      <c r="E690" s="1" t="s">
        <v>194</v>
      </c>
      <c r="F690" s="1" t="s">
        <v>434</v>
      </c>
      <c r="G690" s="6" t="str">
        <f>VLOOKUP(A690,WorldCups!$A$2:$B$23,2,FALSE)</f>
        <v>Germany</v>
      </c>
      <c r="H690" s="1" t="s">
        <v>435</v>
      </c>
      <c r="I690" s="1">
        <v>1</v>
      </c>
      <c r="J690" s="1">
        <v>0</v>
      </c>
      <c r="K690" s="1" t="s">
        <v>221</v>
      </c>
      <c r="L690" s="1" t="s">
        <v>14</v>
      </c>
      <c r="M690" s="1" t="str">
        <f>IF(ISNUMBER(SEARCH("Group",Table2[[#This Row],[Round]])),"Group stages",Table2[[#This Row],[Round]])</f>
        <v>Group stages</v>
      </c>
      <c r="O690" s="1">
        <f>Table2[[#This Row],[Year]]</f>
        <v>2006</v>
      </c>
      <c r="P690" s="1" t="str">
        <f>INDEX(Table2[[HomeTeam]:[Group_details]],ROWS($N$2:N690),COLUMNS($N$2:N690))</f>
        <v>Ukraine</v>
      </c>
      <c r="Q690" s="1">
        <f>INDEX(Table2[[HomeTeam]:[Group_details]],ROWS($N$2:O690),COLUMNS($N$2:O690))</f>
        <v>1</v>
      </c>
      <c r="R690" s="1">
        <f>INDEX(Table2[[HomeTeam]:[Group_details]],ROWS($N$2:P690),COLUMNS($N$2:P690))</f>
        <v>0</v>
      </c>
      <c r="S690" s="1" t="str">
        <f>INDEX(Table2[[HomeTeam]:[Group_details]],ROWS($N$2:Q690),COLUMNS($N$2:Q690))</f>
        <v>Tunisia</v>
      </c>
      <c r="T690" s="1" t="str">
        <f>INDEX(Table2[[HomeTeam]:[Group_details]],ROWS($N$2:R690),COLUMNS($N$2:R690))</f>
        <v xml:space="preserve"> </v>
      </c>
      <c r="U690" s="1" t="str">
        <f>INDEX(Table2[[HomeTeam]:[Group_details]],ROWS($N$2:S690),COLUMNS($N$2:S690))</f>
        <v>Group stages</v>
      </c>
      <c r="V690" s="1" t="b">
        <f t="shared" si="10"/>
        <v>0</v>
      </c>
      <c r="W690" s="1" t="str">
        <f>IF(V690=TRUE,ROWS($V$2:V690),"")</f>
        <v/>
      </c>
      <c r="X690" s="1" t="str">
        <f>IFERROR(SMALL($W$2:$W$853,ROWS($W$2:W690)),"")</f>
        <v/>
      </c>
      <c r="Y690" s="1" t="str">
        <f>IF($X690&lt;&gt;"",INDEX($P$2:$U$853,MATCH($X690,$W$2:$W$853,0),COLUMNS($X$2:X690)),"")</f>
        <v/>
      </c>
      <c r="Z690" s="1" t="str">
        <f>IF($X690&lt;&gt;"",INDEX($P$2:$U$853,MATCH($X690,$W$2:$W$853,0),COLUMNS($X$2:Y690)),"")</f>
        <v/>
      </c>
      <c r="AA690" s="1" t="str">
        <f>IF($X690&lt;&gt;"",INDEX($P$2:$U$853,MATCH($X690,$W$2:$W$853,0),COLUMNS($X$2:Z690)),"")</f>
        <v/>
      </c>
      <c r="AB690" s="1" t="str">
        <f>IF($X690&lt;&gt;"",INDEX($P$2:$U$853,MATCH($X690,$W$2:$W$853,0),COLUMNS($X$2:AA690)),"")</f>
        <v/>
      </c>
      <c r="AC690" s="1" t="str">
        <f>IF($X690&lt;&gt;"",INDEX($P$2:$U$853,MATCH($X690,$W$2:$W$853,0),COLUMNS($X$2:AB690)),"")</f>
        <v/>
      </c>
      <c r="AD690" s="1" t="str">
        <f>IF($X690&lt;&gt;"",INDEX($P$2:$U$853,MATCH($X690,$W$2:$W$853,0),COLUMNS($X$2:AC690)),"")</f>
        <v/>
      </c>
    </row>
    <row r="691" spans="1:30" x14ac:dyDescent="0.2">
      <c r="A691" s="1">
        <v>2006</v>
      </c>
      <c r="B691" s="2">
        <v>38891</v>
      </c>
      <c r="C691" s="1" t="s">
        <v>503</v>
      </c>
      <c r="D691" s="1" t="s">
        <v>355</v>
      </c>
      <c r="E691" s="1" t="s">
        <v>427</v>
      </c>
      <c r="F691" s="1" t="s">
        <v>428</v>
      </c>
      <c r="G691" s="6" t="str">
        <f>VLOOKUP(A691,WorldCups!$A$2:$B$23,2,FALSE)</f>
        <v>Germany</v>
      </c>
      <c r="H691" s="1" t="s">
        <v>333</v>
      </c>
      <c r="I691" s="1">
        <v>0</v>
      </c>
      <c r="J691" s="1">
        <v>1</v>
      </c>
      <c r="K691" s="1" t="s">
        <v>54</v>
      </c>
      <c r="L691" s="1" t="s">
        <v>14</v>
      </c>
      <c r="M691" s="1" t="str">
        <f>IF(ISNUMBER(SEARCH("Group",Table2[[#This Row],[Round]])),"Group stages",Table2[[#This Row],[Round]])</f>
        <v>Group stages</v>
      </c>
      <c r="O691" s="1">
        <f>Table2[[#This Row],[Year]]</f>
        <v>2006</v>
      </c>
      <c r="P691" s="1" t="str">
        <f>INDEX(Table2[[HomeTeam]:[Group_details]],ROWS($N$2:N691),COLUMNS($N$2:N691))</f>
        <v>Saudi Arabia</v>
      </c>
      <c r="Q691" s="1">
        <f>INDEX(Table2[[HomeTeam]:[Group_details]],ROWS($N$2:O691),COLUMNS($N$2:O691))</f>
        <v>0</v>
      </c>
      <c r="R691" s="1">
        <f>INDEX(Table2[[HomeTeam]:[Group_details]],ROWS($N$2:P691),COLUMNS($N$2:P691))</f>
        <v>1</v>
      </c>
      <c r="S691" s="1" t="str">
        <f>INDEX(Table2[[HomeTeam]:[Group_details]],ROWS($N$2:Q691),COLUMNS($N$2:Q691))</f>
        <v>Spain</v>
      </c>
      <c r="T691" s="1" t="str">
        <f>INDEX(Table2[[HomeTeam]:[Group_details]],ROWS($N$2:R691),COLUMNS($N$2:R691))</f>
        <v xml:space="preserve"> </v>
      </c>
      <c r="U691" s="1" t="str">
        <f>INDEX(Table2[[HomeTeam]:[Group_details]],ROWS($N$2:S691),COLUMNS($N$2:S691))</f>
        <v>Group stages</v>
      </c>
      <c r="V691" s="1" t="b">
        <f t="shared" si="10"/>
        <v>0</v>
      </c>
      <c r="W691" s="1" t="str">
        <f>IF(V691=TRUE,ROWS($V$2:V691),"")</f>
        <v/>
      </c>
      <c r="X691" s="1" t="str">
        <f>IFERROR(SMALL($W$2:$W$853,ROWS($W$2:W691)),"")</f>
        <v/>
      </c>
      <c r="Y691" s="1" t="str">
        <f>IF($X691&lt;&gt;"",INDEX($P$2:$U$853,MATCH($X691,$W$2:$W$853,0),COLUMNS($X$2:X691)),"")</f>
        <v/>
      </c>
      <c r="Z691" s="1" t="str">
        <f>IF($X691&lt;&gt;"",INDEX($P$2:$U$853,MATCH($X691,$W$2:$W$853,0),COLUMNS($X$2:Y691)),"")</f>
        <v/>
      </c>
      <c r="AA691" s="1" t="str">
        <f>IF($X691&lt;&gt;"",INDEX($P$2:$U$853,MATCH($X691,$W$2:$W$853,0),COLUMNS($X$2:Z691)),"")</f>
        <v/>
      </c>
      <c r="AB691" s="1" t="str">
        <f>IF($X691&lt;&gt;"",INDEX($P$2:$U$853,MATCH($X691,$W$2:$W$853,0),COLUMNS($X$2:AA691)),"")</f>
        <v/>
      </c>
      <c r="AC691" s="1" t="str">
        <f>IF($X691&lt;&gt;"",INDEX($P$2:$U$853,MATCH($X691,$W$2:$W$853,0),COLUMNS($X$2:AB691)),"")</f>
        <v/>
      </c>
      <c r="AD691" s="1" t="str">
        <f>IF($X691&lt;&gt;"",INDEX($P$2:$U$853,MATCH($X691,$W$2:$W$853,0),COLUMNS($X$2:AC691)),"")</f>
        <v/>
      </c>
    </row>
    <row r="692" spans="1:30" x14ac:dyDescent="0.2">
      <c r="A692" s="1">
        <v>2006</v>
      </c>
      <c r="B692" s="2">
        <v>38891</v>
      </c>
      <c r="C692" s="1" t="s">
        <v>530</v>
      </c>
      <c r="D692" s="1" t="s">
        <v>361</v>
      </c>
      <c r="E692" s="1" t="s">
        <v>424</v>
      </c>
      <c r="F692" s="1" t="s">
        <v>425</v>
      </c>
      <c r="G692" s="6" t="str">
        <f>VLOOKUP(A692,WorldCups!$A$2:$B$23,2,FALSE)</f>
        <v>Germany</v>
      </c>
      <c r="H692" s="1" t="s">
        <v>432</v>
      </c>
      <c r="I692" s="1">
        <v>0</v>
      </c>
      <c r="J692" s="1">
        <v>2</v>
      </c>
      <c r="K692" s="1" t="s">
        <v>12</v>
      </c>
      <c r="L692" s="1" t="s">
        <v>14</v>
      </c>
      <c r="M692" s="1" t="str">
        <f>IF(ISNUMBER(SEARCH("Group",Table2[[#This Row],[Round]])),"Group stages",Table2[[#This Row],[Round]])</f>
        <v>Group stages</v>
      </c>
      <c r="O692" s="1">
        <f>Table2[[#This Row],[Year]]</f>
        <v>2006</v>
      </c>
      <c r="P692" s="1" t="str">
        <f>INDEX(Table2[[HomeTeam]:[Group_details]],ROWS($N$2:N692),COLUMNS($N$2:N692))</f>
        <v>Togo</v>
      </c>
      <c r="Q692" s="1">
        <f>INDEX(Table2[[HomeTeam]:[Group_details]],ROWS($N$2:O692),COLUMNS($N$2:O692))</f>
        <v>0</v>
      </c>
      <c r="R692" s="1">
        <f>INDEX(Table2[[HomeTeam]:[Group_details]],ROWS($N$2:P692),COLUMNS($N$2:P692))</f>
        <v>2</v>
      </c>
      <c r="S692" s="1" t="str">
        <f>INDEX(Table2[[HomeTeam]:[Group_details]],ROWS($N$2:Q692),COLUMNS($N$2:Q692))</f>
        <v>France</v>
      </c>
      <c r="T692" s="1" t="str">
        <f>INDEX(Table2[[HomeTeam]:[Group_details]],ROWS($N$2:R692),COLUMNS($N$2:R692))</f>
        <v xml:space="preserve"> </v>
      </c>
      <c r="U692" s="1" t="str">
        <f>INDEX(Table2[[HomeTeam]:[Group_details]],ROWS($N$2:S692),COLUMNS($N$2:S692))</f>
        <v>Group stages</v>
      </c>
      <c r="V692" s="1" t="b">
        <f t="shared" si="10"/>
        <v>0</v>
      </c>
      <c r="W692" s="1" t="str">
        <f>IF(V692=TRUE,ROWS($V$2:V692),"")</f>
        <v/>
      </c>
      <c r="X692" s="1" t="str">
        <f>IFERROR(SMALL($W$2:$W$853,ROWS($W$2:W692)),"")</f>
        <v/>
      </c>
      <c r="Y692" s="1" t="str">
        <f>IF($X692&lt;&gt;"",INDEX($P$2:$U$853,MATCH($X692,$W$2:$W$853,0),COLUMNS($X$2:X692)),"")</f>
        <v/>
      </c>
      <c r="Z692" s="1" t="str">
        <f>IF($X692&lt;&gt;"",INDEX($P$2:$U$853,MATCH($X692,$W$2:$W$853,0),COLUMNS($X$2:Y692)),"")</f>
        <v/>
      </c>
      <c r="AA692" s="1" t="str">
        <f>IF($X692&lt;&gt;"",INDEX($P$2:$U$853,MATCH($X692,$W$2:$W$853,0),COLUMNS($X$2:Z692)),"")</f>
        <v/>
      </c>
      <c r="AB692" s="1" t="str">
        <f>IF($X692&lt;&gt;"",INDEX($P$2:$U$853,MATCH($X692,$W$2:$W$853,0),COLUMNS($X$2:AA692)),"")</f>
        <v/>
      </c>
      <c r="AC692" s="1" t="str">
        <f>IF($X692&lt;&gt;"",INDEX($P$2:$U$853,MATCH($X692,$W$2:$W$853,0),COLUMNS($X$2:AB692)),"")</f>
        <v/>
      </c>
      <c r="AD692" s="1" t="str">
        <f>IF($X692&lt;&gt;"",INDEX($P$2:$U$853,MATCH($X692,$W$2:$W$853,0),COLUMNS($X$2:AC692)),"")</f>
        <v/>
      </c>
    </row>
    <row r="693" spans="1:30" x14ac:dyDescent="0.2">
      <c r="A693" s="1">
        <v>2006</v>
      </c>
      <c r="B693" s="2">
        <v>38891</v>
      </c>
      <c r="C693" s="1" t="s">
        <v>530</v>
      </c>
      <c r="D693" s="1" t="s">
        <v>361</v>
      </c>
      <c r="E693" s="1" t="s">
        <v>430</v>
      </c>
      <c r="F693" s="1" t="s">
        <v>204</v>
      </c>
      <c r="G693" s="6" t="str">
        <f>VLOOKUP(A693,WorldCups!$A$2:$B$23,2,FALSE)</f>
        <v>Germany</v>
      </c>
      <c r="H693" s="1" t="s">
        <v>44</v>
      </c>
      <c r="I693" s="1">
        <v>2</v>
      </c>
      <c r="J693" s="1">
        <v>0</v>
      </c>
      <c r="K693" s="1" t="s">
        <v>116</v>
      </c>
      <c r="L693" s="1" t="s">
        <v>14</v>
      </c>
      <c r="M693" s="1" t="str">
        <f>IF(ISNUMBER(SEARCH("Group",Table2[[#This Row],[Round]])),"Group stages",Table2[[#This Row],[Round]])</f>
        <v>Group stages</v>
      </c>
      <c r="O693" s="1">
        <f>Table2[[#This Row],[Year]]</f>
        <v>2006</v>
      </c>
      <c r="P693" s="1" t="str">
        <f>INDEX(Table2[[HomeTeam]:[Group_details]],ROWS($N$2:N693),COLUMNS($N$2:N693))</f>
        <v>Switzerland</v>
      </c>
      <c r="Q693" s="1">
        <f>INDEX(Table2[[HomeTeam]:[Group_details]],ROWS($N$2:O693),COLUMNS($N$2:O693))</f>
        <v>2</v>
      </c>
      <c r="R693" s="1">
        <f>INDEX(Table2[[HomeTeam]:[Group_details]],ROWS($N$2:P693),COLUMNS($N$2:P693))</f>
        <v>0</v>
      </c>
      <c r="S693" s="1" t="str">
        <f>INDEX(Table2[[HomeTeam]:[Group_details]],ROWS($N$2:Q693),COLUMNS($N$2:Q693))</f>
        <v>Korea Republic</v>
      </c>
      <c r="T693" s="1" t="str">
        <f>INDEX(Table2[[HomeTeam]:[Group_details]],ROWS($N$2:R693),COLUMNS($N$2:R693))</f>
        <v xml:space="preserve"> </v>
      </c>
      <c r="U693" s="1" t="str">
        <f>INDEX(Table2[[HomeTeam]:[Group_details]],ROWS($N$2:S693),COLUMNS($N$2:S693))</f>
        <v>Group stages</v>
      </c>
      <c r="V693" s="1" t="b">
        <f t="shared" si="10"/>
        <v>0</v>
      </c>
      <c r="W693" s="1" t="str">
        <f>IF(V693=TRUE,ROWS($V$2:V693),"")</f>
        <v/>
      </c>
      <c r="X693" s="1" t="str">
        <f>IFERROR(SMALL($W$2:$W$853,ROWS($W$2:W693)),"")</f>
        <v/>
      </c>
      <c r="Y693" s="1" t="str">
        <f>IF($X693&lt;&gt;"",INDEX($P$2:$U$853,MATCH($X693,$W$2:$W$853,0),COLUMNS($X$2:X693)),"")</f>
        <v/>
      </c>
      <c r="Z693" s="1" t="str">
        <f>IF($X693&lt;&gt;"",INDEX($P$2:$U$853,MATCH($X693,$W$2:$W$853,0),COLUMNS($X$2:Y693)),"")</f>
        <v/>
      </c>
      <c r="AA693" s="1" t="str">
        <f>IF($X693&lt;&gt;"",INDEX($P$2:$U$853,MATCH($X693,$W$2:$W$853,0),COLUMNS($X$2:Z693)),"")</f>
        <v/>
      </c>
      <c r="AB693" s="1" t="str">
        <f>IF($X693&lt;&gt;"",INDEX($P$2:$U$853,MATCH($X693,$W$2:$W$853,0),COLUMNS($X$2:AA693)),"")</f>
        <v/>
      </c>
      <c r="AC693" s="1" t="str">
        <f>IF($X693&lt;&gt;"",INDEX($P$2:$U$853,MATCH($X693,$W$2:$W$853,0),COLUMNS($X$2:AB693)),"")</f>
        <v/>
      </c>
      <c r="AD693" s="1" t="str">
        <f>IF($X693&lt;&gt;"",INDEX($P$2:$U$853,MATCH($X693,$W$2:$W$853,0),COLUMNS($X$2:AC693)),"")</f>
        <v/>
      </c>
    </row>
    <row r="694" spans="1:30" x14ac:dyDescent="0.2">
      <c r="A694" s="1">
        <v>2006</v>
      </c>
      <c r="B694" s="2">
        <v>38892</v>
      </c>
      <c r="C694" s="1" t="s">
        <v>512</v>
      </c>
      <c r="D694" s="1" t="s">
        <v>287</v>
      </c>
      <c r="E694" s="1" t="s">
        <v>412</v>
      </c>
      <c r="F694" s="1" t="s">
        <v>207</v>
      </c>
      <c r="G694" s="6" t="str">
        <f>VLOOKUP(A694,WorldCups!$A$2:$B$23,2,FALSE)</f>
        <v>Germany</v>
      </c>
      <c r="H694" s="1" t="s">
        <v>51</v>
      </c>
      <c r="I694" s="1">
        <v>2</v>
      </c>
      <c r="J694" s="1">
        <v>0</v>
      </c>
      <c r="K694" s="1" t="s">
        <v>48</v>
      </c>
      <c r="L694" s="1" t="s">
        <v>14</v>
      </c>
      <c r="M694" s="1" t="str">
        <f>IF(ISNUMBER(SEARCH("Group",Table2[[#This Row],[Round]])),"Group stages",Table2[[#This Row],[Round]])</f>
        <v>Round of 16</v>
      </c>
      <c r="O694" s="1">
        <f>Table2[[#This Row],[Year]]</f>
        <v>2006</v>
      </c>
      <c r="P694" s="1" t="str">
        <f>INDEX(Table2[[HomeTeam]:[Group_details]],ROWS($N$2:N694),COLUMNS($N$2:N694))</f>
        <v>Germany</v>
      </c>
      <c r="Q694" s="1">
        <f>INDEX(Table2[[HomeTeam]:[Group_details]],ROWS($N$2:O694),COLUMNS($N$2:O694))</f>
        <v>2</v>
      </c>
      <c r="R694" s="1">
        <f>INDEX(Table2[[HomeTeam]:[Group_details]],ROWS($N$2:P694),COLUMNS($N$2:P694))</f>
        <v>0</v>
      </c>
      <c r="S694" s="1" t="str">
        <f>INDEX(Table2[[HomeTeam]:[Group_details]],ROWS($N$2:Q694),COLUMNS($N$2:Q694))</f>
        <v>Sweden</v>
      </c>
      <c r="T694" s="1" t="str">
        <f>INDEX(Table2[[HomeTeam]:[Group_details]],ROWS($N$2:R694),COLUMNS($N$2:R694))</f>
        <v xml:space="preserve"> </v>
      </c>
      <c r="U694" s="1" t="str">
        <f>INDEX(Table2[[HomeTeam]:[Group_details]],ROWS($N$2:S694),COLUMNS($N$2:S694))</f>
        <v>Round of 16</v>
      </c>
      <c r="V694" s="1" t="b">
        <f t="shared" si="10"/>
        <v>0</v>
      </c>
      <c r="W694" s="1" t="str">
        <f>IF(V694=TRUE,ROWS($V$2:V694),"")</f>
        <v/>
      </c>
      <c r="X694" s="1" t="str">
        <f>IFERROR(SMALL($W$2:$W$853,ROWS($W$2:W694)),"")</f>
        <v/>
      </c>
      <c r="Y694" s="1" t="str">
        <f>IF($X694&lt;&gt;"",INDEX($P$2:$U$853,MATCH($X694,$W$2:$W$853,0),COLUMNS($X$2:X694)),"")</f>
        <v/>
      </c>
      <c r="Z694" s="1" t="str">
        <f>IF($X694&lt;&gt;"",INDEX($P$2:$U$853,MATCH($X694,$W$2:$W$853,0),COLUMNS($X$2:Y694)),"")</f>
        <v/>
      </c>
      <c r="AA694" s="1" t="str">
        <f>IF($X694&lt;&gt;"",INDEX($P$2:$U$853,MATCH($X694,$W$2:$W$853,0),COLUMNS($X$2:Z694)),"")</f>
        <v/>
      </c>
      <c r="AB694" s="1" t="str">
        <f>IF($X694&lt;&gt;"",INDEX($P$2:$U$853,MATCH($X694,$W$2:$W$853,0),COLUMNS($X$2:AA694)),"")</f>
        <v/>
      </c>
      <c r="AC694" s="1" t="str">
        <f>IF($X694&lt;&gt;"",INDEX($P$2:$U$853,MATCH($X694,$W$2:$W$853,0),COLUMNS($X$2:AB694)),"")</f>
        <v/>
      </c>
      <c r="AD694" s="1" t="str">
        <f>IF($X694&lt;&gt;"",INDEX($P$2:$U$853,MATCH($X694,$W$2:$W$853,0),COLUMNS($X$2:AC694)),"")</f>
        <v/>
      </c>
    </row>
    <row r="695" spans="1:30" x14ac:dyDescent="0.2">
      <c r="A695" s="1">
        <v>2006</v>
      </c>
      <c r="B695" s="2">
        <v>38892</v>
      </c>
      <c r="C695" s="1" t="s">
        <v>530</v>
      </c>
      <c r="D695" s="1" t="s">
        <v>287</v>
      </c>
      <c r="E695" s="1" t="s">
        <v>419</v>
      </c>
      <c r="F695" s="1" t="s">
        <v>420</v>
      </c>
      <c r="G695" s="6" t="str">
        <f>VLOOKUP(A695,WorldCups!$A$2:$B$23,2,FALSE)</f>
        <v>Germany</v>
      </c>
      <c r="H695" s="1" t="s">
        <v>25</v>
      </c>
      <c r="I695" s="1">
        <v>2</v>
      </c>
      <c r="J695" s="1">
        <v>1</v>
      </c>
      <c r="K695" s="1" t="s">
        <v>13</v>
      </c>
      <c r="L695" s="1" t="s">
        <v>229</v>
      </c>
      <c r="M695" s="1" t="str">
        <f>IF(ISNUMBER(SEARCH("Group",Table2[[#This Row],[Round]])),"Group stages",Table2[[#This Row],[Round]])</f>
        <v>Round of 16</v>
      </c>
      <c r="O695" s="1">
        <f>Table2[[#This Row],[Year]]</f>
        <v>2006</v>
      </c>
      <c r="P695" s="1" t="str">
        <f>INDEX(Table2[[HomeTeam]:[Group_details]],ROWS($N$2:N695),COLUMNS($N$2:N695))</f>
        <v>Argentina</v>
      </c>
      <c r="Q695" s="1">
        <f>INDEX(Table2[[HomeTeam]:[Group_details]],ROWS($N$2:O695),COLUMNS($N$2:O695))</f>
        <v>2</v>
      </c>
      <c r="R695" s="1">
        <f>INDEX(Table2[[HomeTeam]:[Group_details]],ROWS($N$2:P695),COLUMNS($N$2:P695))</f>
        <v>1</v>
      </c>
      <c r="S695" s="1" t="str">
        <f>INDEX(Table2[[HomeTeam]:[Group_details]],ROWS($N$2:Q695),COLUMNS($N$2:Q695))</f>
        <v>Mexico</v>
      </c>
      <c r="T695" s="1" t="str">
        <f>INDEX(Table2[[HomeTeam]:[Group_details]],ROWS($N$2:R695),COLUMNS($N$2:R695))</f>
        <v xml:space="preserve">Argentina win after extra time </v>
      </c>
      <c r="U695" s="1" t="str">
        <f>INDEX(Table2[[HomeTeam]:[Group_details]],ROWS($N$2:S695),COLUMNS($N$2:S695))</f>
        <v>Round of 16</v>
      </c>
      <c r="V695" s="1" t="b">
        <f t="shared" si="10"/>
        <v>0</v>
      </c>
      <c r="W695" s="1" t="str">
        <f>IF(V695=TRUE,ROWS($V$2:V695),"")</f>
        <v/>
      </c>
      <c r="X695" s="1" t="str">
        <f>IFERROR(SMALL($W$2:$W$853,ROWS($W$2:W695)),"")</f>
        <v/>
      </c>
      <c r="Y695" s="1" t="str">
        <f>IF($X695&lt;&gt;"",INDEX($P$2:$U$853,MATCH($X695,$W$2:$W$853,0),COLUMNS($X$2:X695)),"")</f>
        <v/>
      </c>
      <c r="Z695" s="1" t="str">
        <f>IF($X695&lt;&gt;"",INDEX($P$2:$U$853,MATCH($X695,$W$2:$W$853,0),COLUMNS($X$2:Y695)),"")</f>
        <v/>
      </c>
      <c r="AA695" s="1" t="str">
        <f>IF($X695&lt;&gt;"",INDEX($P$2:$U$853,MATCH($X695,$W$2:$W$853,0),COLUMNS($X$2:Z695)),"")</f>
        <v/>
      </c>
      <c r="AB695" s="1" t="str">
        <f>IF($X695&lt;&gt;"",INDEX($P$2:$U$853,MATCH($X695,$W$2:$W$853,0),COLUMNS($X$2:AA695)),"")</f>
        <v/>
      </c>
      <c r="AC695" s="1" t="str">
        <f>IF($X695&lt;&gt;"",INDEX($P$2:$U$853,MATCH($X695,$W$2:$W$853,0),COLUMNS($X$2:AB695)),"")</f>
        <v/>
      </c>
      <c r="AD695" s="1" t="str">
        <f>IF($X695&lt;&gt;"",INDEX($P$2:$U$853,MATCH($X695,$W$2:$W$853,0),COLUMNS($X$2:AC695)),"")</f>
        <v/>
      </c>
    </row>
    <row r="696" spans="1:30" x14ac:dyDescent="0.2">
      <c r="A696" s="1">
        <v>2006</v>
      </c>
      <c r="B696" s="2">
        <v>38893</v>
      </c>
      <c r="C696" s="1" t="s">
        <v>512</v>
      </c>
      <c r="D696" s="1" t="s">
        <v>287</v>
      </c>
      <c r="E696" s="1" t="s">
        <v>433</v>
      </c>
      <c r="F696" s="1" t="s">
        <v>210</v>
      </c>
      <c r="G696" s="6" t="str">
        <f>VLOOKUP(A696,WorldCups!$A$2:$B$23,2,FALSE)</f>
        <v>Germany</v>
      </c>
      <c r="H696" s="1" t="s">
        <v>93</v>
      </c>
      <c r="I696" s="1">
        <v>1</v>
      </c>
      <c r="J696" s="1">
        <v>0</v>
      </c>
      <c r="K696" s="1" t="s">
        <v>382</v>
      </c>
      <c r="L696" s="1" t="s">
        <v>14</v>
      </c>
      <c r="M696" s="1" t="str">
        <f>IF(ISNUMBER(SEARCH("Group",Table2[[#This Row],[Round]])),"Group stages",Table2[[#This Row],[Round]])</f>
        <v>Round of 16</v>
      </c>
      <c r="O696" s="1">
        <f>Table2[[#This Row],[Year]]</f>
        <v>2006</v>
      </c>
      <c r="P696" s="1" t="str">
        <f>INDEX(Table2[[HomeTeam]:[Group_details]],ROWS($N$2:N696),COLUMNS($N$2:N696))</f>
        <v>England</v>
      </c>
      <c r="Q696" s="1">
        <f>INDEX(Table2[[HomeTeam]:[Group_details]],ROWS($N$2:O696),COLUMNS($N$2:O696))</f>
        <v>1</v>
      </c>
      <c r="R696" s="1">
        <f>INDEX(Table2[[HomeTeam]:[Group_details]],ROWS($N$2:P696),COLUMNS($N$2:P696))</f>
        <v>0</v>
      </c>
      <c r="S696" s="1" t="str">
        <f>INDEX(Table2[[HomeTeam]:[Group_details]],ROWS($N$2:Q696),COLUMNS($N$2:Q696))</f>
        <v>Ecuador</v>
      </c>
      <c r="T696" s="1" t="str">
        <f>INDEX(Table2[[HomeTeam]:[Group_details]],ROWS($N$2:R696),COLUMNS($N$2:R696))</f>
        <v xml:space="preserve"> </v>
      </c>
      <c r="U696" s="1" t="str">
        <f>INDEX(Table2[[HomeTeam]:[Group_details]],ROWS($N$2:S696),COLUMNS($N$2:S696))</f>
        <v>Round of 16</v>
      </c>
      <c r="V696" s="1" t="b">
        <f t="shared" si="10"/>
        <v>0</v>
      </c>
      <c r="W696" s="1" t="str">
        <f>IF(V696=TRUE,ROWS($V$2:V696),"")</f>
        <v/>
      </c>
      <c r="X696" s="1" t="str">
        <f>IFERROR(SMALL($W$2:$W$853,ROWS($W$2:W696)),"")</f>
        <v/>
      </c>
      <c r="Y696" s="1" t="str">
        <f>IF($X696&lt;&gt;"",INDEX($P$2:$U$853,MATCH($X696,$W$2:$W$853,0),COLUMNS($X$2:X696)),"")</f>
        <v/>
      </c>
      <c r="Z696" s="1" t="str">
        <f>IF($X696&lt;&gt;"",INDEX($P$2:$U$853,MATCH($X696,$W$2:$W$853,0),COLUMNS($X$2:Y696)),"")</f>
        <v/>
      </c>
      <c r="AA696" s="1" t="str">
        <f>IF($X696&lt;&gt;"",INDEX($P$2:$U$853,MATCH($X696,$W$2:$W$853,0),COLUMNS($X$2:Z696)),"")</f>
        <v/>
      </c>
      <c r="AB696" s="1" t="str">
        <f>IF($X696&lt;&gt;"",INDEX($P$2:$U$853,MATCH($X696,$W$2:$W$853,0),COLUMNS($X$2:AA696)),"")</f>
        <v/>
      </c>
      <c r="AC696" s="1" t="str">
        <f>IF($X696&lt;&gt;"",INDEX($P$2:$U$853,MATCH($X696,$W$2:$W$853,0),COLUMNS($X$2:AB696)),"")</f>
        <v/>
      </c>
      <c r="AD696" s="1" t="str">
        <f>IF($X696&lt;&gt;"",INDEX($P$2:$U$853,MATCH($X696,$W$2:$W$853,0),COLUMNS($X$2:AC696)),"")</f>
        <v/>
      </c>
    </row>
    <row r="697" spans="1:30" x14ac:dyDescent="0.2">
      <c r="A697" s="1">
        <v>2006</v>
      </c>
      <c r="B697" s="2">
        <v>38893</v>
      </c>
      <c r="C697" s="1" t="s">
        <v>530</v>
      </c>
      <c r="D697" s="1" t="s">
        <v>287</v>
      </c>
      <c r="E697" s="1" t="s">
        <v>422</v>
      </c>
      <c r="F697" s="1" t="s">
        <v>423</v>
      </c>
      <c r="G697" s="6" t="str">
        <f>VLOOKUP(A697,WorldCups!$A$2:$B$23,2,FALSE)</f>
        <v>Germany</v>
      </c>
      <c r="H697" s="1" t="s">
        <v>170</v>
      </c>
      <c r="I697" s="1">
        <v>1</v>
      </c>
      <c r="J697" s="1">
        <v>0</v>
      </c>
      <c r="K697" s="1" t="s">
        <v>45</v>
      </c>
      <c r="L697" s="1" t="s">
        <v>14</v>
      </c>
      <c r="M697" s="1" t="str">
        <f>IF(ISNUMBER(SEARCH("Group",Table2[[#This Row],[Round]])),"Group stages",Table2[[#This Row],[Round]])</f>
        <v>Round of 16</v>
      </c>
      <c r="O697" s="1">
        <f>Table2[[#This Row],[Year]]</f>
        <v>2006</v>
      </c>
      <c r="P697" s="1" t="str">
        <f>INDEX(Table2[[HomeTeam]:[Group_details]],ROWS($N$2:N697),COLUMNS($N$2:N697))</f>
        <v>Portugal</v>
      </c>
      <c r="Q697" s="1">
        <f>INDEX(Table2[[HomeTeam]:[Group_details]],ROWS($N$2:O697),COLUMNS($N$2:O697))</f>
        <v>1</v>
      </c>
      <c r="R697" s="1">
        <f>INDEX(Table2[[HomeTeam]:[Group_details]],ROWS($N$2:P697),COLUMNS($N$2:P697))</f>
        <v>0</v>
      </c>
      <c r="S697" s="1" t="str">
        <f>INDEX(Table2[[HomeTeam]:[Group_details]],ROWS($N$2:Q697),COLUMNS($N$2:Q697))</f>
        <v>Netherlands</v>
      </c>
      <c r="T697" s="1" t="str">
        <f>INDEX(Table2[[HomeTeam]:[Group_details]],ROWS($N$2:R697),COLUMNS($N$2:R697))</f>
        <v xml:space="preserve"> </v>
      </c>
      <c r="U697" s="1" t="str">
        <f>INDEX(Table2[[HomeTeam]:[Group_details]],ROWS($N$2:S697),COLUMNS($N$2:S697))</f>
        <v>Round of 16</v>
      </c>
      <c r="V697" s="1" t="b">
        <f t="shared" si="10"/>
        <v>0</v>
      </c>
      <c r="W697" s="1" t="str">
        <f>IF(V697=TRUE,ROWS($V$2:V697),"")</f>
        <v/>
      </c>
      <c r="X697" s="1" t="str">
        <f>IFERROR(SMALL($W$2:$W$853,ROWS($W$2:W697)),"")</f>
        <v/>
      </c>
      <c r="Y697" s="1" t="str">
        <f>IF($X697&lt;&gt;"",INDEX($P$2:$U$853,MATCH($X697,$W$2:$W$853,0),COLUMNS($X$2:X697)),"")</f>
        <v/>
      </c>
      <c r="Z697" s="1" t="str">
        <f>IF($X697&lt;&gt;"",INDEX($P$2:$U$853,MATCH($X697,$W$2:$W$853,0),COLUMNS($X$2:Y697)),"")</f>
        <v/>
      </c>
      <c r="AA697" s="1" t="str">
        <f>IF($X697&lt;&gt;"",INDEX($P$2:$U$853,MATCH($X697,$W$2:$W$853,0),COLUMNS($X$2:Z697)),"")</f>
        <v/>
      </c>
      <c r="AB697" s="1" t="str">
        <f>IF($X697&lt;&gt;"",INDEX($P$2:$U$853,MATCH($X697,$W$2:$W$853,0),COLUMNS($X$2:AA697)),"")</f>
        <v/>
      </c>
      <c r="AC697" s="1" t="str">
        <f>IF($X697&lt;&gt;"",INDEX($P$2:$U$853,MATCH($X697,$W$2:$W$853,0),COLUMNS($X$2:AB697)),"")</f>
        <v/>
      </c>
      <c r="AD697" s="1" t="str">
        <f>IF($X697&lt;&gt;"",INDEX($P$2:$U$853,MATCH($X697,$W$2:$W$853,0),COLUMNS($X$2:AC697)),"")</f>
        <v/>
      </c>
    </row>
    <row r="698" spans="1:30" x14ac:dyDescent="0.2">
      <c r="A698" s="1">
        <v>2006</v>
      </c>
      <c r="B698" s="2">
        <v>38894</v>
      </c>
      <c r="C698" s="1" t="s">
        <v>512</v>
      </c>
      <c r="D698" s="1" t="s">
        <v>287</v>
      </c>
      <c r="E698" s="1" t="s">
        <v>427</v>
      </c>
      <c r="F698" s="1" t="s">
        <v>428</v>
      </c>
      <c r="G698" s="6" t="str">
        <f>VLOOKUP(A698,WorldCups!$A$2:$B$23,2,FALSE)</f>
        <v>Germany</v>
      </c>
      <c r="H698" s="1" t="s">
        <v>57</v>
      </c>
      <c r="I698" s="1">
        <v>1</v>
      </c>
      <c r="J698" s="1">
        <v>0</v>
      </c>
      <c r="K698" s="1" t="s">
        <v>199</v>
      </c>
      <c r="L698" s="1" t="s">
        <v>14</v>
      </c>
      <c r="M698" s="1" t="str">
        <f>IF(ISNUMBER(SEARCH("Group",Table2[[#This Row],[Round]])),"Group stages",Table2[[#This Row],[Round]])</f>
        <v>Round of 16</v>
      </c>
      <c r="O698" s="1">
        <f>Table2[[#This Row],[Year]]</f>
        <v>2006</v>
      </c>
      <c r="P698" s="1" t="str">
        <f>INDEX(Table2[[HomeTeam]:[Group_details]],ROWS($N$2:N698),COLUMNS($N$2:N698))</f>
        <v>Italy</v>
      </c>
      <c r="Q698" s="1">
        <f>INDEX(Table2[[HomeTeam]:[Group_details]],ROWS($N$2:O698),COLUMNS($N$2:O698))</f>
        <v>1</v>
      </c>
      <c r="R698" s="1">
        <f>INDEX(Table2[[HomeTeam]:[Group_details]],ROWS($N$2:P698),COLUMNS($N$2:P698))</f>
        <v>0</v>
      </c>
      <c r="S698" s="1" t="str">
        <f>INDEX(Table2[[HomeTeam]:[Group_details]],ROWS($N$2:Q698),COLUMNS($N$2:Q698))</f>
        <v>Australia</v>
      </c>
      <c r="T698" s="1" t="str">
        <f>INDEX(Table2[[HomeTeam]:[Group_details]],ROWS($N$2:R698),COLUMNS($N$2:R698))</f>
        <v xml:space="preserve"> </v>
      </c>
      <c r="U698" s="1" t="str">
        <f>INDEX(Table2[[HomeTeam]:[Group_details]],ROWS($N$2:S698),COLUMNS($N$2:S698))</f>
        <v>Round of 16</v>
      </c>
      <c r="V698" s="1" t="b">
        <f t="shared" si="10"/>
        <v>0</v>
      </c>
      <c r="W698" s="1" t="str">
        <f>IF(V698=TRUE,ROWS($V$2:V698),"")</f>
        <v/>
      </c>
      <c r="X698" s="1" t="str">
        <f>IFERROR(SMALL($W$2:$W$853,ROWS($W$2:W698)),"")</f>
        <v/>
      </c>
      <c r="Y698" s="1" t="str">
        <f>IF($X698&lt;&gt;"",INDEX($P$2:$U$853,MATCH($X698,$W$2:$W$853,0),COLUMNS($X$2:X698)),"")</f>
        <v/>
      </c>
      <c r="Z698" s="1" t="str">
        <f>IF($X698&lt;&gt;"",INDEX($P$2:$U$853,MATCH($X698,$W$2:$W$853,0),COLUMNS($X$2:Y698)),"")</f>
        <v/>
      </c>
      <c r="AA698" s="1" t="str">
        <f>IF($X698&lt;&gt;"",INDEX($P$2:$U$853,MATCH($X698,$W$2:$W$853,0),COLUMNS($X$2:Z698)),"")</f>
        <v/>
      </c>
      <c r="AB698" s="1" t="str">
        <f>IF($X698&lt;&gt;"",INDEX($P$2:$U$853,MATCH($X698,$W$2:$W$853,0),COLUMNS($X$2:AA698)),"")</f>
        <v/>
      </c>
      <c r="AC698" s="1" t="str">
        <f>IF($X698&lt;&gt;"",INDEX($P$2:$U$853,MATCH($X698,$W$2:$W$853,0),COLUMNS($X$2:AB698)),"")</f>
        <v/>
      </c>
      <c r="AD698" s="1" t="str">
        <f>IF($X698&lt;&gt;"",INDEX($P$2:$U$853,MATCH($X698,$W$2:$W$853,0),COLUMNS($X$2:AC698)),"")</f>
        <v/>
      </c>
    </row>
    <row r="699" spans="1:30" x14ac:dyDescent="0.2">
      <c r="A699" s="1">
        <v>2006</v>
      </c>
      <c r="B699" s="2">
        <v>38894</v>
      </c>
      <c r="C699" s="1" t="s">
        <v>530</v>
      </c>
      <c r="D699" s="1" t="s">
        <v>287</v>
      </c>
      <c r="E699" s="1" t="s">
        <v>424</v>
      </c>
      <c r="F699" s="1" t="s">
        <v>425</v>
      </c>
      <c r="G699" s="6" t="str">
        <f>VLOOKUP(A699,WorldCups!$A$2:$B$23,2,FALSE)</f>
        <v>Germany</v>
      </c>
      <c r="H699" s="1" t="s">
        <v>44</v>
      </c>
      <c r="I699" s="1">
        <v>0</v>
      </c>
      <c r="J699" s="1">
        <v>0</v>
      </c>
      <c r="K699" s="1" t="s">
        <v>435</v>
      </c>
      <c r="L699" s="1" t="s">
        <v>436</v>
      </c>
      <c r="M699" s="1" t="str">
        <f>IF(ISNUMBER(SEARCH("Group",Table2[[#This Row],[Round]])),"Group stages",Table2[[#This Row],[Round]])</f>
        <v>Round of 16</v>
      </c>
      <c r="O699" s="1">
        <f>Table2[[#This Row],[Year]]</f>
        <v>2006</v>
      </c>
      <c r="P699" s="1" t="str">
        <f>INDEX(Table2[[HomeTeam]:[Group_details]],ROWS($N$2:N699),COLUMNS($N$2:N699))</f>
        <v>Switzerland</v>
      </c>
      <c r="Q699" s="1">
        <f>INDEX(Table2[[HomeTeam]:[Group_details]],ROWS($N$2:O699),COLUMNS($N$2:O699))</f>
        <v>0</v>
      </c>
      <c r="R699" s="1">
        <f>INDEX(Table2[[HomeTeam]:[Group_details]],ROWS($N$2:P699),COLUMNS($N$2:P699))</f>
        <v>0</v>
      </c>
      <c r="S699" s="1" t="str">
        <f>INDEX(Table2[[HomeTeam]:[Group_details]],ROWS($N$2:Q699),COLUMNS($N$2:Q699))</f>
        <v>Ukraine</v>
      </c>
      <c r="T699" s="1" t="str">
        <f>INDEX(Table2[[HomeTeam]:[Group_details]],ROWS($N$2:R699),COLUMNS($N$2:R699))</f>
        <v xml:space="preserve">Ukraine win on penalties (0 - 3) </v>
      </c>
      <c r="U699" s="1" t="str">
        <f>INDEX(Table2[[HomeTeam]:[Group_details]],ROWS($N$2:S699),COLUMNS($N$2:S699))</f>
        <v>Round of 16</v>
      </c>
      <c r="V699" s="1" t="b">
        <f t="shared" si="10"/>
        <v>0</v>
      </c>
      <c r="W699" s="1" t="str">
        <f>IF(V699=TRUE,ROWS($V$2:V699),"")</f>
        <v/>
      </c>
      <c r="X699" s="1" t="str">
        <f>IFERROR(SMALL($W$2:$W$853,ROWS($W$2:W699)),"")</f>
        <v/>
      </c>
      <c r="Y699" s="1" t="str">
        <f>IF($X699&lt;&gt;"",INDEX($P$2:$U$853,MATCH($X699,$W$2:$W$853,0),COLUMNS($X$2:X699)),"")</f>
        <v/>
      </c>
      <c r="Z699" s="1" t="str">
        <f>IF($X699&lt;&gt;"",INDEX($P$2:$U$853,MATCH($X699,$W$2:$W$853,0),COLUMNS($X$2:Y699)),"")</f>
        <v/>
      </c>
      <c r="AA699" s="1" t="str">
        <f>IF($X699&lt;&gt;"",INDEX($P$2:$U$853,MATCH($X699,$W$2:$W$853,0),COLUMNS($X$2:Z699)),"")</f>
        <v/>
      </c>
      <c r="AB699" s="1" t="str">
        <f>IF($X699&lt;&gt;"",INDEX($P$2:$U$853,MATCH($X699,$W$2:$W$853,0),COLUMNS($X$2:AA699)),"")</f>
        <v/>
      </c>
      <c r="AC699" s="1" t="str">
        <f>IF($X699&lt;&gt;"",INDEX($P$2:$U$853,MATCH($X699,$W$2:$W$853,0),COLUMNS($X$2:AB699)),"")</f>
        <v/>
      </c>
      <c r="AD699" s="1" t="str">
        <f>IF($X699&lt;&gt;"",INDEX($P$2:$U$853,MATCH($X699,$W$2:$W$853,0),COLUMNS($X$2:AC699)),"")</f>
        <v/>
      </c>
    </row>
    <row r="700" spans="1:30" x14ac:dyDescent="0.2">
      <c r="A700" s="1">
        <v>2006</v>
      </c>
      <c r="B700" s="2">
        <v>38895</v>
      </c>
      <c r="C700" s="1" t="s">
        <v>512</v>
      </c>
      <c r="D700" s="1" t="s">
        <v>287</v>
      </c>
      <c r="E700" s="1" t="s">
        <v>415</v>
      </c>
      <c r="F700" s="1" t="s">
        <v>201</v>
      </c>
      <c r="G700" s="6" t="str">
        <f>VLOOKUP(A700,WorldCups!$A$2:$B$23,2,FALSE)</f>
        <v>Germany</v>
      </c>
      <c r="H700" s="1" t="s">
        <v>21</v>
      </c>
      <c r="I700" s="1">
        <v>3</v>
      </c>
      <c r="J700" s="1">
        <v>0</v>
      </c>
      <c r="K700" s="1" t="s">
        <v>431</v>
      </c>
      <c r="L700" s="1" t="s">
        <v>14</v>
      </c>
      <c r="M700" s="1" t="str">
        <f>IF(ISNUMBER(SEARCH("Group",Table2[[#This Row],[Round]])),"Group stages",Table2[[#This Row],[Round]])</f>
        <v>Round of 16</v>
      </c>
      <c r="O700" s="1">
        <f>Table2[[#This Row],[Year]]</f>
        <v>2006</v>
      </c>
      <c r="P700" s="1" t="str">
        <f>INDEX(Table2[[HomeTeam]:[Group_details]],ROWS($N$2:N700),COLUMNS($N$2:N700))</f>
        <v>Brazil</v>
      </c>
      <c r="Q700" s="1">
        <f>INDEX(Table2[[HomeTeam]:[Group_details]],ROWS($N$2:O700),COLUMNS($N$2:O700))</f>
        <v>3</v>
      </c>
      <c r="R700" s="1">
        <f>INDEX(Table2[[HomeTeam]:[Group_details]],ROWS($N$2:P700),COLUMNS($N$2:P700))</f>
        <v>0</v>
      </c>
      <c r="S700" s="1" t="str">
        <f>INDEX(Table2[[HomeTeam]:[Group_details]],ROWS($N$2:Q700),COLUMNS($N$2:Q700))</f>
        <v>Ghana</v>
      </c>
      <c r="T700" s="1" t="str">
        <f>INDEX(Table2[[HomeTeam]:[Group_details]],ROWS($N$2:R700),COLUMNS($N$2:R700))</f>
        <v xml:space="preserve"> </v>
      </c>
      <c r="U700" s="1" t="str">
        <f>INDEX(Table2[[HomeTeam]:[Group_details]],ROWS($N$2:S700),COLUMNS($N$2:S700))</f>
        <v>Round of 16</v>
      </c>
      <c r="V700" s="1" t="b">
        <f t="shared" si="10"/>
        <v>0</v>
      </c>
      <c r="W700" s="1" t="str">
        <f>IF(V700=TRUE,ROWS($V$2:V700),"")</f>
        <v/>
      </c>
      <c r="X700" s="1" t="str">
        <f>IFERROR(SMALL($W$2:$W$853,ROWS($W$2:W700)),"")</f>
        <v/>
      </c>
      <c r="Y700" s="1" t="str">
        <f>IF($X700&lt;&gt;"",INDEX($P$2:$U$853,MATCH($X700,$W$2:$W$853,0),COLUMNS($X$2:X700)),"")</f>
        <v/>
      </c>
      <c r="Z700" s="1" t="str">
        <f>IF($X700&lt;&gt;"",INDEX($P$2:$U$853,MATCH($X700,$W$2:$W$853,0),COLUMNS($X$2:Y700)),"")</f>
        <v/>
      </c>
      <c r="AA700" s="1" t="str">
        <f>IF($X700&lt;&gt;"",INDEX($P$2:$U$853,MATCH($X700,$W$2:$W$853,0),COLUMNS($X$2:Z700)),"")</f>
        <v/>
      </c>
      <c r="AB700" s="1" t="str">
        <f>IF($X700&lt;&gt;"",INDEX($P$2:$U$853,MATCH($X700,$W$2:$W$853,0),COLUMNS($X$2:AA700)),"")</f>
        <v/>
      </c>
      <c r="AC700" s="1" t="str">
        <f>IF($X700&lt;&gt;"",INDEX($P$2:$U$853,MATCH($X700,$W$2:$W$853,0),COLUMNS($X$2:AB700)),"")</f>
        <v/>
      </c>
      <c r="AD700" s="1" t="str">
        <f>IF($X700&lt;&gt;"",INDEX($P$2:$U$853,MATCH($X700,$W$2:$W$853,0),COLUMNS($X$2:AC700)),"")</f>
        <v/>
      </c>
    </row>
    <row r="701" spans="1:30" x14ac:dyDescent="0.2">
      <c r="A701" s="1">
        <v>2006</v>
      </c>
      <c r="B701" s="2">
        <v>38895</v>
      </c>
      <c r="C701" s="1" t="s">
        <v>530</v>
      </c>
      <c r="D701" s="1" t="s">
        <v>287</v>
      </c>
      <c r="E701" s="1" t="s">
        <v>430</v>
      </c>
      <c r="F701" s="1" t="s">
        <v>204</v>
      </c>
      <c r="G701" s="6" t="str">
        <f>VLOOKUP(A701,WorldCups!$A$2:$B$23,2,FALSE)</f>
        <v>Germany</v>
      </c>
      <c r="H701" s="1" t="s">
        <v>54</v>
      </c>
      <c r="I701" s="1">
        <v>1</v>
      </c>
      <c r="J701" s="1">
        <v>3</v>
      </c>
      <c r="K701" s="1" t="s">
        <v>12</v>
      </c>
      <c r="L701" s="1" t="s">
        <v>14</v>
      </c>
      <c r="M701" s="1" t="str">
        <f>IF(ISNUMBER(SEARCH("Group",Table2[[#This Row],[Round]])),"Group stages",Table2[[#This Row],[Round]])</f>
        <v>Round of 16</v>
      </c>
      <c r="O701" s="1">
        <f>Table2[[#This Row],[Year]]</f>
        <v>2006</v>
      </c>
      <c r="P701" s="1" t="str">
        <f>INDEX(Table2[[HomeTeam]:[Group_details]],ROWS($N$2:N701),COLUMNS($N$2:N701))</f>
        <v>Spain</v>
      </c>
      <c r="Q701" s="1">
        <f>INDEX(Table2[[HomeTeam]:[Group_details]],ROWS($N$2:O701),COLUMNS($N$2:O701))</f>
        <v>1</v>
      </c>
      <c r="R701" s="1">
        <f>INDEX(Table2[[HomeTeam]:[Group_details]],ROWS($N$2:P701),COLUMNS($N$2:P701))</f>
        <v>3</v>
      </c>
      <c r="S701" s="1" t="str">
        <f>INDEX(Table2[[HomeTeam]:[Group_details]],ROWS($N$2:Q701),COLUMNS($N$2:Q701))</f>
        <v>France</v>
      </c>
      <c r="T701" s="1" t="str">
        <f>INDEX(Table2[[HomeTeam]:[Group_details]],ROWS($N$2:R701),COLUMNS($N$2:R701))</f>
        <v xml:space="preserve"> </v>
      </c>
      <c r="U701" s="1" t="str">
        <f>INDEX(Table2[[HomeTeam]:[Group_details]],ROWS($N$2:S701),COLUMNS($N$2:S701))</f>
        <v>Round of 16</v>
      </c>
      <c r="V701" s="1" t="b">
        <f t="shared" si="10"/>
        <v>0</v>
      </c>
      <c r="W701" s="1" t="str">
        <f>IF(V701=TRUE,ROWS($V$2:V701),"")</f>
        <v/>
      </c>
      <c r="X701" s="1" t="str">
        <f>IFERROR(SMALL($W$2:$W$853,ROWS($W$2:W701)),"")</f>
        <v/>
      </c>
      <c r="Y701" s="1" t="str">
        <f>IF($X701&lt;&gt;"",INDEX($P$2:$U$853,MATCH($X701,$W$2:$W$853,0),COLUMNS($X$2:X701)),"")</f>
        <v/>
      </c>
      <c r="Z701" s="1" t="str">
        <f>IF($X701&lt;&gt;"",INDEX($P$2:$U$853,MATCH($X701,$W$2:$W$853,0),COLUMNS($X$2:Y701)),"")</f>
        <v/>
      </c>
      <c r="AA701" s="1" t="str">
        <f>IF($X701&lt;&gt;"",INDEX($P$2:$U$853,MATCH($X701,$W$2:$W$853,0),COLUMNS($X$2:Z701)),"")</f>
        <v/>
      </c>
      <c r="AB701" s="1" t="str">
        <f>IF($X701&lt;&gt;"",INDEX($P$2:$U$853,MATCH($X701,$W$2:$W$853,0),COLUMNS($X$2:AA701)),"")</f>
        <v/>
      </c>
      <c r="AC701" s="1" t="str">
        <f>IF($X701&lt;&gt;"",INDEX($P$2:$U$853,MATCH($X701,$W$2:$W$853,0),COLUMNS($X$2:AB701)),"")</f>
        <v/>
      </c>
      <c r="AD701" s="1" t="str">
        <f>IF($X701&lt;&gt;"",INDEX($P$2:$U$853,MATCH($X701,$W$2:$W$853,0),COLUMNS($X$2:AC701)),"")</f>
        <v/>
      </c>
    </row>
    <row r="702" spans="1:30" x14ac:dyDescent="0.2">
      <c r="A702" s="1">
        <v>2006</v>
      </c>
      <c r="B702" s="2">
        <v>38898</v>
      </c>
      <c r="C702" s="1" t="s">
        <v>512</v>
      </c>
      <c r="D702" s="1" t="s">
        <v>61</v>
      </c>
      <c r="E702" s="1" t="s">
        <v>194</v>
      </c>
      <c r="F702" s="1" t="s">
        <v>434</v>
      </c>
      <c r="G702" s="6" t="str">
        <f>VLOOKUP(A702,WorldCups!$A$2:$B$23,2,FALSE)</f>
        <v>Germany</v>
      </c>
      <c r="H702" s="1" t="s">
        <v>51</v>
      </c>
      <c r="I702" s="1">
        <v>1</v>
      </c>
      <c r="J702" s="1">
        <v>1</v>
      </c>
      <c r="K702" s="1" t="s">
        <v>25</v>
      </c>
      <c r="L702" s="1" t="s">
        <v>437</v>
      </c>
      <c r="M702" s="1" t="str">
        <f>IF(ISNUMBER(SEARCH("Group",Table2[[#This Row],[Round]])),"Group stages",Table2[[#This Row],[Round]])</f>
        <v>Quarter-finals</v>
      </c>
      <c r="O702" s="1">
        <f>Table2[[#This Row],[Year]]</f>
        <v>2006</v>
      </c>
      <c r="P702" s="1" t="str">
        <f>INDEX(Table2[[HomeTeam]:[Group_details]],ROWS($N$2:N702),COLUMNS($N$2:N702))</f>
        <v>Germany</v>
      </c>
      <c r="Q702" s="1">
        <f>INDEX(Table2[[HomeTeam]:[Group_details]],ROWS($N$2:O702),COLUMNS($N$2:O702))</f>
        <v>1</v>
      </c>
      <c r="R702" s="1">
        <f>INDEX(Table2[[HomeTeam]:[Group_details]],ROWS($N$2:P702),COLUMNS($N$2:P702))</f>
        <v>1</v>
      </c>
      <c r="S702" s="1" t="str">
        <f>INDEX(Table2[[HomeTeam]:[Group_details]],ROWS($N$2:Q702),COLUMNS($N$2:Q702))</f>
        <v>Argentina</v>
      </c>
      <c r="T702" s="1" t="str">
        <f>INDEX(Table2[[HomeTeam]:[Group_details]],ROWS($N$2:R702),COLUMNS($N$2:R702))</f>
        <v xml:space="preserve">Germany win on penalties (4 - 2) </v>
      </c>
      <c r="U702" s="1" t="str">
        <f>INDEX(Table2[[HomeTeam]:[Group_details]],ROWS($N$2:S702),COLUMNS($N$2:S702))</f>
        <v>Quarter-finals</v>
      </c>
      <c r="V702" s="1" t="b">
        <f t="shared" si="10"/>
        <v>0</v>
      </c>
      <c r="W702" s="1" t="str">
        <f>IF(V702=TRUE,ROWS($V$2:V702),"")</f>
        <v/>
      </c>
      <c r="X702" s="1" t="str">
        <f>IFERROR(SMALL($W$2:$W$853,ROWS($W$2:W702)),"")</f>
        <v/>
      </c>
      <c r="Y702" s="1" t="str">
        <f>IF($X702&lt;&gt;"",INDEX($P$2:$U$853,MATCH($X702,$W$2:$W$853,0),COLUMNS($X$2:X702)),"")</f>
        <v/>
      </c>
      <c r="Z702" s="1" t="str">
        <f>IF($X702&lt;&gt;"",INDEX($P$2:$U$853,MATCH($X702,$W$2:$W$853,0),COLUMNS($X$2:Y702)),"")</f>
        <v/>
      </c>
      <c r="AA702" s="1" t="str">
        <f>IF($X702&lt;&gt;"",INDEX($P$2:$U$853,MATCH($X702,$W$2:$W$853,0),COLUMNS($X$2:Z702)),"")</f>
        <v/>
      </c>
      <c r="AB702" s="1" t="str">
        <f>IF($X702&lt;&gt;"",INDEX($P$2:$U$853,MATCH($X702,$W$2:$W$853,0),COLUMNS($X$2:AA702)),"")</f>
        <v/>
      </c>
      <c r="AC702" s="1" t="str">
        <f>IF($X702&lt;&gt;"",INDEX($P$2:$U$853,MATCH($X702,$W$2:$W$853,0),COLUMNS($X$2:AB702)),"")</f>
        <v/>
      </c>
      <c r="AD702" s="1" t="str">
        <f>IF($X702&lt;&gt;"",INDEX($P$2:$U$853,MATCH($X702,$W$2:$W$853,0),COLUMNS($X$2:AC702)),"")</f>
        <v/>
      </c>
    </row>
    <row r="703" spans="1:30" x14ac:dyDescent="0.2">
      <c r="A703" s="1">
        <v>2006</v>
      </c>
      <c r="B703" s="2">
        <v>38898</v>
      </c>
      <c r="C703" s="1" t="s">
        <v>530</v>
      </c>
      <c r="D703" s="1" t="s">
        <v>61</v>
      </c>
      <c r="E703" s="1" t="s">
        <v>417</v>
      </c>
      <c r="F703" s="1" t="s">
        <v>197</v>
      </c>
      <c r="G703" s="6" t="str">
        <f>VLOOKUP(A703,WorldCups!$A$2:$B$23,2,FALSE)</f>
        <v>Germany</v>
      </c>
      <c r="H703" s="1" t="s">
        <v>57</v>
      </c>
      <c r="I703" s="1">
        <v>3</v>
      </c>
      <c r="J703" s="1">
        <v>0</v>
      </c>
      <c r="K703" s="1" t="s">
        <v>435</v>
      </c>
      <c r="L703" s="1" t="s">
        <v>14</v>
      </c>
      <c r="M703" s="1" t="str">
        <f>IF(ISNUMBER(SEARCH("Group",Table2[[#This Row],[Round]])),"Group stages",Table2[[#This Row],[Round]])</f>
        <v>Quarter-finals</v>
      </c>
      <c r="O703" s="1">
        <f>Table2[[#This Row],[Year]]</f>
        <v>2006</v>
      </c>
      <c r="P703" s="1" t="str">
        <f>INDEX(Table2[[HomeTeam]:[Group_details]],ROWS($N$2:N703),COLUMNS($N$2:N703))</f>
        <v>Italy</v>
      </c>
      <c r="Q703" s="1">
        <f>INDEX(Table2[[HomeTeam]:[Group_details]],ROWS($N$2:O703),COLUMNS($N$2:O703))</f>
        <v>3</v>
      </c>
      <c r="R703" s="1">
        <f>INDEX(Table2[[HomeTeam]:[Group_details]],ROWS($N$2:P703),COLUMNS($N$2:P703))</f>
        <v>0</v>
      </c>
      <c r="S703" s="1" t="str">
        <f>INDEX(Table2[[HomeTeam]:[Group_details]],ROWS($N$2:Q703),COLUMNS($N$2:Q703))</f>
        <v>Ukraine</v>
      </c>
      <c r="T703" s="1" t="str">
        <f>INDEX(Table2[[HomeTeam]:[Group_details]],ROWS($N$2:R703),COLUMNS($N$2:R703))</f>
        <v xml:space="preserve"> </v>
      </c>
      <c r="U703" s="1" t="str">
        <f>INDEX(Table2[[HomeTeam]:[Group_details]],ROWS($N$2:S703),COLUMNS($N$2:S703))</f>
        <v>Quarter-finals</v>
      </c>
      <c r="V703" s="1" t="b">
        <f t="shared" si="10"/>
        <v>0</v>
      </c>
      <c r="W703" s="1" t="str">
        <f>IF(V703=TRUE,ROWS($V$2:V703),"")</f>
        <v/>
      </c>
      <c r="X703" s="1" t="str">
        <f>IFERROR(SMALL($W$2:$W$853,ROWS($W$2:W703)),"")</f>
        <v/>
      </c>
      <c r="Y703" s="1" t="str">
        <f>IF($X703&lt;&gt;"",INDEX($P$2:$U$853,MATCH($X703,$W$2:$W$853,0),COLUMNS($X$2:X703)),"")</f>
        <v/>
      </c>
      <c r="Z703" s="1" t="str">
        <f>IF($X703&lt;&gt;"",INDEX($P$2:$U$853,MATCH($X703,$W$2:$W$853,0),COLUMNS($X$2:Y703)),"")</f>
        <v/>
      </c>
      <c r="AA703" s="1" t="str">
        <f>IF($X703&lt;&gt;"",INDEX($P$2:$U$853,MATCH($X703,$W$2:$W$853,0),COLUMNS($X$2:Z703)),"")</f>
        <v/>
      </c>
      <c r="AB703" s="1" t="str">
        <f>IF($X703&lt;&gt;"",INDEX($P$2:$U$853,MATCH($X703,$W$2:$W$853,0),COLUMNS($X$2:AA703)),"")</f>
        <v/>
      </c>
      <c r="AC703" s="1" t="str">
        <f>IF($X703&lt;&gt;"",INDEX($P$2:$U$853,MATCH($X703,$W$2:$W$853,0),COLUMNS($X$2:AB703)),"")</f>
        <v/>
      </c>
      <c r="AD703" s="1" t="str">
        <f>IF($X703&lt;&gt;"",INDEX($P$2:$U$853,MATCH($X703,$W$2:$W$853,0),COLUMNS($X$2:AC703)),"")</f>
        <v/>
      </c>
    </row>
    <row r="704" spans="1:30" x14ac:dyDescent="0.2">
      <c r="A704" s="1">
        <v>2006</v>
      </c>
      <c r="B704" s="2">
        <v>38899</v>
      </c>
      <c r="C704" s="1" t="s">
        <v>512</v>
      </c>
      <c r="D704" s="1" t="s">
        <v>61</v>
      </c>
      <c r="E704" s="1" t="s">
        <v>413</v>
      </c>
      <c r="F704" s="1" t="s">
        <v>212</v>
      </c>
      <c r="G704" s="6" t="str">
        <f>VLOOKUP(A704,WorldCups!$A$2:$B$23,2,FALSE)</f>
        <v>Germany</v>
      </c>
      <c r="H704" s="1" t="s">
        <v>93</v>
      </c>
      <c r="I704" s="1">
        <v>0</v>
      </c>
      <c r="J704" s="1">
        <v>0</v>
      </c>
      <c r="K704" s="1" t="s">
        <v>170</v>
      </c>
      <c r="L704" s="1" t="s">
        <v>438</v>
      </c>
      <c r="M704" s="1" t="str">
        <f>IF(ISNUMBER(SEARCH("Group",Table2[[#This Row],[Round]])),"Group stages",Table2[[#This Row],[Round]])</f>
        <v>Quarter-finals</v>
      </c>
      <c r="O704" s="1">
        <f>Table2[[#This Row],[Year]]</f>
        <v>2006</v>
      </c>
      <c r="P704" s="1" t="str">
        <f>INDEX(Table2[[HomeTeam]:[Group_details]],ROWS($N$2:N704),COLUMNS($N$2:N704))</f>
        <v>England</v>
      </c>
      <c r="Q704" s="1">
        <f>INDEX(Table2[[HomeTeam]:[Group_details]],ROWS($N$2:O704),COLUMNS($N$2:O704))</f>
        <v>0</v>
      </c>
      <c r="R704" s="1">
        <f>INDEX(Table2[[HomeTeam]:[Group_details]],ROWS($N$2:P704),COLUMNS($N$2:P704))</f>
        <v>0</v>
      </c>
      <c r="S704" s="1" t="str">
        <f>INDEX(Table2[[HomeTeam]:[Group_details]],ROWS($N$2:Q704),COLUMNS($N$2:Q704))</f>
        <v>Portugal</v>
      </c>
      <c r="T704" s="1" t="str">
        <f>INDEX(Table2[[HomeTeam]:[Group_details]],ROWS($N$2:R704),COLUMNS($N$2:R704))</f>
        <v xml:space="preserve">Portugal win on penalties (1 - 3) </v>
      </c>
      <c r="U704" s="1" t="str">
        <f>INDEX(Table2[[HomeTeam]:[Group_details]],ROWS($N$2:S704),COLUMNS($N$2:S704))</f>
        <v>Quarter-finals</v>
      </c>
      <c r="V704" s="1" t="b">
        <f t="shared" si="10"/>
        <v>0</v>
      </c>
      <c r="W704" s="1" t="str">
        <f>IF(V704=TRUE,ROWS($V$2:V704),"")</f>
        <v/>
      </c>
      <c r="X704" s="1" t="str">
        <f>IFERROR(SMALL($W$2:$W$853,ROWS($W$2:W704)),"")</f>
        <v/>
      </c>
      <c r="Y704" s="1" t="str">
        <f>IF($X704&lt;&gt;"",INDEX($P$2:$U$853,MATCH($X704,$W$2:$W$853,0),COLUMNS($X$2:X704)),"")</f>
        <v/>
      </c>
      <c r="Z704" s="1" t="str">
        <f>IF($X704&lt;&gt;"",INDEX($P$2:$U$853,MATCH($X704,$W$2:$W$853,0),COLUMNS($X$2:Y704)),"")</f>
        <v/>
      </c>
      <c r="AA704" s="1" t="str">
        <f>IF($X704&lt;&gt;"",INDEX($P$2:$U$853,MATCH($X704,$W$2:$W$853,0),COLUMNS($X$2:Z704)),"")</f>
        <v/>
      </c>
      <c r="AB704" s="1" t="str">
        <f>IF($X704&lt;&gt;"",INDEX($P$2:$U$853,MATCH($X704,$W$2:$W$853,0),COLUMNS($X$2:AA704)),"")</f>
        <v/>
      </c>
      <c r="AC704" s="1" t="str">
        <f>IF($X704&lt;&gt;"",INDEX($P$2:$U$853,MATCH($X704,$W$2:$W$853,0),COLUMNS($X$2:AB704)),"")</f>
        <v/>
      </c>
      <c r="AD704" s="1" t="str">
        <f>IF($X704&lt;&gt;"",INDEX($P$2:$U$853,MATCH($X704,$W$2:$W$853,0),COLUMNS($X$2:AC704)),"")</f>
        <v/>
      </c>
    </row>
    <row r="705" spans="1:30" x14ac:dyDescent="0.2">
      <c r="A705" s="1">
        <v>2006</v>
      </c>
      <c r="B705" s="2">
        <v>38899</v>
      </c>
      <c r="C705" s="1" t="s">
        <v>530</v>
      </c>
      <c r="D705" s="1" t="s">
        <v>61</v>
      </c>
      <c r="E705" s="1" t="s">
        <v>414</v>
      </c>
      <c r="F705" s="1" t="s">
        <v>193</v>
      </c>
      <c r="G705" s="6" t="str">
        <f>VLOOKUP(A705,WorldCups!$A$2:$B$23,2,FALSE)</f>
        <v>Germany</v>
      </c>
      <c r="H705" s="1" t="s">
        <v>21</v>
      </c>
      <c r="I705" s="1">
        <v>0</v>
      </c>
      <c r="J705" s="1">
        <v>1</v>
      </c>
      <c r="K705" s="1" t="s">
        <v>12</v>
      </c>
      <c r="L705" s="1" t="s">
        <v>14</v>
      </c>
      <c r="M705" s="1" t="str">
        <f>IF(ISNUMBER(SEARCH("Group",Table2[[#This Row],[Round]])),"Group stages",Table2[[#This Row],[Round]])</f>
        <v>Quarter-finals</v>
      </c>
      <c r="O705" s="1">
        <f>Table2[[#This Row],[Year]]</f>
        <v>2006</v>
      </c>
      <c r="P705" s="1" t="str">
        <f>INDEX(Table2[[HomeTeam]:[Group_details]],ROWS($N$2:N705),COLUMNS($N$2:N705))</f>
        <v>Brazil</v>
      </c>
      <c r="Q705" s="1">
        <f>INDEX(Table2[[HomeTeam]:[Group_details]],ROWS($N$2:O705),COLUMNS($N$2:O705))</f>
        <v>0</v>
      </c>
      <c r="R705" s="1">
        <f>INDEX(Table2[[HomeTeam]:[Group_details]],ROWS($N$2:P705),COLUMNS($N$2:P705))</f>
        <v>1</v>
      </c>
      <c r="S705" s="1" t="str">
        <f>INDEX(Table2[[HomeTeam]:[Group_details]],ROWS($N$2:Q705),COLUMNS($N$2:Q705))</f>
        <v>France</v>
      </c>
      <c r="T705" s="1" t="str">
        <f>INDEX(Table2[[HomeTeam]:[Group_details]],ROWS($N$2:R705),COLUMNS($N$2:R705))</f>
        <v xml:space="preserve"> </v>
      </c>
      <c r="U705" s="1" t="str">
        <f>INDEX(Table2[[HomeTeam]:[Group_details]],ROWS($N$2:S705),COLUMNS($N$2:S705))</f>
        <v>Quarter-finals</v>
      </c>
      <c r="V705" s="1" t="b">
        <f t="shared" si="10"/>
        <v>0</v>
      </c>
      <c r="W705" s="1" t="str">
        <f>IF(V705=TRUE,ROWS($V$2:V705),"")</f>
        <v/>
      </c>
      <c r="X705" s="1" t="str">
        <f>IFERROR(SMALL($W$2:$W$853,ROWS($W$2:W705)),"")</f>
        <v/>
      </c>
      <c r="Y705" s="1" t="str">
        <f>IF($X705&lt;&gt;"",INDEX($P$2:$U$853,MATCH($X705,$W$2:$W$853,0),COLUMNS($X$2:X705)),"")</f>
        <v/>
      </c>
      <c r="Z705" s="1" t="str">
        <f>IF($X705&lt;&gt;"",INDEX($P$2:$U$853,MATCH($X705,$W$2:$W$853,0),COLUMNS($X$2:Y705)),"")</f>
        <v/>
      </c>
      <c r="AA705" s="1" t="str">
        <f>IF($X705&lt;&gt;"",INDEX($P$2:$U$853,MATCH($X705,$W$2:$W$853,0),COLUMNS($X$2:Z705)),"")</f>
        <v/>
      </c>
      <c r="AB705" s="1" t="str">
        <f>IF($X705&lt;&gt;"",INDEX($P$2:$U$853,MATCH($X705,$W$2:$W$853,0),COLUMNS($X$2:AA705)),"")</f>
        <v/>
      </c>
      <c r="AC705" s="1" t="str">
        <f>IF($X705&lt;&gt;"",INDEX($P$2:$U$853,MATCH($X705,$W$2:$W$853,0),COLUMNS($X$2:AB705)),"")</f>
        <v/>
      </c>
      <c r="AD705" s="1" t="str">
        <f>IF($X705&lt;&gt;"",INDEX($P$2:$U$853,MATCH($X705,$W$2:$W$853,0),COLUMNS($X$2:AC705)),"")</f>
        <v/>
      </c>
    </row>
    <row r="706" spans="1:30" x14ac:dyDescent="0.2">
      <c r="A706" s="1">
        <v>2006</v>
      </c>
      <c r="B706" s="2">
        <v>38902</v>
      </c>
      <c r="C706" s="1" t="s">
        <v>530</v>
      </c>
      <c r="D706" s="1" t="s">
        <v>31</v>
      </c>
      <c r="E706" s="1" t="s">
        <v>415</v>
      </c>
      <c r="F706" s="1" t="s">
        <v>201</v>
      </c>
      <c r="G706" s="6" t="str">
        <f>VLOOKUP(A706,WorldCups!$A$2:$B$23,2,FALSE)</f>
        <v>Germany</v>
      </c>
      <c r="H706" s="1" t="s">
        <v>51</v>
      </c>
      <c r="I706" s="1">
        <v>0</v>
      </c>
      <c r="J706" s="1">
        <v>2</v>
      </c>
      <c r="K706" s="1" t="s">
        <v>57</v>
      </c>
      <c r="L706" s="1" t="s">
        <v>63</v>
      </c>
      <c r="M706" s="1" t="str">
        <f>IF(ISNUMBER(SEARCH("Group",Table2[[#This Row],[Round]])),"Group stages",Table2[[#This Row],[Round]])</f>
        <v>Semi-finals</v>
      </c>
      <c r="O706" s="1">
        <f>Table2[[#This Row],[Year]]</f>
        <v>2006</v>
      </c>
      <c r="P706" s="1" t="str">
        <f>INDEX(Table2[[HomeTeam]:[Group_details]],ROWS($N$2:N706),COLUMNS($N$2:N706))</f>
        <v>Germany</v>
      </c>
      <c r="Q706" s="1">
        <f>INDEX(Table2[[HomeTeam]:[Group_details]],ROWS($N$2:O706),COLUMNS($N$2:O706))</f>
        <v>0</v>
      </c>
      <c r="R706" s="1">
        <f>INDEX(Table2[[HomeTeam]:[Group_details]],ROWS($N$2:P706),COLUMNS($N$2:P706))</f>
        <v>2</v>
      </c>
      <c r="S706" s="1" t="str">
        <f>INDEX(Table2[[HomeTeam]:[Group_details]],ROWS($N$2:Q706),COLUMNS($N$2:Q706))</f>
        <v>Italy</v>
      </c>
      <c r="T706" s="1" t="str">
        <f>INDEX(Table2[[HomeTeam]:[Group_details]],ROWS($N$2:R706),COLUMNS($N$2:R706))</f>
        <v xml:space="preserve">Italy win after extra time </v>
      </c>
      <c r="U706" s="1" t="str">
        <f>INDEX(Table2[[HomeTeam]:[Group_details]],ROWS($N$2:S706),COLUMNS($N$2:S706))</f>
        <v>Semi-finals</v>
      </c>
      <c r="V706" s="1" t="b">
        <f t="shared" si="10"/>
        <v>0</v>
      </c>
      <c r="W706" s="1" t="str">
        <f>IF(V706=TRUE,ROWS($V$2:V706),"")</f>
        <v/>
      </c>
      <c r="X706" s="1" t="str">
        <f>IFERROR(SMALL($W$2:$W$853,ROWS($W$2:W706)),"")</f>
        <v/>
      </c>
      <c r="Y706" s="1" t="str">
        <f>IF($X706&lt;&gt;"",INDEX($P$2:$U$853,MATCH($X706,$W$2:$W$853,0),COLUMNS($X$2:X706)),"")</f>
        <v/>
      </c>
      <c r="Z706" s="1" t="str">
        <f>IF($X706&lt;&gt;"",INDEX($P$2:$U$853,MATCH($X706,$W$2:$W$853,0),COLUMNS($X$2:Y706)),"")</f>
        <v/>
      </c>
      <c r="AA706" s="1" t="str">
        <f>IF($X706&lt;&gt;"",INDEX($P$2:$U$853,MATCH($X706,$W$2:$W$853,0),COLUMNS($X$2:Z706)),"")</f>
        <v/>
      </c>
      <c r="AB706" s="1" t="str">
        <f>IF($X706&lt;&gt;"",INDEX($P$2:$U$853,MATCH($X706,$W$2:$W$853,0),COLUMNS($X$2:AA706)),"")</f>
        <v/>
      </c>
      <c r="AC706" s="1" t="str">
        <f>IF($X706&lt;&gt;"",INDEX($P$2:$U$853,MATCH($X706,$W$2:$W$853,0),COLUMNS($X$2:AB706)),"")</f>
        <v/>
      </c>
      <c r="AD706" s="1" t="str">
        <f>IF($X706&lt;&gt;"",INDEX($P$2:$U$853,MATCH($X706,$W$2:$W$853,0),COLUMNS($X$2:AC706)),"")</f>
        <v/>
      </c>
    </row>
    <row r="707" spans="1:30" x14ac:dyDescent="0.2">
      <c r="A707" s="1">
        <v>2006</v>
      </c>
      <c r="B707" s="2">
        <v>38903</v>
      </c>
      <c r="C707" s="1" t="s">
        <v>530</v>
      </c>
      <c r="D707" s="1" t="s">
        <v>31</v>
      </c>
      <c r="E707" s="1" t="s">
        <v>412</v>
      </c>
      <c r="F707" s="1" t="s">
        <v>207</v>
      </c>
      <c r="G707" s="6" t="str">
        <f>VLOOKUP(A707,WorldCups!$A$2:$B$23,2,FALSE)</f>
        <v>Germany</v>
      </c>
      <c r="H707" s="1" t="s">
        <v>170</v>
      </c>
      <c r="I707" s="1">
        <v>0</v>
      </c>
      <c r="J707" s="1">
        <v>1</v>
      </c>
      <c r="K707" s="1" t="s">
        <v>12</v>
      </c>
      <c r="L707" s="1" t="s">
        <v>14</v>
      </c>
      <c r="M707" s="1" t="str">
        <f>IF(ISNUMBER(SEARCH("Group",Table2[[#This Row],[Round]])),"Group stages",Table2[[#This Row],[Round]])</f>
        <v>Semi-finals</v>
      </c>
      <c r="O707" s="1">
        <f>Table2[[#This Row],[Year]]</f>
        <v>2006</v>
      </c>
      <c r="P707" s="1" t="str">
        <f>INDEX(Table2[[HomeTeam]:[Group_details]],ROWS($N$2:N707),COLUMNS($N$2:N707))</f>
        <v>Portugal</v>
      </c>
      <c r="Q707" s="1">
        <f>INDEX(Table2[[HomeTeam]:[Group_details]],ROWS($N$2:O707),COLUMNS($N$2:O707))</f>
        <v>0</v>
      </c>
      <c r="R707" s="1">
        <f>INDEX(Table2[[HomeTeam]:[Group_details]],ROWS($N$2:P707),COLUMNS($N$2:P707))</f>
        <v>1</v>
      </c>
      <c r="S707" s="1" t="str">
        <f>INDEX(Table2[[HomeTeam]:[Group_details]],ROWS($N$2:Q707),COLUMNS($N$2:Q707))</f>
        <v>France</v>
      </c>
      <c r="T707" s="1" t="str">
        <f>INDEX(Table2[[HomeTeam]:[Group_details]],ROWS($N$2:R707),COLUMNS($N$2:R707))</f>
        <v xml:space="preserve"> </v>
      </c>
      <c r="U707" s="1" t="str">
        <f>INDEX(Table2[[HomeTeam]:[Group_details]],ROWS($N$2:S707),COLUMNS($N$2:S707))</f>
        <v>Semi-finals</v>
      </c>
      <c r="V707" s="1" t="b">
        <f t="shared" ref="V707:V770" si="11">IF(O707=$V$1,TRUE)</f>
        <v>0</v>
      </c>
      <c r="W707" s="1" t="str">
        <f>IF(V707=TRUE,ROWS($V$2:V707),"")</f>
        <v/>
      </c>
      <c r="X707" s="1" t="str">
        <f>IFERROR(SMALL($W$2:$W$853,ROWS($W$2:W707)),"")</f>
        <v/>
      </c>
      <c r="Y707" s="1" t="str">
        <f>IF($X707&lt;&gt;"",INDEX($P$2:$U$853,MATCH($X707,$W$2:$W$853,0),COLUMNS($X$2:X707)),"")</f>
        <v/>
      </c>
      <c r="Z707" s="1" t="str">
        <f>IF($X707&lt;&gt;"",INDEX($P$2:$U$853,MATCH($X707,$W$2:$W$853,0),COLUMNS($X$2:Y707)),"")</f>
        <v/>
      </c>
      <c r="AA707" s="1" t="str">
        <f>IF($X707&lt;&gt;"",INDEX($P$2:$U$853,MATCH($X707,$W$2:$W$853,0),COLUMNS($X$2:Z707)),"")</f>
        <v/>
      </c>
      <c r="AB707" s="1" t="str">
        <f>IF($X707&lt;&gt;"",INDEX($P$2:$U$853,MATCH($X707,$W$2:$W$853,0),COLUMNS($X$2:AA707)),"")</f>
        <v/>
      </c>
      <c r="AC707" s="1" t="str">
        <f>IF($X707&lt;&gt;"",INDEX($P$2:$U$853,MATCH($X707,$W$2:$W$853,0),COLUMNS($X$2:AB707)),"")</f>
        <v/>
      </c>
      <c r="AD707" s="1" t="str">
        <f>IF($X707&lt;&gt;"",INDEX($P$2:$U$853,MATCH($X707,$W$2:$W$853,0),COLUMNS($X$2:AC707)),"")</f>
        <v/>
      </c>
    </row>
    <row r="708" spans="1:30" x14ac:dyDescent="0.2">
      <c r="A708" s="1">
        <v>2006</v>
      </c>
      <c r="B708" s="2">
        <v>38906</v>
      </c>
      <c r="C708" s="1" t="s">
        <v>530</v>
      </c>
      <c r="D708" s="1" t="s">
        <v>411</v>
      </c>
      <c r="E708" s="1" t="s">
        <v>433</v>
      </c>
      <c r="F708" s="1" t="s">
        <v>210</v>
      </c>
      <c r="G708" s="6" t="str">
        <f>VLOOKUP(A708,WorldCups!$A$2:$B$23,2,FALSE)</f>
        <v>Germany</v>
      </c>
      <c r="H708" s="1" t="s">
        <v>51</v>
      </c>
      <c r="I708" s="1">
        <v>3</v>
      </c>
      <c r="J708" s="1">
        <v>1</v>
      </c>
      <c r="K708" s="1" t="s">
        <v>170</v>
      </c>
      <c r="L708" s="1" t="s">
        <v>14</v>
      </c>
      <c r="M708" s="1" t="str">
        <f>IF(ISNUMBER(SEARCH("Group",Table2[[#This Row],[Round]])),"Group stages",Table2[[#This Row],[Round]])</f>
        <v>Third place</v>
      </c>
      <c r="O708" s="1">
        <f>Table2[[#This Row],[Year]]</f>
        <v>2006</v>
      </c>
      <c r="P708" s="1" t="str">
        <f>INDEX(Table2[[HomeTeam]:[Group_details]],ROWS($N$2:N708),COLUMNS($N$2:N708))</f>
        <v>Germany</v>
      </c>
      <c r="Q708" s="1">
        <f>INDEX(Table2[[HomeTeam]:[Group_details]],ROWS($N$2:O708),COLUMNS($N$2:O708))</f>
        <v>3</v>
      </c>
      <c r="R708" s="1">
        <f>INDEX(Table2[[HomeTeam]:[Group_details]],ROWS($N$2:P708),COLUMNS($N$2:P708))</f>
        <v>1</v>
      </c>
      <c r="S708" s="1" t="str">
        <f>INDEX(Table2[[HomeTeam]:[Group_details]],ROWS($N$2:Q708),COLUMNS($N$2:Q708))</f>
        <v>Portugal</v>
      </c>
      <c r="T708" s="1" t="str">
        <f>INDEX(Table2[[HomeTeam]:[Group_details]],ROWS($N$2:R708),COLUMNS($N$2:R708))</f>
        <v xml:space="preserve"> </v>
      </c>
      <c r="U708" s="1" t="str">
        <f>INDEX(Table2[[HomeTeam]:[Group_details]],ROWS($N$2:S708),COLUMNS($N$2:S708))</f>
        <v>Third place</v>
      </c>
      <c r="V708" s="1" t="b">
        <f t="shared" si="11"/>
        <v>0</v>
      </c>
      <c r="W708" s="1" t="str">
        <f>IF(V708=TRUE,ROWS($V$2:V708),"")</f>
        <v/>
      </c>
      <c r="X708" s="1" t="str">
        <f>IFERROR(SMALL($W$2:$W$853,ROWS($W$2:W708)),"")</f>
        <v/>
      </c>
      <c r="Y708" s="1" t="str">
        <f>IF($X708&lt;&gt;"",INDEX($P$2:$U$853,MATCH($X708,$W$2:$W$853,0),COLUMNS($X$2:X708)),"")</f>
        <v/>
      </c>
      <c r="Z708" s="1" t="str">
        <f>IF($X708&lt;&gt;"",INDEX($P$2:$U$853,MATCH($X708,$W$2:$W$853,0),COLUMNS($X$2:Y708)),"")</f>
        <v/>
      </c>
      <c r="AA708" s="1" t="str">
        <f>IF($X708&lt;&gt;"",INDEX($P$2:$U$853,MATCH($X708,$W$2:$W$853,0),COLUMNS($X$2:Z708)),"")</f>
        <v/>
      </c>
      <c r="AB708" s="1" t="str">
        <f>IF($X708&lt;&gt;"",INDEX($P$2:$U$853,MATCH($X708,$W$2:$W$853,0),COLUMNS($X$2:AA708)),"")</f>
        <v/>
      </c>
      <c r="AC708" s="1" t="str">
        <f>IF($X708&lt;&gt;"",INDEX($P$2:$U$853,MATCH($X708,$W$2:$W$853,0),COLUMNS($X$2:AB708)),"")</f>
        <v/>
      </c>
      <c r="AD708" s="1" t="str">
        <f>IF($X708&lt;&gt;"",INDEX($P$2:$U$853,MATCH($X708,$W$2:$W$853,0),COLUMNS($X$2:AC708)),"")</f>
        <v/>
      </c>
    </row>
    <row r="709" spans="1:30" x14ac:dyDescent="0.2">
      <c r="A709" s="1">
        <v>2006</v>
      </c>
      <c r="B709" s="2">
        <v>38907</v>
      </c>
      <c r="C709" s="1" t="s">
        <v>528</v>
      </c>
      <c r="D709" s="1" t="s">
        <v>32</v>
      </c>
      <c r="E709" s="1" t="s">
        <v>194</v>
      </c>
      <c r="F709" s="1" t="s">
        <v>434</v>
      </c>
      <c r="G709" s="6" t="str">
        <f>VLOOKUP(A709,WorldCups!$A$2:$B$23,2,FALSE)</f>
        <v>Germany</v>
      </c>
      <c r="H709" s="1" t="s">
        <v>57</v>
      </c>
      <c r="I709" s="1">
        <v>1</v>
      </c>
      <c r="J709" s="1">
        <v>1</v>
      </c>
      <c r="K709" s="1" t="s">
        <v>12</v>
      </c>
      <c r="L709" s="1" t="s">
        <v>439</v>
      </c>
      <c r="M709" s="1" t="str">
        <f>IF(ISNUMBER(SEARCH("Group",Table2[[#This Row],[Round]])),"Group stages",Table2[[#This Row],[Round]])</f>
        <v>Final</v>
      </c>
      <c r="O709" s="1">
        <f>Table2[[#This Row],[Year]]</f>
        <v>2006</v>
      </c>
      <c r="P709" s="1" t="str">
        <f>INDEX(Table2[[HomeTeam]:[Group_details]],ROWS($N$2:N709),COLUMNS($N$2:N709))</f>
        <v>Italy</v>
      </c>
      <c r="Q709" s="1">
        <f>INDEX(Table2[[HomeTeam]:[Group_details]],ROWS($N$2:O709),COLUMNS($N$2:O709))</f>
        <v>1</v>
      </c>
      <c r="R709" s="1">
        <f>INDEX(Table2[[HomeTeam]:[Group_details]],ROWS($N$2:P709),COLUMNS($N$2:P709))</f>
        <v>1</v>
      </c>
      <c r="S709" s="1" t="str">
        <f>INDEX(Table2[[HomeTeam]:[Group_details]],ROWS($N$2:Q709),COLUMNS($N$2:Q709))</f>
        <v>France</v>
      </c>
      <c r="T709" s="1" t="str">
        <f>INDEX(Table2[[HomeTeam]:[Group_details]],ROWS($N$2:R709),COLUMNS($N$2:R709))</f>
        <v xml:space="preserve">Italy win on penalties (5 - 3) </v>
      </c>
      <c r="U709" s="1" t="str">
        <f>INDEX(Table2[[HomeTeam]:[Group_details]],ROWS($N$2:S709),COLUMNS($N$2:S709))</f>
        <v>Final</v>
      </c>
      <c r="V709" s="1" t="b">
        <f t="shared" si="11"/>
        <v>0</v>
      </c>
      <c r="W709" s="1" t="str">
        <f>IF(V709=TRUE,ROWS($V$2:V709),"")</f>
        <v/>
      </c>
      <c r="X709" s="1" t="str">
        <f>IFERROR(SMALL($W$2:$W$853,ROWS($W$2:W709)),"")</f>
        <v/>
      </c>
      <c r="Y709" s="1" t="str">
        <f>IF($X709&lt;&gt;"",INDEX($P$2:$U$853,MATCH($X709,$W$2:$W$853,0),COLUMNS($X$2:X709)),"")</f>
        <v/>
      </c>
      <c r="Z709" s="1" t="str">
        <f>IF($X709&lt;&gt;"",INDEX($P$2:$U$853,MATCH($X709,$W$2:$W$853,0),COLUMNS($X$2:Y709)),"")</f>
        <v/>
      </c>
      <c r="AA709" s="1" t="str">
        <f>IF($X709&lt;&gt;"",INDEX($P$2:$U$853,MATCH($X709,$W$2:$W$853,0),COLUMNS($X$2:Z709)),"")</f>
        <v/>
      </c>
      <c r="AB709" s="1" t="str">
        <f>IF($X709&lt;&gt;"",INDEX($P$2:$U$853,MATCH($X709,$W$2:$W$853,0),COLUMNS($X$2:AA709)),"")</f>
        <v/>
      </c>
      <c r="AC709" s="1" t="str">
        <f>IF($X709&lt;&gt;"",INDEX($P$2:$U$853,MATCH($X709,$W$2:$W$853,0),COLUMNS($X$2:AB709)),"")</f>
        <v/>
      </c>
      <c r="AD709" s="1" t="str">
        <f>IF($X709&lt;&gt;"",INDEX($P$2:$U$853,MATCH($X709,$W$2:$W$853,0),COLUMNS($X$2:AC709)),"")</f>
        <v/>
      </c>
    </row>
    <row r="710" spans="1:30" x14ac:dyDescent="0.2">
      <c r="A710" s="1">
        <v>2010</v>
      </c>
      <c r="B710" s="2">
        <v>40340</v>
      </c>
      <c r="C710" s="1" t="s">
        <v>503</v>
      </c>
      <c r="D710" s="1" t="s">
        <v>214</v>
      </c>
      <c r="E710" s="1" t="s">
        <v>440</v>
      </c>
      <c r="F710" s="1" t="s">
        <v>441</v>
      </c>
      <c r="G710" s="6" t="str">
        <f>VLOOKUP(A710,WorldCups!$A$2:$B$23,2,FALSE)</f>
        <v>South Africa</v>
      </c>
      <c r="H710" s="1" t="s">
        <v>350</v>
      </c>
      <c r="I710" s="1">
        <v>1</v>
      </c>
      <c r="J710" s="1">
        <v>1</v>
      </c>
      <c r="K710" s="1" t="s">
        <v>13</v>
      </c>
      <c r="L710" s="1" t="s">
        <v>14</v>
      </c>
      <c r="M710" s="1" t="str">
        <f>IF(ISNUMBER(SEARCH("Group",Table2[[#This Row],[Round]])),"Group stages",Table2[[#This Row],[Round]])</f>
        <v>Group stages</v>
      </c>
      <c r="O710" s="1">
        <f>Table2[[#This Row],[Year]]</f>
        <v>2010</v>
      </c>
      <c r="P710" s="1" t="str">
        <f>INDEX(Table2[[HomeTeam]:[Group_details]],ROWS($N$2:N710),COLUMNS($N$2:N710))</f>
        <v>South Africa</v>
      </c>
      <c r="Q710" s="1">
        <f>INDEX(Table2[[HomeTeam]:[Group_details]],ROWS($N$2:O710),COLUMNS($N$2:O710))</f>
        <v>1</v>
      </c>
      <c r="R710" s="1">
        <f>INDEX(Table2[[HomeTeam]:[Group_details]],ROWS($N$2:P710),COLUMNS($N$2:P710))</f>
        <v>1</v>
      </c>
      <c r="S710" s="1" t="str">
        <f>INDEX(Table2[[HomeTeam]:[Group_details]],ROWS($N$2:Q710),COLUMNS($N$2:Q710))</f>
        <v>Mexico</v>
      </c>
      <c r="T710" s="1" t="str">
        <f>INDEX(Table2[[HomeTeam]:[Group_details]],ROWS($N$2:R710),COLUMNS($N$2:R710))</f>
        <v xml:space="preserve"> </v>
      </c>
      <c r="U710" s="1" t="str">
        <f>INDEX(Table2[[HomeTeam]:[Group_details]],ROWS($N$2:S710),COLUMNS($N$2:S710))</f>
        <v>Group stages</v>
      </c>
      <c r="V710" s="1" t="b">
        <f t="shared" si="11"/>
        <v>0</v>
      </c>
      <c r="W710" s="1" t="str">
        <f>IF(V710=TRUE,ROWS($V$2:V710),"")</f>
        <v/>
      </c>
      <c r="X710" s="1" t="str">
        <f>IFERROR(SMALL($W$2:$W$853,ROWS($W$2:W710)),"")</f>
        <v/>
      </c>
      <c r="Y710" s="1" t="str">
        <f>IF($X710&lt;&gt;"",INDEX($P$2:$U$853,MATCH($X710,$W$2:$W$853,0),COLUMNS($X$2:X710)),"")</f>
        <v/>
      </c>
      <c r="Z710" s="1" t="str">
        <f>IF($X710&lt;&gt;"",INDEX($P$2:$U$853,MATCH($X710,$W$2:$W$853,0),COLUMNS($X$2:Y710)),"")</f>
        <v/>
      </c>
      <c r="AA710" s="1" t="str">
        <f>IF($X710&lt;&gt;"",INDEX($P$2:$U$853,MATCH($X710,$W$2:$W$853,0),COLUMNS($X$2:Z710)),"")</f>
        <v/>
      </c>
      <c r="AB710" s="1" t="str">
        <f>IF($X710&lt;&gt;"",INDEX($P$2:$U$853,MATCH($X710,$W$2:$W$853,0),COLUMNS($X$2:AA710)),"")</f>
        <v/>
      </c>
      <c r="AC710" s="1" t="str">
        <f>IF($X710&lt;&gt;"",INDEX($P$2:$U$853,MATCH($X710,$W$2:$W$853,0),COLUMNS($X$2:AB710)),"")</f>
        <v/>
      </c>
      <c r="AD710" s="1" t="str">
        <f>IF($X710&lt;&gt;"",INDEX($P$2:$U$853,MATCH($X710,$W$2:$W$853,0),COLUMNS($X$2:AC710)),"")</f>
        <v/>
      </c>
    </row>
    <row r="711" spans="1:30" x14ac:dyDescent="0.2">
      <c r="A711" s="1">
        <v>2010</v>
      </c>
      <c r="B711" s="2">
        <v>40340</v>
      </c>
      <c r="C711" s="1" t="s">
        <v>535</v>
      </c>
      <c r="D711" s="1" t="s">
        <v>214</v>
      </c>
      <c r="E711" s="1" t="s">
        <v>442</v>
      </c>
      <c r="F711" s="1" t="s">
        <v>443</v>
      </c>
      <c r="G711" s="6" t="str">
        <f>VLOOKUP(A711,WorldCups!$A$2:$B$23,2,FALSE)</f>
        <v>South Africa</v>
      </c>
      <c r="H711" s="1" t="s">
        <v>30</v>
      </c>
      <c r="I711" s="1">
        <v>0</v>
      </c>
      <c r="J711" s="1">
        <v>0</v>
      </c>
      <c r="K711" s="1" t="s">
        <v>12</v>
      </c>
      <c r="L711" s="1" t="s">
        <v>14</v>
      </c>
      <c r="M711" s="1" t="str">
        <f>IF(ISNUMBER(SEARCH("Group",Table2[[#This Row],[Round]])),"Group stages",Table2[[#This Row],[Round]])</f>
        <v>Group stages</v>
      </c>
      <c r="O711" s="1">
        <f>Table2[[#This Row],[Year]]</f>
        <v>2010</v>
      </c>
      <c r="P711" s="1" t="str">
        <f>INDEX(Table2[[HomeTeam]:[Group_details]],ROWS($N$2:N711),COLUMNS($N$2:N711))</f>
        <v>Uruguay</v>
      </c>
      <c r="Q711" s="1">
        <f>INDEX(Table2[[HomeTeam]:[Group_details]],ROWS($N$2:O711),COLUMNS($N$2:O711))</f>
        <v>0</v>
      </c>
      <c r="R711" s="1">
        <f>INDEX(Table2[[HomeTeam]:[Group_details]],ROWS($N$2:P711),COLUMNS($N$2:P711))</f>
        <v>0</v>
      </c>
      <c r="S711" s="1" t="str">
        <f>INDEX(Table2[[HomeTeam]:[Group_details]],ROWS($N$2:Q711),COLUMNS($N$2:Q711))</f>
        <v>France</v>
      </c>
      <c r="T711" s="1" t="str">
        <f>INDEX(Table2[[HomeTeam]:[Group_details]],ROWS($N$2:R711),COLUMNS($N$2:R711))</f>
        <v xml:space="preserve"> </v>
      </c>
      <c r="U711" s="1" t="str">
        <f>INDEX(Table2[[HomeTeam]:[Group_details]],ROWS($N$2:S711),COLUMNS($N$2:S711))</f>
        <v>Group stages</v>
      </c>
      <c r="V711" s="1" t="b">
        <f t="shared" si="11"/>
        <v>0</v>
      </c>
      <c r="W711" s="1" t="str">
        <f>IF(V711=TRUE,ROWS($V$2:V711),"")</f>
        <v/>
      </c>
      <c r="X711" s="1" t="str">
        <f>IFERROR(SMALL($W$2:$W$853,ROWS($W$2:W711)),"")</f>
        <v/>
      </c>
      <c r="Y711" s="1" t="str">
        <f>IF($X711&lt;&gt;"",INDEX($P$2:$U$853,MATCH($X711,$W$2:$W$853,0),COLUMNS($X$2:X711)),"")</f>
        <v/>
      </c>
      <c r="Z711" s="1" t="str">
        <f>IF($X711&lt;&gt;"",INDEX($P$2:$U$853,MATCH($X711,$W$2:$W$853,0),COLUMNS($X$2:Y711)),"")</f>
        <v/>
      </c>
      <c r="AA711" s="1" t="str">
        <f>IF($X711&lt;&gt;"",INDEX($P$2:$U$853,MATCH($X711,$W$2:$W$853,0),COLUMNS($X$2:Z711)),"")</f>
        <v/>
      </c>
      <c r="AB711" s="1" t="str">
        <f>IF($X711&lt;&gt;"",INDEX($P$2:$U$853,MATCH($X711,$W$2:$W$853,0),COLUMNS($X$2:AA711)),"")</f>
        <v/>
      </c>
      <c r="AC711" s="1" t="str">
        <f>IF($X711&lt;&gt;"",INDEX($P$2:$U$853,MATCH($X711,$W$2:$W$853,0),COLUMNS($X$2:AB711)),"")</f>
        <v/>
      </c>
      <c r="AD711" s="1" t="str">
        <f>IF($X711&lt;&gt;"",INDEX($P$2:$U$853,MATCH($X711,$W$2:$W$853,0),COLUMNS($X$2:AC711)),"")</f>
        <v/>
      </c>
    </row>
    <row r="712" spans="1:30" x14ac:dyDescent="0.2">
      <c r="A712" s="1">
        <v>2010</v>
      </c>
      <c r="B712" s="2">
        <v>40341</v>
      </c>
      <c r="C712" s="1" t="s">
        <v>534</v>
      </c>
      <c r="D712" s="1" t="s">
        <v>213</v>
      </c>
      <c r="E712" s="1" t="s">
        <v>444</v>
      </c>
      <c r="F712" s="1" t="s">
        <v>445</v>
      </c>
      <c r="G712" s="6" t="str">
        <f>VLOOKUP(A712,WorldCups!$A$2:$B$23,2,FALSE)</f>
        <v>South Africa</v>
      </c>
      <c r="H712" s="1" t="s">
        <v>116</v>
      </c>
      <c r="I712" s="1">
        <v>2</v>
      </c>
      <c r="J712" s="1">
        <v>0</v>
      </c>
      <c r="K712" s="1" t="s">
        <v>339</v>
      </c>
      <c r="L712" s="1" t="s">
        <v>14</v>
      </c>
      <c r="M712" s="1" t="str">
        <f>IF(ISNUMBER(SEARCH("Group",Table2[[#This Row],[Round]])),"Group stages",Table2[[#This Row],[Round]])</f>
        <v>Group stages</v>
      </c>
      <c r="O712" s="1">
        <f>Table2[[#This Row],[Year]]</f>
        <v>2010</v>
      </c>
      <c r="P712" s="1" t="str">
        <f>INDEX(Table2[[HomeTeam]:[Group_details]],ROWS($N$2:N712),COLUMNS($N$2:N712))</f>
        <v>Korea Republic</v>
      </c>
      <c r="Q712" s="1">
        <f>INDEX(Table2[[HomeTeam]:[Group_details]],ROWS($N$2:O712),COLUMNS($N$2:O712))</f>
        <v>2</v>
      </c>
      <c r="R712" s="1">
        <f>INDEX(Table2[[HomeTeam]:[Group_details]],ROWS($N$2:P712),COLUMNS($N$2:P712))</f>
        <v>0</v>
      </c>
      <c r="S712" s="1" t="str">
        <f>INDEX(Table2[[HomeTeam]:[Group_details]],ROWS($N$2:Q712),COLUMNS($N$2:Q712))</f>
        <v>Greece</v>
      </c>
      <c r="T712" s="1" t="str">
        <f>INDEX(Table2[[HomeTeam]:[Group_details]],ROWS($N$2:R712),COLUMNS($N$2:R712))</f>
        <v xml:space="preserve"> </v>
      </c>
      <c r="U712" s="1" t="str">
        <f>INDEX(Table2[[HomeTeam]:[Group_details]],ROWS($N$2:S712),COLUMNS($N$2:S712))</f>
        <v>Group stages</v>
      </c>
      <c r="V712" s="1" t="b">
        <f t="shared" si="11"/>
        <v>0</v>
      </c>
      <c r="W712" s="1" t="str">
        <f>IF(V712=TRUE,ROWS($V$2:V712),"")</f>
        <v/>
      </c>
      <c r="X712" s="1" t="str">
        <f>IFERROR(SMALL($W$2:$W$853,ROWS($W$2:W712)),"")</f>
        <v/>
      </c>
      <c r="Y712" s="1" t="str">
        <f>IF($X712&lt;&gt;"",INDEX($P$2:$U$853,MATCH($X712,$W$2:$W$853,0),COLUMNS($X$2:X712)),"")</f>
        <v/>
      </c>
      <c r="Z712" s="1" t="str">
        <f>IF($X712&lt;&gt;"",INDEX($P$2:$U$853,MATCH($X712,$W$2:$W$853,0),COLUMNS($X$2:Y712)),"")</f>
        <v/>
      </c>
      <c r="AA712" s="1" t="str">
        <f>IF($X712&lt;&gt;"",INDEX($P$2:$U$853,MATCH($X712,$W$2:$W$853,0),COLUMNS($X$2:Z712)),"")</f>
        <v/>
      </c>
      <c r="AB712" s="1" t="str">
        <f>IF($X712&lt;&gt;"",INDEX($P$2:$U$853,MATCH($X712,$W$2:$W$853,0),COLUMNS($X$2:AA712)),"")</f>
        <v/>
      </c>
      <c r="AC712" s="1" t="str">
        <f>IF($X712&lt;&gt;"",INDEX($P$2:$U$853,MATCH($X712,$W$2:$W$853,0),COLUMNS($X$2:AB712)),"")</f>
        <v/>
      </c>
      <c r="AD712" s="1" t="str">
        <f>IF($X712&lt;&gt;"",INDEX($P$2:$U$853,MATCH($X712,$W$2:$W$853,0),COLUMNS($X$2:AC712)),"")</f>
        <v/>
      </c>
    </row>
    <row r="713" spans="1:30" x14ac:dyDescent="0.2">
      <c r="A713" s="1">
        <v>2010</v>
      </c>
      <c r="B713" s="2">
        <v>40341</v>
      </c>
      <c r="C713" s="1" t="s">
        <v>503</v>
      </c>
      <c r="D713" s="1" t="s">
        <v>213</v>
      </c>
      <c r="E713" s="1" t="s">
        <v>446</v>
      </c>
      <c r="F713" s="1" t="s">
        <v>441</v>
      </c>
      <c r="G713" s="6" t="str">
        <f>VLOOKUP(A713,WorldCups!$A$2:$B$23,2,FALSE)</f>
        <v>South Africa</v>
      </c>
      <c r="H713" s="1" t="s">
        <v>25</v>
      </c>
      <c r="I713" s="1">
        <v>1</v>
      </c>
      <c r="J713" s="1">
        <v>0</v>
      </c>
      <c r="K713" s="1" t="s">
        <v>340</v>
      </c>
      <c r="L713" s="1" t="s">
        <v>14</v>
      </c>
      <c r="M713" s="1" t="str">
        <f>IF(ISNUMBER(SEARCH("Group",Table2[[#This Row],[Round]])),"Group stages",Table2[[#This Row],[Round]])</f>
        <v>Group stages</v>
      </c>
      <c r="O713" s="1">
        <f>Table2[[#This Row],[Year]]</f>
        <v>2010</v>
      </c>
      <c r="P713" s="1" t="str">
        <f>INDEX(Table2[[HomeTeam]:[Group_details]],ROWS($N$2:N713),COLUMNS($N$2:N713))</f>
        <v>Argentina</v>
      </c>
      <c r="Q713" s="1">
        <f>INDEX(Table2[[HomeTeam]:[Group_details]],ROWS($N$2:O713),COLUMNS($N$2:O713))</f>
        <v>1</v>
      </c>
      <c r="R713" s="1">
        <f>INDEX(Table2[[HomeTeam]:[Group_details]],ROWS($N$2:P713),COLUMNS($N$2:P713))</f>
        <v>0</v>
      </c>
      <c r="S713" s="1" t="str">
        <f>INDEX(Table2[[HomeTeam]:[Group_details]],ROWS($N$2:Q713),COLUMNS($N$2:Q713))</f>
        <v>Nigeria</v>
      </c>
      <c r="T713" s="1" t="str">
        <f>INDEX(Table2[[HomeTeam]:[Group_details]],ROWS($N$2:R713),COLUMNS($N$2:R713))</f>
        <v xml:space="preserve"> </v>
      </c>
      <c r="U713" s="1" t="str">
        <f>INDEX(Table2[[HomeTeam]:[Group_details]],ROWS($N$2:S713),COLUMNS($N$2:S713))</f>
        <v>Group stages</v>
      </c>
      <c r="V713" s="1" t="b">
        <f t="shared" si="11"/>
        <v>0</v>
      </c>
      <c r="W713" s="1" t="str">
        <f>IF(V713=TRUE,ROWS($V$2:V713),"")</f>
        <v/>
      </c>
      <c r="X713" s="1" t="str">
        <f>IFERROR(SMALL($W$2:$W$853,ROWS($W$2:W713)),"")</f>
        <v/>
      </c>
      <c r="Y713" s="1" t="str">
        <f>IF($X713&lt;&gt;"",INDEX($P$2:$U$853,MATCH($X713,$W$2:$W$853,0),COLUMNS($X$2:X713)),"")</f>
        <v/>
      </c>
      <c r="Z713" s="1" t="str">
        <f>IF($X713&lt;&gt;"",INDEX($P$2:$U$853,MATCH($X713,$W$2:$W$853,0),COLUMNS($X$2:Y713)),"")</f>
        <v/>
      </c>
      <c r="AA713" s="1" t="str">
        <f>IF($X713&lt;&gt;"",INDEX($P$2:$U$853,MATCH($X713,$W$2:$W$853,0),COLUMNS($X$2:Z713)),"")</f>
        <v/>
      </c>
      <c r="AB713" s="1" t="str">
        <f>IF($X713&lt;&gt;"",INDEX($P$2:$U$853,MATCH($X713,$W$2:$W$853,0),COLUMNS($X$2:AA713)),"")</f>
        <v/>
      </c>
      <c r="AC713" s="1" t="str">
        <f>IF($X713&lt;&gt;"",INDEX($P$2:$U$853,MATCH($X713,$W$2:$W$853,0),COLUMNS($X$2:AB713)),"")</f>
        <v/>
      </c>
      <c r="AD713" s="1" t="str">
        <f>IF($X713&lt;&gt;"",INDEX($P$2:$U$853,MATCH($X713,$W$2:$W$853,0),COLUMNS($X$2:AC713)),"")</f>
        <v/>
      </c>
    </row>
    <row r="714" spans="1:30" x14ac:dyDescent="0.2">
      <c r="A714" s="1">
        <v>2010</v>
      </c>
      <c r="B714" s="2">
        <v>40341</v>
      </c>
      <c r="C714" s="1" t="s">
        <v>535</v>
      </c>
      <c r="D714" s="1" t="s">
        <v>268</v>
      </c>
      <c r="E714" s="1" t="s">
        <v>447</v>
      </c>
      <c r="F714" s="1" t="s">
        <v>448</v>
      </c>
      <c r="G714" s="6" t="str">
        <f>VLOOKUP(A714,WorldCups!$A$2:$B$23,2,FALSE)</f>
        <v>South Africa</v>
      </c>
      <c r="H714" s="1" t="s">
        <v>93</v>
      </c>
      <c r="I714" s="1">
        <v>1</v>
      </c>
      <c r="J714" s="1">
        <v>1</v>
      </c>
      <c r="K714" s="1" t="s">
        <v>17</v>
      </c>
      <c r="L714" s="1" t="s">
        <v>14</v>
      </c>
      <c r="M714" s="1" t="str">
        <f>IF(ISNUMBER(SEARCH("Group",Table2[[#This Row],[Round]])),"Group stages",Table2[[#This Row],[Round]])</f>
        <v>Group stages</v>
      </c>
      <c r="O714" s="1">
        <f>Table2[[#This Row],[Year]]</f>
        <v>2010</v>
      </c>
      <c r="P714" s="1" t="str">
        <f>INDEX(Table2[[HomeTeam]:[Group_details]],ROWS($N$2:N714),COLUMNS($N$2:N714))</f>
        <v>England</v>
      </c>
      <c r="Q714" s="1">
        <f>INDEX(Table2[[HomeTeam]:[Group_details]],ROWS($N$2:O714),COLUMNS($N$2:O714))</f>
        <v>1</v>
      </c>
      <c r="R714" s="1">
        <f>INDEX(Table2[[HomeTeam]:[Group_details]],ROWS($N$2:P714),COLUMNS($N$2:P714))</f>
        <v>1</v>
      </c>
      <c r="S714" s="1" t="str">
        <f>INDEX(Table2[[HomeTeam]:[Group_details]],ROWS($N$2:Q714),COLUMNS($N$2:Q714))</f>
        <v>USA</v>
      </c>
      <c r="T714" s="1" t="str">
        <f>INDEX(Table2[[HomeTeam]:[Group_details]],ROWS($N$2:R714),COLUMNS($N$2:R714))</f>
        <v xml:space="preserve"> </v>
      </c>
      <c r="U714" s="1" t="str">
        <f>INDEX(Table2[[HomeTeam]:[Group_details]],ROWS($N$2:S714),COLUMNS($N$2:S714))</f>
        <v>Group stages</v>
      </c>
      <c r="V714" s="1" t="b">
        <f t="shared" si="11"/>
        <v>0</v>
      </c>
      <c r="W714" s="1" t="str">
        <f>IF(V714=TRUE,ROWS($V$2:V714),"")</f>
        <v/>
      </c>
      <c r="X714" s="1" t="str">
        <f>IFERROR(SMALL($W$2:$W$853,ROWS($W$2:W714)),"")</f>
        <v/>
      </c>
      <c r="Y714" s="1" t="str">
        <f>IF($X714&lt;&gt;"",INDEX($P$2:$U$853,MATCH($X714,$W$2:$W$853,0),COLUMNS($X$2:X714)),"")</f>
        <v/>
      </c>
      <c r="Z714" s="1" t="str">
        <f>IF($X714&lt;&gt;"",INDEX($P$2:$U$853,MATCH($X714,$W$2:$W$853,0),COLUMNS($X$2:Y714)),"")</f>
        <v/>
      </c>
      <c r="AA714" s="1" t="str">
        <f>IF($X714&lt;&gt;"",INDEX($P$2:$U$853,MATCH($X714,$W$2:$W$853,0),COLUMNS($X$2:Z714)),"")</f>
        <v/>
      </c>
      <c r="AB714" s="1" t="str">
        <f>IF($X714&lt;&gt;"",INDEX($P$2:$U$853,MATCH($X714,$W$2:$W$853,0),COLUMNS($X$2:AA714)),"")</f>
        <v/>
      </c>
      <c r="AC714" s="1" t="str">
        <f>IF($X714&lt;&gt;"",INDEX($P$2:$U$853,MATCH($X714,$W$2:$W$853,0),COLUMNS($X$2:AB714)),"")</f>
        <v/>
      </c>
      <c r="AD714" s="1" t="str">
        <f>IF($X714&lt;&gt;"",INDEX($P$2:$U$853,MATCH($X714,$W$2:$W$853,0),COLUMNS($X$2:AC714)),"")</f>
        <v/>
      </c>
    </row>
    <row r="715" spans="1:30" x14ac:dyDescent="0.2">
      <c r="A715" s="1">
        <v>2010</v>
      </c>
      <c r="B715" s="2">
        <v>40342</v>
      </c>
      <c r="C715" s="1" t="s">
        <v>534</v>
      </c>
      <c r="D715" s="1" t="s">
        <v>268</v>
      </c>
      <c r="E715" s="1" t="s">
        <v>449</v>
      </c>
      <c r="F715" s="1" t="s">
        <v>450</v>
      </c>
      <c r="G715" s="6" t="str">
        <f>VLOOKUP(A715,WorldCups!$A$2:$B$23,2,FALSE)</f>
        <v>South Africa</v>
      </c>
      <c r="H715" s="1" t="s">
        <v>246</v>
      </c>
      <c r="I715" s="1">
        <v>0</v>
      </c>
      <c r="J715" s="1">
        <v>1</v>
      </c>
      <c r="K715" s="1" t="s">
        <v>381</v>
      </c>
      <c r="L715" s="1" t="s">
        <v>14</v>
      </c>
      <c r="M715" s="1" t="str">
        <f>IF(ISNUMBER(SEARCH("Group",Table2[[#This Row],[Round]])),"Group stages",Table2[[#This Row],[Round]])</f>
        <v>Group stages</v>
      </c>
      <c r="O715" s="1">
        <f>Table2[[#This Row],[Year]]</f>
        <v>2010</v>
      </c>
      <c r="P715" s="1" t="str">
        <f>INDEX(Table2[[HomeTeam]:[Group_details]],ROWS($N$2:N715),COLUMNS($N$2:N715))</f>
        <v>Algeria</v>
      </c>
      <c r="Q715" s="1">
        <f>INDEX(Table2[[HomeTeam]:[Group_details]],ROWS($N$2:O715),COLUMNS($N$2:O715))</f>
        <v>0</v>
      </c>
      <c r="R715" s="1">
        <f>INDEX(Table2[[HomeTeam]:[Group_details]],ROWS($N$2:P715),COLUMNS($N$2:P715))</f>
        <v>1</v>
      </c>
      <c r="S715" s="1" t="str">
        <f>INDEX(Table2[[HomeTeam]:[Group_details]],ROWS($N$2:Q715),COLUMNS($N$2:Q715))</f>
        <v>Slovenia</v>
      </c>
      <c r="T715" s="1" t="str">
        <f>INDEX(Table2[[HomeTeam]:[Group_details]],ROWS($N$2:R715),COLUMNS($N$2:R715))</f>
        <v xml:space="preserve"> </v>
      </c>
      <c r="U715" s="1" t="str">
        <f>INDEX(Table2[[HomeTeam]:[Group_details]],ROWS($N$2:S715),COLUMNS($N$2:S715))</f>
        <v>Group stages</v>
      </c>
      <c r="V715" s="1" t="b">
        <f t="shared" si="11"/>
        <v>0</v>
      </c>
      <c r="W715" s="1" t="str">
        <f>IF(V715=TRUE,ROWS($V$2:V715),"")</f>
        <v/>
      </c>
      <c r="X715" s="1" t="str">
        <f>IFERROR(SMALL($W$2:$W$853,ROWS($W$2:W715)),"")</f>
        <v/>
      </c>
      <c r="Y715" s="1" t="str">
        <f>IF($X715&lt;&gt;"",INDEX($P$2:$U$853,MATCH($X715,$W$2:$W$853,0),COLUMNS($X$2:X715)),"")</f>
        <v/>
      </c>
      <c r="Z715" s="1" t="str">
        <f>IF($X715&lt;&gt;"",INDEX($P$2:$U$853,MATCH($X715,$W$2:$W$853,0),COLUMNS($X$2:Y715)),"")</f>
        <v/>
      </c>
      <c r="AA715" s="1" t="str">
        <f>IF($X715&lt;&gt;"",INDEX($P$2:$U$853,MATCH($X715,$W$2:$W$853,0),COLUMNS($X$2:Z715)),"")</f>
        <v/>
      </c>
      <c r="AB715" s="1" t="str">
        <f>IF($X715&lt;&gt;"",INDEX($P$2:$U$853,MATCH($X715,$W$2:$W$853,0),COLUMNS($X$2:AA715)),"")</f>
        <v/>
      </c>
      <c r="AC715" s="1" t="str">
        <f>IF($X715&lt;&gt;"",INDEX($P$2:$U$853,MATCH($X715,$W$2:$W$853,0),COLUMNS($X$2:AB715)),"")</f>
        <v/>
      </c>
      <c r="AD715" s="1" t="str">
        <f>IF($X715&lt;&gt;"",INDEX($P$2:$U$853,MATCH($X715,$W$2:$W$853,0),COLUMNS($X$2:AC715)),"")</f>
        <v/>
      </c>
    </row>
    <row r="716" spans="1:30" x14ac:dyDescent="0.2">
      <c r="A716" s="1">
        <v>2010</v>
      </c>
      <c r="B716" s="2">
        <v>40342</v>
      </c>
      <c r="C716" s="1" t="s">
        <v>503</v>
      </c>
      <c r="D716" s="1" t="s">
        <v>270</v>
      </c>
      <c r="E716" s="1" t="s">
        <v>451</v>
      </c>
      <c r="F716" s="1" t="s">
        <v>452</v>
      </c>
      <c r="G716" s="6" t="str">
        <f>VLOOKUP(A716,WorldCups!$A$2:$B$23,2,FALSE)</f>
        <v>South Africa</v>
      </c>
      <c r="H716" s="1" t="s">
        <v>453</v>
      </c>
      <c r="I716" s="1">
        <v>0</v>
      </c>
      <c r="J716" s="1">
        <v>1</v>
      </c>
      <c r="K716" s="1" t="s">
        <v>431</v>
      </c>
      <c r="L716" s="1" t="s">
        <v>14</v>
      </c>
      <c r="M716" s="1" t="str">
        <f>IF(ISNUMBER(SEARCH("Group",Table2[[#This Row],[Round]])),"Group stages",Table2[[#This Row],[Round]])</f>
        <v>Group stages</v>
      </c>
      <c r="O716" s="1">
        <f>Table2[[#This Row],[Year]]</f>
        <v>2010</v>
      </c>
      <c r="P716" s="1" t="str">
        <f>INDEX(Table2[[HomeTeam]:[Group_details]],ROWS($N$2:N716),COLUMNS($N$2:N716))</f>
        <v>Serbia</v>
      </c>
      <c r="Q716" s="1">
        <f>INDEX(Table2[[HomeTeam]:[Group_details]],ROWS($N$2:O716),COLUMNS($N$2:O716))</f>
        <v>0</v>
      </c>
      <c r="R716" s="1">
        <f>INDEX(Table2[[HomeTeam]:[Group_details]],ROWS($N$2:P716),COLUMNS($N$2:P716))</f>
        <v>1</v>
      </c>
      <c r="S716" s="1" t="str">
        <f>INDEX(Table2[[HomeTeam]:[Group_details]],ROWS($N$2:Q716),COLUMNS($N$2:Q716))</f>
        <v>Ghana</v>
      </c>
      <c r="T716" s="1" t="str">
        <f>INDEX(Table2[[HomeTeam]:[Group_details]],ROWS($N$2:R716),COLUMNS($N$2:R716))</f>
        <v xml:space="preserve"> </v>
      </c>
      <c r="U716" s="1" t="str">
        <f>INDEX(Table2[[HomeTeam]:[Group_details]],ROWS($N$2:S716),COLUMNS($N$2:S716))</f>
        <v>Group stages</v>
      </c>
      <c r="V716" s="1" t="b">
        <f t="shared" si="11"/>
        <v>0</v>
      </c>
      <c r="W716" s="1" t="str">
        <f>IF(V716=TRUE,ROWS($V$2:V716),"")</f>
        <v/>
      </c>
      <c r="X716" s="1" t="str">
        <f>IFERROR(SMALL($W$2:$W$853,ROWS($W$2:W716)),"")</f>
        <v/>
      </c>
      <c r="Y716" s="1" t="str">
        <f>IF($X716&lt;&gt;"",INDEX($P$2:$U$853,MATCH($X716,$W$2:$W$853,0),COLUMNS($X$2:X716)),"")</f>
        <v/>
      </c>
      <c r="Z716" s="1" t="str">
        <f>IF($X716&lt;&gt;"",INDEX($P$2:$U$853,MATCH($X716,$W$2:$W$853,0),COLUMNS($X$2:Y716)),"")</f>
        <v/>
      </c>
      <c r="AA716" s="1" t="str">
        <f>IF($X716&lt;&gt;"",INDEX($P$2:$U$853,MATCH($X716,$W$2:$W$853,0),COLUMNS($X$2:Z716)),"")</f>
        <v/>
      </c>
      <c r="AB716" s="1" t="str">
        <f>IF($X716&lt;&gt;"",INDEX($P$2:$U$853,MATCH($X716,$W$2:$W$853,0),COLUMNS($X$2:AA716)),"")</f>
        <v/>
      </c>
      <c r="AC716" s="1" t="str">
        <f>IF($X716&lt;&gt;"",INDEX($P$2:$U$853,MATCH($X716,$W$2:$W$853,0),COLUMNS($X$2:AB716)),"")</f>
        <v/>
      </c>
      <c r="AD716" s="1" t="str">
        <f>IF($X716&lt;&gt;"",INDEX($P$2:$U$853,MATCH($X716,$W$2:$W$853,0),COLUMNS($X$2:AC716)),"")</f>
        <v/>
      </c>
    </row>
    <row r="717" spans="1:30" x14ac:dyDescent="0.2">
      <c r="A717" s="1">
        <v>2010</v>
      </c>
      <c r="B717" s="2">
        <v>40342</v>
      </c>
      <c r="C717" s="1" t="s">
        <v>535</v>
      </c>
      <c r="D717" s="1" t="s">
        <v>270</v>
      </c>
      <c r="E717" s="1" t="s">
        <v>454</v>
      </c>
      <c r="F717" s="1" t="s">
        <v>455</v>
      </c>
      <c r="G717" s="6" t="str">
        <f>VLOOKUP(A717,WorldCups!$A$2:$B$23,2,FALSE)</f>
        <v>South Africa</v>
      </c>
      <c r="H717" s="1" t="s">
        <v>51</v>
      </c>
      <c r="I717" s="1">
        <v>4</v>
      </c>
      <c r="J717" s="1">
        <v>0</v>
      </c>
      <c r="K717" s="1" t="s">
        <v>199</v>
      </c>
      <c r="L717" s="1" t="s">
        <v>14</v>
      </c>
      <c r="M717" s="1" t="str">
        <f>IF(ISNUMBER(SEARCH("Group",Table2[[#This Row],[Round]])),"Group stages",Table2[[#This Row],[Round]])</f>
        <v>Group stages</v>
      </c>
      <c r="O717" s="1">
        <f>Table2[[#This Row],[Year]]</f>
        <v>2010</v>
      </c>
      <c r="P717" s="1" t="str">
        <f>INDEX(Table2[[HomeTeam]:[Group_details]],ROWS($N$2:N717),COLUMNS($N$2:N717))</f>
        <v>Germany</v>
      </c>
      <c r="Q717" s="1">
        <f>INDEX(Table2[[HomeTeam]:[Group_details]],ROWS($N$2:O717),COLUMNS($N$2:O717))</f>
        <v>4</v>
      </c>
      <c r="R717" s="1">
        <f>INDEX(Table2[[HomeTeam]:[Group_details]],ROWS($N$2:P717),COLUMNS($N$2:P717))</f>
        <v>0</v>
      </c>
      <c r="S717" s="1" t="str">
        <f>INDEX(Table2[[HomeTeam]:[Group_details]],ROWS($N$2:Q717),COLUMNS($N$2:Q717))</f>
        <v>Australia</v>
      </c>
      <c r="T717" s="1" t="str">
        <f>INDEX(Table2[[HomeTeam]:[Group_details]],ROWS($N$2:R717),COLUMNS($N$2:R717))</f>
        <v xml:space="preserve"> </v>
      </c>
      <c r="U717" s="1" t="str">
        <f>INDEX(Table2[[HomeTeam]:[Group_details]],ROWS($N$2:S717),COLUMNS($N$2:S717))</f>
        <v>Group stages</v>
      </c>
      <c r="V717" s="1" t="b">
        <f t="shared" si="11"/>
        <v>0</v>
      </c>
      <c r="W717" s="1" t="str">
        <f>IF(V717=TRUE,ROWS($V$2:V717),"")</f>
        <v/>
      </c>
      <c r="X717" s="1" t="str">
        <f>IFERROR(SMALL($W$2:$W$853,ROWS($W$2:W717)),"")</f>
        <v/>
      </c>
      <c r="Y717" s="1" t="str">
        <f>IF($X717&lt;&gt;"",INDEX($P$2:$U$853,MATCH($X717,$W$2:$W$853,0),COLUMNS($X$2:X717)),"")</f>
        <v/>
      </c>
      <c r="Z717" s="1" t="str">
        <f>IF($X717&lt;&gt;"",INDEX($P$2:$U$853,MATCH($X717,$W$2:$W$853,0),COLUMNS($X$2:Y717)),"")</f>
        <v/>
      </c>
      <c r="AA717" s="1" t="str">
        <f>IF($X717&lt;&gt;"",INDEX($P$2:$U$853,MATCH($X717,$W$2:$W$853,0),COLUMNS($X$2:Z717)),"")</f>
        <v/>
      </c>
      <c r="AB717" s="1" t="str">
        <f>IF($X717&lt;&gt;"",INDEX($P$2:$U$853,MATCH($X717,$W$2:$W$853,0),COLUMNS($X$2:AA717)),"")</f>
        <v/>
      </c>
      <c r="AC717" s="1" t="str">
        <f>IF($X717&lt;&gt;"",INDEX($P$2:$U$853,MATCH($X717,$W$2:$W$853,0),COLUMNS($X$2:AB717)),"")</f>
        <v/>
      </c>
      <c r="AD717" s="1" t="str">
        <f>IF($X717&lt;&gt;"",INDEX($P$2:$U$853,MATCH($X717,$W$2:$W$853,0),COLUMNS($X$2:AC717)),"")</f>
        <v/>
      </c>
    </row>
    <row r="718" spans="1:30" x14ac:dyDescent="0.2">
      <c r="A718" s="1">
        <v>2010</v>
      </c>
      <c r="B718" s="2">
        <v>40343</v>
      </c>
      <c r="C718" s="1" t="s">
        <v>534</v>
      </c>
      <c r="D718" s="1" t="s">
        <v>281</v>
      </c>
      <c r="E718" s="1" t="s">
        <v>440</v>
      </c>
      <c r="F718" s="1" t="s">
        <v>441</v>
      </c>
      <c r="G718" s="6" t="str">
        <f>VLOOKUP(A718,WorldCups!$A$2:$B$23,2,FALSE)</f>
        <v>South Africa</v>
      </c>
      <c r="H718" s="1" t="s">
        <v>45</v>
      </c>
      <c r="I718" s="1">
        <v>2</v>
      </c>
      <c r="J718" s="1">
        <v>0</v>
      </c>
      <c r="K718" s="1" t="s">
        <v>284</v>
      </c>
      <c r="L718" s="1" t="s">
        <v>14</v>
      </c>
      <c r="M718" s="1" t="str">
        <f>IF(ISNUMBER(SEARCH("Group",Table2[[#This Row],[Round]])),"Group stages",Table2[[#This Row],[Round]])</f>
        <v>Group stages</v>
      </c>
      <c r="O718" s="1">
        <f>Table2[[#This Row],[Year]]</f>
        <v>2010</v>
      </c>
      <c r="P718" s="1" t="str">
        <f>INDEX(Table2[[HomeTeam]:[Group_details]],ROWS($N$2:N718),COLUMNS($N$2:N718))</f>
        <v>Netherlands</v>
      </c>
      <c r="Q718" s="1">
        <f>INDEX(Table2[[HomeTeam]:[Group_details]],ROWS($N$2:O718),COLUMNS($N$2:O718))</f>
        <v>2</v>
      </c>
      <c r="R718" s="1">
        <f>INDEX(Table2[[HomeTeam]:[Group_details]],ROWS($N$2:P718),COLUMNS($N$2:P718))</f>
        <v>0</v>
      </c>
      <c r="S718" s="1" t="str">
        <f>INDEX(Table2[[HomeTeam]:[Group_details]],ROWS($N$2:Q718),COLUMNS($N$2:Q718))</f>
        <v>Denmark</v>
      </c>
      <c r="T718" s="1" t="str">
        <f>INDEX(Table2[[HomeTeam]:[Group_details]],ROWS($N$2:R718),COLUMNS($N$2:R718))</f>
        <v xml:space="preserve"> </v>
      </c>
      <c r="U718" s="1" t="str">
        <f>INDEX(Table2[[HomeTeam]:[Group_details]],ROWS($N$2:S718),COLUMNS($N$2:S718))</f>
        <v>Group stages</v>
      </c>
      <c r="V718" s="1" t="b">
        <f t="shared" si="11"/>
        <v>0</v>
      </c>
      <c r="W718" s="1" t="str">
        <f>IF(V718=TRUE,ROWS($V$2:V718),"")</f>
        <v/>
      </c>
      <c r="X718" s="1" t="str">
        <f>IFERROR(SMALL($W$2:$W$853,ROWS($W$2:W718)),"")</f>
        <v/>
      </c>
      <c r="Y718" s="1" t="str">
        <f>IF($X718&lt;&gt;"",INDEX($P$2:$U$853,MATCH($X718,$W$2:$W$853,0),COLUMNS($X$2:X718)),"")</f>
        <v/>
      </c>
      <c r="Z718" s="1" t="str">
        <f>IF($X718&lt;&gt;"",INDEX($P$2:$U$853,MATCH($X718,$W$2:$W$853,0),COLUMNS($X$2:Y718)),"")</f>
        <v/>
      </c>
      <c r="AA718" s="1" t="str">
        <f>IF($X718&lt;&gt;"",INDEX($P$2:$U$853,MATCH($X718,$W$2:$W$853,0),COLUMNS($X$2:Z718)),"")</f>
        <v/>
      </c>
      <c r="AB718" s="1" t="str">
        <f>IF($X718&lt;&gt;"",INDEX($P$2:$U$853,MATCH($X718,$W$2:$W$853,0),COLUMNS($X$2:AA718)),"")</f>
        <v/>
      </c>
      <c r="AC718" s="1" t="str">
        <f>IF($X718&lt;&gt;"",INDEX($P$2:$U$853,MATCH($X718,$W$2:$W$853,0),COLUMNS($X$2:AB718)),"")</f>
        <v/>
      </c>
      <c r="AD718" s="1" t="str">
        <f>IF($X718&lt;&gt;"",INDEX($P$2:$U$853,MATCH($X718,$W$2:$W$853,0),COLUMNS($X$2:AC718)),"")</f>
        <v/>
      </c>
    </row>
    <row r="719" spans="1:30" x14ac:dyDescent="0.2">
      <c r="A719" s="1">
        <v>2010</v>
      </c>
      <c r="B719" s="2">
        <v>40343</v>
      </c>
      <c r="C719" s="1" t="s">
        <v>503</v>
      </c>
      <c r="D719" s="1" t="s">
        <v>281</v>
      </c>
      <c r="E719" s="1" t="s">
        <v>456</v>
      </c>
      <c r="F719" s="1" t="s">
        <v>457</v>
      </c>
      <c r="G719" s="6" t="str">
        <f>VLOOKUP(A719,WorldCups!$A$2:$B$23,2,FALSE)</f>
        <v>South Africa</v>
      </c>
      <c r="H719" s="1" t="s">
        <v>356</v>
      </c>
      <c r="I719" s="1">
        <v>1</v>
      </c>
      <c r="J719" s="1">
        <v>0</v>
      </c>
      <c r="K719" s="1" t="s">
        <v>238</v>
      </c>
      <c r="L719" s="1" t="s">
        <v>14</v>
      </c>
      <c r="M719" s="1" t="str">
        <f>IF(ISNUMBER(SEARCH("Group",Table2[[#This Row],[Round]])),"Group stages",Table2[[#This Row],[Round]])</f>
        <v>Group stages</v>
      </c>
      <c r="O719" s="1">
        <f>Table2[[#This Row],[Year]]</f>
        <v>2010</v>
      </c>
      <c r="P719" s="1" t="str">
        <f>INDEX(Table2[[HomeTeam]:[Group_details]],ROWS($N$2:N719),COLUMNS($N$2:N719))</f>
        <v>Japan</v>
      </c>
      <c r="Q719" s="1">
        <f>INDEX(Table2[[HomeTeam]:[Group_details]],ROWS($N$2:O719),COLUMNS($N$2:O719))</f>
        <v>1</v>
      </c>
      <c r="R719" s="1">
        <f>INDEX(Table2[[HomeTeam]:[Group_details]],ROWS($N$2:P719),COLUMNS($N$2:P719))</f>
        <v>0</v>
      </c>
      <c r="S719" s="1" t="str">
        <f>INDEX(Table2[[HomeTeam]:[Group_details]],ROWS($N$2:Q719),COLUMNS($N$2:Q719))</f>
        <v>Cameroon</v>
      </c>
      <c r="T719" s="1" t="str">
        <f>INDEX(Table2[[HomeTeam]:[Group_details]],ROWS($N$2:R719),COLUMNS($N$2:R719))</f>
        <v xml:space="preserve"> </v>
      </c>
      <c r="U719" s="1" t="str">
        <f>INDEX(Table2[[HomeTeam]:[Group_details]],ROWS($N$2:S719),COLUMNS($N$2:S719))</f>
        <v>Group stages</v>
      </c>
      <c r="V719" s="1" t="b">
        <f t="shared" si="11"/>
        <v>0</v>
      </c>
      <c r="W719" s="1" t="str">
        <f>IF(V719=TRUE,ROWS($V$2:V719),"")</f>
        <v/>
      </c>
      <c r="X719" s="1" t="str">
        <f>IFERROR(SMALL($W$2:$W$853,ROWS($W$2:W719)),"")</f>
        <v/>
      </c>
      <c r="Y719" s="1" t="str">
        <f>IF($X719&lt;&gt;"",INDEX($P$2:$U$853,MATCH($X719,$W$2:$W$853,0),COLUMNS($X$2:X719)),"")</f>
        <v/>
      </c>
      <c r="Z719" s="1" t="str">
        <f>IF($X719&lt;&gt;"",INDEX($P$2:$U$853,MATCH($X719,$W$2:$W$853,0),COLUMNS($X$2:Y719)),"")</f>
        <v/>
      </c>
      <c r="AA719" s="1" t="str">
        <f>IF($X719&lt;&gt;"",INDEX($P$2:$U$853,MATCH($X719,$W$2:$W$853,0),COLUMNS($X$2:Z719)),"")</f>
        <v/>
      </c>
      <c r="AB719" s="1" t="str">
        <f>IF($X719&lt;&gt;"",INDEX($P$2:$U$853,MATCH($X719,$W$2:$W$853,0),COLUMNS($X$2:AA719)),"")</f>
        <v/>
      </c>
      <c r="AC719" s="1" t="str">
        <f>IF($X719&lt;&gt;"",INDEX($P$2:$U$853,MATCH($X719,$W$2:$W$853,0),COLUMNS($X$2:AB719)),"")</f>
        <v/>
      </c>
      <c r="AD719" s="1" t="str">
        <f>IF($X719&lt;&gt;"",INDEX($P$2:$U$853,MATCH($X719,$W$2:$W$853,0),COLUMNS($X$2:AC719)),"")</f>
        <v/>
      </c>
    </row>
    <row r="720" spans="1:30" x14ac:dyDescent="0.2">
      <c r="A720" s="1">
        <v>2010</v>
      </c>
      <c r="B720" s="2">
        <v>40343</v>
      </c>
      <c r="C720" s="1" t="s">
        <v>535</v>
      </c>
      <c r="D720" s="1" t="s">
        <v>274</v>
      </c>
      <c r="E720" s="1" t="s">
        <v>442</v>
      </c>
      <c r="F720" s="1" t="s">
        <v>443</v>
      </c>
      <c r="G720" s="6" t="str">
        <f>VLOOKUP(A720,WorldCups!$A$2:$B$23,2,FALSE)</f>
        <v>South Africa</v>
      </c>
      <c r="H720" s="1" t="s">
        <v>57</v>
      </c>
      <c r="I720" s="1">
        <v>1</v>
      </c>
      <c r="J720" s="1">
        <v>1</v>
      </c>
      <c r="K720" s="1" t="s">
        <v>28</v>
      </c>
      <c r="L720" s="1" t="s">
        <v>14</v>
      </c>
      <c r="M720" s="1" t="str">
        <f>IF(ISNUMBER(SEARCH("Group",Table2[[#This Row],[Round]])),"Group stages",Table2[[#This Row],[Round]])</f>
        <v>Group stages</v>
      </c>
      <c r="O720" s="1">
        <f>Table2[[#This Row],[Year]]</f>
        <v>2010</v>
      </c>
      <c r="P720" s="1" t="str">
        <f>INDEX(Table2[[HomeTeam]:[Group_details]],ROWS($N$2:N720),COLUMNS($N$2:N720))</f>
        <v>Italy</v>
      </c>
      <c r="Q720" s="1">
        <f>INDEX(Table2[[HomeTeam]:[Group_details]],ROWS($N$2:O720),COLUMNS($N$2:O720))</f>
        <v>1</v>
      </c>
      <c r="R720" s="1">
        <f>INDEX(Table2[[HomeTeam]:[Group_details]],ROWS($N$2:P720),COLUMNS($N$2:P720))</f>
        <v>1</v>
      </c>
      <c r="S720" s="1" t="str">
        <f>INDEX(Table2[[HomeTeam]:[Group_details]],ROWS($N$2:Q720),COLUMNS($N$2:Q720))</f>
        <v>Paraguay</v>
      </c>
      <c r="T720" s="1" t="str">
        <f>INDEX(Table2[[HomeTeam]:[Group_details]],ROWS($N$2:R720),COLUMNS($N$2:R720))</f>
        <v xml:space="preserve"> </v>
      </c>
      <c r="U720" s="1" t="str">
        <f>INDEX(Table2[[HomeTeam]:[Group_details]],ROWS($N$2:S720),COLUMNS($N$2:S720))</f>
        <v>Group stages</v>
      </c>
      <c r="V720" s="1" t="b">
        <f t="shared" si="11"/>
        <v>0</v>
      </c>
      <c r="W720" s="1" t="str">
        <f>IF(V720=TRUE,ROWS($V$2:V720),"")</f>
        <v/>
      </c>
      <c r="X720" s="1" t="str">
        <f>IFERROR(SMALL($W$2:$W$853,ROWS($W$2:W720)),"")</f>
        <v/>
      </c>
      <c r="Y720" s="1" t="str">
        <f>IF($X720&lt;&gt;"",INDEX($P$2:$U$853,MATCH($X720,$W$2:$W$853,0),COLUMNS($X$2:X720)),"")</f>
        <v/>
      </c>
      <c r="Z720" s="1" t="str">
        <f>IF($X720&lt;&gt;"",INDEX($P$2:$U$853,MATCH($X720,$W$2:$W$853,0),COLUMNS($X$2:Y720)),"")</f>
        <v/>
      </c>
      <c r="AA720" s="1" t="str">
        <f>IF($X720&lt;&gt;"",INDEX($P$2:$U$853,MATCH($X720,$W$2:$W$853,0),COLUMNS($X$2:Z720)),"")</f>
        <v/>
      </c>
      <c r="AB720" s="1" t="str">
        <f>IF($X720&lt;&gt;"",INDEX($P$2:$U$853,MATCH($X720,$W$2:$W$853,0),COLUMNS($X$2:AA720)),"")</f>
        <v/>
      </c>
      <c r="AC720" s="1" t="str">
        <f>IF($X720&lt;&gt;"",INDEX($P$2:$U$853,MATCH($X720,$W$2:$W$853,0),COLUMNS($X$2:AB720)),"")</f>
        <v/>
      </c>
      <c r="AD720" s="1" t="str">
        <f>IF($X720&lt;&gt;"",INDEX($P$2:$U$853,MATCH($X720,$W$2:$W$853,0),COLUMNS($X$2:AC720)),"")</f>
        <v/>
      </c>
    </row>
    <row r="721" spans="1:30" x14ac:dyDescent="0.2">
      <c r="A721" s="1">
        <v>2010</v>
      </c>
      <c r="B721" s="2">
        <v>40344</v>
      </c>
      <c r="C721" s="1" t="s">
        <v>534</v>
      </c>
      <c r="D721" s="1" t="s">
        <v>274</v>
      </c>
      <c r="E721" s="1" t="s">
        <v>447</v>
      </c>
      <c r="F721" s="1" t="s">
        <v>448</v>
      </c>
      <c r="G721" s="6" t="str">
        <f>VLOOKUP(A721,WorldCups!$A$2:$B$23,2,FALSE)</f>
        <v>South Africa</v>
      </c>
      <c r="H721" s="1" t="s">
        <v>243</v>
      </c>
      <c r="I721" s="1">
        <v>1</v>
      </c>
      <c r="J721" s="1">
        <v>1</v>
      </c>
      <c r="K721" s="1" t="s">
        <v>458</v>
      </c>
      <c r="L721" s="1" t="s">
        <v>14</v>
      </c>
      <c r="M721" s="1" t="str">
        <f>IF(ISNUMBER(SEARCH("Group",Table2[[#This Row],[Round]])),"Group stages",Table2[[#This Row],[Round]])</f>
        <v>Group stages</v>
      </c>
      <c r="O721" s="1">
        <f>Table2[[#This Row],[Year]]</f>
        <v>2010</v>
      </c>
      <c r="P721" s="1" t="str">
        <f>INDEX(Table2[[HomeTeam]:[Group_details]],ROWS($N$2:N721),COLUMNS($N$2:N721))</f>
        <v>New Zealand</v>
      </c>
      <c r="Q721" s="1">
        <f>INDEX(Table2[[HomeTeam]:[Group_details]],ROWS($N$2:O721),COLUMNS($N$2:O721))</f>
        <v>1</v>
      </c>
      <c r="R721" s="1">
        <f>INDEX(Table2[[HomeTeam]:[Group_details]],ROWS($N$2:P721),COLUMNS($N$2:P721))</f>
        <v>1</v>
      </c>
      <c r="S721" s="1" t="str">
        <f>INDEX(Table2[[HomeTeam]:[Group_details]],ROWS($N$2:Q721),COLUMNS($N$2:Q721))</f>
        <v>Slovakia</v>
      </c>
      <c r="T721" s="1" t="str">
        <f>INDEX(Table2[[HomeTeam]:[Group_details]],ROWS($N$2:R721),COLUMNS($N$2:R721))</f>
        <v xml:space="preserve"> </v>
      </c>
      <c r="U721" s="1" t="str">
        <f>INDEX(Table2[[HomeTeam]:[Group_details]],ROWS($N$2:S721),COLUMNS($N$2:S721))</f>
        <v>Group stages</v>
      </c>
      <c r="V721" s="1" t="b">
        <f t="shared" si="11"/>
        <v>0</v>
      </c>
      <c r="W721" s="1" t="str">
        <f>IF(V721=TRUE,ROWS($V$2:V721),"")</f>
        <v/>
      </c>
      <c r="X721" s="1" t="str">
        <f>IFERROR(SMALL($W$2:$W$853,ROWS($W$2:W721)),"")</f>
        <v/>
      </c>
      <c r="Y721" s="1" t="str">
        <f>IF($X721&lt;&gt;"",INDEX($P$2:$U$853,MATCH($X721,$W$2:$W$853,0),COLUMNS($X$2:X721)),"")</f>
        <v/>
      </c>
      <c r="Z721" s="1" t="str">
        <f>IF($X721&lt;&gt;"",INDEX($P$2:$U$853,MATCH($X721,$W$2:$W$853,0),COLUMNS($X$2:Y721)),"")</f>
        <v/>
      </c>
      <c r="AA721" s="1" t="str">
        <f>IF($X721&lt;&gt;"",INDEX($P$2:$U$853,MATCH($X721,$W$2:$W$853,0),COLUMNS($X$2:Z721)),"")</f>
        <v/>
      </c>
      <c r="AB721" s="1" t="str">
        <f>IF($X721&lt;&gt;"",INDEX($P$2:$U$853,MATCH($X721,$W$2:$W$853,0),COLUMNS($X$2:AA721)),"")</f>
        <v/>
      </c>
      <c r="AC721" s="1" t="str">
        <f>IF($X721&lt;&gt;"",INDEX($P$2:$U$853,MATCH($X721,$W$2:$W$853,0),COLUMNS($X$2:AB721)),"")</f>
        <v/>
      </c>
      <c r="AD721" s="1" t="str">
        <f>IF($X721&lt;&gt;"",INDEX($P$2:$U$853,MATCH($X721,$W$2:$W$853,0),COLUMNS($X$2:AC721)),"")</f>
        <v/>
      </c>
    </row>
    <row r="722" spans="1:30" x14ac:dyDescent="0.2">
      <c r="A722" s="1">
        <v>2010</v>
      </c>
      <c r="B722" s="2">
        <v>40344</v>
      </c>
      <c r="C722" s="1" t="s">
        <v>503</v>
      </c>
      <c r="D722" s="1" t="s">
        <v>361</v>
      </c>
      <c r="E722" s="1" t="s">
        <v>444</v>
      </c>
      <c r="F722" s="1" t="s">
        <v>445</v>
      </c>
      <c r="G722" s="6" t="str">
        <f>VLOOKUP(A722,WorldCups!$A$2:$B$23,2,FALSE)</f>
        <v>South Africa</v>
      </c>
      <c r="H722" s="1" t="s">
        <v>418</v>
      </c>
      <c r="I722" s="1">
        <v>0</v>
      </c>
      <c r="J722" s="1">
        <v>0</v>
      </c>
      <c r="K722" s="1" t="s">
        <v>170</v>
      </c>
      <c r="L722" s="1" t="s">
        <v>14</v>
      </c>
      <c r="M722" s="1" t="str">
        <f>IF(ISNUMBER(SEARCH("Group",Table2[[#This Row],[Round]])),"Group stages",Table2[[#This Row],[Round]])</f>
        <v>Group stages</v>
      </c>
      <c r="O722" s="1">
        <f>Table2[[#This Row],[Year]]</f>
        <v>2010</v>
      </c>
      <c r="P722" s="1" t="str">
        <f>INDEX(Table2[[HomeTeam]:[Group_details]],ROWS($N$2:N722),COLUMNS($N$2:N722))</f>
        <v>Cï¿½te d'Ivoire</v>
      </c>
      <c r="Q722" s="1">
        <f>INDEX(Table2[[HomeTeam]:[Group_details]],ROWS($N$2:O722),COLUMNS($N$2:O722))</f>
        <v>0</v>
      </c>
      <c r="R722" s="1">
        <f>INDEX(Table2[[HomeTeam]:[Group_details]],ROWS($N$2:P722),COLUMNS($N$2:P722))</f>
        <v>0</v>
      </c>
      <c r="S722" s="1" t="str">
        <f>INDEX(Table2[[HomeTeam]:[Group_details]],ROWS($N$2:Q722),COLUMNS($N$2:Q722))</f>
        <v>Portugal</v>
      </c>
      <c r="T722" s="1" t="str">
        <f>INDEX(Table2[[HomeTeam]:[Group_details]],ROWS($N$2:R722),COLUMNS($N$2:R722))</f>
        <v xml:space="preserve"> </v>
      </c>
      <c r="U722" s="1" t="str">
        <f>INDEX(Table2[[HomeTeam]:[Group_details]],ROWS($N$2:S722),COLUMNS($N$2:S722))</f>
        <v>Group stages</v>
      </c>
      <c r="V722" s="1" t="b">
        <f t="shared" si="11"/>
        <v>0</v>
      </c>
      <c r="W722" s="1" t="str">
        <f>IF(V722=TRUE,ROWS($V$2:V722),"")</f>
        <v/>
      </c>
      <c r="X722" s="1" t="str">
        <f>IFERROR(SMALL($W$2:$W$853,ROWS($W$2:W722)),"")</f>
        <v/>
      </c>
      <c r="Y722" s="1" t="str">
        <f>IF($X722&lt;&gt;"",INDEX($P$2:$U$853,MATCH($X722,$W$2:$W$853,0),COLUMNS($X$2:X722)),"")</f>
        <v/>
      </c>
      <c r="Z722" s="1" t="str">
        <f>IF($X722&lt;&gt;"",INDEX($P$2:$U$853,MATCH($X722,$W$2:$W$853,0),COLUMNS($X$2:Y722)),"")</f>
        <v/>
      </c>
      <c r="AA722" s="1" t="str">
        <f>IF($X722&lt;&gt;"",INDEX($P$2:$U$853,MATCH($X722,$W$2:$W$853,0),COLUMNS($X$2:Z722)),"")</f>
        <v/>
      </c>
      <c r="AB722" s="1" t="str">
        <f>IF($X722&lt;&gt;"",INDEX($P$2:$U$853,MATCH($X722,$W$2:$W$853,0),COLUMNS($X$2:AA722)),"")</f>
        <v/>
      </c>
      <c r="AC722" s="1" t="str">
        <f>IF($X722&lt;&gt;"",INDEX($P$2:$U$853,MATCH($X722,$W$2:$W$853,0),COLUMNS($X$2:AB722)),"")</f>
        <v/>
      </c>
      <c r="AD722" s="1" t="str">
        <f>IF($X722&lt;&gt;"",INDEX($P$2:$U$853,MATCH($X722,$W$2:$W$853,0),COLUMNS($X$2:AC722)),"")</f>
        <v/>
      </c>
    </row>
    <row r="723" spans="1:30" x14ac:dyDescent="0.2">
      <c r="A723" s="1">
        <v>2010</v>
      </c>
      <c r="B723" s="2">
        <v>40344</v>
      </c>
      <c r="C723" s="1" t="s">
        <v>535</v>
      </c>
      <c r="D723" s="1" t="s">
        <v>361</v>
      </c>
      <c r="E723" s="1" t="s">
        <v>446</v>
      </c>
      <c r="F723" s="1" t="s">
        <v>441</v>
      </c>
      <c r="G723" s="6" t="str">
        <f>VLOOKUP(A723,WorldCups!$A$2:$B$23,2,FALSE)</f>
        <v>South Africa</v>
      </c>
      <c r="H723" s="1" t="s">
        <v>21</v>
      </c>
      <c r="I723" s="1">
        <v>2</v>
      </c>
      <c r="J723" s="1">
        <v>1</v>
      </c>
      <c r="K723" s="1" t="s">
        <v>167</v>
      </c>
      <c r="L723" s="1" t="s">
        <v>14</v>
      </c>
      <c r="M723" s="1" t="str">
        <f>IF(ISNUMBER(SEARCH("Group",Table2[[#This Row],[Round]])),"Group stages",Table2[[#This Row],[Round]])</f>
        <v>Group stages</v>
      </c>
      <c r="O723" s="1">
        <f>Table2[[#This Row],[Year]]</f>
        <v>2010</v>
      </c>
      <c r="P723" s="1" t="str">
        <f>INDEX(Table2[[HomeTeam]:[Group_details]],ROWS($N$2:N723),COLUMNS($N$2:N723))</f>
        <v>Brazil</v>
      </c>
      <c r="Q723" s="1">
        <f>INDEX(Table2[[HomeTeam]:[Group_details]],ROWS($N$2:O723),COLUMNS($N$2:O723))</f>
        <v>2</v>
      </c>
      <c r="R723" s="1">
        <f>INDEX(Table2[[HomeTeam]:[Group_details]],ROWS($N$2:P723),COLUMNS($N$2:P723))</f>
        <v>1</v>
      </c>
      <c r="S723" s="1" t="str">
        <f>INDEX(Table2[[HomeTeam]:[Group_details]],ROWS($N$2:Q723),COLUMNS($N$2:Q723))</f>
        <v>Korea DPR</v>
      </c>
      <c r="T723" s="1" t="str">
        <f>INDEX(Table2[[HomeTeam]:[Group_details]],ROWS($N$2:R723),COLUMNS($N$2:R723))</f>
        <v xml:space="preserve"> </v>
      </c>
      <c r="U723" s="1" t="str">
        <f>INDEX(Table2[[HomeTeam]:[Group_details]],ROWS($N$2:S723),COLUMNS($N$2:S723))</f>
        <v>Group stages</v>
      </c>
      <c r="V723" s="1" t="b">
        <f t="shared" si="11"/>
        <v>0</v>
      </c>
      <c r="W723" s="1" t="str">
        <f>IF(V723=TRUE,ROWS($V$2:V723),"")</f>
        <v/>
      </c>
      <c r="X723" s="1" t="str">
        <f>IFERROR(SMALL($W$2:$W$853,ROWS($W$2:W723)),"")</f>
        <v/>
      </c>
      <c r="Y723" s="1" t="str">
        <f>IF($X723&lt;&gt;"",INDEX($P$2:$U$853,MATCH($X723,$W$2:$W$853,0),COLUMNS($X$2:X723)),"")</f>
        <v/>
      </c>
      <c r="Z723" s="1" t="str">
        <f>IF($X723&lt;&gt;"",INDEX($P$2:$U$853,MATCH($X723,$W$2:$W$853,0),COLUMNS($X$2:Y723)),"")</f>
        <v/>
      </c>
      <c r="AA723" s="1" t="str">
        <f>IF($X723&lt;&gt;"",INDEX($P$2:$U$853,MATCH($X723,$W$2:$W$853,0),COLUMNS($X$2:Z723)),"")</f>
        <v/>
      </c>
      <c r="AB723" s="1" t="str">
        <f>IF($X723&lt;&gt;"",INDEX($P$2:$U$853,MATCH($X723,$W$2:$W$853,0),COLUMNS($X$2:AA723)),"")</f>
        <v/>
      </c>
      <c r="AC723" s="1" t="str">
        <f>IF($X723&lt;&gt;"",INDEX($P$2:$U$853,MATCH($X723,$W$2:$W$853,0),COLUMNS($X$2:AB723)),"")</f>
        <v/>
      </c>
      <c r="AD723" s="1" t="str">
        <f>IF($X723&lt;&gt;"",INDEX($P$2:$U$853,MATCH($X723,$W$2:$W$853,0),COLUMNS($X$2:AC723)),"")</f>
        <v/>
      </c>
    </row>
    <row r="724" spans="1:30" x14ac:dyDescent="0.2">
      <c r="A724" s="1">
        <v>2010</v>
      </c>
      <c r="B724" s="2">
        <v>40345</v>
      </c>
      <c r="C724" s="1" t="s">
        <v>534</v>
      </c>
      <c r="D724" s="1" t="s">
        <v>355</v>
      </c>
      <c r="E724" s="1" t="s">
        <v>459</v>
      </c>
      <c r="F724" s="1" t="s">
        <v>460</v>
      </c>
      <c r="G724" s="6" t="str">
        <f>VLOOKUP(A724,WorldCups!$A$2:$B$23,2,FALSE)</f>
        <v>South Africa</v>
      </c>
      <c r="H724" s="1" t="s">
        <v>252</v>
      </c>
      <c r="I724" s="1">
        <v>0</v>
      </c>
      <c r="J724" s="1">
        <v>1</v>
      </c>
      <c r="K724" s="1" t="s">
        <v>26</v>
      </c>
      <c r="L724" s="1" t="s">
        <v>14</v>
      </c>
      <c r="M724" s="1" t="str">
        <f>IF(ISNUMBER(SEARCH("Group",Table2[[#This Row],[Round]])),"Group stages",Table2[[#This Row],[Round]])</f>
        <v>Group stages</v>
      </c>
      <c r="O724" s="1">
        <f>Table2[[#This Row],[Year]]</f>
        <v>2010</v>
      </c>
      <c r="P724" s="1" t="str">
        <f>INDEX(Table2[[HomeTeam]:[Group_details]],ROWS($N$2:N724),COLUMNS($N$2:N724))</f>
        <v>Honduras</v>
      </c>
      <c r="Q724" s="1">
        <f>INDEX(Table2[[HomeTeam]:[Group_details]],ROWS($N$2:O724),COLUMNS($N$2:O724))</f>
        <v>0</v>
      </c>
      <c r="R724" s="1">
        <f>INDEX(Table2[[HomeTeam]:[Group_details]],ROWS($N$2:P724),COLUMNS($N$2:P724))</f>
        <v>1</v>
      </c>
      <c r="S724" s="1" t="str">
        <f>INDEX(Table2[[HomeTeam]:[Group_details]],ROWS($N$2:Q724),COLUMNS($N$2:Q724))</f>
        <v>Chile</v>
      </c>
      <c r="T724" s="1" t="str">
        <f>INDEX(Table2[[HomeTeam]:[Group_details]],ROWS($N$2:R724),COLUMNS($N$2:R724))</f>
        <v xml:space="preserve"> </v>
      </c>
      <c r="U724" s="1" t="str">
        <f>INDEX(Table2[[HomeTeam]:[Group_details]],ROWS($N$2:S724),COLUMNS($N$2:S724))</f>
        <v>Group stages</v>
      </c>
      <c r="V724" s="1" t="b">
        <f t="shared" si="11"/>
        <v>0</v>
      </c>
      <c r="W724" s="1" t="str">
        <f>IF(V724=TRUE,ROWS($V$2:V724),"")</f>
        <v/>
      </c>
      <c r="X724" s="1" t="str">
        <f>IFERROR(SMALL($W$2:$W$853,ROWS($W$2:W724)),"")</f>
        <v/>
      </c>
      <c r="Y724" s="1" t="str">
        <f>IF($X724&lt;&gt;"",INDEX($P$2:$U$853,MATCH($X724,$W$2:$W$853,0),COLUMNS($X$2:X724)),"")</f>
        <v/>
      </c>
      <c r="Z724" s="1" t="str">
        <f>IF($X724&lt;&gt;"",INDEX($P$2:$U$853,MATCH($X724,$W$2:$W$853,0),COLUMNS($X$2:Y724)),"")</f>
        <v/>
      </c>
      <c r="AA724" s="1" t="str">
        <f>IF($X724&lt;&gt;"",INDEX($P$2:$U$853,MATCH($X724,$W$2:$W$853,0),COLUMNS($X$2:Z724)),"")</f>
        <v/>
      </c>
      <c r="AB724" s="1" t="str">
        <f>IF($X724&lt;&gt;"",INDEX($P$2:$U$853,MATCH($X724,$W$2:$W$853,0),COLUMNS($X$2:AA724)),"")</f>
        <v/>
      </c>
      <c r="AC724" s="1" t="str">
        <f>IF($X724&lt;&gt;"",INDEX($P$2:$U$853,MATCH($X724,$W$2:$W$853,0),COLUMNS($X$2:AB724)),"")</f>
        <v/>
      </c>
      <c r="AD724" s="1" t="str">
        <f>IF($X724&lt;&gt;"",INDEX($P$2:$U$853,MATCH($X724,$W$2:$W$853,0),COLUMNS($X$2:AC724)),"")</f>
        <v/>
      </c>
    </row>
    <row r="725" spans="1:30" x14ac:dyDescent="0.2">
      <c r="A725" s="1">
        <v>2010</v>
      </c>
      <c r="B725" s="2">
        <v>40345</v>
      </c>
      <c r="C725" s="1" t="s">
        <v>503</v>
      </c>
      <c r="D725" s="1" t="s">
        <v>355</v>
      </c>
      <c r="E725" s="1" t="s">
        <v>454</v>
      </c>
      <c r="F725" s="1" t="s">
        <v>455</v>
      </c>
      <c r="G725" s="6" t="str">
        <f>VLOOKUP(A725,WorldCups!$A$2:$B$23,2,FALSE)</f>
        <v>South Africa</v>
      </c>
      <c r="H725" s="1" t="s">
        <v>54</v>
      </c>
      <c r="I725" s="1">
        <v>0</v>
      </c>
      <c r="J725" s="1">
        <v>1</v>
      </c>
      <c r="K725" s="1" t="s">
        <v>44</v>
      </c>
      <c r="L725" s="1" t="s">
        <v>14</v>
      </c>
      <c r="M725" s="1" t="str">
        <f>IF(ISNUMBER(SEARCH("Group",Table2[[#This Row],[Round]])),"Group stages",Table2[[#This Row],[Round]])</f>
        <v>Group stages</v>
      </c>
      <c r="O725" s="1">
        <f>Table2[[#This Row],[Year]]</f>
        <v>2010</v>
      </c>
      <c r="P725" s="1" t="str">
        <f>INDEX(Table2[[HomeTeam]:[Group_details]],ROWS($N$2:N725),COLUMNS($N$2:N725))</f>
        <v>Spain</v>
      </c>
      <c r="Q725" s="1">
        <f>INDEX(Table2[[HomeTeam]:[Group_details]],ROWS($N$2:O725),COLUMNS($N$2:O725))</f>
        <v>0</v>
      </c>
      <c r="R725" s="1">
        <f>INDEX(Table2[[HomeTeam]:[Group_details]],ROWS($N$2:P725),COLUMNS($N$2:P725))</f>
        <v>1</v>
      </c>
      <c r="S725" s="1" t="str">
        <f>INDEX(Table2[[HomeTeam]:[Group_details]],ROWS($N$2:Q725),COLUMNS($N$2:Q725))</f>
        <v>Switzerland</v>
      </c>
      <c r="T725" s="1" t="str">
        <f>INDEX(Table2[[HomeTeam]:[Group_details]],ROWS($N$2:R725),COLUMNS($N$2:R725))</f>
        <v xml:space="preserve"> </v>
      </c>
      <c r="U725" s="1" t="str">
        <f>INDEX(Table2[[HomeTeam]:[Group_details]],ROWS($N$2:S725),COLUMNS($N$2:S725))</f>
        <v>Group stages</v>
      </c>
      <c r="V725" s="1" t="b">
        <f t="shared" si="11"/>
        <v>0</v>
      </c>
      <c r="W725" s="1" t="str">
        <f>IF(V725=TRUE,ROWS($V$2:V725),"")</f>
        <v/>
      </c>
      <c r="X725" s="1" t="str">
        <f>IFERROR(SMALL($W$2:$W$853,ROWS($W$2:W725)),"")</f>
        <v/>
      </c>
      <c r="Y725" s="1" t="str">
        <f>IF($X725&lt;&gt;"",INDEX($P$2:$U$853,MATCH($X725,$W$2:$W$853,0),COLUMNS($X$2:X725)),"")</f>
        <v/>
      </c>
      <c r="Z725" s="1" t="str">
        <f>IF($X725&lt;&gt;"",INDEX($P$2:$U$853,MATCH($X725,$W$2:$W$853,0),COLUMNS($X$2:Y725)),"")</f>
        <v/>
      </c>
      <c r="AA725" s="1" t="str">
        <f>IF($X725&lt;&gt;"",INDEX($P$2:$U$853,MATCH($X725,$W$2:$W$853,0),COLUMNS($X$2:Z725)),"")</f>
        <v/>
      </c>
      <c r="AB725" s="1" t="str">
        <f>IF($X725&lt;&gt;"",INDEX($P$2:$U$853,MATCH($X725,$W$2:$W$853,0),COLUMNS($X$2:AA725)),"")</f>
        <v/>
      </c>
      <c r="AC725" s="1" t="str">
        <f>IF($X725&lt;&gt;"",INDEX($P$2:$U$853,MATCH($X725,$W$2:$W$853,0),COLUMNS($X$2:AB725)),"")</f>
        <v/>
      </c>
      <c r="AD725" s="1" t="str">
        <f>IF($X725&lt;&gt;"",INDEX($P$2:$U$853,MATCH($X725,$W$2:$W$853,0),COLUMNS($X$2:AC725)),"")</f>
        <v/>
      </c>
    </row>
    <row r="726" spans="1:30" x14ac:dyDescent="0.2">
      <c r="A726" s="1">
        <v>2010</v>
      </c>
      <c r="B726" s="2">
        <v>40345</v>
      </c>
      <c r="C726" s="1" t="s">
        <v>535</v>
      </c>
      <c r="D726" s="1" t="s">
        <v>214</v>
      </c>
      <c r="E726" s="1" t="s">
        <v>451</v>
      </c>
      <c r="F726" s="1" t="s">
        <v>452</v>
      </c>
      <c r="G726" s="6" t="str">
        <f>VLOOKUP(A726,WorldCups!$A$2:$B$23,2,FALSE)</f>
        <v>South Africa</v>
      </c>
      <c r="H726" s="1" t="s">
        <v>350</v>
      </c>
      <c r="I726" s="1">
        <v>0</v>
      </c>
      <c r="J726" s="1">
        <v>3</v>
      </c>
      <c r="K726" s="1" t="s">
        <v>30</v>
      </c>
      <c r="L726" s="1" t="s">
        <v>14</v>
      </c>
      <c r="M726" s="1" t="str">
        <f>IF(ISNUMBER(SEARCH("Group",Table2[[#This Row],[Round]])),"Group stages",Table2[[#This Row],[Round]])</f>
        <v>Group stages</v>
      </c>
      <c r="O726" s="1">
        <f>Table2[[#This Row],[Year]]</f>
        <v>2010</v>
      </c>
      <c r="P726" s="1" t="str">
        <f>INDEX(Table2[[HomeTeam]:[Group_details]],ROWS($N$2:N726),COLUMNS($N$2:N726))</f>
        <v>South Africa</v>
      </c>
      <c r="Q726" s="1">
        <f>INDEX(Table2[[HomeTeam]:[Group_details]],ROWS($N$2:O726),COLUMNS($N$2:O726))</f>
        <v>0</v>
      </c>
      <c r="R726" s="1">
        <f>INDEX(Table2[[HomeTeam]:[Group_details]],ROWS($N$2:P726),COLUMNS($N$2:P726))</f>
        <v>3</v>
      </c>
      <c r="S726" s="1" t="str">
        <f>INDEX(Table2[[HomeTeam]:[Group_details]],ROWS($N$2:Q726),COLUMNS($N$2:Q726))</f>
        <v>Uruguay</v>
      </c>
      <c r="T726" s="1" t="str">
        <f>INDEX(Table2[[HomeTeam]:[Group_details]],ROWS($N$2:R726),COLUMNS($N$2:R726))</f>
        <v xml:space="preserve"> </v>
      </c>
      <c r="U726" s="1" t="str">
        <f>INDEX(Table2[[HomeTeam]:[Group_details]],ROWS($N$2:S726),COLUMNS($N$2:S726))</f>
        <v>Group stages</v>
      </c>
      <c r="V726" s="1" t="b">
        <f t="shared" si="11"/>
        <v>0</v>
      </c>
      <c r="W726" s="1" t="str">
        <f>IF(V726=TRUE,ROWS($V$2:V726),"")</f>
        <v/>
      </c>
      <c r="X726" s="1" t="str">
        <f>IFERROR(SMALL($W$2:$W$853,ROWS($W$2:W726)),"")</f>
        <v/>
      </c>
      <c r="Y726" s="1" t="str">
        <f>IF($X726&lt;&gt;"",INDEX($P$2:$U$853,MATCH($X726,$W$2:$W$853,0),COLUMNS($X$2:X726)),"")</f>
        <v/>
      </c>
      <c r="Z726" s="1" t="str">
        <f>IF($X726&lt;&gt;"",INDEX($P$2:$U$853,MATCH($X726,$W$2:$W$853,0),COLUMNS($X$2:Y726)),"")</f>
        <v/>
      </c>
      <c r="AA726" s="1" t="str">
        <f>IF($X726&lt;&gt;"",INDEX($P$2:$U$853,MATCH($X726,$W$2:$W$853,0),COLUMNS($X$2:Z726)),"")</f>
        <v/>
      </c>
      <c r="AB726" s="1" t="str">
        <f>IF($X726&lt;&gt;"",INDEX($P$2:$U$853,MATCH($X726,$W$2:$W$853,0),COLUMNS($X$2:AA726)),"")</f>
        <v/>
      </c>
      <c r="AC726" s="1" t="str">
        <f>IF($X726&lt;&gt;"",INDEX($P$2:$U$853,MATCH($X726,$W$2:$W$853,0),COLUMNS($X$2:AB726)),"")</f>
        <v/>
      </c>
      <c r="AD726" s="1" t="str">
        <f>IF($X726&lt;&gt;"",INDEX($P$2:$U$853,MATCH($X726,$W$2:$W$853,0),COLUMNS($X$2:AC726)),"")</f>
        <v/>
      </c>
    </row>
    <row r="727" spans="1:30" x14ac:dyDescent="0.2">
      <c r="A727" s="1">
        <v>2010</v>
      </c>
      <c r="B727" s="2">
        <v>40346</v>
      </c>
      <c r="C727" s="1" t="s">
        <v>534</v>
      </c>
      <c r="D727" s="1" t="s">
        <v>213</v>
      </c>
      <c r="E727" s="1" t="s">
        <v>440</v>
      </c>
      <c r="F727" s="1" t="s">
        <v>441</v>
      </c>
      <c r="G727" s="6" t="str">
        <f>VLOOKUP(A727,WorldCups!$A$2:$B$23,2,FALSE)</f>
        <v>South Africa</v>
      </c>
      <c r="H727" s="1" t="s">
        <v>25</v>
      </c>
      <c r="I727" s="1">
        <v>4</v>
      </c>
      <c r="J727" s="1">
        <v>1</v>
      </c>
      <c r="K727" s="1" t="s">
        <v>116</v>
      </c>
      <c r="L727" s="1" t="s">
        <v>14</v>
      </c>
      <c r="M727" s="1" t="str">
        <f>IF(ISNUMBER(SEARCH("Group",Table2[[#This Row],[Round]])),"Group stages",Table2[[#This Row],[Round]])</f>
        <v>Group stages</v>
      </c>
      <c r="O727" s="1">
        <f>Table2[[#This Row],[Year]]</f>
        <v>2010</v>
      </c>
      <c r="P727" s="1" t="str">
        <f>INDEX(Table2[[HomeTeam]:[Group_details]],ROWS($N$2:N727),COLUMNS($N$2:N727))</f>
        <v>Argentina</v>
      </c>
      <c r="Q727" s="1">
        <f>INDEX(Table2[[HomeTeam]:[Group_details]],ROWS($N$2:O727),COLUMNS($N$2:O727))</f>
        <v>4</v>
      </c>
      <c r="R727" s="1">
        <f>INDEX(Table2[[HomeTeam]:[Group_details]],ROWS($N$2:P727),COLUMNS($N$2:P727))</f>
        <v>1</v>
      </c>
      <c r="S727" s="1" t="str">
        <f>INDEX(Table2[[HomeTeam]:[Group_details]],ROWS($N$2:Q727),COLUMNS($N$2:Q727))</f>
        <v>Korea Republic</v>
      </c>
      <c r="T727" s="1" t="str">
        <f>INDEX(Table2[[HomeTeam]:[Group_details]],ROWS($N$2:R727),COLUMNS($N$2:R727))</f>
        <v xml:space="preserve"> </v>
      </c>
      <c r="U727" s="1" t="str">
        <f>INDEX(Table2[[HomeTeam]:[Group_details]],ROWS($N$2:S727),COLUMNS($N$2:S727))</f>
        <v>Group stages</v>
      </c>
      <c r="V727" s="1" t="b">
        <f t="shared" si="11"/>
        <v>0</v>
      </c>
      <c r="W727" s="1" t="str">
        <f>IF(V727=TRUE,ROWS($V$2:V727),"")</f>
        <v/>
      </c>
      <c r="X727" s="1" t="str">
        <f>IFERROR(SMALL($W$2:$W$853,ROWS($W$2:W727)),"")</f>
        <v/>
      </c>
      <c r="Y727" s="1" t="str">
        <f>IF($X727&lt;&gt;"",INDEX($P$2:$U$853,MATCH($X727,$W$2:$W$853,0),COLUMNS($X$2:X727)),"")</f>
        <v/>
      </c>
      <c r="Z727" s="1" t="str">
        <f>IF($X727&lt;&gt;"",INDEX($P$2:$U$853,MATCH($X727,$W$2:$W$853,0),COLUMNS($X$2:Y727)),"")</f>
        <v/>
      </c>
      <c r="AA727" s="1" t="str">
        <f>IF($X727&lt;&gt;"",INDEX($P$2:$U$853,MATCH($X727,$W$2:$W$853,0),COLUMNS($X$2:Z727)),"")</f>
        <v/>
      </c>
      <c r="AB727" s="1" t="str">
        <f>IF($X727&lt;&gt;"",INDEX($P$2:$U$853,MATCH($X727,$W$2:$W$853,0),COLUMNS($X$2:AA727)),"")</f>
        <v/>
      </c>
      <c r="AC727" s="1" t="str">
        <f>IF($X727&lt;&gt;"",INDEX($P$2:$U$853,MATCH($X727,$W$2:$W$853,0),COLUMNS($X$2:AB727)),"")</f>
        <v/>
      </c>
      <c r="AD727" s="1" t="str">
        <f>IF($X727&lt;&gt;"",INDEX($P$2:$U$853,MATCH($X727,$W$2:$W$853,0),COLUMNS($X$2:AC727)),"")</f>
        <v/>
      </c>
    </row>
    <row r="728" spans="1:30" x14ac:dyDescent="0.2">
      <c r="A728" s="1">
        <v>2010</v>
      </c>
      <c r="B728" s="2">
        <v>40346</v>
      </c>
      <c r="C728" s="1" t="s">
        <v>503</v>
      </c>
      <c r="D728" s="1" t="s">
        <v>213</v>
      </c>
      <c r="E728" s="1" t="s">
        <v>456</v>
      </c>
      <c r="F728" s="1" t="s">
        <v>457</v>
      </c>
      <c r="G728" s="6" t="str">
        <f>VLOOKUP(A728,WorldCups!$A$2:$B$23,2,FALSE)</f>
        <v>South Africa</v>
      </c>
      <c r="H728" s="1" t="s">
        <v>339</v>
      </c>
      <c r="I728" s="1">
        <v>2</v>
      </c>
      <c r="J728" s="1">
        <v>1</v>
      </c>
      <c r="K728" s="1" t="s">
        <v>340</v>
      </c>
      <c r="L728" s="1" t="s">
        <v>14</v>
      </c>
      <c r="M728" s="1" t="str">
        <f>IF(ISNUMBER(SEARCH("Group",Table2[[#This Row],[Round]])),"Group stages",Table2[[#This Row],[Round]])</f>
        <v>Group stages</v>
      </c>
      <c r="O728" s="1">
        <f>Table2[[#This Row],[Year]]</f>
        <v>2010</v>
      </c>
      <c r="P728" s="1" t="str">
        <f>INDEX(Table2[[HomeTeam]:[Group_details]],ROWS($N$2:N728),COLUMNS($N$2:N728))</f>
        <v>Greece</v>
      </c>
      <c r="Q728" s="1">
        <f>INDEX(Table2[[HomeTeam]:[Group_details]],ROWS($N$2:O728),COLUMNS($N$2:O728))</f>
        <v>2</v>
      </c>
      <c r="R728" s="1">
        <f>INDEX(Table2[[HomeTeam]:[Group_details]],ROWS($N$2:P728),COLUMNS($N$2:P728))</f>
        <v>1</v>
      </c>
      <c r="S728" s="1" t="str">
        <f>INDEX(Table2[[HomeTeam]:[Group_details]],ROWS($N$2:Q728),COLUMNS($N$2:Q728))</f>
        <v>Nigeria</v>
      </c>
      <c r="T728" s="1" t="str">
        <f>INDEX(Table2[[HomeTeam]:[Group_details]],ROWS($N$2:R728),COLUMNS($N$2:R728))</f>
        <v xml:space="preserve"> </v>
      </c>
      <c r="U728" s="1" t="str">
        <f>INDEX(Table2[[HomeTeam]:[Group_details]],ROWS($N$2:S728),COLUMNS($N$2:S728))</f>
        <v>Group stages</v>
      </c>
      <c r="V728" s="1" t="b">
        <f t="shared" si="11"/>
        <v>0</v>
      </c>
      <c r="W728" s="1" t="str">
        <f>IF(V728=TRUE,ROWS($V$2:V728),"")</f>
        <v/>
      </c>
      <c r="X728" s="1" t="str">
        <f>IFERROR(SMALL($W$2:$W$853,ROWS($W$2:W728)),"")</f>
        <v/>
      </c>
      <c r="Y728" s="1" t="str">
        <f>IF($X728&lt;&gt;"",INDEX($P$2:$U$853,MATCH($X728,$W$2:$W$853,0),COLUMNS($X$2:X728)),"")</f>
        <v/>
      </c>
      <c r="Z728" s="1" t="str">
        <f>IF($X728&lt;&gt;"",INDEX($P$2:$U$853,MATCH($X728,$W$2:$W$853,0),COLUMNS($X$2:Y728)),"")</f>
        <v/>
      </c>
      <c r="AA728" s="1" t="str">
        <f>IF($X728&lt;&gt;"",INDEX($P$2:$U$853,MATCH($X728,$W$2:$W$853,0),COLUMNS($X$2:Z728)),"")</f>
        <v/>
      </c>
      <c r="AB728" s="1" t="str">
        <f>IF($X728&lt;&gt;"",INDEX($P$2:$U$853,MATCH($X728,$W$2:$W$853,0),COLUMNS($X$2:AA728)),"")</f>
        <v/>
      </c>
      <c r="AC728" s="1" t="str">
        <f>IF($X728&lt;&gt;"",INDEX($P$2:$U$853,MATCH($X728,$W$2:$W$853,0),COLUMNS($X$2:AB728)),"")</f>
        <v/>
      </c>
      <c r="AD728" s="1" t="str">
        <f>IF($X728&lt;&gt;"",INDEX($P$2:$U$853,MATCH($X728,$W$2:$W$853,0),COLUMNS($X$2:AC728)),"")</f>
        <v/>
      </c>
    </row>
    <row r="729" spans="1:30" x14ac:dyDescent="0.2">
      <c r="A729" s="1">
        <v>2010</v>
      </c>
      <c r="B729" s="2">
        <v>40346</v>
      </c>
      <c r="C729" s="1" t="s">
        <v>535</v>
      </c>
      <c r="D729" s="1" t="s">
        <v>214</v>
      </c>
      <c r="E729" s="1" t="s">
        <v>449</v>
      </c>
      <c r="F729" s="1" t="s">
        <v>450</v>
      </c>
      <c r="G729" s="6" t="str">
        <f>VLOOKUP(A729,WorldCups!$A$2:$B$23,2,FALSE)</f>
        <v>South Africa</v>
      </c>
      <c r="H729" s="1" t="s">
        <v>12</v>
      </c>
      <c r="I729" s="1">
        <v>0</v>
      </c>
      <c r="J729" s="1">
        <v>2</v>
      </c>
      <c r="K729" s="1" t="s">
        <v>13</v>
      </c>
      <c r="L729" s="1" t="s">
        <v>14</v>
      </c>
      <c r="M729" s="1" t="str">
        <f>IF(ISNUMBER(SEARCH("Group",Table2[[#This Row],[Round]])),"Group stages",Table2[[#This Row],[Round]])</f>
        <v>Group stages</v>
      </c>
      <c r="O729" s="1">
        <f>Table2[[#This Row],[Year]]</f>
        <v>2010</v>
      </c>
      <c r="P729" s="1" t="str">
        <f>INDEX(Table2[[HomeTeam]:[Group_details]],ROWS($N$2:N729),COLUMNS($N$2:N729))</f>
        <v>France</v>
      </c>
      <c r="Q729" s="1">
        <f>INDEX(Table2[[HomeTeam]:[Group_details]],ROWS($N$2:O729),COLUMNS($N$2:O729))</f>
        <v>0</v>
      </c>
      <c r="R729" s="1">
        <f>INDEX(Table2[[HomeTeam]:[Group_details]],ROWS($N$2:P729),COLUMNS($N$2:P729))</f>
        <v>2</v>
      </c>
      <c r="S729" s="1" t="str">
        <f>INDEX(Table2[[HomeTeam]:[Group_details]],ROWS($N$2:Q729),COLUMNS($N$2:Q729))</f>
        <v>Mexico</v>
      </c>
      <c r="T729" s="1" t="str">
        <f>INDEX(Table2[[HomeTeam]:[Group_details]],ROWS($N$2:R729),COLUMNS($N$2:R729))</f>
        <v xml:space="preserve"> </v>
      </c>
      <c r="U729" s="1" t="str">
        <f>INDEX(Table2[[HomeTeam]:[Group_details]],ROWS($N$2:S729),COLUMNS($N$2:S729))</f>
        <v>Group stages</v>
      </c>
      <c r="V729" s="1" t="b">
        <f t="shared" si="11"/>
        <v>0</v>
      </c>
      <c r="W729" s="1" t="str">
        <f>IF(V729=TRUE,ROWS($V$2:V729),"")</f>
        <v/>
      </c>
      <c r="X729" s="1" t="str">
        <f>IFERROR(SMALL($W$2:$W$853,ROWS($W$2:W729)),"")</f>
        <v/>
      </c>
      <c r="Y729" s="1" t="str">
        <f>IF($X729&lt;&gt;"",INDEX($P$2:$U$853,MATCH($X729,$W$2:$W$853,0),COLUMNS($X$2:X729)),"")</f>
        <v/>
      </c>
      <c r="Z729" s="1" t="str">
        <f>IF($X729&lt;&gt;"",INDEX($P$2:$U$853,MATCH($X729,$W$2:$W$853,0),COLUMNS($X$2:Y729)),"")</f>
        <v/>
      </c>
      <c r="AA729" s="1" t="str">
        <f>IF($X729&lt;&gt;"",INDEX($P$2:$U$853,MATCH($X729,$W$2:$W$853,0),COLUMNS($X$2:Z729)),"")</f>
        <v/>
      </c>
      <c r="AB729" s="1" t="str">
        <f>IF($X729&lt;&gt;"",INDEX($P$2:$U$853,MATCH($X729,$W$2:$W$853,0),COLUMNS($X$2:AA729)),"")</f>
        <v/>
      </c>
      <c r="AC729" s="1" t="str">
        <f>IF($X729&lt;&gt;"",INDEX($P$2:$U$853,MATCH($X729,$W$2:$W$853,0),COLUMNS($X$2:AB729)),"")</f>
        <v/>
      </c>
      <c r="AD729" s="1" t="str">
        <f>IF($X729&lt;&gt;"",INDEX($P$2:$U$853,MATCH($X729,$W$2:$W$853,0),COLUMNS($X$2:AC729)),"")</f>
        <v/>
      </c>
    </row>
    <row r="730" spans="1:30" x14ac:dyDescent="0.2">
      <c r="A730" s="1">
        <v>2010</v>
      </c>
      <c r="B730" s="2">
        <v>40347</v>
      </c>
      <c r="C730" s="1" t="s">
        <v>534</v>
      </c>
      <c r="D730" s="1" t="s">
        <v>270</v>
      </c>
      <c r="E730" s="1" t="s">
        <v>444</v>
      </c>
      <c r="F730" s="1" t="s">
        <v>445</v>
      </c>
      <c r="G730" s="6" t="str">
        <f>VLOOKUP(A730,WorldCups!$A$2:$B$23,2,FALSE)</f>
        <v>South Africa</v>
      </c>
      <c r="H730" s="1" t="s">
        <v>51</v>
      </c>
      <c r="I730" s="1">
        <v>0</v>
      </c>
      <c r="J730" s="1">
        <v>1</v>
      </c>
      <c r="K730" s="1" t="s">
        <v>453</v>
      </c>
      <c r="L730" s="1" t="s">
        <v>14</v>
      </c>
      <c r="M730" s="1" t="str">
        <f>IF(ISNUMBER(SEARCH("Group",Table2[[#This Row],[Round]])),"Group stages",Table2[[#This Row],[Round]])</f>
        <v>Group stages</v>
      </c>
      <c r="O730" s="1">
        <f>Table2[[#This Row],[Year]]</f>
        <v>2010</v>
      </c>
      <c r="P730" s="1" t="str">
        <f>INDEX(Table2[[HomeTeam]:[Group_details]],ROWS($N$2:N730),COLUMNS($N$2:N730))</f>
        <v>Germany</v>
      </c>
      <c r="Q730" s="1">
        <f>INDEX(Table2[[HomeTeam]:[Group_details]],ROWS($N$2:O730),COLUMNS($N$2:O730))</f>
        <v>0</v>
      </c>
      <c r="R730" s="1">
        <f>INDEX(Table2[[HomeTeam]:[Group_details]],ROWS($N$2:P730),COLUMNS($N$2:P730))</f>
        <v>1</v>
      </c>
      <c r="S730" s="1" t="str">
        <f>INDEX(Table2[[HomeTeam]:[Group_details]],ROWS($N$2:Q730),COLUMNS($N$2:Q730))</f>
        <v>Serbia</v>
      </c>
      <c r="T730" s="1" t="str">
        <f>INDEX(Table2[[HomeTeam]:[Group_details]],ROWS($N$2:R730),COLUMNS($N$2:R730))</f>
        <v xml:space="preserve"> </v>
      </c>
      <c r="U730" s="1" t="str">
        <f>INDEX(Table2[[HomeTeam]:[Group_details]],ROWS($N$2:S730),COLUMNS($N$2:S730))</f>
        <v>Group stages</v>
      </c>
      <c r="V730" s="1" t="b">
        <f t="shared" si="11"/>
        <v>0</v>
      </c>
      <c r="W730" s="1" t="str">
        <f>IF(V730=TRUE,ROWS($V$2:V730),"")</f>
        <v/>
      </c>
      <c r="X730" s="1" t="str">
        <f>IFERROR(SMALL($W$2:$W$853,ROWS($W$2:W730)),"")</f>
        <v/>
      </c>
      <c r="Y730" s="1" t="str">
        <f>IF($X730&lt;&gt;"",INDEX($P$2:$U$853,MATCH($X730,$W$2:$W$853,0),COLUMNS($X$2:X730)),"")</f>
        <v/>
      </c>
      <c r="Z730" s="1" t="str">
        <f>IF($X730&lt;&gt;"",INDEX($P$2:$U$853,MATCH($X730,$W$2:$W$853,0),COLUMNS($X$2:Y730)),"")</f>
        <v/>
      </c>
      <c r="AA730" s="1" t="str">
        <f>IF($X730&lt;&gt;"",INDEX($P$2:$U$853,MATCH($X730,$W$2:$W$853,0),COLUMNS($X$2:Z730)),"")</f>
        <v/>
      </c>
      <c r="AB730" s="1" t="str">
        <f>IF($X730&lt;&gt;"",INDEX($P$2:$U$853,MATCH($X730,$W$2:$W$853,0),COLUMNS($X$2:AA730)),"")</f>
        <v/>
      </c>
      <c r="AC730" s="1" t="str">
        <f>IF($X730&lt;&gt;"",INDEX($P$2:$U$853,MATCH($X730,$W$2:$W$853,0),COLUMNS($X$2:AB730)),"")</f>
        <v/>
      </c>
      <c r="AD730" s="1" t="str">
        <f>IF($X730&lt;&gt;"",INDEX($P$2:$U$853,MATCH($X730,$W$2:$W$853,0),COLUMNS($X$2:AC730)),"")</f>
        <v/>
      </c>
    </row>
    <row r="731" spans="1:30" x14ac:dyDescent="0.2">
      <c r="A731" s="1">
        <v>2010</v>
      </c>
      <c r="B731" s="2">
        <v>40347</v>
      </c>
      <c r="C731" s="1" t="s">
        <v>503</v>
      </c>
      <c r="D731" s="1" t="s">
        <v>268</v>
      </c>
      <c r="E731" s="1" t="s">
        <v>446</v>
      </c>
      <c r="F731" s="1" t="s">
        <v>441</v>
      </c>
      <c r="G731" s="6" t="str">
        <f>VLOOKUP(A731,WorldCups!$A$2:$B$23,2,FALSE)</f>
        <v>South Africa</v>
      </c>
      <c r="H731" s="1" t="s">
        <v>381</v>
      </c>
      <c r="I731" s="1">
        <v>2</v>
      </c>
      <c r="J731" s="1">
        <v>2</v>
      </c>
      <c r="K731" s="1" t="s">
        <v>17</v>
      </c>
      <c r="L731" s="1" t="s">
        <v>14</v>
      </c>
      <c r="M731" s="1" t="str">
        <f>IF(ISNUMBER(SEARCH("Group",Table2[[#This Row],[Round]])),"Group stages",Table2[[#This Row],[Round]])</f>
        <v>Group stages</v>
      </c>
      <c r="O731" s="1">
        <f>Table2[[#This Row],[Year]]</f>
        <v>2010</v>
      </c>
      <c r="P731" s="1" t="str">
        <f>INDEX(Table2[[HomeTeam]:[Group_details]],ROWS($N$2:N731),COLUMNS($N$2:N731))</f>
        <v>Slovenia</v>
      </c>
      <c r="Q731" s="1">
        <f>INDEX(Table2[[HomeTeam]:[Group_details]],ROWS($N$2:O731),COLUMNS($N$2:O731))</f>
        <v>2</v>
      </c>
      <c r="R731" s="1">
        <f>INDEX(Table2[[HomeTeam]:[Group_details]],ROWS($N$2:P731),COLUMNS($N$2:P731))</f>
        <v>2</v>
      </c>
      <c r="S731" s="1" t="str">
        <f>INDEX(Table2[[HomeTeam]:[Group_details]],ROWS($N$2:Q731),COLUMNS($N$2:Q731))</f>
        <v>USA</v>
      </c>
      <c r="T731" s="1" t="str">
        <f>INDEX(Table2[[HomeTeam]:[Group_details]],ROWS($N$2:R731),COLUMNS($N$2:R731))</f>
        <v xml:space="preserve"> </v>
      </c>
      <c r="U731" s="1" t="str">
        <f>INDEX(Table2[[HomeTeam]:[Group_details]],ROWS($N$2:S731),COLUMNS($N$2:S731))</f>
        <v>Group stages</v>
      </c>
      <c r="V731" s="1" t="b">
        <f t="shared" si="11"/>
        <v>0</v>
      </c>
      <c r="W731" s="1" t="str">
        <f>IF(V731=TRUE,ROWS($V$2:V731),"")</f>
        <v/>
      </c>
      <c r="X731" s="1" t="str">
        <f>IFERROR(SMALL($W$2:$W$853,ROWS($W$2:W731)),"")</f>
        <v/>
      </c>
      <c r="Y731" s="1" t="str">
        <f>IF($X731&lt;&gt;"",INDEX($P$2:$U$853,MATCH($X731,$W$2:$W$853,0),COLUMNS($X$2:X731)),"")</f>
        <v/>
      </c>
      <c r="Z731" s="1" t="str">
        <f>IF($X731&lt;&gt;"",INDEX($P$2:$U$853,MATCH($X731,$W$2:$W$853,0),COLUMNS($X$2:Y731)),"")</f>
        <v/>
      </c>
      <c r="AA731" s="1" t="str">
        <f>IF($X731&lt;&gt;"",INDEX($P$2:$U$853,MATCH($X731,$W$2:$W$853,0),COLUMNS($X$2:Z731)),"")</f>
        <v/>
      </c>
      <c r="AB731" s="1" t="str">
        <f>IF($X731&lt;&gt;"",INDEX($P$2:$U$853,MATCH($X731,$W$2:$W$853,0),COLUMNS($X$2:AA731)),"")</f>
        <v/>
      </c>
      <c r="AC731" s="1" t="str">
        <f>IF($X731&lt;&gt;"",INDEX($P$2:$U$853,MATCH($X731,$W$2:$W$853,0),COLUMNS($X$2:AB731)),"")</f>
        <v/>
      </c>
      <c r="AD731" s="1" t="str">
        <f>IF($X731&lt;&gt;"",INDEX($P$2:$U$853,MATCH($X731,$W$2:$W$853,0),COLUMNS($X$2:AC731)),"")</f>
        <v/>
      </c>
    </row>
    <row r="732" spans="1:30" x14ac:dyDescent="0.2">
      <c r="A732" s="1">
        <v>2010</v>
      </c>
      <c r="B732" s="2">
        <v>40347</v>
      </c>
      <c r="C732" s="1" t="s">
        <v>535</v>
      </c>
      <c r="D732" s="1" t="s">
        <v>268</v>
      </c>
      <c r="E732" s="1" t="s">
        <v>442</v>
      </c>
      <c r="F732" s="1" t="s">
        <v>443</v>
      </c>
      <c r="G732" s="6" t="str">
        <f>VLOOKUP(A732,WorldCups!$A$2:$B$23,2,FALSE)</f>
        <v>South Africa</v>
      </c>
      <c r="H732" s="1" t="s">
        <v>93</v>
      </c>
      <c r="I732" s="1">
        <v>0</v>
      </c>
      <c r="J732" s="1">
        <v>0</v>
      </c>
      <c r="K732" s="1" t="s">
        <v>246</v>
      </c>
      <c r="L732" s="1" t="s">
        <v>14</v>
      </c>
      <c r="M732" s="1" t="str">
        <f>IF(ISNUMBER(SEARCH("Group",Table2[[#This Row],[Round]])),"Group stages",Table2[[#This Row],[Round]])</f>
        <v>Group stages</v>
      </c>
      <c r="O732" s="1">
        <f>Table2[[#This Row],[Year]]</f>
        <v>2010</v>
      </c>
      <c r="P732" s="1" t="str">
        <f>INDEX(Table2[[HomeTeam]:[Group_details]],ROWS($N$2:N732),COLUMNS($N$2:N732))</f>
        <v>England</v>
      </c>
      <c r="Q732" s="1">
        <f>INDEX(Table2[[HomeTeam]:[Group_details]],ROWS($N$2:O732),COLUMNS($N$2:O732))</f>
        <v>0</v>
      </c>
      <c r="R732" s="1">
        <f>INDEX(Table2[[HomeTeam]:[Group_details]],ROWS($N$2:P732),COLUMNS($N$2:P732))</f>
        <v>0</v>
      </c>
      <c r="S732" s="1" t="str">
        <f>INDEX(Table2[[HomeTeam]:[Group_details]],ROWS($N$2:Q732),COLUMNS($N$2:Q732))</f>
        <v>Algeria</v>
      </c>
      <c r="T732" s="1" t="str">
        <f>INDEX(Table2[[HomeTeam]:[Group_details]],ROWS($N$2:R732),COLUMNS($N$2:R732))</f>
        <v xml:space="preserve"> </v>
      </c>
      <c r="U732" s="1" t="str">
        <f>INDEX(Table2[[HomeTeam]:[Group_details]],ROWS($N$2:S732),COLUMNS($N$2:S732))</f>
        <v>Group stages</v>
      </c>
      <c r="V732" s="1" t="b">
        <f t="shared" si="11"/>
        <v>0</v>
      </c>
      <c r="W732" s="1" t="str">
        <f>IF(V732=TRUE,ROWS($V$2:V732),"")</f>
        <v/>
      </c>
      <c r="X732" s="1" t="str">
        <f>IFERROR(SMALL($W$2:$W$853,ROWS($W$2:W732)),"")</f>
        <v/>
      </c>
      <c r="Y732" s="1" t="str">
        <f>IF($X732&lt;&gt;"",INDEX($P$2:$U$853,MATCH($X732,$W$2:$W$853,0),COLUMNS($X$2:X732)),"")</f>
        <v/>
      </c>
      <c r="Z732" s="1" t="str">
        <f>IF($X732&lt;&gt;"",INDEX($P$2:$U$853,MATCH($X732,$W$2:$W$853,0),COLUMNS($X$2:Y732)),"")</f>
        <v/>
      </c>
      <c r="AA732" s="1" t="str">
        <f>IF($X732&lt;&gt;"",INDEX($P$2:$U$853,MATCH($X732,$W$2:$W$853,0),COLUMNS($X$2:Z732)),"")</f>
        <v/>
      </c>
      <c r="AB732" s="1" t="str">
        <f>IF($X732&lt;&gt;"",INDEX($P$2:$U$853,MATCH($X732,$W$2:$W$853,0),COLUMNS($X$2:AA732)),"")</f>
        <v/>
      </c>
      <c r="AC732" s="1" t="str">
        <f>IF($X732&lt;&gt;"",INDEX($P$2:$U$853,MATCH($X732,$W$2:$W$853,0),COLUMNS($X$2:AB732)),"")</f>
        <v/>
      </c>
      <c r="AD732" s="1" t="str">
        <f>IF($X732&lt;&gt;"",INDEX($P$2:$U$853,MATCH($X732,$W$2:$W$853,0),COLUMNS($X$2:AC732)),"")</f>
        <v/>
      </c>
    </row>
    <row r="733" spans="1:30" x14ac:dyDescent="0.2">
      <c r="A733" s="1">
        <v>2010</v>
      </c>
      <c r="B733" s="2">
        <v>40348</v>
      </c>
      <c r="C733" s="1" t="s">
        <v>534</v>
      </c>
      <c r="D733" s="1" t="s">
        <v>281</v>
      </c>
      <c r="E733" s="1" t="s">
        <v>454</v>
      </c>
      <c r="F733" s="1" t="s">
        <v>455</v>
      </c>
      <c r="G733" s="6" t="str">
        <f>VLOOKUP(A733,WorldCups!$A$2:$B$23,2,FALSE)</f>
        <v>South Africa</v>
      </c>
      <c r="H733" s="1" t="s">
        <v>45</v>
      </c>
      <c r="I733" s="1">
        <v>1</v>
      </c>
      <c r="J733" s="1">
        <v>0</v>
      </c>
      <c r="K733" s="1" t="s">
        <v>356</v>
      </c>
      <c r="L733" s="1" t="s">
        <v>14</v>
      </c>
      <c r="M733" s="1" t="str">
        <f>IF(ISNUMBER(SEARCH("Group",Table2[[#This Row],[Round]])),"Group stages",Table2[[#This Row],[Round]])</f>
        <v>Group stages</v>
      </c>
      <c r="O733" s="1">
        <f>Table2[[#This Row],[Year]]</f>
        <v>2010</v>
      </c>
      <c r="P733" s="1" t="str">
        <f>INDEX(Table2[[HomeTeam]:[Group_details]],ROWS($N$2:N733),COLUMNS($N$2:N733))</f>
        <v>Netherlands</v>
      </c>
      <c r="Q733" s="1">
        <f>INDEX(Table2[[HomeTeam]:[Group_details]],ROWS($N$2:O733),COLUMNS($N$2:O733))</f>
        <v>1</v>
      </c>
      <c r="R733" s="1">
        <f>INDEX(Table2[[HomeTeam]:[Group_details]],ROWS($N$2:P733),COLUMNS($N$2:P733))</f>
        <v>0</v>
      </c>
      <c r="S733" s="1" t="str">
        <f>INDEX(Table2[[HomeTeam]:[Group_details]],ROWS($N$2:Q733),COLUMNS($N$2:Q733))</f>
        <v>Japan</v>
      </c>
      <c r="T733" s="1" t="str">
        <f>INDEX(Table2[[HomeTeam]:[Group_details]],ROWS($N$2:R733),COLUMNS($N$2:R733))</f>
        <v xml:space="preserve"> </v>
      </c>
      <c r="U733" s="1" t="str">
        <f>INDEX(Table2[[HomeTeam]:[Group_details]],ROWS($N$2:S733),COLUMNS($N$2:S733))</f>
        <v>Group stages</v>
      </c>
      <c r="V733" s="1" t="b">
        <f t="shared" si="11"/>
        <v>0</v>
      </c>
      <c r="W733" s="1" t="str">
        <f>IF(V733=TRUE,ROWS($V$2:V733),"")</f>
        <v/>
      </c>
      <c r="X733" s="1" t="str">
        <f>IFERROR(SMALL($W$2:$W$853,ROWS($W$2:W733)),"")</f>
        <v/>
      </c>
      <c r="Y733" s="1" t="str">
        <f>IF($X733&lt;&gt;"",INDEX($P$2:$U$853,MATCH($X733,$W$2:$W$853,0),COLUMNS($X$2:X733)),"")</f>
        <v/>
      </c>
      <c r="Z733" s="1" t="str">
        <f>IF($X733&lt;&gt;"",INDEX($P$2:$U$853,MATCH($X733,$W$2:$W$853,0),COLUMNS($X$2:Y733)),"")</f>
        <v/>
      </c>
      <c r="AA733" s="1" t="str">
        <f>IF($X733&lt;&gt;"",INDEX($P$2:$U$853,MATCH($X733,$W$2:$W$853,0),COLUMNS($X$2:Z733)),"")</f>
        <v/>
      </c>
      <c r="AB733" s="1" t="str">
        <f>IF($X733&lt;&gt;"",INDEX($P$2:$U$853,MATCH($X733,$W$2:$W$853,0),COLUMNS($X$2:AA733)),"")</f>
        <v/>
      </c>
      <c r="AC733" s="1" t="str">
        <f>IF($X733&lt;&gt;"",INDEX($P$2:$U$853,MATCH($X733,$W$2:$W$853,0),COLUMNS($X$2:AB733)),"")</f>
        <v/>
      </c>
      <c r="AD733" s="1" t="str">
        <f>IF($X733&lt;&gt;"",INDEX($P$2:$U$853,MATCH($X733,$W$2:$W$853,0),COLUMNS($X$2:AC733)),"")</f>
        <v/>
      </c>
    </row>
    <row r="734" spans="1:30" x14ac:dyDescent="0.2">
      <c r="A734" s="1">
        <v>2010</v>
      </c>
      <c r="B734" s="2">
        <v>40348</v>
      </c>
      <c r="C734" s="1" t="s">
        <v>503</v>
      </c>
      <c r="D734" s="1" t="s">
        <v>270</v>
      </c>
      <c r="E734" s="1" t="s">
        <v>447</v>
      </c>
      <c r="F734" s="1" t="s">
        <v>448</v>
      </c>
      <c r="G734" s="6" t="str">
        <f>VLOOKUP(A734,WorldCups!$A$2:$B$23,2,FALSE)</f>
        <v>South Africa</v>
      </c>
      <c r="H734" s="1" t="s">
        <v>431</v>
      </c>
      <c r="I734" s="1">
        <v>1</v>
      </c>
      <c r="J734" s="1">
        <v>1</v>
      </c>
      <c r="K734" s="1" t="s">
        <v>199</v>
      </c>
      <c r="L734" s="1" t="s">
        <v>14</v>
      </c>
      <c r="M734" s="1" t="str">
        <f>IF(ISNUMBER(SEARCH("Group",Table2[[#This Row],[Round]])),"Group stages",Table2[[#This Row],[Round]])</f>
        <v>Group stages</v>
      </c>
      <c r="O734" s="1">
        <f>Table2[[#This Row],[Year]]</f>
        <v>2010</v>
      </c>
      <c r="P734" s="1" t="str">
        <f>INDEX(Table2[[HomeTeam]:[Group_details]],ROWS($N$2:N734),COLUMNS($N$2:N734))</f>
        <v>Ghana</v>
      </c>
      <c r="Q734" s="1">
        <f>INDEX(Table2[[HomeTeam]:[Group_details]],ROWS($N$2:O734),COLUMNS($N$2:O734))</f>
        <v>1</v>
      </c>
      <c r="R734" s="1">
        <f>INDEX(Table2[[HomeTeam]:[Group_details]],ROWS($N$2:P734),COLUMNS($N$2:P734))</f>
        <v>1</v>
      </c>
      <c r="S734" s="1" t="str">
        <f>INDEX(Table2[[HomeTeam]:[Group_details]],ROWS($N$2:Q734),COLUMNS($N$2:Q734))</f>
        <v>Australia</v>
      </c>
      <c r="T734" s="1" t="str">
        <f>INDEX(Table2[[HomeTeam]:[Group_details]],ROWS($N$2:R734),COLUMNS($N$2:R734))</f>
        <v xml:space="preserve"> </v>
      </c>
      <c r="U734" s="1" t="str">
        <f>INDEX(Table2[[HomeTeam]:[Group_details]],ROWS($N$2:S734),COLUMNS($N$2:S734))</f>
        <v>Group stages</v>
      </c>
      <c r="V734" s="1" t="b">
        <f t="shared" si="11"/>
        <v>0</v>
      </c>
      <c r="W734" s="1" t="str">
        <f>IF(V734=TRUE,ROWS($V$2:V734),"")</f>
        <v/>
      </c>
      <c r="X734" s="1" t="str">
        <f>IFERROR(SMALL($W$2:$W$853,ROWS($W$2:W734)),"")</f>
        <v/>
      </c>
      <c r="Y734" s="1" t="str">
        <f>IF($X734&lt;&gt;"",INDEX($P$2:$U$853,MATCH($X734,$W$2:$W$853,0),COLUMNS($X$2:X734)),"")</f>
        <v/>
      </c>
      <c r="Z734" s="1" t="str">
        <f>IF($X734&lt;&gt;"",INDEX($P$2:$U$853,MATCH($X734,$W$2:$W$853,0),COLUMNS($X$2:Y734)),"")</f>
        <v/>
      </c>
      <c r="AA734" s="1" t="str">
        <f>IF($X734&lt;&gt;"",INDEX($P$2:$U$853,MATCH($X734,$W$2:$W$853,0),COLUMNS($X$2:Z734)),"")</f>
        <v/>
      </c>
      <c r="AB734" s="1" t="str">
        <f>IF($X734&lt;&gt;"",INDEX($P$2:$U$853,MATCH($X734,$W$2:$W$853,0),COLUMNS($X$2:AA734)),"")</f>
        <v/>
      </c>
      <c r="AC734" s="1" t="str">
        <f>IF($X734&lt;&gt;"",INDEX($P$2:$U$853,MATCH($X734,$W$2:$W$853,0),COLUMNS($X$2:AB734)),"")</f>
        <v/>
      </c>
      <c r="AD734" s="1" t="str">
        <f>IF($X734&lt;&gt;"",INDEX($P$2:$U$853,MATCH($X734,$W$2:$W$853,0),COLUMNS($X$2:AC734)),"")</f>
        <v/>
      </c>
    </row>
    <row r="735" spans="1:30" x14ac:dyDescent="0.2">
      <c r="A735" s="1">
        <v>2010</v>
      </c>
      <c r="B735" s="2">
        <v>40348</v>
      </c>
      <c r="C735" s="1" t="s">
        <v>535</v>
      </c>
      <c r="D735" s="1" t="s">
        <v>281</v>
      </c>
      <c r="E735" s="1" t="s">
        <v>451</v>
      </c>
      <c r="F735" s="1" t="s">
        <v>452</v>
      </c>
      <c r="G735" s="6" t="str">
        <f>VLOOKUP(A735,WorldCups!$A$2:$B$23,2,FALSE)</f>
        <v>South Africa</v>
      </c>
      <c r="H735" s="1" t="s">
        <v>238</v>
      </c>
      <c r="I735" s="1">
        <v>1</v>
      </c>
      <c r="J735" s="1">
        <v>2</v>
      </c>
      <c r="K735" s="1" t="s">
        <v>284</v>
      </c>
      <c r="L735" s="1" t="s">
        <v>14</v>
      </c>
      <c r="M735" s="1" t="str">
        <f>IF(ISNUMBER(SEARCH("Group",Table2[[#This Row],[Round]])),"Group stages",Table2[[#This Row],[Round]])</f>
        <v>Group stages</v>
      </c>
      <c r="O735" s="1">
        <f>Table2[[#This Row],[Year]]</f>
        <v>2010</v>
      </c>
      <c r="P735" s="1" t="str">
        <f>INDEX(Table2[[HomeTeam]:[Group_details]],ROWS($N$2:N735),COLUMNS($N$2:N735))</f>
        <v>Cameroon</v>
      </c>
      <c r="Q735" s="1">
        <f>INDEX(Table2[[HomeTeam]:[Group_details]],ROWS($N$2:O735),COLUMNS($N$2:O735))</f>
        <v>1</v>
      </c>
      <c r="R735" s="1">
        <f>INDEX(Table2[[HomeTeam]:[Group_details]],ROWS($N$2:P735),COLUMNS($N$2:P735))</f>
        <v>2</v>
      </c>
      <c r="S735" s="1" t="str">
        <f>INDEX(Table2[[HomeTeam]:[Group_details]],ROWS($N$2:Q735),COLUMNS($N$2:Q735))</f>
        <v>Denmark</v>
      </c>
      <c r="T735" s="1" t="str">
        <f>INDEX(Table2[[HomeTeam]:[Group_details]],ROWS($N$2:R735),COLUMNS($N$2:R735))</f>
        <v xml:space="preserve"> </v>
      </c>
      <c r="U735" s="1" t="str">
        <f>INDEX(Table2[[HomeTeam]:[Group_details]],ROWS($N$2:S735),COLUMNS($N$2:S735))</f>
        <v>Group stages</v>
      </c>
      <c r="V735" s="1" t="b">
        <f t="shared" si="11"/>
        <v>0</v>
      </c>
      <c r="W735" s="1" t="str">
        <f>IF(V735=TRUE,ROWS($V$2:V735),"")</f>
        <v/>
      </c>
      <c r="X735" s="1" t="str">
        <f>IFERROR(SMALL($W$2:$W$853,ROWS($W$2:W735)),"")</f>
        <v/>
      </c>
      <c r="Y735" s="1" t="str">
        <f>IF($X735&lt;&gt;"",INDEX($P$2:$U$853,MATCH($X735,$W$2:$W$853,0),COLUMNS($X$2:X735)),"")</f>
        <v/>
      </c>
      <c r="Z735" s="1" t="str">
        <f>IF($X735&lt;&gt;"",INDEX($P$2:$U$853,MATCH($X735,$W$2:$W$853,0),COLUMNS($X$2:Y735)),"")</f>
        <v/>
      </c>
      <c r="AA735" s="1" t="str">
        <f>IF($X735&lt;&gt;"",INDEX($P$2:$U$853,MATCH($X735,$W$2:$W$853,0),COLUMNS($X$2:Z735)),"")</f>
        <v/>
      </c>
      <c r="AB735" s="1" t="str">
        <f>IF($X735&lt;&gt;"",INDEX($P$2:$U$853,MATCH($X735,$W$2:$W$853,0),COLUMNS($X$2:AA735)),"")</f>
        <v/>
      </c>
      <c r="AC735" s="1" t="str">
        <f>IF($X735&lt;&gt;"",INDEX($P$2:$U$853,MATCH($X735,$W$2:$W$853,0),COLUMNS($X$2:AB735)),"")</f>
        <v/>
      </c>
      <c r="AD735" s="1" t="str">
        <f>IF($X735&lt;&gt;"",INDEX($P$2:$U$853,MATCH($X735,$W$2:$W$853,0),COLUMNS($X$2:AC735)),"")</f>
        <v/>
      </c>
    </row>
    <row r="736" spans="1:30" x14ac:dyDescent="0.2">
      <c r="A736" s="1">
        <v>2010</v>
      </c>
      <c r="B736" s="2">
        <v>40349</v>
      </c>
      <c r="C736" s="1" t="s">
        <v>534</v>
      </c>
      <c r="D736" s="1" t="s">
        <v>274</v>
      </c>
      <c r="E736" s="1" t="s">
        <v>456</v>
      </c>
      <c r="F736" s="1" t="s">
        <v>457</v>
      </c>
      <c r="G736" s="6" t="str">
        <f>VLOOKUP(A736,WorldCups!$A$2:$B$23,2,FALSE)</f>
        <v>South Africa</v>
      </c>
      <c r="H736" s="1" t="s">
        <v>458</v>
      </c>
      <c r="I736" s="1">
        <v>0</v>
      </c>
      <c r="J736" s="1">
        <v>2</v>
      </c>
      <c r="K736" s="1" t="s">
        <v>28</v>
      </c>
      <c r="L736" s="1" t="s">
        <v>14</v>
      </c>
      <c r="M736" s="1" t="str">
        <f>IF(ISNUMBER(SEARCH("Group",Table2[[#This Row],[Round]])),"Group stages",Table2[[#This Row],[Round]])</f>
        <v>Group stages</v>
      </c>
      <c r="O736" s="1">
        <f>Table2[[#This Row],[Year]]</f>
        <v>2010</v>
      </c>
      <c r="P736" s="1" t="str">
        <f>INDEX(Table2[[HomeTeam]:[Group_details]],ROWS($N$2:N736),COLUMNS($N$2:N736))</f>
        <v>Slovakia</v>
      </c>
      <c r="Q736" s="1">
        <f>INDEX(Table2[[HomeTeam]:[Group_details]],ROWS($N$2:O736),COLUMNS($N$2:O736))</f>
        <v>0</v>
      </c>
      <c r="R736" s="1">
        <f>INDEX(Table2[[HomeTeam]:[Group_details]],ROWS($N$2:P736),COLUMNS($N$2:P736))</f>
        <v>2</v>
      </c>
      <c r="S736" s="1" t="str">
        <f>INDEX(Table2[[HomeTeam]:[Group_details]],ROWS($N$2:Q736),COLUMNS($N$2:Q736))</f>
        <v>Paraguay</v>
      </c>
      <c r="T736" s="1" t="str">
        <f>INDEX(Table2[[HomeTeam]:[Group_details]],ROWS($N$2:R736),COLUMNS($N$2:R736))</f>
        <v xml:space="preserve"> </v>
      </c>
      <c r="U736" s="1" t="str">
        <f>INDEX(Table2[[HomeTeam]:[Group_details]],ROWS($N$2:S736),COLUMNS($N$2:S736))</f>
        <v>Group stages</v>
      </c>
      <c r="V736" s="1" t="b">
        <f t="shared" si="11"/>
        <v>0</v>
      </c>
      <c r="W736" s="1" t="str">
        <f>IF(V736=TRUE,ROWS($V$2:V736),"")</f>
        <v/>
      </c>
      <c r="X736" s="1" t="str">
        <f>IFERROR(SMALL($W$2:$W$853,ROWS($W$2:W736)),"")</f>
        <v/>
      </c>
      <c r="Y736" s="1" t="str">
        <f>IF($X736&lt;&gt;"",INDEX($P$2:$U$853,MATCH($X736,$W$2:$W$853,0),COLUMNS($X$2:X736)),"")</f>
        <v/>
      </c>
      <c r="Z736" s="1" t="str">
        <f>IF($X736&lt;&gt;"",INDEX($P$2:$U$853,MATCH($X736,$W$2:$W$853,0),COLUMNS($X$2:Y736)),"")</f>
        <v/>
      </c>
      <c r="AA736" s="1" t="str">
        <f>IF($X736&lt;&gt;"",INDEX($P$2:$U$853,MATCH($X736,$W$2:$W$853,0),COLUMNS($X$2:Z736)),"")</f>
        <v/>
      </c>
      <c r="AB736" s="1" t="str">
        <f>IF($X736&lt;&gt;"",INDEX($P$2:$U$853,MATCH($X736,$W$2:$W$853,0),COLUMNS($X$2:AA736)),"")</f>
        <v/>
      </c>
      <c r="AC736" s="1" t="str">
        <f>IF($X736&lt;&gt;"",INDEX($P$2:$U$853,MATCH($X736,$W$2:$W$853,0),COLUMNS($X$2:AB736)),"")</f>
        <v/>
      </c>
      <c r="AD736" s="1" t="str">
        <f>IF($X736&lt;&gt;"",INDEX($P$2:$U$853,MATCH($X736,$W$2:$W$853,0),COLUMNS($X$2:AC736)),"")</f>
        <v/>
      </c>
    </row>
    <row r="737" spans="1:30" x14ac:dyDescent="0.2">
      <c r="A737" s="1">
        <v>2010</v>
      </c>
      <c r="B737" s="2">
        <v>40349</v>
      </c>
      <c r="C737" s="1" t="s">
        <v>503</v>
      </c>
      <c r="D737" s="1" t="s">
        <v>274</v>
      </c>
      <c r="E737" s="1" t="s">
        <v>459</v>
      </c>
      <c r="F737" s="1" t="s">
        <v>460</v>
      </c>
      <c r="G737" s="6" t="str">
        <f>VLOOKUP(A737,WorldCups!$A$2:$B$23,2,FALSE)</f>
        <v>South Africa</v>
      </c>
      <c r="H737" s="1" t="s">
        <v>57</v>
      </c>
      <c r="I737" s="1">
        <v>1</v>
      </c>
      <c r="J737" s="1">
        <v>1</v>
      </c>
      <c r="K737" s="1" t="s">
        <v>243</v>
      </c>
      <c r="L737" s="1" t="s">
        <v>14</v>
      </c>
      <c r="M737" s="1" t="str">
        <f>IF(ISNUMBER(SEARCH("Group",Table2[[#This Row],[Round]])),"Group stages",Table2[[#This Row],[Round]])</f>
        <v>Group stages</v>
      </c>
      <c r="O737" s="1">
        <f>Table2[[#This Row],[Year]]</f>
        <v>2010</v>
      </c>
      <c r="P737" s="1" t="str">
        <f>INDEX(Table2[[HomeTeam]:[Group_details]],ROWS($N$2:N737),COLUMNS($N$2:N737))</f>
        <v>Italy</v>
      </c>
      <c r="Q737" s="1">
        <f>INDEX(Table2[[HomeTeam]:[Group_details]],ROWS($N$2:O737),COLUMNS($N$2:O737))</f>
        <v>1</v>
      </c>
      <c r="R737" s="1">
        <f>INDEX(Table2[[HomeTeam]:[Group_details]],ROWS($N$2:P737),COLUMNS($N$2:P737))</f>
        <v>1</v>
      </c>
      <c r="S737" s="1" t="str">
        <f>INDEX(Table2[[HomeTeam]:[Group_details]],ROWS($N$2:Q737),COLUMNS($N$2:Q737))</f>
        <v>New Zealand</v>
      </c>
      <c r="T737" s="1" t="str">
        <f>INDEX(Table2[[HomeTeam]:[Group_details]],ROWS($N$2:R737),COLUMNS($N$2:R737))</f>
        <v xml:space="preserve"> </v>
      </c>
      <c r="U737" s="1" t="str">
        <f>INDEX(Table2[[HomeTeam]:[Group_details]],ROWS($N$2:S737),COLUMNS($N$2:S737))</f>
        <v>Group stages</v>
      </c>
      <c r="V737" s="1" t="b">
        <f t="shared" si="11"/>
        <v>0</v>
      </c>
      <c r="W737" s="1" t="str">
        <f>IF(V737=TRUE,ROWS($V$2:V737),"")</f>
        <v/>
      </c>
      <c r="X737" s="1" t="str">
        <f>IFERROR(SMALL($W$2:$W$853,ROWS($W$2:W737)),"")</f>
        <v/>
      </c>
      <c r="Y737" s="1" t="str">
        <f>IF($X737&lt;&gt;"",INDEX($P$2:$U$853,MATCH($X737,$W$2:$W$853,0),COLUMNS($X$2:X737)),"")</f>
        <v/>
      </c>
      <c r="Z737" s="1" t="str">
        <f>IF($X737&lt;&gt;"",INDEX($P$2:$U$853,MATCH($X737,$W$2:$W$853,0),COLUMNS($X$2:Y737)),"")</f>
        <v/>
      </c>
      <c r="AA737" s="1" t="str">
        <f>IF($X737&lt;&gt;"",INDEX($P$2:$U$853,MATCH($X737,$W$2:$W$853,0),COLUMNS($X$2:Z737)),"")</f>
        <v/>
      </c>
      <c r="AB737" s="1" t="str">
        <f>IF($X737&lt;&gt;"",INDEX($P$2:$U$853,MATCH($X737,$W$2:$W$853,0),COLUMNS($X$2:AA737)),"")</f>
        <v/>
      </c>
      <c r="AC737" s="1" t="str">
        <f>IF($X737&lt;&gt;"",INDEX($P$2:$U$853,MATCH($X737,$W$2:$W$853,0),COLUMNS($X$2:AB737)),"")</f>
        <v/>
      </c>
      <c r="AD737" s="1" t="str">
        <f>IF($X737&lt;&gt;"",INDEX($P$2:$U$853,MATCH($X737,$W$2:$W$853,0),COLUMNS($X$2:AC737)),"")</f>
        <v/>
      </c>
    </row>
    <row r="738" spans="1:30" x14ac:dyDescent="0.2">
      <c r="A738" s="1">
        <v>2010</v>
      </c>
      <c r="B738" s="2">
        <v>40349</v>
      </c>
      <c r="C738" s="1" t="s">
        <v>535</v>
      </c>
      <c r="D738" s="1" t="s">
        <v>361</v>
      </c>
      <c r="E738" s="1" t="s">
        <v>440</v>
      </c>
      <c r="F738" s="1" t="s">
        <v>441</v>
      </c>
      <c r="G738" s="6" t="str">
        <f>VLOOKUP(A738,WorldCups!$A$2:$B$23,2,FALSE)</f>
        <v>South Africa</v>
      </c>
      <c r="H738" s="1" t="s">
        <v>21</v>
      </c>
      <c r="I738" s="1">
        <v>3</v>
      </c>
      <c r="J738" s="1">
        <v>1</v>
      </c>
      <c r="K738" s="1" t="s">
        <v>418</v>
      </c>
      <c r="L738" s="1" t="s">
        <v>14</v>
      </c>
      <c r="M738" s="1" t="str">
        <f>IF(ISNUMBER(SEARCH("Group",Table2[[#This Row],[Round]])),"Group stages",Table2[[#This Row],[Round]])</f>
        <v>Group stages</v>
      </c>
      <c r="O738" s="1">
        <f>Table2[[#This Row],[Year]]</f>
        <v>2010</v>
      </c>
      <c r="P738" s="1" t="str">
        <f>INDEX(Table2[[HomeTeam]:[Group_details]],ROWS($N$2:N738),COLUMNS($N$2:N738))</f>
        <v>Brazil</v>
      </c>
      <c r="Q738" s="1">
        <f>INDEX(Table2[[HomeTeam]:[Group_details]],ROWS($N$2:O738),COLUMNS($N$2:O738))</f>
        <v>3</v>
      </c>
      <c r="R738" s="1">
        <f>INDEX(Table2[[HomeTeam]:[Group_details]],ROWS($N$2:P738),COLUMNS($N$2:P738))</f>
        <v>1</v>
      </c>
      <c r="S738" s="1" t="str">
        <f>INDEX(Table2[[HomeTeam]:[Group_details]],ROWS($N$2:Q738),COLUMNS($N$2:Q738))</f>
        <v>Cï¿½te d'Ivoire</v>
      </c>
      <c r="T738" s="1" t="str">
        <f>INDEX(Table2[[HomeTeam]:[Group_details]],ROWS($N$2:R738),COLUMNS($N$2:R738))</f>
        <v xml:space="preserve"> </v>
      </c>
      <c r="U738" s="1" t="str">
        <f>INDEX(Table2[[HomeTeam]:[Group_details]],ROWS($N$2:S738),COLUMNS($N$2:S738))</f>
        <v>Group stages</v>
      </c>
      <c r="V738" s="1" t="b">
        <f t="shared" si="11"/>
        <v>0</v>
      </c>
      <c r="W738" s="1" t="str">
        <f>IF(V738=TRUE,ROWS($V$2:V738),"")</f>
        <v/>
      </c>
      <c r="X738" s="1" t="str">
        <f>IFERROR(SMALL($W$2:$W$853,ROWS($W$2:W738)),"")</f>
        <v/>
      </c>
      <c r="Y738" s="1" t="str">
        <f>IF($X738&lt;&gt;"",INDEX($P$2:$U$853,MATCH($X738,$W$2:$W$853,0),COLUMNS($X$2:X738)),"")</f>
        <v/>
      </c>
      <c r="Z738" s="1" t="str">
        <f>IF($X738&lt;&gt;"",INDEX($P$2:$U$853,MATCH($X738,$W$2:$W$853,0),COLUMNS($X$2:Y738)),"")</f>
        <v/>
      </c>
      <c r="AA738" s="1" t="str">
        <f>IF($X738&lt;&gt;"",INDEX($P$2:$U$853,MATCH($X738,$W$2:$W$853,0),COLUMNS($X$2:Z738)),"")</f>
        <v/>
      </c>
      <c r="AB738" s="1" t="str">
        <f>IF($X738&lt;&gt;"",INDEX($P$2:$U$853,MATCH($X738,$W$2:$W$853,0),COLUMNS($X$2:AA738)),"")</f>
        <v/>
      </c>
      <c r="AC738" s="1" t="str">
        <f>IF($X738&lt;&gt;"",INDEX($P$2:$U$853,MATCH($X738,$W$2:$W$853,0),COLUMNS($X$2:AB738)),"")</f>
        <v/>
      </c>
      <c r="AD738" s="1" t="str">
        <f>IF($X738&lt;&gt;"",INDEX($P$2:$U$853,MATCH($X738,$W$2:$W$853,0),COLUMNS($X$2:AC738)),"")</f>
        <v/>
      </c>
    </row>
    <row r="739" spans="1:30" x14ac:dyDescent="0.2">
      <c r="A739" s="1">
        <v>2010</v>
      </c>
      <c r="B739" s="2">
        <v>40350</v>
      </c>
      <c r="C739" s="1" t="s">
        <v>534</v>
      </c>
      <c r="D739" s="1" t="s">
        <v>361</v>
      </c>
      <c r="E739" s="1" t="s">
        <v>442</v>
      </c>
      <c r="F739" s="1" t="s">
        <v>443</v>
      </c>
      <c r="G739" s="6" t="str">
        <f>VLOOKUP(A739,WorldCups!$A$2:$B$23,2,FALSE)</f>
        <v>South Africa</v>
      </c>
      <c r="H739" s="1" t="s">
        <v>170</v>
      </c>
      <c r="I739" s="1">
        <v>7</v>
      </c>
      <c r="J739" s="1">
        <v>0</v>
      </c>
      <c r="K739" s="1" t="s">
        <v>167</v>
      </c>
      <c r="L739" s="1" t="s">
        <v>14</v>
      </c>
      <c r="M739" s="1" t="str">
        <f>IF(ISNUMBER(SEARCH("Group",Table2[[#This Row],[Round]])),"Group stages",Table2[[#This Row],[Round]])</f>
        <v>Group stages</v>
      </c>
      <c r="O739" s="1">
        <f>Table2[[#This Row],[Year]]</f>
        <v>2010</v>
      </c>
      <c r="P739" s="1" t="str">
        <f>INDEX(Table2[[HomeTeam]:[Group_details]],ROWS($N$2:N739),COLUMNS($N$2:N739))</f>
        <v>Portugal</v>
      </c>
      <c r="Q739" s="1">
        <f>INDEX(Table2[[HomeTeam]:[Group_details]],ROWS($N$2:O739),COLUMNS($N$2:O739))</f>
        <v>7</v>
      </c>
      <c r="R739" s="1">
        <f>INDEX(Table2[[HomeTeam]:[Group_details]],ROWS($N$2:P739),COLUMNS($N$2:P739))</f>
        <v>0</v>
      </c>
      <c r="S739" s="1" t="str">
        <f>INDEX(Table2[[HomeTeam]:[Group_details]],ROWS($N$2:Q739),COLUMNS($N$2:Q739))</f>
        <v>Korea DPR</v>
      </c>
      <c r="T739" s="1" t="str">
        <f>INDEX(Table2[[HomeTeam]:[Group_details]],ROWS($N$2:R739),COLUMNS($N$2:R739))</f>
        <v xml:space="preserve"> </v>
      </c>
      <c r="U739" s="1" t="str">
        <f>INDEX(Table2[[HomeTeam]:[Group_details]],ROWS($N$2:S739),COLUMNS($N$2:S739))</f>
        <v>Group stages</v>
      </c>
      <c r="V739" s="1" t="b">
        <f t="shared" si="11"/>
        <v>0</v>
      </c>
      <c r="W739" s="1" t="str">
        <f>IF(V739=TRUE,ROWS($V$2:V739),"")</f>
        <v/>
      </c>
      <c r="X739" s="1" t="str">
        <f>IFERROR(SMALL($W$2:$W$853,ROWS($W$2:W739)),"")</f>
        <v/>
      </c>
      <c r="Y739" s="1" t="str">
        <f>IF($X739&lt;&gt;"",INDEX($P$2:$U$853,MATCH($X739,$W$2:$W$853,0),COLUMNS($X$2:X739)),"")</f>
        <v/>
      </c>
      <c r="Z739" s="1" t="str">
        <f>IF($X739&lt;&gt;"",INDEX($P$2:$U$853,MATCH($X739,$W$2:$W$853,0),COLUMNS($X$2:Y739)),"")</f>
        <v/>
      </c>
      <c r="AA739" s="1" t="str">
        <f>IF($X739&lt;&gt;"",INDEX($P$2:$U$853,MATCH($X739,$W$2:$W$853,0),COLUMNS($X$2:Z739)),"")</f>
        <v/>
      </c>
      <c r="AB739" s="1" t="str">
        <f>IF($X739&lt;&gt;"",INDEX($P$2:$U$853,MATCH($X739,$W$2:$W$853,0),COLUMNS($X$2:AA739)),"")</f>
        <v/>
      </c>
      <c r="AC739" s="1" t="str">
        <f>IF($X739&lt;&gt;"",INDEX($P$2:$U$853,MATCH($X739,$W$2:$W$853,0),COLUMNS($X$2:AB739)),"")</f>
        <v/>
      </c>
      <c r="AD739" s="1" t="str">
        <f>IF($X739&lt;&gt;"",INDEX($P$2:$U$853,MATCH($X739,$W$2:$W$853,0),COLUMNS($X$2:AC739)),"")</f>
        <v/>
      </c>
    </row>
    <row r="740" spans="1:30" x14ac:dyDescent="0.2">
      <c r="A740" s="1">
        <v>2010</v>
      </c>
      <c r="B740" s="2">
        <v>40350</v>
      </c>
      <c r="C740" s="1" t="s">
        <v>503</v>
      </c>
      <c r="D740" s="1" t="s">
        <v>355</v>
      </c>
      <c r="E740" s="1" t="s">
        <v>444</v>
      </c>
      <c r="F740" s="1" t="s">
        <v>445</v>
      </c>
      <c r="G740" s="6" t="str">
        <f>VLOOKUP(A740,WorldCups!$A$2:$B$23,2,FALSE)</f>
        <v>South Africa</v>
      </c>
      <c r="H740" s="1" t="s">
        <v>26</v>
      </c>
      <c r="I740" s="1">
        <v>1</v>
      </c>
      <c r="J740" s="1">
        <v>0</v>
      </c>
      <c r="K740" s="1" t="s">
        <v>44</v>
      </c>
      <c r="L740" s="1" t="s">
        <v>14</v>
      </c>
      <c r="M740" s="1" t="str">
        <f>IF(ISNUMBER(SEARCH("Group",Table2[[#This Row],[Round]])),"Group stages",Table2[[#This Row],[Round]])</f>
        <v>Group stages</v>
      </c>
      <c r="O740" s="1">
        <f>Table2[[#This Row],[Year]]</f>
        <v>2010</v>
      </c>
      <c r="P740" s="1" t="str">
        <f>INDEX(Table2[[HomeTeam]:[Group_details]],ROWS($N$2:N740),COLUMNS($N$2:N740))</f>
        <v>Chile</v>
      </c>
      <c r="Q740" s="1">
        <f>INDEX(Table2[[HomeTeam]:[Group_details]],ROWS($N$2:O740),COLUMNS($N$2:O740))</f>
        <v>1</v>
      </c>
      <c r="R740" s="1">
        <f>INDEX(Table2[[HomeTeam]:[Group_details]],ROWS($N$2:P740),COLUMNS($N$2:P740))</f>
        <v>0</v>
      </c>
      <c r="S740" s="1" t="str">
        <f>INDEX(Table2[[HomeTeam]:[Group_details]],ROWS($N$2:Q740),COLUMNS($N$2:Q740))</f>
        <v>Switzerland</v>
      </c>
      <c r="T740" s="1" t="str">
        <f>INDEX(Table2[[HomeTeam]:[Group_details]],ROWS($N$2:R740),COLUMNS($N$2:R740))</f>
        <v xml:space="preserve"> </v>
      </c>
      <c r="U740" s="1" t="str">
        <f>INDEX(Table2[[HomeTeam]:[Group_details]],ROWS($N$2:S740),COLUMNS($N$2:S740))</f>
        <v>Group stages</v>
      </c>
      <c r="V740" s="1" t="b">
        <f t="shared" si="11"/>
        <v>0</v>
      </c>
      <c r="W740" s="1" t="str">
        <f>IF(V740=TRUE,ROWS($V$2:V740),"")</f>
        <v/>
      </c>
      <c r="X740" s="1" t="str">
        <f>IFERROR(SMALL($W$2:$W$853,ROWS($W$2:W740)),"")</f>
        <v/>
      </c>
      <c r="Y740" s="1" t="str">
        <f>IF($X740&lt;&gt;"",INDEX($P$2:$U$853,MATCH($X740,$W$2:$W$853,0),COLUMNS($X$2:X740)),"")</f>
        <v/>
      </c>
      <c r="Z740" s="1" t="str">
        <f>IF($X740&lt;&gt;"",INDEX($P$2:$U$853,MATCH($X740,$W$2:$W$853,0),COLUMNS($X$2:Y740)),"")</f>
        <v/>
      </c>
      <c r="AA740" s="1" t="str">
        <f>IF($X740&lt;&gt;"",INDEX($P$2:$U$853,MATCH($X740,$W$2:$W$853,0),COLUMNS($X$2:Z740)),"")</f>
        <v/>
      </c>
      <c r="AB740" s="1" t="str">
        <f>IF($X740&lt;&gt;"",INDEX($P$2:$U$853,MATCH($X740,$W$2:$W$853,0),COLUMNS($X$2:AA740)),"")</f>
        <v/>
      </c>
      <c r="AC740" s="1" t="str">
        <f>IF($X740&lt;&gt;"",INDEX($P$2:$U$853,MATCH($X740,$W$2:$W$853,0),COLUMNS($X$2:AB740)),"")</f>
        <v/>
      </c>
      <c r="AD740" s="1" t="str">
        <f>IF($X740&lt;&gt;"",INDEX($P$2:$U$853,MATCH($X740,$W$2:$W$853,0),COLUMNS($X$2:AC740)),"")</f>
        <v/>
      </c>
    </row>
    <row r="741" spans="1:30" x14ac:dyDescent="0.2">
      <c r="A741" s="1">
        <v>2010</v>
      </c>
      <c r="B741" s="2">
        <v>40350</v>
      </c>
      <c r="C741" s="1" t="s">
        <v>535</v>
      </c>
      <c r="D741" s="1" t="s">
        <v>355</v>
      </c>
      <c r="E741" s="1" t="s">
        <v>446</v>
      </c>
      <c r="F741" s="1" t="s">
        <v>441</v>
      </c>
      <c r="G741" s="6" t="str">
        <f>VLOOKUP(A741,WorldCups!$A$2:$B$23,2,FALSE)</f>
        <v>South Africa</v>
      </c>
      <c r="H741" s="1" t="s">
        <v>54</v>
      </c>
      <c r="I741" s="1">
        <v>2</v>
      </c>
      <c r="J741" s="1">
        <v>0</v>
      </c>
      <c r="K741" s="1" t="s">
        <v>252</v>
      </c>
      <c r="L741" s="1" t="s">
        <v>14</v>
      </c>
      <c r="M741" s="1" t="str">
        <f>IF(ISNUMBER(SEARCH("Group",Table2[[#This Row],[Round]])),"Group stages",Table2[[#This Row],[Round]])</f>
        <v>Group stages</v>
      </c>
      <c r="O741" s="1">
        <f>Table2[[#This Row],[Year]]</f>
        <v>2010</v>
      </c>
      <c r="P741" s="1" t="str">
        <f>INDEX(Table2[[HomeTeam]:[Group_details]],ROWS($N$2:N741),COLUMNS($N$2:N741))</f>
        <v>Spain</v>
      </c>
      <c r="Q741" s="1">
        <f>INDEX(Table2[[HomeTeam]:[Group_details]],ROWS($N$2:O741),COLUMNS($N$2:O741))</f>
        <v>2</v>
      </c>
      <c r="R741" s="1">
        <f>INDEX(Table2[[HomeTeam]:[Group_details]],ROWS($N$2:P741),COLUMNS($N$2:P741))</f>
        <v>0</v>
      </c>
      <c r="S741" s="1" t="str">
        <f>INDEX(Table2[[HomeTeam]:[Group_details]],ROWS($N$2:Q741),COLUMNS($N$2:Q741))</f>
        <v>Honduras</v>
      </c>
      <c r="T741" s="1" t="str">
        <f>INDEX(Table2[[HomeTeam]:[Group_details]],ROWS($N$2:R741),COLUMNS($N$2:R741))</f>
        <v xml:space="preserve"> </v>
      </c>
      <c r="U741" s="1" t="str">
        <f>INDEX(Table2[[HomeTeam]:[Group_details]],ROWS($N$2:S741),COLUMNS($N$2:S741))</f>
        <v>Group stages</v>
      </c>
      <c r="V741" s="1" t="b">
        <f t="shared" si="11"/>
        <v>0</v>
      </c>
      <c r="W741" s="1" t="str">
        <f>IF(V741=TRUE,ROWS($V$2:V741),"")</f>
        <v/>
      </c>
      <c r="X741" s="1" t="str">
        <f>IFERROR(SMALL($W$2:$W$853,ROWS($W$2:W741)),"")</f>
        <v/>
      </c>
      <c r="Y741" s="1" t="str">
        <f>IF($X741&lt;&gt;"",INDEX($P$2:$U$853,MATCH($X741,$W$2:$W$853,0),COLUMNS($X$2:X741)),"")</f>
        <v/>
      </c>
      <c r="Z741" s="1" t="str">
        <f>IF($X741&lt;&gt;"",INDEX($P$2:$U$853,MATCH($X741,$W$2:$W$853,0),COLUMNS($X$2:Y741)),"")</f>
        <v/>
      </c>
      <c r="AA741" s="1" t="str">
        <f>IF($X741&lt;&gt;"",INDEX($P$2:$U$853,MATCH($X741,$W$2:$W$853,0),COLUMNS($X$2:Z741)),"")</f>
        <v/>
      </c>
      <c r="AB741" s="1" t="str">
        <f>IF($X741&lt;&gt;"",INDEX($P$2:$U$853,MATCH($X741,$W$2:$W$853,0),COLUMNS($X$2:AA741)),"")</f>
        <v/>
      </c>
      <c r="AC741" s="1" t="str">
        <f>IF($X741&lt;&gt;"",INDEX($P$2:$U$853,MATCH($X741,$W$2:$W$853,0),COLUMNS($X$2:AB741)),"")</f>
        <v/>
      </c>
      <c r="AD741" s="1" t="str">
        <f>IF($X741&lt;&gt;"",INDEX($P$2:$U$853,MATCH($X741,$W$2:$W$853,0),COLUMNS($X$2:AC741)),"")</f>
        <v/>
      </c>
    </row>
    <row r="742" spans="1:30" x14ac:dyDescent="0.2">
      <c r="A742" s="1">
        <v>2010</v>
      </c>
      <c r="B742" s="2">
        <v>40351</v>
      </c>
      <c r="C742" s="1" t="s">
        <v>503</v>
      </c>
      <c r="D742" s="1" t="s">
        <v>214</v>
      </c>
      <c r="E742" s="1" t="s">
        <v>447</v>
      </c>
      <c r="F742" s="1" t="s">
        <v>448</v>
      </c>
      <c r="G742" s="6" t="str">
        <f>VLOOKUP(A742,WorldCups!$A$2:$B$23,2,FALSE)</f>
        <v>South Africa</v>
      </c>
      <c r="H742" s="1" t="s">
        <v>13</v>
      </c>
      <c r="I742" s="1">
        <v>0</v>
      </c>
      <c r="J742" s="1">
        <v>1</v>
      </c>
      <c r="K742" s="1" t="s">
        <v>30</v>
      </c>
      <c r="L742" s="1" t="s">
        <v>14</v>
      </c>
      <c r="M742" s="1" t="str">
        <f>IF(ISNUMBER(SEARCH("Group",Table2[[#This Row],[Round]])),"Group stages",Table2[[#This Row],[Round]])</f>
        <v>Group stages</v>
      </c>
      <c r="O742" s="1">
        <f>Table2[[#This Row],[Year]]</f>
        <v>2010</v>
      </c>
      <c r="P742" s="1" t="str">
        <f>INDEX(Table2[[HomeTeam]:[Group_details]],ROWS($N$2:N742),COLUMNS($N$2:N742))</f>
        <v>Mexico</v>
      </c>
      <c r="Q742" s="1">
        <f>INDEX(Table2[[HomeTeam]:[Group_details]],ROWS($N$2:O742),COLUMNS($N$2:O742))</f>
        <v>0</v>
      </c>
      <c r="R742" s="1">
        <f>INDEX(Table2[[HomeTeam]:[Group_details]],ROWS($N$2:P742),COLUMNS($N$2:P742))</f>
        <v>1</v>
      </c>
      <c r="S742" s="1" t="str">
        <f>INDEX(Table2[[HomeTeam]:[Group_details]],ROWS($N$2:Q742),COLUMNS($N$2:Q742))</f>
        <v>Uruguay</v>
      </c>
      <c r="T742" s="1" t="str">
        <f>INDEX(Table2[[HomeTeam]:[Group_details]],ROWS($N$2:R742),COLUMNS($N$2:R742))</f>
        <v xml:space="preserve"> </v>
      </c>
      <c r="U742" s="1" t="str">
        <f>INDEX(Table2[[HomeTeam]:[Group_details]],ROWS($N$2:S742),COLUMNS($N$2:S742))</f>
        <v>Group stages</v>
      </c>
      <c r="V742" s="1" t="b">
        <f t="shared" si="11"/>
        <v>0</v>
      </c>
      <c r="W742" s="1" t="str">
        <f>IF(V742=TRUE,ROWS($V$2:V742),"")</f>
        <v/>
      </c>
      <c r="X742" s="1" t="str">
        <f>IFERROR(SMALL($W$2:$W$853,ROWS($W$2:W742)),"")</f>
        <v/>
      </c>
      <c r="Y742" s="1" t="str">
        <f>IF($X742&lt;&gt;"",INDEX($P$2:$U$853,MATCH($X742,$W$2:$W$853,0),COLUMNS($X$2:X742)),"")</f>
        <v/>
      </c>
      <c r="Z742" s="1" t="str">
        <f>IF($X742&lt;&gt;"",INDEX($P$2:$U$853,MATCH($X742,$W$2:$W$853,0),COLUMNS($X$2:Y742)),"")</f>
        <v/>
      </c>
      <c r="AA742" s="1" t="str">
        <f>IF($X742&lt;&gt;"",INDEX($P$2:$U$853,MATCH($X742,$W$2:$W$853,0),COLUMNS($X$2:Z742)),"")</f>
        <v/>
      </c>
      <c r="AB742" s="1" t="str">
        <f>IF($X742&lt;&gt;"",INDEX($P$2:$U$853,MATCH($X742,$W$2:$W$853,0),COLUMNS($X$2:AA742)),"")</f>
        <v/>
      </c>
      <c r="AC742" s="1" t="str">
        <f>IF($X742&lt;&gt;"",INDEX($P$2:$U$853,MATCH($X742,$W$2:$W$853,0),COLUMNS($X$2:AB742)),"")</f>
        <v/>
      </c>
      <c r="AD742" s="1" t="str">
        <f>IF($X742&lt;&gt;"",INDEX($P$2:$U$853,MATCH($X742,$W$2:$W$853,0),COLUMNS($X$2:AC742)),"")</f>
        <v/>
      </c>
    </row>
    <row r="743" spans="1:30" x14ac:dyDescent="0.2">
      <c r="A743" s="1">
        <v>2010</v>
      </c>
      <c r="B743" s="2">
        <v>40351</v>
      </c>
      <c r="C743" s="1" t="s">
        <v>503</v>
      </c>
      <c r="D743" s="1" t="s">
        <v>214</v>
      </c>
      <c r="E743" s="1" t="s">
        <v>456</v>
      </c>
      <c r="F743" s="1" t="s">
        <v>457</v>
      </c>
      <c r="G743" s="6" t="str">
        <f>VLOOKUP(A743,WorldCups!$A$2:$B$23,2,FALSE)</f>
        <v>South Africa</v>
      </c>
      <c r="H743" s="1" t="s">
        <v>12</v>
      </c>
      <c r="I743" s="1">
        <v>1</v>
      </c>
      <c r="J743" s="1">
        <v>2</v>
      </c>
      <c r="K743" s="1" t="s">
        <v>350</v>
      </c>
      <c r="L743" s="1" t="s">
        <v>14</v>
      </c>
      <c r="M743" s="1" t="str">
        <f>IF(ISNUMBER(SEARCH("Group",Table2[[#This Row],[Round]])),"Group stages",Table2[[#This Row],[Round]])</f>
        <v>Group stages</v>
      </c>
      <c r="O743" s="1">
        <f>Table2[[#This Row],[Year]]</f>
        <v>2010</v>
      </c>
      <c r="P743" s="1" t="str">
        <f>INDEX(Table2[[HomeTeam]:[Group_details]],ROWS($N$2:N743),COLUMNS($N$2:N743))</f>
        <v>France</v>
      </c>
      <c r="Q743" s="1">
        <f>INDEX(Table2[[HomeTeam]:[Group_details]],ROWS($N$2:O743),COLUMNS($N$2:O743))</f>
        <v>1</v>
      </c>
      <c r="R743" s="1">
        <f>INDEX(Table2[[HomeTeam]:[Group_details]],ROWS($N$2:P743),COLUMNS($N$2:P743))</f>
        <v>2</v>
      </c>
      <c r="S743" s="1" t="str">
        <f>INDEX(Table2[[HomeTeam]:[Group_details]],ROWS($N$2:Q743),COLUMNS($N$2:Q743))</f>
        <v>South Africa</v>
      </c>
      <c r="T743" s="1" t="str">
        <f>INDEX(Table2[[HomeTeam]:[Group_details]],ROWS($N$2:R743),COLUMNS($N$2:R743))</f>
        <v xml:space="preserve"> </v>
      </c>
      <c r="U743" s="1" t="str">
        <f>INDEX(Table2[[HomeTeam]:[Group_details]],ROWS($N$2:S743),COLUMNS($N$2:S743))</f>
        <v>Group stages</v>
      </c>
      <c r="V743" s="1" t="b">
        <f t="shared" si="11"/>
        <v>0</v>
      </c>
      <c r="W743" s="1" t="str">
        <f>IF(V743=TRUE,ROWS($V$2:V743),"")</f>
        <v/>
      </c>
      <c r="X743" s="1" t="str">
        <f>IFERROR(SMALL($W$2:$W$853,ROWS($W$2:W743)),"")</f>
        <v/>
      </c>
      <c r="Y743" s="1" t="str">
        <f>IF($X743&lt;&gt;"",INDEX($P$2:$U$853,MATCH($X743,$W$2:$W$853,0),COLUMNS($X$2:X743)),"")</f>
        <v/>
      </c>
      <c r="Z743" s="1" t="str">
        <f>IF($X743&lt;&gt;"",INDEX($P$2:$U$853,MATCH($X743,$W$2:$W$853,0),COLUMNS($X$2:Y743)),"")</f>
        <v/>
      </c>
      <c r="AA743" s="1" t="str">
        <f>IF($X743&lt;&gt;"",INDEX($P$2:$U$853,MATCH($X743,$W$2:$W$853,0),COLUMNS($X$2:Z743)),"")</f>
        <v/>
      </c>
      <c r="AB743" s="1" t="str">
        <f>IF($X743&lt;&gt;"",INDEX($P$2:$U$853,MATCH($X743,$W$2:$W$853,0),COLUMNS($X$2:AA743)),"")</f>
        <v/>
      </c>
      <c r="AC743" s="1" t="str">
        <f>IF($X743&lt;&gt;"",INDEX($P$2:$U$853,MATCH($X743,$W$2:$W$853,0),COLUMNS($X$2:AB743)),"")</f>
        <v/>
      </c>
      <c r="AD743" s="1" t="str">
        <f>IF($X743&lt;&gt;"",INDEX($P$2:$U$853,MATCH($X743,$W$2:$W$853,0),COLUMNS($X$2:AC743)),"")</f>
        <v/>
      </c>
    </row>
    <row r="744" spans="1:30" x14ac:dyDescent="0.2">
      <c r="A744" s="1">
        <v>2010</v>
      </c>
      <c r="B744" s="2">
        <v>40351</v>
      </c>
      <c r="C744" s="1" t="s">
        <v>535</v>
      </c>
      <c r="D744" s="1" t="s">
        <v>213</v>
      </c>
      <c r="E744" s="1" t="s">
        <v>454</v>
      </c>
      <c r="F744" s="1" t="s">
        <v>455</v>
      </c>
      <c r="G744" s="6" t="str">
        <f>VLOOKUP(A744,WorldCups!$A$2:$B$23,2,FALSE)</f>
        <v>South Africa</v>
      </c>
      <c r="H744" s="1" t="s">
        <v>340</v>
      </c>
      <c r="I744" s="1">
        <v>2</v>
      </c>
      <c r="J744" s="1">
        <v>2</v>
      </c>
      <c r="K744" s="1" t="s">
        <v>116</v>
      </c>
      <c r="L744" s="1" t="s">
        <v>14</v>
      </c>
      <c r="M744" s="1" t="str">
        <f>IF(ISNUMBER(SEARCH("Group",Table2[[#This Row],[Round]])),"Group stages",Table2[[#This Row],[Round]])</f>
        <v>Group stages</v>
      </c>
      <c r="O744" s="1">
        <f>Table2[[#This Row],[Year]]</f>
        <v>2010</v>
      </c>
      <c r="P744" s="1" t="str">
        <f>INDEX(Table2[[HomeTeam]:[Group_details]],ROWS($N$2:N744),COLUMNS($N$2:N744))</f>
        <v>Nigeria</v>
      </c>
      <c r="Q744" s="1">
        <f>INDEX(Table2[[HomeTeam]:[Group_details]],ROWS($N$2:O744),COLUMNS($N$2:O744))</f>
        <v>2</v>
      </c>
      <c r="R744" s="1">
        <f>INDEX(Table2[[HomeTeam]:[Group_details]],ROWS($N$2:P744),COLUMNS($N$2:P744))</f>
        <v>2</v>
      </c>
      <c r="S744" s="1" t="str">
        <f>INDEX(Table2[[HomeTeam]:[Group_details]],ROWS($N$2:Q744),COLUMNS($N$2:Q744))</f>
        <v>Korea Republic</v>
      </c>
      <c r="T744" s="1" t="str">
        <f>INDEX(Table2[[HomeTeam]:[Group_details]],ROWS($N$2:R744),COLUMNS($N$2:R744))</f>
        <v xml:space="preserve"> </v>
      </c>
      <c r="U744" s="1" t="str">
        <f>INDEX(Table2[[HomeTeam]:[Group_details]],ROWS($N$2:S744),COLUMNS($N$2:S744))</f>
        <v>Group stages</v>
      </c>
      <c r="V744" s="1" t="b">
        <f t="shared" si="11"/>
        <v>0</v>
      </c>
      <c r="W744" s="1" t="str">
        <f>IF(V744=TRUE,ROWS($V$2:V744),"")</f>
        <v/>
      </c>
      <c r="X744" s="1" t="str">
        <f>IFERROR(SMALL($W$2:$W$853,ROWS($W$2:W744)),"")</f>
        <v/>
      </c>
      <c r="Y744" s="1" t="str">
        <f>IF($X744&lt;&gt;"",INDEX($P$2:$U$853,MATCH($X744,$W$2:$W$853,0),COLUMNS($X$2:X744)),"")</f>
        <v/>
      </c>
      <c r="Z744" s="1" t="str">
        <f>IF($X744&lt;&gt;"",INDEX($P$2:$U$853,MATCH($X744,$W$2:$W$853,0),COLUMNS($X$2:Y744)),"")</f>
        <v/>
      </c>
      <c r="AA744" s="1" t="str">
        <f>IF($X744&lt;&gt;"",INDEX($P$2:$U$853,MATCH($X744,$W$2:$W$853,0),COLUMNS($X$2:Z744)),"")</f>
        <v/>
      </c>
      <c r="AB744" s="1" t="str">
        <f>IF($X744&lt;&gt;"",INDEX($P$2:$U$853,MATCH($X744,$W$2:$W$853,0),COLUMNS($X$2:AA744)),"")</f>
        <v/>
      </c>
      <c r="AC744" s="1" t="str">
        <f>IF($X744&lt;&gt;"",INDEX($P$2:$U$853,MATCH($X744,$W$2:$W$853,0),COLUMNS($X$2:AB744)),"")</f>
        <v/>
      </c>
      <c r="AD744" s="1" t="str">
        <f>IF($X744&lt;&gt;"",INDEX($P$2:$U$853,MATCH($X744,$W$2:$W$853,0),COLUMNS($X$2:AC744)),"")</f>
        <v/>
      </c>
    </row>
    <row r="745" spans="1:30" x14ac:dyDescent="0.2">
      <c r="A745" s="1">
        <v>2010</v>
      </c>
      <c r="B745" s="2">
        <v>40351</v>
      </c>
      <c r="C745" s="1" t="s">
        <v>535</v>
      </c>
      <c r="D745" s="1" t="s">
        <v>213</v>
      </c>
      <c r="E745" s="1" t="s">
        <v>449</v>
      </c>
      <c r="F745" s="1" t="s">
        <v>450</v>
      </c>
      <c r="G745" s="6" t="str">
        <f>VLOOKUP(A745,WorldCups!$A$2:$B$23,2,FALSE)</f>
        <v>South Africa</v>
      </c>
      <c r="H745" s="1" t="s">
        <v>339</v>
      </c>
      <c r="I745" s="1">
        <v>0</v>
      </c>
      <c r="J745" s="1">
        <v>2</v>
      </c>
      <c r="K745" s="1" t="s">
        <v>25</v>
      </c>
      <c r="L745" s="1" t="s">
        <v>14</v>
      </c>
      <c r="M745" s="1" t="str">
        <f>IF(ISNUMBER(SEARCH("Group",Table2[[#This Row],[Round]])),"Group stages",Table2[[#This Row],[Round]])</f>
        <v>Group stages</v>
      </c>
      <c r="O745" s="1">
        <f>Table2[[#This Row],[Year]]</f>
        <v>2010</v>
      </c>
      <c r="P745" s="1" t="str">
        <f>INDEX(Table2[[HomeTeam]:[Group_details]],ROWS($N$2:N745),COLUMNS($N$2:N745))</f>
        <v>Greece</v>
      </c>
      <c r="Q745" s="1">
        <f>INDEX(Table2[[HomeTeam]:[Group_details]],ROWS($N$2:O745),COLUMNS($N$2:O745))</f>
        <v>0</v>
      </c>
      <c r="R745" s="1">
        <f>INDEX(Table2[[HomeTeam]:[Group_details]],ROWS($N$2:P745),COLUMNS($N$2:P745))</f>
        <v>2</v>
      </c>
      <c r="S745" s="1" t="str">
        <f>INDEX(Table2[[HomeTeam]:[Group_details]],ROWS($N$2:Q745),COLUMNS($N$2:Q745))</f>
        <v>Argentina</v>
      </c>
      <c r="T745" s="1" t="str">
        <f>INDEX(Table2[[HomeTeam]:[Group_details]],ROWS($N$2:R745),COLUMNS($N$2:R745))</f>
        <v xml:space="preserve"> </v>
      </c>
      <c r="U745" s="1" t="str">
        <f>INDEX(Table2[[HomeTeam]:[Group_details]],ROWS($N$2:S745),COLUMNS($N$2:S745))</f>
        <v>Group stages</v>
      </c>
      <c r="V745" s="1" t="b">
        <f t="shared" si="11"/>
        <v>0</v>
      </c>
      <c r="W745" s="1" t="str">
        <f>IF(V745=TRUE,ROWS($V$2:V745),"")</f>
        <v/>
      </c>
      <c r="X745" s="1" t="str">
        <f>IFERROR(SMALL($W$2:$W$853,ROWS($W$2:W745)),"")</f>
        <v/>
      </c>
      <c r="Y745" s="1" t="str">
        <f>IF($X745&lt;&gt;"",INDEX($P$2:$U$853,MATCH($X745,$W$2:$W$853,0),COLUMNS($X$2:X745)),"")</f>
        <v/>
      </c>
      <c r="Z745" s="1" t="str">
        <f>IF($X745&lt;&gt;"",INDEX($P$2:$U$853,MATCH($X745,$W$2:$W$853,0),COLUMNS($X$2:Y745)),"")</f>
        <v/>
      </c>
      <c r="AA745" s="1" t="str">
        <f>IF($X745&lt;&gt;"",INDEX($P$2:$U$853,MATCH($X745,$W$2:$W$853,0),COLUMNS($X$2:Z745)),"")</f>
        <v/>
      </c>
      <c r="AB745" s="1" t="str">
        <f>IF($X745&lt;&gt;"",INDEX($P$2:$U$853,MATCH($X745,$W$2:$W$853,0),COLUMNS($X$2:AA745)),"")</f>
        <v/>
      </c>
      <c r="AC745" s="1" t="str">
        <f>IF($X745&lt;&gt;"",INDEX($P$2:$U$853,MATCH($X745,$W$2:$W$853,0),COLUMNS($X$2:AB745)),"")</f>
        <v/>
      </c>
      <c r="AD745" s="1" t="str">
        <f>IF($X745&lt;&gt;"",INDEX($P$2:$U$853,MATCH($X745,$W$2:$W$853,0),COLUMNS($X$2:AC745)),"")</f>
        <v/>
      </c>
    </row>
    <row r="746" spans="1:30" x14ac:dyDescent="0.2">
      <c r="A746" s="1">
        <v>2010</v>
      </c>
      <c r="B746" s="2">
        <v>40352</v>
      </c>
      <c r="C746" s="1" t="s">
        <v>503</v>
      </c>
      <c r="D746" s="1" t="s">
        <v>268</v>
      </c>
      <c r="E746" s="1" t="s">
        <v>444</v>
      </c>
      <c r="F746" s="1" t="s">
        <v>445</v>
      </c>
      <c r="G746" s="6" t="str">
        <f>VLOOKUP(A746,WorldCups!$A$2:$B$23,2,FALSE)</f>
        <v>South Africa</v>
      </c>
      <c r="H746" s="1" t="s">
        <v>381</v>
      </c>
      <c r="I746" s="1">
        <v>0</v>
      </c>
      <c r="J746" s="1">
        <v>1</v>
      </c>
      <c r="K746" s="1" t="s">
        <v>93</v>
      </c>
      <c r="L746" s="1" t="s">
        <v>14</v>
      </c>
      <c r="M746" s="1" t="str">
        <f>IF(ISNUMBER(SEARCH("Group",Table2[[#This Row],[Round]])),"Group stages",Table2[[#This Row],[Round]])</f>
        <v>Group stages</v>
      </c>
      <c r="O746" s="1">
        <f>Table2[[#This Row],[Year]]</f>
        <v>2010</v>
      </c>
      <c r="P746" s="1" t="str">
        <f>INDEX(Table2[[HomeTeam]:[Group_details]],ROWS($N$2:N746),COLUMNS($N$2:N746))</f>
        <v>Slovenia</v>
      </c>
      <c r="Q746" s="1">
        <f>INDEX(Table2[[HomeTeam]:[Group_details]],ROWS($N$2:O746),COLUMNS($N$2:O746))</f>
        <v>0</v>
      </c>
      <c r="R746" s="1">
        <f>INDEX(Table2[[HomeTeam]:[Group_details]],ROWS($N$2:P746),COLUMNS($N$2:P746))</f>
        <v>1</v>
      </c>
      <c r="S746" s="1" t="str">
        <f>INDEX(Table2[[HomeTeam]:[Group_details]],ROWS($N$2:Q746),COLUMNS($N$2:Q746))</f>
        <v>England</v>
      </c>
      <c r="T746" s="1" t="str">
        <f>INDEX(Table2[[HomeTeam]:[Group_details]],ROWS($N$2:R746),COLUMNS($N$2:R746))</f>
        <v xml:space="preserve"> </v>
      </c>
      <c r="U746" s="1" t="str">
        <f>INDEX(Table2[[HomeTeam]:[Group_details]],ROWS($N$2:S746),COLUMNS($N$2:S746))</f>
        <v>Group stages</v>
      </c>
      <c r="V746" s="1" t="b">
        <f t="shared" si="11"/>
        <v>0</v>
      </c>
      <c r="W746" s="1" t="str">
        <f>IF(V746=TRUE,ROWS($V$2:V746),"")</f>
        <v/>
      </c>
      <c r="X746" s="1" t="str">
        <f>IFERROR(SMALL($W$2:$W$853,ROWS($W$2:W746)),"")</f>
        <v/>
      </c>
      <c r="Y746" s="1" t="str">
        <f>IF($X746&lt;&gt;"",INDEX($P$2:$U$853,MATCH($X746,$W$2:$W$853,0),COLUMNS($X$2:X746)),"")</f>
        <v/>
      </c>
      <c r="Z746" s="1" t="str">
        <f>IF($X746&lt;&gt;"",INDEX($P$2:$U$853,MATCH($X746,$W$2:$W$853,0),COLUMNS($X$2:Y746)),"")</f>
        <v/>
      </c>
      <c r="AA746" s="1" t="str">
        <f>IF($X746&lt;&gt;"",INDEX($P$2:$U$853,MATCH($X746,$W$2:$W$853,0),COLUMNS($X$2:Z746)),"")</f>
        <v/>
      </c>
      <c r="AB746" s="1" t="str">
        <f>IF($X746&lt;&gt;"",INDEX($P$2:$U$853,MATCH($X746,$W$2:$W$853,0),COLUMNS($X$2:AA746)),"")</f>
        <v/>
      </c>
      <c r="AC746" s="1" t="str">
        <f>IF($X746&lt;&gt;"",INDEX($P$2:$U$853,MATCH($X746,$W$2:$W$853,0),COLUMNS($X$2:AB746)),"")</f>
        <v/>
      </c>
      <c r="AD746" s="1" t="str">
        <f>IF($X746&lt;&gt;"",INDEX($P$2:$U$853,MATCH($X746,$W$2:$W$853,0),COLUMNS($X$2:AC746)),"")</f>
        <v/>
      </c>
    </row>
    <row r="747" spans="1:30" x14ac:dyDescent="0.2">
      <c r="A747" s="1">
        <v>2010</v>
      </c>
      <c r="B747" s="2">
        <v>40352</v>
      </c>
      <c r="C747" s="1" t="s">
        <v>503</v>
      </c>
      <c r="D747" s="1" t="s">
        <v>268</v>
      </c>
      <c r="E747" s="1" t="s">
        <v>451</v>
      </c>
      <c r="F747" s="1" t="s">
        <v>452</v>
      </c>
      <c r="G747" s="6" t="str">
        <f>VLOOKUP(A747,WorldCups!$A$2:$B$23,2,FALSE)</f>
        <v>South Africa</v>
      </c>
      <c r="H747" s="1" t="s">
        <v>17</v>
      </c>
      <c r="I747" s="1">
        <v>1</v>
      </c>
      <c r="J747" s="1">
        <v>0</v>
      </c>
      <c r="K747" s="1" t="s">
        <v>246</v>
      </c>
      <c r="L747" s="1" t="s">
        <v>14</v>
      </c>
      <c r="M747" s="1" t="str">
        <f>IF(ISNUMBER(SEARCH("Group",Table2[[#This Row],[Round]])),"Group stages",Table2[[#This Row],[Round]])</f>
        <v>Group stages</v>
      </c>
      <c r="O747" s="1">
        <f>Table2[[#This Row],[Year]]</f>
        <v>2010</v>
      </c>
      <c r="P747" s="1" t="str">
        <f>INDEX(Table2[[HomeTeam]:[Group_details]],ROWS($N$2:N747),COLUMNS($N$2:N747))</f>
        <v>USA</v>
      </c>
      <c r="Q747" s="1">
        <f>INDEX(Table2[[HomeTeam]:[Group_details]],ROWS($N$2:O747),COLUMNS($N$2:O747))</f>
        <v>1</v>
      </c>
      <c r="R747" s="1">
        <f>INDEX(Table2[[HomeTeam]:[Group_details]],ROWS($N$2:P747),COLUMNS($N$2:P747))</f>
        <v>0</v>
      </c>
      <c r="S747" s="1" t="str">
        <f>INDEX(Table2[[HomeTeam]:[Group_details]],ROWS($N$2:Q747),COLUMNS($N$2:Q747))</f>
        <v>Algeria</v>
      </c>
      <c r="T747" s="1" t="str">
        <f>INDEX(Table2[[HomeTeam]:[Group_details]],ROWS($N$2:R747),COLUMNS($N$2:R747))</f>
        <v xml:space="preserve"> </v>
      </c>
      <c r="U747" s="1" t="str">
        <f>INDEX(Table2[[HomeTeam]:[Group_details]],ROWS($N$2:S747),COLUMNS($N$2:S747))</f>
        <v>Group stages</v>
      </c>
      <c r="V747" s="1" t="b">
        <f t="shared" si="11"/>
        <v>0</v>
      </c>
      <c r="W747" s="1" t="str">
        <f>IF(V747=TRUE,ROWS($V$2:V747),"")</f>
        <v/>
      </c>
      <c r="X747" s="1" t="str">
        <f>IFERROR(SMALL($W$2:$W$853,ROWS($W$2:W747)),"")</f>
        <v/>
      </c>
      <c r="Y747" s="1" t="str">
        <f>IF($X747&lt;&gt;"",INDEX($P$2:$U$853,MATCH($X747,$W$2:$W$853,0),COLUMNS($X$2:X747)),"")</f>
        <v/>
      </c>
      <c r="Z747" s="1" t="str">
        <f>IF($X747&lt;&gt;"",INDEX($P$2:$U$853,MATCH($X747,$W$2:$W$853,0),COLUMNS($X$2:Y747)),"")</f>
        <v/>
      </c>
      <c r="AA747" s="1" t="str">
        <f>IF($X747&lt;&gt;"",INDEX($P$2:$U$853,MATCH($X747,$W$2:$W$853,0),COLUMNS($X$2:Z747)),"")</f>
        <v/>
      </c>
      <c r="AB747" s="1" t="str">
        <f>IF($X747&lt;&gt;"",INDEX($P$2:$U$853,MATCH($X747,$W$2:$W$853,0),COLUMNS($X$2:AA747)),"")</f>
        <v/>
      </c>
      <c r="AC747" s="1" t="str">
        <f>IF($X747&lt;&gt;"",INDEX($P$2:$U$853,MATCH($X747,$W$2:$W$853,0),COLUMNS($X$2:AB747)),"")</f>
        <v/>
      </c>
      <c r="AD747" s="1" t="str">
        <f>IF($X747&lt;&gt;"",INDEX($P$2:$U$853,MATCH($X747,$W$2:$W$853,0),COLUMNS($X$2:AC747)),"")</f>
        <v/>
      </c>
    </row>
    <row r="748" spans="1:30" x14ac:dyDescent="0.2">
      <c r="A748" s="1">
        <v>2010</v>
      </c>
      <c r="B748" s="2">
        <v>40352</v>
      </c>
      <c r="C748" s="1" t="s">
        <v>535</v>
      </c>
      <c r="D748" s="1" t="s">
        <v>270</v>
      </c>
      <c r="E748" s="1" t="s">
        <v>440</v>
      </c>
      <c r="F748" s="1" t="s">
        <v>441</v>
      </c>
      <c r="G748" s="6" t="str">
        <f>VLOOKUP(A748,WorldCups!$A$2:$B$23,2,FALSE)</f>
        <v>South Africa</v>
      </c>
      <c r="H748" s="1" t="s">
        <v>431</v>
      </c>
      <c r="I748" s="1">
        <v>0</v>
      </c>
      <c r="J748" s="1">
        <v>1</v>
      </c>
      <c r="K748" s="1" t="s">
        <v>51</v>
      </c>
      <c r="L748" s="1" t="s">
        <v>14</v>
      </c>
      <c r="M748" s="1" t="str">
        <f>IF(ISNUMBER(SEARCH("Group",Table2[[#This Row],[Round]])),"Group stages",Table2[[#This Row],[Round]])</f>
        <v>Group stages</v>
      </c>
      <c r="O748" s="1">
        <f>Table2[[#This Row],[Year]]</f>
        <v>2010</v>
      </c>
      <c r="P748" s="1" t="str">
        <f>INDEX(Table2[[HomeTeam]:[Group_details]],ROWS($N$2:N748),COLUMNS($N$2:N748))</f>
        <v>Ghana</v>
      </c>
      <c r="Q748" s="1">
        <f>INDEX(Table2[[HomeTeam]:[Group_details]],ROWS($N$2:O748),COLUMNS($N$2:O748))</f>
        <v>0</v>
      </c>
      <c r="R748" s="1">
        <f>INDEX(Table2[[HomeTeam]:[Group_details]],ROWS($N$2:P748),COLUMNS($N$2:P748))</f>
        <v>1</v>
      </c>
      <c r="S748" s="1" t="str">
        <f>INDEX(Table2[[HomeTeam]:[Group_details]],ROWS($N$2:Q748),COLUMNS($N$2:Q748))</f>
        <v>Germany</v>
      </c>
      <c r="T748" s="1" t="str">
        <f>INDEX(Table2[[HomeTeam]:[Group_details]],ROWS($N$2:R748),COLUMNS($N$2:R748))</f>
        <v xml:space="preserve"> </v>
      </c>
      <c r="U748" s="1" t="str">
        <f>INDEX(Table2[[HomeTeam]:[Group_details]],ROWS($N$2:S748),COLUMNS($N$2:S748))</f>
        <v>Group stages</v>
      </c>
      <c r="V748" s="1" t="b">
        <f t="shared" si="11"/>
        <v>0</v>
      </c>
      <c r="W748" s="1" t="str">
        <f>IF(V748=TRUE,ROWS($V$2:V748),"")</f>
        <v/>
      </c>
      <c r="X748" s="1" t="str">
        <f>IFERROR(SMALL($W$2:$W$853,ROWS($W$2:W748)),"")</f>
        <v/>
      </c>
      <c r="Y748" s="1" t="str">
        <f>IF($X748&lt;&gt;"",INDEX($P$2:$U$853,MATCH($X748,$W$2:$W$853,0),COLUMNS($X$2:X748)),"")</f>
        <v/>
      </c>
      <c r="Z748" s="1" t="str">
        <f>IF($X748&lt;&gt;"",INDEX($P$2:$U$853,MATCH($X748,$W$2:$W$853,0),COLUMNS($X$2:Y748)),"")</f>
        <v/>
      </c>
      <c r="AA748" s="1" t="str">
        <f>IF($X748&lt;&gt;"",INDEX($P$2:$U$853,MATCH($X748,$W$2:$W$853,0),COLUMNS($X$2:Z748)),"")</f>
        <v/>
      </c>
      <c r="AB748" s="1" t="str">
        <f>IF($X748&lt;&gt;"",INDEX($P$2:$U$853,MATCH($X748,$W$2:$W$853,0),COLUMNS($X$2:AA748)),"")</f>
        <v/>
      </c>
      <c r="AC748" s="1" t="str">
        <f>IF($X748&lt;&gt;"",INDEX($P$2:$U$853,MATCH($X748,$W$2:$W$853,0),COLUMNS($X$2:AB748)),"")</f>
        <v/>
      </c>
      <c r="AD748" s="1" t="str">
        <f>IF($X748&lt;&gt;"",INDEX($P$2:$U$853,MATCH($X748,$W$2:$W$853,0),COLUMNS($X$2:AC748)),"")</f>
        <v/>
      </c>
    </row>
    <row r="749" spans="1:30" x14ac:dyDescent="0.2">
      <c r="A749" s="1">
        <v>2010</v>
      </c>
      <c r="B749" s="2">
        <v>40352</v>
      </c>
      <c r="C749" s="1" t="s">
        <v>535</v>
      </c>
      <c r="D749" s="1" t="s">
        <v>270</v>
      </c>
      <c r="E749" s="1" t="s">
        <v>459</v>
      </c>
      <c r="F749" s="1" t="s">
        <v>460</v>
      </c>
      <c r="G749" s="6" t="str">
        <f>VLOOKUP(A749,WorldCups!$A$2:$B$23,2,FALSE)</f>
        <v>South Africa</v>
      </c>
      <c r="H749" s="1" t="s">
        <v>199</v>
      </c>
      <c r="I749" s="1">
        <v>2</v>
      </c>
      <c r="J749" s="1">
        <v>1</v>
      </c>
      <c r="K749" s="1" t="s">
        <v>453</v>
      </c>
      <c r="L749" s="1" t="s">
        <v>14</v>
      </c>
      <c r="M749" s="1" t="str">
        <f>IF(ISNUMBER(SEARCH("Group",Table2[[#This Row],[Round]])),"Group stages",Table2[[#This Row],[Round]])</f>
        <v>Group stages</v>
      </c>
      <c r="O749" s="1">
        <f>Table2[[#This Row],[Year]]</f>
        <v>2010</v>
      </c>
      <c r="P749" s="1" t="str">
        <f>INDEX(Table2[[HomeTeam]:[Group_details]],ROWS($N$2:N749),COLUMNS($N$2:N749))</f>
        <v>Australia</v>
      </c>
      <c r="Q749" s="1">
        <f>INDEX(Table2[[HomeTeam]:[Group_details]],ROWS($N$2:O749),COLUMNS($N$2:O749))</f>
        <v>2</v>
      </c>
      <c r="R749" s="1">
        <f>INDEX(Table2[[HomeTeam]:[Group_details]],ROWS($N$2:P749),COLUMNS($N$2:P749))</f>
        <v>1</v>
      </c>
      <c r="S749" s="1" t="str">
        <f>INDEX(Table2[[HomeTeam]:[Group_details]],ROWS($N$2:Q749),COLUMNS($N$2:Q749))</f>
        <v>Serbia</v>
      </c>
      <c r="T749" s="1" t="str">
        <f>INDEX(Table2[[HomeTeam]:[Group_details]],ROWS($N$2:R749),COLUMNS($N$2:R749))</f>
        <v xml:space="preserve"> </v>
      </c>
      <c r="U749" s="1" t="str">
        <f>INDEX(Table2[[HomeTeam]:[Group_details]],ROWS($N$2:S749),COLUMNS($N$2:S749))</f>
        <v>Group stages</v>
      </c>
      <c r="V749" s="1" t="b">
        <f t="shared" si="11"/>
        <v>0</v>
      </c>
      <c r="W749" s="1" t="str">
        <f>IF(V749=TRUE,ROWS($V$2:V749),"")</f>
        <v/>
      </c>
      <c r="X749" s="1" t="str">
        <f>IFERROR(SMALL($W$2:$W$853,ROWS($W$2:W749)),"")</f>
        <v/>
      </c>
      <c r="Y749" s="1" t="str">
        <f>IF($X749&lt;&gt;"",INDEX($P$2:$U$853,MATCH($X749,$W$2:$W$853,0),COLUMNS($X$2:X749)),"")</f>
        <v/>
      </c>
      <c r="Z749" s="1" t="str">
        <f>IF($X749&lt;&gt;"",INDEX($P$2:$U$853,MATCH($X749,$W$2:$W$853,0),COLUMNS($X$2:Y749)),"")</f>
        <v/>
      </c>
      <c r="AA749" s="1" t="str">
        <f>IF($X749&lt;&gt;"",INDEX($P$2:$U$853,MATCH($X749,$W$2:$W$853,0),COLUMNS($X$2:Z749)),"")</f>
        <v/>
      </c>
      <c r="AB749" s="1" t="str">
        <f>IF($X749&lt;&gt;"",INDEX($P$2:$U$853,MATCH($X749,$W$2:$W$853,0),COLUMNS($X$2:AA749)),"")</f>
        <v/>
      </c>
      <c r="AC749" s="1" t="str">
        <f>IF($X749&lt;&gt;"",INDEX($P$2:$U$853,MATCH($X749,$W$2:$W$853,0),COLUMNS($X$2:AB749)),"")</f>
        <v/>
      </c>
      <c r="AD749" s="1" t="str">
        <f>IF($X749&lt;&gt;"",INDEX($P$2:$U$853,MATCH($X749,$W$2:$W$853,0),COLUMNS($X$2:AC749)),"")</f>
        <v/>
      </c>
    </row>
    <row r="750" spans="1:30" x14ac:dyDescent="0.2">
      <c r="A750" s="1">
        <v>2010</v>
      </c>
      <c r="B750" s="2">
        <v>40353</v>
      </c>
      <c r="C750" s="1" t="s">
        <v>503</v>
      </c>
      <c r="D750" s="1" t="s">
        <v>274</v>
      </c>
      <c r="E750" s="1" t="s">
        <v>446</v>
      </c>
      <c r="F750" s="1" t="s">
        <v>441</v>
      </c>
      <c r="G750" s="6" t="str">
        <f>VLOOKUP(A750,WorldCups!$A$2:$B$23,2,FALSE)</f>
        <v>South Africa</v>
      </c>
      <c r="H750" s="1" t="s">
        <v>458</v>
      </c>
      <c r="I750" s="1">
        <v>3</v>
      </c>
      <c r="J750" s="1">
        <v>2</v>
      </c>
      <c r="K750" s="1" t="s">
        <v>57</v>
      </c>
      <c r="L750" s="1" t="s">
        <v>14</v>
      </c>
      <c r="M750" s="1" t="str">
        <f>IF(ISNUMBER(SEARCH("Group",Table2[[#This Row],[Round]])),"Group stages",Table2[[#This Row],[Round]])</f>
        <v>Group stages</v>
      </c>
      <c r="O750" s="1">
        <f>Table2[[#This Row],[Year]]</f>
        <v>2010</v>
      </c>
      <c r="P750" s="1" t="str">
        <f>INDEX(Table2[[HomeTeam]:[Group_details]],ROWS($N$2:N750),COLUMNS($N$2:N750))</f>
        <v>Slovakia</v>
      </c>
      <c r="Q750" s="1">
        <f>INDEX(Table2[[HomeTeam]:[Group_details]],ROWS($N$2:O750),COLUMNS($N$2:O750))</f>
        <v>3</v>
      </c>
      <c r="R750" s="1">
        <f>INDEX(Table2[[HomeTeam]:[Group_details]],ROWS($N$2:P750),COLUMNS($N$2:P750))</f>
        <v>2</v>
      </c>
      <c r="S750" s="1" t="str">
        <f>INDEX(Table2[[HomeTeam]:[Group_details]],ROWS($N$2:Q750),COLUMNS($N$2:Q750))</f>
        <v>Italy</v>
      </c>
      <c r="T750" s="1" t="str">
        <f>INDEX(Table2[[HomeTeam]:[Group_details]],ROWS($N$2:R750),COLUMNS($N$2:R750))</f>
        <v xml:space="preserve"> </v>
      </c>
      <c r="U750" s="1" t="str">
        <f>INDEX(Table2[[HomeTeam]:[Group_details]],ROWS($N$2:S750),COLUMNS($N$2:S750))</f>
        <v>Group stages</v>
      </c>
      <c r="V750" s="1" t="b">
        <f t="shared" si="11"/>
        <v>0</v>
      </c>
      <c r="W750" s="1" t="str">
        <f>IF(V750=TRUE,ROWS($V$2:V750),"")</f>
        <v/>
      </c>
      <c r="X750" s="1" t="str">
        <f>IFERROR(SMALL($W$2:$W$853,ROWS($W$2:W750)),"")</f>
        <v/>
      </c>
      <c r="Y750" s="1" t="str">
        <f>IF($X750&lt;&gt;"",INDEX($P$2:$U$853,MATCH($X750,$W$2:$W$853,0),COLUMNS($X$2:X750)),"")</f>
        <v/>
      </c>
      <c r="Z750" s="1" t="str">
        <f>IF($X750&lt;&gt;"",INDEX($P$2:$U$853,MATCH($X750,$W$2:$W$853,0),COLUMNS($X$2:Y750)),"")</f>
        <v/>
      </c>
      <c r="AA750" s="1" t="str">
        <f>IF($X750&lt;&gt;"",INDEX($P$2:$U$853,MATCH($X750,$W$2:$W$853,0),COLUMNS($X$2:Z750)),"")</f>
        <v/>
      </c>
      <c r="AB750" s="1" t="str">
        <f>IF($X750&lt;&gt;"",INDEX($P$2:$U$853,MATCH($X750,$W$2:$W$853,0),COLUMNS($X$2:AA750)),"")</f>
        <v/>
      </c>
      <c r="AC750" s="1" t="str">
        <f>IF($X750&lt;&gt;"",INDEX($P$2:$U$853,MATCH($X750,$W$2:$W$853,0),COLUMNS($X$2:AB750)),"")</f>
        <v/>
      </c>
      <c r="AD750" s="1" t="str">
        <f>IF($X750&lt;&gt;"",INDEX($P$2:$U$853,MATCH($X750,$W$2:$W$853,0),COLUMNS($X$2:AC750)),"")</f>
        <v/>
      </c>
    </row>
    <row r="751" spans="1:30" x14ac:dyDescent="0.2">
      <c r="A751" s="1">
        <v>2010</v>
      </c>
      <c r="B751" s="2">
        <v>40353</v>
      </c>
      <c r="C751" s="1" t="s">
        <v>503</v>
      </c>
      <c r="D751" s="1" t="s">
        <v>274</v>
      </c>
      <c r="E751" s="1" t="s">
        <v>449</v>
      </c>
      <c r="F751" s="1" t="s">
        <v>450</v>
      </c>
      <c r="G751" s="6" t="str">
        <f>VLOOKUP(A751,WorldCups!$A$2:$B$23,2,FALSE)</f>
        <v>South Africa</v>
      </c>
      <c r="H751" s="1" t="s">
        <v>28</v>
      </c>
      <c r="I751" s="1">
        <v>0</v>
      </c>
      <c r="J751" s="1">
        <v>0</v>
      </c>
      <c r="K751" s="1" t="s">
        <v>243</v>
      </c>
      <c r="L751" s="1" t="s">
        <v>14</v>
      </c>
      <c r="M751" s="1" t="str">
        <f>IF(ISNUMBER(SEARCH("Group",Table2[[#This Row],[Round]])),"Group stages",Table2[[#This Row],[Round]])</f>
        <v>Group stages</v>
      </c>
      <c r="O751" s="1">
        <f>Table2[[#This Row],[Year]]</f>
        <v>2010</v>
      </c>
      <c r="P751" s="1" t="str">
        <f>INDEX(Table2[[HomeTeam]:[Group_details]],ROWS($N$2:N751),COLUMNS($N$2:N751))</f>
        <v>Paraguay</v>
      </c>
      <c r="Q751" s="1">
        <f>INDEX(Table2[[HomeTeam]:[Group_details]],ROWS($N$2:O751),COLUMNS($N$2:O751))</f>
        <v>0</v>
      </c>
      <c r="R751" s="1">
        <f>INDEX(Table2[[HomeTeam]:[Group_details]],ROWS($N$2:P751),COLUMNS($N$2:P751))</f>
        <v>0</v>
      </c>
      <c r="S751" s="1" t="str">
        <f>INDEX(Table2[[HomeTeam]:[Group_details]],ROWS($N$2:Q751),COLUMNS($N$2:Q751))</f>
        <v>New Zealand</v>
      </c>
      <c r="T751" s="1" t="str">
        <f>INDEX(Table2[[HomeTeam]:[Group_details]],ROWS($N$2:R751),COLUMNS($N$2:R751))</f>
        <v xml:space="preserve"> </v>
      </c>
      <c r="U751" s="1" t="str">
        <f>INDEX(Table2[[HomeTeam]:[Group_details]],ROWS($N$2:S751),COLUMNS($N$2:S751))</f>
        <v>Group stages</v>
      </c>
      <c r="V751" s="1" t="b">
        <f t="shared" si="11"/>
        <v>0</v>
      </c>
      <c r="W751" s="1" t="str">
        <f>IF(V751=TRUE,ROWS($V$2:V751),"")</f>
        <v/>
      </c>
      <c r="X751" s="1" t="str">
        <f>IFERROR(SMALL($W$2:$W$853,ROWS($W$2:W751)),"")</f>
        <v/>
      </c>
      <c r="Y751" s="1" t="str">
        <f>IF($X751&lt;&gt;"",INDEX($P$2:$U$853,MATCH($X751,$W$2:$W$853,0),COLUMNS($X$2:X751)),"")</f>
        <v/>
      </c>
      <c r="Z751" s="1" t="str">
        <f>IF($X751&lt;&gt;"",INDEX($P$2:$U$853,MATCH($X751,$W$2:$W$853,0),COLUMNS($X$2:Y751)),"")</f>
        <v/>
      </c>
      <c r="AA751" s="1" t="str">
        <f>IF($X751&lt;&gt;"",INDEX($P$2:$U$853,MATCH($X751,$W$2:$W$853,0),COLUMNS($X$2:Z751)),"")</f>
        <v/>
      </c>
      <c r="AB751" s="1" t="str">
        <f>IF($X751&lt;&gt;"",INDEX($P$2:$U$853,MATCH($X751,$W$2:$W$853,0),COLUMNS($X$2:AA751)),"")</f>
        <v/>
      </c>
      <c r="AC751" s="1" t="str">
        <f>IF($X751&lt;&gt;"",INDEX($P$2:$U$853,MATCH($X751,$W$2:$W$853,0),COLUMNS($X$2:AB751)),"")</f>
        <v/>
      </c>
      <c r="AD751" s="1" t="str">
        <f>IF($X751&lt;&gt;"",INDEX($P$2:$U$853,MATCH($X751,$W$2:$W$853,0),COLUMNS($X$2:AC751)),"")</f>
        <v/>
      </c>
    </row>
    <row r="752" spans="1:30" x14ac:dyDescent="0.2">
      <c r="A752" s="1">
        <v>2010</v>
      </c>
      <c r="B752" s="2">
        <v>40353</v>
      </c>
      <c r="C752" s="1" t="s">
        <v>535</v>
      </c>
      <c r="D752" s="1" t="s">
        <v>281</v>
      </c>
      <c r="E752" s="1" t="s">
        <v>447</v>
      </c>
      <c r="F752" s="1" t="s">
        <v>448</v>
      </c>
      <c r="G752" s="6" t="str">
        <f>VLOOKUP(A752,WorldCups!$A$2:$B$23,2,FALSE)</f>
        <v>South Africa</v>
      </c>
      <c r="H752" s="1" t="s">
        <v>284</v>
      </c>
      <c r="I752" s="1">
        <v>1</v>
      </c>
      <c r="J752" s="1">
        <v>3</v>
      </c>
      <c r="K752" s="1" t="s">
        <v>356</v>
      </c>
      <c r="L752" s="1" t="s">
        <v>14</v>
      </c>
      <c r="M752" s="1" t="str">
        <f>IF(ISNUMBER(SEARCH("Group",Table2[[#This Row],[Round]])),"Group stages",Table2[[#This Row],[Round]])</f>
        <v>Group stages</v>
      </c>
      <c r="O752" s="1">
        <f>Table2[[#This Row],[Year]]</f>
        <v>2010</v>
      </c>
      <c r="P752" s="1" t="str">
        <f>INDEX(Table2[[HomeTeam]:[Group_details]],ROWS($N$2:N752),COLUMNS($N$2:N752))</f>
        <v>Denmark</v>
      </c>
      <c r="Q752" s="1">
        <f>INDEX(Table2[[HomeTeam]:[Group_details]],ROWS($N$2:O752),COLUMNS($N$2:O752))</f>
        <v>1</v>
      </c>
      <c r="R752" s="1">
        <f>INDEX(Table2[[HomeTeam]:[Group_details]],ROWS($N$2:P752),COLUMNS($N$2:P752))</f>
        <v>3</v>
      </c>
      <c r="S752" s="1" t="str">
        <f>INDEX(Table2[[HomeTeam]:[Group_details]],ROWS($N$2:Q752),COLUMNS($N$2:Q752))</f>
        <v>Japan</v>
      </c>
      <c r="T752" s="1" t="str">
        <f>INDEX(Table2[[HomeTeam]:[Group_details]],ROWS($N$2:R752),COLUMNS($N$2:R752))</f>
        <v xml:space="preserve"> </v>
      </c>
      <c r="U752" s="1" t="str">
        <f>INDEX(Table2[[HomeTeam]:[Group_details]],ROWS($N$2:S752),COLUMNS($N$2:S752))</f>
        <v>Group stages</v>
      </c>
      <c r="V752" s="1" t="b">
        <f t="shared" si="11"/>
        <v>0</v>
      </c>
      <c r="W752" s="1" t="str">
        <f>IF(V752=TRUE,ROWS($V$2:V752),"")</f>
        <v/>
      </c>
      <c r="X752" s="1" t="str">
        <f>IFERROR(SMALL($W$2:$W$853,ROWS($W$2:W752)),"")</f>
        <v/>
      </c>
      <c r="Y752" s="1" t="str">
        <f>IF($X752&lt;&gt;"",INDEX($P$2:$U$853,MATCH($X752,$W$2:$W$853,0),COLUMNS($X$2:X752)),"")</f>
        <v/>
      </c>
      <c r="Z752" s="1" t="str">
        <f>IF($X752&lt;&gt;"",INDEX($P$2:$U$853,MATCH($X752,$W$2:$W$853,0),COLUMNS($X$2:Y752)),"")</f>
        <v/>
      </c>
      <c r="AA752" s="1" t="str">
        <f>IF($X752&lt;&gt;"",INDEX($P$2:$U$853,MATCH($X752,$W$2:$W$853,0),COLUMNS($X$2:Z752)),"")</f>
        <v/>
      </c>
      <c r="AB752" s="1" t="str">
        <f>IF($X752&lt;&gt;"",INDEX($P$2:$U$853,MATCH($X752,$W$2:$W$853,0),COLUMNS($X$2:AA752)),"")</f>
        <v/>
      </c>
      <c r="AC752" s="1" t="str">
        <f>IF($X752&lt;&gt;"",INDEX($P$2:$U$853,MATCH($X752,$W$2:$W$853,0),COLUMNS($X$2:AB752)),"")</f>
        <v/>
      </c>
      <c r="AD752" s="1" t="str">
        <f>IF($X752&lt;&gt;"",INDEX($P$2:$U$853,MATCH($X752,$W$2:$W$853,0),COLUMNS($X$2:AC752)),"")</f>
        <v/>
      </c>
    </row>
    <row r="753" spans="1:30" x14ac:dyDescent="0.2">
      <c r="A753" s="1">
        <v>2010</v>
      </c>
      <c r="B753" s="2">
        <v>40353</v>
      </c>
      <c r="C753" s="1" t="s">
        <v>535</v>
      </c>
      <c r="D753" s="1" t="s">
        <v>281</v>
      </c>
      <c r="E753" s="1" t="s">
        <v>442</v>
      </c>
      <c r="F753" s="1" t="s">
        <v>443</v>
      </c>
      <c r="G753" s="6" t="str">
        <f>VLOOKUP(A753,WorldCups!$A$2:$B$23,2,FALSE)</f>
        <v>South Africa</v>
      </c>
      <c r="H753" s="1" t="s">
        <v>238</v>
      </c>
      <c r="I753" s="1">
        <v>1</v>
      </c>
      <c r="J753" s="1">
        <v>2</v>
      </c>
      <c r="K753" s="1" t="s">
        <v>45</v>
      </c>
      <c r="L753" s="1" t="s">
        <v>14</v>
      </c>
      <c r="M753" s="1" t="str">
        <f>IF(ISNUMBER(SEARCH("Group",Table2[[#This Row],[Round]])),"Group stages",Table2[[#This Row],[Round]])</f>
        <v>Group stages</v>
      </c>
      <c r="O753" s="1">
        <f>Table2[[#This Row],[Year]]</f>
        <v>2010</v>
      </c>
      <c r="P753" s="1" t="str">
        <f>INDEX(Table2[[HomeTeam]:[Group_details]],ROWS($N$2:N753),COLUMNS($N$2:N753))</f>
        <v>Cameroon</v>
      </c>
      <c r="Q753" s="1">
        <f>INDEX(Table2[[HomeTeam]:[Group_details]],ROWS($N$2:O753),COLUMNS($N$2:O753))</f>
        <v>1</v>
      </c>
      <c r="R753" s="1">
        <f>INDEX(Table2[[HomeTeam]:[Group_details]],ROWS($N$2:P753),COLUMNS($N$2:P753))</f>
        <v>2</v>
      </c>
      <c r="S753" s="1" t="str">
        <f>INDEX(Table2[[HomeTeam]:[Group_details]],ROWS($N$2:Q753),COLUMNS($N$2:Q753))</f>
        <v>Netherlands</v>
      </c>
      <c r="T753" s="1" t="str">
        <f>INDEX(Table2[[HomeTeam]:[Group_details]],ROWS($N$2:R753),COLUMNS($N$2:R753))</f>
        <v xml:space="preserve"> </v>
      </c>
      <c r="U753" s="1" t="str">
        <f>INDEX(Table2[[HomeTeam]:[Group_details]],ROWS($N$2:S753),COLUMNS($N$2:S753))</f>
        <v>Group stages</v>
      </c>
      <c r="V753" s="1" t="b">
        <f t="shared" si="11"/>
        <v>0</v>
      </c>
      <c r="W753" s="1" t="str">
        <f>IF(V753=TRUE,ROWS($V$2:V753),"")</f>
        <v/>
      </c>
      <c r="X753" s="1" t="str">
        <f>IFERROR(SMALL($W$2:$W$853,ROWS($W$2:W753)),"")</f>
        <v/>
      </c>
      <c r="Y753" s="1" t="str">
        <f>IF($X753&lt;&gt;"",INDEX($P$2:$U$853,MATCH($X753,$W$2:$W$853,0),COLUMNS($X$2:X753)),"")</f>
        <v/>
      </c>
      <c r="Z753" s="1" t="str">
        <f>IF($X753&lt;&gt;"",INDEX($P$2:$U$853,MATCH($X753,$W$2:$W$853,0),COLUMNS($X$2:Y753)),"")</f>
        <v/>
      </c>
      <c r="AA753" s="1" t="str">
        <f>IF($X753&lt;&gt;"",INDEX($P$2:$U$853,MATCH($X753,$W$2:$W$853,0),COLUMNS($X$2:Z753)),"")</f>
        <v/>
      </c>
      <c r="AB753" s="1" t="str">
        <f>IF($X753&lt;&gt;"",INDEX($P$2:$U$853,MATCH($X753,$W$2:$W$853,0),COLUMNS($X$2:AA753)),"")</f>
        <v/>
      </c>
      <c r="AC753" s="1" t="str">
        <f>IF($X753&lt;&gt;"",INDEX($P$2:$U$853,MATCH($X753,$W$2:$W$853,0),COLUMNS($X$2:AB753)),"")</f>
        <v/>
      </c>
      <c r="AD753" s="1" t="str">
        <f>IF($X753&lt;&gt;"",INDEX($P$2:$U$853,MATCH($X753,$W$2:$W$853,0),COLUMNS($X$2:AC753)),"")</f>
        <v/>
      </c>
    </row>
    <row r="754" spans="1:30" x14ac:dyDescent="0.2">
      <c r="A754" s="1">
        <v>2010</v>
      </c>
      <c r="B754" s="2">
        <v>40354</v>
      </c>
      <c r="C754" s="1" t="s">
        <v>503</v>
      </c>
      <c r="D754" s="1" t="s">
        <v>361</v>
      </c>
      <c r="E754" s="1" t="s">
        <v>454</v>
      </c>
      <c r="F754" s="1" t="s">
        <v>455</v>
      </c>
      <c r="G754" s="6" t="str">
        <f>VLOOKUP(A754,WorldCups!$A$2:$B$23,2,FALSE)</f>
        <v>South Africa</v>
      </c>
      <c r="H754" s="1" t="s">
        <v>170</v>
      </c>
      <c r="I754" s="1">
        <v>0</v>
      </c>
      <c r="J754" s="1">
        <v>0</v>
      </c>
      <c r="K754" s="1" t="s">
        <v>21</v>
      </c>
      <c r="L754" s="1" t="s">
        <v>14</v>
      </c>
      <c r="M754" s="1" t="str">
        <f>IF(ISNUMBER(SEARCH("Group",Table2[[#This Row],[Round]])),"Group stages",Table2[[#This Row],[Round]])</f>
        <v>Group stages</v>
      </c>
      <c r="O754" s="1">
        <f>Table2[[#This Row],[Year]]</f>
        <v>2010</v>
      </c>
      <c r="P754" s="1" t="str">
        <f>INDEX(Table2[[HomeTeam]:[Group_details]],ROWS($N$2:N754),COLUMNS($N$2:N754))</f>
        <v>Portugal</v>
      </c>
      <c r="Q754" s="1">
        <f>INDEX(Table2[[HomeTeam]:[Group_details]],ROWS($N$2:O754),COLUMNS($N$2:O754))</f>
        <v>0</v>
      </c>
      <c r="R754" s="1">
        <f>INDEX(Table2[[HomeTeam]:[Group_details]],ROWS($N$2:P754),COLUMNS($N$2:P754))</f>
        <v>0</v>
      </c>
      <c r="S754" s="1" t="str">
        <f>INDEX(Table2[[HomeTeam]:[Group_details]],ROWS($N$2:Q754),COLUMNS($N$2:Q754))</f>
        <v>Brazil</v>
      </c>
      <c r="T754" s="1" t="str">
        <f>INDEX(Table2[[HomeTeam]:[Group_details]],ROWS($N$2:R754),COLUMNS($N$2:R754))</f>
        <v xml:space="preserve"> </v>
      </c>
      <c r="U754" s="1" t="str">
        <f>INDEX(Table2[[HomeTeam]:[Group_details]],ROWS($N$2:S754),COLUMNS($N$2:S754))</f>
        <v>Group stages</v>
      </c>
      <c r="V754" s="1" t="b">
        <f t="shared" si="11"/>
        <v>0</v>
      </c>
      <c r="W754" s="1" t="str">
        <f>IF(V754=TRUE,ROWS($V$2:V754),"")</f>
        <v/>
      </c>
      <c r="X754" s="1" t="str">
        <f>IFERROR(SMALL($W$2:$W$853,ROWS($W$2:W754)),"")</f>
        <v/>
      </c>
      <c r="Y754" s="1" t="str">
        <f>IF($X754&lt;&gt;"",INDEX($P$2:$U$853,MATCH($X754,$W$2:$W$853,0),COLUMNS($X$2:X754)),"")</f>
        <v/>
      </c>
      <c r="Z754" s="1" t="str">
        <f>IF($X754&lt;&gt;"",INDEX($P$2:$U$853,MATCH($X754,$W$2:$W$853,0),COLUMNS($X$2:Y754)),"")</f>
        <v/>
      </c>
      <c r="AA754" s="1" t="str">
        <f>IF($X754&lt;&gt;"",INDEX($P$2:$U$853,MATCH($X754,$W$2:$W$853,0),COLUMNS($X$2:Z754)),"")</f>
        <v/>
      </c>
      <c r="AB754" s="1" t="str">
        <f>IF($X754&lt;&gt;"",INDEX($P$2:$U$853,MATCH($X754,$W$2:$W$853,0),COLUMNS($X$2:AA754)),"")</f>
        <v/>
      </c>
      <c r="AC754" s="1" t="str">
        <f>IF($X754&lt;&gt;"",INDEX($P$2:$U$853,MATCH($X754,$W$2:$W$853,0),COLUMNS($X$2:AB754)),"")</f>
        <v/>
      </c>
      <c r="AD754" s="1" t="str">
        <f>IF($X754&lt;&gt;"",INDEX($P$2:$U$853,MATCH($X754,$W$2:$W$853,0),COLUMNS($X$2:AC754)),"")</f>
        <v/>
      </c>
    </row>
    <row r="755" spans="1:30" x14ac:dyDescent="0.2">
      <c r="A755" s="1">
        <v>2010</v>
      </c>
      <c r="B755" s="2">
        <v>40354</v>
      </c>
      <c r="C755" s="1" t="s">
        <v>503</v>
      </c>
      <c r="D755" s="1" t="s">
        <v>361</v>
      </c>
      <c r="E755" s="1" t="s">
        <v>459</v>
      </c>
      <c r="F755" s="1" t="s">
        <v>460</v>
      </c>
      <c r="G755" s="6" t="str">
        <f>VLOOKUP(A755,WorldCups!$A$2:$B$23,2,FALSE)</f>
        <v>South Africa</v>
      </c>
      <c r="H755" s="1" t="s">
        <v>167</v>
      </c>
      <c r="I755" s="1">
        <v>0</v>
      </c>
      <c r="J755" s="1">
        <v>3</v>
      </c>
      <c r="K755" s="1" t="s">
        <v>418</v>
      </c>
      <c r="L755" s="1" t="s">
        <v>14</v>
      </c>
      <c r="M755" s="1" t="str">
        <f>IF(ISNUMBER(SEARCH("Group",Table2[[#This Row],[Round]])),"Group stages",Table2[[#This Row],[Round]])</f>
        <v>Group stages</v>
      </c>
      <c r="O755" s="1">
        <f>Table2[[#This Row],[Year]]</f>
        <v>2010</v>
      </c>
      <c r="P755" s="1" t="str">
        <f>INDEX(Table2[[HomeTeam]:[Group_details]],ROWS($N$2:N755),COLUMNS($N$2:N755))</f>
        <v>Korea DPR</v>
      </c>
      <c r="Q755" s="1">
        <f>INDEX(Table2[[HomeTeam]:[Group_details]],ROWS($N$2:O755),COLUMNS($N$2:O755))</f>
        <v>0</v>
      </c>
      <c r="R755" s="1">
        <f>INDEX(Table2[[HomeTeam]:[Group_details]],ROWS($N$2:P755),COLUMNS($N$2:P755))</f>
        <v>3</v>
      </c>
      <c r="S755" s="1" t="str">
        <f>INDEX(Table2[[HomeTeam]:[Group_details]],ROWS($N$2:Q755),COLUMNS($N$2:Q755))</f>
        <v>Cï¿½te d'Ivoire</v>
      </c>
      <c r="T755" s="1" t="str">
        <f>INDEX(Table2[[HomeTeam]:[Group_details]],ROWS($N$2:R755),COLUMNS($N$2:R755))</f>
        <v xml:space="preserve"> </v>
      </c>
      <c r="U755" s="1" t="str">
        <f>INDEX(Table2[[HomeTeam]:[Group_details]],ROWS($N$2:S755),COLUMNS($N$2:S755))</f>
        <v>Group stages</v>
      </c>
      <c r="V755" s="1" t="b">
        <f t="shared" si="11"/>
        <v>0</v>
      </c>
      <c r="W755" s="1" t="str">
        <f>IF(V755=TRUE,ROWS($V$2:V755),"")</f>
        <v/>
      </c>
      <c r="X755" s="1" t="str">
        <f>IFERROR(SMALL($W$2:$W$853,ROWS($W$2:W755)),"")</f>
        <v/>
      </c>
      <c r="Y755" s="1" t="str">
        <f>IF($X755&lt;&gt;"",INDEX($P$2:$U$853,MATCH($X755,$W$2:$W$853,0),COLUMNS($X$2:X755)),"")</f>
        <v/>
      </c>
      <c r="Z755" s="1" t="str">
        <f>IF($X755&lt;&gt;"",INDEX($P$2:$U$853,MATCH($X755,$W$2:$W$853,0),COLUMNS($X$2:Y755)),"")</f>
        <v/>
      </c>
      <c r="AA755" s="1" t="str">
        <f>IF($X755&lt;&gt;"",INDEX($P$2:$U$853,MATCH($X755,$W$2:$W$853,0),COLUMNS($X$2:Z755)),"")</f>
        <v/>
      </c>
      <c r="AB755" s="1" t="str">
        <f>IF($X755&lt;&gt;"",INDEX($P$2:$U$853,MATCH($X755,$W$2:$W$853,0),COLUMNS($X$2:AA755)),"")</f>
        <v/>
      </c>
      <c r="AC755" s="1" t="str">
        <f>IF($X755&lt;&gt;"",INDEX($P$2:$U$853,MATCH($X755,$W$2:$W$853,0),COLUMNS($X$2:AB755)),"")</f>
        <v/>
      </c>
      <c r="AD755" s="1" t="str">
        <f>IF($X755&lt;&gt;"",INDEX($P$2:$U$853,MATCH($X755,$W$2:$W$853,0),COLUMNS($X$2:AC755)),"")</f>
        <v/>
      </c>
    </row>
    <row r="756" spans="1:30" x14ac:dyDescent="0.2">
      <c r="A756" s="1">
        <v>2010</v>
      </c>
      <c r="B756" s="2">
        <v>40354</v>
      </c>
      <c r="C756" s="1" t="s">
        <v>535</v>
      </c>
      <c r="D756" s="1" t="s">
        <v>355</v>
      </c>
      <c r="E756" s="1" t="s">
        <v>451</v>
      </c>
      <c r="F756" s="1" t="s">
        <v>452</v>
      </c>
      <c r="G756" s="6" t="str">
        <f>VLOOKUP(A756,WorldCups!$A$2:$B$23,2,FALSE)</f>
        <v>South Africa</v>
      </c>
      <c r="H756" s="1" t="s">
        <v>26</v>
      </c>
      <c r="I756" s="1">
        <v>1</v>
      </c>
      <c r="J756" s="1">
        <v>2</v>
      </c>
      <c r="K756" s="1" t="s">
        <v>54</v>
      </c>
      <c r="L756" s="1" t="s">
        <v>14</v>
      </c>
      <c r="M756" s="1" t="str">
        <f>IF(ISNUMBER(SEARCH("Group",Table2[[#This Row],[Round]])),"Group stages",Table2[[#This Row],[Round]])</f>
        <v>Group stages</v>
      </c>
      <c r="O756" s="1">
        <f>Table2[[#This Row],[Year]]</f>
        <v>2010</v>
      </c>
      <c r="P756" s="1" t="str">
        <f>INDEX(Table2[[HomeTeam]:[Group_details]],ROWS($N$2:N756),COLUMNS($N$2:N756))</f>
        <v>Chile</v>
      </c>
      <c r="Q756" s="1">
        <f>INDEX(Table2[[HomeTeam]:[Group_details]],ROWS($N$2:O756),COLUMNS($N$2:O756))</f>
        <v>1</v>
      </c>
      <c r="R756" s="1">
        <f>INDEX(Table2[[HomeTeam]:[Group_details]],ROWS($N$2:P756),COLUMNS($N$2:P756))</f>
        <v>2</v>
      </c>
      <c r="S756" s="1" t="str">
        <f>INDEX(Table2[[HomeTeam]:[Group_details]],ROWS($N$2:Q756),COLUMNS($N$2:Q756))</f>
        <v>Spain</v>
      </c>
      <c r="T756" s="1" t="str">
        <f>INDEX(Table2[[HomeTeam]:[Group_details]],ROWS($N$2:R756),COLUMNS($N$2:R756))</f>
        <v xml:space="preserve"> </v>
      </c>
      <c r="U756" s="1" t="str">
        <f>INDEX(Table2[[HomeTeam]:[Group_details]],ROWS($N$2:S756),COLUMNS($N$2:S756))</f>
        <v>Group stages</v>
      </c>
      <c r="V756" s="1" t="b">
        <f t="shared" si="11"/>
        <v>0</v>
      </c>
      <c r="W756" s="1" t="str">
        <f>IF(V756=TRUE,ROWS($V$2:V756),"")</f>
        <v/>
      </c>
      <c r="X756" s="1" t="str">
        <f>IFERROR(SMALL($W$2:$W$853,ROWS($W$2:W756)),"")</f>
        <v/>
      </c>
      <c r="Y756" s="1" t="str">
        <f>IF($X756&lt;&gt;"",INDEX($P$2:$U$853,MATCH($X756,$W$2:$W$853,0),COLUMNS($X$2:X756)),"")</f>
        <v/>
      </c>
      <c r="Z756" s="1" t="str">
        <f>IF($X756&lt;&gt;"",INDEX($P$2:$U$853,MATCH($X756,$W$2:$W$853,0),COLUMNS($X$2:Y756)),"")</f>
        <v/>
      </c>
      <c r="AA756" s="1" t="str">
        <f>IF($X756&lt;&gt;"",INDEX($P$2:$U$853,MATCH($X756,$W$2:$W$853,0),COLUMNS($X$2:Z756)),"")</f>
        <v/>
      </c>
      <c r="AB756" s="1" t="str">
        <f>IF($X756&lt;&gt;"",INDEX($P$2:$U$853,MATCH($X756,$W$2:$W$853,0),COLUMNS($X$2:AA756)),"")</f>
        <v/>
      </c>
      <c r="AC756" s="1" t="str">
        <f>IF($X756&lt;&gt;"",INDEX($P$2:$U$853,MATCH($X756,$W$2:$W$853,0),COLUMNS($X$2:AB756)),"")</f>
        <v/>
      </c>
      <c r="AD756" s="1" t="str">
        <f>IF($X756&lt;&gt;"",INDEX($P$2:$U$853,MATCH($X756,$W$2:$W$853,0),COLUMNS($X$2:AC756)),"")</f>
        <v/>
      </c>
    </row>
    <row r="757" spans="1:30" x14ac:dyDescent="0.2">
      <c r="A757" s="1">
        <v>2010</v>
      </c>
      <c r="B757" s="2">
        <v>40354</v>
      </c>
      <c r="C757" s="1" t="s">
        <v>535</v>
      </c>
      <c r="D757" s="1" t="s">
        <v>355</v>
      </c>
      <c r="E757" s="1" t="s">
        <v>456</v>
      </c>
      <c r="F757" s="1" t="s">
        <v>457</v>
      </c>
      <c r="G757" s="6" t="str">
        <f>VLOOKUP(A757,WorldCups!$A$2:$B$23,2,FALSE)</f>
        <v>South Africa</v>
      </c>
      <c r="H757" s="1" t="s">
        <v>44</v>
      </c>
      <c r="I757" s="1">
        <v>0</v>
      </c>
      <c r="J757" s="1">
        <v>0</v>
      </c>
      <c r="K757" s="1" t="s">
        <v>252</v>
      </c>
      <c r="L757" s="1" t="s">
        <v>14</v>
      </c>
      <c r="M757" s="1" t="str">
        <f>IF(ISNUMBER(SEARCH("Group",Table2[[#This Row],[Round]])),"Group stages",Table2[[#This Row],[Round]])</f>
        <v>Group stages</v>
      </c>
      <c r="O757" s="1">
        <f>Table2[[#This Row],[Year]]</f>
        <v>2010</v>
      </c>
      <c r="P757" s="1" t="str">
        <f>INDEX(Table2[[HomeTeam]:[Group_details]],ROWS($N$2:N757),COLUMNS($N$2:N757))</f>
        <v>Switzerland</v>
      </c>
      <c r="Q757" s="1">
        <f>INDEX(Table2[[HomeTeam]:[Group_details]],ROWS($N$2:O757),COLUMNS($N$2:O757))</f>
        <v>0</v>
      </c>
      <c r="R757" s="1">
        <f>INDEX(Table2[[HomeTeam]:[Group_details]],ROWS($N$2:P757),COLUMNS($N$2:P757))</f>
        <v>0</v>
      </c>
      <c r="S757" s="1" t="str">
        <f>INDEX(Table2[[HomeTeam]:[Group_details]],ROWS($N$2:Q757),COLUMNS($N$2:Q757))</f>
        <v>Honduras</v>
      </c>
      <c r="T757" s="1" t="str">
        <f>INDEX(Table2[[HomeTeam]:[Group_details]],ROWS($N$2:R757),COLUMNS($N$2:R757))</f>
        <v xml:space="preserve"> </v>
      </c>
      <c r="U757" s="1" t="str">
        <f>INDEX(Table2[[HomeTeam]:[Group_details]],ROWS($N$2:S757),COLUMNS($N$2:S757))</f>
        <v>Group stages</v>
      </c>
      <c r="V757" s="1" t="b">
        <f t="shared" si="11"/>
        <v>0</v>
      </c>
      <c r="W757" s="1" t="str">
        <f>IF(V757=TRUE,ROWS($V$2:V757),"")</f>
        <v/>
      </c>
      <c r="X757" s="1" t="str">
        <f>IFERROR(SMALL($W$2:$W$853,ROWS($W$2:W757)),"")</f>
        <v/>
      </c>
      <c r="Y757" s="1" t="str">
        <f>IF($X757&lt;&gt;"",INDEX($P$2:$U$853,MATCH($X757,$W$2:$W$853,0),COLUMNS($X$2:X757)),"")</f>
        <v/>
      </c>
      <c r="Z757" s="1" t="str">
        <f>IF($X757&lt;&gt;"",INDEX($P$2:$U$853,MATCH($X757,$W$2:$W$853,0),COLUMNS($X$2:Y757)),"")</f>
        <v/>
      </c>
      <c r="AA757" s="1" t="str">
        <f>IF($X757&lt;&gt;"",INDEX($P$2:$U$853,MATCH($X757,$W$2:$W$853,0),COLUMNS($X$2:Z757)),"")</f>
        <v/>
      </c>
      <c r="AB757" s="1" t="str">
        <f>IF($X757&lt;&gt;"",INDEX($P$2:$U$853,MATCH($X757,$W$2:$W$853,0),COLUMNS($X$2:AA757)),"")</f>
        <v/>
      </c>
      <c r="AC757" s="1" t="str">
        <f>IF($X757&lt;&gt;"",INDEX($P$2:$U$853,MATCH($X757,$W$2:$W$853,0),COLUMNS($X$2:AB757)),"")</f>
        <v/>
      </c>
      <c r="AD757" s="1" t="str">
        <f>IF($X757&lt;&gt;"",INDEX($P$2:$U$853,MATCH($X757,$W$2:$W$853,0),COLUMNS($X$2:AC757)),"")</f>
        <v/>
      </c>
    </row>
    <row r="758" spans="1:30" x14ac:dyDescent="0.2">
      <c r="A758" s="1">
        <v>2010</v>
      </c>
      <c r="B758" s="2">
        <v>40355</v>
      </c>
      <c r="C758" s="1" t="s">
        <v>503</v>
      </c>
      <c r="D758" s="1" t="s">
        <v>287</v>
      </c>
      <c r="E758" s="1" t="s">
        <v>444</v>
      </c>
      <c r="F758" s="1" t="s">
        <v>445</v>
      </c>
      <c r="G758" s="6" t="str">
        <f>VLOOKUP(A758,WorldCups!$A$2:$B$23,2,FALSE)</f>
        <v>South Africa</v>
      </c>
      <c r="H758" s="1" t="s">
        <v>30</v>
      </c>
      <c r="I758" s="1">
        <v>2</v>
      </c>
      <c r="J758" s="1">
        <v>1</v>
      </c>
      <c r="K758" s="1" t="s">
        <v>116</v>
      </c>
      <c r="L758" s="1" t="s">
        <v>14</v>
      </c>
      <c r="M758" s="1" t="str">
        <f>IF(ISNUMBER(SEARCH("Group",Table2[[#This Row],[Round]])),"Group stages",Table2[[#This Row],[Round]])</f>
        <v>Round of 16</v>
      </c>
      <c r="O758" s="1">
        <f>Table2[[#This Row],[Year]]</f>
        <v>2010</v>
      </c>
      <c r="P758" s="1" t="str">
        <f>INDEX(Table2[[HomeTeam]:[Group_details]],ROWS($N$2:N758),COLUMNS($N$2:N758))</f>
        <v>Uruguay</v>
      </c>
      <c r="Q758" s="1">
        <f>INDEX(Table2[[HomeTeam]:[Group_details]],ROWS($N$2:O758),COLUMNS($N$2:O758))</f>
        <v>2</v>
      </c>
      <c r="R758" s="1">
        <f>INDEX(Table2[[HomeTeam]:[Group_details]],ROWS($N$2:P758),COLUMNS($N$2:P758))</f>
        <v>1</v>
      </c>
      <c r="S758" s="1" t="str">
        <f>INDEX(Table2[[HomeTeam]:[Group_details]],ROWS($N$2:Q758),COLUMNS($N$2:Q758))</f>
        <v>Korea Republic</v>
      </c>
      <c r="T758" s="1" t="str">
        <f>INDEX(Table2[[HomeTeam]:[Group_details]],ROWS($N$2:R758),COLUMNS($N$2:R758))</f>
        <v xml:space="preserve"> </v>
      </c>
      <c r="U758" s="1" t="str">
        <f>INDEX(Table2[[HomeTeam]:[Group_details]],ROWS($N$2:S758),COLUMNS($N$2:S758))</f>
        <v>Round of 16</v>
      </c>
      <c r="V758" s="1" t="b">
        <f t="shared" si="11"/>
        <v>0</v>
      </c>
      <c r="W758" s="1" t="str">
        <f>IF(V758=TRUE,ROWS($V$2:V758),"")</f>
        <v/>
      </c>
      <c r="X758" s="1" t="str">
        <f>IFERROR(SMALL($W$2:$W$853,ROWS($W$2:W758)),"")</f>
        <v/>
      </c>
      <c r="Y758" s="1" t="str">
        <f>IF($X758&lt;&gt;"",INDEX($P$2:$U$853,MATCH($X758,$W$2:$W$853,0),COLUMNS($X$2:X758)),"")</f>
        <v/>
      </c>
      <c r="Z758" s="1" t="str">
        <f>IF($X758&lt;&gt;"",INDEX($P$2:$U$853,MATCH($X758,$W$2:$W$853,0),COLUMNS($X$2:Y758)),"")</f>
        <v/>
      </c>
      <c r="AA758" s="1" t="str">
        <f>IF($X758&lt;&gt;"",INDEX($P$2:$U$853,MATCH($X758,$W$2:$W$853,0),COLUMNS($X$2:Z758)),"")</f>
        <v/>
      </c>
      <c r="AB758" s="1" t="str">
        <f>IF($X758&lt;&gt;"",INDEX($P$2:$U$853,MATCH($X758,$W$2:$W$853,0),COLUMNS($X$2:AA758)),"")</f>
        <v/>
      </c>
      <c r="AC758" s="1" t="str">
        <f>IF($X758&lt;&gt;"",INDEX($P$2:$U$853,MATCH($X758,$W$2:$W$853,0),COLUMNS($X$2:AB758)),"")</f>
        <v/>
      </c>
      <c r="AD758" s="1" t="str">
        <f>IF($X758&lt;&gt;"",INDEX($P$2:$U$853,MATCH($X758,$W$2:$W$853,0),COLUMNS($X$2:AC758)),"")</f>
        <v/>
      </c>
    </row>
    <row r="759" spans="1:30" x14ac:dyDescent="0.2">
      <c r="A759" s="1">
        <v>2010</v>
      </c>
      <c r="B759" s="2">
        <v>40355</v>
      </c>
      <c r="C759" s="1" t="s">
        <v>535</v>
      </c>
      <c r="D759" s="1" t="s">
        <v>287</v>
      </c>
      <c r="E759" s="1" t="s">
        <v>447</v>
      </c>
      <c r="F759" s="1" t="s">
        <v>448</v>
      </c>
      <c r="G759" s="6" t="str">
        <f>VLOOKUP(A759,WorldCups!$A$2:$B$23,2,FALSE)</f>
        <v>South Africa</v>
      </c>
      <c r="H759" s="1" t="s">
        <v>17</v>
      </c>
      <c r="I759" s="1">
        <v>1</v>
      </c>
      <c r="J759" s="1">
        <v>2</v>
      </c>
      <c r="K759" s="1" t="s">
        <v>431</v>
      </c>
      <c r="L759" s="1" t="s">
        <v>461</v>
      </c>
      <c r="M759" s="1" t="str">
        <f>IF(ISNUMBER(SEARCH("Group",Table2[[#This Row],[Round]])),"Group stages",Table2[[#This Row],[Round]])</f>
        <v>Round of 16</v>
      </c>
      <c r="O759" s="1">
        <f>Table2[[#This Row],[Year]]</f>
        <v>2010</v>
      </c>
      <c r="P759" s="1" t="str">
        <f>INDEX(Table2[[HomeTeam]:[Group_details]],ROWS($N$2:N759),COLUMNS($N$2:N759))</f>
        <v>USA</v>
      </c>
      <c r="Q759" s="1">
        <f>INDEX(Table2[[HomeTeam]:[Group_details]],ROWS($N$2:O759),COLUMNS($N$2:O759))</f>
        <v>1</v>
      </c>
      <c r="R759" s="1">
        <f>INDEX(Table2[[HomeTeam]:[Group_details]],ROWS($N$2:P759),COLUMNS($N$2:P759))</f>
        <v>2</v>
      </c>
      <c r="S759" s="1" t="str">
        <f>INDEX(Table2[[HomeTeam]:[Group_details]],ROWS($N$2:Q759),COLUMNS($N$2:Q759))</f>
        <v>Ghana</v>
      </c>
      <c r="T759" s="1" t="str">
        <f>INDEX(Table2[[HomeTeam]:[Group_details]],ROWS($N$2:R759),COLUMNS($N$2:R759))</f>
        <v xml:space="preserve">Ghana win after extra time </v>
      </c>
      <c r="U759" s="1" t="str">
        <f>INDEX(Table2[[HomeTeam]:[Group_details]],ROWS($N$2:S759),COLUMNS($N$2:S759))</f>
        <v>Round of 16</v>
      </c>
      <c r="V759" s="1" t="b">
        <f t="shared" si="11"/>
        <v>0</v>
      </c>
      <c r="W759" s="1" t="str">
        <f>IF(V759=TRUE,ROWS($V$2:V759),"")</f>
        <v/>
      </c>
      <c r="X759" s="1" t="str">
        <f>IFERROR(SMALL($W$2:$W$853,ROWS($W$2:W759)),"")</f>
        <v/>
      </c>
      <c r="Y759" s="1" t="str">
        <f>IF($X759&lt;&gt;"",INDEX($P$2:$U$853,MATCH($X759,$W$2:$W$853,0),COLUMNS($X$2:X759)),"")</f>
        <v/>
      </c>
      <c r="Z759" s="1" t="str">
        <f>IF($X759&lt;&gt;"",INDEX($P$2:$U$853,MATCH($X759,$W$2:$W$853,0),COLUMNS($X$2:Y759)),"")</f>
        <v/>
      </c>
      <c r="AA759" s="1" t="str">
        <f>IF($X759&lt;&gt;"",INDEX($P$2:$U$853,MATCH($X759,$W$2:$W$853,0),COLUMNS($X$2:Z759)),"")</f>
        <v/>
      </c>
      <c r="AB759" s="1" t="str">
        <f>IF($X759&lt;&gt;"",INDEX($P$2:$U$853,MATCH($X759,$W$2:$W$853,0),COLUMNS($X$2:AA759)),"")</f>
        <v/>
      </c>
      <c r="AC759" s="1" t="str">
        <f>IF($X759&lt;&gt;"",INDEX($P$2:$U$853,MATCH($X759,$W$2:$W$853,0),COLUMNS($X$2:AB759)),"")</f>
        <v/>
      </c>
      <c r="AD759" s="1" t="str">
        <f>IF($X759&lt;&gt;"",INDEX($P$2:$U$853,MATCH($X759,$W$2:$W$853,0),COLUMNS($X$2:AC759)),"")</f>
        <v/>
      </c>
    </row>
    <row r="760" spans="1:30" x14ac:dyDescent="0.2">
      <c r="A760" s="1">
        <v>2010</v>
      </c>
      <c r="B760" s="2">
        <v>40356</v>
      </c>
      <c r="C760" s="1" t="s">
        <v>503</v>
      </c>
      <c r="D760" s="1" t="s">
        <v>287</v>
      </c>
      <c r="E760" s="1" t="s">
        <v>456</v>
      </c>
      <c r="F760" s="1" t="s">
        <v>457</v>
      </c>
      <c r="G760" s="6" t="str">
        <f>VLOOKUP(A760,WorldCups!$A$2:$B$23,2,FALSE)</f>
        <v>South Africa</v>
      </c>
      <c r="H760" s="1" t="s">
        <v>51</v>
      </c>
      <c r="I760" s="1">
        <v>4</v>
      </c>
      <c r="J760" s="1">
        <v>1</v>
      </c>
      <c r="K760" s="1" t="s">
        <v>93</v>
      </c>
      <c r="L760" s="1" t="s">
        <v>14</v>
      </c>
      <c r="M760" s="1" t="str">
        <f>IF(ISNUMBER(SEARCH("Group",Table2[[#This Row],[Round]])),"Group stages",Table2[[#This Row],[Round]])</f>
        <v>Round of 16</v>
      </c>
      <c r="O760" s="1">
        <f>Table2[[#This Row],[Year]]</f>
        <v>2010</v>
      </c>
      <c r="P760" s="1" t="str">
        <f>INDEX(Table2[[HomeTeam]:[Group_details]],ROWS($N$2:N760),COLUMNS($N$2:N760))</f>
        <v>Germany</v>
      </c>
      <c r="Q760" s="1">
        <f>INDEX(Table2[[HomeTeam]:[Group_details]],ROWS($N$2:O760),COLUMNS($N$2:O760))</f>
        <v>4</v>
      </c>
      <c r="R760" s="1">
        <f>INDEX(Table2[[HomeTeam]:[Group_details]],ROWS($N$2:P760),COLUMNS($N$2:P760))</f>
        <v>1</v>
      </c>
      <c r="S760" s="1" t="str">
        <f>INDEX(Table2[[HomeTeam]:[Group_details]],ROWS($N$2:Q760),COLUMNS($N$2:Q760))</f>
        <v>England</v>
      </c>
      <c r="T760" s="1" t="str">
        <f>INDEX(Table2[[HomeTeam]:[Group_details]],ROWS($N$2:R760),COLUMNS($N$2:R760))</f>
        <v xml:space="preserve"> </v>
      </c>
      <c r="U760" s="1" t="str">
        <f>INDEX(Table2[[HomeTeam]:[Group_details]],ROWS($N$2:S760),COLUMNS($N$2:S760))</f>
        <v>Round of 16</v>
      </c>
      <c r="V760" s="1" t="b">
        <f t="shared" si="11"/>
        <v>0</v>
      </c>
      <c r="W760" s="1" t="str">
        <f>IF(V760=TRUE,ROWS($V$2:V760),"")</f>
        <v/>
      </c>
      <c r="X760" s="1" t="str">
        <f>IFERROR(SMALL($W$2:$W$853,ROWS($W$2:W760)),"")</f>
        <v/>
      </c>
      <c r="Y760" s="1" t="str">
        <f>IF($X760&lt;&gt;"",INDEX($P$2:$U$853,MATCH($X760,$W$2:$W$853,0),COLUMNS($X$2:X760)),"")</f>
        <v/>
      </c>
      <c r="Z760" s="1" t="str">
        <f>IF($X760&lt;&gt;"",INDEX($P$2:$U$853,MATCH($X760,$W$2:$W$853,0),COLUMNS($X$2:Y760)),"")</f>
        <v/>
      </c>
      <c r="AA760" s="1" t="str">
        <f>IF($X760&lt;&gt;"",INDEX($P$2:$U$853,MATCH($X760,$W$2:$W$853,0),COLUMNS($X$2:Z760)),"")</f>
        <v/>
      </c>
      <c r="AB760" s="1" t="str">
        <f>IF($X760&lt;&gt;"",INDEX($P$2:$U$853,MATCH($X760,$W$2:$W$853,0),COLUMNS($X$2:AA760)),"")</f>
        <v/>
      </c>
      <c r="AC760" s="1" t="str">
        <f>IF($X760&lt;&gt;"",INDEX($P$2:$U$853,MATCH($X760,$W$2:$W$853,0),COLUMNS($X$2:AB760)),"")</f>
        <v/>
      </c>
      <c r="AD760" s="1" t="str">
        <f>IF($X760&lt;&gt;"",INDEX($P$2:$U$853,MATCH($X760,$W$2:$W$853,0),COLUMNS($X$2:AC760)),"")</f>
        <v/>
      </c>
    </row>
    <row r="761" spans="1:30" x14ac:dyDescent="0.2">
      <c r="A761" s="1">
        <v>2010</v>
      </c>
      <c r="B761" s="2">
        <v>40356</v>
      </c>
      <c r="C761" s="1" t="s">
        <v>535</v>
      </c>
      <c r="D761" s="1" t="s">
        <v>287</v>
      </c>
      <c r="E761" s="1" t="s">
        <v>440</v>
      </c>
      <c r="F761" s="1" t="s">
        <v>441</v>
      </c>
      <c r="G761" s="6" t="str">
        <f>VLOOKUP(A761,WorldCups!$A$2:$B$23,2,FALSE)</f>
        <v>South Africa</v>
      </c>
      <c r="H761" s="1" t="s">
        <v>25</v>
      </c>
      <c r="I761" s="1">
        <v>3</v>
      </c>
      <c r="J761" s="1">
        <v>1</v>
      </c>
      <c r="K761" s="1" t="s">
        <v>13</v>
      </c>
      <c r="L761" s="1" t="s">
        <v>14</v>
      </c>
      <c r="M761" s="1" t="str">
        <f>IF(ISNUMBER(SEARCH("Group",Table2[[#This Row],[Round]])),"Group stages",Table2[[#This Row],[Round]])</f>
        <v>Round of 16</v>
      </c>
      <c r="O761" s="1">
        <f>Table2[[#This Row],[Year]]</f>
        <v>2010</v>
      </c>
      <c r="P761" s="1" t="str">
        <f>INDEX(Table2[[HomeTeam]:[Group_details]],ROWS($N$2:N761),COLUMNS($N$2:N761))</f>
        <v>Argentina</v>
      </c>
      <c r="Q761" s="1">
        <f>INDEX(Table2[[HomeTeam]:[Group_details]],ROWS($N$2:O761),COLUMNS($N$2:O761))</f>
        <v>3</v>
      </c>
      <c r="R761" s="1">
        <f>INDEX(Table2[[HomeTeam]:[Group_details]],ROWS($N$2:P761),COLUMNS($N$2:P761))</f>
        <v>1</v>
      </c>
      <c r="S761" s="1" t="str">
        <f>INDEX(Table2[[HomeTeam]:[Group_details]],ROWS($N$2:Q761),COLUMNS($N$2:Q761))</f>
        <v>Mexico</v>
      </c>
      <c r="T761" s="1" t="str">
        <f>INDEX(Table2[[HomeTeam]:[Group_details]],ROWS($N$2:R761),COLUMNS($N$2:R761))</f>
        <v xml:space="preserve"> </v>
      </c>
      <c r="U761" s="1" t="str">
        <f>INDEX(Table2[[HomeTeam]:[Group_details]],ROWS($N$2:S761),COLUMNS($N$2:S761))</f>
        <v>Round of 16</v>
      </c>
      <c r="V761" s="1" t="b">
        <f t="shared" si="11"/>
        <v>0</v>
      </c>
      <c r="W761" s="1" t="str">
        <f>IF(V761=TRUE,ROWS($V$2:V761),"")</f>
        <v/>
      </c>
      <c r="X761" s="1" t="str">
        <f>IFERROR(SMALL($W$2:$W$853,ROWS($W$2:W761)),"")</f>
        <v/>
      </c>
      <c r="Y761" s="1" t="str">
        <f>IF($X761&lt;&gt;"",INDEX($P$2:$U$853,MATCH($X761,$W$2:$W$853,0),COLUMNS($X$2:X761)),"")</f>
        <v/>
      </c>
      <c r="Z761" s="1" t="str">
        <f>IF($X761&lt;&gt;"",INDEX($P$2:$U$853,MATCH($X761,$W$2:$W$853,0),COLUMNS($X$2:Y761)),"")</f>
        <v/>
      </c>
      <c r="AA761" s="1" t="str">
        <f>IF($X761&lt;&gt;"",INDEX($P$2:$U$853,MATCH($X761,$W$2:$W$853,0),COLUMNS($X$2:Z761)),"")</f>
        <v/>
      </c>
      <c r="AB761" s="1" t="str">
        <f>IF($X761&lt;&gt;"",INDEX($P$2:$U$853,MATCH($X761,$W$2:$W$853,0),COLUMNS($X$2:AA761)),"")</f>
        <v/>
      </c>
      <c r="AC761" s="1" t="str">
        <f>IF($X761&lt;&gt;"",INDEX($P$2:$U$853,MATCH($X761,$W$2:$W$853,0),COLUMNS($X$2:AB761)),"")</f>
        <v/>
      </c>
      <c r="AD761" s="1" t="str">
        <f>IF($X761&lt;&gt;"",INDEX($P$2:$U$853,MATCH($X761,$W$2:$W$853,0),COLUMNS($X$2:AC761)),"")</f>
        <v/>
      </c>
    </row>
    <row r="762" spans="1:30" x14ac:dyDescent="0.2">
      <c r="A762" s="1">
        <v>2010</v>
      </c>
      <c r="B762" s="2">
        <v>40357</v>
      </c>
      <c r="C762" s="1" t="s">
        <v>503</v>
      </c>
      <c r="D762" s="1" t="s">
        <v>287</v>
      </c>
      <c r="E762" s="1" t="s">
        <v>454</v>
      </c>
      <c r="F762" s="1" t="s">
        <v>455</v>
      </c>
      <c r="G762" s="6" t="str">
        <f>VLOOKUP(A762,WorldCups!$A$2:$B$23,2,FALSE)</f>
        <v>South Africa</v>
      </c>
      <c r="H762" s="1" t="s">
        <v>45</v>
      </c>
      <c r="I762" s="1">
        <v>2</v>
      </c>
      <c r="J762" s="1">
        <v>1</v>
      </c>
      <c r="K762" s="1" t="s">
        <v>458</v>
      </c>
      <c r="L762" s="1" t="s">
        <v>14</v>
      </c>
      <c r="M762" s="1" t="str">
        <f>IF(ISNUMBER(SEARCH("Group",Table2[[#This Row],[Round]])),"Group stages",Table2[[#This Row],[Round]])</f>
        <v>Round of 16</v>
      </c>
      <c r="O762" s="1">
        <f>Table2[[#This Row],[Year]]</f>
        <v>2010</v>
      </c>
      <c r="P762" s="1" t="str">
        <f>INDEX(Table2[[HomeTeam]:[Group_details]],ROWS($N$2:N762),COLUMNS($N$2:N762))</f>
        <v>Netherlands</v>
      </c>
      <c r="Q762" s="1">
        <f>INDEX(Table2[[HomeTeam]:[Group_details]],ROWS($N$2:O762),COLUMNS($N$2:O762))</f>
        <v>2</v>
      </c>
      <c r="R762" s="1">
        <f>INDEX(Table2[[HomeTeam]:[Group_details]],ROWS($N$2:P762),COLUMNS($N$2:P762))</f>
        <v>1</v>
      </c>
      <c r="S762" s="1" t="str">
        <f>INDEX(Table2[[HomeTeam]:[Group_details]],ROWS($N$2:Q762),COLUMNS($N$2:Q762))</f>
        <v>Slovakia</v>
      </c>
      <c r="T762" s="1" t="str">
        <f>INDEX(Table2[[HomeTeam]:[Group_details]],ROWS($N$2:R762),COLUMNS($N$2:R762))</f>
        <v xml:space="preserve"> </v>
      </c>
      <c r="U762" s="1" t="str">
        <f>INDEX(Table2[[HomeTeam]:[Group_details]],ROWS($N$2:S762),COLUMNS($N$2:S762))</f>
        <v>Round of 16</v>
      </c>
      <c r="V762" s="1" t="b">
        <f t="shared" si="11"/>
        <v>0</v>
      </c>
      <c r="W762" s="1" t="str">
        <f>IF(V762=TRUE,ROWS($V$2:V762),"")</f>
        <v/>
      </c>
      <c r="X762" s="1" t="str">
        <f>IFERROR(SMALL($W$2:$W$853,ROWS($W$2:W762)),"")</f>
        <v/>
      </c>
      <c r="Y762" s="1" t="str">
        <f>IF($X762&lt;&gt;"",INDEX($P$2:$U$853,MATCH($X762,$W$2:$W$853,0),COLUMNS($X$2:X762)),"")</f>
        <v/>
      </c>
      <c r="Z762" s="1" t="str">
        <f>IF($X762&lt;&gt;"",INDEX($P$2:$U$853,MATCH($X762,$W$2:$W$853,0),COLUMNS($X$2:Y762)),"")</f>
        <v/>
      </c>
      <c r="AA762" s="1" t="str">
        <f>IF($X762&lt;&gt;"",INDEX($P$2:$U$853,MATCH($X762,$W$2:$W$853,0),COLUMNS($X$2:Z762)),"")</f>
        <v/>
      </c>
      <c r="AB762" s="1" t="str">
        <f>IF($X762&lt;&gt;"",INDEX($P$2:$U$853,MATCH($X762,$W$2:$W$853,0),COLUMNS($X$2:AA762)),"")</f>
        <v/>
      </c>
      <c r="AC762" s="1" t="str">
        <f>IF($X762&lt;&gt;"",INDEX($P$2:$U$853,MATCH($X762,$W$2:$W$853,0),COLUMNS($X$2:AB762)),"")</f>
        <v/>
      </c>
      <c r="AD762" s="1" t="str">
        <f>IF($X762&lt;&gt;"",INDEX($P$2:$U$853,MATCH($X762,$W$2:$W$853,0),COLUMNS($X$2:AC762)),"")</f>
        <v/>
      </c>
    </row>
    <row r="763" spans="1:30" x14ac:dyDescent="0.2">
      <c r="A763" s="1">
        <v>2010</v>
      </c>
      <c r="B763" s="2">
        <v>40357</v>
      </c>
      <c r="C763" s="1" t="s">
        <v>535</v>
      </c>
      <c r="D763" s="1" t="s">
        <v>287</v>
      </c>
      <c r="E763" s="1" t="s">
        <v>446</v>
      </c>
      <c r="F763" s="1" t="s">
        <v>441</v>
      </c>
      <c r="G763" s="6" t="str">
        <f>VLOOKUP(A763,WorldCups!$A$2:$B$23,2,FALSE)</f>
        <v>South Africa</v>
      </c>
      <c r="H763" s="1" t="s">
        <v>21</v>
      </c>
      <c r="I763" s="1">
        <v>3</v>
      </c>
      <c r="J763" s="1">
        <v>0</v>
      </c>
      <c r="K763" s="1" t="s">
        <v>26</v>
      </c>
      <c r="L763" s="1" t="s">
        <v>14</v>
      </c>
      <c r="M763" s="1" t="str">
        <f>IF(ISNUMBER(SEARCH("Group",Table2[[#This Row],[Round]])),"Group stages",Table2[[#This Row],[Round]])</f>
        <v>Round of 16</v>
      </c>
      <c r="O763" s="1">
        <f>Table2[[#This Row],[Year]]</f>
        <v>2010</v>
      </c>
      <c r="P763" s="1" t="str">
        <f>INDEX(Table2[[HomeTeam]:[Group_details]],ROWS($N$2:N763),COLUMNS($N$2:N763))</f>
        <v>Brazil</v>
      </c>
      <c r="Q763" s="1">
        <f>INDEX(Table2[[HomeTeam]:[Group_details]],ROWS($N$2:O763),COLUMNS($N$2:O763))</f>
        <v>3</v>
      </c>
      <c r="R763" s="1">
        <f>INDEX(Table2[[HomeTeam]:[Group_details]],ROWS($N$2:P763),COLUMNS($N$2:P763))</f>
        <v>0</v>
      </c>
      <c r="S763" s="1" t="str">
        <f>INDEX(Table2[[HomeTeam]:[Group_details]],ROWS($N$2:Q763),COLUMNS($N$2:Q763))</f>
        <v>Chile</v>
      </c>
      <c r="T763" s="1" t="str">
        <f>INDEX(Table2[[HomeTeam]:[Group_details]],ROWS($N$2:R763),COLUMNS($N$2:R763))</f>
        <v xml:space="preserve"> </v>
      </c>
      <c r="U763" s="1" t="str">
        <f>INDEX(Table2[[HomeTeam]:[Group_details]],ROWS($N$2:S763),COLUMNS($N$2:S763))</f>
        <v>Round of 16</v>
      </c>
      <c r="V763" s="1" t="b">
        <f t="shared" si="11"/>
        <v>0</v>
      </c>
      <c r="W763" s="1" t="str">
        <f>IF(V763=TRUE,ROWS($V$2:V763),"")</f>
        <v/>
      </c>
      <c r="X763" s="1" t="str">
        <f>IFERROR(SMALL($W$2:$W$853,ROWS($W$2:W763)),"")</f>
        <v/>
      </c>
      <c r="Y763" s="1" t="str">
        <f>IF($X763&lt;&gt;"",INDEX($P$2:$U$853,MATCH($X763,$W$2:$W$853,0),COLUMNS($X$2:X763)),"")</f>
        <v/>
      </c>
      <c r="Z763" s="1" t="str">
        <f>IF($X763&lt;&gt;"",INDEX($P$2:$U$853,MATCH($X763,$W$2:$W$853,0),COLUMNS($X$2:Y763)),"")</f>
        <v/>
      </c>
      <c r="AA763" s="1" t="str">
        <f>IF($X763&lt;&gt;"",INDEX($P$2:$U$853,MATCH($X763,$W$2:$W$853,0),COLUMNS($X$2:Z763)),"")</f>
        <v/>
      </c>
      <c r="AB763" s="1" t="str">
        <f>IF($X763&lt;&gt;"",INDEX($P$2:$U$853,MATCH($X763,$W$2:$W$853,0),COLUMNS($X$2:AA763)),"")</f>
        <v/>
      </c>
      <c r="AC763" s="1" t="str">
        <f>IF($X763&lt;&gt;"",INDEX($P$2:$U$853,MATCH($X763,$W$2:$W$853,0),COLUMNS($X$2:AB763)),"")</f>
        <v/>
      </c>
      <c r="AD763" s="1" t="str">
        <f>IF($X763&lt;&gt;"",INDEX($P$2:$U$853,MATCH($X763,$W$2:$W$853,0),COLUMNS($X$2:AC763)),"")</f>
        <v/>
      </c>
    </row>
    <row r="764" spans="1:30" x14ac:dyDescent="0.2">
      <c r="A764" s="1">
        <v>2010</v>
      </c>
      <c r="B764" s="2">
        <v>40358</v>
      </c>
      <c r="C764" s="1" t="s">
        <v>503</v>
      </c>
      <c r="D764" s="1" t="s">
        <v>287</v>
      </c>
      <c r="E764" s="1" t="s">
        <v>451</v>
      </c>
      <c r="F764" s="1" t="s">
        <v>452</v>
      </c>
      <c r="G764" s="6" t="str">
        <f>VLOOKUP(A764,WorldCups!$A$2:$B$23,2,FALSE)</f>
        <v>South Africa</v>
      </c>
      <c r="H764" s="1" t="s">
        <v>28</v>
      </c>
      <c r="I764" s="1">
        <v>0</v>
      </c>
      <c r="J764" s="1">
        <v>0</v>
      </c>
      <c r="K764" s="1" t="s">
        <v>356</v>
      </c>
      <c r="L764" s="1" t="s">
        <v>462</v>
      </c>
      <c r="M764" s="1" t="str">
        <f>IF(ISNUMBER(SEARCH("Group",Table2[[#This Row],[Round]])),"Group stages",Table2[[#This Row],[Round]])</f>
        <v>Round of 16</v>
      </c>
      <c r="O764" s="1">
        <f>Table2[[#This Row],[Year]]</f>
        <v>2010</v>
      </c>
      <c r="P764" s="1" t="str">
        <f>INDEX(Table2[[HomeTeam]:[Group_details]],ROWS($N$2:N764),COLUMNS($N$2:N764))</f>
        <v>Paraguay</v>
      </c>
      <c r="Q764" s="1">
        <f>INDEX(Table2[[HomeTeam]:[Group_details]],ROWS($N$2:O764),COLUMNS($N$2:O764))</f>
        <v>0</v>
      </c>
      <c r="R764" s="1">
        <f>INDEX(Table2[[HomeTeam]:[Group_details]],ROWS($N$2:P764),COLUMNS($N$2:P764))</f>
        <v>0</v>
      </c>
      <c r="S764" s="1" t="str">
        <f>INDEX(Table2[[HomeTeam]:[Group_details]],ROWS($N$2:Q764),COLUMNS($N$2:Q764))</f>
        <v>Japan</v>
      </c>
      <c r="T764" s="1" t="str">
        <f>INDEX(Table2[[HomeTeam]:[Group_details]],ROWS($N$2:R764),COLUMNS($N$2:R764))</f>
        <v xml:space="preserve">Paraguay win on penalties (5 - 3) </v>
      </c>
      <c r="U764" s="1" t="str">
        <f>INDEX(Table2[[HomeTeam]:[Group_details]],ROWS($N$2:S764),COLUMNS($N$2:S764))</f>
        <v>Round of 16</v>
      </c>
      <c r="V764" s="1" t="b">
        <f t="shared" si="11"/>
        <v>0</v>
      </c>
      <c r="W764" s="1" t="str">
        <f>IF(V764=TRUE,ROWS($V$2:V764),"")</f>
        <v/>
      </c>
      <c r="X764" s="1" t="str">
        <f>IFERROR(SMALL($W$2:$W$853,ROWS($W$2:W764)),"")</f>
        <v/>
      </c>
      <c r="Y764" s="1" t="str">
        <f>IF($X764&lt;&gt;"",INDEX($P$2:$U$853,MATCH($X764,$W$2:$W$853,0),COLUMNS($X$2:X764)),"")</f>
        <v/>
      </c>
      <c r="Z764" s="1" t="str">
        <f>IF($X764&lt;&gt;"",INDEX($P$2:$U$853,MATCH($X764,$W$2:$W$853,0),COLUMNS($X$2:Y764)),"")</f>
        <v/>
      </c>
      <c r="AA764" s="1" t="str">
        <f>IF($X764&lt;&gt;"",INDEX($P$2:$U$853,MATCH($X764,$W$2:$W$853,0),COLUMNS($X$2:Z764)),"")</f>
        <v/>
      </c>
      <c r="AB764" s="1" t="str">
        <f>IF($X764&lt;&gt;"",INDEX($P$2:$U$853,MATCH($X764,$W$2:$W$853,0),COLUMNS($X$2:AA764)),"")</f>
        <v/>
      </c>
      <c r="AC764" s="1" t="str">
        <f>IF($X764&lt;&gt;"",INDEX($P$2:$U$853,MATCH($X764,$W$2:$W$853,0),COLUMNS($X$2:AB764)),"")</f>
        <v/>
      </c>
      <c r="AD764" s="1" t="str">
        <f>IF($X764&lt;&gt;"",INDEX($P$2:$U$853,MATCH($X764,$W$2:$W$853,0),COLUMNS($X$2:AC764)),"")</f>
        <v/>
      </c>
    </row>
    <row r="765" spans="1:30" x14ac:dyDescent="0.2">
      <c r="A765" s="1">
        <v>2010</v>
      </c>
      <c r="B765" s="2">
        <v>40358</v>
      </c>
      <c r="C765" s="1" t="s">
        <v>535</v>
      </c>
      <c r="D765" s="1" t="s">
        <v>287</v>
      </c>
      <c r="E765" s="1" t="s">
        <v>442</v>
      </c>
      <c r="F765" s="1" t="s">
        <v>443</v>
      </c>
      <c r="G765" s="6" t="str">
        <f>VLOOKUP(A765,WorldCups!$A$2:$B$23,2,FALSE)</f>
        <v>South Africa</v>
      </c>
      <c r="H765" s="1" t="s">
        <v>54</v>
      </c>
      <c r="I765" s="1">
        <v>1</v>
      </c>
      <c r="J765" s="1">
        <v>0</v>
      </c>
      <c r="K765" s="1" t="s">
        <v>170</v>
      </c>
      <c r="L765" s="1" t="s">
        <v>14</v>
      </c>
      <c r="M765" s="1" t="str">
        <f>IF(ISNUMBER(SEARCH("Group",Table2[[#This Row],[Round]])),"Group stages",Table2[[#This Row],[Round]])</f>
        <v>Round of 16</v>
      </c>
      <c r="O765" s="1">
        <f>Table2[[#This Row],[Year]]</f>
        <v>2010</v>
      </c>
      <c r="P765" s="1" t="str">
        <f>INDEX(Table2[[HomeTeam]:[Group_details]],ROWS($N$2:N765),COLUMNS($N$2:N765))</f>
        <v>Spain</v>
      </c>
      <c r="Q765" s="1">
        <f>INDEX(Table2[[HomeTeam]:[Group_details]],ROWS($N$2:O765),COLUMNS($N$2:O765))</f>
        <v>1</v>
      </c>
      <c r="R765" s="1">
        <f>INDEX(Table2[[HomeTeam]:[Group_details]],ROWS($N$2:P765),COLUMNS($N$2:P765))</f>
        <v>0</v>
      </c>
      <c r="S765" s="1" t="str">
        <f>INDEX(Table2[[HomeTeam]:[Group_details]],ROWS($N$2:Q765),COLUMNS($N$2:Q765))</f>
        <v>Portugal</v>
      </c>
      <c r="T765" s="1" t="str">
        <f>INDEX(Table2[[HomeTeam]:[Group_details]],ROWS($N$2:R765),COLUMNS($N$2:R765))</f>
        <v xml:space="preserve"> </v>
      </c>
      <c r="U765" s="1" t="str">
        <f>INDEX(Table2[[HomeTeam]:[Group_details]],ROWS($N$2:S765),COLUMNS($N$2:S765))</f>
        <v>Round of 16</v>
      </c>
      <c r="V765" s="1" t="b">
        <f t="shared" si="11"/>
        <v>0</v>
      </c>
      <c r="W765" s="1" t="str">
        <f>IF(V765=TRUE,ROWS($V$2:V765),"")</f>
        <v/>
      </c>
      <c r="X765" s="1" t="str">
        <f>IFERROR(SMALL($W$2:$W$853,ROWS($W$2:W765)),"")</f>
        <v/>
      </c>
      <c r="Y765" s="1" t="str">
        <f>IF($X765&lt;&gt;"",INDEX($P$2:$U$853,MATCH($X765,$W$2:$W$853,0),COLUMNS($X$2:X765)),"")</f>
        <v/>
      </c>
      <c r="Z765" s="1" t="str">
        <f>IF($X765&lt;&gt;"",INDEX($P$2:$U$853,MATCH($X765,$W$2:$W$853,0),COLUMNS($X$2:Y765)),"")</f>
        <v/>
      </c>
      <c r="AA765" s="1" t="str">
        <f>IF($X765&lt;&gt;"",INDEX($P$2:$U$853,MATCH($X765,$W$2:$W$853,0),COLUMNS($X$2:Z765)),"")</f>
        <v/>
      </c>
      <c r="AB765" s="1" t="str">
        <f>IF($X765&lt;&gt;"",INDEX($P$2:$U$853,MATCH($X765,$W$2:$W$853,0),COLUMNS($X$2:AA765)),"")</f>
        <v/>
      </c>
      <c r="AC765" s="1" t="str">
        <f>IF($X765&lt;&gt;"",INDEX($P$2:$U$853,MATCH($X765,$W$2:$W$853,0),COLUMNS($X$2:AB765)),"")</f>
        <v/>
      </c>
      <c r="AD765" s="1" t="str">
        <f>IF($X765&lt;&gt;"",INDEX($P$2:$U$853,MATCH($X765,$W$2:$W$853,0),COLUMNS($X$2:AC765)),"")</f>
        <v/>
      </c>
    </row>
    <row r="766" spans="1:30" x14ac:dyDescent="0.2">
      <c r="A766" s="1">
        <v>2010</v>
      </c>
      <c r="B766" s="2">
        <v>40361</v>
      </c>
      <c r="C766" s="1" t="s">
        <v>503</v>
      </c>
      <c r="D766" s="1" t="s">
        <v>61</v>
      </c>
      <c r="E766" s="1" t="s">
        <v>444</v>
      </c>
      <c r="F766" s="1" t="s">
        <v>445</v>
      </c>
      <c r="G766" s="6" t="str">
        <f>VLOOKUP(A766,WorldCups!$A$2:$B$23,2,FALSE)</f>
        <v>South Africa</v>
      </c>
      <c r="H766" s="1" t="s">
        <v>45</v>
      </c>
      <c r="I766" s="1">
        <v>2</v>
      </c>
      <c r="J766" s="1">
        <v>1</v>
      </c>
      <c r="K766" s="1" t="s">
        <v>21</v>
      </c>
      <c r="L766" s="1" t="s">
        <v>14</v>
      </c>
      <c r="M766" s="1" t="str">
        <f>IF(ISNUMBER(SEARCH("Group",Table2[[#This Row],[Round]])),"Group stages",Table2[[#This Row],[Round]])</f>
        <v>Quarter-finals</v>
      </c>
      <c r="O766" s="1">
        <f>Table2[[#This Row],[Year]]</f>
        <v>2010</v>
      </c>
      <c r="P766" s="1" t="str">
        <f>INDEX(Table2[[HomeTeam]:[Group_details]],ROWS($N$2:N766),COLUMNS($N$2:N766))</f>
        <v>Netherlands</v>
      </c>
      <c r="Q766" s="1">
        <f>INDEX(Table2[[HomeTeam]:[Group_details]],ROWS($N$2:O766),COLUMNS($N$2:O766))</f>
        <v>2</v>
      </c>
      <c r="R766" s="1">
        <f>INDEX(Table2[[HomeTeam]:[Group_details]],ROWS($N$2:P766),COLUMNS($N$2:P766))</f>
        <v>1</v>
      </c>
      <c r="S766" s="1" t="str">
        <f>INDEX(Table2[[HomeTeam]:[Group_details]],ROWS($N$2:Q766),COLUMNS($N$2:Q766))</f>
        <v>Brazil</v>
      </c>
      <c r="T766" s="1" t="str">
        <f>INDEX(Table2[[HomeTeam]:[Group_details]],ROWS($N$2:R766),COLUMNS($N$2:R766))</f>
        <v xml:space="preserve"> </v>
      </c>
      <c r="U766" s="1" t="str">
        <f>INDEX(Table2[[HomeTeam]:[Group_details]],ROWS($N$2:S766),COLUMNS($N$2:S766))</f>
        <v>Quarter-finals</v>
      </c>
      <c r="V766" s="1" t="b">
        <f t="shared" si="11"/>
        <v>0</v>
      </c>
      <c r="W766" s="1" t="str">
        <f>IF(V766=TRUE,ROWS($V$2:V766),"")</f>
        <v/>
      </c>
      <c r="X766" s="1" t="str">
        <f>IFERROR(SMALL($W$2:$W$853,ROWS($W$2:W766)),"")</f>
        <v/>
      </c>
      <c r="Y766" s="1" t="str">
        <f>IF($X766&lt;&gt;"",INDEX($P$2:$U$853,MATCH($X766,$W$2:$W$853,0),COLUMNS($X$2:X766)),"")</f>
        <v/>
      </c>
      <c r="Z766" s="1" t="str">
        <f>IF($X766&lt;&gt;"",INDEX($P$2:$U$853,MATCH($X766,$W$2:$W$853,0),COLUMNS($X$2:Y766)),"")</f>
        <v/>
      </c>
      <c r="AA766" s="1" t="str">
        <f>IF($X766&lt;&gt;"",INDEX($P$2:$U$853,MATCH($X766,$W$2:$W$853,0),COLUMNS($X$2:Z766)),"")</f>
        <v/>
      </c>
      <c r="AB766" s="1" t="str">
        <f>IF($X766&lt;&gt;"",INDEX($P$2:$U$853,MATCH($X766,$W$2:$W$853,0),COLUMNS($X$2:AA766)),"")</f>
        <v/>
      </c>
      <c r="AC766" s="1" t="str">
        <f>IF($X766&lt;&gt;"",INDEX($P$2:$U$853,MATCH($X766,$W$2:$W$853,0),COLUMNS($X$2:AB766)),"")</f>
        <v/>
      </c>
      <c r="AD766" s="1" t="str">
        <f>IF($X766&lt;&gt;"",INDEX($P$2:$U$853,MATCH($X766,$W$2:$W$853,0),COLUMNS($X$2:AC766)),"")</f>
        <v/>
      </c>
    </row>
    <row r="767" spans="1:30" x14ac:dyDescent="0.2">
      <c r="A767" s="1">
        <v>2010</v>
      </c>
      <c r="B767" s="2">
        <v>40361</v>
      </c>
      <c r="C767" s="1" t="s">
        <v>535</v>
      </c>
      <c r="D767" s="1" t="s">
        <v>61</v>
      </c>
      <c r="E767" s="1" t="s">
        <v>440</v>
      </c>
      <c r="F767" s="1" t="s">
        <v>441</v>
      </c>
      <c r="G767" s="6" t="str">
        <f>VLOOKUP(A767,WorldCups!$A$2:$B$23,2,FALSE)</f>
        <v>South Africa</v>
      </c>
      <c r="H767" s="1" t="s">
        <v>30</v>
      </c>
      <c r="I767" s="1">
        <v>1</v>
      </c>
      <c r="J767" s="1">
        <v>1</v>
      </c>
      <c r="K767" s="1" t="s">
        <v>431</v>
      </c>
      <c r="L767" s="1" t="s">
        <v>463</v>
      </c>
      <c r="M767" s="1" t="str">
        <f>IF(ISNUMBER(SEARCH("Group",Table2[[#This Row],[Round]])),"Group stages",Table2[[#This Row],[Round]])</f>
        <v>Quarter-finals</v>
      </c>
      <c r="O767" s="1">
        <f>Table2[[#This Row],[Year]]</f>
        <v>2010</v>
      </c>
      <c r="P767" s="1" t="str">
        <f>INDEX(Table2[[HomeTeam]:[Group_details]],ROWS($N$2:N767),COLUMNS($N$2:N767))</f>
        <v>Uruguay</v>
      </c>
      <c r="Q767" s="1">
        <f>INDEX(Table2[[HomeTeam]:[Group_details]],ROWS($N$2:O767),COLUMNS($N$2:O767))</f>
        <v>1</v>
      </c>
      <c r="R767" s="1">
        <f>INDEX(Table2[[HomeTeam]:[Group_details]],ROWS($N$2:P767),COLUMNS($N$2:P767))</f>
        <v>1</v>
      </c>
      <c r="S767" s="1" t="str">
        <f>INDEX(Table2[[HomeTeam]:[Group_details]],ROWS($N$2:Q767),COLUMNS($N$2:Q767))</f>
        <v>Ghana</v>
      </c>
      <c r="T767" s="1" t="str">
        <f>INDEX(Table2[[HomeTeam]:[Group_details]],ROWS($N$2:R767),COLUMNS($N$2:R767))</f>
        <v xml:space="preserve">Uruguay win on penalties (4 - 2) </v>
      </c>
      <c r="U767" s="1" t="str">
        <f>INDEX(Table2[[HomeTeam]:[Group_details]],ROWS($N$2:S767),COLUMNS($N$2:S767))</f>
        <v>Quarter-finals</v>
      </c>
      <c r="V767" s="1" t="b">
        <f t="shared" si="11"/>
        <v>0</v>
      </c>
      <c r="W767" s="1" t="str">
        <f>IF(V767=TRUE,ROWS($V$2:V767),"")</f>
        <v/>
      </c>
      <c r="X767" s="1" t="str">
        <f>IFERROR(SMALL($W$2:$W$853,ROWS($W$2:W767)),"")</f>
        <v/>
      </c>
      <c r="Y767" s="1" t="str">
        <f>IF($X767&lt;&gt;"",INDEX($P$2:$U$853,MATCH($X767,$W$2:$W$853,0),COLUMNS($X$2:X767)),"")</f>
        <v/>
      </c>
      <c r="Z767" s="1" t="str">
        <f>IF($X767&lt;&gt;"",INDEX($P$2:$U$853,MATCH($X767,$W$2:$W$853,0),COLUMNS($X$2:Y767)),"")</f>
        <v/>
      </c>
      <c r="AA767" s="1" t="str">
        <f>IF($X767&lt;&gt;"",INDEX($P$2:$U$853,MATCH($X767,$W$2:$W$853,0),COLUMNS($X$2:Z767)),"")</f>
        <v/>
      </c>
      <c r="AB767" s="1" t="str">
        <f>IF($X767&lt;&gt;"",INDEX($P$2:$U$853,MATCH($X767,$W$2:$W$853,0),COLUMNS($X$2:AA767)),"")</f>
        <v/>
      </c>
      <c r="AC767" s="1" t="str">
        <f>IF($X767&lt;&gt;"",INDEX($P$2:$U$853,MATCH($X767,$W$2:$W$853,0),COLUMNS($X$2:AB767)),"")</f>
        <v/>
      </c>
      <c r="AD767" s="1" t="str">
        <f>IF($X767&lt;&gt;"",INDEX($P$2:$U$853,MATCH($X767,$W$2:$W$853,0),COLUMNS($X$2:AC767)),"")</f>
        <v/>
      </c>
    </row>
    <row r="768" spans="1:30" x14ac:dyDescent="0.2">
      <c r="A768" s="1">
        <v>2010</v>
      </c>
      <c r="B768" s="2">
        <v>40362</v>
      </c>
      <c r="C768" s="1" t="s">
        <v>503</v>
      </c>
      <c r="D768" s="1" t="s">
        <v>61</v>
      </c>
      <c r="E768" s="1" t="s">
        <v>442</v>
      </c>
      <c r="F768" s="1" t="s">
        <v>443</v>
      </c>
      <c r="G768" s="6" t="str">
        <f>VLOOKUP(A768,WorldCups!$A$2:$B$23,2,FALSE)</f>
        <v>South Africa</v>
      </c>
      <c r="H768" s="1" t="s">
        <v>25</v>
      </c>
      <c r="I768" s="1">
        <v>0</v>
      </c>
      <c r="J768" s="1">
        <v>4</v>
      </c>
      <c r="K768" s="1" t="s">
        <v>51</v>
      </c>
      <c r="L768" s="1" t="s">
        <v>14</v>
      </c>
      <c r="M768" s="1" t="str">
        <f>IF(ISNUMBER(SEARCH("Group",Table2[[#This Row],[Round]])),"Group stages",Table2[[#This Row],[Round]])</f>
        <v>Quarter-finals</v>
      </c>
      <c r="O768" s="1">
        <f>Table2[[#This Row],[Year]]</f>
        <v>2010</v>
      </c>
      <c r="P768" s="1" t="str">
        <f>INDEX(Table2[[HomeTeam]:[Group_details]],ROWS($N$2:N768),COLUMNS($N$2:N768))</f>
        <v>Argentina</v>
      </c>
      <c r="Q768" s="1">
        <f>INDEX(Table2[[HomeTeam]:[Group_details]],ROWS($N$2:O768),COLUMNS($N$2:O768))</f>
        <v>0</v>
      </c>
      <c r="R768" s="1">
        <f>INDEX(Table2[[HomeTeam]:[Group_details]],ROWS($N$2:P768),COLUMNS($N$2:P768))</f>
        <v>4</v>
      </c>
      <c r="S768" s="1" t="str">
        <f>INDEX(Table2[[HomeTeam]:[Group_details]],ROWS($N$2:Q768),COLUMNS($N$2:Q768))</f>
        <v>Germany</v>
      </c>
      <c r="T768" s="1" t="str">
        <f>INDEX(Table2[[HomeTeam]:[Group_details]],ROWS($N$2:R768),COLUMNS($N$2:R768))</f>
        <v xml:space="preserve"> </v>
      </c>
      <c r="U768" s="1" t="str">
        <f>INDEX(Table2[[HomeTeam]:[Group_details]],ROWS($N$2:S768),COLUMNS($N$2:S768))</f>
        <v>Quarter-finals</v>
      </c>
      <c r="V768" s="1" t="b">
        <f t="shared" si="11"/>
        <v>0</v>
      </c>
      <c r="W768" s="1" t="str">
        <f>IF(V768=TRUE,ROWS($V$2:V768),"")</f>
        <v/>
      </c>
      <c r="X768" s="1" t="str">
        <f>IFERROR(SMALL($W$2:$W$853,ROWS($W$2:W768)),"")</f>
        <v/>
      </c>
      <c r="Y768" s="1" t="str">
        <f>IF($X768&lt;&gt;"",INDEX($P$2:$U$853,MATCH($X768,$W$2:$W$853,0),COLUMNS($X$2:X768)),"")</f>
        <v/>
      </c>
      <c r="Z768" s="1" t="str">
        <f>IF($X768&lt;&gt;"",INDEX($P$2:$U$853,MATCH($X768,$W$2:$W$853,0),COLUMNS($X$2:Y768)),"")</f>
        <v/>
      </c>
      <c r="AA768" s="1" t="str">
        <f>IF($X768&lt;&gt;"",INDEX($P$2:$U$853,MATCH($X768,$W$2:$W$853,0),COLUMNS($X$2:Z768)),"")</f>
        <v/>
      </c>
      <c r="AB768" s="1" t="str">
        <f>IF($X768&lt;&gt;"",INDEX($P$2:$U$853,MATCH($X768,$W$2:$W$853,0),COLUMNS($X$2:AA768)),"")</f>
        <v/>
      </c>
      <c r="AC768" s="1" t="str">
        <f>IF($X768&lt;&gt;"",INDEX($P$2:$U$853,MATCH($X768,$W$2:$W$853,0),COLUMNS($X$2:AB768)),"")</f>
        <v/>
      </c>
      <c r="AD768" s="1" t="str">
        <f>IF($X768&lt;&gt;"",INDEX($P$2:$U$853,MATCH($X768,$W$2:$W$853,0),COLUMNS($X$2:AC768)),"")</f>
        <v/>
      </c>
    </row>
    <row r="769" spans="1:30" x14ac:dyDescent="0.2">
      <c r="A769" s="1">
        <v>2010</v>
      </c>
      <c r="B769" s="2">
        <v>40362</v>
      </c>
      <c r="C769" s="1" t="s">
        <v>535</v>
      </c>
      <c r="D769" s="1" t="s">
        <v>61</v>
      </c>
      <c r="E769" s="1" t="s">
        <v>446</v>
      </c>
      <c r="F769" s="1" t="s">
        <v>441</v>
      </c>
      <c r="G769" s="6" t="str">
        <f>VLOOKUP(A769,WorldCups!$A$2:$B$23,2,FALSE)</f>
        <v>South Africa</v>
      </c>
      <c r="H769" s="1" t="s">
        <v>28</v>
      </c>
      <c r="I769" s="1">
        <v>0</v>
      </c>
      <c r="J769" s="1">
        <v>1</v>
      </c>
      <c r="K769" s="1" t="s">
        <v>54</v>
      </c>
      <c r="L769" s="1" t="s">
        <v>14</v>
      </c>
      <c r="M769" s="1" t="str">
        <f>IF(ISNUMBER(SEARCH("Group",Table2[[#This Row],[Round]])),"Group stages",Table2[[#This Row],[Round]])</f>
        <v>Quarter-finals</v>
      </c>
      <c r="O769" s="1">
        <f>Table2[[#This Row],[Year]]</f>
        <v>2010</v>
      </c>
      <c r="P769" s="1" t="str">
        <f>INDEX(Table2[[HomeTeam]:[Group_details]],ROWS($N$2:N769),COLUMNS($N$2:N769))</f>
        <v>Paraguay</v>
      </c>
      <c r="Q769" s="1">
        <f>INDEX(Table2[[HomeTeam]:[Group_details]],ROWS($N$2:O769),COLUMNS($N$2:O769))</f>
        <v>0</v>
      </c>
      <c r="R769" s="1">
        <f>INDEX(Table2[[HomeTeam]:[Group_details]],ROWS($N$2:P769),COLUMNS($N$2:P769))</f>
        <v>1</v>
      </c>
      <c r="S769" s="1" t="str">
        <f>INDEX(Table2[[HomeTeam]:[Group_details]],ROWS($N$2:Q769),COLUMNS($N$2:Q769))</f>
        <v>Spain</v>
      </c>
      <c r="T769" s="1" t="str">
        <f>INDEX(Table2[[HomeTeam]:[Group_details]],ROWS($N$2:R769),COLUMNS($N$2:R769))</f>
        <v xml:space="preserve"> </v>
      </c>
      <c r="U769" s="1" t="str">
        <f>INDEX(Table2[[HomeTeam]:[Group_details]],ROWS($N$2:S769),COLUMNS($N$2:S769))</f>
        <v>Quarter-finals</v>
      </c>
      <c r="V769" s="1" t="b">
        <f t="shared" si="11"/>
        <v>0</v>
      </c>
      <c r="W769" s="1" t="str">
        <f>IF(V769=TRUE,ROWS($V$2:V769),"")</f>
        <v/>
      </c>
      <c r="X769" s="1" t="str">
        <f>IFERROR(SMALL($W$2:$W$853,ROWS($W$2:W769)),"")</f>
        <v/>
      </c>
      <c r="Y769" s="1" t="str">
        <f>IF($X769&lt;&gt;"",INDEX($P$2:$U$853,MATCH($X769,$W$2:$W$853,0),COLUMNS($X$2:X769)),"")</f>
        <v/>
      </c>
      <c r="Z769" s="1" t="str">
        <f>IF($X769&lt;&gt;"",INDEX($P$2:$U$853,MATCH($X769,$W$2:$W$853,0),COLUMNS($X$2:Y769)),"")</f>
        <v/>
      </c>
      <c r="AA769" s="1" t="str">
        <f>IF($X769&lt;&gt;"",INDEX($P$2:$U$853,MATCH($X769,$W$2:$W$853,0),COLUMNS($X$2:Z769)),"")</f>
        <v/>
      </c>
      <c r="AB769" s="1" t="str">
        <f>IF($X769&lt;&gt;"",INDEX($P$2:$U$853,MATCH($X769,$W$2:$W$853,0),COLUMNS($X$2:AA769)),"")</f>
        <v/>
      </c>
      <c r="AC769" s="1" t="str">
        <f>IF($X769&lt;&gt;"",INDEX($P$2:$U$853,MATCH($X769,$W$2:$W$853,0),COLUMNS($X$2:AB769)),"")</f>
        <v/>
      </c>
      <c r="AD769" s="1" t="str">
        <f>IF($X769&lt;&gt;"",INDEX($P$2:$U$853,MATCH($X769,$W$2:$W$853,0),COLUMNS($X$2:AC769)),"")</f>
        <v/>
      </c>
    </row>
    <row r="770" spans="1:30" x14ac:dyDescent="0.2">
      <c r="A770" s="1">
        <v>2010</v>
      </c>
      <c r="B770" s="2">
        <v>40365</v>
      </c>
      <c r="C770" s="1" t="s">
        <v>535</v>
      </c>
      <c r="D770" s="1" t="s">
        <v>31</v>
      </c>
      <c r="E770" s="1" t="s">
        <v>442</v>
      </c>
      <c r="F770" s="1" t="s">
        <v>443</v>
      </c>
      <c r="G770" s="6" t="str">
        <f>VLOOKUP(A770,WorldCups!$A$2:$B$23,2,FALSE)</f>
        <v>South Africa</v>
      </c>
      <c r="H770" s="1" t="s">
        <v>30</v>
      </c>
      <c r="I770" s="1">
        <v>2</v>
      </c>
      <c r="J770" s="1">
        <v>3</v>
      </c>
      <c r="K770" s="1" t="s">
        <v>45</v>
      </c>
      <c r="L770" s="1" t="s">
        <v>14</v>
      </c>
      <c r="M770" s="1" t="str">
        <f>IF(ISNUMBER(SEARCH("Group",Table2[[#This Row],[Round]])),"Group stages",Table2[[#This Row],[Round]])</f>
        <v>Semi-finals</v>
      </c>
      <c r="O770" s="1">
        <f>Table2[[#This Row],[Year]]</f>
        <v>2010</v>
      </c>
      <c r="P770" s="1" t="str">
        <f>INDEX(Table2[[HomeTeam]:[Group_details]],ROWS($N$2:N770),COLUMNS($N$2:N770))</f>
        <v>Uruguay</v>
      </c>
      <c r="Q770" s="1">
        <f>INDEX(Table2[[HomeTeam]:[Group_details]],ROWS($N$2:O770),COLUMNS($N$2:O770))</f>
        <v>2</v>
      </c>
      <c r="R770" s="1">
        <f>INDEX(Table2[[HomeTeam]:[Group_details]],ROWS($N$2:P770),COLUMNS($N$2:P770))</f>
        <v>3</v>
      </c>
      <c r="S770" s="1" t="str">
        <f>INDEX(Table2[[HomeTeam]:[Group_details]],ROWS($N$2:Q770),COLUMNS($N$2:Q770))</f>
        <v>Netherlands</v>
      </c>
      <c r="T770" s="1" t="str">
        <f>INDEX(Table2[[HomeTeam]:[Group_details]],ROWS($N$2:R770),COLUMNS($N$2:R770))</f>
        <v xml:space="preserve"> </v>
      </c>
      <c r="U770" s="1" t="str">
        <f>INDEX(Table2[[HomeTeam]:[Group_details]],ROWS($N$2:S770),COLUMNS($N$2:S770))</f>
        <v>Semi-finals</v>
      </c>
      <c r="V770" s="1" t="b">
        <f t="shared" si="11"/>
        <v>0</v>
      </c>
      <c r="W770" s="1" t="str">
        <f>IF(V770=TRUE,ROWS($V$2:V770),"")</f>
        <v/>
      </c>
      <c r="X770" s="1" t="str">
        <f>IFERROR(SMALL($W$2:$W$853,ROWS($W$2:W770)),"")</f>
        <v/>
      </c>
      <c r="Y770" s="1" t="str">
        <f>IF($X770&lt;&gt;"",INDEX($P$2:$U$853,MATCH($X770,$W$2:$W$853,0),COLUMNS($X$2:X770)),"")</f>
        <v/>
      </c>
      <c r="Z770" s="1" t="str">
        <f>IF($X770&lt;&gt;"",INDEX($P$2:$U$853,MATCH($X770,$W$2:$W$853,0),COLUMNS($X$2:Y770)),"")</f>
        <v/>
      </c>
      <c r="AA770" s="1" t="str">
        <f>IF($X770&lt;&gt;"",INDEX($P$2:$U$853,MATCH($X770,$W$2:$W$853,0),COLUMNS($X$2:Z770)),"")</f>
        <v/>
      </c>
      <c r="AB770" s="1" t="str">
        <f>IF($X770&lt;&gt;"",INDEX($P$2:$U$853,MATCH($X770,$W$2:$W$853,0),COLUMNS($X$2:AA770)),"")</f>
        <v/>
      </c>
      <c r="AC770" s="1" t="str">
        <f>IF($X770&lt;&gt;"",INDEX($P$2:$U$853,MATCH($X770,$W$2:$W$853,0),COLUMNS($X$2:AB770)),"")</f>
        <v/>
      </c>
      <c r="AD770" s="1" t="str">
        <f>IF($X770&lt;&gt;"",INDEX($P$2:$U$853,MATCH($X770,$W$2:$W$853,0),COLUMNS($X$2:AC770)),"")</f>
        <v/>
      </c>
    </row>
    <row r="771" spans="1:30" x14ac:dyDescent="0.2">
      <c r="A771" s="1">
        <v>2010</v>
      </c>
      <c r="B771" s="2">
        <v>40366</v>
      </c>
      <c r="C771" s="1" t="s">
        <v>535</v>
      </c>
      <c r="D771" s="1" t="s">
        <v>31</v>
      </c>
      <c r="E771" s="1" t="s">
        <v>454</v>
      </c>
      <c r="F771" s="1" t="s">
        <v>455</v>
      </c>
      <c r="G771" s="6" t="str">
        <f>VLOOKUP(A771,WorldCups!$A$2:$B$23,2,FALSE)</f>
        <v>South Africa</v>
      </c>
      <c r="H771" s="1" t="s">
        <v>51</v>
      </c>
      <c r="I771" s="1">
        <v>0</v>
      </c>
      <c r="J771" s="1">
        <v>1</v>
      </c>
      <c r="K771" s="1" t="s">
        <v>54</v>
      </c>
      <c r="L771" s="1" t="s">
        <v>14</v>
      </c>
      <c r="M771" s="1" t="str">
        <f>IF(ISNUMBER(SEARCH("Group",Table2[[#This Row],[Round]])),"Group stages",Table2[[#This Row],[Round]])</f>
        <v>Semi-finals</v>
      </c>
      <c r="O771" s="1">
        <f>Table2[[#This Row],[Year]]</f>
        <v>2010</v>
      </c>
      <c r="P771" s="1" t="str">
        <f>INDEX(Table2[[HomeTeam]:[Group_details]],ROWS($N$2:N771),COLUMNS($N$2:N771))</f>
        <v>Germany</v>
      </c>
      <c r="Q771" s="1">
        <f>INDEX(Table2[[HomeTeam]:[Group_details]],ROWS($N$2:O771),COLUMNS($N$2:O771))</f>
        <v>0</v>
      </c>
      <c r="R771" s="1">
        <f>INDEX(Table2[[HomeTeam]:[Group_details]],ROWS($N$2:P771),COLUMNS($N$2:P771))</f>
        <v>1</v>
      </c>
      <c r="S771" s="1" t="str">
        <f>INDEX(Table2[[HomeTeam]:[Group_details]],ROWS($N$2:Q771),COLUMNS($N$2:Q771))</f>
        <v>Spain</v>
      </c>
      <c r="T771" s="1" t="str">
        <f>INDEX(Table2[[HomeTeam]:[Group_details]],ROWS($N$2:R771),COLUMNS($N$2:R771))</f>
        <v xml:space="preserve"> </v>
      </c>
      <c r="U771" s="1" t="str">
        <f>INDEX(Table2[[HomeTeam]:[Group_details]],ROWS($N$2:S771),COLUMNS($N$2:S771))</f>
        <v>Semi-finals</v>
      </c>
      <c r="V771" s="1" t="b">
        <f t="shared" ref="V771:V834" si="12">IF(O771=$V$1,TRUE)</f>
        <v>0</v>
      </c>
      <c r="W771" s="1" t="str">
        <f>IF(V771=TRUE,ROWS($V$2:V771),"")</f>
        <v/>
      </c>
      <c r="X771" s="1" t="str">
        <f>IFERROR(SMALL($W$2:$W$853,ROWS($W$2:W771)),"")</f>
        <v/>
      </c>
      <c r="Y771" s="1" t="str">
        <f>IF($X771&lt;&gt;"",INDEX($P$2:$U$853,MATCH($X771,$W$2:$W$853,0),COLUMNS($X$2:X771)),"")</f>
        <v/>
      </c>
      <c r="Z771" s="1" t="str">
        <f>IF($X771&lt;&gt;"",INDEX($P$2:$U$853,MATCH($X771,$W$2:$W$853,0),COLUMNS($X$2:Y771)),"")</f>
        <v/>
      </c>
      <c r="AA771" s="1" t="str">
        <f>IF($X771&lt;&gt;"",INDEX($P$2:$U$853,MATCH($X771,$W$2:$W$853,0),COLUMNS($X$2:Z771)),"")</f>
        <v/>
      </c>
      <c r="AB771" s="1" t="str">
        <f>IF($X771&lt;&gt;"",INDEX($P$2:$U$853,MATCH($X771,$W$2:$W$853,0),COLUMNS($X$2:AA771)),"")</f>
        <v/>
      </c>
      <c r="AC771" s="1" t="str">
        <f>IF($X771&lt;&gt;"",INDEX($P$2:$U$853,MATCH($X771,$W$2:$W$853,0),COLUMNS($X$2:AB771)),"")</f>
        <v/>
      </c>
      <c r="AD771" s="1" t="str">
        <f>IF($X771&lt;&gt;"",INDEX($P$2:$U$853,MATCH($X771,$W$2:$W$853,0),COLUMNS($X$2:AC771)),"")</f>
        <v/>
      </c>
    </row>
    <row r="772" spans="1:30" x14ac:dyDescent="0.2">
      <c r="A772" s="1">
        <v>2010</v>
      </c>
      <c r="B772" s="2">
        <v>40369</v>
      </c>
      <c r="C772" s="1" t="s">
        <v>535</v>
      </c>
      <c r="D772" s="1" t="s">
        <v>62</v>
      </c>
      <c r="E772" s="1" t="s">
        <v>444</v>
      </c>
      <c r="F772" s="1" t="s">
        <v>445</v>
      </c>
      <c r="G772" s="6" t="str">
        <f>VLOOKUP(A772,WorldCups!$A$2:$B$23,2,FALSE)</f>
        <v>South Africa</v>
      </c>
      <c r="H772" s="1" t="s">
        <v>30</v>
      </c>
      <c r="I772" s="1">
        <v>2</v>
      </c>
      <c r="J772" s="1">
        <v>3</v>
      </c>
      <c r="K772" s="1" t="s">
        <v>51</v>
      </c>
      <c r="L772" s="1" t="s">
        <v>14</v>
      </c>
      <c r="M772" s="1" t="str">
        <f>IF(ISNUMBER(SEARCH("Group",Table2[[#This Row],[Round]])),"Group stages",Table2[[#This Row],[Round]])</f>
        <v>Match for third place</v>
      </c>
      <c r="O772" s="1">
        <f>Table2[[#This Row],[Year]]</f>
        <v>2010</v>
      </c>
      <c r="P772" s="1" t="str">
        <f>INDEX(Table2[[HomeTeam]:[Group_details]],ROWS($N$2:N772),COLUMNS($N$2:N772))</f>
        <v>Uruguay</v>
      </c>
      <c r="Q772" s="1">
        <f>INDEX(Table2[[HomeTeam]:[Group_details]],ROWS($N$2:O772),COLUMNS($N$2:O772))</f>
        <v>2</v>
      </c>
      <c r="R772" s="1">
        <f>INDEX(Table2[[HomeTeam]:[Group_details]],ROWS($N$2:P772),COLUMNS($N$2:P772))</f>
        <v>3</v>
      </c>
      <c r="S772" s="1" t="str">
        <f>INDEX(Table2[[HomeTeam]:[Group_details]],ROWS($N$2:Q772),COLUMNS($N$2:Q772))</f>
        <v>Germany</v>
      </c>
      <c r="T772" s="1" t="str">
        <f>INDEX(Table2[[HomeTeam]:[Group_details]],ROWS($N$2:R772),COLUMNS($N$2:R772))</f>
        <v xml:space="preserve"> </v>
      </c>
      <c r="U772" s="1" t="str">
        <f>INDEX(Table2[[HomeTeam]:[Group_details]],ROWS($N$2:S772),COLUMNS($N$2:S772))</f>
        <v>Match for third place</v>
      </c>
      <c r="V772" s="1" t="b">
        <f t="shared" si="12"/>
        <v>0</v>
      </c>
      <c r="W772" s="1" t="str">
        <f>IF(V772=TRUE,ROWS($V$2:V772),"")</f>
        <v/>
      </c>
      <c r="X772" s="1" t="str">
        <f>IFERROR(SMALL($W$2:$W$853,ROWS($W$2:W772)),"")</f>
        <v/>
      </c>
      <c r="Y772" s="1" t="str">
        <f>IF($X772&lt;&gt;"",INDEX($P$2:$U$853,MATCH($X772,$W$2:$W$853,0),COLUMNS($X$2:X772)),"")</f>
        <v/>
      </c>
      <c r="Z772" s="1" t="str">
        <f>IF($X772&lt;&gt;"",INDEX($P$2:$U$853,MATCH($X772,$W$2:$W$853,0),COLUMNS($X$2:Y772)),"")</f>
        <v/>
      </c>
      <c r="AA772" s="1" t="str">
        <f>IF($X772&lt;&gt;"",INDEX($P$2:$U$853,MATCH($X772,$W$2:$W$853,0),COLUMNS($X$2:Z772)),"")</f>
        <v/>
      </c>
      <c r="AB772" s="1" t="str">
        <f>IF($X772&lt;&gt;"",INDEX($P$2:$U$853,MATCH($X772,$W$2:$W$853,0),COLUMNS($X$2:AA772)),"")</f>
        <v/>
      </c>
      <c r="AC772" s="1" t="str">
        <f>IF($X772&lt;&gt;"",INDEX($P$2:$U$853,MATCH($X772,$W$2:$W$853,0),COLUMNS($X$2:AB772)),"")</f>
        <v/>
      </c>
      <c r="AD772" s="1" t="str">
        <f>IF($X772&lt;&gt;"",INDEX($P$2:$U$853,MATCH($X772,$W$2:$W$853,0),COLUMNS($X$2:AC772)),"")</f>
        <v/>
      </c>
    </row>
    <row r="773" spans="1:30" x14ac:dyDescent="0.2">
      <c r="A773" s="1">
        <v>2010</v>
      </c>
      <c r="B773" s="2">
        <v>40370</v>
      </c>
      <c r="C773" s="1" t="s">
        <v>535</v>
      </c>
      <c r="D773" s="1" t="s">
        <v>32</v>
      </c>
      <c r="E773" s="1" t="s">
        <v>440</v>
      </c>
      <c r="F773" s="1" t="s">
        <v>441</v>
      </c>
      <c r="G773" s="6" t="str">
        <f>VLOOKUP(A773,WorldCups!$A$2:$B$23,2,FALSE)</f>
        <v>South Africa</v>
      </c>
      <c r="H773" s="1" t="s">
        <v>45</v>
      </c>
      <c r="I773" s="1">
        <v>0</v>
      </c>
      <c r="J773" s="1">
        <v>1</v>
      </c>
      <c r="K773" s="1" t="s">
        <v>54</v>
      </c>
      <c r="L773" s="1" t="s">
        <v>464</v>
      </c>
      <c r="M773" s="1" t="str">
        <f>IF(ISNUMBER(SEARCH("Group",Table2[[#This Row],[Round]])),"Group stages",Table2[[#This Row],[Round]])</f>
        <v>Final</v>
      </c>
      <c r="O773" s="1">
        <f>Table2[[#This Row],[Year]]</f>
        <v>2010</v>
      </c>
      <c r="P773" s="1" t="str">
        <f>INDEX(Table2[[HomeTeam]:[Group_details]],ROWS($N$2:N773),COLUMNS($N$2:N773))</f>
        <v>Netherlands</v>
      </c>
      <c r="Q773" s="1">
        <f>INDEX(Table2[[HomeTeam]:[Group_details]],ROWS($N$2:O773),COLUMNS($N$2:O773))</f>
        <v>0</v>
      </c>
      <c r="R773" s="1">
        <f>INDEX(Table2[[HomeTeam]:[Group_details]],ROWS($N$2:P773),COLUMNS($N$2:P773))</f>
        <v>1</v>
      </c>
      <c r="S773" s="1" t="str">
        <f>INDEX(Table2[[HomeTeam]:[Group_details]],ROWS($N$2:Q773),COLUMNS($N$2:Q773))</f>
        <v>Spain</v>
      </c>
      <c r="T773" s="1" t="str">
        <f>INDEX(Table2[[HomeTeam]:[Group_details]],ROWS($N$2:R773),COLUMNS($N$2:R773))</f>
        <v xml:space="preserve">Spain win after extra time </v>
      </c>
      <c r="U773" s="1" t="str">
        <f>INDEX(Table2[[HomeTeam]:[Group_details]],ROWS($N$2:S773),COLUMNS($N$2:S773))</f>
        <v>Final</v>
      </c>
      <c r="V773" s="1" t="b">
        <f t="shared" si="12"/>
        <v>0</v>
      </c>
      <c r="W773" s="1" t="str">
        <f>IF(V773=TRUE,ROWS($V$2:V773),"")</f>
        <v/>
      </c>
      <c r="X773" s="1" t="str">
        <f>IFERROR(SMALL($W$2:$W$853,ROWS($W$2:W773)),"")</f>
        <v/>
      </c>
      <c r="Y773" s="1" t="str">
        <f>IF($X773&lt;&gt;"",INDEX($P$2:$U$853,MATCH($X773,$W$2:$W$853,0),COLUMNS($X$2:X773)),"")</f>
        <v/>
      </c>
      <c r="Z773" s="1" t="str">
        <f>IF($X773&lt;&gt;"",INDEX($P$2:$U$853,MATCH($X773,$W$2:$W$853,0),COLUMNS($X$2:Y773)),"")</f>
        <v/>
      </c>
      <c r="AA773" s="1" t="str">
        <f>IF($X773&lt;&gt;"",INDEX($P$2:$U$853,MATCH($X773,$W$2:$W$853,0),COLUMNS($X$2:Z773)),"")</f>
        <v/>
      </c>
      <c r="AB773" s="1" t="str">
        <f>IF($X773&lt;&gt;"",INDEX($P$2:$U$853,MATCH($X773,$W$2:$W$853,0),COLUMNS($X$2:AA773)),"")</f>
        <v/>
      </c>
      <c r="AC773" s="1" t="str">
        <f>IF($X773&lt;&gt;"",INDEX($P$2:$U$853,MATCH($X773,$W$2:$W$853,0),COLUMNS($X$2:AB773)),"")</f>
        <v/>
      </c>
      <c r="AD773" s="1" t="str">
        <f>IF($X773&lt;&gt;"",INDEX($P$2:$U$853,MATCH($X773,$W$2:$W$853,0),COLUMNS($X$2:AC773)),"")</f>
        <v/>
      </c>
    </row>
    <row r="774" spans="1:30" x14ac:dyDescent="0.2">
      <c r="A774" s="1">
        <v>2014</v>
      </c>
      <c r="B774" s="2">
        <v>41802</v>
      </c>
      <c r="C774" s="1" t="s">
        <v>512</v>
      </c>
      <c r="D774" s="1" t="s">
        <v>214</v>
      </c>
      <c r="E774" s="1" t="s">
        <v>465</v>
      </c>
      <c r="F774" s="1" t="s">
        <v>97</v>
      </c>
      <c r="G774" s="6" t="str">
        <f>VLOOKUP(A774,WorldCups!$A$2:$B$23,2,FALSE)</f>
        <v>Brazil</v>
      </c>
      <c r="H774" s="1" t="s">
        <v>21</v>
      </c>
      <c r="I774" s="1">
        <v>3</v>
      </c>
      <c r="J774" s="1">
        <v>1</v>
      </c>
      <c r="K774" s="1" t="s">
        <v>360</v>
      </c>
      <c r="L774" s="1" t="s">
        <v>14</v>
      </c>
      <c r="M774" s="1" t="str">
        <f>IF(ISNUMBER(SEARCH("Group",Table2[[#This Row],[Round]])),"Group stages",Table2[[#This Row],[Round]])</f>
        <v>Group stages</v>
      </c>
      <c r="O774" s="1">
        <f>Table2[[#This Row],[Year]]</f>
        <v>2014</v>
      </c>
      <c r="P774" s="1" t="str">
        <f>INDEX(Table2[[HomeTeam]:[Group_details]],ROWS($N$2:N774),COLUMNS($N$2:N774))</f>
        <v>Brazil</v>
      </c>
      <c r="Q774" s="1">
        <f>INDEX(Table2[[HomeTeam]:[Group_details]],ROWS($N$2:O774),COLUMNS($N$2:O774))</f>
        <v>3</v>
      </c>
      <c r="R774" s="1">
        <f>INDEX(Table2[[HomeTeam]:[Group_details]],ROWS($N$2:P774),COLUMNS($N$2:P774))</f>
        <v>1</v>
      </c>
      <c r="S774" s="1" t="str">
        <f>INDEX(Table2[[HomeTeam]:[Group_details]],ROWS($N$2:Q774),COLUMNS($N$2:Q774))</f>
        <v>Croatia</v>
      </c>
      <c r="T774" s="1" t="str">
        <f>INDEX(Table2[[HomeTeam]:[Group_details]],ROWS($N$2:R774),COLUMNS($N$2:R774))</f>
        <v xml:space="preserve"> </v>
      </c>
      <c r="U774" s="1" t="str">
        <f>INDEX(Table2[[HomeTeam]:[Group_details]],ROWS($N$2:S774),COLUMNS($N$2:S774))</f>
        <v>Group stages</v>
      </c>
      <c r="V774" s="1" t="b">
        <f t="shared" si="12"/>
        <v>0</v>
      </c>
      <c r="W774" s="1" t="str">
        <f>IF(V774=TRUE,ROWS($V$2:V774),"")</f>
        <v/>
      </c>
      <c r="X774" s="1" t="str">
        <f>IFERROR(SMALL($W$2:$W$853,ROWS($W$2:W774)),"")</f>
        <v/>
      </c>
      <c r="Y774" s="1" t="str">
        <f>IF($X774&lt;&gt;"",INDEX($P$2:$U$853,MATCH($X774,$W$2:$W$853,0),COLUMNS($X$2:X774)),"")</f>
        <v/>
      </c>
      <c r="Z774" s="1" t="str">
        <f>IF($X774&lt;&gt;"",INDEX($P$2:$U$853,MATCH($X774,$W$2:$W$853,0),COLUMNS($X$2:Y774)),"")</f>
        <v/>
      </c>
      <c r="AA774" s="1" t="str">
        <f>IF($X774&lt;&gt;"",INDEX($P$2:$U$853,MATCH($X774,$W$2:$W$853,0),COLUMNS($X$2:Z774)),"")</f>
        <v/>
      </c>
      <c r="AB774" s="1" t="str">
        <f>IF($X774&lt;&gt;"",INDEX($P$2:$U$853,MATCH($X774,$W$2:$W$853,0),COLUMNS($X$2:AA774)),"")</f>
        <v/>
      </c>
      <c r="AC774" s="1" t="str">
        <f>IF($X774&lt;&gt;"",INDEX($P$2:$U$853,MATCH($X774,$W$2:$W$853,0),COLUMNS($X$2:AB774)),"")</f>
        <v/>
      </c>
      <c r="AD774" s="1" t="str">
        <f>IF($X774&lt;&gt;"",INDEX($P$2:$U$853,MATCH($X774,$W$2:$W$853,0),COLUMNS($X$2:AC774)),"")</f>
        <v/>
      </c>
    </row>
    <row r="775" spans="1:30" x14ac:dyDescent="0.2">
      <c r="A775" s="1">
        <v>2014</v>
      </c>
      <c r="B775" s="2">
        <v>41803</v>
      </c>
      <c r="C775" s="1" t="s">
        <v>507</v>
      </c>
      <c r="D775" s="1" t="s">
        <v>214</v>
      </c>
      <c r="E775" s="1" t="s">
        <v>466</v>
      </c>
      <c r="F775" s="1" t="s">
        <v>467</v>
      </c>
      <c r="G775" s="6" t="str">
        <f>VLOOKUP(A775,WorldCups!$A$2:$B$23,2,FALSE)</f>
        <v>Brazil</v>
      </c>
      <c r="H775" s="1" t="s">
        <v>13</v>
      </c>
      <c r="I775" s="1">
        <v>1</v>
      </c>
      <c r="J775" s="1">
        <v>0</v>
      </c>
      <c r="K775" s="1" t="s">
        <v>238</v>
      </c>
      <c r="L775" s="1" t="s">
        <v>14</v>
      </c>
      <c r="M775" s="1" t="str">
        <f>IF(ISNUMBER(SEARCH("Group",Table2[[#This Row],[Round]])),"Group stages",Table2[[#This Row],[Round]])</f>
        <v>Group stages</v>
      </c>
      <c r="O775" s="1">
        <f>Table2[[#This Row],[Year]]</f>
        <v>2014</v>
      </c>
      <c r="P775" s="1" t="str">
        <f>INDEX(Table2[[HomeTeam]:[Group_details]],ROWS($N$2:N775),COLUMNS($N$2:N775))</f>
        <v>Mexico</v>
      </c>
      <c r="Q775" s="1">
        <f>INDEX(Table2[[HomeTeam]:[Group_details]],ROWS($N$2:O775),COLUMNS($N$2:O775))</f>
        <v>1</v>
      </c>
      <c r="R775" s="1">
        <f>INDEX(Table2[[HomeTeam]:[Group_details]],ROWS($N$2:P775),COLUMNS($N$2:P775))</f>
        <v>0</v>
      </c>
      <c r="S775" s="1" t="str">
        <f>INDEX(Table2[[HomeTeam]:[Group_details]],ROWS($N$2:Q775),COLUMNS($N$2:Q775))</f>
        <v>Cameroon</v>
      </c>
      <c r="T775" s="1" t="str">
        <f>INDEX(Table2[[HomeTeam]:[Group_details]],ROWS($N$2:R775),COLUMNS($N$2:R775))</f>
        <v xml:space="preserve"> </v>
      </c>
      <c r="U775" s="1" t="str">
        <f>INDEX(Table2[[HomeTeam]:[Group_details]],ROWS($N$2:S775),COLUMNS($N$2:S775))</f>
        <v>Group stages</v>
      </c>
      <c r="V775" s="1" t="b">
        <f t="shared" si="12"/>
        <v>0</v>
      </c>
      <c r="W775" s="1" t="str">
        <f>IF(V775=TRUE,ROWS($V$2:V775),"")</f>
        <v/>
      </c>
      <c r="X775" s="1" t="str">
        <f>IFERROR(SMALL($W$2:$W$853,ROWS($W$2:W775)),"")</f>
        <v/>
      </c>
      <c r="Y775" s="1" t="str">
        <f>IF($X775&lt;&gt;"",INDEX($P$2:$U$853,MATCH($X775,$W$2:$W$853,0),COLUMNS($X$2:X775)),"")</f>
        <v/>
      </c>
      <c r="Z775" s="1" t="str">
        <f>IF($X775&lt;&gt;"",INDEX($P$2:$U$853,MATCH($X775,$W$2:$W$853,0),COLUMNS($X$2:Y775)),"")</f>
        <v/>
      </c>
      <c r="AA775" s="1" t="str">
        <f>IF($X775&lt;&gt;"",INDEX($P$2:$U$853,MATCH($X775,$W$2:$W$853,0),COLUMNS($X$2:Z775)),"")</f>
        <v/>
      </c>
      <c r="AB775" s="1" t="str">
        <f>IF($X775&lt;&gt;"",INDEX($P$2:$U$853,MATCH($X775,$W$2:$W$853,0),COLUMNS($X$2:AA775)),"")</f>
        <v/>
      </c>
      <c r="AC775" s="1" t="str">
        <f>IF($X775&lt;&gt;"",INDEX($P$2:$U$853,MATCH($X775,$W$2:$W$853,0),COLUMNS($X$2:AB775)),"")</f>
        <v/>
      </c>
      <c r="AD775" s="1" t="str">
        <f>IF($X775&lt;&gt;"",INDEX($P$2:$U$853,MATCH($X775,$W$2:$W$853,0),COLUMNS($X$2:AC775)),"")</f>
        <v/>
      </c>
    </row>
    <row r="776" spans="1:30" x14ac:dyDescent="0.2">
      <c r="A776" s="1">
        <v>2014</v>
      </c>
      <c r="B776" s="2">
        <v>41803</v>
      </c>
      <c r="C776" s="1" t="s">
        <v>503</v>
      </c>
      <c r="D776" s="1" t="s">
        <v>213</v>
      </c>
      <c r="E776" s="1" t="s">
        <v>468</v>
      </c>
      <c r="F776" s="1" t="s">
        <v>469</v>
      </c>
      <c r="G776" s="6" t="str">
        <f>VLOOKUP(A776,WorldCups!$A$2:$B$23,2,FALSE)</f>
        <v>Brazil</v>
      </c>
      <c r="H776" s="1" t="s">
        <v>54</v>
      </c>
      <c r="I776" s="1">
        <v>1</v>
      </c>
      <c r="J776" s="1">
        <v>5</v>
      </c>
      <c r="K776" s="1" t="s">
        <v>45</v>
      </c>
      <c r="L776" s="1" t="s">
        <v>14</v>
      </c>
      <c r="M776" s="1" t="str">
        <f>IF(ISNUMBER(SEARCH("Group",Table2[[#This Row],[Round]])),"Group stages",Table2[[#This Row],[Round]])</f>
        <v>Group stages</v>
      </c>
      <c r="O776" s="1">
        <f>Table2[[#This Row],[Year]]</f>
        <v>2014</v>
      </c>
      <c r="P776" s="1" t="str">
        <f>INDEX(Table2[[HomeTeam]:[Group_details]],ROWS($N$2:N776),COLUMNS($N$2:N776))</f>
        <v>Spain</v>
      </c>
      <c r="Q776" s="1">
        <f>INDEX(Table2[[HomeTeam]:[Group_details]],ROWS($N$2:O776),COLUMNS($N$2:O776))</f>
        <v>1</v>
      </c>
      <c r="R776" s="1">
        <f>INDEX(Table2[[HomeTeam]:[Group_details]],ROWS($N$2:P776),COLUMNS($N$2:P776))</f>
        <v>5</v>
      </c>
      <c r="S776" s="1" t="str">
        <f>INDEX(Table2[[HomeTeam]:[Group_details]],ROWS($N$2:Q776),COLUMNS($N$2:Q776))</f>
        <v>Netherlands</v>
      </c>
      <c r="T776" s="1" t="str">
        <f>INDEX(Table2[[HomeTeam]:[Group_details]],ROWS($N$2:R776),COLUMNS($N$2:R776))</f>
        <v xml:space="preserve"> </v>
      </c>
      <c r="U776" s="1" t="str">
        <f>INDEX(Table2[[HomeTeam]:[Group_details]],ROWS($N$2:S776),COLUMNS($N$2:S776))</f>
        <v>Group stages</v>
      </c>
      <c r="V776" s="1" t="b">
        <f t="shared" si="12"/>
        <v>0</v>
      </c>
      <c r="W776" s="1" t="str">
        <f>IF(V776=TRUE,ROWS($V$2:V776),"")</f>
        <v/>
      </c>
      <c r="X776" s="1" t="str">
        <f>IFERROR(SMALL($W$2:$W$853,ROWS($W$2:W776)),"")</f>
        <v/>
      </c>
      <c r="Y776" s="1" t="str">
        <f>IF($X776&lt;&gt;"",INDEX($P$2:$U$853,MATCH($X776,$W$2:$W$853,0),COLUMNS($X$2:X776)),"")</f>
        <v/>
      </c>
      <c r="Z776" s="1" t="str">
        <f>IF($X776&lt;&gt;"",INDEX($P$2:$U$853,MATCH($X776,$W$2:$W$853,0),COLUMNS($X$2:Y776)),"")</f>
        <v/>
      </c>
      <c r="AA776" s="1" t="str">
        <f>IF($X776&lt;&gt;"",INDEX($P$2:$U$853,MATCH($X776,$W$2:$W$853,0),COLUMNS($X$2:Z776)),"")</f>
        <v/>
      </c>
      <c r="AB776" s="1" t="str">
        <f>IF($X776&lt;&gt;"",INDEX($P$2:$U$853,MATCH($X776,$W$2:$W$853,0),COLUMNS($X$2:AA776)),"")</f>
        <v/>
      </c>
      <c r="AC776" s="1" t="str">
        <f>IF($X776&lt;&gt;"",INDEX($P$2:$U$853,MATCH($X776,$W$2:$W$853,0),COLUMNS($X$2:AB776)),"")</f>
        <v/>
      </c>
      <c r="AD776" s="1" t="str">
        <f>IF($X776&lt;&gt;"",INDEX($P$2:$U$853,MATCH($X776,$W$2:$W$853,0),COLUMNS($X$2:AC776)),"")</f>
        <v/>
      </c>
    </row>
    <row r="777" spans="1:30" x14ac:dyDescent="0.2">
      <c r="A777" s="1">
        <v>2014</v>
      </c>
      <c r="B777" s="2">
        <v>41803</v>
      </c>
      <c r="C777" s="1" t="s">
        <v>510</v>
      </c>
      <c r="D777" s="1" t="s">
        <v>213</v>
      </c>
      <c r="E777" s="1" t="s">
        <v>470</v>
      </c>
      <c r="F777" s="1" t="s">
        <v>471</v>
      </c>
      <c r="G777" s="6" t="str">
        <f>VLOOKUP(A777,WorldCups!$A$2:$B$23,2,FALSE)</f>
        <v>Brazil</v>
      </c>
      <c r="H777" s="1" t="s">
        <v>26</v>
      </c>
      <c r="I777" s="1">
        <v>3</v>
      </c>
      <c r="J777" s="1">
        <v>1</v>
      </c>
      <c r="K777" s="1" t="s">
        <v>199</v>
      </c>
      <c r="L777" s="1" t="s">
        <v>14</v>
      </c>
      <c r="M777" s="1" t="str">
        <f>IF(ISNUMBER(SEARCH("Group",Table2[[#This Row],[Round]])),"Group stages",Table2[[#This Row],[Round]])</f>
        <v>Group stages</v>
      </c>
      <c r="O777" s="1">
        <f>Table2[[#This Row],[Year]]</f>
        <v>2014</v>
      </c>
      <c r="P777" s="1" t="str">
        <f>INDEX(Table2[[HomeTeam]:[Group_details]],ROWS($N$2:N777),COLUMNS($N$2:N777))</f>
        <v>Chile</v>
      </c>
      <c r="Q777" s="1">
        <f>INDEX(Table2[[HomeTeam]:[Group_details]],ROWS($N$2:O777),COLUMNS($N$2:O777))</f>
        <v>3</v>
      </c>
      <c r="R777" s="1">
        <f>INDEX(Table2[[HomeTeam]:[Group_details]],ROWS($N$2:P777),COLUMNS($N$2:P777))</f>
        <v>1</v>
      </c>
      <c r="S777" s="1" t="str">
        <f>INDEX(Table2[[HomeTeam]:[Group_details]],ROWS($N$2:Q777),COLUMNS($N$2:Q777))</f>
        <v>Australia</v>
      </c>
      <c r="T777" s="1" t="str">
        <f>INDEX(Table2[[HomeTeam]:[Group_details]],ROWS($N$2:R777),COLUMNS($N$2:R777))</f>
        <v xml:space="preserve"> </v>
      </c>
      <c r="U777" s="1" t="str">
        <f>INDEX(Table2[[HomeTeam]:[Group_details]],ROWS($N$2:S777),COLUMNS($N$2:S777))</f>
        <v>Group stages</v>
      </c>
      <c r="V777" s="1" t="b">
        <f t="shared" si="12"/>
        <v>0</v>
      </c>
      <c r="W777" s="1" t="str">
        <f>IF(V777=TRUE,ROWS($V$2:V777),"")</f>
        <v/>
      </c>
      <c r="X777" s="1" t="str">
        <f>IFERROR(SMALL($W$2:$W$853,ROWS($W$2:W777)),"")</f>
        <v/>
      </c>
      <c r="Y777" s="1" t="str">
        <f>IF($X777&lt;&gt;"",INDEX($P$2:$U$853,MATCH($X777,$W$2:$W$853,0),COLUMNS($X$2:X777)),"")</f>
        <v/>
      </c>
      <c r="Z777" s="1" t="str">
        <f>IF($X777&lt;&gt;"",INDEX($P$2:$U$853,MATCH($X777,$W$2:$W$853,0),COLUMNS($X$2:Y777)),"")</f>
        <v/>
      </c>
      <c r="AA777" s="1" t="str">
        <f>IF($X777&lt;&gt;"",INDEX($P$2:$U$853,MATCH($X777,$W$2:$W$853,0),COLUMNS($X$2:Z777)),"")</f>
        <v/>
      </c>
      <c r="AB777" s="1" t="str">
        <f>IF($X777&lt;&gt;"",INDEX($P$2:$U$853,MATCH($X777,$W$2:$W$853,0),COLUMNS($X$2:AA777)),"")</f>
        <v/>
      </c>
      <c r="AC777" s="1" t="str">
        <f>IF($X777&lt;&gt;"",INDEX($P$2:$U$853,MATCH($X777,$W$2:$W$853,0),COLUMNS($X$2:AB777)),"")</f>
        <v/>
      </c>
      <c r="AD777" s="1" t="str">
        <f>IF($X777&lt;&gt;"",INDEX($P$2:$U$853,MATCH($X777,$W$2:$W$853,0),COLUMNS($X$2:AC777)),"")</f>
        <v/>
      </c>
    </row>
    <row r="778" spans="1:30" x14ac:dyDescent="0.2">
      <c r="A778" s="1">
        <v>2014</v>
      </c>
      <c r="B778" s="2">
        <v>41804</v>
      </c>
      <c r="C778" s="1" t="s">
        <v>507</v>
      </c>
      <c r="D778" s="1" t="s">
        <v>268</v>
      </c>
      <c r="E778" s="1" t="s">
        <v>472</v>
      </c>
      <c r="F778" s="1" t="s">
        <v>99</v>
      </c>
      <c r="G778" s="6" t="str">
        <f>VLOOKUP(A778,WorldCups!$A$2:$B$23,2,FALSE)</f>
        <v>Brazil</v>
      </c>
      <c r="H778" s="1" t="s">
        <v>151</v>
      </c>
      <c r="I778" s="1">
        <v>3</v>
      </c>
      <c r="J778" s="1">
        <v>0</v>
      </c>
      <c r="K778" s="1" t="s">
        <v>339</v>
      </c>
      <c r="L778" s="1" t="s">
        <v>14</v>
      </c>
      <c r="M778" s="1" t="str">
        <f>IF(ISNUMBER(SEARCH("Group",Table2[[#This Row],[Round]])),"Group stages",Table2[[#This Row],[Round]])</f>
        <v>Group stages</v>
      </c>
      <c r="O778" s="1">
        <f>Table2[[#This Row],[Year]]</f>
        <v>2014</v>
      </c>
      <c r="P778" s="1" t="str">
        <f>INDEX(Table2[[HomeTeam]:[Group_details]],ROWS($N$2:N778),COLUMNS($N$2:N778))</f>
        <v>Colombia</v>
      </c>
      <c r="Q778" s="1">
        <f>INDEX(Table2[[HomeTeam]:[Group_details]],ROWS($N$2:O778),COLUMNS($N$2:O778))</f>
        <v>3</v>
      </c>
      <c r="R778" s="1">
        <f>INDEX(Table2[[HomeTeam]:[Group_details]],ROWS($N$2:P778),COLUMNS($N$2:P778))</f>
        <v>0</v>
      </c>
      <c r="S778" s="1" t="str">
        <f>INDEX(Table2[[HomeTeam]:[Group_details]],ROWS($N$2:Q778),COLUMNS($N$2:Q778))</f>
        <v>Greece</v>
      </c>
      <c r="T778" s="1" t="str">
        <f>INDEX(Table2[[HomeTeam]:[Group_details]],ROWS($N$2:R778),COLUMNS($N$2:R778))</f>
        <v xml:space="preserve"> </v>
      </c>
      <c r="U778" s="1" t="str">
        <f>INDEX(Table2[[HomeTeam]:[Group_details]],ROWS($N$2:S778),COLUMNS($N$2:S778))</f>
        <v>Group stages</v>
      </c>
      <c r="V778" s="1" t="b">
        <f t="shared" si="12"/>
        <v>0</v>
      </c>
      <c r="W778" s="1" t="str">
        <f>IF(V778=TRUE,ROWS($V$2:V778),"")</f>
        <v/>
      </c>
      <c r="X778" s="1" t="str">
        <f>IFERROR(SMALL($W$2:$W$853,ROWS($W$2:W778)),"")</f>
        <v/>
      </c>
      <c r="Y778" s="1" t="str">
        <f>IF($X778&lt;&gt;"",INDEX($P$2:$U$853,MATCH($X778,$W$2:$W$853,0),COLUMNS($X$2:X778)),"")</f>
        <v/>
      </c>
      <c r="Z778" s="1" t="str">
        <f>IF($X778&lt;&gt;"",INDEX($P$2:$U$853,MATCH($X778,$W$2:$W$853,0),COLUMNS($X$2:Y778)),"")</f>
        <v/>
      </c>
      <c r="AA778" s="1" t="str">
        <f>IF($X778&lt;&gt;"",INDEX($P$2:$U$853,MATCH($X778,$W$2:$W$853,0),COLUMNS($X$2:Z778)),"")</f>
        <v/>
      </c>
      <c r="AB778" s="1" t="str">
        <f>IF($X778&lt;&gt;"",INDEX($P$2:$U$853,MATCH($X778,$W$2:$W$853,0),COLUMNS($X$2:AA778)),"")</f>
        <v/>
      </c>
      <c r="AC778" s="1" t="str">
        <f>IF($X778&lt;&gt;"",INDEX($P$2:$U$853,MATCH($X778,$W$2:$W$853,0),COLUMNS($X$2:AB778)),"")</f>
        <v/>
      </c>
      <c r="AD778" s="1" t="str">
        <f>IF($X778&lt;&gt;"",INDEX($P$2:$U$853,MATCH($X778,$W$2:$W$853,0),COLUMNS($X$2:AC778)),"")</f>
        <v/>
      </c>
    </row>
    <row r="779" spans="1:30" x14ac:dyDescent="0.2">
      <c r="A779" s="1">
        <v>2014</v>
      </c>
      <c r="B779" s="2">
        <v>41804</v>
      </c>
      <c r="C779" s="1" t="s">
        <v>503</v>
      </c>
      <c r="D779" s="1" t="s">
        <v>270</v>
      </c>
      <c r="E779" s="1" t="s">
        <v>473</v>
      </c>
      <c r="F779" s="1" t="s">
        <v>474</v>
      </c>
      <c r="G779" s="6" t="str">
        <f>VLOOKUP(A779,WorldCups!$A$2:$B$23,2,FALSE)</f>
        <v>Brazil</v>
      </c>
      <c r="H779" s="1" t="s">
        <v>30</v>
      </c>
      <c r="I779" s="1">
        <v>1</v>
      </c>
      <c r="J779" s="1">
        <v>3</v>
      </c>
      <c r="K779" s="1" t="s">
        <v>301</v>
      </c>
      <c r="L779" s="1" t="s">
        <v>14</v>
      </c>
      <c r="M779" s="1" t="str">
        <f>IF(ISNUMBER(SEARCH("Group",Table2[[#This Row],[Round]])),"Group stages",Table2[[#This Row],[Round]])</f>
        <v>Group stages</v>
      </c>
      <c r="O779" s="1">
        <f>Table2[[#This Row],[Year]]</f>
        <v>2014</v>
      </c>
      <c r="P779" s="1" t="str">
        <f>INDEX(Table2[[HomeTeam]:[Group_details]],ROWS($N$2:N779),COLUMNS($N$2:N779))</f>
        <v>Uruguay</v>
      </c>
      <c r="Q779" s="1">
        <f>INDEX(Table2[[HomeTeam]:[Group_details]],ROWS($N$2:O779),COLUMNS($N$2:O779))</f>
        <v>1</v>
      </c>
      <c r="R779" s="1">
        <f>INDEX(Table2[[HomeTeam]:[Group_details]],ROWS($N$2:P779),COLUMNS($N$2:P779))</f>
        <v>3</v>
      </c>
      <c r="S779" s="1" t="str">
        <f>INDEX(Table2[[HomeTeam]:[Group_details]],ROWS($N$2:Q779),COLUMNS($N$2:Q779))</f>
        <v>Costa Rica</v>
      </c>
      <c r="T779" s="1" t="str">
        <f>INDEX(Table2[[HomeTeam]:[Group_details]],ROWS($N$2:R779),COLUMNS($N$2:R779))</f>
        <v xml:space="preserve"> </v>
      </c>
      <c r="U779" s="1" t="str">
        <f>INDEX(Table2[[HomeTeam]:[Group_details]],ROWS($N$2:S779),COLUMNS($N$2:S779))</f>
        <v>Group stages</v>
      </c>
      <c r="V779" s="1" t="b">
        <f t="shared" si="12"/>
        <v>0</v>
      </c>
      <c r="W779" s="1" t="str">
        <f>IF(V779=TRUE,ROWS($V$2:V779),"")</f>
        <v/>
      </c>
      <c r="X779" s="1" t="str">
        <f>IFERROR(SMALL($W$2:$W$853,ROWS($W$2:W779)),"")</f>
        <v/>
      </c>
      <c r="Y779" s="1" t="str">
        <f>IF($X779&lt;&gt;"",INDEX($P$2:$U$853,MATCH($X779,$W$2:$W$853,0),COLUMNS($X$2:X779)),"")</f>
        <v/>
      </c>
      <c r="Z779" s="1" t="str">
        <f>IF($X779&lt;&gt;"",INDEX($P$2:$U$853,MATCH($X779,$W$2:$W$853,0),COLUMNS($X$2:Y779)),"")</f>
        <v/>
      </c>
      <c r="AA779" s="1" t="str">
        <f>IF($X779&lt;&gt;"",INDEX($P$2:$U$853,MATCH($X779,$W$2:$W$853,0),COLUMNS($X$2:Z779)),"")</f>
        <v/>
      </c>
      <c r="AB779" s="1" t="str">
        <f>IF($X779&lt;&gt;"",INDEX($P$2:$U$853,MATCH($X779,$W$2:$W$853,0),COLUMNS($X$2:AA779)),"")</f>
        <v/>
      </c>
      <c r="AC779" s="1" t="str">
        <f>IF($X779&lt;&gt;"",INDEX($P$2:$U$853,MATCH($X779,$W$2:$W$853,0),COLUMNS($X$2:AB779)),"")</f>
        <v/>
      </c>
      <c r="AD779" s="1" t="str">
        <f>IF($X779&lt;&gt;"",INDEX($P$2:$U$853,MATCH($X779,$W$2:$W$853,0),COLUMNS($X$2:AC779)),"")</f>
        <v/>
      </c>
    </row>
    <row r="780" spans="1:30" x14ac:dyDescent="0.2">
      <c r="A780" s="1">
        <v>2014</v>
      </c>
      <c r="B780" s="2">
        <v>41804</v>
      </c>
      <c r="C780" s="1" t="s">
        <v>510</v>
      </c>
      <c r="D780" s="1" t="s">
        <v>270</v>
      </c>
      <c r="E780" s="1" t="s">
        <v>475</v>
      </c>
      <c r="F780" s="1" t="s">
        <v>476</v>
      </c>
      <c r="G780" s="6" t="str">
        <f>VLOOKUP(A780,WorldCups!$A$2:$B$23,2,FALSE)</f>
        <v>Brazil</v>
      </c>
      <c r="H780" s="1" t="s">
        <v>93</v>
      </c>
      <c r="I780" s="1">
        <v>1</v>
      </c>
      <c r="J780" s="1">
        <v>2</v>
      </c>
      <c r="K780" s="1" t="s">
        <v>57</v>
      </c>
      <c r="L780" s="1" t="s">
        <v>14</v>
      </c>
      <c r="M780" s="1" t="str">
        <f>IF(ISNUMBER(SEARCH("Group",Table2[[#This Row],[Round]])),"Group stages",Table2[[#This Row],[Round]])</f>
        <v>Group stages</v>
      </c>
      <c r="O780" s="1">
        <f>Table2[[#This Row],[Year]]</f>
        <v>2014</v>
      </c>
      <c r="P780" s="1" t="str">
        <f>INDEX(Table2[[HomeTeam]:[Group_details]],ROWS($N$2:N780),COLUMNS($N$2:N780))</f>
        <v>England</v>
      </c>
      <c r="Q780" s="1">
        <f>INDEX(Table2[[HomeTeam]:[Group_details]],ROWS($N$2:O780),COLUMNS($N$2:O780))</f>
        <v>1</v>
      </c>
      <c r="R780" s="1">
        <f>INDEX(Table2[[HomeTeam]:[Group_details]],ROWS($N$2:P780),COLUMNS($N$2:P780))</f>
        <v>2</v>
      </c>
      <c r="S780" s="1" t="str">
        <f>INDEX(Table2[[HomeTeam]:[Group_details]],ROWS($N$2:Q780),COLUMNS($N$2:Q780))</f>
        <v>Italy</v>
      </c>
      <c r="T780" s="1" t="str">
        <f>INDEX(Table2[[HomeTeam]:[Group_details]],ROWS($N$2:R780),COLUMNS($N$2:R780))</f>
        <v xml:space="preserve"> </v>
      </c>
      <c r="U780" s="1" t="str">
        <f>INDEX(Table2[[HomeTeam]:[Group_details]],ROWS($N$2:S780),COLUMNS($N$2:S780))</f>
        <v>Group stages</v>
      </c>
      <c r="V780" s="1" t="b">
        <f t="shared" si="12"/>
        <v>0</v>
      </c>
      <c r="W780" s="1" t="str">
        <f>IF(V780=TRUE,ROWS($V$2:V780),"")</f>
        <v/>
      </c>
      <c r="X780" s="1" t="str">
        <f>IFERROR(SMALL($W$2:$W$853,ROWS($W$2:W780)),"")</f>
        <v/>
      </c>
      <c r="Y780" s="1" t="str">
        <f>IF($X780&lt;&gt;"",INDEX($P$2:$U$853,MATCH($X780,$W$2:$W$853,0),COLUMNS($X$2:X780)),"")</f>
        <v/>
      </c>
      <c r="Z780" s="1" t="str">
        <f>IF($X780&lt;&gt;"",INDEX($P$2:$U$853,MATCH($X780,$W$2:$W$853,0),COLUMNS($X$2:Y780)),"")</f>
        <v/>
      </c>
      <c r="AA780" s="1" t="str">
        <f>IF($X780&lt;&gt;"",INDEX($P$2:$U$853,MATCH($X780,$W$2:$W$853,0),COLUMNS($X$2:Z780)),"")</f>
        <v/>
      </c>
      <c r="AB780" s="1" t="str">
        <f>IF($X780&lt;&gt;"",INDEX($P$2:$U$853,MATCH($X780,$W$2:$W$853,0),COLUMNS($X$2:AA780)),"")</f>
        <v/>
      </c>
      <c r="AC780" s="1" t="str">
        <f>IF($X780&lt;&gt;"",INDEX($P$2:$U$853,MATCH($X780,$W$2:$W$853,0),COLUMNS($X$2:AB780)),"")</f>
        <v/>
      </c>
      <c r="AD780" s="1" t="str">
        <f>IF($X780&lt;&gt;"",INDEX($P$2:$U$853,MATCH($X780,$W$2:$W$853,0),COLUMNS($X$2:AC780)),"")</f>
        <v/>
      </c>
    </row>
    <row r="781" spans="1:30" x14ac:dyDescent="0.2">
      <c r="A781" s="1">
        <v>2014</v>
      </c>
      <c r="B781" s="2">
        <v>41804</v>
      </c>
      <c r="C781" s="1" t="s">
        <v>536</v>
      </c>
      <c r="D781" s="1" t="s">
        <v>268</v>
      </c>
      <c r="E781" s="1" t="s">
        <v>477</v>
      </c>
      <c r="F781" s="1" t="s">
        <v>103</v>
      </c>
      <c r="G781" s="6" t="str">
        <f>VLOOKUP(A781,WorldCups!$A$2:$B$23,2,FALSE)</f>
        <v>Brazil</v>
      </c>
      <c r="H781" s="1" t="s">
        <v>418</v>
      </c>
      <c r="I781" s="1">
        <v>2</v>
      </c>
      <c r="J781" s="1">
        <v>1</v>
      </c>
      <c r="K781" s="1" t="s">
        <v>356</v>
      </c>
      <c r="L781" s="1" t="s">
        <v>14</v>
      </c>
      <c r="M781" s="1" t="str">
        <f>IF(ISNUMBER(SEARCH("Group",Table2[[#This Row],[Round]])),"Group stages",Table2[[#This Row],[Round]])</f>
        <v>Group stages</v>
      </c>
      <c r="O781" s="1">
        <f>Table2[[#This Row],[Year]]</f>
        <v>2014</v>
      </c>
      <c r="P781" s="1" t="str">
        <f>INDEX(Table2[[HomeTeam]:[Group_details]],ROWS($N$2:N781),COLUMNS($N$2:N781))</f>
        <v>Cï¿½te d'Ivoire</v>
      </c>
      <c r="Q781" s="1">
        <f>INDEX(Table2[[HomeTeam]:[Group_details]],ROWS($N$2:O781),COLUMNS($N$2:O781))</f>
        <v>2</v>
      </c>
      <c r="R781" s="1">
        <f>INDEX(Table2[[HomeTeam]:[Group_details]],ROWS($N$2:P781),COLUMNS($N$2:P781))</f>
        <v>1</v>
      </c>
      <c r="S781" s="1" t="str">
        <f>INDEX(Table2[[HomeTeam]:[Group_details]],ROWS($N$2:Q781),COLUMNS($N$2:Q781))</f>
        <v>Japan</v>
      </c>
      <c r="T781" s="1" t="str">
        <f>INDEX(Table2[[HomeTeam]:[Group_details]],ROWS($N$2:R781),COLUMNS($N$2:R781))</f>
        <v xml:space="preserve"> </v>
      </c>
      <c r="U781" s="1" t="str">
        <f>INDEX(Table2[[HomeTeam]:[Group_details]],ROWS($N$2:S781),COLUMNS($N$2:S781))</f>
        <v>Group stages</v>
      </c>
      <c r="V781" s="1" t="b">
        <f t="shared" si="12"/>
        <v>0</v>
      </c>
      <c r="W781" s="1" t="str">
        <f>IF(V781=TRUE,ROWS($V$2:V781),"")</f>
        <v/>
      </c>
      <c r="X781" s="1" t="str">
        <f>IFERROR(SMALL($W$2:$W$853,ROWS($W$2:W781)),"")</f>
        <v/>
      </c>
      <c r="Y781" s="1" t="str">
        <f>IF($X781&lt;&gt;"",INDEX($P$2:$U$853,MATCH($X781,$W$2:$W$853,0),COLUMNS($X$2:X781)),"")</f>
        <v/>
      </c>
      <c r="Z781" s="1" t="str">
        <f>IF($X781&lt;&gt;"",INDEX($P$2:$U$853,MATCH($X781,$W$2:$W$853,0),COLUMNS($X$2:Y781)),"")</f>
        <v/>
      </c>
      <c r="AA781" s="1" t="str">
        <f>IF($X781&lt;&gt;"",INDEX($P$2:$U$853,MATCH($X781,$W$2:$W$853,0),COLUMNS($X$2:Z781)),"")</f>
        <v/>
      </c>
      <c r="AB781" s="1" t="str">
        <f>IF($X781&lt;&gt;"",INDEX($P$2:$U$853,MATCH($X781,$W$2:$W$853,0),COLUMNS($X$2:AA781)),"")</f>
        <v/>
      </c>
      <c r="AC781" s="1" t="str">
        <f>IF($X781&lt;&gt;"",INDEX($P$2:$U$853,MATCH($X781,$W$2:$W$853,0),COLUMNS($X$2:AB781)),"")</f>
        <v/>
      </c>
      <c r="AD781" s="1" t="str">
        <f>IF($X781&lt;&gt;"",INDEX($P$2:$U$853,MATCH($X781,$W$2:$W$853,0),COLUMNS($X$2:AC781)),"")</f>
        <v/>
      </c>
    </row>
    <row r="782" spans="1:30" x14ac:dyDescent="0.2">
      <c r="A782" s="1">
        <v>2014</v>
      </c>
      <c r="B782" s="2">
        <v>41805</v>
      </c>
      <c r="C782" s="1" t="s">
        <v>507</v>
      </c>
      <c r="D782" s="1" t="s">
        <v>281</v>
      </c>
      <c r="E782" s="1" t="s">
        <v>478</v>
      </c>
      <c r="F782" s="1" t="s">
        <v>479</v>
      </c>
      <c r="G782" s="6" t="str">
        <f>VLOOKUP(A782,WorldCups!$A$2:$B$23,2,FALSE)</f>
        <v>Brazil</v>
      </c>
      <c r="H782" s="1" t="s">
        <v>44</v>
      </c>
      <c r="I782" s="1">
        <v>2</v>
      </c>
      <c r="J782" s="1">
        <v>1</v>
      </c>
      <c r="K782" s="1" t="s">
        <v>382</v>
      </c>
      <c r="L782" s="1" t="s">
        <v>14</v>
      </c>
      <c r="M782" s="1" t="str">
        <f>IF(ISNUMBER(SEARCH("Group",Table2[[#This Row],[Round]])),"Group stages",Table2[[#This Row],[Round]])</f>
        <v>Group stages</v>
      </c>
      <c r="O782" s="1">
        <f>Table2[[#This Row],[Year]]</f>
        <v>2014</v>
      </c>
      <c r="P782" s="1" t="str">
        <f>INDEX(Table2[[HomeTeam]:[Group_details]],ROWS($N$2:N782),COLUMNS($N$2:N782))</f>
        <v>Switzerland</v>
      </c>
      <c r="Q782" s="1">
        <f>INDEX(Table2[[HomeTeam]:[Group_details]],ROWS($N$2:O782),COLUMNS($N$2:O782))</f>
        <v>2</v>
      </c>
      <c r="R782" s="1">
        <f>INDEX(Table2[[HomeTeam]:[Group_details]],ROWS($N$2:P782),COLUMNS($N$2:P782))</f>
        <v>1</v>
      </c>
      <c r="S782" s="1" t="str">
        <f>INDEX(Table2[[HomeTeam]:[Group_details]],ROWS($N$2:Q782),COLUMNS($N$2:Q782))</f>
        <v>Ecuador</v>
      </c>
      <c r="T782" s="1" t="str">
        <f>INDEX(Table2[[HomeTeam]:[Group_details]],ROWS($N$2:R782),COLUMNS($N$2:R782))</f>
        <v xml:space="preserve"> </v>
      </c>
      <c r="U782" s="1" t="str">
        <f>INDEX(Table2[[HomeTeam]:[Group_details]],ROWS($N$2:S782),COLUMNS($N$2:S782))</f>
        <v>Group stages</v>
      </c>
      <c r="V782" s="1" t="b">
        <f t="shared" si="12"/>
        <v>0</v>
      </c>
      <c r="W782" s="1" t="str">
        <f>IF(V782=TRUE,ROWS($V$2:V782),"")</f>
        <v/>
      </c>
      <c r="X782" s="1" t="str">
        <f>IFERROR(SMALL($W$2:$W$853,ROWS($W$2:W782)),"")</f>
        <v/>
      </c>
      <c r="Y782" s="1" t="str">
        <f>IF($X782&lt;&gt;"",INDEX($P$2:$U$853,MATCH($X782,$W$2:$W$853,0),COLUMNS($X$2:X782)),"")</f>
        <v/>
      </c>
      <c r="Z782" s="1" t="str">
        <f>IF($X782&lt;&gt;"",INDEX($P$2:$U$853,MATCH($X782,$W$2:$W$853,0),COLUMNS($X$2:Y782)),"")</f>
        <v/>
      </c>
      <c r="AA782" s="1" t="str">
        <f>IF($X782&lt;&gt;"",INDEX($P$2:$U$853,MATCH($X782,$W$2:$W$853,0),COLUMNS($X$2:Z782)),"")</f>
        <v/>
      </c>
      <c r="AB782" s="1" t="str">
        <f>IF($X782&lt;&gt;"",INDEX($P$2:$U$853,MATCH($X782,$W$2:$W$853,0),COLUMNS($X$2:AA782)),"")</f>
        <v/>
      </c>
      <c r="AC782" s="1" t="str">
        <f>IF($X782&lt;&gt;"",INDEX($P$2:$U$853,MATCH($X782,$W$2:$W$853,0),COLUMNS($X$2:AB782)),"")</f>
        <v/>
      </c>
      <c r="AD782" s="1" t="str">
        <f>IF($X782&lt;&gt;"",INDEX($P$2:$U$853,MATCH($X782,$W$2:$W$853,0),COLUMNS($X$2:AC782)),"")</f>
        <v/>
      </c>
    </row>
    <row r="783" spans="1:30" x14ac:dyDescent="0.2">
      <c r="A783" s="1">
        <v>2014</v>
      </c>
      <c r="B783" s="2">
        <v>41805</v>
      </c>
      <c r="C783" s="1" t="s">
        <v>503</v>
      </c>
      <c r="D783" s="1" t="s">
        <v>281</v>
      </c>
      <c r="E783" s="1" t="s">
        <v>480</v>
      </c>
      <c r="F783" s="1" t="s">
        <v>101</v>
      </c>
      <c r="G783" s="6" t="str">
        <f>VLOOKUP(A783,WorldCups!$A$2:$B$23,2,FALSE)</f>
        <v>Brazil</v>
      </c>
      <c r="H783" s="1" t="s">
        <v>12</v>
      </c>
      <c r="I783" s="1">
        <v>3</v>
      </c>
      <c r="J783" s="1">
        <v>0</v>
      </c>
      <c r="K783" s="1" t="s">
        <v>252</v>
      </c>
      <c r="L783" s="1" t="s">
        <v>14</v>
      </c>
      <c r="M783" s="1" t="str">
        <f>IF(ISNUMBER(SEARCH("Group",Table2[[#This Row],[Round]])),"Group stages",Table2[[#This Row],[Round]])</f>
        <v>Group stages</v>
      </c>
      <c r="O783" s="1">
        <f>Table2[[#This Row],[Year]]</f>
        <v>2014</v>
      </c>
      <c r="P783" s="1" t="str">
        <f>INDEX(Table2[[HomeTeam]:[Group_details]],ROWS($N$2:N783),COLUMNS($N$2:N783))</f>
        <v>France</v>
      </c>
      <c r="Q783" s="1">
        <f>INDEX(Table2[[HomeTeam]:[Group_details]],ROWS($N$2:O783),COLUMNS($N$2:O783))</f>
        <v>3</v>
      </c>
      <c r="R783" s="1">
        <f>INDEX(Table2[[HomeTeam]:[Group_details]],ROWS($N$2:P783),COLUMNS($N$2:P783))</f>
        <v>0</v>
      </c>
      <c r="S783" s="1" t="str">
        <f>INDEX(Table2[[HomeTeam]:[Group_details]],ROWS($N$2:Q783),COLUMNS($N$2:Q783))</f>
        <v>Honduras</v>
      </c>
      <c r="T783" s="1" t="str">
        <f>INDEX(Table2[[HomeTeam]:[Group_details]],ROWS($N$2:R783),COLUMNS($N$2:R783))</f>
        <v xml:space="preserve"> </v>
      </c>
      <c r="U783" s="1" t="str">
        <f>INDEX(Table2[[HomeTeam]:[Group_details]],ROWS($N$2:S783),COLUMNS($N$2:S783))</f>
        <v>Group stages</v>
      </c>
      <c r="V783" s="1" t="b">
        <f t="shared" si="12"/>
        <v>0</v>
      </c>
      <c r="W783" s="1" t="str">
        <f>IF(V783=TRUE,ROWS($V$2:V783),"")</f>
        <v/>
      </c>
      <c r="X783" s="1" t="str">
        <f>IFERROR(SMALL($W$2:$W$853,ROWS($W$2:W783)),"")</f>
        <v/>
      </c>
      <c r="Y783" s="1" t="str">
        <f>IF($X783&lt;&gt;"",INDEX($P$2:$U$853,MATCH($X783,$W$2:$W$853,0),COLUMNS($X$2:X783)),"")</f>
        <v/>
      </c>
      <c r="Z783" s="1" t="str">
        <f>IF($X783&lt;&gt;"",INDEX($P$2:$U$853,MATCH($X783,$W$2:$W$853,0),COLUMNS($X$2:Y783)),"")</f>
        <v/>
      </c>
      <c r="AA783" s="1" t="str">
        <f>IF($X783&lt;&gt;"",INDEX($P$2:$U$853,MATCH($X783,$W$2:$W$853,0),COLUMNS($X$2:Z783)),"")</f>
        <v/>
      </c>
      <c r="AB783" s="1" t="str">
        <f>IF($X783&lt;&gt;"",INDEX($P$2:$U$853,MATCH($X783,$W$2:$W$853,0),COLUMNS($X$2:AA783)),"")</f>
        <v/>
      </c>
      <c r="AC783" s="1" t="str">
        <f>IF($X783&lt;&gt;"",INDEX($P$2:$U$853,MATCH($X783,$W$2:$W$853,0),COLUMNS($X$2:AB783)),"")</f>
        <v/>
      </c>
      <c r="AD783" s="1" t="str">
        <f>IF($X783&lt;&gt;"",INDEX($P$2:$U$853,MATCH($X783,$W$2:$W$853,0),COLUMNS($X$2:AC783)),"")</f>
        <v/>
      </c>
    </row>
    <row r="784" spans="1:30" x14ac:dyDescent="0.2">
      <c r="A784" s="1">
        <v>2014</v>
      </c>
      <c r="B784" s="2">
        <v>41805</v>
      </c>
      <c r="C784" s="1" t="s">
        <v>521</v>
      </c>
      <c r="D784" s="1" t="s">
        <v>274</v>
      </c>
      <c r="E784" s="1" t="s">
        <v>481</v>
      </c>
      <c r="F784" s="1" t="s">
        <v>92</v>
      </c>
      <c r="G784" s="6" t="str">
        <f>VLOOKUP(A784,WorldCups!$A$2:$B$23,2,FALSE)</f>
        <v>Brazil</v>
      </c>
      <c r="H784" s="1" t="s">
        <v>25</v>
      </c>
      <c r="I784" s="1">
        <v>2</v>
      </c>
      <c r="J784" s="1">
        <v>1</v>
      </c>
      <c r="K784" s="1" t="s">
        <v>482</v>
      </c>
      <c r="L784" s="1" t="s">
        <v>14</v>
      </c>
      <c r="M784" s="1" t="str">
        <f>IF(ISNUMBER(SEARCH("Group",Table2[[#This Row],[Round]])),"Group stages",Table2[[#This Row],[Round]])</f>
        <v>Group stages</v>
      </c>
      <c r="O784" s="1">
        <f>Table2[[#This Row],[Year]]</f>
        <v>2014</v>
      </c>
      <c r="P784" s="1" t="str">
        <f>INDEX(Table2[[HomeTeam]:[Group_details]],ROWS($N$2:N784),COLUMNS($N$2:N784))</f>
        <v>Argentina</v>
      </c>
      <c r="Q784" s="1">
        <f>INDEX(Table2[[HomeTeam]:[Group_details]],ROWS($N$2:O784),COLUMNS($N$2:O784))</f>
        <v>2</v>
      </c>
      <c r="R784" s="1">
        <f>INDEX(Table2[[HomeTeam]:[Group_details]],ROWS($N$2:P784),COLUMNS($N$2:P784))</f>
        <v>1</v>
      </c>
      <c r="S784" s="1" t="str">
        <f>INDEX(Table2[[HomeTeam]:[Group_details]],ROWS($N$2:Q784),COLUMNS($N$2:Q784))</f>
        <v>Bosnia and Herzegovina</v>
      </c>
      <c r="T784" s="1" t="str">
        <f>INDEX(Table2[[HomeTeam]:[Group_details]],ROWS($N$2:R784),COLUMNS($N$2:R784))</f>
        <v xml:space="preserve"> </v>
      </c>
      <c r="U784" s="1" t="str">
        <f>INDEX(Table2[[HomeTeam]:[Group_details]],ROWS($N$2:S784),COLUMNS($N$2:S784))</f>
        <v>Group stages</v>
      </c>
      <c r="V784" s="1" t="b">
        <f t="shared" si="12"/>
        <v>0</v>
      </c>
      <c r="W784" s="1" t="str">
        <f>IF(V784=TRUE,ROWS($V$2:V784),"")</f>
        <v/>
      </c>
      <c r="X784" s="1" t="str">
        <f>IFERROR(SMALL($W$2:$W$853,ROWS($W$2:W784)),"")</f>
        <v/>
      </c>
      <c r="Y784" s="1" t="str">
        <f>IF($X784&lt;&gt;"",INDEX($P$2:$U$853,MATCH($X784,$W$2:$W$853,0),COLUMNS($X$2:X784)),"")</f>
        <v/>
      </c>
      <c r="Z784" s="1" t="str">
        <f>IF($X784&lt;&gt;"",INDEX($P$2:$U$853,MATCH($X784,$W$2:$W$853,0),COLUMNS($X$2:Y784)),"")</f>
        <v/>
      </c>
      <c r="AA784" s="1" t="str">
        <f>IF($X784&lt;&gt;"",INDEX($P$2:$U$853,MATCH($X784,$W$2:$W$853,0),COLUMNS($X$2:Z784)),"")</f>
        <v/>
      </c>
      <c r="AB784" s="1" t="str">
        <f>IF($X784&lt;&gt;"",INDEX($P$2:$U$853,MATCH($X784,$W$2:$W$853,0),COLUMNS($X$2:AA784)),"")</f>
        <v/>
      </c>
      <c r="AC784" s="1" t="str">
        <f>IF($X784&lt;&gt;"",INDEX($P$2:$U$853,MATCH($X784,$W$2:$W$853,0),COLUMNS($X$2:AB784)),"")</f>
        <v/>
      </c>
      <c r="AD784" s="1" t="str">
        <f>IF($X784&lt;&gt;"",INDEX($P$2:$U$853,MATCH($X784,$W$2:$W$853,0),COLUMNS($X$2:AC784)),"")</f>
        <v/>
      </c>
    </row>
    <row r="785" spans="1:30" x14ac:dyDescent="0.2">
      <c r="A785" s="1">
        <v>2014</v>
      </c>
      <c r="B785" s="2">
        <v>41806</v>
      </c>
      <c r="C785" s="1" t="s">
        <v>507</v>
      </c>
      <c r="D785" s="1" t="s">
        <v>361</v>
      </c>
      <c r="E785" s="1" t="s">
        <v>468</v>
      </c>
      <c r="F785" s="1" t="s">
        <v>469</v>
      </c>
      <c r="G785" s="6" t="str">
        <f>VLOOKUP(A785,WorldCups!$A$2:$B$23,2,FALSE)</f>
        <v>Brazil</v>
      </c>
      <c r="H785" s="1" t="s">
        <v>51</v>
      </c>
      <c r="I785" s="1">
        <v>4</v>
      </c>
      <c r="J785" s="1">
        <v>0</v>
      </c>
      <c r="K785" s="1" t="s">
        <v>170</v>
      </c>
      <c r="L785" s="1" t="s">
        <v>14</v>
      </c>
      <c r="M785" s="1" t="str">
        <f>IF(ISNUMBER(SEARCH("Group",Table2[[#This Row],[Round]])),"Group stages",Table2[[#This Row],[Round]])</f>
        <v>Group stages</v>
      </c>
      <c r="O785" s="1">
        <f>Table2[[#This Row],[Year]]</f>
        <v>2014</v>
      </c>
      <c r="P785" s="1" t="str">
        <f>INDEX(Table2[[HomeTeam]:[Group_details]],ROWS($N$2:N785),COLUMNS($N$2:N785))</f>
        <v>Germany</v>
      </c>
      <c r="Q785" s="1">
        <f>INDEX(Table2[[HomeTeam]:[Group_details]],ROWS($N$2:O785),COLUMNS($N$2:O785))</f>
        <v>4</v>
      </c>
      <c r="R785" s="1">
        <f>INDEX(Table2[[HomeTeam]:[Group_details]],ROWS($N$2:P785),COLUMNS($N$2:P785))</f>
        <v>0</v>
      </c>
      <c r="S785" s="1" t="str">
        <f>INDEX(Table2[[HomeTeam]:[Group_details]],ROWS($N$2:Q785),COLUMNS($N$2:Q785))</f>
        <v>Portugal</v>
      </c>
      <c r="T785" s="1" t="str">
        <f>INDEX(Table2[[HomeTeam]:[Group_details]],ROWS($N$2:R785),COLUMNS($N$2:R785))</f>
        <v xml:space="preserve"> </v>
      </c>
      <c r="U785" s="1" t="str">
        <f>INDEX(Table2[[HomeTeam]:[Group_details]],ROWS($N$2:S785),COLUMNS($N$2:S785))</f>
        <v>Group stages</v>
      </c>
      <c r="V785" s="1" t="b">
        <f t="shared" si="12"/>
        <v>0</v>
      </c>
      <c r="W785" s="1" t="str">
        <f>IF(V785=TRUE,ROWS($V$2:V785),"")</f>
        <v/>
      </c>
      <c r="X785" s="1" t="str">
        <f>IFERROR(SMALL($W$2:$W$853,ROWS($W$2:W785)),"")</f>
        <v/>
      </c>
      <c r="Y785" s="1" t="str">
        <f>IF($X785&lt;&gt;"",INDEX($P$2:$U$853,MATCH($X785,$W$2:$W$853,0),COLUMNS($X$2:X785)),"")</f>
        <v/>
      </c>
      <c r="Z785" s="1" t="str">
        <f>IF($X785&lt;&gt;"",INDEX($P$2:$U$853,MATCH($X785,$W$2:$W$853,0),COLUMNS($X$2:Y785)),"")</f>
        <v/>
      </c>
      <c r="AA785" s="1" t="str">
        <f>IF($X785&lt;&gt;"",INDEX($P$2:$U$853,MATCH($X785,$W$2:$W$853,0),COLUMNS($X$2:Z785)),"")</f>
        <v/>
      </c>
      <c r="AB785" s="1" t="str">
        <f>IF($X785&lt;&gt;"",INDEX($P$2:$U$853,MATCH($X785,$W$2:$W$853,0),COLUMNS($X$2:AA785)),"")</f>
        <v/>
      </c>
      <c r="AC785" s="1" t="str">
        <f>IF($X785&lt;&gt;"",INDEX($P$2:$U$853,MATCH($X785,$W$2:$W$853,0),COLUMNS($X$2:AB785)),"")</f>
        <v/>
      </c>
      <c r="AD785" s="1" t="str">
        <f>IF($X785&lt;&gt;"",INDEX($P$2:$U$853,MATCH($X785,$W$2:$W$853,0),COLUMNS($X$2:AC785)),"")</f>
        <v/>
      </c>
    </row>
    <row r="786" spans="1:30" x14ac:dyDescent="0.2">
      <c r="A786" s="1">
        <v>2014</v>
      </c>
      <c r="B786" s="2">
        <v>41806</v>
      </c>
      <c r="C786" s="1" t="s">
        <v>503</v>
      </c>
      <c r="D786" s="1" t="s">
        <v>274</v>
      </c>
      <c r="E786" s="1" t="s">
        <v>483</v>
      </c>
      <c r="F786" s="1" t="s">
        <v>95</v>
      </c>
      <c r="G786" s="6" t="str">
        <f>VLOOKUP(A786,WorldCups!$A$2:$B$23,2,FALSE)</f>
        <v>Brazil</v>
      </c>
      <c r="H786" s="1" t="s">
        <v>227</v>
      </c>
      <c r="I786" s="1">
        <v>0</v>
      </c>
      <c r="J786" s="1">
        <v>0</v>
      </c>
      <c r="K786" s="1" t="s">
        <v>340</v>
      </c>
      <c r="L786" s="1" t="s">
        <v>14</v>
      </c>
      <c r="M786" s="1" t="str">
        <f>IF(ISNUMBER(SEARCH("Group",Table2[[#This Row],[Round]])),"Group stages",Table2[[#This Row],[Round]])</f>
        <v>Group stages</v>
      </c>
      <c r="O786" s="1">
        <f>Table2[[#This Row],[Year]]</f>
        <v>2014</v>
      </c>
      <c r="P786" s="1" t="str">
        <f>INDEX(Table2[[HomeTeam]:[Group_details]],ROWS($N$2:N786),COLUMNS($N$2:N786))</f>
        <v>IR Iran</v>
      </c>
      <c r="Q786" s="1">
        <f>INDEX(Table2[[HomeTeam]:[Group_details]],ROWS($N$2:O786),COLUMNS($N$2:O786))</f>
        <v>0</v>
      </c>
      <c r="R786" s="1">
        <f>INDEX(Table2[[HomeTeam]:[Group_details]],ROWS($N$2:P786),COLUMNS($N$2:P786))</f>
        <v>0</v>
      </c>
      <c r="S786" s="1" t="str">
        <f>INDEX(Table2[[HomeTeam]:[Group_details]],ROWS($N$2:Q786),COLUMNS($N$2:Q786))</f>
        <v>Nigeria</v>
      </c>
      <c r="T786" s="1" t="str">
        <f>INDEX(Table2[[HomeTeam]:[Group_details]],ROWS($N$2:R786),COLUMNS($N$2:R786))</f>
        <v xml:space="preserve"> </v>
      </c>
      <c r="U786" s="1" t="str">
        <f>INDEX(Table2[[HomeTeam]:[Group_details]],ROWS($N$2:S786),COLUMNS($N$2:S786))</f>
        <v>Group stages</v>
      </c>
      <c r="V786" s="1" t="b">
        <f t="shared" si="12"/>
        <v>0</v>
      </c>
      <c r="W786" s="1" t="str">
        <f>IF(V786=TRUE,ROWS($V$2:V786),"")</f>
        <v/>
      </c>
      <c r="X786" s="1" t="str">
        <f>IFERROR(SMALL($W$2:$W$853,ROWS($W$2:W786)),"")</f>
        <v/>
      </c>
      <c r="Y786" s="1" t="str">
        <f>IF($X786&lt;&gt;"",INDEX($P$2:$U$853,MATCH($X786,$W$2:$W$853,0),COLUMNS($X$2:X786)),"")</f>
        <v/>
      </c>
      <c r="Z786" s="1" t="str">
        <f>IF($X786&lt;&gt;"",INDEX($P$2:$U$853,MATCH($X786,$W$2:$W$853,0),COLUMNS($X$2:Y786)),"")</f>
        <v/>
      </c>
      <c r="AA786" s="1" t="str">
        <f>IF($X786&lt;&gt;"",INDEX($P$2:$U$853,MATCH($X786,$W$2:$W$853,0),COLUMNS($X$2:Z786)),"")</f>
        <v/>
      </c>
      <c r="AB786" s="1" t="str">
        <f>IF($X786&lt;&gt;"",INDEX($P$2:$U$853,MATCH($X786,$W$2:$W$853,0),COLUMNS($X$2:AA786)),"")</f>
        <v/>
      </c>
      <c r="AC786" s="1" t="str">
        <f>IF($X786&lt;&gt;"",INDEX($P$2:$U$853,MATCH($X786,$W$2:$W$853,0),COLUMNS($X$2:AB786)),"")</f>
        <v/>
      </c>
      <c r="AD786" s="1" t="str">
        <f>IF($X786&lt;&gt;"",INDEX($P$2:$U$853,MATCH($X786,$W$2:$W$853,0),COLUMNS($X$2:AC786)),"")</f>
        <v/>
      </c>
    </row>
    <row r="787" spans="1:30" x14ac:dyDescent="0.2">
      <c r="A787" s="1">
        <v>2014</v>
      </c>
      <c r="B787" s="2">
        <v>41806</v>
      </c>
      <c r="C787" s="1" t="s">
        <v>521</v>
      </c>
      <c r="D787" s="1" t="s">
        <v>361</v>
      </c>
      <c r="E787" s="1" t="s">
        <v>466</v>
      </c>
      <c r="F787" s="1" t="s">
        <v>467</v>
      </c>
      <c r="G787" s="6" t="str">
        <f>VLOOKUP(A787,WorldCups!$A$2:$B$23,2,FALSE)</f>
        <v>Brazil</v>
      </c>
      <c r="H787" s="1" t="s">
        <v>431</v>
      </c>
      <c r="I787" s="1">
        <v>1</v>
      </c>
      <c r="J787" s="1">
        <v>2</v>
      </c>
      <c r="K787" s="1" t="s">
        <v>17</v>
      </c>
      <c r="L787" s="1" t="s">
        <v>14</v>
      </c>
      <c r="M787" s="1" t="str">
        <f>IF(ISNUMBER(SEARCH("Group",Table2[[#This Row],[Round]])),"Group stages",Table2[[#This Row],[Round]])</f>
        <v>Group stages</v>
      </c>
      <c r="O787" s="1">
        <f>Table2[[#This Row],[Year]]</f>
        <v>2014</v>
      </c>
      <c r="P787" s="1" t="str">
        <f>INDEX(Table2[[HomeTeam]:[Group_details]],ROWS($N$2:N787),COLUMNS($N$2:N787))</f>
        <v>Ghana</v>
      </c>
      <c r="Q787" s="1">
        <f>INDEX(Table2[[HomeTeam]:[Group_details]],ROWS($N$2:O787),COLUMNS($N$2:O787))</f>
        <v>1</v>
      </c>
      <c r="R787" s="1">
        <f>INDEX(Table2[[HomeTeam]:[Group_details]],ROWS($N$2:P787),COLUMNS($N$2:P787))</f>
        <v>2</v>
      </c>
      <c r="S787" s="1" t="str">
        <f>INDEX(Table2[[HomeTeam]:[Group_details]],ROWS($N$2:Q787),COLUMNS($N$2:Q787))</f>
        <v>USA</v>
      </c>
      <c r="T787" s="1" t="str">
        <f>INDEX(Table2[[HomeTeam]:[Group_details]],ROWS($N$2:R787),COLUMNS($N$2:R787))</f>
        <v xml:space="preserve"> </v>
      </c>
      <c r="U787" s="1" t="str">
        <f>INDEX(Table2[[HomeTeam]:[Group_details]],ROWS($N$2:S787),COLUMNS($N$2:S787))</f>
        <v>Group stages</v>
      </c>
      <c r="V787" s="1" t="b">
        <f t="shared" si="12"/>
        <v>0</v>
      </c>
      <c r="W787" s="1" t="str">
        <f>IF(V787=TRUE,ROWS($V$2:V787),"")</f>
        <v/>
      </c>
      <c r="X787" s="1" t="str">
        <f>IFERROR(SMALL($W$2:$W$853,ROWS($W$2:W787)),"")</f>
        <v/>
      </c>
      <c r="Y787" s="1" t="str">
        <f>IF($X787&lt;&gt;"",INDEX($P$2:$U$853,MATCH($X787,$W$2:$W$853,0),COLUMNS($X$2:X787)),"")</f>
        <v/>
      </c>
      <c r="Z787" s="1" t="str">
        <f>IF($X787&lt;&gt;"",INDEX($P$2:$U$853,MATCH($X787,$W$2:$W$853,0),COLUMNS($X$2:Y787)),"")</f>
        <v/>
      </c>
      <c r="AA787" s="1" t="str">
        <f>IF($X787&lt;&gt;"",INDEX($P$2:$U$853,MATCH($X787,$W$2:$W$853,0),COLUMNS($X$2:Z787)),"")</f>
        <v/>
      </c>
      <c r="AB787" s="1" t="str">
        <f>IF($X787&lt;&gt;"",INDEX($P$2:$U$853,MATCH($X787,$W$2:$W$853,0),COLUMNS($X$2:AA787)),"")</f>
        <v/>
      </c>
      <c r="AC787" s="1" t="str">
        <f>IF($X787&lt;&gt;"",INDEX($P$2:$U$853,MATCH($X787,$W$2:$W$853,0),COLUMNS($X$2:AB787)),"")</f>
        <v/>
      </c>
      <c r="AD787" s="1" t="str">
        <f>IF($X787&lt;&gt;"",INDEX($P$2:$U$853,MATCH($X787,$W$2:$W$853,0),COLUMNS($X$2:AC787)),"")</f>
        <v/>
      </c>
    </row>
    <row r="788" spans="1:30" x14ac:dyDescent="0.2">
      <c r="A788" s="1">
        <v>2014</v>
      </c>
      <c r="B788" s="2">
        <v>41807</v>
      </c>
      <c r="C788" s="1" t="s">
        <v>507</v>
      </c>
      <c r="D788" s="1" t="s">
        <v>355</v>
      </c>
      <c r="E788" s="1" t="s">
        <v>472</v>
      </c>
      <c r="F788" s="1" t="s">
        <v>99</v>
      </c>
      <c r="G788" s="6" t="str">
        <f>VLOOKUP(A788,WorldCups!$A$2:$B$23,2,FALSE)</f>
        <v>Brazil</v>
      </c>
      <c r="H788" s="1" t="s">
        <v>18</v>
      </c>
      <c r="I788" s="1">
        <v>2</v>
      </c>
      <c r="J788" s="1">
        <v>1</v>
      </c>
      <c r="K788" s="1" t="s">
        <v>246</v>
      </c>
      <c r="L788" s="1" t="s">
        <v>14</v>
      </c>
      <c r="M788" s="1" t="str">
        <f>IF(ISNUMBER(SEARCH("Group",Table2[[#This Row],[Round]])),"Group stages",Table2[[#This Row],[Round]])</f>
        <v>Group stages</v>
      </c>
      <c r="O788" s="1">
        <f>Table2[[#This Row],[Year]]</f>
        <v>2014</v>
      </c>
      <c r="P788" s="1" t="str">
        <f>INDEX(Table2[[HomeTeam]:[Group_details]],ROWS($N$2:N788),COLUMNS($N$2:N788))</f>
        <v>Belgium</v>
      </c>
      <c r="Q788" s="1">
        <f>INDEX(Table2[[HomeTeam]:[Group_details]],ROWS($N$2:O788),COLUMNS($N$2:O788))</f>
        <v>2</v>
      </c>
      <c r="R788" s="1">
        <f>INDEX(Table2[[HomeTeam]:[Group_details]],ROWS($N$2:P788),COLUMNS($N$2:P788))</f>
        <v>1</v>
      </c>
      <c r="S788" s="1" t="str">
        <f>INDEX(Table2[[HomeTeam]:[Group_details]],ROWS($N$2:Q788),COLUMNS($N$2:Q788))</f>
        <v>Algeria</v>
      </c>
      <c r="T788" s="1" t="str">
        <f>INDEX(Table2[[HomeTeam]:[Group_details]],ROWS($N$2:R788),COLUMNS($N$2:R788))</f>
        <v xml:space="preserve"> </v>
      </c>
      <c r="U788" s="1" t="str">
        <f>INDEX(Table2[[HomeTeam]:[Group_details]],ROWS($N$2:S788),COLUMNS($N$2:S788))</f>
        <v>Group stages</v>
      </c>
      <c r="V788" s="1" t="b">
        <f t="shared" si="12"/>
        <v>0</v>
      </c>
      <c r="W788" s="1" t="str">
        <f>IF(V788=TRUE,ROWS($V$2:V788),"")</f>
        <v/>
      </c>
      <c r="X788" s="1" t="str">
        <f>IFERROR(SMALL($W$2:$W$853,ROWS($W$2:W788)),"")</f>
        <v/>
      </c>
      <c r="Y788" s="1" t="str">
        <f>IF($X788&lt;&gt;"",INDEX($P$2:$U$853,MATCH($X788,$W$2:$W$853,0),COLUMNS($X$2:X788)),"")</f>
        <v/>
      </c>
      <c r="Z788" s="1" t="str">
        <f>IF($X788&lt;&gt;"",INDEX($P$2:$U$853,MATCH($X788,$W$2:$W$853,0),COLUMNS($X$2:Y788)),"")</f>
        <v/>
      </c>
      <c r="AA788" s="1" t="str">
        <f>IF($X788&lt;&gt;"",INDEX($P$2:$U$853,MATCH($X788,$W$2:$W$853,0),COLUMNS($X$2:Z788)),"")</f>
        <v/>
      </c>
      <c r="AB788" s="1" t="str">
        <f>IF($X788&lt;&gt;"",INDEX($P$2:$U$853,MATCH($X788,$W$2:$W$853,0),COLUMNS($X$2:AA788)),"")</f>
        <v/>
      </c>
      <c r="AC788" s="1" t="str">
        <f>IF($X788&lt;&gt;"",INDEX($P$2:$U$853,MATCH($X788,$W$2:$W$853,0),COLUMNS($X$2:AB788)),"")</f>
        <v/>
      </c>
      <c r="AD788" s="1" t="str">
        <f>IF($X788&lt;&gt;"",INDEX($P$2:$U$853,MATCH($X788,$W$2:$W$853,0),COLUMNS($X$2:AC788)),"")</f>
        <v/>
      </c>
    </row>
    <row r="789" spans="1:30" x14ac:dyDescent="0.2">
      <c r="A789" s="1">
        <v>2014</v>
      </c>
      <c r="B789" s="2">
        <v>41807</v>
      </c>
      <c r="C789" s="1" t="s">
        <v>503</v>
      </c>
      <c r="D789" s="1" t="s">
        <v>214</v>
      </c>
      <c r="E789" s="1" t="s">
        <v>473</v>
      </c>
      <c r="F789" s="1" t="s">
        <v>474</v>
      </c>
      <c r="G789" s="6" t="str">
        <f>VLOOKUP(A789,WorldCups!$A$2:$B$23,2,FALSE)</f>
        <v>Brazil</v>
      </c>
      <c r="H789" s="1" t="s">
        <v>21</v>
      </c>
      <c r="I789" s="1">
        <v>0</v>
      </c>
      <c r="J789" s="1">
        <v>0</v>
      </c>
      <c r="K789" s="1" t="s">
        <v>13</v>
      </c>
      <c r="L789" s="1" t="s">
        <v>14</v>
      </c>
      <c r="M789" s="1" t="str">
        <f>IF(ISNUMBER(SEARCH("Group",Table2[[#This Row],[Round]])),"Group stages",Table2[[#This Row],[Round]])</f>
        <v>Group stages</v>
      </c>
      <c r="O789" s="1">
        <f>Table2[[#This Row],[Year]]</f>
        <v>2014</v>
      </c>
      <c r="P789" s="1" t="str">
        <f>INDEX(Table2[[HomeTeam]:[Group_details]],ROWS($N$2:N789),COLUMNS($N$2:N789))</f>
        <v>Brazil</v>
      </c>
      <c r="Q789" s="1">
        <f>INDEX(Table2[[HomeTeam]:[Group_details]],ROWS($N$2:O789),COLUMNS($N$2:O789))</f>
        <v>0</v>
      </c>
      <c r="R789" s="1">
        <f>INDEX(Table2[[HomeTeam]:[Group_details]],ROWS($N$2:P789),COLUMNS($N$2:P789))</f>
        <v>0</v>
      </c>
      <c r="S789" s="1" t="str">
        <f>INDEX(Table2[[HomeTeam]:[Group_details]],ROWS($N$2:Q789),COLUMNS($N$2:Q789))</f>
        <v>Mexico</v>
      </c>
      <c r="T789" s="1" t="str">
        <f>INDEX(Table2[[HomeTeam]:[Group_details]],ROWS($N$2:R789),COLUMNS($N$2:R789))</f>
        <v xml:space="preserve"> </v>
      </c>
      <c r="U789" s="1" t="str">
        <f>INDEX(Table2[[HomeTeam]:[Group_details]],ROWS($N$2:S789),COLUMNS($N$2:S789))</f>
        <v>Group stages</v>
      </c>
      <c r="V789" s="1" t="b">
        <f t="shared" si="12"/>
        <v>0</v>
      </c>
      <c r="W789" s="1" t="str">
        <f>IF(V789=TRUE,ROWS($V$2:V789),"")</f>
        <v/>
      </c>
      <c r="X789" s="1" t="str">
        <f>IFERROR(SMALL($W$2:$W$853,ROWS($W$2:W789)),"")</f>
        <v/>
      </c>
      <c r="Y789" s="1" t="str">
        <f>IF($X789&lt;&gt;"",INDEX($P$2:$U$853,MATCH($X789,$W$2:$W$853,0),COLUMNS($X$2:X789)),"")</f>
        <v/>
      </c>
      <c r="Z789" s="1" t="str">
        <f>IF($X789&lt;&gt;"",INDEX($P$2:$U$853,MATCH($X789,$W$2:$W$853,0),COLUMNS($X$2:Y789)),"")</f>
        <v/>
      </c>
      <c r="AA789" s="1" t="str">
        <f>IF($X789&lt;&gt;"",INDEX($P$2:$U$853,MATCH($X789,$W$2:$W$853,0),COLUMNS($X$2:Z789)),"")</f>
        <v/>
      </c>
      <c r="AB789" s="1" t="str">
        <f>IF($X789&lt;&gt;"",INDEX($P$2:$U$853,MATCH($X789,$W$2:$W$853,0),COLUMNS($X$2:AA789)),"")</f>
        <v/>
      </c>
      <c r="AC789" s="1" t="str">
        <f>IF($X789&lt;&gt;"",INDEX($P$2:$U$853,MATCH($X789,$W$2:$W$853,0),COLUMNS($X$2:AB789)),"")</f>
        <v/>
      </c>
      <c r="AD789" s="1" t="str">
        <f>IF($X789&lt;&gt;"",INDEX($P$2:$U$853,MATCH($X789,$W$2:$W$853,0),COLUMNS($X$2:AC789)),"")</f>
        <v/>
      </c>
    </row>
    <row r="790" spans="1:30" x14ac:dyDescent="0.2">
      <c r="A790" s="1">
        <v>2014</v>
      </c>
      <c r="B790" s="2">
        <v>41807</v>
      </c>
      <c r="C790" s="1" t="s">
        <v>510</v>
      </c>
      <c r="D790" s="1" t="s">
        <v>355</v>
      </c>
      <c r="E790" s="1" t="s">
        <v>470</v>
      </c>
      <c r="F790" s="1" t="s">
        <v>471</v>
      </c>
      <c r="G790" s="6" t="str">
        <f>VLOOKUP(A790,WorldCups!$A$2:$B$23,2,FALSE)</f>
        <v>Brazil</v>
      </c>
      <c r="H790" s="1" t="s">
        <v>336</v>
      </c>
      <c r="I790" s="1">
        <v>1</v>
      </c>
      <c r="J790" s="1">
        <v>1</v>
      </c>
      <c r="K790" s="1" t="s">
        <v>116</v>
      </c>
      <c r="L790" s="1" t="s">
        <v>14</v>
      </c>
      <c r="M790" s="1" t="str">
        <f>IF(ISNUMBER(SEARCH("Group",Table2[[#This Row],[Round]])),"Group stages",Table2[[#This Row],[Round]])</f>
        <v>Group stages</v>
      </c>
      <c r="O790" s="1">
        <f>Table2[[#This Row],[Year]]</f>
        <v>2014</v>
      </c>
      <c r="P790" s="1" t="str">
        <f>INDEX(Table2[[HomeTeam]:[Group_details]],ROWS($N$2:N790),COLUMNS($N$2:N790))</f>
        <v>Russia</v>
      </c>
      <c r="Q790" s="1">
        <f>INDEX(Table2[[HomeTeam]:[Group_details]],ROWS($N$2:O790),COLUMNS($N$2:O790))</f>
        <v>1</v>
      </c>
      <c r="R790" s="1">
        <f>INDEX(Table2[[HomeTeam]:[Group_details]],ROWS($N$2:P790),COLUMNS($N$2:P790))</f>
        <v>1</v>
      </c>
      <c r="S790" s="1" t="str">
        <f>INDEX(Table2[[HomeTeam]:[Group_details]],ROWS($N$2:Q790),COLUMNS($N$2:Q790))</f>
        <v>Korea Republic</v>
      </c>
      <c r="T790" s="1" t="str">
        <f>INDEX(Table2[[HomeTeam]:[Group_details]],ROWS($N$2:R790),COLUMNS($N$2:R790))</f>
        <v xml:space="preserve"> </v>
      </c>
      <c r="U790" s="1" t="str">
        <f>INDEX(Table2[[HomeTeam]:[Group_details]],ROWS($N$2:S790),COLUMNS($N$2:S790))</f>
        <v>Group stages</v>
      </c>
      <c r="V790" s="1" t="b">
        <f t="shared" si="12"/>
        <v>0</v>
      </c>
      <c r="W790" s="1" t="str">
        <f>IF(V790=TRUE,ROWS($V$2:V790),"")</f>
        <v/>
      </c>
      <c r="X790" s="1" t="str">
        <f>IFERROR(SMALL($W$2:$W$853,ROWS($W$2:W790)),"")</f>
        <v/>
      </c>
      <c r="Y790" s="1" t="str">
        <f>IF($X790&lt;&gt;"",INDEX($P$2:$U$853,MATCH($X790,$W$2:$W$853,0),COLUMNS($X$2:X790)),"")</f>
        <v/>
      </c>
      <c r="Z790" s="1" t="str">
        <f>IF($X790&lt;&gt;"",INDEX($P$2:$U$853,MATCH($X790,$W$2:$W$853,0),COLUMNS($X$2:Y790)),"")</f>
        <v/>
      </c>
      <c r="AA790" s="1" t="str">
        <f>IF($X790&lt;&gt;"",INDEX($P$2:$U$853,MATCH($X790,$W$2:$W$853,0),COLUMNS($X$2:Z790)),"")</f>
        <v/>
      </c>
      <c r="AB790" s="1" t="str">
        <f>IF($X790&lt;&gt;"",INDEX($P$2:$U$853,MATCH($X790,$W$2:$W$853,0),COLUMNS($X$2:AA790)),"")</f>
        <v/>
      </c>
      <c r="AC790" s="1" t="str">
        <f>IF($X790&lt;&gt;"",INDEX($P$2:$U$853,MATCH($X790,$W$2:$W$853,0),COLUMNS($X$2:AB790)),"")</f>
        <v/>
      </c>
      <c r="AD790" s="1" t="str">
        <f>IF($X790&lt;&gt;"",INDEX($P$2:$U$853,MATCH($X790,$W$2:$W$853,0),COLUMNS($X$2:AC790)),"")</f>
        <v/>
      </c>
    </row>
    <row r="791" spans="1:30" x14ac:dyDescent="0.2">
      <c r="A791" s="1">
        <v>2014</v>
      </c>
      <c r="B791" s="2">
        <v>41808</v>
      </c>
      <c r="C791" s="1" t="s">
        <v>507</v>
      </c>
      <c r="D791" s="1" t="s">
        <v>213</v>
      </c>
      <c r="E791" s="1" t="s">
        <v>480</v>
      </c>
      <c r="F791" s="1" t="s">
        <v>101</v>
      </c>
      <c r="G791" s="6" t="str">
        <f>VLOOKUP(A791,WorldCups!$A$2:$B$23,2,FALSE)</f>
        <v>Brazil</v>
      </c>
      <c r="H791" s="1" t="s">
        <v>199</v>
      </c>
      <c r="I791" s="1">
        <v>2</v>
      </c>
      <c r="J791" s="1">
        <v>3</v>
      </c>
      <c r="K791" s="1" t="s">
        <v>45</v>
      </c>
      <c r="L791" s="1" t="s">
        <v>14</v>
      </c>
      <c r="M791" s="1" t="str">
        <f>IF(ISNUMBER(SEARCH("Group",Table2[[#This Row],[Round]])),"Group stages",Table2[[#This Row],[Round]])</f>
        <v>Group stages</v>
      </c>
      <c r="O791" s="1">
        <f>Table2[[#This Row],[Year]]</f>
        <v>2014</v>
      </c>
      <c r="P791" s="1" t="str">
        <f>INDEX(Table2[[HomeTeam]:[Group_details]],ROWS($N$2:N791),COLUMNS($N$2:N791))</f>
        <v>Australia</v>
      </c>
      <c r="Q791" s="1">
        <f>INDEX(Table2[[HomeTeam]:[Group_details]],ROWS($N$2:O791),COLUMNS($N$2:O791))</f>
        <v>2</v>
      </c>
      <c r="R791" s="1">
        <f>INDEX(Table2[[HomeTeam]:[Group_details]],ROWS($N$2:P791),COLUMNS($N$2:P791))</f>
        <v>3</v>
      </c>
      <c r="S791" s="1" t="str">
        <f>INDEX(Table2[[HomeTeam]:[Group_details]],ROWS($N$2:Q791),COLUMNS($N$2:Q791))</f>
        <v>Netherlands</v>
      </c>
      <c r="T791" s="1" t="str">
        <f>INDEX(Table2[[HomeTeam]:[Group_details]],ROWS($N$2:R791),COLUMNS($N$2:R791))</f>
        <v xml:space="preserve"> </v>
      </c>
      <c r="U791" s="1" t="str">
        <f>INDEX(Table2[[HomeTeam]:[Group_details]],ROWS($N$2:S791),COLUMNS($N$2:S791))</f>
        <v>Group stages</v>
      </c>
      <c r="V791" s="1" t="b">
        <f t="shared" si="12"/>
        <v>0</v>
      </c>
      <c r="W791" s="1" t="str">
        <f>IF(V791=TRUE,ROWS($V$2:V791),"")</f>
        <v/>
      </c>
      <c r="X791" s="1" t="str">
        <f>IFERROR(SMALL($W$2:$W$853,ROWS($W$2:W791)),"")</f>
        <v/>
      </c>
      <c r="Y791" s="1" t="str">
        <f>IF($X791&lt;&gt;"",INDEX($P$2:$U$853,MATCH($X791,$W$2:$W$853,0),COLUMNS($X$2:X791)),"")</f>
        <v/>
      </c>
      <c r="Z791" s="1" t="str">
        <f>IF($X791&lt;&gt;"",INDEX($P$2:$U$853,MATCH($X791,$W$2:$W$853,0),COLUMNS($X$2:Y791)),"")</f>
        <v/>
      </c>
      <c r="AA791" s="1" t="str">
        <f>IF($X791&lt;&gt;"",INDEX($P$2:$U$853,MATCH($X791,$W$2:$W$853,0),COLUMNS($X$2:Z791)),"")</f>
        <v/>
      </c>
      <c r="AB791" s="1" t="str">
        <f>IF($X791&lt;&gt;"",INDEX($P$2:$U$853,MATCH($X791,$W$2:$W$853,0),COLUMNS($X$2:AA791)),"")</f>
        <v/>
      </c>
      <c r="AC791" s="1" t="str">
        <f>IF($X791&lt;&gt;"",INDEX($P$2:$U$853,MATCH($X791,$W$2:$W$853,0),COLUMNS($X$2:AB791)),"")</f>
        <v/>
      </c>
      <c r="AD791" s="1" t="str">
        <f>IF($X791&lt;&gt;"",INDEX($P$2:$U$853,MATCH($X791,$W$2:$W$853,0),COLUMNS($X$2:AC791)),"")</f>
        <v/>
      </c>
    </row>
    <row r="792" spans="1:30" x14ac:dyDescent="0.2">
      <c r="A792" s="1">
        <v>2014</v>
      </c>
      <c r="B792" s="2">
        <v>41808</v>
      </c>
      <c r="C792" s="1" t="s">
        <v>503</v>
      </c>
      <c r="D792" s="1" t="s">
        <v>213</v>
      </c>
      <c r="E792" s="1" t="s">
        <v>481</v>
      </c>
      <c r="F792" s="1" t="s">
        <v>92</v>
      </c>
      <c r="G792" s="6" t="str">
        <f>VLOOKUP(A792,WorldCups!$A$2:$B$23,2,FALSE)</f>
        <v>Brazil</v>
      </c>
      <c r="H792" s="1" t="s">
        <v>54</v>
      </c>
      <c r="I792" s="1">
        <v>0</v>
      </c>
      <c r="J792" s="1">
        <v>2</v>
      </c>
      <c r="K792" s="1" t="s">
        <v>26</v>
      </c>
      <c r="L792" s="1" t="s">
        <v>14</v>
      </c>
      <c r="M792" s="1" t="str">
        <f>IF(ISNUMBER(SEARCH("Group",Table2[[#This Row],[Round]])),"Group stages",Table2[[#This Row],[Round]])</f>
        <v>Group stages</v>
      </c>
      <c r="O792" s="1">
        <f>Table2[[#This Row],[Year]]</f>
        <v>2014</v>
      </c>
      <c r="P792" s="1" t="str">
        <f>INDEX(Table2[[HomeTeam]:[Group_details]],ROWS($N$2:N792),COLUMNS($N$2:N792))</f>
        <v>Spain</v>
      </c>
      <c r="Q792" s="1">
        <f>INDEX(Table2[[HomeTeam]:[Group_details]],ROWS($N$2:O792),COLUMNS($N$2:O792))</f>
        <v>0</v>
      </c>
      <c r="R792" s="1">
        <f>INDEX(Table2[[HomeTeam]:[Group_details]],ROWS($N$2:P792),COLUMNS($N$2:P792))</f>
        <v>2</v>
      </c>
      <c r="S792" s="1" t="str">
        <f>INDEX(Table2[[HomeTeam]:[Group_details]],ROWS($N$2:Q792),COLUMNS($N$2:Q792))</f>
        <v>Chile</v>
      </c>
      <c r="T792" s="1" t="str">
        <f>INDEX(Table2[[HomeTeam]:[Group_details]],ROWS($N$2:R792),COLUMNS($N$2:R792))</f>
        <v xml:space="preserve"> </v>
      </c>
      <c r="U792" s="1" t="str">
        <f>INDEX(Table2[[HomeTeam]:[Group_details]],ROWS($N$2:S792),COLUMNS($N$2:S792))</f>
        <v>Group stages</v>
      </c>
      <c r="V792" s="1" t="b">
        <f t="shared" si="12"/>
        <v>0</v>
      </c>
      <c r="W792" s="1" t="str">
        <f>IF(V792=TRUE,ROWS($V$2:V792),"")</f>
        <v/>
      </c>
      <c r="X792" s="1" t="str">
        <f>IFERROR(SMALL($W$2:$W$853,ROWS($W$2:W792)),"")</f>
        <v/>
      </c>
      <c r="Y792" s="1" t="str">
        <f>IF($X792&lt;&gt;"",INDEX($P$2:$U$853,MATCH($X792,$W$2:$W$853,0),COLUMNS($X$2:X792)),"")</f>
        <v/>
      </c>
      <c r="Z792" s="1" t="str">
        <f>IF($X792&lt;&gt;"",INDEX($P$2:$U$853,MATCH($X792,$W$2:$W$853,0),COLUMNS($X$2:Y792)),"")</f>
        <v/>
      </c>
      <c r="AA792" s="1" t="str">
        <f>IF($X792&lt;&gt;"",INDEX($P$2:$U$853,MATCH($X792,$W$2:$W$853,0),COLUMNS($X$2:Z792)),"")</f>
        <v/>
      </c>
      <c r="AB792" s="1" t="str">
        <f>IF($X792&lt;&gt;"",INDEX($P$2:$U$853,MATCH($X792,$W$2:$W$853,0),COLUMNS($X$2:AA792)),"")</f>
        <v/>
      </c>
      <c r="AC792" s="1" t="str">
        <f>IF($X792&lt;&gt;"",INDEX($P$2:$U$853,MATCH($X792,$W$2:$W$853,0),COLUMNS($X$2:AB792)),"")</f>
        <v/>
      </c>
      <c r="AD792" s="1" t="str">
        <f>IF($X792&lt;&gt;"",INDEX($P$2:$U$853,MATCH($X792,$W$2:$W$853,0),COLUMNS($X$2:AC792)),"")</f>
        <v/>
      </c>
    </row>
    <row r="793" spans="1:30" x14ac:dyDescent="0.2">
      <c r="A793" s="1">
        <v>2014</v>
      </c>
      <c r="B793" s="2">
        <v>41808</v>
      </c>
      <c r="C793" s="1" t="s">
        <v>510</v>
      </c>
      <c r="D793" s="1" t="s">
        <v>214</v>
      </c>
      <c r="E793" s="1" t="s">
        <v>475</v>
      </c>
      <c r="F793" s="1" t="s">
        <v>476</v>
      </c>
      <c r="G793" s="6" t="str">
        <f>VLOOKUP(A793,WorldCups!$A$2:$B$23,2,FALSE)</f>
        <v>Brazil</v>
      </c>
      <c r="H793" s="1" t="s">
        <v>238</v>
      </c>
      <c r="I793" s="1">
        <v>0</v>
      </c>
      <c r="J793" s="1">
        <v>4</v>
      </c>
      <c r="K793" s="1" t="s">
        <v>360</v>
      </c>
      <c r="L793" s="1" t="s">
        <v>14</v>
      </c>
      <c r="M793" s="1" t="str">
        <f>IF(ISNUMBER(SEARCH("Group",Table2[[#This Row],[Round]])),"Group stages",Table2[[#This Row],[Round]])</f>
        <v>Group stages</v>
      </c>
      <c r="O793" s="1">
        <f>Table2[[#This Row],[Year]]</f>
        <v>2014</v>
      </c>
      <c r="P793" s="1" t="str">
        <f>INDEX(Table2[[HomeTeam]:[Group_details]],ROWS($N$2:N793),COLUMNS($N$2:N793))</f>
        <v>Cameroon</v>
      </c>
      <c r="Q793" s="1">
        <f>INDEX(Table2[[HomeTeam]:[Group_details]],ROWS($N$2:O793),COLUMNS($N$2:O793))</f>
        <v>0</v>
      </c>
      <c r="R793" s="1">
        <f>INDEX(Table2[[HomeTeam]:[Group_details]],ROWS($N$2:P793),COLUMNS($N$2:P793))</f>
        <v>4</v>
      </c>
      <c r="S793" s="1" t="str">
        <f>INDEX(Table2[[HomeTeam]:[Group_details]],ROWS($N$2:Q793),COLUMNS($N$2:Q793))</f>
        <v>Croatia</v>
      </c>
      <c r="T793" s="1" t="str">
        <f>INDEX(Table2[[HomeTeam]:[Group_details]],ROWS($N$2:R793),COLUMNS($N$2:R793))</f>
        <v xml:space="preserve"> </v>
      </c>
      <c r="U793" s="1" t="str">
        <f>INDEX(Table2[[HomeTeam]:[Group_details]],ROWS($N$2:S793),COLUMNS($N$2:S793))</f>
        <v>Group stages</v>
      </c>
      <c r="V793" s="1" t="b">
        <f t="shared" si="12"/>
        <v>0</v>
      </c>
      <c r="W793" s="1" t="str">
        <f>IF(V793=TRUE,ROWS($V$2:V793),"")</f>
        <v/>
      </c>
      <c r="X793" s="1" t="str">
        <f>IFERROR(SMALL($W$2:$W$853,ROWS($W$2:W793)),"")</f>
        <v/>
      </c>
      <c r="Y793" s="1" t="str">
        <f>IF($X793&lt;&gt;"",INDEX($P$2:$U$853,MATCH($X793,$W$2:$W$853,0),COLUMNS($X$2:X793)),"")</f>
        <v/>
      </c>
      <c r="Z793" s="1" t="str">
        <f>IF($X793&lt;&gt;"",INDEX($P$2:$U$853,MATCH($X793,$W$2:$W$853,0),COLUMNS($X$2:Y793)),"")</f>
        <v/>
      </c>
      <c r="AA793" s="1" t="str">
        <f>IF($X793&lt;&gt;"",INDEX($P$2:$U$853,MATCH($X793,$W$2:$W$853,0),COLUMNS($X$2:Z793)),"")</f>
        <v/>
      </c>
      <c r="AB793" s="1" t="str">
        <f>IF($X793&lt;&gt;"",INDEX($P$2:$U$853,MATCH($X793,$W$2:$W$853,0),COLUMNS($X$2:AA793)),"")</f>
        <v/>
      </c>
      <c r="AC793" s="1" t="str">
        <f>IF($X793&lt;&gt;"",INDEX($P$2:$U$853,MATCH($X793,$W$2:$W$853,0),COLUMNS($X$2:AB793)),"")</f>
        <v/>
      </c>
      <c r="AD793" s="1" t="str">
        <f>IF($X793&lt;&gt;"",INDEX($P$2:$U$853,MATCH($X793,$W$2:$W$853,0),COLUMNS($X$2:AC793)),"")</f>
        <v/>
      </c>
    </row>
    <row r="794" spans="1:30" x14ac:dyDescent="0.2">
      <c r="A794" s="1">
        <v>2014</v>
      </c>
      <c r="B794" s="2">
        <v>41809</v>
      </c>
      <c r="C794" s="1" t="s">
        <v>507</v>
      </c>
      <c r="D794" s="1" t="s">
        <v>268</v>
      </c>
      <c r="E794" s="1" t="s">
        <v>478</v>
      </c>
      <c r="F794" s="1" t="s">
        <v>479</v>
      </c>
      <c r="G794" s="6" t="str">
        <f>VLOOKUP(A794,WorldCups!$A$2:$B$23,2,FALSE)</f>
        <v>Brazil</v>
      </c>
      <c r="H794" s="1" t="s">
        <v>151</v>
      </c>
      <c r="I794" s="1">
        <v>2</v>
      </c>
      <c r="J794" s="1">
        <v>1</v>
      </c>
      <c r="K794" s="1" t="s">
        <v>418</v>
      </c>
      <c r="L794" s="1" t="s">
        <v>14</v>
      </c>
      <c r="M794" s="1" t="str">
        <f>IF(ISNUMBER(SEARCH("Group",Table2[[#This Row],[Round]])),"Group stages",Table2[[#This Row],[Round]])</f>
        <v>Group stages</v>
      </c>
      <c r="O794" s="1">
        <f>Table2[[#This Row],[Year]]</f>
        <v>2014</v>
      </c>
      <c r="P794" s="1" t="str">
        <f>INDEX(Table2[[HomeTeam]:[Group_details]],ROWS($N$2:N794),COLUMNS($N$2:N794))</f>
        <v>Colombia</v>
      </c>
      <c r="Q794" s="1">
        <f>INDEX(Table2[[HomeTeam]:[Group_details]],ROWS($N$2:O794),COLUMNS($N$2:O794))</f>
        <v>2</v>
      </c>
      <c r="R794" s="1">
        <f>INDEX(Table2[[HomeTeam]:[Group_details]],ROWS($N$2:P794),COLUMNS($N$2:P794))</f>
        <v>1</v>
      </c>
      <c r="S794" s="1" t="str">
        <f>INDEX(Table2[[HomeTeam]:[Group_details]],ROWS($N$2:Q794),COLUMNS($N$2:Q794))</f>
        <v>Cï¿½te d'Ivoire</v>
      </c>
      <c r="T794" s="1" t="str">
        <f>INDEX(Table2[[HomeTeam]:[Group_details]],ROWS($N$2:R794),COLUMNS($N$2:R794))</f>
        <v xml:space="preserve"> </v>
      </c>
      <c r="U794" s="1" t="str">
        <f>INDEX(Table2[[HomeTeam]:[Group_details]],ROWS($N$2:S794),COLUMNS($N$2:S794))</f>
        <v>Group stages</v>
      </c>
      <c r="V794" s="1" t="b">
        <f t="shared" si="12"/>
        <v>0</v>
      </c>
      <c r="W794" s="1" t="str">
        <f>IF(V794=TRUE,ROWS($V$2:V794),"")</f>
        <v/>
      </c>
      <c r="X794" s="1" t="str">
        <f>IFERROR(SMALL($W$2:$W$853,ROWS($W$2:W794)),"")</f>
        <v/>
      </c>
      <c r="Y794" s="1" t="str">
        <f>IF($X794&lt;&gt;"",INDEX($P$2:$U$853,MATCH($X794,$W$2:$W$853,0),COLUMNS($X$2:X794)),"")</f>
        <v/>
      </c>
      <c r="Z794" s="1" t="str">
        <f>IF($X794&lt;&gt;"",INDEX($P$2:$U$853,MATCH($X794,$W$2:$W$853,0),COLUMNS($X$2:Y794)),"")</f>
        <v/>
      </c>
      <c r="AA794" s="1" t="str">
        <f>IF($X794&lt;&gt;"",INDEX($P$2:$U$853,MATCH($X794,$W$2:$W$853,0),COLUMNS($X$2:Z794)),"")</f>
        <v/>
      </c>
      <c r="AB794" s="1" t="str">
        <f>IF($X794&lt;&gt;"",INDEX($P$2:$U$853,MATCH($X794,$W$2:$W$853,0),COLUMNS($X$2:AA794)),"")</f>
        <v/>
      </c>
      <c r="AC794" s="1" t="str">
        <f>IF($X794&lt;&gt;"",INDEX($P$2:$U$853,MATCH($X794,$W$2:$W$853,0),COLUMNS($X$2:AB794)),"")</f>
        <v/>
      </c>
      <c r="AD794" s="1" t="str">
        <f>IF($X794&lt;&gt;"",INDEX($P$2:$U$853,MATCH($X794,$W$2:$W$853,0),COLUMNS($X$2:AC794)),"")</f>
        <v/>
      </c>
    </row>
    <row r="795" spans="1:30" x14ac:dyDescent="0.2">
      <c r="A795" s="1">
        <v>2014</v>
      </c>
      <c r="B795" s="2">
        <v>41809</v>
      </c>
      <c r="C795" s="1" t="s">
        <v>503</v>
      </c>
      <c r="D795" s="1" t="s">
        <v>270</v>
      </c>
      <c r="E795" s="1" t="s">
        <v>465</v>
      </c>
      <c r="F795" s="1" t="s">
        <v>97</v>
      </c>
      <c r="G795" s="6" t="str">
        <f>VLOOKUP(A795,WorldCups!$A$2:$B$23,2,FALSE)</f>
        <v>Brazil</v>
      </c>
      <c r="H795" s="1" t="s">
        <v>30</v>
      </c>
      <c r="I795" s="1">
        <v>2</v>
      </c>
      <c r="J795" s="1">
        <v>1</v>
      </c>
      <c r="K795" s="1" t="s">
        <v>93</v>
      </c>
      <c r="L795" s="1" t="s">
        <v>14</v>
      </c>
      <c r="M795" s="1" t="str">
        <f>IF(ISNUMBER(SEARCH("Group",Table2[[#This Row],[Round]])),"Group stages",Table2[[#This Row],[Round]])</f>
        <v>Group stages</v>
      </c>
      <c r="O795" s="1">
        <f>Table2[[#This Row],[Year]]</f>
        <v>2014</v>
      </c>
      <c r="P795" s="1" t="str">
        <f>INDEX(Table2[[HomeTeam]:[Group_details]],ROWS($N$2:N795),COLUMNS($N$2:N795))</f>
        <v>Uruguay</v>
      </c>
      <c r="Q795" s="1">
        <f>INDEX(Table2[[HomeTeam]:[Group_details]],ROWS($N$2:O795),COLUMNS($N$2:O795))</f>
        <v>2</v>
      </c>
      <c r="R795" s="1">
        <f>INDEX(Table2[[HomeTeam]:[Group_details]],ROWS($N$2:P795),COLUMNS($N$2:P795))</f>
        <v>1</v>
      </c>
      <c r="S795" s="1" t="str">
        <f>INDEX(Table2[[HomeTeam]:[Group_details]],ROWS($N$2:Q795),COLUMNS($N$2:Q795))</f>
        <v>England</v>
      </c>
      <c r="T795" s="1" t="str">
        <f>INDEX(Table2[[HomeTeam]:[Group_details]],ROWS($N$2:R795),COLUMNS($N$2:R795))</f>
        <v xml:space="preserve"> </v>
      </c>
      <c r="U795" s="1" t="str">
        <f>INDEX(Table2[[HomeTeam]:[Group_details]],ROWS($N$2:S795),COLUMNS($N$2:S795))</f>
        <v>Group stages</v>
      </c>
      <c r="V795" s="1" t="b">
        <f t="shared" si="12"/>
        <v>0</v>
      </c>
      <c r="W795" s="1" t="str">
        <f>IF(V795=TRUE,ROWS($V$2:V795),"")</f>
        <v/>
      </c>
      <c r="X795" s="1" t="str">
        <f>IFERROR(SMALL($W$2:$W$853,ROWS($W$2:W795)),"")</f>
        <v/>
      </c>
      <c r="Y795" s="1" t="str">
        <f>IF($X795&lt;&gt;"",INDEX($P$2:$U$853,MATCH($X795,$W$2:$W$853,0),COLUMNS($X$2:X795)),"")</f>
        <v/>
      </c>
      <c r="Z795" s="1" t="str">
        <f>IF($X795&lt;&gt;"",INDEX($P$2:$U$853,MATCH($X795,$W$2:$W$853,0),COLUMNS($X$2:Y795)),"")</f>
        <v/>
      </c>
      <c r="AA795" s="1" t="str">
        <f>IF($X795&lt;&gt;"",INDEX($P$2:$U$853,MATCH($X795,$W$2:$W$853,0),COLUMNS($X$2:Z795)),"")</f>
        <v/>
      </c>
      <c r="AB795" s="1" t="str">
        <f>IF($X795&lt;&gt;"",INDEX($P$2:$U$853,MATCH($X795,$W$2:$W$853,0),COLUMNS($X$2:AA795)),"")</f>
        <v/>
      </c>
      <c r="AC795" s="1" t="str">
        <f>IF($X795&lt;&gt;"",INDEX($P$2:$U$853,MATCH($X795,$W$2:$W$853,0),COLUMNS($X$2:AB795)),"")</f>
        <v/>
      </c>
      <c r="AD795" s="1" t="str">
        <f>IF($X795&lt;&gt;"",INDEX($P$2:$U$853,MATCH($X795,$W$2:$W$853,0),COLUMNS($X$2:AC795)),"")</f>
        <v/>
      </c>
    </row>
    <row r="796" spans="1:30" x14ac:dyDescent="0.2">
      <c r="A796" s="1">
        <v>2014</v>
      </c>
      <c r="B796" s="2">
        <v>41809</v>
      </c>
      <c r="C796" s="1" t="s">
        <v>521</v>
      </c>
      <c r="D796" s="1" t="s">
        <v>268</v>
      </c>
      <c r="E796" s="1" t="s">
        <v>466</v>
      </c>
      <c r="F796" s="1" t="s">
        <v>467</v>
      </c>
      <c r="G796" s="6" t="str">
        <f>VLOOKUP(A796,WorldCups!$A$2:$B$23,2,FALSE)</f>
        <v>Brazil</v>
      </c>
      <c r="H796" s="1" t="s">
        <v>356</v>
      </c>
      <c r="I796" s="1">
        <v>0</v>
      </c>
      <c r="J796" s="1">
        <v>0</v>
      </c>
      <c r="K796" s="1" t="s">
        <v>339</v>
      </c>
      <c r="L796" s="1" t="s">
        <v>14</v>
      </c>
      <c r="M796" s="1" t="str">
        <f>IF(ISNUMBER(SEARCH("Group",Table2[[#This Row],[Round]])),"Group stages",Table2[[#This Row],[Round]])</f>
        <v>Group stages</v>
      </c>
      <c r="O796" s="1">
        <f>Table2[[#This Row],[Year]]</f>
        <v>2014</v>
      </c>
      <c r="P796" s="1" t="str">
        <f>INDEX(Table2[[HomeTeam]:[Group_details]],ROWS($N$2:N796),COLUMNS($N$2:N796))</f>
        <v>Japan</v>
      </c>
      <c r="Q796" s="1">
        <f>INDEX(Table2[[HomeTeam]:[Group_details]],ROWS($N$2:O796),COLUMNS($N$2:O796))</f>
        <v>0</v>
      </c>
      <c r="R796" s="1">
        <f>INDEX(Table2[[HomeTeam]:[Group_details]],ROWS($N$2:P796),COLUMNS($N$2:P796))</f>
        <v>0</v>
      </c>
      <c r="S796" s="1" t="str">
        <f>INDEX(Table2[[HomeTeam]:[Group_details]],ROWS($N$2:Q796),COLUMNS($N$2:Q796))</f>
        <v>Greece</v>
      </c>
      <c r="T796" s="1" t="str">
        <f>INDEX(Table2[[HomeTeam]:[Group_details]],ROWS($N$2:R796),COLUMNS($N$2:R796))</f>
        <v xml:space="preserve"> </v>
      </c>
      <c r="U796" s="1" t="str">
        <f>INDEX(Table2[[HomeTeam]:[Group_details]],ROWS($N$2:S796),COLUMNS($N$2:S796))</f>
        <v>Group stages</v>
      </c>
      <c r="V796" s="1" t="b">
        <f t="shared" si="12"/>
        <v>0</v>
      </c>
      <c r="W796" s="1" t="str">
        <f>IF(V796=TRUE,ROWS($V$2:V796),"")</f>
        <v/>
      </c>
      <c r="X796" s="1" t="str">
        <f>IFERROR(SMALL($W$2:$W$853,ROWS($W$2:W796)),"")</f>
        <v/>
      </c>
      <c r="Y796" s="1" t="str">
        <f>IF($X796&lt;&gt;"",INDEX($P$2:$U$853,MATCH($X796,$W$2:$W$853,0),COLUMNS($X$2:X796)),"")</f>
        <v/>
      </c>
      <c r="Z796" s="1" t="str">
        <f>IF($X796&lt;&gt;"",INDEX($P$2:$U$853,MATCH($X796,$W$2:$W$853,0),COLUMNS($X$2:Y796)),"")</f>
        <v/>
      </c>
      <c r="AA796" s="1" t="str">
        <f>IF($X796&lt;&gt;"",INDEX($P$2:$U$853,MATCH($X796,$W$2:$W$853,0),COLUMNS($X$2:Z796)),"")</f>
        <v/>
      </c>
      <c r="AB796" s="1" t="str">
        <f>IF($X796&lt;&gt;"",INDEX($P$2:$U$853,MATCH($X796,$W$2:$W$853,0),COLUMNS($X$2:AA796)),"")</f>
        <v/>
      </c>
      <c r="AC796" s="1" t="str">
        <f>IF($X796&lt;&gt;"",INDEX($P$2:$U$853,MATCH($X796,$W$2:$W$853,0),COLUMNS($X$2:AB796)),"")</f>
        <v/>
      </c>
      <c r="AD796" s="1" t="str">
        <f>IF($X796&lt;&gt;"",INDEX($P$2:$U$853,MATCH($X796,$W$2:$W$853,0),COLUMNS($X$2:AC796)),"")</f>
        <v/>
      </c>
    </row>
    <row r="797" spans="1:30" x14ac:dyDescent="0.2">
      <c r="A797" s="1">
        <v>2014</v>
      </c>
      <c r="B797" s="2">
        <v>41810</v>
      </c>
      <c r="C797" s="1" t="s">
        <v>507</v>
      </c>
      <c r="D797" s="1" t="s">
        <v>270</v>
      </c>
      <c r="E797" s="1" t="s">
        <v>477</v>
      </c>
      <c r="F797" s="1" t="s">
        <v>103</v>
      </c>
      <c r="G797" s="6" t="str">
        <f>VLOOKUP(A797,WorldCups!$A$2:$B$23,2,FALSE)</f>
        <v>Brazil</v>
      </c>
      <c r="H797" s="1" t="s">
        <v>57</v>
      </c>
      <c r="I797" s="1">
        <v>0</v>
      </c>
      <c r="J797" s="1">
        <v>1</v>
      </c>
      <c r="K797" s="1" t="s">
        <v>301</v>
      </c>
      <c r="L797" s="1" t="s">
        <v>14</v>
      </c>
      <c r="M797" s="1" t="str">
        <f>IF(ISNUMBER(SEARCH("Group",Table2[[#This Row],[Round]])),"Group stages",Table2[[#This Row],[Round]])</f>
        <v>Group stages</v>
      </c>
      <c r="O797" s="1">
        <f>Table2[[#This Row],[Year]]</f>
        <v>2014</v>
      </c>
      <c r="P797" s="1" t="str">
        <f>INDEX(Table2[[HomeTeam]:[Group_details]],ROWS($N$2:N797),COLUMNS($N$2:N797))</f>
        <v>Italy</v>
      </c>
      <c r="Q797" s="1">
        <f>INDEX(Table2[[HomeTeam]:[Group_details]],ROWS($N$2:O797),COLUMNS($N$2:O797))</f>
        <v>0</v>
      </c>
      <c r="R797" s="1">
        <f>INDEX(Table2[[HomeTeam]:[Group_details]],ROWS($N$2:P797),COLUMNS($N$2:P797))</f>
        <v>1</v>
      </c>
      <c r="S797" s="1" t="str">
        <f>INDEX(Table2[[HomeTeam]:[Group_details]],ROWS($N$2:Q797),COLUMNS($N$2:Q797))</f>
        <v>Costa Rica</v>
      </c>
      <c r="T797" s="1" t="str">
        <f>INDEX(Table2[[HomeTeam]:[Group_details]],ROWS($N$2:R797),COLUMNS($N$2:R797))</f>
        <v xml:space="preserve"> </v>
      </c>
      <c r="U797" s="1" t="str">
        <f>INDEX(Table2[[HomeTeam]:[Group_details]],ROWS($N$2:S797),COLUMNS($N$2:S797))</f>
        <v>Group stages</v>
      </c>
      <c r="V797" s="1" t="b">
        <f t="shared" si="12"/>
        <v>0</v>
      </c>
      <c r="W797" s="1" t="str">
        <f>IF(V797=TRUE,ROWS($V$2:V797),"")</f>
        <v/>
      </c>
      <c r="X797" s="1" t="str">
        <f>IFERROR(SMALL($W$2:$W$853,ROWS($W$2:W797)),"")</f>
        <v/>
      </c>
      <c r="Y797" s="1" t="str">
        <f>IF($X797&lt;&gt;"",INDEX($P$2:$U$853,MATCH($X797,$W$2:$W$853,0),COLUMNS($X$2:X797)),"")</f>
        <v/>
      </c>
      <c r="Z797" s="1" t="str">
        <f>IF($X797&lt;&gt;"",INDEX($P$2:$U$853,MATCH($X797,$W$2:$W$853,0),COLUMNS($X$2:Y797)),"")</f>
        <v/>
      </c>
      <c r="AA797" s="1" t="str">
        <f>IF($X797&lt;&gt;"",INDEX($P$2:$U$853,MATCH($X797,$W$2:$W$853,0),COLUMNS($X$2:Z797)),"")</f>
        <v/>
      </c>
      <c r="AB797" s="1" t="str">
        <f>IF($X797&lt;&gt;"",INDEX($P$2:$U$853,MATCH($X797,$W$2:$W$853,0),COLUMNS($X$2:AA797)),"")</f>
        <v/>
      </c>
      <c r="AC797" s="1" t="str">
        <f>IF($X797&lt;&gt;"",INDEX($P$2:$U$853,MATCH($X797,$W$2:$W$853,0),COLUMNS($X$2:AB797)),"")</f>
        <v/>
      </c>
      <c r="AD797" s="1" t="str">
        <f>IF($X797&lt;&gt;"",INDEX($P$2:$U$853,MATCH($X797,$W$2:$W$853,0),COLUMNS($X$2:AC797)),"")</f>
        <v/>
      </c>
    </row>
    <row r="798" spans="1:30" x14ac:dyDescent="0.2">
      <c r="A798" s="1">
        <v>2014</v>
      </c>
      <c r="B798" s="2">
        <v>41810</v>
      </c>
      <c r="C798" s="1" t="s">
        <v>503</v>
      </c>
      <c r="D798" s="1" t="s">
        <v>281</v>
      </c>
      <c r="E798" s="1" t="s">
        <v>468</v>
      </c>
      <c r="F798" s="1" t="s">
        <v>469</v>
      </c>
      <c r="G798" s="6" t="str">
        <f>VLOOKUP(A798,WorldCups!$A$2:$B$23,2,FALSE)</f>
        <v>Brazil</v>
      </c>
      <c r="H798" s="1" t="s">
        <v>44</v>
      </c>
      <c r="I798" s="1">
        <v>2</v>
      </c>
      <c r="J798" s="1">
        <v>5</v>
      </c>
      <c r="K798" s="1" t="s">
        <v>12</v>
      </c>
      <c r="L798" s="1" t="s">
        <v>14</v>
      </c>
      <c r="M798" s="1" t="str">
        <f>IF(ISNUMBER(SEARCH("Group",Table2[[#This Row],[Round]])),"Group stages",Table2[[#This Row],[Round]])</f>
        <v>Group stages</v>
      </c>
      <c r="O798" s="1">
        <f>Table2[[#This Row],[Year]]</f>
        <v>2014</v>
      </c>
      <c r="P798" s="1" t="str">
        <f>INDEX(Table2[[HomeTeam]:[Group_details]],ROWS($N$2:N798),COLUMNS($N$2:N798))</f>
        <v>Switzerland</v>
      </c>
      <c r="Q798" s="1">
        <f>INDEX(Table2[[HomeTeam]:[Group_details]],ROWS($N$2:O798),COLUMNS($N$2:O798))</f>
        <v>2</v>
      </c>
      <c r="R798" s="1">
        <f>INDEX(Table2[[HomeTeam]:[Group_details]],ROWS($N$2:P798),COLUMNS($N$2:P798))</f>
        <v>5</v>
      </c>
      <c r="S798" s="1" t="str">
        <f>INDEX(Table2[[HomeTeam]:[Group_details]],ROWS($N$2:Q798),COLUMNS($N$2:Q798))</f>
        <v>France</v>
      </c>
      <c r="T798" s="1" t="str">
        <f>INDEX(Table2[[HomeTeam]:[Group_details]],ROWS($N$2:R798),COLUMNS($N$2:R798))</f>
        <v xml:space="preserve"> </v>
      </c>
      <c r="U798" s="1" t="str">
        <f>INDEX(Table2[[HomeTeam]:[Group_details]],ROWS($N$2:S798),COLUMNS($N$2:S798))</f>
        <v>Group stages</v>
      </c>
      <c r="V798" s="1" t="b">
        <f t="shared" si="12"/>
        <v>0</v>
      </c>
      <c r="W798" s="1" t="str">
        <f>IF(V798=TRUE,ROWS($V$2:V798),"")</f>
        <v/>
      </c>
      <c r="X798" s="1" t="str">
        <f>IFERROR(SMALL($W$2:$W$853,ROWS($W$2:W798)),"")</f>
        <v/>
      </c>
      <c r="Y798" s="1" t="str">
        <f>IF($X798&lt;&gt;"",INDEX($P$2:$U$853,MATCH($X798,$W$2:$W$853,0),COLUMNS($X$2:X798)),"")</f>
        <v/>
      </c>
      <c r="Z798" s="1" t="str">
        <f>IF($X798&lt;&gt;"",INDEX($P$2:$U$853,MATCH($X798,$W$2:$W$853,0),COLUMNS($X$2:Y798)),"")</f>
        <v/>
      </c>
      <c r="AA798" s="1" t="str">
        <f>IF($X798&lt;&gt;"",INDEX($P$2:$U$853,MATCH($X798,$W$2:$W$853,0),COLUMNS($X$2:Z798)),"")</f>
        <v/>
      </c>
      <c r="AB798" s="1" t="str">
        <f>IF($X798&lt;&gt;"",INDEX($P$2:$U$853,MATCH($X798,$W$2:$W$853,0),COLUMNS($X$2:AA798)),"")</f>
        <v/>
      </c>
      <c r="AC798" s="1" t="str">
        <f>IF($X798&lt;&gt;"",INDEX($P$2:$U$853,MATCH($X798,$W$2:$W$853,0),COLUMNS($X$2:AB798)),"")</f>
        <v/>
      </c>
      <c r="AD798" s="1" t="str">
        <f>IF($X798&lt;&gt;"",INDEX($P$2:$U$853,MATCH($X798,$W$2:$W$853,0),COLUMNS($X$2:AC798)),"")</f>
        <v/>
      </c>
    </row>
    <row r="799" spans="1:30" x14ac:dyDescent="0.2">
      <c r="A799" s="1">
        <v>2014</v>
      </c>
      <c r="B799" s="2">
        <v>41810</v>
      </c>
      <c r="C799" s="1" t="s">
        <v>521</v>
      </c>
      <c r="D799" s="1" t="s">
        <v>281</v>
      </c>
      <c r="E799" s="1" t="s">
        <v>483</v>
      </c>
      <c r="F799" s="1" t="s">
        <v>95</v>
      </c>
      <c r="G799" s="6" t="str">
        <f>VLOOKUP(A799,WorldCups!$A$2:$B$23,2,FALSE)</f>
        <v>Brazil</v>
      </c>
      <c r="H799" s="1" t="s">
        <v>252</v>
      </c>
      <c r="I799" s="1">
        <v>1</v>
      </c>
      <c r="J799" s="1">
        <v>2</v>
      </c>
      <c r="K799" s="1" t="s">
        <v>382</v>
      </c>
      <c r="L799" s="1" t="s">
        <v>14</v>
      </c>
      <c r="M799" s="1" t="str">
        <f>IF(ISNUMBER(SEARCH("Group",Table2[[#This Row],[Round]])),"Group stages",Table2[[#This Row],[Round]])</f>
        <v>Group stages</v>
      </c>
      <c r="O799" s="1">
        <f>Table2[[#This Row],[Year]]</f>
        <v>2014</v>
      </c>
      <c r="P799" s="1" t="str">
        <f>INDEX(Table2[[HomeTeam]:[Group_details]],ROWS($N$2:N799),COLUMNS($N$2:N799))</f>
        <v>Honduras</v>
      </c>
      <c r="Q799" s="1">
        <f>INDEX(Table2[[HomeTeam]:[Group_details]],ROWS($N$2:O799),COLUMNS($N$2:O799))</f>
        <v>1</v>
      </c>
      <c r="R799" s="1">
        <f>INDEX(Table2[[HomeTeam]:[Group_details]],ROWS($N$2:P799),COLUMNS($N$2:P799))</f>
        <v>2</v>
      </c>
      <c r="S799" s="1" t="str">
        <f>INDEX(Table2[[HomeTeam]:[Group_details]],ROWS($N$2:Q799),COLUMNS($N$2:Q799))</f>
        <v>Ecuador</v>
      </c>
      <c r="T799" s="1" t="str">
        <f>INDEX(Table2[[HomeTeam]:[Group_details]],ROWS($N$2:R799),COLUMNS($N$2:R799))</f>
        <v xml:space="preserve"> </v>
      </c>
      <c r="U799" s="1" t="str">
        <f>INDEX(Table2[[HomeTeam]:[Group_details]],ROWS($N$2:S799),COLUMNS($N$2:S799))</f>
        <v>Group stages</v>
      </c>
      <c r="V799" s="1" t="b">
        <f t="shared" si="12"/>
        <v>0</v>
      </c>
      <c r="W799" s="1" t="str">
        <f>IF(V799=TRUE,ROWS($V$2:V799),"")</f>
        <v/>
      </c>
      <c r="X799" s="1" t="str">
        <f>IFERROR(SMALL($W$2:$W$853,ROWS($W$2:W799)),"")</f>
        <v/>
      </c>
      <c r="Y799" s="1" t="str">
        <f>IF($X799&lt;&gt;"",INDEX($P$2:$U$853,MATCH($X799,$W$2:$W$853,0),COLUMNS($X$2:X799)),"")</f>
        <v/>
      </c>
      <c r="Z799" s="1" t="str">
        <f>IF($X799&lt;&gt;"",INDEX($P$2:$U$853,MATCH($X799,$W$2:$W$853,0),COLUMNS($X$2:Y799)),"")</f>
        <v/>
      </c>
      <c r="AA799" s="1" t="str">
        <f>IF($X799&lt;&gt;"",INDEX($P$2:$U$853,MATCH($X799,$W$2:$W$853,0),COLUMNS($X$2:Z799)),"")</f>
        <v/>
      </c>
      <c r="AB799" s="1" t="str">
        <f>IF($X799&lt;&gt;"",INDEX($P$2:$U$853,MATCH($X799,$W$2:$W$853,0),COLUMNS($X$2:AA799)),"")</f>
        <v/>
      </c>
      <c r="AC799" s="1" t="str">
        <f>IF($X799&lt;&gt;"",INDEX($P$2:$U$853,MATCH($X799,$W$2:$W$853,0),COLUMNS($X$2:AB799)),"")</f>
        <v/>
      </c>
      <c r="AD799" s="1" t="str">
        <f>IF($X799&lt;&gt;"",INDEX($P$2:$U$853,MATCH($X799,$W$2:$W$853,0),COLUMNS($X$2:AC799)),"")</f>
        <v/>
      </c>
    </row>
    <row r="800" spans="1:30" x14ac:dyDescent="0.2">
      <c r="A800" s="1">
        <v>2014</v>
      </c>
      <c r="B800" s="2">
        <v>41811</v>
      </c>
      <c r="C800" s="1" t="s">
        <v>507</v>
      </c>
      <c r="D800" s="1" t="s">
        <v>274</v>
      </c>
      <c r="E800" s="1" t="s">
        <v>472</v>
      </c>
      <c r="F800" s="1" t="s">
        <v>99</v>
      </c>
      <c r="G800" s="6" t="str">
        <f>VLOOKUP(A800,WorldCups!$A$2:$B$23,2,FALSE)</f>
        <v>Brazil</v>
      </c>
      <c r="H800" s="1" t="s">
        <v>25</v>
      </c>
      <c r="I800" s="1">
        <v>1</v>
      </c>
      <c r="J800" s="1">
        <v>0</v>
      </c>
      <c r="K800" s="1" t="s">
        <v>227</v>
      </c>
      <c r="L800" s="1" t="s">
        <v>14</v>
      </c>
      <c r="M800" s="1" t="str">
        <f>IF(ISNUMBER(SEARCH("Group",Table2[[#This Row],[Round]])),"Group stages",Table2[[#This Row],[Round]])</f>
        <v>Group stages</v>
      </c>
      <c r="O800" s="1">
        <f>Table2[[#This Row],[Year]]</f>
        <v>2014</v>
      </c>
      <c r="P800" s="1" t="str">
        <f>INDEX(Table2[[HomeTeam]:[Group_details]],ROWS($N$2:N800),COLUMNS($N$2:N800))</f>
        <v>Argentina</v>
      </c>
      <c r="Q800" s="1">
        <f>INDEX(Table2[[HomeTeam]:[Group_details]],ROWS($N$2:O800),COLUMNS($N$2:O800))</f>
        <v>1</v>
      </c>
      <c r="R800" s="1">
        <f>INDEX(Table2[[HomeTeam]:[Group_details]],ROWS($N$2:P800),COLUMNS($N$2:P800))</f>
        <v>0</v>
      </c>
      <c r="S800" s="1" t="str">
        <f>INDEX(Table2[[HomeTeam]:[Group_details]],ROWS($N$2:Q800),COLUMNS($N$2:Q800))</f>
        <v>IR Iran</v>
      </c>
      <c r="T800" s="1" t="str">
        <f>INDEX(Table2[[HomeTeam]:[Group_details]],ROWS($N$2:R800),COLUMNS($N$2:R800))</f>
        <v xml:space="preserve"> </v>
      </c>
      <c r="U800" s="1" t="str">
        <f>INDEX(Table2[[HomeTeam]:[Group_details]],ROWS($N$2:S800),COLUMNS($N$2:S800))</f>
        <v>Group stages</v>
      </c>
      <c r="V800" s="1" t="b">
        <f t="shared" si="12"/>
        <v>0</v>
      </c>
      <c r="W800" s="1" t="str">
        <f>IF(V800=TRUE,ROWS($V$2:V800),"")</f>
        <v/>
      </c>
      <c r="X800" s="1" t="str">
        <f>IFERROR(SMALL($W$2:$W$853,ROWS($W$2:W800)),"")</f>
        <v/>
      </c>
      <c r="Y800" s="1" t="str">
        <f>IF($X800&lt;&gt;"",INDEX($P$2:$U$853,MATCH($X800,$W$2:$W$853,0),COLUMNS($X$2:X800)),"")</f>
        <v/>
      </c>
      <c r="Z800" s="1" t="str">
        <f>IF($X800&lt;&gt;"",INDEX($P$2:$U$853,MATCH($X800,$W$2:$W$853,0),COLUMNS($X$2:Y800)),"")</f>
        <v/>
      </c>
      <c r="AA800" s="1" t="str">
        <f>IF($X800&lt;&gt;"",INDEX($P$2:$U$853,MATCH($X800,$W$2:$W$853,0),COLUMNS($X$2:Z800)),"")</f>
        <v/>
      </c>
      <c r="AB800" s="1" t="str">
        <f>IF($X800&lt;&gt;"",INDEX($P$2:$U$853,MATCH($X800,$W$2:$W$853,0),COLUMNS($X$2:AA800)),"")</f>
        <v/>
      </c>
      <c r="AC800" s="1" t="str">
        <f>IF($X800&lt;&gt;"",INDEX($P$2:$U$853,MATCH($X800,$W$2:$W$853,0),COLUMNS($X$2:AB800)),"")</f>
        <v/>
      </c>
      <c r="AD800" s="1" t="str">
        <f>IF($X800&lt;&gt;"",INDEX($P$2:$U$853,MATCH($X800,$W$2:$W$853,0),COLUMNS($X$2:AC800)),"")</f>
        <v/>
      </c>
    </row>
    <row r="801" spans="1:30" x14ac:dyDescent="0.2">
      <c r="A801" s="1">
        <v>2014</v>
      </c>
      <c r="B801" s="2">
        <v>41811</v>
      </c>
      <c r="C801" s="1" t="s">
        <v>503</v>
      </c>
      <c r="D801" s="1" t="s">
        <v>361</v>
      </c>
      <c r="E801" s="1" t="s">
        <v>473</v>
      </c>
      <c r="F801" s="1" t="s">
        <v>474</v>
      </c>
      <c r="G801" s="6" t="str">
        <f>VLOOKUP(A801,WorldCups!$A$2:$B$23,2,FALSE)</f>
        <v>Brazil</v>
      </c>
      <c r="H801" s="1" t="s">
        <v>51</v>
      </c>
      <c r="I801" s="1">
        <v>2</v>
      </c>
      <c r="J801" s="1">
        <v>2</v>
      </c>
      <c r="K801" s="1" t="s">
        <v>431</v>
      </c>
      <c r="L801" s="1" t="s">
        <v>14</v>
      </c>
      <c r="M801" s="1" t="str">
        <f>IF(ISNUMBER(SEARCH("Group",Table2[[#This Row],[Round]])),"Group stages",Table2[[#This Row],[Round]])</f>
        <v>Group stages</v>
      </c>
      <c r="O801" s="1">
        <f>Table2[[#This Row],[Year]]</f>
        <v>2014</v>
      </c>
      <c r="P801" s="1" t="str">
        <f>INDEX(Table2[[HomeTeam]:[Group_details]],ROWS($N$2:N801),COLUMNS($N$2:N801))</f>
        <v>Germany</v>
      </c>
      <c r="Q801" s="1">
        <f>INDEX(Table2[[HomeTeam]:[Group_details]],ROWS($N$2:O801),COLUMNS($N$2:O801))</f>
        <v>2</v>
      </c>
      <c r="R801" s="1">
        <f>INDEX(Table2[[HomeTeam]:[Group_details]],ROWS($N$2:P801),COLUMNS($N$2:P801))</f>
        <v>2</v>
      </c>
      <c r="S801" s="1" t="str">
        <f>INDEX(Table2[[HomeTeam]:[Group_details]],ROWS($N$2:Q801),COLUMNS($N$2:Q801))</f>
        <v>Ghana</v>
      </c>
      <c r="T801" s="1" t="str">
        <f>INDEX(Table2[[HomeTeam]:[Group_details]],ROWS($N$2:R801),COLUMNS($N$2:R801))</f>
        <v xml:space="preserve"> </v>
      </c>
      <c r="U801" s="1" t="str">
        <f>INDEX(Table2[[HomeTeam]:[Group_details]],ROWS($N$2:S801),COLUMNS($N$2:S801))</f>
        <v>Group stages</v>
      </c>
      <c r="V801" s="1" t="b">
        <f t="shared" si="12"/>
        <v>0</v>
      </c>
      <c r="W801" s="1" t="str">
        <f>IF(V801=TRUE,ROWS($V$2:V801),"")</f>
        <v/>
      </c>
      <c r="X801" s="1" t="str">
        <f>IFERROR(SMALL($W$2:$W$853,ROWS($W$2:W801)),"")</f>
        <v/>
      </c>
      <c r="Y801" s="1" t="str">
        <f>IF($X801&lt;&gt;"",INDEX($P$2:$U$853,MATCH($X801,$W$2:$W$853,0),COLUMNS($X$2:X801)),"")</f>
        <v/>
      </c>
      <c r="Z801" s="1" t="str">
        <f>IF($X801&lt;&gt;"",INDEX($P$2:$U$853,MATCH($X801,$W$2:$W$853,0),COLUMNS($X$2:Y801)),"")</f>
        <v/>
      </c>
      <c r="AA801" s="1" t="str">
        <f>IF($X801&lt;&gt;"",INDEX($P$2:$U$853,MATCH($X801,$W$2:$W$853,0),COLUMNS($X$2:Z801)),"")</f>
        <v/>
      </c>
      <c r="AB801" s="1" t="str">
        <f>IF($X801&lt;&gt;"",INDEX($P$2:$U$853,MATCH($X801,$W$2:$W$853,0),COLUMNS($X$2:AA801)),"")</f>
        <v/>
      </c>
      <c r="AC801" s="1" t="str">
        <f>IF($X801&lt;&gt;"",INDEX($P$2:$U$853,MATCH($X801,$W$2:$W$853,0),COLUMNS($X$2:AB801)),"")</f>
        <v/>
      </c>
      <c r="AD801" s="1" t="str">
        <f>IF($X801&lt;&gt;"",INDEX($P$2:$U$853,MATCH($X801,$W$2:$W$853,0),COLUMNS($X$2:AC801)),"")</f>
        <v/>
      </c>
    </row>
    <row r="802" spans="1:30" x14ac:dyDescent="0.2">
      <c r="A802" s="1">
        <v>2014</v>
      </c>
      <c r="B802" s="2">
        <v>41811</v>
      </c>
      <c r="C802" s="1" t="s">
        <v>510</v>
      </c>
      <c r="D802" s="1" t="s">
        <v>274</v>
      </c>
      <c r="E802" s="1" t="s">
        <v>470</v>
      </c>
      <c r="F802" s="1" t="s">
        <v>471</v>
      </c>
      <c r="G802" s="6" t="str">
        <f>VLOOKUP(A802,WorldCups!$A$2:$B$23,2,FALSE)</f>
        <v>Brazil</v>
      </c>
      <c r="H802" s="1" t="s">
        <v>340</v>
      </c>
      <c r="I802" s="1">
        <v>1</v>
      </c>
      <c r="J802" s="1">
        <v>0</v>
      </c>
      <c r="K802" s="1" t="s">
        <v>482</v>
      </c>
      <c r="L802" s="1" t="s">
        <v>14</v>
      </c>
      <c r="M802" s="1" t="str">
        <f>IF(ISNUMBER(SEARCH("Group",Table2[[#This Row],[Round]])),"Group stages",Table2[[#This Row],[Round]])</f>
        <v>Group stages</v>
      </c>
      <c r="O802" s="1">
        <f>Table2[[#This Row],[Year]]</f>
        <v>2014</v>
      </c>
      <c r="P802" s="1" t="str">
        <f>INDEX(Table2[[HomeTeam]:[Group_details]],ROWS($N$2:N802),COLUMNS($N$2:N802))</f>
        <v>Nigeria</v>
      </c>
      <c r="Q802" s="1">
        <f>INDEX(Table2[[HomeTeam]:[Group_details]],ROWS($N$2:O802),COLUMNS($N$2:O802))</f>
        <v>1</v>
      </c>
      <c r="R802" s="1">
        <f>INDEX(Table2[[HomeTeam]:[Group_details]],ROWS($N$2:P802),COLUMNS($N$2:P802))</f>
        <v>0</v>
      </c>
      <c r="S802" s="1" t="str">
        <f>INDEX(Table2[[HomeTeam]:[Group_details]],ROWS($N$2:Q802),COLUMNS($N$2:Q802))</f>
        <v>Bosnia and Herzegovina</v>
      </c>
      <c r="T802" s="1" t="str">
        <f>INDEX(Table2[[HomeTeam]:[Group_details]],ROWS($N$2:R802),COLUMNS($N$2:R802))</f>
        <v xml:space="preserve"> </v>
      </c>
      <c r="U802" s="1" t="str">
        <f>INDEX(Table2[[HomeTeam]:[Group_details]],ROWS($N$2:S802),COLUMNS($N$2:S802))</f>
        <v>Group stages</v>
      </c>
      <c r="V802" s="1" t="b">
        <f t="shared" si="12"/>
        <v>0</v>
      </c>
      <c r="W802" s="1" t="str">
        <f>IF(V802=TRUE,ROWS($V$2:V802),"")</f>
        <v/>
      </c>
      <c r="X802" s="1" t="str">
        <f>IFERROR(SMALL($W$2:$W$853,ROWS($W$2:W802)),"")</f>
        <v/>
      </c>
      <c r="Y802" s="1" t="str">
        <f>IF($X802&lt;&gt;"",INDEX($P$2:$U$853,MATCH($X802,$W$2:$W$853,0),COLUMNS($X$2:X802)),"")</f>
        <v/>
      </c>
      <c r="Z802" s="1" t="str">
        <f>IF($X802&lt;&gt;"",INDEX($P$2:$U$853,MATCH($X802,$W$2:$W$853,0),COLUMNS($X$2:Y802)),"")</f>
        <v/>
      </c>
      <c r="AA802" s="1" t="str">
        <f>IF($X802&lt;&gt;"",INDEX($P$2:$U$853,MATCH($X802,$W$2:$W$853,0),COLUMNS($X$2:Z802)),"")</f>
        <v/>
      </c>
      <c r="AB802" s="1" t="str">
        <f>IF($X802&lt;&gt;"",INDEX($P$2:$U$853,MATCH($X802,$W$2:$W$853,0),COLUMNS($X$2:AA802)),"")</f>
        <v/>
      </c>
      <c r="AC802" s="1" t="str">
        <f>IF($X802&lt;&gt;"",INDEX($P$2:$U$853,MATCH($X802,$W$2:$W$853,0),COLUMNS($X$2:AB802)),"")</f>
        <v/>
      </c>
      <c r="AD802" s="1" t="str">
        <f>IF($X802&lt;&gt;"",INDEX($P$2:$U$853,MATCH($X802,$W$2:$W$853,0),COLUMNS($X$2:AC802)),"")</f>
        <v/>
      </c>
    </row>
    <row r="803" spans="1:30" x14ac:dyDescent="0.2">
      <c r="A803" s="1">
        <v>2014</v>
      </c>
      <c r="B803" s="2">
        <v>41812</v>
      </c>
      <c r="C803" s="1" t="s">
        <v>507</v>
      </c>
      <c r="D803" s="1" t="s">
        <v>355</v>
      </c>
      <c r="E803" s="1" t="s">
        <v>481</v>
      </c>
      <c r="F803" s="1" t="s">
        <v>92</v>
      </c>
      <c r="G803" s="6" t="str">
        <f>VLOOKUP(A803,WorldCups!$A$2:$B$23,2,FALSE)</f>
        <v>Brazil</v>
      </c>
      <c r="H803" s="1" t="s">
        <v>18</v>
      </c>
      <c r="I803" s="1">
        <v>1</v>
      </c>
      <c r="J803" s="1">
        <v>0</v>
      </c>
      <c r="K803" s="1" t="s">
        <v>336</v>
      </c>
      <c r="L803" s="1" t="s">
        <v>14</v>
      </c>
      <c r="M803" s="1" t="str">
        <f>IF(ISNUMBER(SEARCH("Group",Table2[[#This Row],[Round]])),"Group stages",Table2[[#This Row],[Round]])</f>
        <v>Group stages</v>
      </c>
      <c r="O803" s="1">
        <f>Table2[[#This Row],[Year]]</f>
        <v>2014</v>
      </c>
      <c r="P803" s="1" t="str">
        <f>INDEX(Table2[[HomeTeam]:[Group_details]],ROWS($N$2:N803),COLUMNS($N$2:N803))</f>
        <v>Belgium</v>
      </c>
      <c r="Q803" s="1">
        <f>INDEX(Table2[[HomeTeam]:[Group_details]],ROWS($N$2:O803),COLUMNS($N$2:O803))</f>
        <v>1</v>
      </c>
      <c r="R803" s="1">
        <f>INDEX(Table2[[HomeTeam]:[Group_details]],ROWS($N$2:P803),COLUMNS($N$2:P803))</f>
        <v>0</v>
      </c>
      <c r="S803" s="1" t="str">
        <f>INDEX(Table2[[HomeTeam]:[Group_details]],ROWS($N$2:Q803),COLUMNS($N$2:Q803))</f>
        <v>Russia</v>
      </c>
      <c r="T803" s="1" t="str">
        <f>INDEX(Table2[[HomeTeam]:[Group_details]],ROWS($N$2:R803),COLUMNS($N$2:R803))</f>
        <v xml:space="preserve"> </v>
      </c>
      <c r="U803" s="1" t="str">
        <f>INDEX(Table2[[HomeTeam]:[Group_details]],ROWS($N$2:S803),COLUMNS($N$2:S803))</f>
        <v>Group stages</v>
      </c>
      <c r="V803" s="1" t="b">
        <f t="shared" si="12"/>
        <v>0</v>
      </c>
      <c r="W803" s="1" t="str">
        <f>IF(V803=TRUE,ROWS($V$2:V803),"")</f>
        <v/>
      </c>
      <c r="X803" s="1" t="str">
        <f>IFERROR(SMALL($W$2:$W$853,ROWS($W$2:W803)),"")</f>
        <v/>
      </c>
      <c r="Y803" s="1" t="str">
        <f>IF($X803&lt;&gt;"",INDEX($P$2:$U$853,MATCH($X803,$W$2:$W$853,0),COLUMNS($X$2:X803)),"")</f>
        <v/>
      </c>
      <c r="Z803" s="1" t="str">
        <f>IF($X803&lt;&gt;"",INDEX($P$2:$U$853,MATCH($X803,$W$2:$W$853,0),COLUMNS($X$2:Y803)),"")</f>
        <v/>
      </c>
      <c r="AA803" s="1" t="str">
        <f>IF($X803&lt;&gt;"",INDEX($P$2:$U$853,MATCH($X803,$W$2:$W$853,0),COLUMNS($X$2:Z803)),"")</f>
        <v/>
      </c>
      <c r="AB803" s="1" t="str">
        <f>IF($X803&lt;&gt;"",INDEX($P$2:$U$853,MATCH($X803,$W$2:$W$853,0),COLUMNS($X$2:AA803)),"")</f>
        <v/>
      </c>
      <c r="AC803" s="1" t="str">
        <f>IF($X803&lt;&gt;"",INDEX($P$2:$U$853,MATCH($X803,$W$2:$W$853,0),COLUMNS($X$2:AB803)),"")</f>
        <v/>
      </c>
      <c r="AD803" s="1" t="str">
        <f>IF($X803&lt;&gt;"",INDEX($P$2:$U$853,MATCH($X803,$W$2:$W$853,0),COLUMNS($X$2:AC803)),"")</f>
        <v/>
      </c>
    </row>
    <row r="804" spans="1:30" x14ac:dyDescent="0.2">
      <c r="A804" s="1">
        <v>2014</v>
      </c>
      <c r="B804" s="2">
        <v>41812</v>
      </c>
      <c r="C804" s="1" t="s">
        <v>503</v>
      </c>
      <c r="D804" s="1" t="s">
        <v>355</v>
      </c>
      <c r="E804" s="1" t="s">
        <v>480</v>
      </c>
      <c r="F804" s="1" t="s">
        <v>101</v>
      </c>
      <c r="G804" s="6" t="str">
        <f>VLOOKUP(A804,WorldCups!$A$2:$B$23,2,FALSE)</f>
        <v>Brazil</v>
      </c>
      <c r="H804" s="1" t="s">
        <v>116</v>
      </c>
      <c r="I804" s="1">
        <v>2</v>
      </c>
      <c r="J804" s="1">
        <v>4</v>
      </c>
      <c r="K804" s="1" t="s">
        <v>246</v>
      </c>
      <c r="L804" s="1" t="s">
        <v>14</v>
      </c>
      <c r="M804" s="1" t="str">
        <f>IF(ISNUMBER(SEARCH("Group",Table2[[#This Row],[Round]])),"Group stages",Table2[[#This Row],[Round]])</f>
        <v>Group stages</v>
      </c>
      <c r="O804" s="1">
        <f>Table2[[#This Row],[Year]]</f>
        <v>2014</v>
      </c>
      <c r="P804" s="1" t="str">
        <f>INDEX(Table2[[HomeTeam]:[Group_details]],ROWS($N$2:N804),COLUMNS($N$2:N804))</f>
        <v>Korea Republic</v>
      </c>
      <c r="Q804" s="1">
        <f>INDEX(Table2[[HomeTeam]:[Group_details]],ROWS($N$2:O804),COLUMNS($N$2:O804))</f>
        <v>2</v>
      </c>
      <c r="R804" s="1">
        <f>INDEX(Table2[[HomeTeam]:[Group_details]],ROWS($N$2:P804),COLUMNS($N$2:P804))</f>
        <v>4</v>
      </c>
      <c r="S804" s="1" t="str">
        <f>INDEX(Table2[[HomeTeam]:[Group_details]],ROWS($N$2:Q804),COLUMNS($N$2:Q804))</f>
        <v>Algeria</v>
      </c>
      <c r="T804" s="1" t="str">
        <f>INDEX(Table2[[HomeTeam]:[Group_details]],ROWS($N$2:R804),COLUMNS($N$2:R804))</f>
        <v xml:space="preserve"> </v>
      </c>
      <c r="U804" s="1" t="str">
        <f>INDEX(Table2[[HomeTeam]:[Group_details]],ROWS($N$2:S804),COLUMNS($N$2:S804))</f>
        <v>Group stages</v>
      </c>
      <c r="V804" s="1" t="b">
        <f t="shared" si="12"/>
        <v>0</v>
      </c>
      <c r="W804" s="1" t="str">
        <f>IF(V804=TRUE,ROWS($V$2:V804),"")</f>
        <v/>
      </c>
      <c r="X804" s="1" t="str">
        <f>IFERROR(SMALL($W$2:$W$853,ROWS($W$2:W804)),"")</f>
        <v/>
      </c>
      <c r="Y804" s="1" t="str">
        <f>IF($X804&lt;&gt;"",INDEX($P$2:$U$853,MATCH($X804,$W$2:$W$853,0),COLUMNS($X$2:X804)),"")</f>
        <v/>
      </c>
      <c r="Z804" s="1" t="str">
        <f>IF($X804&lt;&gt;"",INDEX($P$2:$U$853,MATCH($X804,$W$2:$W$853,0),COLUMNS($X$2:Y804)),"")</f>
        <v/>
      </c>
      <c r="AA804" s="1" t="str">
        <f>IF($X804&lt;&gt;"",INDEX($P$2:$U$853,MATCH($X804,$W$2:$W$853,0),COLUMNS($X$2:Z804)),"")</f>
        <v/>
      </c>
      <c r="AB804" s="1" t="str">
        <f>IF($X804&lt;&gt;"",INDEX($P$2:$U$853,MATCH($X804,$W$2:$W$853,0),COLUMNS($X$2:AA804)),"")</f>
        <v/>
      </c>
      <c r="AC804" s="1" t="str">
        <f>IF($X804&lt;&gt;"",INDEX($P$2:$U$853,MATCH($X804,$W$2:$W$853,0),COLUMNS($X$2:AB804)),"")</f>
        <v/>
      </c>
      <c r="AD804" s="1" t="str">
        <f>IF($X804&lt;&gt;"",INDEX($P$2:$U$853,MATCH($X804,$W$2:$W$853,0),COLUMNS($X$2:AC804)),"")</f>
        <v/>
      </c>
    </row>
    <row r="805" spans="1:30" x14ac:dyDescent="0.2">
      <c r="A805" s="1">
        <v>2014</v>
      </c>
      <c r="B805" s="2">
        <v>41812</v>
      </c>
      <c r="C805" s="1" t="s">
        <v>510</v>
      </c>
      <c r="D805" s="1" t="s">
        <v>361</v>
      </c>
      <c r="E805" s="1" t="s">
        <v>475</v>
      </c>
      <c r="F805" s="1" t="s">
        <v>476</v>
      </c>
      <c r="G805" s="6" t="str">
        <f>VLOOKUP(A805,WorldCups!$A$2:$B$23,2,FALSE)</f>
        <v>Brazil</v>
      </c>
      <c r="H805" s="1" t="s">
        <v>17</v>
      </c>
      <c r="I805" s="1">
        <v>2</v>
      </c>
      <c r="J805" s="1">
        <v>2</v>
      </c>
      <c r="K805" s="1" t="s">
        <v>170</v>
      </c>
      <c r="L805" s="1" t="s">
        <v>14</v>
      </c>
      <c r="M805" s="1" t="str">
        <f>IF(ISNUMBER(SEARCH("Group",Table2[[#This Row],[Round]])),"Group stages",Table2[[#This Row],[Round]])</f>
        <v>Group stages</v>
      </c>
      <c r="O805" s="1">
        <f>Table2[[#This Row],[Year]]</f>
        <v>2014</v>
      </c>
      <c r="P805" s="1" t="str">
        <f>INDEX(Table2[[HomeTeam]:[Group_details]],ROWS($N$2:N805),COLUMNS($N$2:N805))</f>
        <v>USA</v>
      </c>
      <c r="Q805" s="1">
        <f>INDEX(Table2[[HomeTeam]:[Group_details]],ROWS($N$2:O805),COLUMNS($N$2:O805))</f>
        <v>2</v>
      </c>
      <c r="R805" s="1">
        <f>INDEX(Table2[[HomeTeam]:[Group_details]],ROWS($N$2:P805),COLUMNS($N$2:P805))</f>
        <v>2</v>
      </c>
      <c r="S805" s="1" t="str">
        <f>INDEX(Table2[[HomeTeam]:[Group_details]],ROWS($N$2:Q805),COLUMNS($N$2:Q805))</f>
        <v>Portugal</v>
      </c>
      <c r="T805" s="1" t="str">
        <f>INDEX(Table2[[HomeTeam]:[Group_details]],ROWS($N$2:R805),COLUMNS($N$2:R805))</f>
        <v xml:space="preserve"> </v>
      </c>
      <c r="U805" s="1" t="str">
        <f>INDEX(Table2[[HomeTeam]:[Group_details]],ROWS($N$2:S805),COLUMNS($N$2:S805))</f>
        <v>Group stages</v>
      </c>
      <c r="V805" s="1" t="b">
        <f t="shared" si="12"/>
        <v>0</v>
      </c>
      <c r="W805" s="1" t="str">
        <f>IF(V805=TRUE,ROWS($V$2:V805),"")</f>
        <v/>
      </c>
      <c r="X805" s="1" t="str">
        <f>IFERROR(SMALL($W$2:$W$853,ROWS($W$2:W805)),"")</f>
        <v/>
      </c>
      <c r="Y805" s="1" t="str">
        <f>IF($X805&lt;&gt;"",INDEX($P$2:$U$853,MATCH($X805,$W$2:$W$853,0),COLUMNS($X$2:X805)),"")</f>
        <v/>
      </c>
      <c r="Z805" s="1" t="str">
        <f>IF($X805&lt;&gt;"",INDEX($P$2:$U$853,MATCH($X805,$W$2:$W$853,0),COLUMNS($X$2:Y805)),"")</f>
        <v/>
      </c>
      <c r="AA805" s="1" t="str">
        <f>IF($X805&lt;&gt;"",INDEX($P$2:$U$853,MATCH($X805,$W$2:$W$853,0),COLUMNS($X$2:Z805)),"")</f>
        <v/>
      </c>
      <c r="AB805" s="1" t="str">
        <f>IF($X805&lt;&gt;"",INDEX($P$2:$U$853,MATCH($X805,$W$2:$W$853,0),COLUMNS($X$2:AA805)),"")</f>
        <v/>
      </c>
      <c r="AC805" s="1" t="str">
        <f>IF($X805&lt;&gt;"",INDEX($P$2:$U$853,MATCH($X805,$W$2:$W$853,0),COLUMNS($X$2:AB805)),"")</f>
        <v/>
      </c>
      <c r="AD805" s="1" t="str">
        <f>IF($X805&lt;&gt;"",INDEX($P$2:$U$853,MATCH($X805,$W$2:$W$853,0),COLUMNS($X$2:AC805)),"")</f>
        <v/>
      </c>
    </row>
    <row r="806" spans="1:30" x14ac:dyDescent="0.2">
      <c r="A806" s="1">
        <v>2014</v>
      </c>
      <c r="B806" s="2">
        <v>41813</v>
      </c>
      <c r="C806" s="1" t="s">
        <v>507</v>
      </c>
      <c r="D806" s="1" t="s">
        <v>213</v>
      </c>
      <c r="E806" s="1" t="s">
        <v>483</v>
      </c>
      <c r="F806" s="1" t="s">
        <v>95</v>
      </c>
      <c r="G806" s="6" t="str">
        <f>VLOOKUP(A806,WorldCups!$A$2:$B$23,2,FALSE)</f>
        <v>Brazil</v>
      </c>
      <c r="H806" s="1" t="s">
        <v>199</v>
      </c>
      <c r="I806" s="1">
        <v>0</v>
      </c>
      <c r="J806" s="1">
        <v>3</v>
      </c>
      <c r="K806" s="1" t="s">
        <v>54</v>
      </c>
      <c r="L806" s="1" t="s">
        <v>14</v>
      </c>
      <c r="M806" s="1" t="str">
        <f>IF(ISNUMBER(SEARCH("Group",Table2[[#This Row],[Round]])),"Group stages",Table2[[#This Row],[Round]])</f>
        <v>Group stages</v>
      </c>
      <c r="O806" s="1">
        <f>Table2[[#This Row],[Year]]</f>
        <v>2014</v>
      </c>
      <c r="P806" s="1" t="str">
        <f>INDEX(Table2[[HomeTeam]:[Group_details]],ROWS($N$2:N806),COLUMNS($N$2:N806))</f>
        <v>Australia</v>
      </c>
      <c r="Q806" s="1">
        <f>INDEX(Table2[[HomeTeam]:[Group_details]],ROWS($N$2:O806),COLUMNS($N$2:O806))</f>
        <v>0</v>
      </c>
      <c r="R806" s="1">
        <f>INDEX(Table2[[HomeTeam]:[Group_details]],ROWS($N$2:P806),COLUMNS($N$2:P806))</f>
        <v>3</v>
      </c>
      <c r="S806" s="1" t="str">
        <f>INDEX(Table2[[HomeTeam]:[Group_details]],ROWS($N$2:Q806),COLUMNS($N$2:Q806))</f>
        <v>Spain</v>
      </c>
      <c r="T806" s="1" t="str">
        <f>INDEX(Table2[[HomeTeam]:[Group_details]],ROWS($N$2:R806),COLUMNS($N$2:R806))</f>
        <v xml:space="preserve"> </v>
      </c>
      <c r="U806" s="1" t="str">
        <f>INDEX(Table2[[HomeTeam]:[Group_details]],ROWS($N$2:S806),COLUMNS($N$2:S806))</f>
        <v>Group stages</v>
      </c>
      <c r="V806" s="1" t="b">
        <f t="shared" si="12"/>
        <v>0</v>
      </c>
      <c r="W806" s="1" t="str">
        <f>IF(V806=TRUE,ROWS($V$2:V806),"")</f>
        <v/>
      </c>
      <c r="X806" s="1" t="str">
        <f>IFERROR(SMALL($W$2:$W$853,ROWS($W$2:W806)),"")</f>
        <v/>
      </c>
      <c r="Y806" s="1" t="str">
        <f>IF($X806&lt;&gt;"",INDEX($P$2:$U$853,MATCH($X806,$W$2:$W$853,0),COLUMNS($X$2:X806)),"")</f>
        <v/>
      </c>
      <c r="Z806" s="1" t="str">
        <f>IF($X806&lt;&gt;"",INDEX($P$2:$U$853,MATCH($X806,$W$2:$W$853,0),COLUMNS($X$2:Y806)),"")</f>
        <v/>
      </c>
      <c r="AA806" s="1" t="str">
        <f>IF($X806&lt;&gt;"",INDEX($P$2:$U$853,MATCH($X806,$W$2:$W$853,0),COLUMNS($X$2:Z806)),"")</f>
        <v/>
      </c>
      <c r="AB806" s="1" t="str">
        <f>IF($X806&lt;&gt;"",INDEX($P$2:$U$853,MATCH($X806,$W$2:$W$853,0),COLUMNS($X$2:AA806)),"")</f>
        <v/>
      </c>
      <c r="AC806" s="1" t="str">
        <f>IF($X806&lt;&gt;"",INDEX($P$2:$U$853,MATCH($X806,$W$2:$W$853,0),COLUMNS($X$2:AB806)),"")</f>
        <v/>
      </c>
      <c r="AD806" s="1" t="str">
        <f>IF($X806&lt;&gt;"",INDEX($P$2:$U$853,MATCH($X806,$W$2:$W$853,0),COLUMNS($X$2:AC806)),"")</f>
        <v/>
      </c>
    </row>
    <row r="807" spans="1:30" x14ac:dyDescent="0.2">
      <c r="A807" s="1">
        <v>2014</v>
      </c>
      <c r="B807" s="2">
        <v>41813</v>
      </c>
      <c r="C807" s="1" t="s">
        <v>507</v>
      </c>
      <c r="D807" s="1" t="s">
        <v>213</v>
      </c>
      <c r="E807" s="1" t="s">
        <v>465</v>
      </c>
      <c r="F807" s="1" t="s">
        <v>97</v>
      </c>
      <c r="G807" s="6" t="str">
        <f>VLOOKUP(A807,WorldCups!$A$2:$B$23,2,FALSE)</f>
        <v>Brazil</v>
      </c>
      <c r="H807" s="1" t="s">
        <v>45</v>
      </c>
      <c r="I807" s="1">
        <v>2</v>
      </c>
      <c r="J807" s="1">
        <v>0</v>
      </c>
      <c r="K807" s="1" t="s">
        <v>26</v>
      </c>
      <c r="L807" s="1" t="s">
        <v>14</v>
      </c>
      <c r="M807" s="1" t="str">
        <f>IF(ISNUMBER(SEARCH("Group",Table2[[#This Row],[Round]])),"Group stages",Table2[[#This Row],[Round]])</f>
        <v>Group stages</v>
      </c>
      <c r="O807" s="1">
        <f>Table2[[#This Row],[Year]]</f>
        <v>2014</v>
      </c>
      <c r="P807" s="1" t="str">
        <f>INDEX(Table2[[HomeTeam]:[Group_details]],ROWS($N$2:N807),COLUMNS($N$2:N807))</f>
        <v>Netherlands</v>
      </c>
      <c r="Q807" s="1">
        <f>INDEX(Table2[[HomeTeam]:[Group_details]],ROWS($N$2:O807),COLUMNS($N$2:O807))</f>
        <v>2</v>
      </c>
      <c r="R807" s="1">
        <f>INDEX(Table2[[HomeTeam]:[Group_details]],ROWS($N$2:P807),COLUMNS($N$2:P807))</f>
        <v>0</v>
      </c>
      <c r="S807" s="1" t="str">
        <f>INDEX(Table2[[HomeTeam]:[Group_details]],ROWS($N$2:Q807),COLUMNS($N$2:Q807))</f>
        <v>Chile</v>
      </c>
      <c r="T807" s="1" t="str">
        <f>INDEX(Table2[[HomeTeam]:[Group_details]],ROWS($N$2:R807),COLUMNS($N$2:R807))</f>
        <v xml:space="preserve"> </v>
      </c>
      <c r="U807" s="1" t="str">
        <f>INDEX(Table2[[HomeTeam]:[Group_details]],ROWS($N$2:S807),COLUMNS($N$2:S807))</f>
        <v>Group stages</v>
      </c>
      <c r="V807" s="1" t="b">
        <f t="shared" si="12"/>
        <v>0</v>
      </c>
      <c r="W807" s="1" t="str">
        <f>IF(V807=TRUE,ROWS($V$2:V807),"")</f>
        <v/>
      </c>
      <c r="X807" s="1" t="str">
        <f>IFERROR(SMALL($W$2:$W$853,ROWS($W$2:W807)),"")</f>
        <v/>
      </c>
      <c r="Y807" s="1" t="str">
        <f>IF($X807&lt;&gt;"",INDEX($P$2:$U$853,MATCH($X807,$W$2:$W$853,0),COLUMNS($X$2:X807)),"")</f>
        <v/>
      </c>
      <c r="Z807" s="1" t="str">
        <f>IF($X807&lt;&gt;"",INDEX($P$2:$U$853,MATCH($X807,$W$2:$W$853,0),COLUMNS($X$2:Y807)),"")</f>
        <v/>
      </c>
      <c r="AA807" s="1" t="str">
        <f>IF($X807&lt;&gt;"",INDEX($P$2:$U$853,MATCH($X807,$W$2:$W$853,0),COLUMNS($X$2:Z807)),"")</f>
        <v/>
      </c>
      <c r="AB807" s="1" t="str">
        <f>IF($X807&lt;&gt;"",INDEX($P$2:$U$853,MATCH($X807,$W$2:$W$853,0),COLUMNS($X$2:AA807)),"")</f>
        <v/>
      </c>
      <c r="AC807" s="1" t="str">
        <f>IF($X807&lt;&gt;"",INDEX($P$2:$U$853,MATCH($X807,$W$2:$W$853,0),COLUMNS($X$2:AB807)),"")</f>
        <v/>
      </c>
      <c r="AD807" s="1" t="str">
        <f>IF($X807&lt;&gt;"",INDEX($P$2:$U$853,MATCH($X807,$W$2:$W$853,0),COLUMNS($X$2:AC807)),"")</f>
        <v/>
      </c>
    </row>
    <row r="808" spans="1:30" x14ac:dyDescent="0.2">
      <c r="A808" s="1">
        <v>2014</v>
      </c>
      <c r="B808" s="2">
        <v>41813</v>
      </c>
      <c r="C808" s="1" t="s">
        <v>512</v>
      </c>
      <c r="D808" s="1" t="s">
        <v>214</v>
      </c>
      <c r="E808" s="1" t="s">
        <v>478</v>
      </c>
      <c r="F808" s="1" t="s">
        <v>479</v>
      </c>
      <c r="G808" s="6" t="str">
        <f>VLOOKUP(A808,WorldCups!$A$2:$B$23,2,FALSE)</f>
        <v>Brazil</v>
      </c>
      <c r="H808" s="1" t="s">
        <v>238</v>
      </c>
      <c r="I808" s="1">
        <v>1</v>
      </c>
      <c r="J808" s="1">
        <v>4</v>
      </c>
      <c r="K808" s="1" t="s">
        <v>21</v>
      </c>
      <c r="L808" s="1" t="s">
        <v>14</v>
      </c>
      <c r="M808" s="1" t="str">
        <f>IF(ISNUMBER(SEARCH("Group",Table2[[#This Row],[Round]])),"Group stages",Table2[[#This Row],[Round]])</f>
        <v>Group stages</v>
      </c>
      <c r="O808" s="1">
        <f>Table2[[#This Row],[Year]]</f>
        <v>2014</v>
      </c>
      <c r="P808" s="1" t="str">
        <f>INDEX(Table2[[HomeTeam]:[Group_details]],ROWS($N$2:N808),COLUMNS($N$2:N808))</f>
        <v>Cameroon</v>
      </c>
      <c r="Q808" s="1">
        <f>INDEX(Table2[[HomeTeam]:[Group_details]],ROWS($N$2:O808),COLUMNS($N$2:O808))</f>
        <v>1</v>
      </c>
      <c r="R808" s="1">
        <f>INDEX(Table2[[HomeTeam]:[Group_details]],ROWS($N$2:P808),COLUMNS($N$2:P808))</f>
        <v>4</v>
      </c>
      <c r="S808" s="1" t="str">
        <f>INDEX(Table2[[HomeTeam]:[Group_details]],ROWS($N$2:Q808),COLUMNS($N$2:Q808))</f>
        <v>Brazil</v>
      </c>
      <c r="T808" s="1" t="str">
        <f>INDEX(Table2[[HomeTeam]:[Group_details]],ROWS($N$2:R808),COLUMNS($N$2:R808))</f>
        <v xml:space="preserve"> </v>
      </c>
      <c r="U808" s="1" t="str">
        <f>INDEX(Table2[[HomeTeam]:[Group_details]],ROWS($N$2:S808),COLUMNS($N$2:S808))</f>
        <v>Group stages</v>
      </c>
      <c r="V808" s="1" t="b">
        <f t="shared" si="12"/>
        <v>0</v>
      </c>
      <c r="W808" s="1" t="str">
        <f>IF(V808=TRUE,ROWS($V$2:V808),"")</f>
        <v/>
      </c>
      <c r="X808" s="1" t="str">
        <f>IFERROR(SMALL($W$2:$W$853,ROWS($W$2:W808)),"")</f>
        <v/>
      </c>
      <c r="Y808" s="1" t="str">
        <f>IF($X808&lt;&gt;"",INDEX($P$2:$U$853,MATCH($X808,$W$2:$W$853,0),COLUMNS($X$2:X808)),"")</f>
        <v/>
      </c>
      <c r="Z808" s="1" t="str">
        <f>IF($X808&lt;&gt;"",INDEX($P$2:$U$853,MATCH($X808,$W$2:$W$853,0),COLUMNS($X$2:Y808)),"")</f>
        <v/>
      </c>
      <c r="AA808" s="1" t="str">
        <f>IF($X808&lt;&gt;"",INDEX($P$2:$U$853,MATCH($X808,$W$2:$W$853,0),COLUMNS($X$2:Z808)),"")</f>
        <v/>
      </c>
      <c r="AB808" s="1" t="str">
        <f>IF($X808&lt;&gt;"",INDEX($P$2:$U$853,MATCH($X808,$W$2:$W$853,0),COLUMNS($X$2:AA808)),"")</f>
        <v/>
      </c>
      <c r="AC808" s="1" t="str">
        <f>IF($X808&lt;&gt;"",INDEX($P$2:$U$853,MATCH($X808,$W$2:$W$853,0),COLUMNS($X$2:AB808)),"")</f>
        <v/>
      </c>
      <c r="AD808" s="1" t="str">
        <f>IF($X808&lt;&gt;"",INDEX($P$2:$U$853,MATCH($X808,$W$2:$W$853,0),COLUMNS($X$2:AC808)),"")</f>
        <v/>
      </c>
    </row>
    <row r="809" spans="1:30" x14ac:dyDescent="0.2">
      <c r="A809" s="1">
        <v>2014</v>
      </c>
      <c r="B809" s="2">
        <v>41813</v>
      </c>
      <c r="C809" s="1" t="s">
        <v>512</v>
      </c>
      <c r="D809" s="1" t="s">
        <v>214</v>
      </c>
      <c r="E809" s="1" t="s">
        <v>477</v>
      </c>
      <c r="F809" s="1" t="s">
        <v>103</v>
      </c>
      <c r="G809" s="6" t="str">
        <f>VLOOKUP(A809,WorldCups!$A$2:$B$23,2,FALSE)</f>
        <v>Brazil</v>
      </c>
      <c r="H809" s="1" t="s">
        <v>360</v>
      </c>
      <c r="I809" s="1">
        <v>1</v>
      </c>
      <c r="J809" s="1">
        <v>3</v>
      </c>
      <c r="K809" s="1" t="s">
        <v>13</v>
      </c>
      <c r="L809" s="1" t="s">
        <v>14</v>
      </c>
      <c r="M809" s="1" t="str">
        <f>IF(ISNUMBER(SEARCH("Group",Table2[[#This Row],[Round]])),"Group stages",Table2[[#This Row],[Round]])</f>
        <v>Group stages</v>
      </c>
      <c r="O809" s="1">
        <f>Table2[[#This Row],[Year]]</f>
        <v>2014</v>
      </c>
      <c r="P809" s="1" t="str">
        <f>INDEX(Table2[[HomeTeam]:[Group_details]],ROWS($N$2:N809),COLUMNS($N$2:N809))</f>
        <v>Croatia</v>
      </c>
      <c r="Q809" s="1">
        <f>INDEX(Table2[[HomeTeam]:[Group_details]],ROWS($N$2:O809),COLUMNS($N$2:O809))</f>
        <v>1</v>
      </c>
      <c r="R809" s="1">
        <f>INDEX(Table2[[HomeTeam]:[Group_details]],ROWS($N$2:P809),COLUMNS($N$2:P809))</f>
        <v>3</v>
      </c>
      <c r="S809" s="1" t="str">
        <f>INDEX(Table2[[HomeTeam]:[Group_details]],ROWS($N$2:Q809),COLUMNS($N$2:Q809))</f>
        <v>Mexico</v>
      </c>
      <c r="T809" s="1" t="str">
        <f>INDEX(Table2[[HomeTeam]:[Group_details]],ROWS($N$2:R809),COLUMNS($N$2:R809))</f>
        <v xml:space="preserve"> </v>
      </c>
      <c r="U809" s="1" t="str">
        <f>INDEX(Table2[[HomeTeam]:[Group_details]],ROWS($N$2:S809),COLUMNS($N$2:S809))</f>
        <v>Group stages</v>
      </c>
      <c r="V809" s="1" t="b">
        <f t="shared" si="12"/>
        <v>0</v>
      </c>
      <c r="W809" s="1" t="str">
        <f>IF(V809=TRUE,ROWS($V$2:V809),"")</f>
        <v/>
      </c>
      <c r="X809" s="1" t="str">
        <f>IFERROR(SMALL($W$2:$W$853,ROWS($W$2:W809)),"")</f>
        <v/>
      </c>
      <c r="Y809" s="1" t="str">
        <f>IF($X809&lt;&gt;"",INDEX($P$2:$U$853,MATCH($X809,$W$2:$W$853,0),COLUMNS($X$2:X809)),"")</f>
        <v/>
      </c>
      <c r="Z809" s="1" t="str">
        <f>IF($X809&lt;&gt;"",INDEX($P$2:$U$853,MATCH($X809,$W$2:$W$853,0),COLUMNS($X$2:Y809)),"")</f>
        <v/>
      </c>
      <c r="AA809" s="1" t="str">
        <f>IF($X809&lt;&gt;"",INDEX($P$2:$U$853,MATCH($X809,$W$2:$W$853,0),COLUMNS($X$2:Z809)),"")</f>
        <v/>
      </c>
      <c r="AB809" s="1" t="str">
        <f>IF($X809&lt;&gt;"",INDEX($P$2:$U$853,MATCH($X809,$W$2:$W$853,0),COLUMNS($X$2:AA809)),"")</f>
        <v/>
      </c>
      <c r="AC809" s="1" t="str">
        <f>IF($X809&lt;&gt;"",INDEX($P$2:$U$853,MATCH($X809,$W$2:$W$853,0),COLUMNS($X$2:AB809)),"")</f>
        <v/>
      </c>
      <c r="AD809" s="1" t="str">
        <f>IF($X809&lt;&gt;"",INDEX($P$2:$U$853,MATCH($X809,$W$2:$W$853,0),COLUMNS($X$2:AC809)),"")</f>
        <v/>
      </c>
    </row>
    <row r="810" spans="1:30" x14ac:dyDescent="0.2">
      <c r="A810" s="1">
        <v>2014</v>
      </c>
      <c r="B810" s="2">
        <v>41814</v>
      </c>
      <c r="C810" s="1" t="s">
        <v>507</v>
      </c>
      <c r="D810" s="1" t="s">
        <v>270</v>
      </c>
      <c r="E810" s="1" t="s">
        <v>466</v>
      </c>
      <c r="F810" s="1" t="s">
        <v>467</v>
      </c>
      <c r="G810" s="6" t="str">
        <f>VLOOKUP(A810,WorldCups!$A$2:$B$23,2,FALSE)</f>
        <v>Brazil</v>
      </c>
      <c r="H810" s="1" t="s">
        <v>57</v>
      </c>
      <c r="I810" s="1">
        <v>0</v>
      </c>
      <c r="J810" s="1">
        <v>1</v>
      </c>
      <c r="K810" s="1" t="s">
        <v>30</v>
      </c>
      <c r="L810" s="1" t="s">
        <v>14</v>
      </c>
      <c r="M810" s="1" t="str">
        <f>IF(ISNUMBER(SEARCH("Group",Table2[[#This Row],[Round]])),"Group stages",Table2[[#This Row],[Round]])</f>
        <v>Group stages</v>
      </c>
      <c r="O810" s="1">
        <f>Table2[[#This Row],[Year]]</f>
        <v>2014</v>
      </c>
      <c r="P810" s="1" t="str">
        <f>INDEX(Table2[[HomeTeam]:[Group_details]],ROWS($N$2:N810),COLUMNS($N$2:N810))</f>
        <v>Italy</v>
      </c>
      <c r="Q810" s="1">
        <f>INDEX(Table2[[HomeTeam]:[Group_details]],ROWS($N$2:O810),COLUMNS($N$2:O810))</f>
        <v>0</v>
      </c>
      <c r="R810" s="1">
        <f>INDEX(Table2[[HomeTeam]:[Group_details]],ROWS($N$2:P810),COLUMNS($N$2:P810))</f>
        <v>1</v>
      </c>
      <c r="S810" s="1" t="str">
        <f>INDEX(Table2[[HomeTeam]:[Group_details]],ROWS($N$2:Q810),COLUMNS($N$2:Q810))</f>
        <v>Uruguay</v>
      </c>
      <c r="T810" s="1" t="str">
        <f>INDEX(Table2[[HomeTeam]:[Group_details]],ROWS($N$2:R810),COLUMNS($N$2:R810))</f>
        <v xml:space="preserve"> </v>
      </c>
      <c r="U810" s="1" t="str">
        <f>INDEX(Table2[[HomeTeam]:[Group_details]],ROWS($N$2:S810),COLUMNS($N$2:S810))</f>
        <v>Group stages</v>
      </c>
      <c r="V810" s="1" t="b">
        <f t="shared" si="12"/>
        <v>0</v>
      </c>
      <c r="W810" s="1" t="str">
        <f>IF(V810=TRUE,ROWS($V$2:V810),"")</f>
        <v/>
      </c>
      <c r="X810" s="1" t="str">
        <f>IFERROR(SMALL($W$2:$W$853,ROWS($W$2:W810)),"")</f>
        <v/>
      </c>
      <c r="Y810" s="1" t="str">
        <f>IF($X810&lt;&gt;"",INDEX($P$2:$U$853,MATCH($X810,$W$2:$W$853,0),COLUMNS($X$2:X810)),"")</f>
        <v/>
      </c>
      <c r="Z810" s="1" t="str">
        <f>IF($X810&lt;&gt;"",INDEX($P$2:$U$853,MATCH($X810,$W$2:$W$853,0),COLUMNS($X$2:Y810)),"")</f>
        <v/>
      </c>
      <c r="AA810" s="1" t="str">
        <f>IF($X810&lt;&gt;"",INDEX($P$2:$U$853,MATCH($X810,$W$2:$W$853,0),COLUMNS($X$2:Z810)),"")</f>
        <v/>
      </c>
      <c r="AB810" s="1" t="str">
        <f>IF($X810&lt;&gt;"",INDEX($P$2:$U$853,MATCH($X810,$W$2:$W$853,0),COLUMNS($X$2:AA810)),"")</f>
        <v/>
      </c>
      <c r="AC810" s="1" t="str">
        <f>IF($X810&lt;&gt;"",INDEX($P$2:$U$853,MATCH($X810,$W$2:$W$853,0),COLUMNS($X$2:AB810)),"")</f>
        <v/>
      </c>
      <c r="AD810" s="1" t="str">
        <f>IF($X810&lt;&gt;"",INDEX($P$2:$U$853,MATCH($X810,$W$2:$W$853,0),COLUMNS($X$2:AC810)),"")</f>
        <v/>
      </c>
    </row>
    <row r="811" spans="1:30" x14ac:dyDescent="0.2">
      <c r="A811" s="1">
        <v>2014</v>
      </c>
      <c r="B811" s="2">
        <v>41814</v>
      </c>
      <c r="C811" s="1" t="s">
        <v>507</v>
      </c>
      <c r="D811" s="1" t="s">
        <v>270</v>
      </c>
      <c r="E811" s="1" t="s">
        <v>472</v>
      </c>
      <c r="F811" s="1" t="s">
        <v>99</v>
      </c>
      <c r="G811" s="6" t="str">
        <f>VLOOKUP(A811,WorldCups!$A$2:$B$23,2,FALSE)</f>
        <v>Brazil</v>
      </c>
      <c r="H811" s="1" t="s">
        <v>301</v>
      </c>
      <c r="I811" s="1">
        <v>0</v>
      </c>
      <c r="J811" s="1">
        <v>0</v>
      </c>
      <c r="K811" s="1" t="s">
        <v>93</v>
      </c>
      <c r="L811" s="1" t="s">
        <v>14</v>
      </c>
      <c r="M811" s="1" t="str">
        <f>IF(ISNUMBER(SEARCH("Group",Table2[[#This Row],[Round]])),"Group stages",Table2[[#This Row],[Round]])</f>
        <v>Group stages</v>
      </c>
      <c r="O811" s="1">
        <f>Table2[[#This Row],[Year]]</f>
        <v>2014</v>
      </c>
      <c r="P811" s="1" t="str">
        <f>INDEX(Table2[[HomeTeam]:[Group_details]],ROWS($N$2:N811),COLUMNS($N$2:N811))</f>
        <v>Costa Rica</v>
      </c>
      <c r="Q811" s="1">
        <f>INDEX(Table2[[HomeTeam]:[Group_details]],ROWS($N$2:O811),COLUMNS($N$2:O811))</f>
        <v>0</v>
      </c>
      <c r="R811" s="1">
        <f>INDEX(Table2[[HomeTeam]:[Group_details]],ROWS($N$2:P811),COLUMNS($N$2:P811))</f>
        <v>0</v>
      </c>
      <c r="S811" s="1" t="str">
        <f>INDEX(Table2[[HomeTeam]:[Group_details]],ROWS($N$2:Q811),COLUMNS($N$2:Q811))</f>
        <v>England</v>
      </c>
      <c r="T811" s="1" t="str">
        <f>INDEX(Table2[[HomeTeam]:[Group_details]],ROWS($N$2:R811),COLUMNS($N$2:R811))</f>
        <v xml:space="preserve"> </v>
      </c>
      <c r="U811" s="1" t="str">
        <f>INDEX(Table2[[HomeTeam]:[Group_details]],ROWS($N$2:S811),COLUMNS($N$2:S811))</f>
        <v>Group stages</v>
      </c>
      <c r="V811" s="1" t="b">
        <f t="shared" si="12"/>
        <v>0</v>
      </c>
      <c r="W811" s="1" t="str">
        <f>IF(V811=TRUE,ROWS($V$2:V811),"")</f>
        <v/>
      </c>
      <c r="X811" s="1" t="str">
        <f>IFERROR(SMALL($W$2:$W$853,ROWS($W$2:W811)),"")</f>
        <v/>
      </c>
      <c r="Y811" s="1" t="str">
        <f>IF($X811&lt;&gt;"",INDEX($P$2:$U$853,MATCH($X811,$W$2:$W$853,0),COLUMNS($X$2:X811)),"")</f>
        <v/>
      </c>
      <c r="Z811" s="1" t="str">
        <f>IF($X811&lt;&gt;"",INDEX($P$2:$U$853,MATCH($X811,$W$2:$W$853,0),COLUMNS($X$2:Y811)),"")</f>
        <v/>
      </c>
      <c r="AA811" s="1" t="str">
        <f>IF($X811&lt;&gt;"",INDEX($P$2:$U$853,MATCH($X811,$W$2:$W$853,0),COLUMNS($X$2:Z811)),"")</f>
        <v/>
      </c>
      <c r="AB811" s="1" t="str">
        <f>IF($X811&lt;&gt;"",INDEX($P$2:$U$853,MATCH($X811,$W$2:$W$853,0),COLUMNS($X$2:AA811)),"")</f>
        <v/>
      </c>
      <c r="AC811" s="1" t="str">
        <f>IF($X811&lt;&gt;"",INDEX($P$2:$U$853,MATCH($X811,$W$2:$W$853,0),COLUMNS($X$2:AB811)),"")</f>
        <v/>
      </c>
      <c r="AD811" s="1" t="str">
        <f>IF($X811&lt;&gt;"",INDEX($P$2:$U$853,MATCH($X811,$W$2:$W$853,0),COLUMNS($X$2:AC811)),"")</f>
        <v/>
      </c>
    </row>
    <row r="812" spans="1:30" x14ac:dyDescent="0.2">
      <c r="A812" s="1">
        <v>2014</v>
      </c>
      <c r="B812" s="2">
        <v>41814</v>
      </c>
      <c r="C812" s="1" t="s">
        <v>503</v>
      </c>
      <c r="D812" s="1" t="s">
        <v>268</v>
      </c>
      <c r="E812" s="1" t="s">
        <v>470</v>
      </c>
      <c r="F812" s="1" t="s">
        <v>471</v>
      </c>
      <c r="G812" s="6" t="str">
        <f>VLOOKUP(A812,WorldCups!$A$2:$B$23,2,FALSE)</f>
        <v>Brazil</v>
      </c>
      <c r="H812" s="1" t="s">
        <v>356</v>
      </c>
      <c r="I812" s="1">
        <v>1</v>
      </c>
      <c r="J812" s="1">
        <v>4</v>
      </c>
      <c r="K812" s="1" t="s">
        <v>151</v>
      </c>
      <c r="L812" s="1" t="s">
        <v>14</v>
      </c>
      <c r="M812" s="1" t="str">
        <f>IF(ISNUMBER(SEARCH("Group",Table2[[#This Row],[Round]])),"Group stages",Table2[[#This Row],[Round]])</f>
        <v>Group stages</v>
      </c>
      <c r="O812" s="1">
        <f>Table2[[#This Row],[Year]]</f>
        <v>2014</v>
      </c>
      <c r="P812" s="1" t="str">
        <f>INDEX(Table2[[HomeTeam]:[Group_details]],ROWS($N$2:N812),COLUMNS($N$2:N812))</f>
        <v>Japan</v>
      </c>
      <c r="Q812" s="1">
        <f>INDEX(Table2[[HomeTeam]:[Group_details]],ROWS($N$2:O812),COLUMNS($N$2:O812))</f>
        <v>1</v>
      </c>
      <c r="R812" s="1">
        <f>INDEX(Table2[[HomeTeam]:[Group_details]],ROWS($N$2:P812),COLUMNS($N$2:P812))</f>
        <v>4</v>
      </c>
      <c r="S812" s="1" t="str">
        <f>INDEX(Table2[[HomeTeam]:[Group_details]],ROWS($N$2:Q812),COLUMNS($N$2:Q812))</f>
        <v>Colombia</v>
      </c>
      <c r="T812" s="1" t="str">
        <f>INDEX(Table2[[HomeTeam]:[Group_details]],ROWS($N$2:R812),COLUMNS($N$2:R812))</f>
        <v xml:space="preserve"> </v>
      </c>
      <c r="U812" s="1" t="str">
        <f>INDEX(Table2[[HomeTeam]:[Group_details]],ROWS($N$2:S812),COLUMNS($N$2:S812))</f>
        <v>Group stages</v>
      </c>
      <c r="V812" s="1" t="b">
        <f t="shared" si="12"/>
        <v>0</v>
      </c>
      <c r="W812" s="1" t="str">
        <f>IF(V812=TRUE,ROWS($V$2:V812),"")</f>
        <v/>
      </c>
      <c r="X812" s="1" t="str">
        <f>IFERROR(SMALL($W$2:$W$853,ROWS($W$2:W812)),"")</f>
        <v/>
      </c>
      <c r="Y812" s="1" t="str">
        <f>IF($X812&lt;&gt;"",INDEX($P$2:$U$853,MATCH($X812,$W$2:$W$853,0),COLUMNS($X$2:X812)),"")</f>
        <v/>
      </c>
      <c r="Z812" s="1" t="str">
        <f>IF($X812&lt;&gt;"",INDEX($P$2:$U$853,MATCH($X812,$W$2:$W$853,0),COLUMNS($X$2:Y812)),"")</f>
        <v/>
      </c>
      <c r="AA812" s="1" t="str">
        <f>IF($X812&lt;&gt;"",INDEX($P$2:$U$853,MATCH($X812,$W$2:$W$853,0),COLUMNS($X$2:Z812)),"")</f>
        <v/>
      </c>
      <c r="AB812" s="1" t="str">
        <f>IF($X812&lt;&gt;"",INDEX($P$2:$U$853,MATCH($X812,$W$2:$W$853,0),COLUMNS($X$2:AA812)),"")</f>
        <v/>
      </c>
      <c r="AC812" s="1" t="str">
        <f>IF($X812&lt;&gt;"",INDEX($P$2:$U$853,MATCH($X812,$W$2:$W$853,0),COLUMNS($X$2:AB812)),"")</f>
        <v/>
      </c>
      <c r="AD812" s="1" t="str">
        <f>IF($X812&lt;&gt;"",INDEX($P$2:$U$853,MATCH($X812,$W$2:$W$853,0),COLUMNS($X$2:AC812)),"")</f>
        <v/>
      </c>
    </row>
    <row r="813" spans="1:30" x14ac:dyDescent="0.2">
      <c r="A813" s="1">
        <v>2014</v>
      </c>
      <c r="B813" s="2">
        <v>41814</v>
      </c>
      <c r="C813" s="1" t="s">
        <v>512</v>
      </c>
      <c r="D813" s="1" t="s">
        <v>268</v>
      </c>
      <c r="E813" s="1" t="s">
        <v>473</v>
      </c>
      <c r="F813" s="1" t="s">
        <v>474</v>
      </c>
      <c r="G813" s="6" t="str">
        <f>VLOOKUP(A813,WorldCups!$A$2:$B$23,2,FALSE)</f>
        <v>Brazil</v>
      </c>
      <c r="H813" s="1" t="s">
        <v>339</v>
      </c>
      <c r="I813" s="1">
        <v>2</v>
      </c>
      <c r="J813" s="1">
        <v>1</v>
      </c>
      <c r="K813" s="1" t="s">
        <v>418</v>
      </c>
      <c r="L813" s="1" t="s">
        <v>14</v>
      </c>
      <c r="M813" s="1" t="str">
        <f>IF(ISNUMBER(SEARCH("Group",Table2[[#This Row],[Round]])),"Group stages",Table2[[#This Row],[Round]])</f>
        <v>Group stages</v>
      </c>
      <c r="O813" s="1">
        <f>Table2[[#This Row],[Year]]</f>
        <v>2014</v>
      </c>
      <c r="P813" s="1" t="str">
        <f>INDEX(Table2[[HomeTeam]:[Group_details]],ROWS($N$2:N813),COLUMNS($N$2:N813))</f>
        <v>Greece</v>
      </c>
      <c r="Q813" s="1">
        <f>INDEX(Table2[[HomeTeam]:[Group_details]],ROWS($N$2:O813),COLUMNS($N$2:O813))</f>
        <v>2</v>
      </c>
      <c r="R813" s="1">
        <f>INDEX(Table2[[HomeTeam]:[Group_details]],ROWS($N$2:P813),COLUMNS($N$2:P813))</f>
        <v>1</v>
      </c>
      <c r="S813" s="1" t="str">
        <f>INDEX(Table2[[HomeTeam]:[Group_details]],ROWS($N$2:Q813),COLUMNS($N$2:Q813))</f>
        <v>Cï¿½te d'Ivoire</v>
      </c>
      <c r="T813" s="1" t="str">
        <f>INDEX(Table2[[HomeTeam]:[Group_details]],ROWS($N$2:R813),COLUMNS($N$2:R813))</f>
        <v xml:space="preserve"> </v>
      </c>
      <c r="U813" s="1" t="str">
        <f>INDEX(Table2[[HomeTeam]:[Group_details]],ROWS($N$2:S813),COLUMNS($N$2:S813))</f>
        <v>Group stages</v>
      </c>
      <c r="V813" s="1" t="b">
        <f t="shared" si="12"/>
        <v>0</v>
      </c>
      <c r="W813" s="1" t="str">
        <f>IF(V813=TRUE,ROWS($V$2:V813),"")</f>
        <v/>
      </c>
      <c r="X813" s="1" t="str">
        <f>IFERROR(SMALL($W$2:$W$853,ROWS($W$2:W813)),"")</f>
        <v/>
      </c>
      <c r="Y813" s="1" t="str">
        <f>IF($X813&lt;&gt;"",INDEX($P$2:$U$853,MATCH($X813,$W$2:$W$853,0),COLUMNS($X$2:X813)),"")</f>
        <v/>
      </c>
      <c r="Z813" s="1" t="str">
        <f>IF($X813&lt;&gt;"",INDEX($P$2:$U$853,MATCH($X813,$W$2:$W$853,0),COLUMNS($X$2:Y813)),"")</f>
        <v/>
      </c>
      <c r="AA813" s="1" t="str">
        <f>IF($X813&lt;&gt;"",INDEX($P$2:$U$853,MATCH($X813,$W$2:$W$853,0),COLUMNS($X$2:Z813)),"")</f>
        <v/>
      </c>
      <c r="AB813" s="1" t="str">
        <f>IF($X813&lt;&gt;"",INDEX($P$2:$U$853,MATCH($X813,$W$2:$W$853,0),COLUMNS($X$2:AA813)),"")</f>
        <v/>
      </c>
      <c r="AC813" s="1" t="str">
        <f>IF($X813&lt;&gt;"",INDEX($P$2:$U$853,MATCH($X813,$W$2:$W$853,0),COLUMNS($X$2:AB813)),"")</f>
        <v/>
      </c>
      <c r="AD813" s="1" t="str">
        <f>IF($X813&lt;&gt;"",INDEX($P$2:$U$853,MATCH($X813,$W$2:$W$853,0),COLUMNS($X$2:AC813)),"")</f>
        <v/>
      </c>
    </row>
    <row r="814" spans="1:30" x14ac:dyDescent="0.2">
      <c r="A814" s="1">
        <v>2014</v>
      </c>
      <c r="B814" s="2">
        <v>41815</v>
      </c>
      <c r="C814" s="1" t="s">
        <v>507</v>
      </c>
      <c r="D814" s="1" t="s">
        <v>274</v>
      </c>
      <c r="E814" s="1" t="s">
        <v>480</v>
      </c>
      <c r="F814" s="1" t="s">
        <v>101</v>
      </c>
      <c r="G814" s="6" t="str">
        <f>VLOOKUP(A814,WorldCups!$A$2:$B$23,2,FALSE)</f>
        <v>Brazil</v>
      </c>
      <c r="H814" s="1" t="s">
        <v>340</v>
      </c>
      <c r="I814" s="1">
        <v>2</v>
      </c>
      <c r="J814" s="1">
        <v>3</v>
      </c>
      <c r="K814" s="1" t="s">
        <v>25</v>
      </c>
      <c r="L814" s="1" t="s">
        <v>14</v>
      </c>
      <c r="M814" s="1" t="str">
        <f>IF(ISNUMBER(SEARCH("Group",Table2[[#This Row],[Round]])),"Group stages",Table2[[#This Row],[Round]])</f>
        <v>Group stages</v>
      </c>
      <c r="O814" s="1">
        <f>Table2[[#This Row],[Year]]</f>
        <v>2014</v>
      </c>
      <c r="P814" s="1" t="str">
        <f>INDEX(Table2[[HomeTeam]:[Group_details]],ROWS($N$2:N814),COLUMNS($N$2:N814))</f>
        <v>Nigeria</v>
      </c>
      <c r="Q814" s="1">
        <f>INDEX(Table2[[HomeTeam]:[Group_details]],ROWS($N$2:O814),COLUMNS($N$2:O814))</f>
        <v>2</v>
      </c>
      <c r="R814" s="1">
        <f>INDEX(Table2[[HomeTeam]:[Group_details]],ROWS($N$2:P814),COLUMNS($N$2:P814))</f>
        <v>3</v>
      </c>
      <c r="S814" s="1" t="str">
        <f>INDEX(Table2[[HomeTeam]:[Group_details]],ROWS($N$2:Q814),COLUMNS($N$2:Q814))</f>
        <v>Argentina</v>
      </c>
      <c r="T814" s="1" t="str">
        <f>INDEX(Table2[[HomeTeam]:[Group_details]],ROWS($N$2:R814),COLUMNS($N$2:R814))</f>
        <v xml:space="preserve"> </v>
      </c>
      <c r="U814" s="1" t="str">
        <f>INDEX(Table2[[HomeTeam]:[Group_details]],ROWS($N$2:S814),COLUMNS($N$2:S814))</f>
        <v>Group stages</v>
      </c>
      <c r="V814" s="1" t="b">
        <f t="shared" si="12"/>
        <v>0</v>
      </c>
      <c r="W814" s="1" t="str">
        <f>IF(V814=TRUE,ROWS($V$2:V814),"")</f>
        <v/>
      </c>
      <c r="X814" s="1" t="str">
        <f>IFERROR(SMALL($W$2:$W$853,ROWS($W$2:W814)),"")</f>
        <v/>
      </c>
      <c r="Y814" s="1" t="str">
        <f>IF($X814&lt;&gt;"",INDEX($P$2:$U$853,MATCH($X814,$W$2:$W$853,0),COLUMNS($X$2:X814)),"")</f>
        <v/>
      </c>
      <c r="Z814" s="1" t="str">
        <f>IF($X814&lt;&gt;"",INDEX($P$2:$U$853,MATCH($X814,$W$2:$W$853,0),COLUMNS($X$2:Y814)),"")</f>
        <v/>
      </c>
      <c r="AA814" s="1" t="str">
        <f>IF($X814&lt;&gt;"",INDEX($P$2:$U$853,MATCH($X814,$W$2:$W$853,0),COLUMNS($X$2:Z814)),"")</f>
        <v/>
      </c>
      <c r="AB814" s="1" t="str">
        <f>IF($X814&lt;&gt;"",INDEX($P$2:$U$853,MATCH($X814,$W$2:$W$853,0),COLUMNS($X$2:AA814)),"")</f>
        <v/>
      </c>
      <c r="AC814" s="1" t="str">
        <f>IF($X814&lt;&gt;"",INDEX($P$2:$U$853,MATCH($X814,$W$2:$W$853,0),COLUMNS($X$2:AB814)),"")</f>
        <v/>
      </c>
      <c r="AD814" s="1" t="str">
        <f>IF($X814&lt;&gt;"",INDEX($P$2:$U$853,MATCH($X814,$W$2:$W$853,0),COLUMNS($X$2:AC814)),"")</f>
        <v/>
      </c>
    </row>
    <row r="815" spans="1:30" x14ac:dyDescent="0.2">
      <c r="A815" s="1">
        <v>2014</v>
      </c>
      <c r="B815" s="2">
        <v>41815</v>
      </c>
      <c r="C815" s="1" t="s">
        <v>507</v>
      </c>
      <c r="D815" s="1" t="s">
        <v>274</v>
      </c>
      <c r="E815" s="1" t="s">
        <v>468</v>
      </c>
      <c r="F815" s="1" t="s">
        <v>469</v>
      </c>
      <c r="G815" s="6" t="str">
        <f>VLOOKUP(A815,WorldCups!$A$2:$B$23,2,FALSE)</f>
        <v>Brazil</v>
      </c>
      <c r="H815" s="1" t="s">
        <v>482</v>
      </c>
      <c r="I815" s="1">
        <v>3</v>
      </c>
      <c r="J815" s="1">
        <v>1</v>
      </c>
      <c r="K815" s="1" t="s">
        <v>227</v>
      </c>
      <c r="L815" s="1" t="s">
        <v>14</v>
      </c>
      <c r="M815" s="1" t="str">
        <f>IF(ISNUMBER(SEARCH("Group",Table2[[#This Row],[Round]])),"Group stages",Table2[[#This Row],[Round]])</f>
        <v>Group stages</v>
      </c>
      <c r="O815" s="1">
        <f>Table2[[#This Row],[Year]]</f>
        <v>2014</v>
      </c>
      <c r="P815" s="1" t="str">
        <f>INDEX(Table2[[HomeTeam]:[Group_details]],ROWS($N$2:N815),COLUMNS($N$2:N815))</f>
        <v>Bosnia and Herzegovina</v>
      </c>
      <c r="Q815" s="1">
        <f>INDEX(Table2[[HomeTeam]:[Group_details]],ROWS($N$2:O815),COLUMNS($N$2:O815))</f>
        <v>3</v>
      </c>
      <c r="R815" s="1">
        <f>INDEX(Table2[[HomeTeam]:[Group_details]],ROWS($N$2:P815),COLUMNS($N$2:P815))</f>
        <v>1</v>
      </c>
      <c r="S815" s="1" t="str">
        <f>INDEX(Table2[[HomeTeam]:[Group_details]],ROWS($N$2:Q815),COLUMNS($N$2:Q815))</f>
        <v>IR Iran</v>
      </c>
      <c r="T815" s="1" t="str">
        <f>INDEX(Table2[[HomeTeam]:[Group_details]],ROWS($N$2:R815),COLUMNS($N$2:R815))</f>
        <v xml:space="preserve"> </v>
      </c>
      <c r="U815" s="1" t="str">
        <f>INDEX(Table2[[HomeTeam]:[Group_details]],ROWS($N$2:S815),COLUMNS($N$2:S815))</f>
        <v>Group stages</v>
      </c>
      <c r="V815" s="1" t="b">
        <f t="shared" si="12"/>
        <v>0</v>
      </c>
      <c r="W815" s="1" t="str">
        <f>IF(V815=TRUE,ROWS($V$2:V815),"")</f>
        <v/>
      </c>
      <c r="X815" s="1" t="str">
        <f>IFERROR(SMALL($W$2:$W$853,ROWS($W$2:W815)),"")</f>
        <v/>
      </c>
      <c r="Y815" s="1" t="str">
        <f>IF($X815&lt;&gt;"",INDEX($P$2:$U$853,MATCH($X815,$W$2:$W$853,0),COLUMNS($X$2:X815)),"")</f>
        <v/>
      </c>
      <c r="Z815" s="1" t="str">
        <f>IF($X815&lt;&gt;"",INDEX($P$2:$U$853,MATCH($X815,$W$2:$W$853,0),COLUMNS($X$2:Y815)),"")</f>
        <v/>
      </c>
      <c r="AA815" s="1" t="str">
        <f>IF($X815&lt;&gt;"",INDEX($P$2:$U$853,MATCH($X815,$W$2:$W$853,0),COLUMNS($X$2:Z815)),"")</f>
        <v/>
      </c>
      <c r="AB815" s="1" t="str">
        <f>IF($X815&lt;&gt;"",INDEX($P$2:$U$853,MATCH($X815,$W$2:$W$853,0),COLUMNS($X$2:AA815)),"")</f>
        <v/>
      </c>
      <c r="AC815" s="1" t="str">
        <f>IF($X815&lt;&gt;"",INDEX($P$2:$U$853,MATCH($X815,$W$2:$W$853,0),COLUMNS($X$2:AB815)),"")</f>
        <v/>
      </c>
      <c r="AD815" s="1" t="str">
        <f>IF($X815&lt;&gt;"",INDEX($P$2:$U$853,MATCH($X815,$W$2:$W$853,0),COLUMNS($X$2:AC815)),"")</f>
        <v/>
      </c>
    </row>
    <row r="816" spans="1:30" x14ac:dyDescent="0.2">
      <c r="A816" s="1">
        <v>2014</v>
      </c>
      <c r="B816" s="2">
        <v>41815</v>
      </c>
      <c r="C816" s="1" t="s">
        <v>503</v>
      </c>
      <c r="D816" s="1" t="s">
        <v>281</v>
      </c>
      <c r="E816" s="1" t="s">
        <v>475</v>
      </c>
      <c r="F816" s="1" t="s">
        <v>476</v>
      </c>
      <c r="G816" s="6" t="str">
        <f>VLOOKUP(A816,WorldCups!$A$2:$B$23,2,FALSE)</f>
        <v>Brazil</v>
      </c>
      <c r="H816" s="1" t="s">
        <v>252</v>
      </c>
      <c r="I816" s="1">
        <v>0</v>
      </c>
      <c r="J816" s="1">
        <v>3</v>
      </c>
      <c r="K816" s="1" t="s">
        <v>44</v>
      </c>
      <c r="L816" s="1" t="s">
        <v>14</v>
      </c>
      <c r="M816" s="1" t="str">
        <f>IF(ISNUMBER(SEARCH("Group",Table2[[#This Row],[Round]])),"Group stages",Table2[[#This Row],[Round]])</f>
        <v>Group stages</v>
      </c>
      <c r="O816" s="1">
        <f>Table2[[#This Row],[Year]]</f>
        <v>2014</v>
      </c>
      <c r="P816" s="1" t="str">
        <f>INDEX(Table2[[HomeTeam]:[Group_details]],ROWS($N$2:N816),COLUMNS($N$2:N816))</f>
        <v>Honduras</v>
      </c>
      <c r="Q816" s="1">
        <f>INDEX(Table2[[HomeTeam]:[Group_details]],ROWS($N$2:O816),COLUMNS($N$2:O816))</f>
        <v>0</v>
      </c>
      <c r="R816" s="1">
        <f>INDEX(Table2[[HomeTeam]:[Group_details]],ROWS($N$2:P816),COLUMNS($N$2:P816))</f>
        <v>3</v>
      </c>
      <c r="S816" s="1" t="str">
        <f>INDEX(Table2[[HomeTeam]:[Group_details]],ROWS($N$2:Q816),COLUMNS($N$2:Q816))</f>
        <v>Switzerland</v>
      </c>
      <c r="T816" s="1" t="str">
        <f>INDEX(Table2[[HomeTeam]:[Group_details]],ROWS($N$2:R816),COLUMNS($N$2:R816))</f>
        <v xml:space="preserve"> </v>
      </c>
      <c r="U816" s="1" t="str">
        <f>INDEX(Table2[[HomeTeam]:[Group_details]],ROWS($N$2:S816),COLUMNS($N$2:S816))</f>
        <v>Group stages</v>
      </c>
      <c r="V816" s="1" t="b">
        <f t="shared" si="12"/>
        <v>0</v>
      </c>
      <c r="W816" s="1" t="str">
        <f>IF(V816=TRUE,ROWS($V$2:V816),"")</f>
        <v/>
      </c>
      <c r="X816" s="1" t="str">
        <f>IFERROR(SMALL($W$2:$W$853,ROWS($W$2:W816)),"")</f>
        <v/>
      </c>
      <c r="Y816" s="1" t="str">
        <f>IF($X816&lt;&gt;"",INDEX($P$2:$U$853,MATCH($X816,$W$2:$W$853,0),COLUMNS($X$2:X816)),"")</f>
        <v/>
      </c>
      <c r="Z816" s="1" t="str">
        <f>IF($X816&lt;&gt;"",INDEX($P$2:$U$853,MATCH($X816,$W$2:$W$853,0),COLUMNS($X$2:Y816)),"")</f>
        <v/>
      </c>
      <c r="AA816" s="1" t="str">
        <f>IF($X816&lt;&gt;"",INDEX($P$2:$U$853,MATCH($X816,$W$2:$W$853,0),COLUMNS($X$2:Z816)),"")</f>
        <v/>
      </c>
      <c r="AB816" s="1" t="str">
        <f>IF($X816&lt;&gt;"",INDEX($P$2:$U$853,MATCH($X816,$W$2:$W$853,0),COLUMNS($X$2:AA816)),"")</f>
        <v/>
      </c>
      <c r="AC816" s="1" t="str">
        <f>IF($X816&lt;&gt;"",INDEX($P$2:$U$853,MATCH($X816,$W$2:$W$853,0),COLUMNS($X$2:AB816)),"")</f>
        <v/>
      </c>
      <c r="AD816" s="1" t="str">
        <f>IF($X816&lt;&gt;"",INDEX($P$2:$U$853,MATCH($X816,$W$2:$W$853,0),COLUMNS($X$2:AC816)),"")</f>
        <v/>
      </c>
    </row>
    <row r="817" spans="1:30" x14ac:dyDescent="0.2">
      <c r="A817" s="1">
        <v>2014</v>
      </c>
      <c r="B817" s="2">
        <v>41815</v>
      </c>
      <c r="C817" s="1" t="s">
        <v>512</v>
      </c>
      <c r="D817" s="1" t="s">
        <v>281</v>
      </c>
      <c r="E817" s="1" t="s">
        <v>481</v>
      </c>
      <c r="F817" s="1" t="s">
        <v>92</v>
      </c>
      <c r="G817" s="6" t="str">
        <f>VLOOKUP(A817,WorldCups!$A$2:$B$23,2,FALSE)</f>
        <v>Brazil</v>
      </c>
      <c r="H817" s="1" t="s">
        <v>382</v>
      </c>
      <c r="I817" s="1">
        <v>0</v>
      </c>
      <c r="J817" s="1">
        <v>0</v>
      </c>
      <c r="K817" s="1" t="s">
        <v>12</v>
      </c>
      <c r="L817" s="1" t="s">
        <v>14</v>
      </c>
      <c r="M817" s="1" t="str">
        <f>IF(ISNUMBER(SEARCH("Group",Table2[[#This Row],[Round]])),"Group stages",Table2[[#This Row],[Round]])</f>
        <v>Group stages</v>
      </c>
      <c r="O817" s="1">
        <f>Table2[[#This Row],[Year]]</f>
        <v>2014</v>
      </c>
      <c r="P817" s="1" t="str">
        <f>INDEX(Table2[[HomeTeam]:[Group_details]],ROWS($N$2:N817),COLUMNS($N$2:N817))</f>
        <v>Ecuador</v>
      </c>
      <c r="Q817" s="1">
        <f>INDEX(Table2[[HomeTeam]:[Group_details]],ROWS($N$2:O817),COLUMNS($N$2:O817))</f>
        <v>0</v>
      </c>
      <c r="R817" s="1">
        <f>INDEX(Table2[[HomeTeam]:[Group_details]],ROWS($N$2:P817),COLUMNS($N$2:P817))</f>
        <v>0</v>
      </c>
      <c r="S817" s="1" t="str">
        <f>INDEX(Table2[[HomeTeam]:[Group_details]],ROWS($N$2:Q817),COLUMNS($N$2:Q817))</f>
        <v>France</v>
      </c>
      <c r="T817" s="1" t="str">
        <f>INDEX(Table2[[HomeTeam]:[Group_details]],ROWS($N$2:R817),COLUMNS($N$2:R817))</f>
        <v xml:space="preserve"> </v>
      </c>
      <c r="U817" s="1" t="str">
        <f>INDEX(Table2[[HomeTeam]:[Group_details]],ROWS($N$2:S817),COLUMNS($N$2:S817))</f>
        <v>Group stages</v>
      </c>
      <c r="V817" s="1" t="b">
        <f t="shared" si="12"/>
        <v>0</v>
      </c>
      <c r="W817" s="1" t="str">
        <f>IF(V817=TRUE,ROWS($V$2:V817),"")</f>
        <v/>
      </c>
      <c r="X817" s="1" t="str">
        <f>IFERROR(SMALL($W$2:$W$853,ROWS($W$2:W817)),"")</f>
        <v/>
      </c>
      <c r="Y817" s="1" t="str">
        <f>IF($X817&lt;&gt;"",INDEX($P$2:$U$853,MATCH($X817,$W$2:$W$853,0),COLUMNS($X$2:X817)),"")</f>
        <v/>
      </c>
      <c r="Z817" s="1" t="str">
        <f>IF($X817&lt;&gt;"",INDEX($P$2:$U$853,MATCH($X817,$W$2:$W$853,0),COLUMNS($X$2:Y817)),"")</f>
        <v/>
      </c>
      <c r="AA817" s="1" t="str">
        <f>IF($X817&lt;&gt;"",INDEX($P$2:$U$853,MATCH($X817,$W$2:$W$853,0),COLUMNS($X$2:Z817)),"")</f>
        <v/>
      </c>
      <c r="AB817" s="1" t="str">
        <f>IF($X817&lt;&gt;"",INDEX($P$2:$U$853,MATCH($X817,$W$2:$W$853,0),COLUMNS($X$2:AA817)),"")</f>
        <v/>
      </c>
      <c r="AC817" s="1" t="str">
        <f>IF($X817&lt;&gt;"",INDEX($P$2:$U$853,MATCH($X817,$W$2:$W$853,0),COLUMNS($X$2:AB817)),"")</f>
        <v/>
      </c>
      <c r="AD817" s="1" t="str">
        <f>IF($X817&lt;&gt;"",INDEX($P$2:$U$853,MATCH($X817,$W$2:$W$853,0),COLUMNS($X$2:AC817)),"")</f>
        <v/>
      </c>
    </row>
    <row r="818" spans="1:30" x14ac:dyDescent="0.2">
      <c r="A818" s="1">
        <v>2014</v>
      </c>
      <c r="B818" s="2">
        <v>41816</v>
      </c>
      <c r="C818" s="1" t="s">
        <v>507</v>
      </c>
      <c r="D818" s="1" t="s">
        <v>361</v>
      </c>
      <c r="E818" s="1" t="s">
        <v>477</v>
      </c>
      <c r="F818" s="1" t="s">
        <v>103</v>
      </c>
      <c r="G818" s="6" t="str">
        <f>VLOOKUP(A818,WorldCups!$A$2:$B$23,2,FALSE)</f>
        <v>Brazil</v>
      </c>
      <c r="H818" s="1" t="s">
        <v>17</v>
      </c>
      <c r="I818" s="1">
        <v>0</v>
      </c>
      <c r="J818" s="1">
        <v>1</v>
      </c>
      <c r="K818" s="1" t="s">
        <v>51</v>
      </c>
      <c r="L818" s="1" t="s">
        <v>14</v>
      </c>
      <c r="M818" s="1" t="str">
        <f>IF(ISNUMBER(SEARCH("Group",Table2[[#This Row],[Round]])),"Group stages",Table2[[#This Row],[Round]])</f>
        <v>Group stages</v>
      </c>
      <c r="O818" s="1">
        <f>Table2[[#This Row],[Year]]</f>
        <v>2014</v>
      </c>
      <c r="P818" s="1" t="str">
        <f>INDEX(Table2[[HomeTeam]:[Group_details]],ROWS($N$2:N818),COLUMNS($N$2:N818))</f>
        <v>USA</v>
      </c>
      <c r="Q818" s="1">
        <f>INDEX(Table2[[HomeTeam]:[Group_details]],ROWS($N$2:O818),COLUMNS($N$2:O818))</f>
        <v>0</v>
      </c>
      <c r="R818" s="1">
        <f>INDEX(Table2[[HomeTeam]:[Group_details]],ROWS($N$2:P818),COLUMNS($N$2:P818))</f>
        <v>1</v>
      </c>
      <c r="S818" s="1" t="str">
        <f>INDEX(Table2[[HomeTeam]:[Group_details]],ROWS($N$2:Q818),COLUMNS($N$2:Q818))</f>
        <v>Germany</v>
      </c>
      <c r="T818" s="1" t="str">
        <f>INDEX(Table2[[HomeTeam]:[Group_details]],ROWS($N$2:R818),COLUMNS($N$2:R818))</f>
        <v xml:space="preserve"> </v>
      </c>
      <c r="U818" s="1" t="str">
        <f>INDEX(Table2[[HomeTeam]:[Group_details]],ROWS($N$2:S818),COLUMNS($N$2:S818))</f>
        <v>Group stages</v>
      </c>
      <c r="V818" s="1" t="b">
        <f t="shared" si="12"/>
        <v>0</v>
      </c>
      <c r="W818" s="1" t="str">
        <f>IF(V818=TRUE,ROWS($V$2:V818),"")</f>
        <v/>
      </c>
      <c r="X818" s="1" t="str">
        <f>IFERROR(SMALL($W$2:$W$853,ROWS($W$2:W818)),"")</f>
        <v/>
      </c>
      <c r="Y818" s="1" t="str">
        <f>IF($X818&lt;&gt;"",INDEX($P$2:$U$853,MATCH($X818,$W$2:$W$853,0),COLUMNS($X$2:X818)),"")</f>
        <v/>
      </c>
      <c r="Z818" s="1" t="str">
        <f>IF($X818&lt;&gt;"",INDEX($P$2:$U$853,MATCH($X818,$W$2:$W$853,0),COLUMNS($X$2:Y818)),"")</f>
        <v/>
      </c>
      <c r="AA818" s="1" t="str">
        <f>IF($X818&lt;&gt;"",INDEX($P$2:$U$853,MATCH($X818,$W$2:$W$853,0),COLUMNS($X$2:Z818)),"")</f>
        <v/>
      </c>
      <c r="AB818" s="1" t="str">
        <f>IF($X818&lt;&gt;"",INDEX($P$2:$U$853,MATCH($X818,$W$2:$W$853,0),COLUMNS($X$2:AA818)),"")</f>
        <v/>
      </c>
      <c r="AC818" s="1" t="str">
        <f>IF($X818&lt;&gt;"",INDEX($P$2:$U$853,MATCH($X818,$W$2:$W$853,0),COLUMNS($X$2:AB818)),"")</f>
        <v/>
      </c>
      <c r="AD818" s="1" t="str">
        <f>IF($X818&lt;&gt;"",INDEX($P$2:$U$853,MATCH($X818,$W$2:$W$853,0),COLUMNS($X$2:AC818)),"")</f>
        <v/>
      </c>
    </row>
    <row r="819" spans="1:30" x14ac:dyDescent="0.2">
      <c r="A819" s="1">
        <v>2014</v>
      </c>
      <c r="B819" s="2">
        <v>41816</v>
      </c>
      <c r="C819" s="1" t="s">
        <v>507</v>
      </c>
      <c r="D819" s="1" t="s">
        <v>361</v>
      </c>
      <c r="E819" s="1" t="s">
        <v>478</v>
      </c>
      <c r="F819" s="1" t="s">
        <v>479</v>
      </c>
      <c r="G819" s="6" t="str">
        <f>VLOOKUP(A819,WorldCups!$A$2:$B$23,2,FALSE)</f>
        <v>Brazil</v>
      </c>
      <c r="H819" s="1" t="s">
        <v>170</v>
      </c>
      <c r="I819" s="1">
        <v>2</v>
      </c>
      <c r="J819" s="1">
        <v>1</v>
      </c>
      <c r="K819" s="1" t="s">
        <v>431</v>
      </c>
      <c r="L819" s="1" t="s">
        <v>14</v>
      </c>
      <c r="M819" s="1" t="str">
        <f>IF(ISNUMBER(SEARCH("Group",Table2[[#This Row],[Round]])),"Group stages",Table2[[#This Row],[Round]])</f>
        <v>Group stages</v>
      </c>
      <c r="O819" s="1">
        <f>Table2[[#This Row],[Year]]</f>
        <v>2014</v>
      </c>
      <c r="P819" s="1" t="str">
        <f>INDEX(Table2[[HomeTeam]:[Group_details]],ROWS($N$2:N819),COLUMNS($N$2:N819))</f>
        <v>Portugal</v>
      </c>
      <c r="Q819" s="1">
        <f>INDEX(Table2[[HomeTeam]:[Group_details]],ROWS($N$2:O819),COLUMNS($N$2:O819))</f>
        <v>2</v>
      </c>
      <c r="R819" s="1">
        <f>INDEX(Table2[[HomeTeam]:[Group_details]],ROWS($N$2:P819),COLUMNS($N$2:P819))</f>
        <v>1</v>
      </c>
      <c r="S819" s="1" t="str">
        <f>INDEX(Table2[[HomeTeam]:[Group_details]],ROWS($N$2:Q819),COLUMNS($N$2:Q819))</f>
        <v>Ghana</v>
      </c>
      <c r="T819" s="1" t="str">
        <f>INDEX(Table2[[HomeTeam]:[Group_details]],ROWS($N$2:R819),COLUMNS($N$2:R819))</f>
        <v xml:space="preserve"> </v>
      </c>
      <c r="U819" s="1" t="str">
        <f>INDEX(Table2[[HomeTeam]:[Group_details]],ROWS($N$2:S819),COLUMNS($N$2:S819))</f>
        <v>Group stages</v>
      </c>
      <c r="V819" s="1" t="b">
        <f t="shared" si="12"/>
        <v>0</v>
      </c>
      <c r="W819" s="1" t="str">
        <f>IF(V819=TRUE,ROWS($V$2:V819),"")</f>
        <v/>
      </c>
      <c r="X819" s="1" t="str">
        <f>IFERROR(SMALL($W$2:$W$853,ROWS($W$2:W819)),"")</f>
        <v/>
      </c>
      <c r="Y819" s="1" t="str">
        <f>IF($X819&lt;&gt;"",INDEX($P$2:$U$853,MATCH($X819,$W$2:$W$853,0),COLUMNS($X$2:X819)),"")</f>
        <v/>
      </c>
      <c r="Z819" s="1" t="str">
        <f>IF($X819&lt;&gt;"",INDEX($P$2:$U$853,MATCH($X819,$W$2:$W$853,0),COLUMNS($X$2:Y819)),"")</f>
        <v/>
      </c>
      <c r="AA819" s="1" t="str">
        <f>IF($X819&lt;&gt;"",INDEX($P$2:$U$853,MATCH($X819,$W$2:$W$853,0),COLUMNS($X$2:Z819)),"")</f>
        <v/>
      </c>
      <c r="AB819" s="1" t="str">
        <f>IF($X819&lt;&gt;"",INDEX($P$2:$U$853,MATCH($X819,$W$2:$W$853,0),COLUMNS($X$2:AA819)),"")</f>
        <v/>
      </c>
      <c r="AC819" s="1" t="str">
        <f>IF($X819&lt;&gt;"",INDEX($P$2:$U$853,MATCH($X819,$W$2:$W$853,0),COLUMNS($X$2:AB819)),"")</f>
        <v/>
      </c>
      <c r="AD819" s="1" t="str">
        <f>IF($X819&lt;&gt;"",INDEX($P$2:$U$853,MATCH($X819,$W$2:$W$853,0),COLUMNS($X$2:AC819)),"")</f>
        <v/>
      </c>
    </row>
    <row r="820" spans="1:30" x14ac:dyDescent="0.2">
      <c r="A820" s="1">
        <v>2014</v>
      </c>
      <c r="B820" s="2">
        <v>41816</v>
      </c>
      <c r="C820" s="1" t="s">
        <v>512</v>
      </c>
      <c r="D820" s="1" t="s">
        <v>355</v>
      </c>
      <c r="E820" s="1" t="s">
        <v>465</v>
      </c>
      <c r="F820" s="1" t="s">
        <v>97</v>
      </c>
      <c r="G820" s="6" t="str">
        <f>VLOOKUP(A820,WorldCups!$A$2:$B$23,2,FALSE)</f>
        <v>Brazil</v>
      </c>
      <c r="H820" s="1" t="s">
        <v>116</v>
      </c>
      <c r="I820" s="1">
        <v>0</v>
      </c>
      <c r="J820" s="1">
        <v>1</v>
      </c>
      <c r="K820" s="1" t="s">
        <v>18</v>
      </c>
      <c r="L820" s="1" t="s">
        <v>14</v>
      </c>
      <c r="M820" s="1" t="str">
        <f>IF(ISNUMBER(SEARCH("Group",Table2[[#This Row],[Round]])),"Group stages",Table2[[#This Row],[Round]])</f>
        <v>Group stages</v>
      </c>
      <c r="O820" s="1">
        <f>Table2[[#This Row],[Year]]</f>
        <v>2014</v>
      </c>
      <c r="P820" s="1" t="str">
        <f>INDEX(Table2[[HomeTeam]:[Group_details]],ROWS($N$2:N820),COLUMNS($N$2:N820))</f>
        <v>Korea Republic</v>
      </c>
      <c r="Q820" s="1">
        <f>INDEX(Table2[[HomeTeam]:[Group_details]],ROWS($N$2:O820),COLUMNS($N$2:O820))</f>
        <v>0</v>
      </c>
      <c r="R820" s="1">
        <f>INDEX(Table2[[HomeTeam]:[Group_details]],ROWS($N$2:P820),COLUMNS($N$2:P820))</f>
        <v>1</v>
      </c>
      <c r="S820" s="1" t="str">
        <f>INDEX(Table2[[HomeTeam]:[Group_details]],ROWS($N$2:Q820),COLUMNS($N$2:Q820))</f>
        <v>Belgium</v>
      </c>
      <c r="T820" s="1" t="str">
        <f>INDEX(Table2[[HomeTeam]:[Group_details]],ROWS($N$2:R820),COLUMNS($N$2:R820))</f>
        <v xml:space="preserve"> </v>
      </c>
      <c r="U820" s="1" t="str">
        <f>INDEX(Table2[[HomeTeam]:[Group_details]],ROWS($N$2:S820),COLUMNS($N$2:S820))</f>
        <v>Group stages</v>
      </c>
      <c r="V820" s="1" t="b">
        <f t="shared" si="12"/>
        <v>0</v>
      </c>
      <c r="W820" s="1" t="str">
        <f>IF(V820=TRUE,ROWS($V$2:V820),"")</f>
        <v/>
      </c>
      <c r="X820" s="1" t="str">
        <f>IFERROR(SMALL($W$2:$W$853,ROWS($W$2:W820)),"")</f>
        <v/>
      </c>
      <c r="Y820" s="1" t="str">
        <f>IF($X820&lt;&gt;"",INDEX($P$2:$U$853,MATCH($X820,$W$2:$W$853,0),COLUMNS($X$2:X820)),"")</f>
        <v/>
      </c>
      <c r="Z820" s="1" t="str">
        <f>IF($X820&lt;&gt;"",INDEX($P$2:$U$853,MATCH($X820,$W$2:$W$853,0),COLUMNS($X$2:Y820)),"")</f>
        <v/>
      </c>
      <c r="AA820" s="1" t="str">
        <f>IF($X820&lt;&gt;"",INDEX($P$2:$U$853,MATCH($X820,$W$2:$W$853,0),COLUMNS($X$2:Z820)),"")</f>
        <v/>
      </c>
      <c r="AB820" s="1" t="str">
        <f>IF($X820&lt;&gt;"",INDEX($P$2:$U$853,MATCH($X820,$W$2:$W$853,0),COLUMNS($X$2:AA820)),"")</f>
        <v/>
      </c>
      <c r="AC820" s="1" t="str">
        <f>IF($X820&lt;&gt;"",INDEX($P$2:$U$853,MATCH($X820,$W$2:$W$853,0),COLUMNS($X$2:AB820)),"")</f>
        <v/>
      </c>
      <c r="AD820" s="1" t="str">
        <f>IF($X820&lt;&gt;"",INDEX($P$2:$U$853,MATCH($X820,$W$2:$W$853,0),COLUMNS($X$2:AC820)),"")</f>
        <v/>
      </c>
    </row>
    <row r="821" spans="1:30" x14ac:dyDescent="0.2">
      <c r="A821" s="1">
        <v>2014</v>
      </c>
      <c r="B821" s="2">
        <v>41816</v>
      </c>
      <c r="C821" s="1" t="s">
        <v>512</v>
      </c>
      <c r="D821" s="1" t="s">
        <v>355</v>
      </c>
      <c r="E821" s="1" t="s">
        <v>483</v>
      </c>
      <c r="F821" s="1" t="s">
        <v>95</v>
      </c>
      <c r="G821" s="6" t="str">
        <f>VLOOKUP(A821,WorldCups!$A$2:$B$23,2,FALSE)</f>
        <v>Brazil</v>
      </c>
      <c r="H821" s="1" t="s">
        <v>246</v>
      </c>
      <c r="I821" s="1">
        <v>1</v>
      </c>
      <c r="J821" s="1">
        <v>1</v>
      </c>
      <c r="K821" s="1" t="s">
        <v>336</v>
      </c>
      <c r="L821" s="1" t="s">
        <v>14</v>
      </c>
      <c r="M821" s="1" t="str">
        <f>IF(ISNUMBER(SEARCH("Group",Table2[[#This Row],[Round]])),"Group stages",Table2[[#This Row],[Round]])</f>
        <v>Group stages</v>
      </c>
      <c r="O821" s="1">
        <f>Table2[[#This Row],[Year]]</f>
        <v>2014</v>
      </c>
      <c r="P821" s="1" t="str">
        <f>INDEX(Table2[[HomeTeam]:[Group_details]],ROWS($N$2:N821),COLUMNS($N$2:N821))</f>
        <v>Algeria</v>
      </c>
      <c r="Q821" s="1">
        <f>INDEX(Table2[[HomeTeam]:[Group_details]],ROWS($N$2:O821),COLUMNS($N$2:O821))</f>
        <v>1</v>
      </c>
      <c r="R821" s="1">
        <f>INDEX(Table2[[HomeTeam]:[Group_details]],ROWS($N$2:P821),COLUMNS($N$2:P821))</f>
        <v>1</v>
      </c>
      <c r="S821" s="1" t="str">
        <f>INDEX(Table2[[HomeTeam]:[Group_details]],ROWS($N$2:Q821),COLUMNS($N$2:Q821))</f>
        <v>Russia</v>
      </c>
      <c r="T821" s="1" t="str">
        <f>INDEX(Table2[[HomeTeam]:[Group_details]],ROWS($N$2:R821),COLUMNS($N$2:R821))</f>
        <v xml:space="preserve"> </v>
      </c>
      <c r="U821" s="1" t="str">
        <f>INDEX(Table2[[HomeTeam]:[Group_details]],ROWS($N$2:S821),COLUMNS($N$2:S821))</f>
        <v>Group stages</v>
      </c>
      <c r="V821" s="1" t="b">
        <f t="shared" si="12"/>
        <v>0</v>
      </c>
      <c r="W821" s="1" t="str">
        <f>IF(V821=TRUE,ROWS($V$2:V821),"")</f>
        <v/>
      </c>
      <c r="X821" s="1" t="str">
        <f>IFERROR(SMALL($W$2:$W$853,ROWS($W$2:W821)),"")</f>
        <v/>
      </c>
      <c r="Y821" s="1" t="str">
        <f>IF($X821&lt;&gt;"",INDEX($P$2:$U$853,MATCH($X821,$W$2:$W$853,0),COLUMNS($X$2:X821)),"")</f>
        <v/>
      </c>
      <c r="Z821" s="1" t="str">
        <f>IF($X821&lt;&gt;"",INDEX($P$2:$U$853,MATCH($X821,$W$2:$W$853,0),COLUMNS($X$2:Y821)),"")</f>
        <v/>
      </c>
      <c r="AA821" s="1" t="str">
        <f>IF($X821&lt;&gt;"",INDEX($P$2:$U$853,MATCH($X821,$W$2:$W$853,0),COLUMNS($X$2:Z821)),"")</f>
        <v/>
      </c>
      <c r="AB821" s="1" t="str">
        <f>IF($X821&lt;&gt;"",INDEX($P$2:$U$853,MATCH($X821,$W$2:$W$853,0),COLUMNS($X$2:AA821)),"")</f>
        <v/>
      </c>
      <c r="AC821" s="1" t="str">
        <f>IF($X821&lt;&gt;"",INDEX($P$2:$U$853,MATCH($X821,$W$2:$W$853,0),COLUMNS($X$2:AB821)),"")</f>
        <v/>
      </c>
      <c r="AD821" s="1" t="str">
        <f>IF($X821&lt;&gt;"",INDEX($P$2:$U$853,MATCH($X821,$W$2:$W$853,0),COLUMNS($X$2:AC821)),"")</f>
        <v/>
      </c>
    </row>
    <row r="822" spans="1:30" x14ac:dyDescent="0.2">
      <c r="A822" s="1">
        <v>2014</v>
      </c>
      <c r="B822" s="2">
        <v>41818</v>
      </c>
      <c r="C822" s="1" t="s">
        <v>507</v>
      </c>
      <c r="D822" s="1" t="s">
        <v>287</v>
      </c>
      <c r="E822" s="1" t="s">
        <v>472</v>
      </c>
      <c r="F822" s="1" t="s">
        <v>99</v>
      </c>
      <c r="G822" s="6" t="str">
        <f>VLOOKUP(A822,WorldCups!$A$2:$B$23,2,FALSE)</f>
        <v>Brazil</v>
      </c>
      <c r="H822" s="1" t="s">
        <v>21</v>
      </c>
      <c r="I822" s="1">
        <v>1</v>
      </c>
      <c r="J822" s="1">
        <v>1</v>
      </c>
      <c r="K822" s="1" t="s">
        <v>26</v>
      </c>
      <c r="L822" s="1" t="s">
        <v>343</v>
      </c>
      <c r="M822" s="1" t="str">
        <f>IF(ISNUMBER(SEARCH("Group",Table2[[#This Row],[Round]])),"Group stages",Table2[[#This Row],[Round]])</f>
        <v>Round of 16</v>
      </c>
      <c r="O822" s="1">
        <f>Table2[[#This Row],[Year]]</f>
        <v>2014</v>
      </c>
      <c r="P822" s="1" t="str">
        <f>INDEX(Table2[[HomeTeam]:[Group_details]],ROWS($N$2:N822),COLUMNS($N$2:N822))</f>
        <v>Brazil</v>
      </c>
      <c r="Q822" s="1">
        <f>INDEX(Table2[[HomeTeam]:[Group_details]],ROWS($N$2:O822),COLUMNS($N$2:O822))</f>
        <v>1</v>
      </c>
      <c r="R822" s="1">
        <f>INDEX(Table2[[HomeTeam]:[Group_details]],ROWS($N$2:P822),COLUMNS($N$2:P822))</f>
        <v>1</v>
      </c>
      <c r="S822" s="1" t="str">
        <f>INDEX(Table2[[HomeTeam]:[Group_details]],ROWS($N$2:Q822),COLUMNS($N$2:Q822))</f>
        <v>Chile</v>
      </c>
      <c r="T822" s="1" t="str">
        <f>INDEX(Table2[[HomeTeam]:[Group_details]],ROWS($N$2:R822),COLUMNS($N$2:R822))</f>
        <v xml:space="preserve">Brazil win on penalties (3 - 2) </v>
      </c>
      <c r="U822" s="1" t="str">
        <f>INDEX(Table2[[HomeTeam]:[Group_details]],ROWS($N$2:S822),COLUMNS($N$2:S822))</f>
        <v>Round of 16</v>
      </c>
      <c r="V822" s="1" t="b">
        <f t="shared" si="12"/>
        <v>0</v>
      </c>
      <c r="W822" s="1" t="str">
        <f>IF(V822=TRUE,ROWS($V$2:V822),"")</f>
        <v/>
      </c>
      <c r="X822" s="1" t="str">
        <f>IFERROR(SMALL($W$2:$W$853,ROWS($W$2:W822)),"")</f>
        <v/>
      </c>
      <c r="Y822" s="1" t="str">
        <f>IF($X822&lt;&gt;"",INDEX($P$2:$U$853,MATCH($X822,$W$2:$W$853,0),COLUMNS($X$2:X822)),"")</f>
        <v/>
      </c>
      <c r="Z822" s="1" t="str">
        <f>IF($X822&lt;&gt;"",INDEX($P$2:$U$853,MATCH($X822,$W$2:$W$853,0),COLUMNS($X$2:Y822)),"")</f>
        <v/>
      </c>
      <c r="AA822" s="1" t="str">
        <f>IF($X822&lt;&gt;"",INDEX($P$2:$U$853,MATCH($X822,$W$2:$W$853,0),COLUMNS($X$2:Z822)),"")</f>
        <v/>
      </c>
      <c r="AB822" s="1" t="str">
        <f>IF($X822&lt;&gt;"",INDEX($P$2:$U$853,MATCH($X822,$W$2:$W$853,0),COLUMNS($X$2:AA822)),"")</f>
        <v/>
      </c>
      <c r="AC822" s="1" t="str">
        <f>IF($X822&lt;&gt;"",INDEX($P$2:$U$853,MATCH($X822,$W$2:$W$853,0),COLUMNS($X$2:AB822)),"")</f>
        <v/>
      </c>
      <c r="AD822" s="1" t="str">
        <f>IF($X822&lt;&gt;"",INDEX($P$2:$U$853,MATCH($X822,$W$2:$W$853,0),COLUMNS($X$2:AC822)),"")</f>
        <v/>
      </c>
    </row>
    <row r="823" spans="1:30" x14ac:dyDescent="0.2">
      <c r="A823" s="1">
        <v>2014</v>
      </c>
      <c r="B823" s="2">
        <v>41818</v>
      </c>
      <c r="C823" s="1" t="s">
        <v>512</v>
      </c>
      <c r="D823" s="1" t="s">
        <v>287</v>
      </c>
      <c r="E823" s="1" t="s">
        <v>481</v>
      </c>
      <c r="F823" s="1" t="s">
        <v>92</v>
      </c>
      <c r="G823" s="6" t="str">
        <f>VLOOKUP(A823,WorldCups!$A$2:$B$23,2,FALSE)</f>
        <v>Brazil</v>
      </c>
      <c r="H823" s="1" t="s">
        <v>151</v>
      </c>
      <c r="I823" s="1">
        <v>2</v>
      </c>
      <c r="J823" s="1">
        <v>0</v>
      </c>
      <c r="K823" s="1" t="s">
        <v>30</v>
      </c>
      <c r="L823" s="1" t="s">
        <v>14</v>
      </c>
      <c r="M823" s="1" t="str">
        <f>IF(ISNUMBER(SEARCH("Group",Table2[[#This Row],[Round]])),"Group stages",Table2[[#This Row],[Round]])</f>
        <v>Round of 16</v>
      </c>
      <c r="O823" s="1">
        <f>Table2[[#This Row],[Year]]</f>
        <v>2014</v>
      </c>
      <c r="P823" s="1" t="str">
        <f>INDEX(Table2[[HomeTeam]:[Group_details]],ROWS($N$2:N823),COLUMNS($N$2:N823))</f>
        <v>Colombia</v>
      </c>
      <c r="Q823" s="1">
        <f>INDEX(Table2[[HomeTeam]:[Group_details]],ROWS($N$2:O823),COLUMNS($N$2:O823))</f>
        <v>2</v>
      </c>
      <c r="R823" s="1">
        <f>INDEX(Table2[[HomeTeam]:[Group_details]],ROWS($N$2:P823),COLUMNS($N$2:P823))</f>
        <v>0</v>
      </c>
      <c r="S823" s="1" t="str">
        <f>INDEX(Table2[[HomeTeam]:[Group_details]],ROWS($N$2:Q823),COLUMNS($N$2:Q823))</f>
        <v>Uruguay</v>
      </c>
      <c r="T823" s="1" t="str">
        <f>INDEX(Table2[[HomeTeam]:[Group_details]],ROWS($N$2:R823),COLUMNS($N$2:R823))</f>
        <v xml:space="preserve"> </v>
      </c>
      <c r="U823" s="1" t="str">
        <f>INDEX(Table2[[HomeTeam]:[Group_details]],ROWS($N$2:S823),COLUMNS($N$2:S823))</f>
        <v>Round of 16</v>
      </c>
      <c r="V823" s="1" t="b">
        <f t="shared" si="12"/>
        <v>0</v>
      </c>
      <c r="W823" s="1" t="str">
        <f>IF(V823=TRUE,ROWS($V$2:V823),"")</f>
        <v/>
      </c>
      <c r="X823" s="1" t="str">
        <f>IFERROR(SMALL($W$2:$W$853,ROWS($W$2:W823)),"")</f>
        <v/>
      </c>
      <c r="Y823" s="1" t="str">
        <f>IF($X823&lt;&gt;"",INDEX($P$2:$U$853,MATCH($X823,$W$2:$W$853,0),COLUMNS($X$2:X823)),"")</f>
        <v/>
      </c>
      <c r="Z823" s="1" t="str">
        <f>IF($X823&lt;&gt;"",INDEX($P$2:$U$853,MATCH($X823,$W$2:$W$853,0),COLUMNS($X$2:Y823)),"")</f>
        <v/>
      </c>
      <c r="AA823" s="1" t="str">
        <f>IF($X823&lt;&gt;"",INDEX($P$2:$U$853,MATCH($X823,$W$2:$W$853,0),COLUMNS($X$2:Z823)),"")</f>
        <v/>
      </c>
      <c r="AB823" s="1" t="str">
        <f>IF($X823&lt;&gt;"",INDEX($P$2:$U$853,MATCH($X823,$W$2:$W$853,0),COLUMNS($X$2:AA823)),"")</f>
        <v/>
      </c>
      <c r="AC823" s="1" t="str">
        <f>IF($X823&lt;&gt;"",INDEX($P$2:$U$853,MATCH($X823,$W$2:$W$853,0),COLUMNS($X$2:AB823)),"")</f>
        <v/>
      </c>
      <c r="AD823" s="1" t="str">
        <f>IF($X823&lt;&gt;"",INDEX($P$2:$U$853,MATCH($X823,$W$2:$W$853,0),COLUMNS($X$2:AC823)),"")</f>
        <v/>
      </c>
    </row>
    <row r="824" spans="1:30" x14ac:dyDescent="0.2">
      <c r="A824" s="1">
        <v>2014</v>
      </c>
      <c r="B824" s="2">
        <v>41820</v>
      </c>
      <c r="C824" s="1" t="s">
        <v>507</v>
      </c>
      <c r="D824" s="1" t="s">
        <v>287</v>
      </c>
      <c r="E824" s="1" t="s">
        <v>478</v>
      </c>
      <c r="F824" s="1" t="s">
        <v>479</v>
      </c>
      <c r="G824" s="6" t="str">
        <f>VLOOKUP(A824,WorldCups!$A$2:$B$23,2,FALSE)</f>
        <v>Brazil</v>
      </c>
      <c r="H824" s="1" t="s">
        <v>12</v>
      </c>
      <c r="I824" s="1">
        <v>2</v>
      </c>
      <c r="J824" s="1">
        <v>0</v>
      </c>
      <c r="K824" s="1" t="s">
        <v>340</v>
      </c>
      <c r="L824" s="1" t="s">
        <v>14</v>
      </c>
      <c r="M824" s="1" t="str">
        <f>IF(ISNUMBER(SEARCH("Group",Table2[[#This Row],[Round]])),"Group stages",Table2[[#This Row],[Round]])</f>
        <v>Round of 16</v>
      </c>
      <c r="O824" s="1">
        <f>Table2[[#This Row],[Year]]</f>
        <v>2014</v>
      </c>
      <c r="P824" s="1" t="str">
        <f>INDEX(Table2[[HomeTeam]:[Group_details]],ROWS($N$2:N824),COLUMNS($N$2:N824))</f>
        <v>France</v>
      </c>
      <c r="Q824" s="1">
        <f>INDEX(Table2[[HomeTeam]:[Group_details]],ROWS($N$2:O824),COLUMNS($N$2:O824))</f>
        <v>2</v>
      </c>
      <c r="R824" s="1">
        <f>INDEX(Table2[[HomeTeam]:[Group_details]],ROWS($N$2:P824),COLUMNS($N$2:P824))</f>
        <v>0</v>
      </c>
      <c r="S824" s="1" t="str">
        <f>INDEX(Table2[[HomeTeam]:[Group_details]],ROWS($N$2:Q824),COLUMNS($N$2:Q824))</f>
        <v>Nigeria</v>
      </c>
      <c r="T824" s="1" t="str">
        <f>INDEX(Table2[[HomeTeam]:[Group_details]],ROWS($N$2:R824),COLUMNS($N$2:R824))</f>
        <v xml:space="preserve"> </v>
      </c>
      <c r="U824" s="1" t="str">
        <f>INDEX(Table2[[HomeTeam]:[Group_details]],ROWS($N$2:S824),COLUMNS($N$2:S824))</f>
        <v>Round of 16</v>
      </c>
      <c r="V824" s="1" t="b">
        <f t="shared" si="12"/>
        <v>0</v>
      </c>
      <c r="W824" s="1" t="str">
        <f>IF(V824=TRUE,ROWS($V$2:V824),"")</f>
        <v/>
      </c>
      <c r="X824" s="1" t="str">
        <f>IFERROR(SMALL($W$2:$W$853,ROWS($W$2:W824)),"")</f>
        <v/>
      </c>
      <c r="Y824" s="1" t="str">
        <f>IF($X824&lt;&gt;"",INDEX($P$2:$U$853,MATCH($X824,$W$2:$W$853,0),COLUMNS($X$2:X824)),"")</f>
        <v/>
      </c>
      <c r="Z824" s="1" t="str">
        <f>IF($X824&lt;&gt;"",INDEX($P$2:$U$853,MATCH($X824,$W$2:$W$853,0),COLUMNS($X$2:Y824)),"")</f>
        <v/>
      </c>
      <c r="AA824" s="1" t="str">
        <f>IF($X824&lt;&gt;"",INDEX($P$2:$U$853,MATCH($X824,$W$2:$W$853,0),COLUMNS($X$2:Z824)),"")</f>
        <v/>
      </c>
      <c r="AB824" s="1" t="str">
        <f>IF($X824&lt;&gt;"",INDEX($P$2:$U$853,MATCH($X824,$W$2:$W$853,0),COLUMNS($X$2:AA824)),"")</f>
        <v/>
      </c>
      <c r="AC824" s="1" t="str">
        <f>IF($X824&lt;&gt;"",INDEX($P$2:$U$853,MATCH($X824,$W$2:$W$853,0),COLUMNS($X$2:AB824)),"")</f>
        <v/>
      </c>
      <c r="AD824" s="1" t="str">
        <f>IF($X824&lt;&gt;"",INDEX($P$2:$U$853,MATCH($X824,$W$2:$W$853,0),COLUMNS($X$2:AC824)),"")</f>
        <v/>
      </c>
    </row>
    <row r="825" spans="1:30" x14ac:dyDescent="0.2">
      <c r="A825" s="1">
        <v>2014</v>
      </c>
      <c r="B825" s="2">
        <v>41820</v>
      </c>
      <c r="C825" s="1" t="s">
        <v>512</v>
      </c>
      <c r="D825" s="1" t="s">
        <v>287</v>
      </c>
      <c r="E825" s="1" t="s">
        <v>480</v>
      </c>
      <c r="F825" s="1" t="s">
        <v>101</v>
      </c>
      <c r="G825" s="6" t="str">
        <f>VLOOKUP(A825,WorldCups!$A$2:$B$23,2,FALSE)</f>
        <v>Brazil</v>
      </c>
      <c r="H825" s="1" t="s">
        <v>51</v>
      </c>
      <c r="I825" s="1">
        <v>2</v>
      </c>
      <c r="J825" s="1">
        <v>1</v>
      </c>
      <c r="K825" s="1" t="s">
        <v>246</v>
      </c>
      <c r="L825" s="1" t="s">
        <v>484</v>
      </c>
      <c r="M825" s="1" t="str">
        <f>IF(ISNUMBER(SEARCH("Group",Table2[[#This Row],[Round]])),"Group stages",Table2[[#This Row],[Round]])</f>
        <v>Round of 16</v>
      </c>
      <c r="O825" s="1">
        <f>Table2[[#This Row],[Year]]</f>
        <v>2014</v>
      </c>
      <c r="P825" s="1" t="str">
        <f>INDEX(Table2[[HomeTeam]:[Group_details]],ROWS($N$2:N825),COLUMNS($N$2:N825))</f>
        <v>Germany</v>
      </c>
      <c r="Q825" s="1">
        <f>INDEX(Table2[[HomeTeam]:[Group_details]],ROWS($N$2:O825),COLUMNS($N$2:O825))</f>
        <v>2</v>
      </c>
      <c r="R825" s="1">
        <f>INDEX(Table2[[HomeTeam]:[Group_details]],ROWS($N$2:P825),COLUMNS($N$2:P825))</f>
        <v>1</v>
      </c>
      <c r="S825" s="1" t="str">
        <f>INDEX(Table2[[HomeTeam]:[Group_details]],ROWS($N$2:Q825),COLUMNS($N$2:Q825))</f>
        <v>Algeria</v>
      </c>
      <c r="T825" s="1" t="str">
        <f>INDEX(Table2[[HomeTeam]:[Group_details]],ROWS($N$2:R825),COLUMNS($N$2:R825))</f>
        <v xml:space="preserve">Germany win after extra time </v>
      </c>
      <c r="U825" s="1" t="str">
        <f>INDEX(Table2[[HomeTeam]:[Group_details]],ROWS($N$2:S825),COLUMNS($N$2:S825))</f>
        <v>Round of 16</v>
      </c>
      <c r="V825" s="1" t="b">
        <f t="shared" si="12"/>
        <v>0</v>
      </c>
      <c r="W825" s="1" t="str">
        <f>IF(V825=TRUE,ROWS($V$2:V825),"")</f>
        <v/>
      </c>
      <c r="X825" s="1" t="str">
        <f>IFERROR(SMALL($W$2:$W$853,ROWS($W$2:W825)),"")</f>
        <v/>
      </c>
      <c r="Y825" s="1" t="str">
        <f>IF($X825&lt;&gt;"",INDEX($P$2:$U$853,MATCH($X825,$W$2:$W$853,0),COLUMNS($X$2:X825)),"")</f>
        <v/>
      </c>
      <c r="Z825" s="1" t="str">
        <f>IF($X825&lt;&gt;"",INDEX($P$2:$U$853,MATCH($X825,$W$2:$W$853,0),COLUMNS($X$2:Y825)),"")</f>
        <v/>
      </c>
      <c r="AA825" s="1" t="str">
        <f>IF($X825&lt;&gt;"",INDEX($P$2:$U$853,MATCH($X825,$W$2:$W$853,0),COLUMNS($X$2:Z825)),"")</f>
        <v/>
      </c>
      <c r="AB825" s="1" t="str">
        <f>IF($X825&lt;&gt;"",INDEX($P$2:$U$853,MATCH($X825,$W$2:$W$853,0),COLUMNS($X$2:AA825)),"")</f>
        <v/>
      </c>
      <c r="AC825" s="1" t="str">
        <f>IF($X825&lt;&gt;"",INDEX($P$2:$U$853,MATCH($X825,$W$2:$W$853,0),COLUMNS($X$2:AB825)),"")</f>
        <v/>
      </c>
      <c r="AD825" s="1" t="str">
        <f>IF($X825&lt;&gt;"",INDEX($P$2:$U$853,MATCH($X825,$W$2:$W$853,0),COLUMNS($X$2:AC825)),"")</f>
        <v/>
      </c>
    </row>
    <row r="826" spans="1:30" x14ac:dyDescent="0.2">
      <c r="A826" s="1">
        <v>2014</v>
      </c>
      <c r="B826" s="2">
        <v>41824</v>
      </c>
      <c r="C826" s="1" t="s">
        <v>512</v>
      </c>
      <c r="D826" s="1" t="s">
        <v>61</v>
      </c>
      <c r="E826" s="1" t="s">
        <v>473</v>
      </c>
      <c r="F826" s="1" t="s">
        <v>474</v>
      </c>
      <c r="G826" s="6" t="str">
        <f>VLOOKUP(A826,WorldCups!$A$2:$B$23,2,FALSE)</f>
        <v>Brazil</v>
      </c>
      <c r="H826" s="1" t="s">
        <v>21</v>
      </c>
      <c r="I826" s="1">
        <v>2</v>
      </c>
      <c r="J826" s="1">
        <v>1</v>
      </c>
      <c r="K826" s="1" t="s">
        <v>151</v>
      </c>
      <c r="L826" s="1" t="s">
        <v>14</v>
      </c>
      <c r="M826" s="1" t="str">
        <f>IF(ISNUMBER(SEARCH("Group",Table2[[#This Row],[Round]])),"Group stages",Table2[[#This Row],[Round]])</f>
        <v>Quarter-finals</v>
      </c>
      <c r="O826" s="1">
        <f>Table2[[#This Row],[Year]]</f>
        <v>2014</v>
      </c>
      <c r="P826" s="1" t="str">
        <f>INDEX(Table2[[HomeTeam]:[Group_details]],ROWS($N$2:N826),COLUMNS($N$2:N826))</f>
        <v>Brazil</v>
      </c>
      <c r="Q826" s="1">
        <f>INDEX(Table2[[HomeTeam]:[Group_details]],ROWS($N$2:O826),COLUMNS($N$2:O826))</f>
        <v>2</v>
      </c>
      <c r="R826" s="1">
        <f>INDEX(Table2[[HomeTeam]:[Group_details]],ROWS($N$2:P826),COLUMNS($N$2:P826))</f>
        <v>1</v>
      </c>
      <c r="S826" s="1" t="str">
        <f>INDEX(Table2[[HomeTeam]:[Group_details]],ROWS($N$2:Q826),COLUMNS($N$2:Q826))</f>
        <v>Colombia</v>
      </c>
      <c r="T826" s="1" t="str">
        <f>INDEX(Table2[[HomeTeam]:[Group_details]],ROWS($N$2:R826),COLUMNS($N$2:R826))</f>
        <v xml:space="preserve"> </v>
      </c>
      <c r="U826" s="1" t="str">
        <f>INDEX(Table2[[HomeTeam]:[Group_details]],ROWS($N$2:S826),COLUMNS($N$2:S826))</f>
        <v>Quarter-finals</v>
      </c>
      <c r="V826" s="1" t="b">
        <f t="shared" si="12"/>
        <v>0</v>
      </c>
      <c r="W826" s="1" t="str">
        <f>IF(V826=TRUE,ROWS($V$2:V826),"")</f>
        <v/>
      </c>
      <c r="X826" s="1" t="str">
        <f>IFERROR(SMALL($W$2:$W$853,ROWS($W$2:W826)),"")</f>
        <v/>
      </c>
      <c r="Y826" s="1" t="str">
        <f>IF($X826&lt;&gt;"",INDEX($P$2:$U$853,MATCH($X826,$W$2:$W$853,0),COLUMNS($X$2:X826)),"")</f>
        <v/>
      </c>
      <c r="Z826" s="1" t="str">
        <f>IF($X826&lt;&gt;"",INDEX($P$2:$U$853,MATCH($X826,$W$2:$W$853,0),COLUMNS($X$2:Y826)),"")</f>
        <v/>
      </c>
      <c r="AA826" s="1" t="str">
        <f>IF($X826&lt;&gt;"",INDEX($P$2:$U$853,MATCH($X826,$W$2:$W$853,0),COLUMNS($X$2:Z826)),"")</f>
        <v/>
      </c>
      <c r="AB826" s="1" t="str">
        <f>IF($X826&lt;&gt;"",INDEX($P$2:$U$853,MATCH($X826,$W$2:$W$853,0),COLUMNS($X$2:AA826)),"")</f>
        <v/>
      </c>
      <c r="AC826" s="1" t="str">
        <f>IF($X826&lt;&gt;"",INDEX($P$2:$U$853,MATCH($X826,$W$2:$W$853,0),COLUMNS($X$2:AB826)),"")</f>
        <v/>
      </c>
      <c r="AD826" s="1" t="str">
        <f>IF($X826&lt;&gt;"",INDEX($P$2:$U$853,MATCH($X826,$W$2:$W$853,0),COLUMNS($X$2:AC826)),"")</f>
        <v/>
      </c>
    </row>
    <row r="827" spans="1:30" x14ac:dyDescent="0.2">
      <c r="A827" s="1">
        <v>2014</v>
      </c>
      <c r="B827" s="2">
        <v>41824</v>
      </c>
      <c r="C827" s="1" t="s">
        <v>507</v>
      </c>
      <c r="D827" s="1" t="s">
        <v>61</v>
      </c>
      <c r="E827" s="1" t="s">
        <v>481</v>
      </c>
      <c r="F827" s="1" t="s">
        <v>92</v>
      </c>
      <c r="G827" s="6" t="str">
        <f>VLOOKUP(A827,WorldCups!$A$2:$B$23,2,FALSE)</f>
        <v>Brazil</v>
      </c>
      <c r="H827" s="1" t="s">
        <v>12</v>
      </c>
      <c r="I827" s="1">
        <v>0</v>
      </c>
      <c r="J827" s="1">
        <v>1</v>
      </c>
      <c r="K827" s="1" t="s">
        <v>51</v>
      </c>
      <c r="L827" s="1" t="s">
        <v>14</v>
      </c>
      <c r="M827" s="1" t="str">
        <f>IF(ISNUMBER(SEARCH("Group",Table2[[#This Row],[Round]])),"Group stages",Table2[[#This Row],[Round]])</f>
        <v>Quarter-finals</v>
      </c>
      <c r="O827" s="1">
        <f>Table2[[#This Row],[Year]]</f>
        <v>2014</v>
      </c>
      <c r="P827" s="1" t="str">
        <f>INDEX(Table2[[HomeTeam]:[Group_details]],ROWS($N$2:N827),COLUMNS($N$2:N827))</f>
        <v>France</v>
      </c>
      <c r="Q827" s="1">
        <f>INDEX(Table2[[HomeTeam]:[Group_details]],ROWS($N$2:O827),COLUMNS($N$2:O827))</f>
        <v>0</v>
      </c>
      <c r="R827" s="1">
        <f>INDEX(Table2[[HomeTeam]:[Group_details]],ROWS($N$2:P827),COLUMNS($N$2:P827))</f>
        <v>1</v>
      </c>
      <c r="S827" s="1" t="str">
        <f>INDEX(Table2[[HomeTeam]:[Group_details]],ROWS($N$2:Q827),COLUMNS($N$2:Q827))</f>
        <v>Germany</v>
      </c>
      <c r="T827" s="1" t="str">
        <f>INDEX(Table2[[HomeTeam]:[Group_details]],ROWS($N$2:R827),COLUMNS($N$2:R827))</f>
        <v xml:space="preserve"> </v>
      </c>
      <c r="U827" s="1" t="str">
        <f>INDEX(Table2[[HomeTeam]:[Group_details]],ROWS($N$2:S827),COLUMNS($N$2:S827))</f>
        <v>Quarter-finals</v>
      </c>
      <c r="V827" s="1" t="b">
        <f t="shared" si="12"/>
        <v>0</v>
      </c>
      <c r="W827" s="1" t="str">
        <f>IF(V827=TRUE,ROWS($V$2:V827),"")</f>
        <v/>
      </c>
      <c r="X827" s="1" t="str">
        <f>IFERROR(SMALL($W$2:$W$853,ROWS($W$2:W827)),"")</f>
        <v/>
      </c>
      <c r="Y827" s="1" t="str">
        <f>IF($X827&lt;&gt;"",INDEX($P$2:$U$853,MATCH($X827,$W$2:$W$853,0),COLUMNS($X$2:X827)),"")</f>
        <v/>
      </c>
      <c r="Z827" s="1" t="str">
        <f>IF($X827&lt;&gt;"",INDEX($P$2:$U$853,MATCH($X827,$W$2:$W$853,0),COLUMNS($X$2:Y827)),"")</f>
        <v/>
      </c>
      <c r="AA827" s="1" t="str">
        <f>IF($X827&lt;&gt;"",INDEX($P$2:$U$853,MATCH($X827,$W$2:$W$853,0),COLUMNS($X$2:Z827)),"")</f>
        <v/>
      </c>
      <c r="AB827" s="1" t="str">
        <f>IF($X827&lt;&gt;"",INDEX($P$2:$U$853,MATCH($X827,$W$2:$W$853,0),COLUMNS($X$2:AA827)),"")</f>
        <v/>
      </c>
      <c r="AC827" s="1" t="str">
        <f>IF($X827&lt;&gt;"",INDEX($P$2:$U$853,MATCH($X827,$W$2:$W$853,0),COLUMNS($X$2:AB827)),"")</f>
        <v/>
      </c>
      <c r="AD827" s="1" t="str">
        <f>IF($X827&lt;&gt;"",INDEX($P$2:$U$853,MATCH($X827,$W$2:$W$853,0),COLUMNS($X$2:AC827)),"")</f>
        <v/>
      </c>
    </row>
    <row r="828" spans="1:30" x14ac:dyDescent="0.2">
      <c r="A828" s="1">
        <v>2014</v>
      </c>
      <c r="B828" s="2">
        <v>41828</v>
      </c>
      <c r="C828" s="1" t="s">
        <v>512</v>
      </c>
      <c r="D828" s="1" t="s">
        <v>31</v>
      </c>
      <c r="E828" s="1" t="s">
        <v>472</v>
      </c>
      <c r="F828" s="1" t="s">
        <v>99</v>
      </c>
      <c r="G828" s="6" t="str">
        <f>VLOOKUP(A828,WorldCups!$A$2:$B$23,2,FALSE)</f>
        <v>Brazil</v>
      </c>
      <c r="H828" s="1" t="s">
        <v>21</v>
      </c>
      <c r="I828" s="1">
        <v>1</v>
      </c>
      <c r="J828" s="1">
        <v>7</v>
      </c>
      <c r="K828" s="1" t="s">
        <v>51</v>
      </c>
      <c r="L828" s="1" t="s">
        <v>14</v>
      </c>
      <c r="M828" s="1" t="str">
        <f>IF(ISNUMBER(SEARCH("Group",Table2[[#This Row],[Round]])),"Group stages",Table2[[#This Row],[Round]])</f>
        <v>Semi-finals</v>
      </c>
      <c r="O828" s="1">
        <f>Table2[[#This Row],[Year]]</f>
        <v>2014</v>
      </c>
      <c r="P828" s="1" t="str">
        <f>INDEX(Table2[[HomeTeam]:[Group_details]],ROWS($N$2:N828),COLUMNS($N$2:N828))</f>
        <v>Brazil</v>
      </c>
      <c r="Q828" s="1">
        <f>INDEX(Table2[[HomeTeam]:[Group_details]],ROWS($N$2:O828),COLUMNS($N$2:O828))</f>
        <v>1</v>
      </c>
      <c r="R828" s="1">
        <f>INDEX(Table2[[HomeTeam]:[Group_details]],ROWS($N$2:P828),COLUMNS($N$2:P828))</f>
        <v>7</v>
      </c>
      <c r="S828" s="1" t="str">
        <f>INDEX(Table2[[HomeTeam]:[Group_details]],ROWS($N$2:Q828),COLUMNS($N$2:Q828))</f>
        <v>Germany</v>
      </c>
      <c r="T828" s="1" t="str">
        <f>INDEX(Table2[[HomeTeam]:[Group_details]],ROWS($N$2:R828),COLUMNS($N$2:R828))</f>
        <v xml:space="preserve"> </v>
      </c>
      <c r="U828" s="1" t="str">
        <f>INDEX(Table2[[HomeTeam]:[Group_details]],ROWS($N$2:S828),COLUMNS($N$2:S828))</f>
        <v>Semi-finals</v>
      </c>
      <c r="V828" s="1" t="b">
        <f t="shared" si="12"/>
        <v>0</v>
      </c>
      <c r="W828" s="1" t="str">
        <f>IF(V828=TRUE,ROWS($V$2:V828),"")</f>
        <v/>
      </c>
      <c r="X828" s="1" t="str">
        <f>IFERROR(SMALL($W$2:$W$853,ROWS($W$2:W828)),"")</f>
        <v/>
      </c>
      <c r="Y828" s="1" t="str">
        <f>IF($X828&lt;&gt;"",INDEX($P$2:$U$853,MATCH($X828,$W$2:$W$853,0),COLUMNS($X$2:X828)),"")</f>
        <v/>
      </c>
      <c r="Z828" s="1" t="str">
        <f>IF($X828&lt;&gt;"",INDEX($P$2:$U$853,MATCH($X828,$W$2:$W$853,0),COLUMNS($X$2:Y828)),"")</f>
        <v/>
      </c>
      <c r="AA828" s="1" t="str">
        <f>IF($X828&lt;&gt;"",INDEX($P$2:$U$853,MATCH($X828,$W$2:$W$853,0),COLUMNS($X$2:Z828)),"")</f>
        <v/>
      </c>
      <c r="AB828" s="1" t="str">
        <f>IF($X828&lt;&gt;"",INDEX($P$2:$U$853,MATCH($X828,$W$2:$W$853,0),COLUMNS($X$2:AA828)),"")</f>
        <v/>
      </c>
      <c r="AC828" s="1" t="str">
        <f>IF($X828&lt;&gt;"",INDEX($P$2:$U$853,MATCH($X828,$W$2:$W$853,0),COLUMNS($X$2:AB828)),"")</f>
        <v/>
      </c>
      <c r="AD828" s="1" t="str">
        <f>IF($X828&lt;&gt;"",INDEX($P$2:$U$853,MATCH($X828,$W$2:$W$853,0),COLUMNS($X$2:AC828)),"")</f>
        <v/>
      </c>
    </row>
    <row r="829" spans="1:30" x14ac:dyDescent="0.2">
      <c r="A829" s="1">
        <v>2014</v>
      </c>
      <c r="B829" s="2">
        <v>41832</v>
      </c>
      <c r="C829" s="1" t="s">
        <v>512</v>
      </c>
      <c r="D829" s="1" t="s">
        <v>485</v>
      </c>
      <c r="E829" s="1" t="s">
        <v>478</v>
      </c>
      <c r="F829" s="1" t="s">
        <v>479</v>
      </c>
      <c r="G829" s="6" t="str">
        <f>VLOOKUP(A829,WorldCups!$A$2:$B$23,2,FALSE)</f>
        <v>Brazil</v>
      </c>
      <c r="H829" s="1" t="s">
        <v>21</v>
      </c>
      <c r="I829" s="1">
        <v>0</v>
      </c>
      <c r="J829" s="1">
        <v>3</v>
      </c>
      <c r="K829" s="1" t="s">
        <v>45</v>
      </c>
      <c r="L829" s="1" t="s">
        <v>14</v>
      </c>
      <c r="M829" s="1" t="str">
        <f>IF(ISNUMBER(SEARCH("Group",Table2[[#This Row],[Round]])),"Group stages",Table2[[#This Row],[Round]])</f>
        <v>Play-off for third place</v>
      </c>
      <c r="O829" s="1">
        <f>Table2[[#This Row],[Year]]</f>
        <v>2014</v>
      </c>
      <c r="P829" s="1" t="str">
        <f>INDEX(Table2[[HomeTeam]:[Group_details]],ROWS($N$2:N829),COLUMNS($N$2:N829))</f>
        <v>Brazil</v>
      </c>
      <c r="Q829" s="1">
        <f>INDEX(Table2[[HomeTeam]:[Group_details]],ROWS($N$2:O829),COLUMNS($N$2:O829))</f>
        <v>0</v>
      </c>
      <c r="R829" s="1">
        <f>INDEX(Table2[[HomeTeam]:[Group_details]],ROWS($N$2:P829),COLUMNS($N$2:P829))</f>
        <v>3</v>
      </c>
      <c r="S829" s="1" t="str">
        <f>INDEX(Table2[[HomeTeam]:[Group_details]],ROWS($N$2:Q829),COLUMNS($N$2:Q829))</f>
        <v>Netherlands</v>
      </c>
      <c r="T829" s="1" t="str">
        <f>INDEX(Table2[[HomeTeam]:[Group_details]],ROWS($N$2:R829),COLUMNS($N$2:R829))</f>
        <v xml:space="preserve"> </v>
      </c>
      <c r="U829" s="1" t="str">
        <f>INDEX(Table2[[HomeTeam]:[Group_details]],ROWS($N$2:S829),COLUMNS($N$2:S829))</f>
        <v>Play-off for third place</v>
      </c>
      <c r="V829" s="1" t="b">
        <f t="shared" si="12"/>
        <v>0</v>
      </c>
      <c r="W829" s="1" t="str">
        <f>IF(V829=TRUE,ROWS($V$2:V829),"")</f>
        <v/>
      </c>
      <c r="X829" s="1" t="str">
        <f>IFERROR(SMALL($W$2:$W$853,ROWS($W$2:W829)),"")</f>
        <v/>
      </c>
      <c r="Y829" s="1" t="str">
        <f>IF($X829&lt;&gt;"",INDEX($P$2:$U$853,MATCH($X829,$W$2:$W$853,0),COLUMNS($X$2:X829)),"")</f>
        <v/>
      </c>
      <c r="Z829" s="1" t="str">
        <f>IF($X829&lt;&gt;"",INDEX($P$2:$U$853,MATCH($X829,$W$2:$W$853,0),COLUMNS($X$2:Y829)),"")</f>
        <v/>
      </c>
      <c r="AA829" s="1" t="str">
        <f>IF($X829&lt;&gt;"",INDEX($P$2:$U$853,MATCH($X829,$W$2:$W$853,0),COLUMNS($X$2:Z829)),"")</f>
        <v/>
      </c>
      <c r="AB829" s="1" t="str">
        <f>IF($X829&lt;&gt;"",INDEX($P$2:$U$853,MATCH($X829,$W$2:$W$853,0),COLUMNS($X$2:AA829)),"")</f>
        <v/>
      </c>
      <c r="AC829" s="1" t="str">
        <f>IF($X829&lt;&gt;"",INDEX($P$2:$U$853,MATCH($X829,$W$2:$W$853,0),COLUMNS($X$2:AB829)),"")</f>
        <v/>
      </c>
      <c r="AD829" s="1" t="str">
        <f>IF($X829&lt;&gt;"",INDEX($P$2:$U$853,MATCH($X829,$W$2:$W$853,0),COLUMNS($X$2:AC829)),"")</f>
        <v/>
      </c>
    </row>
    <row r="830" spans="1:30" x14ac:dyDescent="0.2">
      <c r="A830" s="1">
        <v>2014</v>
      </c>
      <c r="B830" s="2">
        <v>41833</v>
      </c>
      <c r="C830" s="1" t="s">
        <v>503</v>
      </c>
      <c r="D830" s="1" t="s">
        <v>32</v>
      </c>
      <c r="E830" s="1" t="s">
        <v>481</v>
      </c>
      <c r="F830" s="1" t="s">
        <v>92</v>
      </c>
      <c r="G830" s="6" t="str">
        <f>VLOOKUP(A830,WorldCups!$A$2:$B$23,2,FALSE)</f>
        <v>Brazil</v>
      </c>
      <c r="H830" s="1" t="s">
        <v>51</v>
      </c>
      <c r="I830" s="1">
        <v>1</v>
      </c>
      <c r="J830" s="1">
        <v>0</v>
      </c>
      <c r="K830" s="1" t="s">
        <v>25</v>
      </c>
      <c r="L830" s="1" t="s">
        <v>484</v>
      </c>
      <c r="M830" s="1" t="str">
        <f>IF(ISNUMBER(SEARCH("Group",Table2[[#This Row],[Round]])),"Group stages",Table2[[#This Row],[Round]])</f>
        <v>Final</v>
      </c>
      <c r="O830" s="1">
        <f>Table2[[#This Row],[Year]]</f>
        <v>2014</v>
      </c>
      <c r="P830" s="1" t="str">
        <f>INDEX(Table2[[HomeTeam]:[Group_details]],ROWS($N$2:N830),COLUMNS($N$2:N830))</f>
        <v>Germany</v>
      </c>
      <c r="Q830" s="1">
        <f>INDEX(Table2[[HomeTeam]:[Group_details]],ROWS($N$2:O830),COLUMNS($N$2:O830))</f>
        <v>1</v>
      </c>
      <c r="R830" s="1">
        <f>INDEX(Table2[[HomeTeam]:[Group_details]],ROWS($N$2:P830),COLUMNS($N$2:P830))</f>
        <v>0</v>
      </c>
      <c r="S830" s="1" t="str">
        <f>INDEX(Table2[[HomeTeam]:[Group_details]],ROWS($N$2:Q830),COLUMNS($N$2:Q830))</f>
        <v>Argentina</v>
      </c>
      <c r="T830" s="1" t="str">
        <f>INDEX(Table2[[HomeTeam]:[Group_details]],ROWS($N$2:R830),COLUMNS($N$2:R830))</f>
        <v xml:space="preserve">Germany win after extra time </v>
      </c>
      <c r="U830" s="1" t="str">
        <f>INDEX(Table2[[HomeTeam]:[Group_details]],ROWS($N$2:S830),COLUMNS($N$2:S830))</f>
        <v>Final</v>
      </c>
      <c r="V830" s="1" t="b">
        <f t="shared" si="12"/>
        <v>0</v>
      </c>
      <c r="W830" s="1" t="str">
        <f>IF(V830=TRUE,ROWS($V$2:V830),"")</f>
        <v/>
      </c>
      <c r="X830" s="1" t="str">
        <f>IFERROR(SMALL($W$2:$W$853,ROWS($W$2:W830)),"")</f>
        <v/>
      </c>
      <c r="Y830" s="1" t="str">
        <f>IF($X830&lt;&gt;"",INDEX($P$2:$U$853,MATCH($X830,$W$2:$W$853,0),COLUMNS($X$2:X830)),"")</f>
        <v/>
      </c>
      <c r="Z830" s="1" t="str">
        <f>IF($X830&lt;&gt;"",INDEX($P$2:$U$853,MATCH($X830,$W$2:$W$853,0),COLUMNS($X$2:Y830)),"")</f>
        <v/>
      </c>
      <c r="AA830" s="1" t="str">
        <f>IF($X830&lt;&gt;"",INDEX($P$2:$U$853,MATCH($X830,$W$2:$W$853,0),COLUMNS($X$2:Z830)),"")</f>
        <v/>
      </c>
      <c r="AB830" s="1" t="str">
        <f>IF($X830&lt;&gt;"",INDEX($P$2:$U$853,MATCH($X830,$W$2:$W$853,0),COLUMNS($X$2:AA830)),"")</f>
        <v/>
      </c>
      <c r="AC830" s="1" t="str">
        <f>IF($X830&lt;&gt;"",INDEX($P$2:$U$853,MATCH($X830,$W$2:$W$853,0),COLUMNS($X$2:AB830)),"")</f>
        <v/>
      </c>
      <c r="AD830" s="1" t="str">
        <f>IF($X830&lt;&gt;"",INDEX($P$2:$U$853,MATCH($X830,$W$2:$W$853,0),COLUMNS($X$2:AC830)),"")</f>
        <v/>
      </c>
    </row>
    <row r="831" spans="1:30" x14ac:dyDescent="0.2">
      <c r="A831" s="1">
        <v>2014</v>
      </c>
      <c r="B831" s="2">
        <v>41829</v>
      </c>
      <c r="C831" s="1" t="s">
        <v>512</v>
      </c>
      <c r="D831" s="1" t="s">
        <v>31</v>
      </c>
      <c r="E831" s="1" t="s">
        <v>465</v>
      </c>
      <c r="F831" s="1" t="s">
        <v>97</v>
      </c>
      <c r="G831" s="6" t="str">
        <f>VLOOKUP(A831,WorldCups!$A$2:$B$23,2,FALSE)</f>
        <v>Brazil</v>
      </c>
      <c r="H831" s="1" t="s">
        <v>45</v>
      </c>
      <c r="I831" s="1">
        <v>0</v>
      </c>
      <c r="J831" s="1">
        <v>0</v>
      </c>
      <c r="K831" s="1" t="s">
        <v>25</v>
      </c>
      <c r="L831" s="1" t="s">
        <v>486</v>
      </c>
      <c r="M831" s="1" t="str">
        <f>IF(ISNUMBER(SEARCH("Group",Table2[[#This Row],[Round]])),"Group stages",Table2[[#This Row],[Round]])</f>
        <v>Semi-finals</v>
      </c>
      <c r="O831" s="1">
        <f>Table2[[#This Row],[Year]]</f>
        <v>2014</v>
      </c>
      <c r="P831" s="1" t="str">
        <f>INDEX(Table2[[HomeTeam]:[Group_details]],ROWS($N$2:N831),COLUMNS($N$2:N831))</f>
        <v>Netherlands</v>
      </c>
      <c r="Q831" s="1">
        <f>INDEX(Table2[[HomeTeam]:[Group_details]],ROWS($N$2:O831),COLUMNS($N$2:O831))</f>
        <v>0</v>
      </c>
      <c r="R831" s="1">
        <f>INDEX(Table2[[HomeTeam]:[Group_details]],ROWS($N$2:P831),COLUMNS($N$2:P831))</f>
        <v>0</v>
      </c>
      <c r="S831" s="1" t="str">
        <f>INDEX(Table2[[HomeTeam]:[Group_details]],ROWS($N$2:Q831),COLUMNS($N$2:Q831))</f>
        <v>Argentina</v>
      </c>
      <c r="T831" s="1" t="str">
        <f>INDEX(Table2[[HomeTeam]:[Group_details]],ROWS($N$2:R831),COLUMNS($N$2:R831))</f>
        <v xml:space="preserve">Argentina win on penalties (2 - 4) </v>
      </c>
      <c r="U831" s="1" t="str">
        <f>INDEX(Table2[[HomeTeam]:[Group_details]],ROWS($N$2:S831),COLUMNS($N$2:S831))</f>
        <v>Semi-finals</v>
      </c>
      <c r="V831" s="1" t="b">
        <f t="shared" si="12"/>
        <v>0</v>
      </c>
      <c r="W831" s="1" t="str">
        <f>IF(V831=TRUE,ROWS($V$2:V831),"")</f>
        <v/>
      </c>
      <c r="X831" s="1" t="str">
        <f>IFERROR(SMALL($W$2:$W$853,ROWS($W$2:W831)),"")</f>
        <v/>
      </c>
      <c r="Y831" s="1" t="str">
        <f>IF($X831&lt;&gt;"",INDEX($P$2:$U$853,MATCH($X831,$W$2:$W$853,0),COLUMNS($X$2:X831)),"")</f>
        <v/>
      </c>
      <c r="Z831" s="1" t="str">
        <f>IF($X831&lt;&gt;"",INDEX($P$2:$U$853,MATCH($X831,$W$2:$W$853,0),COLUMNS($X$2:Y831)),"")</f>
        <v/>
      </c>
      <c r="AA831" s="1" t="str">
        <f>IF($X831&lt;&gt;"",INDEX($P$2:$U$853,MATCH($X831,$W$2:$W$853,0),COLUMNS($X$2:Z831)),"")</f>
        <v/>
      </c>
      <c r="AB831" s="1" t="str">
        <f>IF($X831&lt;&gt;"",INDEX($P$2:$U$853,MATCH($X831,$W$2:$W$853,0),COLUMNS($X$2:AA831)),"")</f>
        <v/>
      </c>
      <c r="AC831" s="1" t="str">
        <f>IF($X831&lt;&gt;"",INDEX($P$2:$U$853,MATCH($X831,$W$2:$W$853,0),COLUMNS($X$2:AB831)),"")</f>
        <v/>
      </c>
      <c r="AD831" s="1" t="str">
        <f>IF($X831&lt;&gt;"",INDEX($P$2:$U$853,MATCH($X831,$W$2:$W$853,0),COLUMNS($X$2:AC831)),"")</f>
        <v/>
      </c>
    </row>
    <row r="832" spans="1:30" x14ac:dyDescent="0.2">
      <c r="A832" s="1">
        <v>2014</v>
      </c>
      <c r="B832" s="2">
        <v>41825</v>
      </c>
      <c r="C832" s="1" t="s">
        <v>512</v>
      </c>
      <c r="D832" s="1" t="s">
        <v>61</v>
      </c>
      <c r="E832" s="1" t="s">
        <v>468</v>
      </c>
      <c r="F832" s="1" t="s">
        <v>469</v>
      </c>
      <c r="G832" s="6" t="str">
        <f>VLOOKUP(A832,WorldCups!$A$2:$B$23,2,FALSE)</f>
        <v>Brazil</v>
      </c>
      <c r="H832" s="1" t="s">
        <v>45</v>
      </c>
      <c r="I832" s="1">
        <v>0</v>
      </c>
      <c r="J832" s="1">
        <v>0</v>
      </c>
      <c r="K832" s="1" t="s">
        <v>301</v>
      </c>
      <c r="L832" s="1" t="s">
        <v>487</v>
      </c>
      <c r="M832" s="1" t="str">
        <f>IF(ISNUMBER(SEARCH("Group",Table2[[#This Row],[Round]])),"Group stages",Table2[[#This Row],[Round]])</f>
        <v>Quarter-finals</v>
      </c>
      <c r="O832" s="1">
        <f>Table2[[#This Row],[Year]]</f>
        <v>2014</v>
      </c>
      <c r="P832" s="1" t="str">
        <f>INDEX(Table2[[HomeTeam]:[Group_details]],ROWS($N$2:N832),COLUMNS($N$2:N832))</f>
        <v>Netherlands</v>
      </c>
      <c r="Q832" s="1">
        <f>INDEX(Table2[[HomeTeam]:[Group_details]],ROWS($N$2:O832),COLUMNS($N$2:O832))</f>
        <v>0</v>
      </c>
      <c r="R832" s="1">
        <f>INDEX(Table2[[HomeTeam]:[Group_details]],ROWS($N$2:P832),COLUMNS($N$2:P832))</f>
        <v>0</v>
      </c>
      <c r="S832" s="1" t="str">
        <f>INDEX(Table2[[HomeTeam]:[Group_details]],ROWS($N$2:Q832),COLUMNS($N$2:Q832))</f>
        <v>Costa Rica</v>
      </c>
      <c r="T832" s="1" t="str">
        <f>INDEX(Table2[[HomeTeam]:[Group_details]],ROWS($N$2:R832),COLUMNS($N$2:R832))</f>
        <v xml:space="preserve">Netherlands win on penalties (4 - 3) </v>
      </c>
      <c r="U832" s="1" t="str">
        <f>INDEX(Table2[[HomeTeam]:[Group_details]],ROWS($N$2:S832),COLUMNS($N$2:S832))</f>
        <v>Quarter-finals</v>
      </c>
      <c r="V832" s="1" t="b">
        <f t="shared" si="12"/>
        <v>0</v>
      </c>
      <c r="W832" s="1" t="str">
        <f>IF(V832=TRUE,ROWS($V$2:V832),"")</f>
        <v/>
      </c>
      <c r="X832" s="1" t="str">
        <f>IFERROR(SMALL($W$2:$W$853,ROWS($W$2:W832)),"")</f>
        <v/>
      </c>
      <c r="Y832" s="1" t="str">
        <f>IF($X832&lt;&gt;"",INDEX($P$2:$U$853,MATCH($X832,$W$2:$W$853,0),COLUMNS($X$2:X832)),"")</f>
        <v/>
      </c>
      <c r="Z832" s="1" t="str">
        <f>IF($X832&lt;&gt;"",INDEX($P$2:$U$853,MATCH($X832,$W$2:$W$853,0),COLUMNS($X$2:Y832)),"")</f>
        <v/>
      </c>
      <c r="AA832" s="1" t="str">
        <f>IF($X832&lt;&gt;"",INDEX($P$2:$U$853,MATCH($X832,$W$2:$W$853,0),COLUMNS($X$2:Z832)),"")</f>
        <v/>
      </c>
      <c r="AB832" s="1" t="str">
        <f>IF($X832&lt;&gt;"",INDEX($P$2:$U$853,MATCH($X832,$W$2:$W$853,0),COLUMNS($X$2:AA832)),"")</f>
        <v/>
      </c>
      <c r="AC832" s="1" t="str">
        <f>IF($X832&lt;&gt;"",INDEX($P$2:$U$853,MATCH($X832,$W$2:$W$853,0),COLUMNS($X$2:AB832)),"")</f>
        <v/>
      </c>
      <c r="AD832" s="1" t="str">
        <f>IF($X832&lt;&gt;"",INDEX($P$2:$U$853,MATCH($X832,$W$2:$W$853,0),COLUMNS($X$2:AC832)),"")</f>
        <v/>
      </c>
    </row>
    <row r="833" spans="1:30" x14ac:dyDescent="0.2">
      <c r="A833" s="1">
        <v>2014</v>
      </c>
      <c r="B833" s="2">
        <v>41825</v>
      </c>
      <c r="C833" s="1" t="s">
        <v>507</v>
      </c>
      <c r="D833" s="1" t="s">
        <v>61</v>
      </c>
      <c r="E833" s="1" t="s">
        <v>478</v>
      </c>
      <c r="F833" s="1" t="s">
        <v>479</v>
      </c>
      <c r="G833" s="6" t="str">
        <f>VLOOKUP(A833,WorldCups!$A$2:$B$23,2,FALSE)</f>
        <v>Brazil</v>
      </c>
      <c r="H833" s="1" t="s">
        <v>25</v>
      </c>
      <c r="I833" s="1">
        <v>1</v>
      </c>
      <c r="J833" s="1">
        <v>0</v>
      </c>
      <c r="K833" s="1" t="s">
        <v>18</v>
      </c>
      <c r="L833" s="1" t="s">
        <v>14</v>
      </c>
      <c r="M833" s="1" t="str">
        <f>IF(ISNUMBER(SEARCH("Group",Table2[[#This Row],[Round]])),"Group stages",Table2[[#This Row],[Round]])</f>
        <v>Quarter-finals</v>
      </c>
      <c r="O833" s="1">
        <f>Table2[[#This Row],[Year]]</f>
        <v>2014</v>
      </c>
      <c r="P833" s="1" t="str">
        <f>INDEX(Table2[[HomeTeam]:[Group_details]],ROWS($N$2:N833),COLUMNS($N$2:N833))</f>
        <v>Argentina</v>
      </c>
      <c r="Q833" s="1">
        <f>INDEX(Table2[[HomeTeam]:[Group_details]],ROWS($N$2:O833),COLUMNS($N$2:O833))</f>
        <v>1</v>
      </c>
      <c r="R833" s="1">
        <f>INDEX(Table2[[HomeTeam]:[Group_details]],ROWS($N$2:P833),COLUMNS($N$2:P833))</f>
        <v>0</v>
      </c>
      <c r="S833" s="1" t="str">
        <f>INDEX(Table2[[HomeTeam]:[Group_details]],ROWS($N$2:Q833),COLUMNS($N$2:Q833))</f>
        <v>Belgium</v>
      </c>
      <c r="T833" s="1" t="str">
        <f>INDEX(Table2[[HomeTeam]:[Group_details]],ROWS($N$2:R833),COLUMNS($N$2:R833))</f>
        <v xml:space="preserve"> </v>
      </c>
      <c r="U833" s="1" t="str">
        <f>INDEX(Table2[[HomeTeam]:[Group_details]],ROWS($N$2:S833),COLUMNS($N$2:S833))</f>
        <v>Quarter-finals</v>
      </c>
      <c r="V833" s="1" t="b">
        <f t="shared" si="12"/>
        <v>0</v>
      </c>
      <c r="W833" s="1" t="str">
        <f>IF(V833=TRUE,ROWS($V$2:V833),"")</f>
        <v/>
      </c>
      <c r="X833" s="1" t="str">
        <f>IFERROR(SMALL($W$2:$W$853,ROWS($W$2:W833)),"")</f>
        <v/>
      </c>
      <c r="Y833" s="1" t="str">
        <f>IF($X833&lt;&gt;"",INDEX($P$2:$U$853,MATCH($X833,$W$2:$W$853,0),COLUMNS($X$2:X833)),"")</f>
        <v/>
      </c>
      <c r="Z833" s="1" t="str">
        <f>IF($X833&lt;&gt;"",INDEX($P$2:$U$853,MATCH($X833,$W$2:$W$853,0),COLUMNS($X$2:Y833)),"")</f>
        <v/>
      </c>
      <c r="AA833" s="1" t="str">
        <f>IF($X833&lt;&gt;"",INDEX($P$2:$U$853,MATCH($X833,$W$2:$W$853,0),COLUMNS($X$2:Z833)),"")</f>
        <v/>
      </c>
      <c r="AB833" s="1" t="str">
        <f>IF($X833&lt;&gt;"",INDEX($P$2:$U$853,MATCH($X833,$W$2:$W$853,0),COLUMNS($X$2:AA833)),"")</f>
        <v/>
      </c>
      <c r="AC833" s="1" t="str">
        <f>IF($X833&lt;&gt;"",INDEX($P$2:$U$853,MATCH($X833,$W$2:$W$853,0),COLUMNS($X$2:AB833)),"")</f>
        <v/>
      </c>
      <c r="AD833" s="1" t="str">
        <f>IF($X833&lt;&gt;"",INDEX($P$2:$U$853,MATCH($X833,$W$2:$W$853,0),COLUMNS($X$2:AC833)),"")</f>
        <v/>
      </c>
    </row>
    <row r="834" spans="1:30" x14ac:dyDescent="0.2">
      <c r="A834" s="1">
        <v>2014</v>
      </c>
      <c r="B834" s="2">
        <v>41819</v>
      </c>
      <c r="C834" s="1" t="s">
        <v>507</v>
      </c>
      <c r="D834" s="1" t="s">
        <v>287</v>
      </c>
      <c r="E834" s="1" t="s">
        <v>473</v>
      </c>
      <c r="F834" s="1" t="s">
        <v>474</v>
      </c>
      <c r="G834" s="6" t="str">
        <f>VLOOKUP(A834,WorldCups!$A$2:$B$23,2,FALSE)</f>
        <v>Brazil</v>
      </c>
      <c r="H834" s="1" t="s">
        <v>45</v>
      </c>
      <c r="I834" s="1">
        <v>2</v>
      </c>
      <c r="J834" s="1">
        <v>1</v>
      </c>
      <c r="K834" s="1" t="s">
        <v>13</v>
      </c>
      <c r="L834" s="1" t="s">
        <v>14</v>
      </c>
      <c r="M834" s="1" t="str">
        <f>IF(ISNUMBER(SEARCH("Group",Table2[[#This Row],[Round]])),"Group stages",Table2[[#This Row],[Round]])</f>
        <v>Round of 16</v>
      </c>
      <c r="O834" s="1">
        <f>Table2[[#This Row],[Year]]</f>
        <v>2014</v>
      </c>
      <c r="P834" s="1" t="str">
        <f>INDEX(Table2[[HomeTeam]:[Group_details]],ROWS($N$2:N834),COLUMNS($N$2:N834))</f>
        <v>Netherlands</v>
      </c>
      <c r="Q834" s="1">
        <f>INDEX(Table2[[HomeTeam]:[Group_details]],ROWS($N$2:O834),COLUMNS($N$2:O834))</f>
        <v>2</v>
      </c>
      <c r="R834" s="1">
        <f>INDEX(Table2[[HomeTeam]:[Group_details]],ROWS($N$2:P834),COLUMNS($N$2:P834))</f>
        <v>1</v>
      </c>
      <c r="S834" s="1" t="str">
        <f>INDEX(Table2[[HomeTeam]:[Group_details]],ROWS($N$2:Q834),COLUMNS($N$2:Q834))</f>
        <v>Mexico</v>
      </c>
      <c r="T834" s="1" t="str">
        <f>INDEX(Table2[[HomeTeam]:[Group_details]],ROWS($N$2:R834),COLUMNS($N$2:R834))</f>
        <v xml:space="preserve"> </v>
      </c>
      <c r="U834" s="1" t="str">
        <f>INDEX(Table2[[HomeTeam]:[Group_details]],ROWS($N$2:S834),COLUMNS($N$2:S834))</f>
        <v>Round of 16</v>
      </c>
      <c r="V834" s="1" t="b">
        <f t="shared" si="12"/>
        <v>0</v>
      </c>
      <c r="W834" s="1" t="str">
        <f>IF(V834=TRUE,ROWS($V$2:V834),"")</f>
        <v/>
      </c>
      <c r="X834" s="1" t="str">
        <f>IFERROR(SMALL($W$2:$W$853,ROWS($W$2:W834)),"")</f>
        <v/>
      </c>
      <c r="Y834" s="1" t="str">
        <f>IF($X834&lt;&gt;"",INDEX($P$2:$U$853,MATCH($X834,$W$2:$W$853,0),COLUMNS($X$2:X834)),"")</f>
        <v/>
      </c>
      <c r="Z834" s="1" t="str">
        <f>IF($X834&lt;&gt;"",INDEX($P$2:$U$853,MATCH($X834,$W$2:$W$853,0),COLUMNS($X$2:Y834)),"")</f>
        <v/>
      </c>
      <c r="AA834" s="1" t="str">
        <f>IF($X834&lt;&gt;"",INDEX($P$2:$U$853,MATCH($X834,$W$2:$W$853,0),COLUMNS($X$2:Z834)),"")</f>
        <v/>
      </c>
      <c r="AB834" s="1" t="str">
        <f>IF($X834&lt;&gt;"",INDEX($P$2:$U$853,MATCH($X834,$W$2:$W$853,0),COLUMNS($X$2:AA834)),"")</f>
        <v/>
      </c>
      <c r="AC834" s="1" t="str">
        <f>IF($X834&lt;&gt;"",INDEX($P$2:$U$853,MATCH($X834,$W$2:$W$853,0),COLUMNS($X$2:AB834)),"")</f>
        <v/>
      </c>
      <c r="AD834" s="1" t="str">
        <f>IF($X834&lt;&gt;"",INDEX($P$2:$U$853,MATCH($X834,$W$2:$W$853,0),COLUMNS($X$2:AC834)),"")</f>
        <v/>
      </c>
    </row>
    <row r="835" spans="1:30" x14ac:dyDescent="0.2">
      <c r="A835" s="1">
        <v>2014</v>
      </c>
      <c r="B835" s="2">
        <v>41819</v>
      </c>
      <c r="C835" s="1" t="s">
        <v>512</v>
      </c>
      <c r="D835" s="1" t="s">
        <v>287</v>
      </c>
      <c r="E835" s="1" t="s">
        <v>477</v>
      </c>
      <c r="F835" s="1" t="s">
        <v>103</v>
      </c>
      <c r="G835" s="6" t="str">
        <f>VLOOKUP(A835,WorldCups!$A$2:$B$23,2,FALSE)</f>
        <v>Brazil</v>
      </c>
      <c r="H835" s="1" t="s">
        <v>301</v>
      </c>
      <c r="I835" s="1">
        <v>1</v>
      </c>
      <c r="J835" s="1">
        <v>1</v>
      </c>
      <c r="K835" s="1" t="s">
        <v>339</v>
      </c>
      <c r="L835" s="1" t="s">
        <v>488</v>
      </c>
      <c r="M835" s="1" t="str">
        <f>IF(ISNUMBER(SEARCH("Group",Table2[[#This Row],[Round]])),"Group stages",Table2[[#This Row],[Round]])</f>
        <v>Round of 16</v>
      </c>
      <c r="O835" s="1">
        <f>Table2[[#This Row],[Year]]</f>
        <v>2014</v>
      </c>
      <c r="P835" s="1" t="str">
        <f>INDEX(Table2[[HomeTeam]:[Group_details]],ROWS($N$2:N835),COLUMNS($N$2:N835))</f>
        <v>Costa Rica</v>
      </c>
      <c r="Q835" s="1">
        <f>INDEX(Table2[[HomeTeam]:[Group_details]],ROWS($N$2:O835),COLUMNS($N$2:O835))</f>
        <v>1</v>
      </c>
      <c r="R835" s="1">
        <f>INDEX(Table2[[HomeTeam]:[Group_details]],ROWS($N$2:P835),COLUMNS($N$2:P835))</f>
        <v>1</v>
      </c>
      <c r="S835" s="1" t="str">
        <f>INDEX(Table2[[HomeTeam]:[Group_details]],ROWS($N$2:Q835),COLUMNS($N$2:Q835))</f>
        <v>Greece</v>
      </c>
      <c r="T835" s="1" t="str">
        <f>INDEX(Table2[[HomeTeam]:[Group_details]],ROWS($N$2:R835),COLUMNS($N$2:R835))</f>
        <v xml:space="preserve">Costa Rica win on penalties (5 - 3) </v>
      </c>
      <c r="U835" s="1" t="str">
        <f>INDEX(Table2[[HomeTeam]:[Group_details]],ROWS($N$2:S835),COLUMNS($N$2:S835))</f>
        <v>Round of 16</v>
      </c>
      <c r="V835" s="1" t="b">
        <f t="shared" ref="V835:V853" si="13">IF(O835=$V$1,TRUE)</f>
        <v>0</v>
      </c>
      <c r="W835" s="1" t="str">
        <f>IF(V835=TRUE,ROWS($V$2:V835),"")</f>
        <v/>
      </c>
      <c r="X835" s="1" t="str">
        <f>IFERROR(SMALL($W$2:$W$853,ROWS($W$2:W835)),"")</f>
        <v/>
      </c>
      <c r="Y835" s="1" t="str">
        <f>IF($X835&lt;&gt;"",INDEX($P$2:$U$853,MATCH($X835,$W$2:$W$853,0),COLUMNS($X$2:X835)),"")</f>
        <v/>
      </c>
      <c r="Z835" s="1" t="str">
        <f>IF($X835&lt;&gt;"",INDEX($P$2:$U$853,MATCH($X835,$W$2:$W$853,0),COLUMNS($X$2:Y835)),"")</f>
        <v/>
      </c>
      <c r="AA835" s="1" t="str">
        <f>IF($X835&lt;&gt;"",INDEX($P$2:$U$853,MATCH($X835,$W$2:$W$853,0),COLUMNS($X$2:Z835)),"")</f>
        <v/>
      </c>
      <c r="AB835" s="1" t="str">
        <f>IF($X835&lt;&gt;"",INDEX($P$2:$U$853,MATCH($X835,$W$2:$W$853,0),COLUMNS($X$2:AA835)),"")</f>
        <v/>
      </c>
      <c r="AC835" s="1" t="str">
        <f>IF($X835&lt;&gt;"",INDEX($P$2:$U$853,MATCH($X835,$W$2:$W$853,0),COLUMNS($X$2:AB835)),"")</f>
        <v/>
      </c>
      <c r="AD835" s="1" t="str">
        <f>IF($X835&lt;&gt;"",INDEX($P$2:$U$853,MATCH($X835,$W$2:$W$853,0),COLUMNS($X$2:AC835)),"")</f>
        <v/>
      </c>
    </row>
    <row r="836" spans="1:30" x14ac:dyDescent="0.2">
      <c r="A836" s="1">
        <v>2014</v>
      </c>
      <c r="B836" s="2">
        <v>41821</v>
      </c>
      <c r="C836" s="1" t="s">
        <v>507</v>
      </c>
      <c r="D836" s="1" t="s">
        <v>287</v>
      </c>
      <c r="E836" s="1" t="s">
        <v>465</v>
      </c>
      <c r="F836" s="1" t="s">
        <v>97</v>
      </c>
      <c r="G836" s="6" t="str">
        <f>VLOOKUP(A836,WorldCups!$A$2:$B$23,2,FALSE)</f>
        <v>Brazil</v>
      </c>
      <c r="H836" s="1" t="s">
        <v>25</v>
      </c>
      <c r="I836" s="1">
        <v>1</v>
      </c>
      <c r="J836" s="1">
        <v>0</v>
      </c>
      <c r="K836" s="1" t="s">
        <v>44</v>
      </c>
      <c r="L836" s="1" t="s">
        <v>229</v>
      </c>
      <c r="M836" s="1" t="str">
        <f>IF(ISNUMBER(SEARCH("Group",Table2[[#This Row],[Round]])),"Group stages",Table2[[#This Row],[Round]])</f>
        <v>Round of 16</v>
      </c>
      <c r="O836" s="1">
        <f>Table2[[#This Row],[Year]]</f>
        <v>2014</v>
      </c>
      <c r="P836" s="1" t="str">
        <f>INDEX(Table2[[HomeTeam]:[Group_details]],ROWS($N$2:N836),COLUMNS($N$2:N836))</f>
        <v>Argentina</v>
      </c>
      <c r="Q836" s="1">
        <f>INDEX(Table2[[HomeTeam]:[Group_details]],ROWS($N$2:O836),COLUMNS($N$2:O836))</f>
        <v>1</v>
      </c>
      <c r="R836" s="1">
        <f>INDEX(Table2[[HomeTeam]:[Group_details]],ROWS($N$2:P836),COLUMNS($N$2:P836))</f>
        <v>0</v>
      </c>
      <c r="S836" s="1" t="str">
        <f>INDEX(Table2[[HomeTeam]:[Group_details]],ROWS($N$2:Q836),COLUMNS($N$2:Q836))</f>
        <v>Switzerland</v>
      </c>
      <c r="T836" s="1" t="str">
        <f>INDEX(Table2[[HomeTeam]:[Group_details]],ROWS($N$2:R836),COLUMNS($N$2:R836))</f>
        <v xml:space="preserve">Argentina win after extra time </v>
      </c>
      <c r="U836" s="1" t="str">
        <f>INDEX(Table2[[HomeTeam]:[Group_details]],ROWS($N$2:S836),COLUMNS($N$2:S836))</f>
        <v>Round of 16</v>
      </c>
      <c r="V836" s="1" t="b">
        <f t="shared" si="13"/>
        <v>0</v>
      </c>
      <c r="W836" s="1" t="str">
        <f>IF(V836=TRUE,ROWS($V$2:V836),"")</f>
        <v/>
      </c>
      <c r="X836" s="1" t="str">
        <f>IFERROR(SMALL($W$2:$W$853,ROWS($W$2:W836)),"")</f>
        <v/>
      </c>
      <c r="Y836" s="1" t="str">
        <f>IF($X836&lt;&gt;"",INDEX($P$2:$U$853,MATCH($X836,$W$2:$W$853,0),COLUMNS($X$2:X836)),"")</f>
        <v/>
      </c>
      <c r="Z836" s="1" t="str">
        <f>IF($X836&lt;&gt;"",INDEX($P$2:$U$853,MATCH($X836,$W$2:$W$853,0),COLUMNS($X$2:Y836)),"")</f>
        <v/>
      </c>
      <c r="AA836" s="1" t="str">
        <f>IF($X836&lt;&gt;"",INDEX($P$2:$U$853,MATCH($X836,$W$2:$W$853,0),COLUMNS($X$2:Z836)),"")</f>
        <v/>
      </c>
      <c r="AB836" s="1" t="str">
        <f>IF($X836&lt;&gt;"",INDEX($P$2:$U$853,MATCH($X836,$W$2:$W$853,0),COLUMNS($X$2:AA836)),"")</f>
        <v/>
      </c>
      <c r="AC836" s="1" t="str">
        <f>IF($X836&lt;&gt;"",INDEX($P$2:$U$853,MATCH($X836,$W$2:$W$853,0),COLUMNS($X$2:AB836)),"")</f>
        <v/>
      </c>
      <c r="AD836" s="1" t="str">
        <f>IF($X836&lt;&gt;"",INDEX($P$2:$U$853,MATCH($X836,$W$2:$W$853,0),COLUMNS($X$2:AC836)),"")</f>
        <v/>
      </c>
    </row>
    <row r="837" spans="1:30" x14ac:dyDescent="0.2">
      <c r="A837" s="1">
        <v>2014</v>
      </c>
      <c r="B837" s="2">
        <v>41821</v>
      </c>
      <c r="C837" s="1" t="s">
        <v>512</v>
      </c>
      <c r="D837" s="1" t="s">
        <v>287</v>
      </c>
      <c r="E837" s="1" t="s">
        <v>468</v>
      </c>
      <c r="F837" s="1" t="s">
        <v>469</v>
      </c>
      <c r="G837" s="6" t="str">
        <f>VLOOKUP(A837,WorldCups!$A$2:$B$23,2,FALSE)</f>
        <v>Brazil</v>
      </c>
      <c r="H837" s="1" t="s">
        <v>18</v>
      </c>
      <c r="I837" s="1">
        <v>2</v>
      </c>
      <c r="J837" s="1">
        <v>1</v>
      </c>
      <c r="K837" s="1" t="s">
        <v>17</v>
      </c>
      <c r="L837" s="1" t="s">
        <v>288</v>
      </c>
      <c r="M837" s="1" t="str">
        <f>IF(ISNUMBER(SEARCH("Group",Table2[[#This Row],[Round]])),"Group stages",Table2[[#This Row],[Round]])</f>
        <v>Round of 16</v>
      </c>
      <c r="O837" s="1">
        <f>Table2[[#This Row],[Year]]</f>
        <v>2014</v>
      </c>
      <c r="P837" s="1" t="str">
        <f>INDEX(Table2[[HomeTeam]:[Group_details]],ROWS($N$2:N837),COLUMNS($N$2:N837))</f>
        <v>Belgium</v>
      </c>
      <c r="Q837" s="1">
        <f>INDEX(Table2[[HomeTeam]:[Group_details]],ROWS($N$2:O837),COLUMNS($N$2:O837))</f>
        <v>2</v>
      </c>
      <c r="R837" s="1">
        <f>INDEX(Table2[[HomeTeam]:[Group_details]],ROWS($N$2:P837),COLUMNS($N$2:P837))</f>
        <v>1</v>
      </c>
      <c r="S837" s="1" t="str">
        <f>INDEX(Table2[[HomeTeam]:[Group_details]],ROWS($N$2:Q837),COLUMNS($N$2:Q837))</f>
        <v>USA</v>
      </c>
      <c r="T837" s="1" t="str">
        <f>INDEX(Table2[[HomeTeam]:[Group_details]],ROWS($N$2:R837),COLUMNS($N$2:R837))</f>
        <v xml:space="preserve">Belgium win after extra time </v>
      </c>
      <c r="U837" s="1" t="str">
        <f>INDEX(Table2[[HomeTeam]:[Group_details]],ROWS($N$2:S837),COLUMNS($N$2:S837))</f>
        <v>Round of 16</v>
      </c>
      <c r="V837" s="1" t="b">
        <f t="shared" si="13"/>
        <v>0</v>
      </c>
      <c r="W837" s="1" t="str">
        <f>IF(V837=TRUE,ROWS($V$2:V837),"")</f>
        <v/>
      </c>
      <c r="X837" s="1" t="str">
        <f>IFERROR(SMALL($W$2:$W$853,ROWS($W$2:W837)),"")</f>
        <v/>
      </c>
      <c r="Y837" s="1" t="str">
        <f>IF($X837&lt;&gt;"",INDEX($P$2:$U$853,MATCH($X837,$W$2:$W$853,0),COLUMNS($X$2:X837)),"")</f>
        <v/>
      </c>
      <c r="Z837" s="1" t="str">
        <f>IF($X837&lt;&gt;"",INDEX($P$2:$U$853,MATCH($X837,$W$2:$W$853,0),COLUMNS($X$2:Y837)),"")</f>
        <v/>
      </c>
      <c r="AA837" s="1" t="str">
        <f>IF($X837&lt;&gt;"",INDEX($P$2:$U$853,MATCH($X837,$W$2:$W$853,0),COLUMNS($X$2:Z837)),"")</f>
        <v/>
      </c>
      <c r="AB837" s="1" t="str">
        <f>IF($X837&lt;&gt;"",INDEX($P$2:$U$853,MATCH($X837,$W$2:$W$853,0),COLUMNS($X$2:AA837)),"")</f>
        <v/>
      </c>
      <c r="AC837" s="1" t="str">
        <f>IF($X837&lt;&gt;"",INDEX($P$2:$U$853,MATCH($X837,$W$2:$W$853,0),COLUMNS($X$2:AB837)),"")</f>
        <v/>
      </c>
      <c r="AD837" s="1" t="str">
        <f>IF($X837&lt;&gt;"",INDEX($P$2:$U$853,MATCH($X837,$W$2:$W$853,0),COLUMNS($X$2:AC837)),"")</f>
        <v/>
      </c>
    </row>
    <row r="838" spans="1:30" x14ac:dyDescent="0.2">
      <c r="A838" s="1">
        <v>2014</v>
      </c>
      <c r="B838" s="2">
        <v>41818</v>
      </c>
      <c r="C838" s="1" t="s">
        <v>507</v>
      </c>
      <c r="D838" s="1" t="s">
        <v>287</v>
      </c>
      <c r="E838" s="1" t="s">
        <v>472</v>
      </c>
      <c r="F838" s="1" t="s">
        <v>99</v>
      </c>
      <c r="G838" s="6" t="str">
        <f>VLOOKUP(A838,WorldCups!$A$2:$B$23,2,FALSE)</f>
        <v>Brazil</v>
      </c>
      <c r="H838" s="1" t="s">
        <v>21</v>
      </c>
      <c r="I838" s="1">
        <v>1</v>
      </c>
      <c r="J838" s="1">
        <v>1</v>
      </c>
      <c r="K838" s="1" t="s">
        <v>26</v>
      </c>
      <c r="L838" s="1" t="s">
        <v>343</v>
      </c>
      <c r="M838" s="1" t="str">
        <f>IF(ISNUMBER(SEARCH("Group",Table2[[#This Row],[Round]])),"Group stages",Table2[[#This Row],[Round]])</f>
        <v>Round of 16</v>
      </c>
      <c r="O838" s="1">
        <f>Table2[[#This Row],[Year]]</f>
        <v>2014</v>
      </c>
      <c r="P838" s="1" t="str">
        <f>INDEX(Table2[[HomeTeam]:[Group_details]],ROWS($N$2:N838),COLUMNS($N$2:N838))</f>
        <v>Brazil</v>
      </c>
      <c r="Q838" s="1">
        <f>INDEX(Table2[[HomeTeam]:[Group_details]],ROWS($N$2:O838),COLUMNS($N$2:O838))</f>
        <v>1</v>
      </c>
      <c r="R838" s="1">
        <f>INDEX(Table2[[HomeTeam]:[Group_details]],ROWS($N$2:P838),COLUMNS($N$2:P838))</f>
        <v>1</v>
      </c>
      <c r="S838" s="1" t="str">
        <f>INDEX(Table2[[HomeTeam]:[Group_details]],ROWS($N$2:Q838),COLUMNS($N$2:Q838))</f>
        <v>Chile</v>
      </c>
      <c r="T838" s="1" t="str">
        <f>INDEX(Table2[[HomeTeam]:[Group_details]],ROWS($N$2:R838),COLUMNS($N$2:R838))</f>
        <v xml:space="preserve">Brazil win on penalties (3 - 2) </v>
      </c>
      <c r="U838" s="1" t="str">
        <f>INDEX(Table2[[HomeTeam]:[Group_details]],ROWS($N$2:S838),COLUMNS($N$2:S838))</f>
        <v>Round of 16</v>
      </c>
      <c r="V838" s="1" t="b">
        <f t="shared" si="13"/>
        <v>0</v>
      </c>
      <c r="W838" s="1" t="str">
        <f>IF(V838=TRUE,ROWS($V$2:V838),"")</f>
        <v/>
      </c>
      <c r="X838" s="1" t="str">
        <f>IFERROR(SMALL($W$2:$W$853,ROWS($W$2:W838)),"")</f>
        <v/>
      </c>
      <c r="Y838" s="1" t="str">
        <f>IF($X838&lt;&gt;"",INDEX($P$2:$U$853,MATCH($X838,$W$2:$W$853,0),COLUMNS($X$2:X838)),"")</f>
        <v/>
      </c>
      <c r="Z838" s="1" t="str">
        <f>IF($X838&lt;&gt;"",INDEX($P$2:$U$853,MATCH($X838,$W$2:$W$853,0),COLUMNS($X$2:Y838)),"")</f>
        <v/>
      </c>
      <c r="AA838" s="1" t="str">
        <f>IF($X838&lt;&gt;"",INDEX($P$2:$U$853,MATCH($X838,$W$2:$W$853,0),COLUMNS($X$2:Z838)),"")</f>
        <v/>
      </c>
      <c r="AB838" s="1" t="str">
        <f>IF($X838&lt;&gt;"",INDEX($P$2:$U$853,MATCH($X838,$W$2:$W$853,0),COLUMNS($X$2:AA838)),"")</f>
        <v/>
      </c>
      <c r="AC838" s="1" t="str">
        <f>IF($X838&lt;&gt;"",INDEX($P$2:$U$853,MATCH($X838,$W$2:$W$853,0),COLUMNS($X$2:AB838)),"")</f>
        <v/>
      </c>
      <c r="AD838" s="1" t="str">
        <f>IF($X838&lt;&gt;"",INDEX($P$2:$U$853,MATCH($X838,$W$2:$W$853,0),COLUMNS($X$2:AC838)),"")</f>
        <v/>
      </c>
    </row>
    <row r="839" spans="1:30" x14ac:dyDescent="0.2">
      <c r="A839" s="1">
        <v>2014</v>
      </c>
      <c r="B839" s="2">
        <v>41818</v>
      </c>
      <c r="C839" s="1" t="s">
        <v>512</v>
      </c>
      <c r="D839" s="1" t="s">
        <v>287</v>
      </c>
      <c r="E839" s="1" t="s">
        <v>481</v>
      </c>
      <c r="F839" s="1" t="s">
        <v>92</v>
      </c>
      <c r="G839" s="6" t="str">
        <f>VLOOKUP(A839,WorldCups!$A$2:$B$23,2,FALSE)</f>
        <v>Brazil</v>
      </c>
      <c r="H839" s="1" t="s">
        <v>151</v>
      </c>
      <c r="I839" s="1">
        <v>2</v>
      </c>
      <c r="J839" s="1">
        <v>0</v>
      </c>
      <c r="K839" s="1" t="s">
        <v>30</v>
      </c>
      <c r="L839" s="1" t="s">
        <v>14</v>
      </c>
      <c r="M839" s="1" t="str">
        <f>IF(ISNUMBER(SEARCH("Group",Table2[[#This Row],[Round]])),"Group stages",Table2[[#This Row],[Round]])</f>
        <v>Round of 16</v>
      </c>
      <c r="O839" s="1">
        <f>Table2[[#This Row],[Year]]</f>
        <v>2014</v>
      </c>
      <c r="P839" s="1" t="str">
        <f>INDEX(Table2[[HomeTeam]:[Group_details]],ROWS($N$2:N839),COLUMNS($N$2:N839))</f>
        <v>Colombia</v>
      </c>
      <c r="Q839" s="1">
        <f>INDEX(Table2[[HomeTeam]:[Group_details]],ROWS($N$2:O839),COLUMNS($N$2:O839))</f>
        <v>2</v>
      </c>
      <c r="R839" s="1">
        <f>INDEX(Table2[[HomeTeam]:[Group_details]],ROWS($N$2:P839),COLUMNS($N$2:P839))</f>
        <v>0</v>
      </c>
      <c r="S839" s="1" t="str">
        <f>INDEX(Table2[[HomeTeam]:[Group_details]],ROWS($N$2:Q839),COLUMNS($N$2:Q839))</f>
        <v>Uruguay</v>
      </c>
      <c r="T839" s="1" t="str">
        <f>INDEX(Table2[[HomeTeam]:[Group_details]],ROWS($N$2:R839),COLUMNS($N$2:R839))</f>
        <v xml:space="preserve"> </v>
      </c>
      <c r="U839" s="1" t="str">
        <f>INDEX(Table2[[HomeTeam]:[Group_details]],ROWS($N$2:S839),COLUMNS($N$2:S839))</f>
        <v>Round of 16</v>
      </c>
      <c r="V839" s="1" t="b">
        <f t="shared" si="13"/>
        <v>0</v>
      </c>
      <c r="W839" s="1" t="str">
        <f>IF(V839=TRUE,ROWS($V$2:V839),"")</f>
        <v/>
      </c>
      <c r="X839" s="1" t="str">
        <f>IFERROR(SMALL($W$2:$W$853,ROWS($W$2:W839)),"")</f>
        <v/>
      </c>
      <c r="Y839" s="1" t="str">
        <f>IF($X839&lt;&gt;"",INDEX($P$2:$U$853,MATCH($X839,$W$2:$W$853,0),COLUMNS($X$2:X839)),"")</f>
        <v/>
      </c>
      <c r="Z839" s="1" t="str">
        <f>IF($X839&lt;&gt;"",INDEX($P$2:$U$853,MATCH($X839,$W$2:$W$853,0),COLUMNS($X$2:Y839)),"")</f>
        <v/>
      </c>
      <c r="AA839" s="1" t="str">
        <f>IF($X839&lt;&gt;"",INDEX($P$2:$U$853,MATCH($X839,$W$2:$W$853,0),COLUMNS($X$2:Z839)),"")</f>
        <v/>
      </c>
      <c r="AB839" s="1" t="str">
        <f>IF($X839&lt;&gt;"",INDEX($P$2:$U$853,MATCH($X839,$W$2:$W$853,0),COLUMNS($X$2:AA839)),"")</f>
        <v/>
      </c>
      <c r="AC839" s="1" t="str">
        <f>IF($X839&lt;&gt;"",INDEX($P$2:$U$853,MATCH($X839,$W$2:$W$853,0),COLUMNS($X$2:AB839)),"")</f>
        <v/>
      </c>
      <c r="AD839" s="1" t="str">
        <f>IF($X839&lt;&gt;"",INDEX($P$2:$U$853,MATCH($X839,$W$2:$W$853,0),COLUMNS($X$2:AC839)),"")</f>
        <v/>
      </c>
    </row>
    <row r="840" spans="1:30" x14ac:dyDescent="0.2">
      <c r="A840" s="1">
        <v>2014</v>
      </c>
      <c r="B840" s="2">
        <v>41819</v>
      </c>
      <c r="C840" s="1" t="s">
        <v>507</v>
      </c>
      <c r="D840" s="1" t="s">
        <v>287</v>
      </c>
      <c r="E840" s="1" t="s">
        <v>473</v>
      </c>
      <c r="F840" s="1" t="s">
        <v>474</v>
      </c>
      <c r="G840" s="6" t="str">
        <f>VLOOKUP(A840,WorldCups!$A$2:$B$23,2,FALSE)</f>
        <v>Brazil</v>
      </c>
      <c r="H840" s="1" t="s">
        <v>45</v>
      </c>
      <c r="I840" s="1">
        <v>2</v>
      </c>
      <c r="J840" s="1">
        <v>1</v>
      </c>
      <c r="K840" s="1" t="s">
        <v>13</v>
      </c>
      <c r="L840" s="1" t="s">
        <v>14</v>
      </c>
      <c r="M840" s="1" t="str">
        <f>IF(ISNUMBER(SEARCH("Group",Table2[[#This Row],[Round]])),"Group stages",Table2[[#This Row],[Round]])</f>
        <v>Round of 16</v>
      </c>
      <c r="O840" s="1">
        <f>Table2[[#This Row],[Year]]</f>
        <v>2014</v>
      </c>
      <c r="P840" s="1" t="str">
        <f>INDEX(Table2[[HomeTeam]:[Group_details]],ROWS($N$2:N840),COLUMNS($N$2:N840))</f>
        <v>Netherlands</v>
      </c>
      <c r="Q840" s="1">
        <f>INDEX(Table2[[HomeTeam]:[Group_details]],ROWS($N$2:O840),COLUMNS($N$2:O840))</f>
        <v>2</v>
      </c>
      <c r="R840" s="1">
        <f>INDEX(Table2[[HomeTeam]:[Group_details]],ROWS($N$2:P840),COLUMNS($N$2:P840))</f>
        <v>1</v>
      </c>
      <c r="S840" s="1" t="str">
        <f>INDEX(Table2[[HomeTeam]:[Group_details]],ROWS($N$2:Q840),COLUMNS($N$2:Q840))</f>
        <v>Mexico</v>
      </c>
      <c r="T840" s="1" t="str">
        <f>INDEX(Table2[[HomeTeam]:[Group_details]],ROWS($N$2:R840),COLUMNS($N$2:R840))</f>
        <v xml:space="preserve"> </v>
      </c>
      <c r="U840" s="1" t="str">
        <f>INDEX(Table2[[HomeTeam]:[Group_details]],ROWS($N$2:S840),COLUMNS($N$2:S840))</f>
        <v>Round of 16</v>
      </c>
      <c r="V840" s="1" t="b">
        <f t="shared" si="13"/>
        <v>0</v>
      </c>
      <c r="W840" s="1" t="str">
        <f>IF(V840=TRUE,ROWS($V$2:V840),"")</f>
        <v/>
      </c>
      <c r="X840" s="1" t="str">
        <f>IFERROR(SMALL($W$2:$W$853,ROWS($W$2:W840)),"")</f>
        <v/>
      </c>
      <c r="Y840" s="1" t="str">
        <f>IF($X840&lt;&gt;"",INDEX($P$2:$U$853,MATCH($X840,$W$2:$W$853,0),COLUMNS($X$2:X840)),"")</f>
        <v/>
      </c>
      <c r="Z840" s="1" t="str">
        <f>IF($X840&lt;&gt;"",INDEX($P$2:$U$853,MATCH($X840,$W$2:$W$853,0),COLUMNS($X$2:Y840)),"")</f>
        <v/>
      </c>
      <c r="AA840" s="1" t="str">
        <f>IF($X840&lt;&gt;"",INDEX($P$2:$U$853,MATCH($X840,$W$2:$W$853,0),COLUMNS($X$2:Z840)),"")</f>
        <v/>
      </c>
      <c r="AB840" s="1" t="str">
        <f>IF($X840&lt;&gt;"",INDEX($P$2:$U$853,MATCH($X840,$W$2:$W$853,0),COLUMNS($X$2:AA840)),"")</f>
        <v/>
      </c>
      <c r="AC840" s="1" t="str">
        <f>IF($X840&lt;&gt;"",INDEX($P$2:$U$853,MATCH($X840,$W$2:$W$853,0),COLUMNS($X$2:AB840)),"")</f>
        <v/>
      </c>
      <c r="AD840" s="1" t="str">
        <f>IF($X840&lt;&gt;"",INDEX($P$2:$U$853,MATCH($X840,$W$2:$W$853,0),COLUMNS($X$2:AC840)),"")</f>
        <v/>
      </c>
    </row>
    <row r="841" spans="1:30" x14ac:dyDescent="0.2">
      <c r="A841" s="1">
        <v>2014</v>
      </c>
      <c r="B841" s="2">
        <v>41819</v>
      </c>
      <c r="C841" s="1" t="s">
        <v>512</v>
      </c>
      <c r="D841" s="1" t="s">
        <v>287</v>
      </c>
      <c r="E841" s="1" t="s">
        <v>477</v>
      </c>
      <c r="F841" s="1" t="s">
        <v>103</v>
      </c>
      <c r="G841" s="6" t="str">
        <f>VLOOKUP(A841,WorldCups!$A$2:$B$23,2,FALSE)</f>
        <v>Brazil</v>
      </c>
      <c r="H841" s="1" t="s">
        <v>301</v>
      </c>
      <c r="I841" s="1">
        <v>1</v>
      </c>
      <c r="J841" s="1">
        <v>1</v>
      </c>
      <c r="K841" s="1" t="s">
        <v>339</v>
      </c>
      <c r="L841" s="1" t="s">
        <v>488</v>
      </c>
      <c r="M841" s="1" t="str">
        <f>IF(ISNUMBER(SEARCH("Group",Table2[[#This Row],[Round]])),"Group stages",Table2[[#This Row],[Round]])</f>
        <v>Round of 16</v>
      </c>
      <c r="O841" s="1">
        <f>Table2[[#This Row],[Year]]</f>
        <v>2014</v>
      </c>
      <c r="P841" s="1" t="str">
        <f>INDEX(Table2[[HomeTeam]:[Group_details]],ROWS($N$2:N841),COLUMNS($N$2:N841))</f>
        <v>Costa Rica</v>
      </c>
      <c r="Q841" s="1">
        <f>INDEX(Table2[[HomeTeam]:[Group_details]],ROWS($N$2:O841),COLUMNS($N$2:O841))</f>
        <v>1</v>
      </c>
      <c r="R841" s="1">
        <f>INDEX(Table2[[HomeTeam]:[Group_details]],ROWS($N$2:P841),COLUMNS($N$2:P841))</f>
        <v>1</v>
      </c>
      <c r="S841" s="1" t="str">
        <f>INDEX(Table2[[HomeTeam]:[Group_details]],ROWS($N$2:Q841),COLUMNS($N$2:Q841))</f>
        <v>Greece</v>
      </c>
      <c r="T841" s="1" t="str">
        <f>INDEX(Table2[[HomeTeam]:[Group_details]],ROWS($N$2:R841),COLUMNS($N$2:R841))</f>
        <v xml:space="preserve">Costa Rica win on penalties (5 - 3) </v>
      </c>
      <c r="U841" s="1" t="str">
        <f>INDEX(Table2[[HomeTeam]:[Group_details]],ROWS($N$2:S841),COLUMNS($N$2:S841))</f>
        <v>Round of 16</v>
      </c>
      <c r="V841" s="1" t="b">
        <f t="shared" si="13"/>
        <v>0</v>
      </c>
      <c r="W841" s="1" t="str">
        <f>IF(V841=TRUE,ROWS($V$2:V841),"")</f>
        <v/>
      </c>
      <c r="X841" s="1" t="str">
        <f>IFERROR(SMALL($W$2:$W$853,ROWS($W$2:W841)),"")</f>
        <v/>
      </c>
      <c r="Y841" s="1" t="str">
        <f>IF($X841&lt;&gt;"",INDEX($P$2:$U$853,MATCH($X841,$W$2:$W$853,0),COLUMNS($X$2:X841)),"")</f>
        <v/>
      </c>
      <c r="Z841" s="1" t="str">
        <f>IF($X841&lt;&gt;"",INDEX($P$2:$U$853,MATCH($X841,$W$2:$W$853,0),COLUMNS($X$2:Y841)),"")</f>
        <v/>
      </c>
      <c r="AA841" s="1" t="str">
        <f>IF($X841&lt;&gt;"",INDEX($P$2:$U$853,MATCH($X841,$W$2:$W$853,0),COLUMNS($X$2:Z841)),"")</f>
        <v/>
      </c>
      <c r="AB841" s="1" t="str">
        <f>IF($X841&lt;&gt;"",INDEX($P$2:$U$853,MATCH($X841,$W$2:$W$853,0),COLUMNS($X$2:AA841)),"")</f>
        <v/>
      </c>
      <c r="AC841" s="1" t="str">
        <f>IF($X841&lt;&gt;"",INDEX($P$2:$U$853,MATCH($X841,$W$2:$W$853,0),COLUMNS($X$2:AB841)),"")</f>
        <v/>
      </c>
      <c r="AD841" s="1" t="str">
        <f>IF($X841&lt;&gt;"",INDEX($P$2:$U$853,MATCH($X841,$W$2:$W$853,0),COLUMNS($X$2:AC841)),"")</f>
        <v/>
      </c>
    </row>
    <row r="842" spans="1:30" x14ac:dyDescent="0.2">
      <c r="A842" s="1">
        <v>2014</v>
      </c>
      <c r="B842" s="2">
        <v>41820</v>
      </c>
      <c r="C842" s="1" t="s">
        <v>507</v>
      </c>
      <c r="D842" s="1" t="s">
        <v>287</v>
      </c>
      <c r="E842" s="1" t="s">
        <v>478</v>
      </c>
      <c r="F842" s="1" t="s">
        <v>479</v>
      </c>
      <c r="G842" s="6" t="str">
        <f>VLOOKUP(A842,WorldCups!$A$2:$B$23,2,FALSE)</f>
        <v>Brazil</v>
      </c>
      <c r="H842" s="1" t="s">
        <v>12</v>
      </c>
      <c r="I842" s="1">
        <v>2</v>
      </c>
      <c r="J842" s="1">
        <v>0</v>
      </c>
      <c r="K842" s="1" t="s">
        <v>340</v>
      </c>
      <c r="L842" s="1" t="s">
        <v>14</v>
      </c>
      <c r="M842" s="1" t="str">
        <f>IF(ISNUMBER(SEARCH("Group",Table2[[#This Row],[Round]])),"Group stages",Table2[[#This Row],[Round]])</f>
        <v>Round of 16</v>
      </c>
      <c r="O842" s="1">
        <f>Table2[[#This Row],[Year]]</f>
        <v>2014</v>
      </c>
      <c r="P842" s="1" t="str">
        <f>INDEX(Table2[[HomeTeam]:[Group_details]],ROWS($N$2:N842),COLUMNS($N$2:N842))</f>
        <v>France</v>
      </c>
      <c r="Q842" s="1">
        <f>INDEX(Table2[[HomeTeam]:[Group_details]],ROWS($N$2:O842),COLUMNS($N$2:O842))</f>
        <v>2</v>
      </c>
      <c r="R842" s="1">
        <f>INDEX(Table2[[HomeTeam]:[Group_details]],ROWS($N$2:P842),COLUMNS($N$2:P842))</f>
        <v>0</v>
      </c>
      <c r="S842" s="1" t="str">
        <f>INDEX(Table2[[HomeTeam]:[Group_details]],ROWS($N$2:Q842),COLUMNS($N$2:Q842))</f>
        <v>Nigeria</v>
      </c>
      <c r="T842" s="1" t="str">
        <f>INDEX(Table2[[HomeTeam]:[Group_details]],ROWS($N$2:R842),COLUMNS($N$2:R842))</f>
        <v xml:space="preserve"> </v>
      </c>
      <c r="U842" s="1" t="str">
        <f>INDEX(Table2[[HomeTeam]:[Group_details]],ROWS($N$2:S842),COLUMNS($N$2:S842))</f>
        <v>Round of 16</v>
      </c>
      <c r="V842" s="1" t="b">
        <f t="shared" si="13"/>
        <v>0</v>
      </c>
      <c r="W842" s="1" t="str">
        <f>IF(V842=TRUE,ROWS($V$2:V842),"")</f>
        <v/>
      </c>
      <c r="X842" s="1" t="str">
        <f>IFERROR(SMALL($W$2:$W$853,ROWS($W$2:W842)),"")</f>
        <v/>
      </c>
      <c r="Y842" s="1" t="str">
        <f>IF($X842&lt;&gt;"",INDEX($P$2:$U$853,MATCH($X842,$W$2:$W$853,0),COLUMNS($X$2:X842)),"")</f>
        <v/>
      </c>
      <c r="Z842" s="1" t="str">
        <f>IF($X842&lt;&gt;"",INDEX($P$2:$U$853,MATCH($X842,$W$2:$W$853,0),COLUMNS($X$2:Y842)),"")</f>
        <v/>
      </c>
      <c r="AA842" s="1" t="str">
        <f>IF($X842&lt;&gt;"",INDEX($P$2:$U$853,MATCH($X842,$W$2:$W$853,0),COLUMNS($X$2:Z842)),"")</f>
        <v/>
      </c>
      <c r="AB842" s="1" t="str">
        <f>IF($X842&lt;&gt;"",INDEX($P$2:$U$853,MATCH($X842,$W$2:$W$853,0),COLUMNS($X$2:AA842)),"")</f>
        <v/>
      </c>
      <c r="AC842" s="1" t="str">
        <f>IF($X842&lt;&gt;"",INDEX($P$2:$U$853,MATCH($X842,$W$2:$W$853,0),COLUMNS($X$2:AB842)),"")</f>
        <v/>
      </c>
      <c r="AD842" s="1" t="str">
        <f>IF($X842&lt;&gt;"",INDEX($P$2:$U$853,MATCH($X842,$W$2:$W$853,0),COLUMNS($X$2:AC842)),"")</f>
        <v/>
      </c>
    </row>
    <row r="843" spans="1:30" x14ac:dyDescent="0.2">
      <c r="A843" s="1">
        <v>2014</v>
      </c>
      <c r="B843" s="2">
        <v>41820</v>
      </c>
      <c r="C843" s="1" t="s">
        <v>512</v>
      </c>
      <c r="D843" s="1" t="s">
        <v>287</v>
      </c>
      <c r="E843" s="1" t="s">
        <v>480</v>
      </c>
      <c r="F843" s="1" t="s">
        <v>101</v>
      </c>
      <c r="G843" s="6" t="str">
        <f>VLOOKUP(A843,WorldCups!$A$2:$B$23,2,FALSE)</f>
        <v>Brazil</v>
      </c>
      <c r="H843" s="1" t="s">
        <v>51</v>
      </c>
      <c r="I843" s="1">
        <v>2</v>
      </c>
      <c r="J843" s="1">
        <v>1</v>
      </c>
      <c r="K843" s="1" t="s">
        <v>246</v>
      </c>
      <c r="L843" s="1" t="s">
        <v>484</v>
      </c>
      <c r="M843" s="1" t="str">
        <f>IF(ISNUMBER(SEARCH("Group",Table2[[#This Row],[Round]])),"Group stages",Table2[[#This Row],[Round]])</f>
        <v>Round of 16</v>
      </c>
      <c r="O843" s="1">
        <f>Table2[[#This Row],[Year]]</f>
        <v>2014</v>
      </c>
      <c r="P843" s="1" t="str">
        <f>INDEX(Table2[[HomeTeam]:[Group_details]],ROWS($N$2:N843),COLUMNS($N$2:N843))</f>
        <v>Germany</v>
      </c>
      <c r="Q843" s="1">
        <f>INDEX(Table2[[HomeTeam]:[Group_details]],ROWS($N$2:O843),COLUMNS($N$2:O843))</f>
        <v>2</v>
      </c>
      <c r="R843" s="1">
        <f>INDEX(Table2[[HomeTeam]:[Group_details]],ROWS($N$2:P843),COLUMNS($N$2:P843))</f>
        <v>1</v>
      </c>
      <c r="S843" s="1" t="str">
        <f>INDEX(Table2[[HomeTeam]:[Group_details]],ROWS($N$2:Q843),COLUMNS($N$2:Q843))</f>
        <v>Algeria</v>
      </c>
      <c r="T843" s="1" t="str">
        <f>INDEX(Table2[[HomeTeam]:[Group_details]],ROWS($N$2:R843),COLUMNS($N$2:R843))</f>
        <v xml:space="preserve">Germany win after extra time </v>
      </c>
      <c r="U843" s="1" t="str">
        <f>INDEX(Table2[[HomeTeam]:[Group_details]],ROWS($N$2:S843),COLUMNS($N$2:S843))</f>
        <v>Round of 16</v>
      </c>
      <c r="V843" s="1" t="b">
        <f t="shared" si="13"/>
        <v>0</v>
      </c>
      <c r="W843" s="1" t="str">
        <f>IF(V843=TRUE,ROWS($V$2:V843),"")</f>
        <v/>
      </c>
      <c r="X843" s="1" t="str">
        <f>IFERROR(SMALL($W$2:$W$853,ROWS($W$2:W843)),"")</f>
        <v/>
      </c>
      <c r="Y843" s="1" t="str">
        <f>IF($X843&lt;&gt;"",INDEX($P$2:$U$853,MATCH($X843,$W$2:$W$853,0),COLUMNS($X$2:X843)),"")</f>
        <v/>
      </c>
      <c r="Z843" s="1" t="str">
        <f>IF($X843&lt;&gt;"",INDEX($P$2:$U$853,MATCH($X843,$W$2:$W$853,0),COLUMNS($X$2:Y843)),"")</f>
        <v/>
      </c>
      <c r="AA843" s="1" t="str">
        <f>IF($X843&lt;&gt;"",INDEX($P$2:$U$853,MATCH($X843,$W$2:$W$853,0),COLUMNS($X$2:Z843)),"")</f>
        <v/>
      </c>
      <c r="AB843" s="1" t="str">
        <f>IF($X843&lt;&gt;"",INDEX($P$2:$U$853,MATCH($X843,$W$2:$W$853,0),COLUMNS($X$2:AA843)),"")</f>
        <v/>
      </c>
      <c r="AC843" s="1" t="str">
        <f>IF($X843&lt;&gt;"",INDEX($P$2:$U$853,MATCH($X843,$W$2:$W$853,0),COLUMNS($X$2:AB843)),"")</f>
        <v/>
      </c>
      <c r="AD843" s="1" t="str">
        <f>IF($X843&lt;&gt;"",INDEX($P$2:$U$853,MATCH($X843,$W$2:$W$853,0),COLUMNS($X$2:AC843)),"")</f>
        <v/>
      </c>
    </row>
    <row r="844" spans="1:30" x14ac:dyDescent="0.2">
      <c r="A844" s="1">
        <v>2014</v>
      </c>
      <c r="B844" s="2">
        <v>41821</v>
      </c>
      <c r="C844" s="1" t="s">
        <v>507</v>
      </c>
      <c r="D844" s="1" t="s">
        <v>287</v>
      </c>
      <c r="E844" s="1" t="s">
        <v>465</v>
      </c>
      <c r="F844" s="1" t="s">
        <v>97</v>
      </c>
      <c r="G844" s="6" t="str">
        <f>VLOOKUP(A844,WorldCups!$A$2:$B$23,2,FALSE)</f>
        <v>Brazil</v>
      </c>
      <c r="H844" s="1" t="s">
        <v>25</v>
      </c>
      <c r="I844" s="1">
        <v>1</v>
      </c>
      <c r="J844" s="1">
        <v>0</v>
      </c>
      <c r="K844" s="1" t="s">
        <v>44</v>
      </c>
      <c r="L844" s="1" t="s">
        <v>229</v>
      </c>
      <c r="M844" s="1" t="str">
        <f>IF(ISNUMBER(SEARCH("Group",Table2[[#This Row],[Round]])),"Group stages",Table2[[#This Row],[Round]])</f>
        <v>Round of 16</v>
      </c>
      <c r="O844" s="1">
        <f>Table2[[#This Row],[Year]]</f>
        <v>2014</v>
      </c>
      <c r="P844" s="1" t="str">
        <f>INDEX(Table2[[HomeTeam]:[Group_details]],ROWS($N$2:N844),COLUMNS($N$2:N844))</f>
        <v>Argentina</v>
      </c>
      <c r="Q844" s="1">
        <f>INDEX(Table2[[HomeTeam]:[Group_details]],ROWS($N$2:O844),COLUMNS($N$2:O844))</f>
        <v>1</v>
      </c>
      <c r="R844" s="1">
        <f>INDEX(Table2[[HomeTeam]:[Group_details]],ROWS($N$2:P844),COLUMNS($N$2:P844))</f>
        <v>0</v>
      </c>
      <c r="S844" s="1" t="str">
        <f>INDEX(Table2[[HomeTeam]:[Group_details]],ROWS($N$2:Q844),COLUMNS($N$2:Q844))</f>
        <v>Switzerland</v>
      </c>
      <c r="T844" s="1" t="str">
        <f>INDEX(Table2[[HomeTeam]:[Group_details]],ROWS($N$2:R844),COLUMNS($N$2:R844))</f>
        <v xml:space="preserve">Argentina win after extra time </v>
      </c>
      <c r="U844" s="1" t="str">
        <f>INDEX(Table2[[HomeTeam]:[Group_details]],ROWS($N$2:S844),COLUMNS($N$2:S844))</f>
        <v>Round of 16</v>
      </c>
      <c r="V844" s="1" t="b">
        <f t="shared" si="13"/>
        <v>0</v>
      </c>
      <c r="W844" s="1" t="str">
        <f>IF(V844=TRUE,ROWS($V$2:V844),"")</f>
        <v/>
      </c>
      <c r="X844" s="1" t="str">
        <f>IFERROR(SMALL($W$2:$W$853,ROWS($W$2:W844)),"")</f>
        <v/>
      </c>
      <c r="Y844" s="1" t="str">
        <f>IF($X844&lt;&gt;"",INDEX($P$2:$U$853,MATCH($X844,$W$2:$W$853,0),COLUMNS($X$2:X844)),"")</f>
        <v/>
      </c>
      <c r="Z844" s="1" t="str">
        <f>IF($X844&lt;&gt;"",INDEX($P$2:$U$853,MATCH($X844,$W$2:$W$853,0),COLUMNS($X$2:Y844)),"")</f>
        <v/>
      </c>
      <c r="AA844" s="1" t="str">
        <f>IF($X844&lt;&gt;"",INDEX($P$2:$U$853,MATCH($X844,$W$2:$W$853,0),COLUMNS($X$2:Z844)),"")</f>
        <v/>
      </c>
      <c r="AB844" s="1" t="str">
        <f>IF($X844&lt;&gt;"",INDEX($P$2:$U$853,MATCH($X844,$W$2:$W$853,0),COLUMNS($X$2:AA844)),"")</f>
        <v/>
      </c>
      <c r="AC844" s="1" t="str">
        <f>IF($X844&lt;&gt;"",INDEX($P$2:$U$853,MATCH($X844,$W$2:$W$853,0),COLUMNS($X$2:AB844)),"")</f>
        <v/>
      </c>
      <c r="AD844" s="1" t="str">
        <f>IF($X844&lt;&gt;"",INDEX($P$2:$U$853,MATCH($X844,$W$2:$W$853,0),COLUMNS($X$2:AC844)),"")</f>
        <v/>
      </c>
    </row>
    <row r="845" spans="1:30" x14ac:dyDescent="0.2">
      <c r="A845" s="1">
        <v>2014</v>
      </c>
      <c r="B845" s="2">
        <v>41821</v>
      </c>
      <c r="C845" s="1" t="s">
        <v>512</v>
      </c>
      <c r="D845" s="1" t="s">
        <v>287</v>
      </c>
      <c r="E845" s="1" t="s">
        <v>468</v>
      </c>
      <c r="F845" s="1" t="s">
        <v>469</v>
      </c>
      <c r="G845" s="6" t="str">
        <f>VLOOKUP(A845,WorldCups!$A$2:$B$23,2,FALSE)</f>
        <v>Brazil</v>
      </c>
      <c r="H845" s="1" t="s">
        <v>18</v>
      </c>
      <c r="I845" s="1">
        <v>2</v>
      </c>
      <c r="J845" s="1">
        <v>1</v>
      </c>
      <c r="K845" s="1" t="s">
        <v>17</v>
      </c>
      <c r="L845" s="1" t="s">
        <v>288</v>
      </c>
      <c r="M845" s="1" t="str">
        <f>IF(ISNUMBER(SEARCH("Group",Table2[[#This Row],[Round]])),"Group stages",Table2[[#This Row],[Round]])</f>
        <v>Round of 16</v>
      </c>
      <c r="O845" s="1">
        <f>Table2[[#This Row],[Year]]</f>
        <v>2014</v>
      </c>
      <c r="P845" s="1" t="str">
        <f>INDEX(Table2[[HomeTeam]:[Group_details]],ROWS($N$2:N845),COLUMNS($N$2:N845))</f>
        <v>Belgium</v>
      </c>
      <c r="Q845" s="1">
        <f>INDEX(Table2[[HomeTeam]:[Group_details]],ROWS($N$2:O845),COLUMNS($N$2:O845))</f>
        <v>2</v>
      </c>
      <c r="R845" s="1">
        <f>INDEX(Table2[[HomeTeam]:[Group_details]],ROWS($N$2:P845),COLUMNS($N$2:P845))</f>
        <v>1</v>
      </c>
      <c r="S845" s="1" t="str">
        <f>INDEX(Table2[[HomeTeam]:[Group_details]],ROWS($N$2:Q845),COLUMNS($N$2:Q845))</f>
        <v>USA</v>
      </c>
      <c r="T845" s="1" t="str">
        <f>INDEX(Table2[[HomeTeam]:[Group_details]],ROWS($N$2:R845),COLUMNS($N$2:R845))</f>
        <v xml:space="preserve">Belgium win after extra time </v>
      </c>
      <c r="U845" s="1" t="str">
        <f>INDEX(Table2[[HomeTeam]:[Group_details]],ROWS($N$2:S845),COLUMNS($N$2:S845))</f>
        <v>Round of 16</v>
      </c>
      <c r="V845" s="1" t="b">
        <f t="shared" si="13"/>
        <v>0</v>
      </c>
      <c r="W845" s="1" t="str">
        <f>IF(V845=TRUE,ROWS($V$2:V845),"")</f>
        <v/>
      </c>
      <c r="X845" s="1" t="str">
        <f>IFERROR(SMALL($W$2:$W$853,ROWS($W$2:W845)),"")</f>
        <v/>
      </c>
      <c r="Y845" s="1" t="str">
        <f>IF($X845&lt;&gt;"",INDEX($P$2:$U$853,MATCH($X845,$W$2:$W$853,0),COLUMNS($X$2:X845)),"")</f>
        <v/>
      </c>
      <c r="Z845" s="1" t="str">
        <f>IF($X845&lt;&gt;"",INDEX($P$2:$U$853,MATCH($X845,$W$2:$W$853,0),COLUMNS($X$2:Y845)),"")</f>
        <v/>
      </c>
      <c r="AA845" s="1" t="str">
        <f>IF($X845&lt;&gt;"",INDEX($P$2:$U$853,MATCH($X845,$W$2:$W$853,0),COLUMNS($X$2:Z845)),"")</f>
        <v/>
      </c>
      <c r="AB845" s="1" t="str">
        <f>IF($X845&lt;&gt;"",INDEX($P$2:$U$853,MATCH($X845,$W$2:$W$853,0),COLUMNS($X$2:AA845)),"")</f>
        <v/>
      </c>
      <c r="AC845" s="1" t="str">
        <f>IF($X845&lt;&gt;"",INDEX($P$2:$U$853,MATCH($X845,$W$2:$W$853,0),COLUMNS($X$2:AB845)),"")</f>
        <v/>
      </c>
      <c r="AD845" s="1" t="str">
        <f>IF($X845&lt;&gt;"",INDEX($P$2:$U$853,MATCH($X845,$W$2:$W$853,0),COLUMNS($X$2:AC845)),"")</f>
        <v/>
      </c>
    </row>
    <row r="846" spans="1:30" x14ac:dyDescent="0.2">
      <c r="A846" s="1">
        <v>2014</v>
      </c>
      <c r="B846" s="2">
        <v>41824</v>
      </c>
      <c r="C846" s="1" t="s">
        <v>507</v>
      </c>
      <c r="D846" s="1" t="s">
        <v>61</v>
      </c>
      <c r="E846" s="1" t="s">
        <v>481</v>
      </c>
      <c r="F846" s="1" t="s">
        <v>92</v>
      </c>
      <c r="G846" s="6" t="str">
        <f>VLOOKUP(A846,WorldCups!$A$2:$B$23,2,FALSE)</f>
        <v>Brazil</v>
      </c>
      <c r="H846" s="1" t="s">
        <v>12</v>
      </c>
      <c r="I846" s="1">
        <v>0</v>
      </c>
      <c r="J846" s="1">
        <v>1</v>
      </c>
      <c r="K846" s="1" t="s">
        <v>51</v>
      </c>
      <c r="L846" s="1" t="s">
        <v>14</v>
      </c>
      <c r="M846" s="1" t="str">
        <f>IF(ISNUMBER(SEARCH("Group",Table2[[#This Row],[Round]])),"Group stages",Table2[[#This Row],[Round]])</f>
        <v>Quarter-finals</v>
      </c>
      <c r="O846" s="1">
        <f>Table2[[#This Row],[Year]]</f>
        <v>2014</v>
      </c>
      <c r="P846" s="1" t="str">
        <f>INDEX(Table2[[HomeTeam]:[Group_details]],ROWS($N$2:N846),COLUMNS($N$2:N846))</f>
        <v>France</v>
      </c>
      <c r="Q846" s="1">
        <f>INDEX(Table2[[HomeTeam]:[Group_details]],ROWS($N$2:O846),COLUMNS($N$2:O846))</f>
        <v>0</v>
      </c>
      <c r="R846" s="1">
        <f>INDEX(Table2[[HomeTeam]:[Group_details]],ROWS($N$2:P846),COLUMNS($N$2:P846))</f>
        <v>1</v>
      </c>
      <c r="S846" s="1" t="str">
        <f>INDEX(Table2[[HomeTeam]:[Group_details]],ROWS($N$2:Q846),COLUMNS($N$2:Q846))</f>
        <v>Germany</v>
      </c>
      <c r="T846" s="1" t="str">
        <f>INDEX(Table2[[HomeTeam]:[Group_details]],ROWS($N$2:R846),COLUMNS($N$2:R846))</f>
        <v xml:space="preserve"> </v>
      </c>
      <c r="U846" s="1" t="str">
        <f>INDEX(Table2[[HomeTeam]:[Group_details]],ROWS($N$2:S846),COLUMNS($N$2:S846))</f>
        <v>Quarter-finals</v>
      </c>
      <c r="V846" s="1" t="b">
        <f t="shared" si="13"/>
        <v>0</v>
      </c>
      <c r="W846" s="1" t="str">
        <f>IF(V846=TRUE,ROWS($V$2:V846),"")</f>
        <v/>
      </c>
      <c r="X846" s="1" t="str">
        <f>IFERROR(SMALL($W$2:$W$853,ROWS($W$2:W846)),"")</f>
        <v/>
      </c>
      <c r="Y846" s="1" t="str">
        <f>IF($X846&lt;&gt;"",INDEX($P$2:$U$853,MATCH($X846,$W$2:$W$853,0),COLUMNS($X$2:X846)),"")</f>
        <v/>
      </c>
      <c r="Z846" s="1" t="str">
        <f>IF($X846&lt;&gt;"",INDEX($P$2:$U$853,MATCH($X846,$W$2:$W$853,0),COLUMNS($X$2:Y846)),"")</f>
        <v/>
      </c>
      <c r="AA846" s="1" t="str">
        <f>IF($X846&lt;&gt;"",INDEX($P$2:$U$853,MATCH($X846,$W$2:$W$853,0),COLUMNS($X$2:Z846)),"")</f>
        <v/>
      </c>
      <c r="AB846" s="1" t="str">
        <f>IF($X846&lt;&gt;"",INDEX($P$2:$U$853,MATCH($X846,$W$2:$W$853,0),COLUMNS($X$2:AA846)),"")</f>
        <v/>
      </c>
      <c r="AC846" s="1" t="str">
        <f>IF($X846&lt;&gt;"",INDEX($P$2:$U$853,MATCH($X846,$W$2:$W$853,0),COLUMNS($X$2:AB846)),"")</f>
        <v/>
      </c>
      <c r="AD846" s="1" t="str">
        <f>IF($X846&lt;&gt;"",INDEX($P$2:$U$853,MATCH($X846,$W$2:$W$853,0),COLUMNS($X$2:AC846)),"")</f>
        <v/>
      </c>
    </row>
    <row r="847" spans="1:30" x14ac:dyDescent="0.2">
      <c r="A847" s="1">
        <v>2014</v>
      </c>
      <c r="B847" s="2">
        <v>41824</v>
      </c>
      <c r="C847" s="1" t="s">
        <v>512</v>
      </c>
      <c r="D847" s="1" t="s">
        <v>61</v>
      </c>
      <c r="E847" s="1" t="s">
        <v>473</v>
      </c>
      <c r="F847" s="1" t="s">
        <v>474</v>
      </c>
      <c r="G847" s="6" t="str">
        <f>VLOOKUP(A847,WorldCups!$A$2:$B$23,2,FALSE)</f>
        <v>Brazil</v>
      </c>
      <c r="H847" s="1" t="s">
        <v>21</v>
      </c>
      <c r="I847" s="1">
        <v>2</v>
      </c>
      <c r="J847" s="1">
        <v>1</v>
      </c>
      <c r="K847" s="1" t="s">
        <v>151</v>
      </c>
      <c r="L847" s="1" t="s">
        <v>14</v>
      </c>
      <c r="M847" s="1" t="str">
        <f>IF(ISNUMBER(SEARCH("Group",Table2[[#This Row],[Round]])),"Group stages",Table2[[#This Row],[Round]])</f>
        <v>Quarter-finals</v>
      </c>
      <c r="O847" s="1">
        <f>Table2[[#This Row],[Year]]</f>
        <v>2014</v>
      </c>
      <c r="P847" s="1" t="str">
        <f>INDEX(Table2[[HomeTeam]:[Group_details]],ROWS($N$2:N847),COLUMNS($N$2:N847))</f>
        <v>Brazil</v>
      </c>
      <c r="Q847" s="1">
        <f>INDEX(Table2[[HomeTeam]:[Group_details]],ROWS($N$2:O847),COLUMNS($N$2:O847))</f>
        <v>2</v>
      </c>
      <c r="R847" s="1">
        <f>INDEX(Table2[[HomeTeam]:[Group_details]],ROWS($N$2:P847),COLUMNS($N$2:P847))</f>
        <v>1</v>
      </c>
      <c r="S847" s="1" t="str">
        <f>INDEX(Table2[[HomeTeam]:[Group_details]],ROWS($N$2:Q847),COLUMNS($N$2:Q847))</f>
        <v>Colombia</v>
      </c>
      <c r="T847" s="1" t="str">
        <f>INDEX(Table2[[HomeTeam]:[Group_details]],ROWS($N$2:R847),COLUMNS($N$2:R847))</f>
        <v xml:space="preserve"> </v>
      </c>
      <c r="U847" s="1" t="str">
        <f>INDEX(Table2[[HomeTeam]:[Group_details]],ROWS($N$2:S847),COLUMNS($N$2:S847))</f>
        <v>Quarter-finals</v>
      </c>
      <c r="V847" s="1" t="b">
        <f t="shared" si="13"/>
        <v>0</v>
      </c>
      <c r="W847" s="1" t="str">
        <f>IF(V847=TRUE,ROWS($V$2:V847),"")</f>
        <v/>
      </c>
      <c r="X847" s="1" t="str">
        <f>IFERROR(SMALL($W$2:$W$853,ROWS($W$2:W847)),"")</f>
        <v/>
      </c>
      <c r="Y847" s="1" t="str">
        <f>IF($X847&lt;&gt;"",INDEX($P$2:$U$853,MATCH($X847,$W$2:$W$853,0),COLUMNS($X$2:X847)),"")</f>
        <v/>
      </c>
      <c r="Z847" s="1" t="str">
        <f>IF($X847&lt;&gt;"",INDEX($P$2:$U$853,MATCH($X847,$W$2:$W$853,0),COLUMNS($X$2:Y847)),"")</f>
        <v/>
      </c>
      <c r="AA847" s="1" t="str">
        <f>IF($X847&lt;&gt;"",INDEX($P$2:$U$853,MATCH($X847,$W$2:$W$853,0),COLUMNS($X$2:Z847)),"")</f>
        <v/>
      </c>
      <c r="AB847" s="1" t="str">
        <f>IF($X847&lt;&gt;"",INDEX($P$2:$U$853,MATCH($X847,$W$2:$W$853,0),COLUMNS($X$2:AA847)),"")</f>
        <v/>
      </c>
      <c r="AC847" s="1" t="str">
        <f>IF($X847&lt;&gt;"",INDEX($P$2:$U$853,MATCH($X847,$W$2:$W$853,0),COLUMNS($X$2:AB847)),"")</f>
        <v/>
      </c>
      <c r="AD847" s="1" t="str">
        <f>IF($X847&lt;&gt;"",INDEX($P$2:$U$853,MATCH($X847,$W$2:$W$853,0),COLUMNS($X$2:AC847)),"")</f>
        <v/>
      </c>
    </row>
    <row r="848" spans="1:30" x14ac:dyDescent="0.2">
      <c r="A848" s="1">
        <v>2014</v>
      </c>
      <c r="B848" s="2">
        <v>41825</v>
      </c>
      <c r="C848" s="1" t="s">
        <v>507</v>
      </c>
      <c r="D848" s="1" t="s">
        <v>61</v>
      </c>
      <c r="E848" s="1" t="s">
        <v>478</v>
      </c>
      <c r="F848" s="1" t="s">
        <v>479</v>
      </c>
      <c r="G848" s="6" t="str">
        <f>VLOOKUP(A848,WorldCups!$A$2:$B$23,2,FALSE)</f>
        <v>Brazil</v>
      </c>
      <c r="H848" s="1" t="s">
        <v>25</v>
      </c>
      <c r="I848" s="1">
        <v>1</v>
      </c>
      <c r="J848" s="1">
        <v>0</v>
      </c>
      <c r="K848" s="1" t="s">
        <v>18</v>
      </c>
      <c r="L848" s="1" t="s">
        <v>14</v>
      </c>
      <c r="M848" s="1" t="str">
        <f>IF(ISNUMBER(SEARCH("Group",Table2[[#This Row],[Round]])),"Group stages",Table2[[#This Row],[Round]])</f>
        <v>Quarter-finals</v>
      </c>
      <c r="O848" s="1">
        <f>Table2[[#This Row],[Year]]</f>
        <v>2014</v>
      </c>
      <c r="P848" s="1" t="str">
        <f>INDEX(Table2[[HomeTeam]:[Group_details]],ROWS($N$2:N848),COLUMNS($N$2:N848))</f>
        <v>Argentina</v>
      </c>
      <c r="Q848" s="1">
        <f>INDEX(Table2[[HomeTeam]:[Group_details]],ROWS($N$2:O848),COLUMNS($N$2:O848))</f>
        <v>1</v>
      </c>
      <c r="R848" s="1">
        <f>INDEX(Table2[[HomeTeam]:[Group_details]],ROWS($N$2:P848),COLUMNS($N$2:P848))</f>
        <v>0</v>
      </c>
      <c r="S848" s="1" t="str">
        <f>INDEX(Table2[[HomeTeam]:[Group_details]],ROWS($N$2:Q848),COLUMNS($N$2:Q848))</f>
        <v>Belgium</v>
      </c>
      <c r="T848" s="1" t="str">
        <f>INDEX(Table2[[HomeTeam]:[Group_details]],ROWS($N$2:R848),COLUMNS($N$2:R848))</f>
        <v xml:space="preserve"> </v>
      </c>
      <c r="U848" s="1" t="str">
        <f>INDEX(Table2[[HomeTeam]:[Group_details]],ROWS($N$2:S848),COLUMNS($N$2:S848))</f>
        <v>Quarter-finals</v>
      </c>
      <c r="V848" s="1" t="b">
        <f t="shared" si="13"/>
        <v>0</v>
      </c>
      <c r="W848" s="1" t="str">
        <f>IF(V848=TRUE,ROWS($V$2:V848),"")</f>
        <v/>
      </c>
      <c r="X848" s="1" t="str">
        <f>IFERROR(SMALL($W$2:$W$853,ROWS($W$2:W848)),"")</f>
        <v/>
      </c>
      <c r="Y848" s="1" t="str">
        <f>IF($X848&lt;&gt;"",INDEX($P$2:$U$853,MATCH($X848,$W$2:$W$853,0),COLUMNS($X$2:X848)),"")</f>
        <v/>
      </c>
      <c r="Z848" s="1" t="str">
        <f>IF($X848&lt;&gt;"",INDEX($P$2:$U$853,MATCH($X848,$W$2:$W$853,0),COLUMNS($X$2:Y848)),"")</f>
        <v/>
      </c>
      <c r="AA848" s="1" t="str">
        <f>IF($X848&lt;&gt;"",INDEX($P$2:$U$853,MATCH($X848,$W$2:$W$853,0),COLUMNS($X$2:Z848)),"")</f>
        <v/>
      </c>
      <c r="AB848" s="1" t="str">
        <f>IF($X848&lt;&gt;"",INDEX($P$2:$U$853,MATCH($X848,$W$2:$W$853,0),COLUMNS($X$2:AA848)),"")</f>
        <v/>
      </c>
      <c r="AC848" s="1" t="str">
        <f>IF($X848&lt;&gt;"",INDEX($P$2:$U$853,MATCH($X848,$W$2:$W$853,0),COLUMNS($X$2:AB848)),"")</f>
        <v/>
      </c>
      <c r="AD848" s="1" t="str">
        <f>IF($X848&lt;&gt;"",INDEX($P$2:$U$853,MATCH($X848,$W$2:$W$853,0),COLUMNS($X$2:AC848)),"")</f>
        <v/>
      </c>
    </row>
    <row r="849" spans="1:30" x14ac:dyDescent="0.2">
      <c r="A849" s="1">
        <v>2014</v>
      </c>
      <c r="B849" s="2">
        <v>41825</v>
      </c>
      <c r="C849" s="1" t="s">
        <v>512</v>
      </c>
      <c r="D849" s="1" t="s">
        <v>61</v>
      </c>
      <c r="E849" s="1" t="s">
        <v>468</v>
      </c>
      <c r="F849" s="1" t="s">
        <v>469</v>
      </c>
      <c r="G849" s="6" t="str">
        <f>VLOOKUP(A849,WorldCups!$A$2:$B$23,2,FALSE)</f>
        <v>Brazil</v>
      </c>
      <c r="H849" s="1" t="s">
        <v>45</v>
      </c>
      <c r="I849" s="1">
        <v>0</v>
      </c>
      <c r="J849" s="1">
        <v>0</v>
      </c>
      <c r="K849" s="1" t="s">
        <v>301</v>
      </c>
      <c r="L849" s="1" t="s">
        <v>487</v>
      </c>
      <c r="M849" s="1" t="str">
        <f>IF(ISNUMBER(SEARCH("Group",Table2[[#This Row],[Round]])),"Group stages",Table2[[#This Row],[Round]])</f>
        <v>Quarter-finals</v>
      </c>
      <c r="O849" s="1">
        <f>Table2[[#This Row],[Year]]</f>
        <v>2014</v>
      </c>
      <c r="P849" s="1" t="str">
        <f>INDEX(Table2[[HomeTeam]:[Group_details]],ROWS($N$2:N849),COLUMNS($N$2:N849))</f>
        <v>Netherlands</v>
      </c>
      <c r="Q849" s="1">
        <f>INDEX(Table2[[HomeTeam]:[Group_details]],ROWS($N$2:O849),COLUMNS($N$2:O849))</f>
        <v>0</v>
      </c>
      <c r="R849" s="1">
        <f>INDEX(Table2[[HomeTeam]:[Group_details]],ROWS($N$2:P849),COLUMNS($N$2:P849))</f>
        <v>0</v>
      </c>
      <c r="S849" s="1" t="str">
        <f>INDEX(Table2[[HomeTeam]:[Group_details]],ROWS($N$2:Q849),COLUMNS($N$2:Q849))</f>
        <v>Costa Rica</v>
      </c>
      <c r="T849" s="1" t="str">
        <f>INDEX(Table2[[HomeTeam]:[Group_details]],ROWS($N$2:R849),COLUMNS($N$2:R849))</f>
        <v xml:space="preserve">Netherlands win on penalties (4 - 3) </v>
      </c>
      <c r="U849" s="1" t="str">
        <f>INDEX(Table2[[HomeTeam]:[Group_details]],ROWS($N$2:S849),COLUMNS($N$2:S849))</f>
        <v>Quarter-finals</v>
      </c>
      <c r="V849" s="1" t="b">
        <f t="shared" si="13"/>
        <v>0</v>
      </c>
      <c r="W849" s="1" t="str">
        <f>IF(V849=TRUE,ROWS($V$2:V849),"")</f>
        <v/>
      </c>
      <c r="X849" s="1" t="str">
        <f>IFERROR(SMALL($W$2:$W$853,ROWS($W$2:W849)),"")</f>
        <v/>
      </c>
      <c r="Y849" s="1" t="str">
        <f>IF($X849&lt;&gt;"",INDEX($P$2:$U$853,MATCH($X849,$W$2:$W$853,0),COLUMNS($X$2:X849)),"")</f>
        <v/>
      </c>
      <c r="Z849" s="1" t="str">
        <f>IF($X849&lt;&gt;"",INDEX($P$2:$U$853,MATCH($X849,$W$2:$W$853,0),COLUMNS($X$2:Y849)),"")</f>
        <v/>
      </c>
      <c r="AA849" s="1" t="str">
        <f>IF($X849&lt;&gt;"",INDEX($P$2:$U$853,MATCH($X849,$W$2:$W$853,0),COLUMNS($X$2:Z849)),"")</f>
        <v/>
      </c>
      <c r="AB849" s="1" t="str">
        <f>IF($X849&lt;&gt;"",INDEX($P$2:$U$853,MATCH($X849,$W$2:$W$853,0),COLUMNS($X$2:AA849)),"")</f>
        <v/>
      </c>
      <c r="AC849" s="1" t="str">
        <f>IF($X849&lt;&gt;"",INDEX($P$2:$U$853,MATCH($X849,$W$2:$W$853,0),COLUMNS($X$2:AB849)),"")</f>
        <v/>
      </c>
      <c r="AD849" s="1" t="str">
        <f>IF($X849&lt;&gt;"",INDEX($P$2:$U$853,MATCH($X849,$W$2:$W$853,0),COLUMNS($X$2:AC849)),"")</f>
        <v/>
      </c>
    </row>
    <row r="850" spans="1:30" x14ac:dyDescent="0.2">
      <c r="A850" s="1">
        <v>2014</v>
      </c>
      <c r="B850" s="2">
        <v>41828</v>
      </c>
      <c r="C850" s="1" t="s">
        <v>512</v>
      </c>
      <c r="D850" s="1" t="s">
        <v>31</v>
      </c>
      <c r="E850" s="1" t="s">
        <v>472</v>
      </c>
      <c r="F850" s="1" t="s">
        <v>99</v>
      </c>
      <c r="G850" s="6" t="str">
        <f>VLOOKUP(A850,WorldCups!$A$2:$B$23,2,FALSE)</f>
        <v>Brazil</v>
      </c>
      <c r="H850" s="1" t="s">
        <v>21</v>
      </c>
      <c r="I850" s="1">
        <v>1</v>
      </c>
      <c r="J850" s="1">
        <v>7</v>
      </c>
      <c r="K850" s="1" t="s">
        <v>51</v>
      </c>
      <c r="L850" s="1" t="s">
        <v>14</v>
      </c>
      <c r="M850" s="1" t="str">
        <f>IF(ISNUMBER(SEARCH("Group",Table2[[#This Row],[Round]])),"Group stages",Table2[[#This Row],[Round]])</f>
        <v>Semi-finals</v>
      </c>
      <c r="O850" s="1">
        <f>Table2[[#This Row],[Year]]</f>
        <v>2014</v>
      </c>
      <c r="P850" s="1" t="str">
        <f>INDEX(Table2[[HomeTeam]:[Group_details]],ROWS($N$2:N850),COLUMNS($N$2:N850))</f>
        <v>Brazil</v>
      </c>
      <c r="Q850" s="1">
        <f>INDEX(Table2[[HomeTeam]:[Group_details]],ROWS($N$2:O850),COLUMNS($N$2:O850))</f>
        <v>1</v>
      </c>
      <c r="R850" s="1">
        <f>INDEX(Table2[[HomeTeam]:[Group_details]],ROWS($N$2:P850),COLUMNS($N$2:P850))</f>
        <v>7</v>
      </c>
      <c r="S850" s="1" t="str">
        <f>INDEX(Table2[[HomeTeam]:[Group_details]],ROWS($N$2:Q850),COLUMNS($N$2:Q850))</f>
        <v>Germany</v>
      </c>
      <c r="T850" s="1" t="str">
        <f>INDEX(Table2[[HomeTeam]:[Group_details]],ROWS($N$2:R850),COLUMNS($N$2:R850))</f>
        <v xml:space="preserve"> </v>
      </c>
      <c r="U850" s="1" t="str">
        <f>INDEX(Table2[[HomeTeam]:[Group_details]],ROWS($N$2:S850),COLUMNS($N$2:S850))</f>
        <v>Semi-finals</v>
      </c>
      <c r="V850" s="1" t="b">
        <f t="shared" si="13"/>
        <v>0</v>
      </c>
      <c r="W850" s="1" t="str">
        <f>IF(V850=TRUE,ROWS($V$2:V850),"")</f>
        <v/>
      </c>
      <c r="X850" s="1" t="str">
        <f>IFERROR(SMALL($W$2:$W$853,ROWS($W$2:W850)),"")</f>
        <v/>
      </c>
      <c r="Y850" s="1" t="str">
        <f>IF($X850&lt;&gt;"",INDEX($P$2:$U$853,MATCH($X850,$W$2:$W$853,0),COLUMNS($X$2:X850)),"")</f>
        <v/>
      </c>
      <c r="Z850" s="1" t="str">
        <f>IF($X850&lt;&gt;"",INDEX($P$2:$U$853,MATCH($X850,$W$2:$W$853,0),COLUMNS($X$2:Y850)),"")</f>
        <v/>
      </c>
      <c r="AA850" s="1" t="str">
        <f>IF($X850&lt;&gt;"",INDEX($P$2:$U$853,MATCH($X850,$W$2:$W$853,0),COLUMNS($X$2:Z850)),"")</f>
        <v/>
      </c>
      <c r="AB850" s="1" t="str">
        <f>IF($X850&lt;&gt;"",INDEX($P$2:$U$853,MATCH($X850,$W$2:$W$853,0),COLUMNS($X$2:AA850)),"")</f>
        <v/>
      </c>
      <c r="AC850" s="1" t="str">
        <f>IF($X850&lt;&gt;"",INDEX($P$2:$U$853,MATCH($X850,$W$2:$W$853,0),COLUMNS($X$2:AB850)),"")</f>
        <v/>
      </c>
      <c r="AD850" s="1" t="str">
        <f>IF($X850&lt;&gt;"",INDEX($P$2:$U$853,MATCH($X850,$W$2:$W$853,0),COLUMNS($X$2:AC850)),"")</f>
        <v/>
      </c>
    </row>
    <row r="851" spans="1:30" x14ac:dyDescent="0.2">
      <c r="A851" s="1">
        <v>2014</v>
      </c>
      <c r="B851" s="2">
        <v>41829</v>
      </c>
      <c r="C851" s="1" t="s">
        <v>512</v>
      </c>
      <c r="D851" s="1" t="s">
        <v>31</v>
      </c>
      <c r="E851" s="1" t="s">
        <v>465</v>
      </c>
      <c r="F851" s="1" t="s">
        <v>97</v>
      </c>
      <c r="G851" s="6" t="str">
        <f>VLOOKUP(A851,WorldCups!$A$2:$B$23,2,FALSE)</f>
        <v>Brazil</v>
      </c>
      <c r="H851" s="1" t="s">
        <v>45</v>
      </c>
      <c r="I851" s="1">
        <v>0</v>
      </c>
      <c r="J851" s="1">
        <v>0</v>
      </c>
      <c r="K851" s="1" t="s">
        <v>25</v>
      </c>
      <c r="L851" s="1" t="s">
        <v>486</v>
      </c>
      <c r="M851" s="1" t="str">
        <f>IF(ISNUMBER(SEARCH("Group",Table2[[#This Row],[Round]])),"Group stages",Table2[[#This Row],[Round]])</f>
        <v>Semi-finals</v>
      </c>
      <c r="O851" s="1">
        <f>Table2[[#This Row],[Year]]</f>
        <v>2014</v>
      </c>
      <c r="P851" s="1" t="str">
        <f>INDEX(Table2[[HomeTeam]:[Group_details]],ROWS($N$2:N851),COLUMNS($N$2:N851))</f>
        <v>Netherlands</v>
      </c>
      <c r="Q851" s="1">
        <f>INDEX(Table2[[HomeTeam]:[Group_details]],ROWS($N$2:O851),COLUMNS($N$2:O851))</f>
        <v>0</v>
      </c>
      <c r="R851" s="1">
        <f>INDEX(Table2[[HomeTeam]:[Group_details]],ROWS($N$2:P851),COLUMNS($N$2:P851))</f>
        <v>0</v>
      </c>
      <c r="S851" s="1" t="str">
        <f>INDEX(Table2[[HomeTeam]:[Group_details]],ROWS($N$2:Q851),COLUMNS($N$2:Q851))</f>
        <v>Argentina</v>
      </c>
      <c r="T851" s="1" t="str">
        <f>INDEX(Table2[[HomeTeam]:[Group_details]],ROWS($N$2:R851),COLUMNS($N$2:R851))</f>
        <v xml:space="preserve">Argentina win on penalties (2 - 4) </v>
      </c>
      <c r="U851" s="1" t="str">
        <f>INDEX(Table2[[HomeTeam]:[Group_details]],ROWS($N$2:S851),COLUMNS($N$2:S851))</f>
        <v>Semi-finals</v>
      </c>
      <c r="V851" s="1" t="b">
        <f t="shared" si="13"/>
        <v>0</v>
      </c>
      <c r="W851" s="1" t="str">
        <f>IF(V851=TRUE,ROWS($V$2:V851),"")</f>
        <v/>
      </c>
      <c r="X851" s="1" t="str">
        <f>IFERROR(SMALL($W$2:$W$853,ROWS($W$2:W851)),"")</f>
        <v/>
      </c>
      <c r="Y851" s="1" t="str">
        <f>IF($X851&lt;&gt;"",INDEX($P$2:$U$853,MATCH($X851,$W$2:$W$853,0),COLUMNS($X$2:X851)),"")</f>
        <v/>
      </c>
      <c r="Z851" s="1" t="str">
        <f>IF($X851&lt;&gt;"",INDEX($P$2:$U$853,MATCH($X851,$W$2:$W$853,0),COLUMNS($X$2:Y851)),"")</f>
        <v/>
      </c>
      <c r="AA851" s="1" t="str">
        <f>IF($X851&lt;&gt;"",INDEX($P$2:$U$853,MATCH($X851,$W$2:$W$853,0),COLUMNS($X$2:Z851)),"")</f>
        <v/>
      </c>
      <c r="AB851" s="1" t="str">
        <f>IF($X851&lt;&gt;"",INDEX($P$2:$U$853,MATCH($X851,$W$2:$W$853,0),COLUMNS($X$2:AA851)),"")</f>
        <v/>
      </c>
      <c r="AC851" s="1" t="str">
        <f>IF($X851&lt;&gt;"",INDEX($P$2:$U$853,MATCH($X851,$W$2:$W$853,0),COLUMNS($X$2:AB851)),"")</f>
        <v/>
      </c>
      <c r="AD851" s="1" t="str">
        <f>IF($X851&lt;&gt;"",INDEX($P$2:$U$853,MATCH($X851,$W$2:$W$853,0),COLUMNS($X$2:AC851)),"")</f>
        <v/>
      </c>
    </row>
    <row r="852" spans="1:30" x14ac:dyDescent="0.2">
      <c r="A852" s="1">
        <v>2014</v>
      </c>
      <c r="B852" s="2">
        <v>41832</v>
      </c>
      <c r="C852" s="1" t="s">
        <v>512</v>
      </c>
      <c r="D852" s="1" t="s">
        <v>485</v>
      </c>
      <c r="E852" s="1" t="s">
        <v>478</v>
      </c>
      <c r="F852" s="1" t="s">
        <v>479</v>
      </c>
      <c r="G852" s="6" t="str">
        <f>VLOOKUP(A852,WorldCups!$A$2:$B$23,2,FALSE)</f>
        <v>Brazil</v>
      </c>
      <c r="H852" s="1" t="s">
        <v>21</v>
      </c>
      <c r="I852" s="1">
        <v>0</v>
      </c>
      <c r="J852" s="1">
        <v>3</v>
      </c>
      <c r="K852" s="1" t="s">
        <v>45</v>
      </c>
      <c r="L852" s="1" t="s">
        <v>14</v>
      </c>
      <c r="M852" s="1" t="str">
        <f>IF(ISNUMBER(SEARCH("Group",Table2[[#This Row],[Round]])),"Group stages",Table2[[#This Row],[Round]])</f>
        <v>Play-off for third place</v>
      </c>
      <c r="O852" s="1">
        <f>Table2[[#This Row],[Year]]</f>
        <v>2014</v>
      </c>
      <c r="P852" s="1" t="str">
        <f>INDEX(Table2[[HomeTeam]:[Group_details]],ROWS($N$2:N852),COLUMNS($N$2:N852))</f>
        <v>Brazil</v>
      </c>
      <c r="Q852" s="1">
        <f>INDEX(Table2[[HomeTeam]:[Group_details]],ROWS($N$2:O852),COLUMNS($N$2:O852))</f>
        <v>0</v>
      </c>
      <c r="R852" s="1">
        <f>INDEX(Table2[[HomeTeam]:[Group_details]],ROWS($N$2:P852),COLUMNS($N$2:P852))</f>
        <v>3</v>
      </c>
      <c r="S852" s="1" t="str">
        <f>INDEX(Table2[[HomeTeam]:[Group_details]],ROWS($N$2:Q852),COLUMNS($N$2:Q852))</f>
        <v>Netherlands</v>
      </c>
      <c r="T852" s="1" t="str">
        <f>INDEX(Table2[[HomeTeam]:[Group_details]],ROWS($N$2:R852),COLUMNS($N$2:R852))</f>
        <v xml:space="preserve"> </v>
      </c>
      <c r="U852" s="1" t="str">
        <f>INDEX(Table2[[HomeTeam]:[Group_details]],ROWS($N$2:S852),COLUMNS($N$2:S852))</f>
        <v>Play-off for third place</v>
      </c>
      <c r="V852" s="1" t="b">
        <f t="shared" si="13"/>
        <v>0</v>
      </c>
      <c r="W852" s="1" t="str">
        <f>IF(V852=TRUE,ROWS($V$2:V852),"")</f>
        <v/>
      </c>
      <c r="X852" s="1" t="str">
        <f>IFERROR(SMALL($W$2:$W$853,ROWS($W$2:W852)),"")</f>
        <v/>
      </c>
      <c r="Y852" s="1" t="str">
        <f>IF($X852&lt;&gt;"",INDEX($P$2:$U$853,MATCH($X852,$W$2:$W$853,0),COLUMNS($X$2:X852)),"")</f>
        <v/>
      </c>
      <c r="Z852" s="1" t="str">
        <f>IF($X852&lt;&gt;"",INDEX($P$2:$U$853,MATCH($X852,$W$2:$W$853,0),COLUMNS($X$2:Y852)),"")</f>
        <v/>
      </c>
      <c r="AA852" s="1" t="str">
        <f>IF($X852&lt;&gt;"",INDEX($P$2:$U$853,MATCH($X852,$W$2:$W$853,0),COLUMNS($X$2:Z852)),"")</f>
        <v/>
      </c>
      <c r="AB852" s="1" t="str">
        <f>IF($X852&lt;&gt;"",INDEX($P$2:$U$853,MATCH($X852,$W$2:$W$853,0),COLUMNS($X$2:AA852)),"")</f>
        <v/>
      </c>
      <c r="AC852" s="1" t="str">
        <f>IF($X852&lt;&gt;"",INDEX($P$2:$U$853,MATCH($X852,$W$2:$W$853,0),COLUMNS($X$2:AB852)),"")</f>
        <v/>
      </c>
      <c r="AD852" s="1" t="str">
        <f>IF($X852&lt;&gt;"",INDEX($P$2:$U$853,MATCH($X852,$W$2:$W$853,0),COLUMNS($X$2:AC852)),"")</f>
        <v/>
      </c>
    </row>
    <row r="853" spans="1:30" x14ac:dyDescent="0.2">
      <c r="A853" s="1">
        <v>2014</v>
      </c>
      <c r="B853" s="2">
        <v>41833</v>
      </c>
      <c r="C853" s="1" t="s">
        <v>503</v>
      </c>
      <c r="D853" s="1" t="s">
        <v>32</v>
      </c>
      <c r="E853" s="1" t="s">
        <v>481</v>
      </c>
      <c r="F853" s="1" t="s">
        <v>92</v>
      </c>
      <c r="G853" s="6" t="str">
        <f>VLOOKUP(A853,WorldCups!$A$2:$B$23,2,FALSE)</f>
        <v>Brazil</v>
      </c>
      <c r="H853" s="1" t="s">
        <v>51</v>
      </c>
      <c r="I853" s="1">
        <v>1</v>
      </c>
      <c r="J853" s="1">
        <v>0</v>
      </c>
      <c r="K853" s="1" t="s">
        <v>25</v>
      </c>
      <c r="L853" s="1" t="s">
        <v>484</v>
      </c>
      <c r="M853" s="1" t="str">
        <f>IF(ISNUMBER(SEARCH("Group",Table2[[#This Row],[Round]])),"Group stages",Table2[[#This Row],[Round]])</f>
        <v>Final</v>
      </c>
      <c r="O853" s="1">
        <f>Table2[[#This Row],[Year]]</f>
        <v>2014</v>
      </c>
      <c r="P853" s="1" t="str">
        <f>INDEX(Table2[[HomeTeam]:[Group_details]],ROWS($N$2:N853),COLUMNS($N$2:N853))</f>
        <v>Germany</v>
      </c>
      <c r="Q853" s="1">
        <f>INDEX(Table2[[HomeTeam]:[Group_details]],ROWS($N$2:O853),COLUMNS($N$2:O853))</f>
        <v>1</v>
      </c>
      <c r="R853" s="1">
        <f>INDEX(Table2[[HomeTeam]:[Group_details]],ROWS($N$2:P853),COLUMNS($N$2:P853))</f>
        <v>0</v>
      </c>
      <c r="S853" s="1" t="str">
        <f>INDEX(Table2[[HomeTeam]:[Group_details]],ROWS($N$2:Q853),COLUMNS($N$2:Q853))</f>
        <v>Argentina</v>
      </c>
      <c r="T853" s="1" t="str">
        <f>INDEX(Table2[[HomeTeam]:[Group_details]],ROWS($N$2:R853),COLUMNS($N$2:R853))</f>
        <v xml:space="preserve">Germany win after extra time </v>
      </c>
      <c r="U853" s="1" t="str">
        <f>INDEX(Table2[[HomeTeam]:[Group_details]],ROWS($N$2:S853),COLUMNS($N$2:S853))</f>
        <v>Final</v>
      </c>
      <c r="V853" s="1" t="b">
        <f t="shared" si="13"/>
        <v>0</v>
      </c>
      <c r="W853" s="1" t="str">
        <f>IF(V853=TRUE,ROWS($V$2:V853),"")</f>
        <v/>
      </c>
      <c r="X853" s="1" t="str">
        <f>IFERROR(SMALL($W$2:$W$853,ROWS($W$2:W853)),"")</f>
        <v/>
      </c>
      <c r="Y853" s="1" t="str">
        <f>IF($X853&lt;&gt;"",INDEX($P$2:$U$853,MATCH($X853,$W$2:$W$853,0),COLUMNS($X$2:X853)),"")</f>
        <v/>
      </c>
      <c r="Z853" s="1" t="str">
        <f>IF($X853&lt;&gt;"",INDEX($P$2:$U$853,MATCH($X853,$W$2:$W$853,0),COLUMNS($X$2:Y853)),"")</f>
        <v/>
      </c>
      <c r="AA853" s="1" t="str">
        <f>IF($X853&lt;&gt;"",INDEX($P$2:$U$853,MATCH($X853,$W$2:$W$853,0),COLUMNS($X$2:Z853)),"")</f>
        <v/>
      </c>
      <c r="AB853" s="1" t="str">
        <f>IF($X853&lt;&gt;"",INDEX($P$2:$U$853,MATCH($X853,$W$2:$W$853,0),COLUMNS($X$2:AA853)),"")</f>
        <v/>
      </c>
      <c r="AC853" s="1" t="str">
        <f>IF($X853&lt;&gt;"",INDEX($P$2:$U$853,MATCH($X853,$W$2:$W$853,0),COLUMNS($X$2:AB853)),"")</f>
        <v/>
      </c>
      <c r="AD853" s="1" t="str">
        <f>IF($X853&lt;&gt;"",INDEX($P$2:$U$853,MATCH($X853,$W$2:$W$853,0),COLUMNS($X$2:AC853)),"")</f>
        <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filterMode="1"/>
  <dimension ref="A1:N1704"/>
  <sheetViews>
    <sheetView topLeftCell="F1" workbookViewId="0">
      <selection activeCell="I1" sqref="I1:I1048576"/>
    </sheetView>
  </sheetViews>
  <sheetFormatPr defaultRowHeight="15" x14ac:dyDescent="0.25"/>
  <cols>
    <col min="1" max="1" width="5" style="1" bestFit="1" customWidth="1"/>
    <col min="2" max="2" width="6.7109375" style="1" bestFit="1" customWidth="1"/>
    <col min="3" max="3" width="9.5703125" style="1" bestFit="1" customWidth="1"/>
    <col min="4" max="4" width="6.28515625" style="1" bestFit="1" customWidth="1"/>
    <col min="5" max="5" width="19.140625" style="1" bestFit="1" customWidth="1"/>
    <col min="6" max="6" width="44.85546875" style="1" bestFit="1" customWidth="1"/>
    <col min="7" max="7" width="29.85546875" style="1" bestFit="1" customWidth="1"/>
    <col min="8" max="8" width="10.85546875" style="1" bestFit="1" customWidth="1"/>
    <col min="9" max="9" width="20.140625" style="1" bestFit="1" customWidth="1"/>
    <col min="10" max="10" width="6.7109375" style="1" bestFit="1" customWidth="1"/>
    <col min="11" max="11" width="20.140625" style="1" bestFit="1" customWidth="1"/>
    <col min="12" max="12" width="10.28515625" style="1" bestFit="1" customWidth="1"/>
    <col min="13" max="13" width="35.7109375" style="1" bestFit="1" customWidth="1"/>
    <col min="14" max="14" width="9.140625" style="1"/>
  </cols>
  <sheetData>
    <row r="1" spans="1:13" x14ac:dyDescent="0.25">
      <c r="A1" s="1" t="s">
        <v>0</v>
      </c>
      <c r="B1" s="1" t="s">
        <v>542</v>
      </c>
      <c r="C1" s="1" t="s">
        <v>499</v>
      </c>
      <c r="D1" s="1" t="s">
        <v>498</v>
      </c>
      <c r="E1" s="1" t="s">
        <v>1</v>
      </c>
      <c r="F1" s="1" t="s">
        <v>2</v>
      </c>
      <c r="G1" s="1" t="s">
        <v>3</v>
      </c>
      <c r="H1" s="1" t="s">
        <v>497</v>
      </c>
      <c r="I1" s="1" t="s">
        <v>538</v>
      </c>
      <c r="J1" s="1" t="s">
        <v>539</v>
      </c>
      <c r="K1" s="1" t="s">
        <v>541</v>
      </c>
      <c r="L1" s="1" t="s">
        <v>540</v>
      </c>
      <c r="M1" s="1" t="s">
        <v>8</v>
      </c>
    </row>
    <row r="2" spans="1:13" x14ac:dyDescent="0.25">
      <c r="A2" s="1">
        <v>1930</v>
      </c>
      <c r="B2" s="1">
        <v>1</v>
      </c>
      <c r="C2" s="2">
        <v>11152</v>
      </c>
      <c r="D2" s="1" t="s">
        <v>500</v>
      </c>
      <c r="E2" s="1" t="s">
        <v>9</v>
      </c>
      <c r="F2" s="1" t="s">
        <v>10</v>
      </c>
      <c r="G2" s="1" t="s">
        <v>11</v>
      </c>
      <c r="H2" s="6" t="str">
        <f>VLOOKUP(A2,WorldCups!$A$2:$B$23,2,FALSE)</f>
        <v>Uruguay</v>
      </c>
      <c r="I2" s="1" t="s">
        <v>12</v>
      </c>
      <c r="J2" s="1">
        <v>4</v>
      </c>
      <c r="K2" s="1" t="s">
        <v>13</v>
      </c>
      <c r="L2" s="1">
        <v>1</v>
      </c>
      <c r="M2" s="1" t="s">
        <v>14</v>
      </c>
    </row>
    <row r="3" spans="1:13" x14ac:dyDescent="0.25">
      <c r="A3" s="1">
        <v>1930</v>
      </c>
      <c r="B3" s="1">
        <v>1</v>
      </c>
      <c r="C3" s="2">
        <v>11152</v>
      </c>
      <c r="D3" s="1" t="s">
        <v>500</v>
      </c>
      <c r="E3" s="1" t="s">
        <v>9</v>
      </c>
      <c r="F3" s="1" t="s">
        <v>10</v>
      </c>
      <c r="G3" s="1" t="s">
        <v>11</v>
      </c>
      <c r="H3" s="6" t="str">
        <f>VLOOKUP(A3,WorldCups!$A$2:$B$23,2,FALSE)</f>
        <v>Uruguay</v>
      </c>
      <c r="I3" s="1" t="s">
        <v>13</v>
      </c>
      <c r="J3" s="1">
        <v>1</v>
      </c>
      <c r="K3" s="1" t="s">
        <v>12</v>
      </c>
      <c r="L3" s="1">
        <v>4</v>
      </c>
      <c r="M3" s="1" t="s">
        <v>14</v>
      </c>
    </row>
    <row r="4" spans="1:13" x14ac:dyDescent="0.25">
      <c r="A4" s="1">
        <v>1930</v>
      </c>
      <c r="B4" s="1">
        <f>B3+1</f>
        <v>2</v>
      </c>
      <c r="C4" s="2">
        <v>11152</v>
      </c>
      <c r="D4" s="1" t="s">
        <v>500</v>
      </c>
      <c r="E4" s="1" t="s">
        <v>15</v>
      </c>
      <c r="F4" s="1" t="s">
        <v>16</v>
      </c>
      <c r="G4" s="1" t="s">
        <v>11</v>
      </c>
      <c r="H4" s="6" t="str">
        <f>VLOOKUP(A4,WorldCups!$A$2:$B$23,2,FALSE)</f>
        <v>Uruguay</v>
      </c>
      <c r="I4" s="1" t="s">
        <v>17</v>
      </c>
      <c r="J4" s="1">
        <v>3</v>
      </c>
      <c r="K4" s="1" t="s">
        <v>18</v>
      </c>
      <c r="L4" s="1">
        <v>0</v>
      </c>
      <c r="M4" s="1" t="s">
        <v>14</v>
      </c>
    </row>
    <row r="5" spans="1:13" x14ac:dyDescent="0.25">
      <c r="A5" s="1">
        <v>1930</v>
      </c>
      <c r="B5" s="1">
        <v>2</v>
      </c>
      <c r="C5" s="2">
        <v>11152</v>
      </c>
      <c r="D5" s="1" t="s">
        <v>500</v>
      </c>
      <c r="E5" s="1" t="s">
        <v>15</v>
      </c>
      <c r="F5" s="1" t="s">
        <v>16</v>
      </c>
      <c r="G5" s="1" t="s">
        <v>11</v>
      </c>
      <c r="H5" s="6" t="str">
        <f>VLOOKUP(A5,WorldCups!$A$2:$B$23,2,FALSE)</f>
        <v>Uruguay</v>
      </c>
      <c r="I5" s="1" t="s">
        <v>18</v>
      </c>
      <c r="J5" s="1">
        <v>0</v>
      </c>
      <c r="K5" s="1" t="s">
        <v>17</v>
      </c>
      <c r="L5" s="1">
        <v>3</v>
      </c>
      <c r="M5" s="1" t="s">
        <v>14</v>
      </c>
    </row>
    <row r="6" spans="1:13" x14ac:dyDescent="0.25">
      <c r="A6" s="1">
        <v>1930</v>
      </c>
      <c r="B6" s="1">
        <f>B5+1</f>
        <v>3</v>
      </c>
      <c r="C6" s="2">
        <v>11153</v>
      </c>
      <c r="D6" s="1" t="s">
        <v>501</v>
      </c>
      <c r="E6" s="1" t="s">
        <v>19</v>
      </c>
      <c r="F6" s="1" t="s">
        <v>16</v>
      </c>
      <c r="G6" s="1" t="s">
        <v>11</v>
      </c>
      <c r="H6" s="6" t="str">
        <f>VLOOKUP(A6,WorldCups!$A$2:$B$23,2,FALSE)</f>
        <v>Uruguay</v>
      </c>
      <c r="I6" s="1" t="s">
        <v>20</v>
      </c>
      <c r="J6" s="1">
        <v>2</v>
      </c>
      <c r="K6" s="1" t="s">
        <v>21</v>
      </c>
      <c r="L6" s="1">
        <v>1</v>
      </c>
      <c r="M6" s="1" t="s">
        <v>14</v>
      </c>
    </row>
    <row r="7" spans="1:13" x14ac:dyDescent="0.25">
      <c r="A7" s="1">
        <v>1930</v>
      </c>
      <c r="B7" s="1">
        <v>3</v>
      </c>
      <c r="C7" s="2">
        <v>11153</v>
      </c>
      <c r="D7" s="1" t="s">
        <v>501</v>
      </c>
      <c r="E7" s="1" t="s">
        <v>19</v>
      </c>
      <c r="F7" s="1" t="s">
        <v>16</v>
      </c>
      <c r="G7" s="1" t="s">
        <v>11</v>
      </c>
      <c r="H7" s="6" t="str">
        <f>VLOOKUP(A7,WorldCups!$A$2:$B$23,2,FALSE)</f>
        <v>Uruguay</v>
      </c>
      <c r="I7" s="1" t="s">
        <v>21</v>
      </c>
      <c r="J7" s="1">
        <v>1</v>
      </c>
      <c r="K7" s="1" t="s">
        <v>20</v>
      </c>
      <c r="L7" s="1">
        <v>2</v>
      </c>
      <c r="M7" s="1" t="s">
        <v>14</v>
      </c>
    </row>
    <row r="8" spans="1:13" x14ac:dyDescent="0.25">
      <c r="A8" s="1">
        <v>1930</v>
      </c>
      <c r="B8" s="1">
        <f>B7+1</f>
        <v>4</v>
      </c>
      <c r="C8" s="2">
        <v>11153</v>
      </c>
      <c r="D8" s="1" t="s">
        <v>502</v>
      </c>
      <c r="E8" s="1" t="s">
        <v>22</v>
      </c>
      <c r="F8" s="1" t="s">
        <v>10</v>
      </c>
      <c r="G8" s="1" t="s">
        <v>11</v>
      </c>
      <c r="H8" s="6" t="str">
        <f>VLOOKUP(A8,WorldCups!$A$2:$B$23,2,FALSE)</f>
        <v>Uruguay</v>
      </c>
      <c r="I8" s="1" t="s">
        <v>23</v>
      </c>
      <c r="J8" s="1">
        <v>3</v>
      </c>
      <c r="K8" s="1" t="s">
        <v>24</v>
      </c>
      <c r="L8" s="1">
        <v>1</v>
      </c>
      <c r="M8" s="1" t="s">
        <v>14</v>
      </c>
    </row>
    <row r="9" spans="1:13" x14ac:dyDescent="0.25">
      <c r="A9" s="1">
        <v>1930</v>
      </c>
      <c r="B9" s="1">
        <v>4</v>
      </c>
      <c r="C9" s="2">
        <v>11153</v>
      </c>
      <c r="D9" s="1" t="s">
        <v>502</v>
      </c>
      <c r="E9" s="1" t="s">
        <v>22</v>
      </c>
      <c r="F9" s="1" t="s">
        <v>10</v>
      </c>
      <c r="G9" s="1" t="s">
        <v>11</v>
      </c>
      <c r="H9" s="6" t="str">
        <f>VLOOKUP(A9,WorldCups!$A$2:$B$23,2,FALSE)</f>
        <v>Uruguay</v>
      </c>
      <c r="I9" s="1" t="s">
        <v>24</v>
      </c>
      <c r="J9" s="1">
        <v>1</v>
      </c>
      <c r="K9" s="1" t="s">
        <v>23</v>
      </c>
      <c r="L9" s="1">
        <v>3</v>
      </c>
      <c r="M9" s="1" t="s">
        <v>14</v>
      </c>
    </row>
    <row r="10" spans="1:13" x14ac:dyDescent="0.25">
      <c r="A10" s="1">
        <v>1930</v>
      </c>
      <c r="B10" s="1">
        <f>B9+1</f>
        <v>5</v>
      </c>
      <c r="C10" s="2">
        <v>11154</v>
      </c>
      <c r="D10" s="1" t="s">
        <v>503</v>
      </c>
      <c r="E10" s="1" t="s">
        <v>9</v>
      </c>
      <c r="F10" s="1" t="s">
        <v>16</v>
      </c>
      <c r="G10" s="1" t="s">
        <v>11</v>
      </c>
      <c r="H10" s="6" t="str">
        <f>VLOOKUP(A10,WorldCups!$A$2:$B$23,2,FALSE)</f>
        <v>Uruguay</v>
      </c>
      <c r="I10" s="1" t="s">
        <v>25</v>
      </c>
      <c r="J10" s="1">
        <v>1</v>
      </c>
      <c r="K10" s="1" t="s">
        <v>12</v>
      </c>
      <c r="L10" s="1">
        <v>0</v>
      </c>
      <c r="M10" s="1" t="s">
        <v>14</v>
      </c>
    </row>
    <row r="11" spans="1:13" x14ac:dyDescent="0.25">
      <c r="A11" s="1">
        <v>1930</v>
      </c>
      <c r="B11" s="1">
        <v>5</v>
      </c>
      <c r="C11" s="2">
        <v>11154</v>
      </c>
      <c r="D11" s="1" t="s">
        <v>503</v>
      </c>
      <c r="E11" s="1" t="s">
        <v>9</v>
      </c>
      <c r="F11" s="1" t="s">
        <v>16</v>
      </c>
      <c r="G11" s="1" t="s">
        <v>11</v>
      </c>
      <c r="H11" s="6" t="str">
        <f>VLOOKUP(A11,WorldCups!$A$2:$B$23,2,FALSE)</f>
        <v>Uruguay</v>
      </c>
      <c r="I11" s="1" t="s">
        <v>12</v>
      </c>
      <c r="J11" s="1">
        <v>0</v>
      </c>
      <c r="K11" s="1" t="s">
        <v>25</v>
      </c>
      <c r="L11" s="1">
        <v>1</v>
      </c>
      <c r="M11" s="1" t="s">
        <v>14</v>
      </c>
    </row>
    <row r="12" spans="1:13" x14ac:dyDescent="0.25">
      <c r="A12" s="1">
        <v>1930</v>
      </c>
      <c r="B12" s="1">
        <f>B11+1</f>
        <v>6</v>
      </c>
      <c r="C12" s="2">
        <v>11155</v>
      </c>
      <c r="D12" s="1" t="s">
        <v>504</v>
      </c>
      <c r="E12" s="1" t="s">
        <v>9</v>
      </c>
      <c r="F12" s="1" t="s">
        <v>16</v>
      </c>
      <c r="G12" s="1" t="s">
        <v>11</v>
      </c>
      <c r="H12" s="6" t="str">
        <f>VLOOKUP(A12,WorldCups!$A$2:$B$23,2,FALSE)</f>
        <v>Uruguay</v>
      </c>
      <c r="I12" s="1" t="s">
        <v>26</v>
      </c>
      <c r="J12" s="1">
        <v>3</v>
      </c>
      <c r="K12" s="1" t="s">
        <v>13</v>
      </c>
      <c r="L12" s="1">
        <v>0</v>
      </c>
      <c r="M12" s="1" t="s">
        <v>14</v>
      </c>
    </row>
    <row r="13" spans="1:13" x14ac:dyDescent="0.25">
      <c r="A13" s="1">
        <v>1930</v>
      </c>
      <c r="B13" s="1">
        <v>6</v>
      </c>
      <c r="C13" s="2">
        <v>11155</v>
      </c>
      <c r="D13" s="1" t="s">
        <v>504</v>
      </c>
      <c r="E13" s="1" t="s">
        <v>9</v>
      </c>
      <c r="F13" s="1" t="s">
        <v>16</v>
      </c>
      <c r="G13" s="1" t="s">
        <v>11</v>
      </c>
      <c r="H13" s="6" t="str">
        <f>VLOOKUP(A13,WorldCups!$A$2:$B$23,2,FALSE)</f>
        <v>Uruguay</v>
      </c>
      <c r="I13" s="1" t="s">
        <v>13</v>
      </c>
      <c r="J13" s="1">
        <v>0</v>
      </c>
      <c r="K13" s="1" t="s">
        <v>26</v>
      </c>
      <c r="L13" s="1">
        <v>3</v>
      </c>
      <c r="M13" s="1" t="s">
        <v>14</v>
      </c>
    </row>
    <row r="14" spans="1:13" x14ac:dyDescent="0.25">
      <c r="A14" s="1">
        <v>1930</v>
      </c>
      <c r="B14" s="1">
        <f>B13+1</f>
        <v>7</v>
      </c>
      <c r="C14" s="2">
        <v>11156</v>
      </c>
      <c r="D14" s="1" t="s">
        <v>501</v>
      </c>
      <c r="E14" s="1" t="s">
        <v>19</v>
      </c>
      <c r="F14" s="1" t="s">
        <v>16</v>
      </c>
      <c r="G14" s="1" t="s">
        <v>11</v>
      </c>
      <c r="H14" s="6" t="str">
        <f>VLOOKUP(A14,WorldCups!$A$2:$B$23,2,FALSE)</f>
        <v>Uruguay</v>
      </c>
      <c r="I14" s="1" t="s">
        <v>20</v>
      </c>
      <c r="J14" s="1">
        <v>4</v>
      </c>
      <c r="K14" s="1" t="s">
        <v>27</v>
      </c>
      <c r="L14" s="1">
        <v>0</v>
      </c>
      <c r="M14" s="1" t="s">
        <v>14</v>
      </c>
    </row>
    <row r="15" spans="1:13" x14ac:dyDescent="0.25">
      <c r="A15" s="1">
        <v>1930</v>
      </c>
      <c r="B15" s="1">
        <v>7</v>
      </c>
      <c r="C15" s="2">
        <v>11156</v>
      </c>
      <c r="D15" s="1" t="s">
        <v>501</v>
      </c>
      <c r="E15" s="1" t="s">
        <v>19</v>
      </c>
      <c r="F15" s="1" t="s">
        <v>16</v>
      </c>
      <c r="G15" s="1" t="s">
        <v>11</v>
      </c>
      <c r="H15" s="6" t="str">
        <f>VLOOKUP(A15,WorldCups!$A$2:$B$23,2,FALSE)</f>
        <v>Uruguay</v>
      </c>
      <c r="I15" s="1" t="s">
        <v>27</v>
      </c>
      <c r="J15" s="1">
        <v>0</v>
      </c>
      <c r="K15" s="1" t="s">
        <v>20</v>
      </c>
      <c r="L15" s="1">
        <v>4</v>
      </c>
      <c r="M15" s="1" t="s">
        <v>14</v>
      </c>
    </row>
    <row r="16" spans="1:13" x14ac:dyDescent="0.25">
      <c r="A16" s="1">
        <v>1930</v>
      </c>
      <c r="B16" s="1">
        <f>B15+1</f>
        <v>8</v>
      </c>
      <c r="C16" s="2">
        <v>11156</v>
      </c>
      <c r="D16" s="1" t="s">
        <v>504</v>
      </c>
      <c r="E16" s="1" t="s">
        <v>15</v>
      </c>
      <c r="F16" s="1" t="s">
        <v>16</v>
      </c>
      <c r="G16" s="1" t="s">
        <v>11</v>
      </c>
      <c r="H16" s="6" t="str">
        <f>VLOOKUP(A16,WorldCups!$A$2:$B$23,2,FALSE)</f>
        <v>Uruguay</v>
      </c>
      <c r="I16" s="1" t="s">
        <v>17</v>
      </c>
      <c r="J16" s="1">
        <v>3</v>
      </c>
      <c r="K16" s="1" t="s">
        <v>28</v>
      </c>
      <c r="L16" s="1">
        <v>0</v>
      </c>
      <c r="M16" s="1" t="s">
        <v>14</v>
      </c>
    </row>
    <row r="17" spans="1:13" x14ac:dyDescent="0.25">
      <c r="A17" s="1">
        <v>1930</v>
      </c>
      <c r="B17" s="1">
        <v>8</v>
      </c>
      <c r="C17" s="2">
        <v>11156</v>
      </c>
      <c r="D17" s="1" t="s">
        <v>504</v>
      </c>
      <c r="E17" s="1" t="s">
        <v>15</v>
      </c>
      <c r="F17" s="1" t="s">
        <v>16</v>
      </c>
      <c r="G17" s="1" t="s">
        <v>11</v>
      </c>
      <c r="H17" s="6" t="str">
        <f>VLOOKUP(A17,WorldCups!$A$2:$B$23,2,FALSE)</f>
        <v>Uruguay</v>
      </c>
      <c r="I17" s="1" t="s">
        <v>28</v>
      </c>
      <c r="J17" s="1">
        <v>0</v>
      </c>
      <c r="K17" s="1" t="s">
        <v>17</v>
      </c>
      <c r="L17" s="1">
        <v>3</v>
      </c>
      <c r="M17" s="1" t="s">
        <v>14</v>
      </c>
    </row>
    <row r="18" spans="1:13" x14ac:dyDescent="0.25">
      <c r="A18" s="1">
        <v>1930</v>
      </c>
      <c r="B18" s="1">
        <f>B17+1</f>
        <v>9</v>
      </c>
      <c r="C18" s="2">
        <v>11157</v>
      </c>
      <c r="D18" s="1" t="s">
        <v>505</v>
      </c>
      <c r="E18" s="1" t="s">
        <v>22</v>
      </c>
      <c r="F18" s="1" t="s">
        <v>29</v>
      </c>
      <c r="G18" s="1" t="s">
        <v>11</v>
      </c>
      <c r="H18" s="6" t="str">
        <f>VLOOKUP(A18,WorldCups!$A$2:$B$23,2,FALSE)</f>
        <v>Uruguay</v>
      </c>
      <c r="I18" s="1" t="s">
        <v>30</v>
      </c>
      <c r="J18" s="1">
        <v>1</v>
      </c>
      <c r="K18" s="1" t="s">
        <v>24</v>
      </c>
      <c r="L18" s="1">
        <v>0</v>
      </c>
      <c r="M18" s="1" t="s">
        <v>14</v>
      </c>
    </row>
    <row r="19" spans="1:13" x14ac:dyDescent="0.25">
      <c r="A19" s="1">
        <v>1930</v>
      </c>
      <c r="B19" s="1">
        <v>9</v>
      </c>
      <c r="C19" s="2">
        <v>11157</v>
      </c>
      <c r="D19" s="1" t="s">
        <v>505</v>
      </c>
      <c r="E19" s="1" t="s">
        <v>22</v>
      </c>
      <c r="F19" s="1" t="s">
        <v>29</v>
      </c>
      <c r="G19" s="1" t="s">
        <v>11</v>
      </c>
      <c r="H19" s="6" t="str">
        <f>VLOOKUP(A19,WorldCups!$A$2:$B$23,2,FALSE)</f>
        <v>Uruguay</v>
      </c>
      <c r="I19" s="1" t="s">
        <v>24</v>
      </c>
      <c r="J19" s="1">
        <v>0</v>
      </c>
      <c r="K19" s="1" t="s">
        <v>30</v>
      </c>
      <c r="L19" s="1">
        <v>1</v>
      </c>
      <c r="M19" s="1" t="s">
        <v>14</v>
      </c>
    </row>
    <row r="20" spans="1:13" x14ac:dyDescent="0.25">
      <c r="A20" s="1">
        <v>1930</v>
      </c>
      <c r="B20" s="1">
        <f>B19+1</f>
        <v>10</v>
      </c>
      <c r="C20" s="2">
        <v>11158</v>
      </c>
      <c r="D20" s="1" t="s">
        <v>506</v>
      </c>
      <c r="E20" s="1" t="s">
        <v>9</v>
      </c>
      <c r="F20" s="1" t="s">
        <v>29</v>
      </c>
      <c r="G20" s="1" t="s">
        <v>11</v>
      </c>
      <c r="H20" s="6" t="str">
        <f>VLOOKUP(A20,WorldCups!$A$2:$B$23,2,FALSE)</f>
        <v>Uruguay</v>
      </c>
      <c r="I20" s="1" t="s">
        <v>26</v>
      </c>
      <c r="J20" s="1">
        <v>1</v>
      </c>
      <c r="K20" s="1" t="s">
        <v>12</v>
      </c>
      <c r="L20" s="1">
        <v>0</v>
      </c>
      <c r="M20" s="1" t="s">
        <v>14</v>
      </c>
    </row>
    <row r="21" spans="1:13" x14ac:dyDescent="0.25">
      <c r="A21" s="1">
        <v>1930</v>
      </c>
      <c r="B21" s="1">
        <v>10</v>
      </c>
      <c r="C21" s="2">
        <v>11158</v>
      </c>
      <c r="D21" s="1" t="s">
        <v>506</v>
      </c>
      <c r="E21" s="1" t="s">
        <v>9</v>
      </c>
      <c r="F21" s="1" t="s">
        <v>29</v>
      </c>
      <c r="G21" s="1" t="s">
        <v>11</v>
      </c>
      <c r="H21" s="6" t="str">
        <f>VLOOKUP(A21,WorldCups!$A$2:$B$23,2,FALSE)</f>
        <v>Uruguay</v>
      </c>
      <c r="I21" s="1" t="s">
        <v>12</v>
      </c>
      <c r="J21" s="1">
        <v>0</v>
      </c>
      <c r="K21" s="1" t="s">
        <v>26</v>
      </c>
      <c r="L21" s="1">
        <v>1</v>
      </c>
      <c r="M21" s="1" t="s">
        <v>14</v>
      </c>
    </row>
    <row r="22" spans="1:13" x14ac:dyDescent="0.25">
      <c r="A22" s="1">
        <v>1930</v>
      </c>
      <c r="B22" s="1">
        <f>B21+1</f>
        <v>11</v>
      </c>
      <c r="C22" s="2">
        <v>11158</v>
      </c>
      <c r="D22" s="1" t="s">
        <v>500</v>
      </c>
      <c r="E22" s="1" t="s">
        <v>9</v>
      </c>
      <c r="F22" s="1" t="s">
        <v>29</v>
      </c>
      <c r="G22" s="1" t="s">
        <v>11</v>
      </c>
      <c r="H22" s="6" t="str">
        <f>VLOOKUP(A22,WorldCups!$A$2:$B$23,2,FALSE)</f>
        <v>Uruguay</v>
      </c>
      <c r="I22" s="1" t="s">
        <v>25</v>
      </c>
      <c r="J22" s="1">
        <v>6</v>
      </c>
      <c r="K22" s="1" t="s">
        <v>13</v>
      </c>
      <c r="L22" s="1">
        <v>3</v>
      </c>
      <c r="M22" s="1" t="s">
        <v>14</v>
      </c>
    </row>
    <row r="23" spans="1:13" x14ac:dyDescent="0.25">
      <c r="A23" s="1">
        <v>1930</v>
      </c>
      <c r="B23" s="1">
        <v>11</v>
      </c>
      <c r="C23" s="2">
        <v>11158</v>
      </c>
      <c r="D23" s="1" t="s">
        <v>500</v>
      </c>
      <c r="E23" s="1" t="s">
        <v>9</v>
      </c>
      <c r="F23" s="1" t="s">
        <v>29</v>
      </c>
      <c r="G23" s="1" t="s">
        <v>11</v>
      </c>
      <c r="H23" s="6" t="str">
        <f>VLOOKUP(A23,WorldCups!$A$2:$B$23,2,FALSE)</f>
        <v>Uruguay</v>
      </c>
      <c r="I23" s="1" t="s">
        <v>13</v>
      </c>
      <c r="J23" s="1">
        <v>3</v>
      </c>
      <c r="K23" s="1" t="s">
        <v>25</v>
      </c>
      <c r="L23" s="1">
        <v>6</v>
      </c>
      <c r="M23" s="1" t="s">
        <v>14</v>
      </c>
    </row>
    <row r="24" spans="1:13" x14ac:dyDescent="0.25">
      <c r="A24" s="1">
        <v>1930</v>
      </c>
      <c r="B24" s="1">
        <f>B23+1</f>
        <v>12</v>
      </c>
      <c r="C24" s="2">
        <v>11159</v>
      </c>
      <c r="D24" s="1" t="s">
        <v>507</v>
      </c>
      <c r="E24" s="1" t="s">
        <v>19</v>
      </c>
      <c r="F24" s="1" t="s">
        <v>29</v>
      </c>
      <c r="G24" s="1" t="s">
        <v>11</v>
      </c>
      <c r="H24" s="6" t="str">
        <f>VLOOKUP(A24,WorldCups!$A$2:$B$23,2,FALSE)</f>
        <v>Uruguay</v>
      </c>
      <c r="I24" s="1" t="s">
        <v>21</v>
      </c>
      <c r="J24" s="1">
        <v>4</v>
      </c>
      <c r="K24" s="1" t="s">
        <v>27</v>
      </c>
      <c r="L24" s="1">
        <v>0</v>
      </c>
      <c r="M24" s="1" t="s">
        <v>14</v>
      </c>
    </row>
    <row r="25" spans="1:13" x14ac:dyDescent="0.25">
      <c r="A25" s="1">
        <v>1930</v>
      </c>
      <c r="B25" s="1">
        <v>12</v>
      </c>
      <c r="C25" s="2">
        <v>11159</v>
      </c>
      <c r="D25" s="1" t="s">
        <v>507</v>
      </c>
      <c r="E25" s="1" t="s">
        <v>19</v>
      </c>
      <c r="F25" s="1" t="s">
        <v>29</v>
      </c>
      <c r="G25" s="1" t="s">
        <v>11</v>
      </c>
      <c r="H25" s="6" t="str">
        <f>VLOOKUP(A25,WorldCups!$A$2:$B$23,2,FALSE)</f>
        <v>Uruguay</v>
      </c>
      <c r="I25" s="1" t="s">
        <v>27</v>
      </c>
      <c r="J25" s="1">
        <v>0</v>
      </c>
      <c r="K25" s="1" t="s">
        <v>21</v>
      </c>
      <c r="L25" s="1">
        <v>4</v>
      </c>
      <c r="M25" s="1" t="s">
        <v>14</v>
      </c>
    </row>
    <row r="26" spans="1:13" x14ac:dyDescent="0.25">
      <c r="A26" s="1">
        <v>1930</v>
      </c>
      <c r="B26" s="1">
        <f>B25+1</f>
        <v>13</v>
      </c>
      <c r="C26" s="2">
        <v>11159</v>
      </c>
      <c r="D26" s="1" t="s">
        <v>500</v>
      </c>
      <c r="E26" s="1" t="s">
        <v>15</v>
      </c>
      <c r="F26" s="1" t="s">
        <v>29</v>
      </c>
      <c r="G26" s="1" t="s">
        <v>11</v>
      </c>
      <c r="H26" s="6" t="str">
        <f>VLOOKUP(A26,WorldCups!$A$2:$B$23,2,FALSE)</f>
        <v>Uruguay</v>
      </c>
      <c r="I26" s="1" t="s">
        <v>28</v>
      </c>
      <c r="J26" s="1">
        <v>1</v>
      </c>
      <c r="K26" s="1" t="s">
        <v>18</v>
      </c>
      <c r="L26" s="1">
        <v>0</v>
      </c>
      <c r="M26" s="1" t="s">
        <v>14</v>
      </c>
    </row>
    <row r="27" spans="1:13" x14ac:dyDescent="0.25">
      <c r="A27" s="1">
        <v>1930</v>
      </c>
      <c r="B27" s="1">
        <v>13</v>
      </c>
      <c r="C27" s="2">
        <v>11159</v>
      </c>
      <c r="D27" s="1" t="s">
        <v>500</v>
      </c>
      <c r="E27" s="1" t="s">
        <v>15</v>
      </c>
      <c r="F27" s="1" t="s">
        <v>29</v>
      </c>
      <c r="G27" s="1" t="s">
        <v>11</v>
      </c>
      <c r="H27" s="6" t="str">
        <f>VLOOKUP(A27,WorldCups!$A$2:$B$23,2,FALSE)</f>
        <v>Uruguay</v>
      </c>
      <c r="I27" s="1" t="s">
        <v>18</v>
      </c>
      <c r="J27" s="1">
        <v>0</v>
      </c>
      <c r="K27" s="1" t="s">
        <v>28</v>
      </c>
      <c r="L27" s="1">
        <v>1</v>
      </c>
      <c r="M27" s="1" t="s">
        <v>14</v>
      </c>
    </row>
    <row r="28" spans="1:13" x14ac:dyDescent="0.25">
      <c r="A28" s="1">
        <v>1930</v>
      </c>
      <c r="B28" s="1">
        <f>B27+1</f>
        <v>14</v>
      </c>
      <c r="C28" s="2">
        <v>11160</v>
      </c>
      <c r="D28" s="1" t="s">
        <v>502</v>
      </c>
      <c r="E28" s="1" t="s">
        <v>22</v>
      </c>
      <c r="F28" s="1" t="s">
        <v>29</v>
      </c>
      <c r="G28" s="1" t="s">
        <v>11</v>
      </c>
      <c r="H28" s="6" t="str">
        <f>VLOOKUP(A28,WorldCups!$A$2:$B$23,2,FALSE)</f>
        <v>Uruguay</v>
      </c>
      <c r="I28" s="1" t="s">
        <v>30</v>
      </c>
      <c r="J28" s="1">
        <v>4</v>
      </c>
      <c r="K28" s="1" t="s">
        <v>23</v>
      </c>
      <c r="L28" s="1">
        <v>0</v>
      </c>
      <c r="M28" s="1" t="s">
        <v>14</v>
      </c>
    </row>
    <row r="29" spans="1:13" x14ac:dyDescent="0.25">
      <c r="A29" s="1">
        <v>1930</v>
      </c>
      <c r="B29" s="1">
        <v>14</v>
      </c>
      <c r="C29" s="2">
        <v>11160</v>
      </c>
      <c r="D29" s="1" t="s">
        <v>502</v>
      </c>
      <c r="E29" s="1" t="s">
        <v>22</v>
      </c>
      <c r="F29" s="1" t="s">
        <v>29</v>
      </c>
      <c r="G29" s="1" t="s">
        <v>11</v>
      </c>
      <c r="H29" s="6" t="str">
        <f>VLOOKUP(A29,WorldCups!$A$2:$B$23,2,FALSE)</f>
        <v>Uruguay</v>
      </c>
      <c r="I29" s="1" t="s">
        <v>23</v>
      </c>
      <c r="J29" s="1">
        <v>0</v>
      </c>
      <c r="K29" s="1" t="s">
        <v>30</v>
      </c>
      <c r="L29" s="1">
        <v>4</v>
      </c>
      <c r="M29" s="1" t="s">
        <v>14</v>
      </c>
    </row>
    <row r="30" spans="1:13" x14ac:dyDescent="0.25">
      <c r="A30" s="1">
        <v>1930</v>
      </c>
      <c r="B30" s="1">
        <f>B29+1</f>
        <v>15</v>
      </c>
      <c r="C30" s="2">
        <v>11161</v>
      </c>
      <c r="D30" s="1" t="s">
        <v>504</v>
      </c>
      <c r="E30" s="1" t="s">
        <v>9</v>
      </c>
      <c r="F30" s="1" t="s">
        <v>29</v>
      </c>
      <c r="G30" s="1" t="s">
        <v>11</v>
      </c>
      <c r="H30" s="6" t="str">
        <f>VLOOKUP(A30,WorldCups!$A$2:$B$23,2,FALSE)</f>
        <v>Uruguay</v>
      </c>
      <c r="I30" s="1" t="s">
        <v>25</v>
      </c>
      <c r="J30" s="1">
        <v>3</v>
      </c>
      <c r="K30" s="1" t="s">
        <v>26</v>
      </c>
      <c r="L30" s="1">
        <v>1</v>
      </c>
      <c r="M30" s="1" t="s">
        <v>14</v>
      </c>
    </row>
    <row r="31" spans="1:13" x14ac:dyDescent="0.25">
      <c r="A31" s="1">
        <v>1930</v>
      </c>
      <c r="B31" s="1">
        <v>15</v>
      </c>
      <c r="C31" s="2">
        <v>11161</v>
      </c>
      <c r="D31" s="1" t="s">
        <v>504</v>
      </c>
      <c r="E31" s="1" t="s">
        <v>9</v>
      </c>
      <c r="F31" s="1" t="s">
        <v>29</v>
      </c>
      <c r="G31" s="1" t="s">
        <v>11</v>
      </c>
      <c r="H31" s="6" t="str">
        <f>VLOOKUP(A31,WorldCups!$A$2:$B$23,2,FALSE)</f>
        <v>Uruguay</v>
      </c>
      <c r="I31" s="1" t="s">
        <v>26</v>
      </c>
      <c r="J31" s="1">
        <v>1</v>
      </c>
      <c r="K31" s="1" t="s">
        <v>25</v>
      </c>
      <c r="L31" s="1">
        <v>3</v>
      </c>
      <c r="M31" s="1" t="s">
        <v>14</v>
      </c>
    </row>
    <row r="32" spans="1:13" x14ac:dyDescent="0.25">
      <c r="A32" s="1">
        <v>1930</v>
      </c>
      <c r="B32" s="1">
        <f>B31+1</f>
        <v>16</v>
      </c>
      <c r="C32" s="2">
        <v>11165</v>
      </c>
      <c r="D32" s="1" t="s">
        <v>504</v>
      </c>
      <c r="E32" s="1" t="s">
        <v>31</v>
      </c>
      <c r="F32" s="1" t="s">
        <v>29</v>
      </c>
      <c r="G32" s="1" t="s">
        <v>11</v>
      </c>
      <c r="H32" s="6" t="str">
        <f>VLOOKUP(A32,WorldCups!$A$2:$B$23,2,FALSE)</f>
        <v>Uruguay</v>
      </c>
      <c r="I32" s="1" t="s">
        <v>25</v>
      </c>
      <c r="J32" s="1">
        <v>6</v>
      </c>
      <c r="K32" s="1" t="s">
        <v>17</v>
      </c>
      <c r="L32" s="1">
        <v>1</v>
      </c>
      <c r="M32" s="1" t="s">
        <v>14</v>
      </c>
    </row>
    <row r="33" spans="1:13" x14ac:dyDescent="0.25">
      <c r="A33" s="1">
        <v>1930</v>
      </c>
      <c r="B33" s="1">
        <v>16</v>
      </c>
      <c r="C33" s="2">
        <v>11165</v>
      </c>
      <c r="D33" s="1" t="s">
        <v>504</v>
      </c>
      <c r="E33" s="1" t="s">
        <v>31</v>
      </c>
      <c r="F33" s="1" t="s">
        <v>29</v>
      </c>
      <c r="G33" s="1" t="s">
        <v>11</v>
      </c>
      <c r="H33" s="6" t="str">
        <f>VLOOKUP(A33,WorldCups!$A$2:$B$23,2,FALSE)</f>
        <v>Uruguay</v>
      </c>
      <c r="I33" s="1" t="s">
        <v>17</v>
      </c>
      <c r="J33" s="1">
        <v>1</v>
      </c>
      <c r="K33" s="1" t="s">
        <v>25</v>
      </c>
      <c r="L33" s="1">
        <v>6</v>
      </c>
      <c r="M33" s="1" t="s">
        <v>14</v>
      </c>
    </row>
    <row r="34" spans="1:13" x14ac:dyDescent="0.25">
      <c r="A34" s="1">
        <v>1930</v>
      </c>
      <c r="B34" s="1">
        <f>B33+1</f>
        <v>17</v>
      </c>
      <c r="C34" s="2">
        <v>11166</v>
      </c>
      <c r="D34" s="1" t="s">
        <v>504</v>
      </c>
      <c r="E34" s="1" t="s">
        <v>31</v>
      </c>
      <c r="F34" s="1" t="s">
        <v>29</v>
      </c>
      <c r="G34" s="1" t="s">
        <v>11</v>
      </c>
      <c r="H34" s="6" t="str">
        <f>VLOOKUP(A34,WorldCups!$A$2:$B$23,2,FALSE)</f>
        <v>Uruguay</v>
      </c>
      <c r="I34" s="1" t="s">
        <v>30</v>
      </c>
      <c r="J34" s="1">
        <v>6</v>
      </c>
      <c r="K34" s="1" t="s">
        <v>20</v>
      </c>
      <c r="L34" s="1">
        <v>1</v>
      </c>
      <c r="M34" s="1" t="s">
        <v>14</v>
      </c>
    </row>
    <row r="35" spans="1:13" x14ac:dyDescent="0.25">
      <c r="A35" s="1">
        <v>1930</v>
      </c>
      <c r="B35" s="1">
        <v>17</v>
      </c>
      <c r="C35" s="2">
        <v>11166</v>
      </c>
      <c r="D35" s="1" t="s">
        <v>504</v>
      </c>
      <c r="E35" s="1" t="s">
        <v>31</v>
      </c>
      <c r="F35" s="1" t="s">
        <v>29</v>
      </c>
      <c r="G35" s="1" t="s">
        <v>11</v>
      </c>
      <c r="H35" s="6" t="str">
        <f>VLOOKUP(A35,WorldCups!$A$2:$B$23,2,FALSE)</f>
        <v>Uruguay</v>
      </c>
      <c r="I35" s="1" t="s">
        <v>20</v>
      </c>
      <c r="J35" s="1">
        <v>1</v>
      </c>
      <c r="K35" s="1" t="s">
        <v>30</v>
      </c>
      <c r="L35" s="1">
        <v>6</v>
      </c>
      <c r="M35" s="1" t="s">
        <v>14</v>
      </c>
    </row>
    <row r="36" spans="1:13" x14ac:dyDescent="0.25">
      <c r="A36" s="1">
        <v>1930</v>
      </c>
      <c r="B36" s="1">
        <f>B35+1</f>
        <v>18</v>
      </c>
      <c r="C36" s="2">
        <v>11169</v>
      </c>
      <c r="D36" s="1" t="s">
        <v>508</v>
      </c>
      <c r="E36" s="1" t="s">
        <v>32</v>
      </c>
      <c r="F36" s="1" t="s">
        <v>29</v>
      </c>
      <c r="G36" s="1" t="s">
        <v>11</v>
      </c>
      <c r="H36" s="6" t="str">
        <f>VLOOKUP(A36,WorldCups!$A$2:$B$23,2,FALSE)</f>
        <v>Uruguay</v>
      </c>
      <c r="I36" s="1" t="s">
        <v>30</v>
      </c>
      <c r="J36" s="1">
        <v>4</v>
      </c>
      <c r="K36" s="1" t="s">
        <v>25</v>
      </c>
      <c r="L36" s="1">
        <v>2</v>
      </c>
      <c r="M36" s="1" t="s">
        <v>14</v>
      </c>
    </row>
    <row r="37" spans="1:13" hidden="1" x14ac:dyDescent="0.25">
      <c r="A37" s="1">
        <v>1934</v>
      </c>
      <c r="B37" s="1" t="e">
        <f>#REF!+1</f>
        <v>#REF!</v>
      </c>
      <c r="C37" s="2">
        <v>12566</v>
      </c>
      <c r="D37" s="1" t="s">
        <v>509</v>
      </c>
      <c r="E37" s="1" t="s">
        <v>33</v>
      </c>
      <c r="F37" s="1" t="s">
        <v>34</v>
      </c>
      <c r="G37" s="1" t="s">
        <v>35</v>
      </c>
      <c r="H37" s="6" t="str">
        <f>VLOOKUP(A37,WorldCups!$A$2:$B$23,2,FALSE)</f>
        <v>Italy</v>
      </c>
      <c r="I37" s="1" t="s">
        <v>36</v>
      </c>
      <c r="J37" s="1">
        <v>3</v>
      </c>
      <c r="K37" s="1" t="s">
        <v>12</v>
      </c>
      <c r="L37" s="1">
        <v>2</v>
      </c>
      <c r="M37" s="1" t="s">
        <v>37</v>
      </c>
    </row>
    <row r="38" spans="1:13" hidden="1" x14ac:dyDescent="0.25">
      <c r="A38" s="1">
        <v>1934</v>
      </c>
      <c r="B38" s="1">
        <v>19</v>
      </c>
      <c r="C38" s="2">
        <v>12566</v>
      </c>
      <c r="D38" s="1" t="s">
        <v>509</v>
      </c>
      <c r="E38" s="1" t="s">
        <v>33</v>
      </c>
      <c r="F38" s="1" t="s">
        <v>34</v>
      </c>
      <c r="G38" s="1" t="s">
        <v>35</v>
      </c>
      <c r="H38" s="6" t="str">
        <f>VLOOKUP(A38,WorldCups!$A$2:$B$23,2,FALSE)</f>
        <v>Italy</v>
      </c>
      <c r="I38" s="1" t="s">
        <v>12</v>
      </c>
      <c r="J38" s="1">
        <v>2</v>
      </c>
      <c r="K38" s="1" t="s">
        <v>36</v>
      </c>
      <c r="L38" s="1">
        <v>3</v>
      </c>
      <c r="M38" s="1" t="s">
        <v>37</v>
      </c>
    </row>
    <row r="39" spans="1:13" hidden="1" x14ac:dyDescent="0.25">
      <c r="A39" s="1">
        <v>1934</v>
      </c>
      <c r="B39" s="1">
        <f>B38+1</f>
        <v>20</v>
      </c>
      <c r="C39" s="2">
        <v>12566</v>
      </c>
      <c r="D39" s="1" t="s">
        <v>509</v>
      </c>
      <c r="E39" s="1" t="s">
        <v>33</v>
      </c>
      <c r="F39" s="1" t="s">
        <v>38</v>
      </c>
      <c r="G39" s="1" t="s">
        <v>39</v>
      </c>
      <c r="H39" s="6" t="str">
        <f>VLOOKUP(A39,WorldCups!$A$2:$B$23,2,FALSE)</f>
        <v>Italy</v>
      </c>
      <c r="I39" s="1" t="s">
        <v>40</v>
      </c>
      <c r="J39" s="1">
        <v>4</v>
      </c>
      <c r="K39" s="1" t="s">
        <v>41</v>
      </c>
      <c r="L39" s="1">
        <v>2</v>
      </c>
      <c r="M39" s="1" t="s">
        <v>14</v>
      </c>
    </row>
    <row r="40" spans="1:13" hidden="1" x14ac:dyDescent="0.25">
      <c r="A40" s="1">
        <v>1934</v>
      </c>
      <c r="B40" s="1">
        <v>20</v>
      </c>
      <c r="C40" s="2">
        <v>12566</v>
      </c>
      <c r="D40" s="1" t="s">
        <v>509</v>
      </c>
      <c r="E40" s="1" t="s">
        <v>33</v>
      </c>
      <c r="F40" s="1" t="s">
        <v>38</v>
      </c>
      <c r="G40" s="1" t="s">
        <v>39</v>
      </c>
      <c r="H40" s="6" t="str">
        <f>VLOOKUP(A40,WorldCups!$A$2:$B$23,2,FALSE)</f>
        <v>Italy</v>
      </c>
      <c r="I40" s="1" t="s">
        <v>41</v>
      </c>
      <c r="J40" s="1">
        <v>2</v>
      </c>
      <c r="K40" s="1" t="s">
        <v>40</v>
      </c>
      <c r="L40" s="1">
        <v>4</v>
      </c>
      <c r="M40" s="1" t="s">
        <v>14</v>
      </c>
    </row>
    <row r="41" spans="1:13" hidden="1" x14ac:dyDescent="0.25">
      <c r="A41" s="1">
        <v>1934</v>
      </c>
      <c r="B41" s="1">
        <f>B40+1</f>
        <v>21</v>
      </c>
      <c r="C41" s="2">
        <v>12566</v>
      </c>
      <c r="D41" s="1" t="s">
        <v>509</v>
      </c>
      <c r="E41" s="1" t="s">
        <v>33</v>
      </c>
      <c r="F41" s="1" t="s">
        <v>42</v>
      </c>
      <c r="G41" s="1" t="s">
        <v>43</v>
      </c>
      <c r="H41" s="6" t="str">
        <f>VLOOKUP(A41,WorldCups!$A$2:$B$23,2,FALSE)</f>
        <v>Italy</v>
      </c>
      <c r="I41" s="1" t="s">
        <v>44</v>
      </c>
      <c r="J41" s="1">
        <v>3</v>
      </c>
      <c r="K41" s="1" t="s">
        <v>45</v>
      </c>
      <c r="L41" s="1">
        <v>2</v>
      </c>
      <c r="M41" s="1" t="s">
        <v>14</v>
      </c>
    </row>
    <row r="42" spans="1:13" hidden="1" x14ac:dyDescent="0.25">
      <c r="A42" s="1">
        <v>1934</v>
      </c>
      <c r="B42" s="1">
        <v>21</v>
      </c>
      <c r="C42" s="2">
        <v>12566</v>
      </c>
      <c r="D42" s="1" t="s">
        <v>509</v>
      </c>
      <c r="E42" s="1" t="s">
        <v>33</v>
      </c>
      <c r="F42" s="1" t="s">
        <v>42</v>
      </c>
      <c r="G42" s="1" t="s">
        <v>43</v>
      </c>
      <c r="H42" s="6" t="str">
        <f>VLOOKUP(A42,WorldCups!$A$2:$B$23,2,FALSE)</f>
        <v>Italy</v>
      </c>
      <c r="I42" s="1" t="s">
        <v>45</v>
      </c>
      <c r="J42" s="1">
        <v>2</v>
      </c>
      <c r="K42" s="1" t="s">
        <v>44</v>
      </c>
      <c r="L42" s="1">
        <v>3</v>
      </c>
      <c r="M42" s="1" t="s">
        <v>14</v>
      </c>
    </row>
    <row r="43" spans="1:13" hidden="1" x14ac:dyDescent="0.25">
      <c r="A43" s="1">
        <v>1934</v>
      </c>
      <c r="B43" s="1">
        <f>B42+1</f>
        <v>22</v>
      </c>
      <c r="C43" s="2">
        <v>12566</v>
      </c>
      <c r="D43" s="1" t="s">
        <v>509</v>
      </c>
      <c r="E43" s="1" t="s">
        <v>33</v>
      </c>
      <c r="F43" s="1" t="s">
        <v>46</v>
      </c>
      <c r="G43" s="1" t="s">
        <v>47</v>
      </c>
      <c r="H43" s="6" t="str">
        <f>VLOOKUP(A43,WorldCups!$A$2:$B$23,2,FALSE)</f>
        <v>Italy</v>
      </c>
      <c r="I43" s="1" t="s">
        <v>48</v>
      </c>
      <c r="J43" s="1">
        <v>3</v>
      </c>
      <c r="K43" s="1" t="s">
        <v>25</v>
      </c>
      <c r="L43" s="1">
        <v>2</v>
      </c>
      <c r="M43" s="1" t="s">
        <v>14</v>
      </c>
    </row>
    <row r="44" spans="1:13" hidden="1" x14ac:dyDescent="0.25">
      <c r="A44" s="1">
        <v>1934</v>
      </c>
      <c r="B44" s="1">
        <v>22</v>
      </c>
      <c r="C44" s="2">
        <v>12566</v>
      </c>
      <c r="D44" s="1" t="s">
        <v>509</v>
      </c>
      <c r="E44" s="1" t="s">
        <v>33</v>
      </c>
      <c r="F44" s="1" t="s">
        <v>46</v>
      </c>
      <c r="G44" s="1" t="s">
        <v>47</v>
      </c>
      <c r="H44" s="6" t="str">
        <f>VLOOKUP(A44,WorldCups!$A$2:$B$23,2,FALSE)</f>
        <v>Italy</v>
      </c>
      <c r="I44" s="1" t="s">
        <v>25</v>
      </c>
      <c r="J44" s="1">
        <v>2</v>
      </c>
      <c r="K44" s="1" t="s">
        <v>48</v>
      </c>
      <c r="L44" s="1">
        <v>3</v>
      </c>
      <c r="M44" s="1" t="s">
        <v>14</v>
      </c>
    </row>
    <row r="45" spans="1:13" hidden="1" x14ac:dyDescent="0.25">
      <c r="A45" s="1">
        <v>1934</v>
      </c>
      <c r="B45" s="1">
        <f>B44+1</f>
        <v>23</v>
      </c>
      <c r="C45" s="2">
        <v>12566</v>
      </c>
      <c r="D45" s="1" t="s">
        <v>509</v>
      </c>
      <c r="E45" s="1" t="s">
        <v>33</v>
      </c>
      <c r="F45" s="1" t="s">
        <v>49</v>
      </c>
      <c r="G45" s="1" t="s">
        <v>50</v>
      </c>
      <c r="H45" s="6" t="str">
        <f>VLOOKUP(A45,WorldCups!$A$2:$B$23,2,FALSE)</f>
        <v>Italy</v>
      </c>
      <c r="I45" s="1" t="s">
        <v>51</v>
      </c>
      <c r="J45" s="1">
        <v>5</v>
      </c>
      <c r="K45" s="1" t="s">
        <v>18</v>
      </c>
      <c r="L45" s="1">
        <v>2</v>
      </c>
      <c r="M45" s="1" t="s">
        <v>14</v>
      </c>
    </row>
    <row r="46" spans="1:13" hidden="1" x14ac:dyDescent="0.25">
      <c r="A46" s="1">
        <v>1934</v>
      </c>
      <c r="B46" s="1">
        <v>23</v>
      </c>
      <c r="C46" s="2">
        <v>12566</v>
      </c>
      <c r="D46" s="1" t="s">
        <v>509</v>
      </c>
      <c r="E46" s="1" t="s">
        <v>33</v>
      </c>
      <c r="F46" s="1" t="s">
        <v>49</v>
      </c>
      <c r="G46" s="1" t="s">
        <v>50</v>
      </c>
      <c r="H46" s="6" t="str">
        <f>VLOOKUP(A46,WorldCups!$A$2:$B$23,2,FALSE)</f>
        <v>Italy</v>
      </c>
      <c r="I46" s="1" t="s">
        <v>18</v>
      </c>
      <c r="J46" s="1">
        <v>2</v>
      </c>
      <c r="K46" s="1" t="s">
        <v>51</v>
      </c>
      <c r="L46" s="1">
        <v>5</v>
      </c>
      <c r="M46" s="1" t="s">
        <v>14</v>
      </c>
    </row>
    <row r="47" spans="1:13" hidden="1" x14ac:dyDescent="0.25">
      <c r="A47" s="1">
        <v>1934</v>
      </c>
      <c r="B47" s="1">
        <f>B46+1</f>
        <v>24</v>
      </c>
      <c r="C47" s="2">
        <v>12566</v>
      </c>
      <c r="D47" s="1" t="s">
        <v>509</v>
      </c>
      <c r="E47" s="1" t="s">
        <v>33</v>
      </c>
      <c r="F47" s="1" t="s">
        <v>52</v>
      </c>
      <c r="G47" s="1" t="s">
        <v>53</v>
      </c>
      <c r="H47" s="6" t="str">
        <f>VLOOKUP(A47,WorldCups!$A$2:$B$23,2,FALSE)</f>
        <v>Italy</v>
      </c>
      <c r="I47" s="1" t="s">
        <v>54</v>
      </c>
      <c r="J47" s="1">
        <v>3</v>
      </c>
      <c r="K47" s="1" t="s">
        <v>21</v>
      </c>
      <c r="L47" s="1">
        <v>1</v>
      </c>
      <c r="M47" s="1" t="s">
        <v>14</v>
      </c>
    </row>
    <row r="48" spans="1:13" hidden="1" x14ac:dyDescent="0.25">
      <c r="A48" s="1">
        <v>1934</v>
      </c>
      <c r="B48" s="1">
        <v>24</v>
      </c>
      <c r="C48" s="2">
        <v>12566</v>
      </c>
      <c r="D48" s="1" t="s">
        <v>509</v>
      </c>
      <c r="E48" s="1" t="s">
        <v>33</v>
      </c>
      <c r="F48" s="1" t="s">
        <v>52</v>
      </c>
      <c r="G48" s="1" t="s">
        <v>53</v>
      </c>
      <c r="H48" s="6" t="str">
        <f>VLOOKUP(A48,WorldCups!$A$2:$B$23,2,FALSE)</f>
        <v>Italy</v>
      </c>
      <c r="I48" s="1" t="s">
        <v>21</v>
      </c>
      <c r="J48" s="1">
        <v>1</v>
      </c>
      <c r="K48" s="1" t="s">
        <v>54</v>
      </c>
      <c r="L48" s="1">
        <v>3</v>
      </c>
      <c r="M48" s="1" t="s">
        <v>14</v>
      </c>
    </row>
    <row r="49" spans="1:13" hidden="1" x14ac:dyDescent="0.25">
      <c r="A49" s="1">
        <v>1934</v>
      </c>
      <c r="B49" s="1">
        <f>B48+1</f>
        <v>25</v>
      </c>
      <c r="C49" s="2">
        <v>12566</v>
      </c>
      <c r="D49" s="1" t="s">
        <v>509</v>
      </c>
      <c r="E49" s="1" t="s">
        <v>33</v>
      </c>
      <c r="F49" s="1" t="s">
        <v>55</v>
      </c>
      <c r="G49" s="1" t="s">
        <v>56</v>
      </c>
      <c r="H49" s="6" t="str">
        <f>VLOOKUP(A49,WorldCups!$A$2:$B$23,2,FALSE)</f>
        <v>Italy</v>
      </c>
      <c r="I49" s="1" t="s">
        <v>57</v>
      </c>
      <c r="J49" s="1">
        <v>7</v>
      </c>
      <c r="K49" s="1" t="s">
        <v>17</v>
      </c>
      <c r="L49" s="1">
        <v>1</v>
      </c>
      <c r="M49" s="1" t="s">
        <v>14</v>
      </c>
    </row>
    <row r="50" spans="1:13" hidden="1" x14ac:dyDescent="0.25">
      <c r="A50" s="1">
        <v>1934</v>
      </c>
      <c r="B50" s="1">
        <v>25</v>
      </c>
      <c r="C50" s="2">
        <v>12566</v>
      </c>
      <c r="D50" s="1" t="s">
        <v>509</v>
      </c>
      <c r="E50" s="1" t="s">
        <v>33</v>
      </c>
      <c r="F50" s="1" t="s">
        <v>55</v>
      </c>
      <c r="G50" s="1" t="s">
        <v>56</v>
      </c>
      <c r="H50" s="6" t="str">
        <f>VLOOKUP(A50,WorldCups!$A$2:$B$23,2,FALSE)</f>
        <v>Italy</v>
      </c>
      <c r="I50" s="1" t="s">
        <v>17</v>
      </c>
      <c r="J50" s="1">
        <v>1</v>
      </c>
      <c r="K50" s="1" t="s">
        <v>57</v>
      </c>
      <c r="L50" s="1">
        <v>7</v>
      </c>
      <c r="M50" s="1" t="s">
        <v>14</v>
      </c>
    </row>
    <row r="51" spans="1:13" hidden="1" x14ac:dyDescent="0.25">
      <c r="A51" s="1">
        <v>1934</v>
      </c>
      <c r="B51" s="1">
        <f>B50+1</f>
        <v>26</v>
      </c>
      <c r="C51" s="2">
        <v>12566</v>
      </c>
      <c r="D51" s="1" t="s">
        <v>509</v>
      </c>
      <c r="E51" s="1" t="s">
        <v>33</v>
      </c>
      <c r="F51" s="1" t="s">
        <v>58</v>
      </c>
      <c r="G51" s="1" t="s">
        <v>59</v>
      </c>
      <c r="H51" s="6" t="str">
        <f>VLOOKUP(A51,WorldCups!$A$2:$B$23,2,FALSE)</f>
        <v>Italy</v>
      </c>
      <c r="I51" s="1" t="s">
        <v>60</v>
      </c>
      <c r="J51" s="1">
        <v>2</v>
      </c>
      <c r="K51" s="1" t="s">
        <v>23</v>
      </c>
      <c r="L51" s="1">
        <v>1</v>
      </c>
      <c r="M51" s="1" t="s">
        <v>14</v>
      </c>
    </row>
    <row r="52" spans="1:13" hidden="1" x14ac:dyDescent="0.25">
      <c r="A52" s="1">
        <v>1934</v>
      </c>
      <c r="B52" s="1">
        <v>26</v>
      </c>
      <c r="C52" s="2">
        <v>12566</v>
      </c>
      <c r="D52" s="1" t="s">
        <v>509</v>
      </c>
      <c r="E52" s="1" t="s">
        <v>33</v>
      </c>
      <c r="F52" s="1" t="s">
        <v>58</v>
      </c>
      <c r="G52" s="1" t="s">
        <v>59</v>
      </c>
      <c r="H52" s="6" t="str">
        <f>VLOOKUP(A52,WorldCups!$A$2:$B$23,2,FALSE)</f>
        <v>Italy</v>
      </c>
      <c r="I52" s="1" t="s">
        <v>23</v>
      </c>
      <c r="J52" s="1">
        <v>1</v>
      </c>
      <c r="K52" s="1" t="s">
        <v>60</v>
      </c>
      <c r="L52" s="1">
        <v>2</v>
      </c>
      <c r="M52" s="1" t="s">
        <v>14</v>
      </c>
    </row>
    <row r="53" spans="1:13" hidden="1" x14ac:dyDescent="0.25">
      <c r="A53" s="1">
        <v>1934</v>
      </c>
      <c r="B53" s="1">
        <f>B52+1</f>
        <v>27</v>
      </c>
      <c r="C53" s="2">
        <v>12570</v>
      </c>
      <c r="D53" s="1" t="s">
        <v>509</v>
      </c>
      <c r="E53" s="1" t="s">
        <v>61</v>
      </c>
      <c r="F53" s="1" t="s">
        <v>34</v>
      </c>
      <c r="G53" s="1" t="s">
        <v>35</v>
      </c>
      <c r="H53" s="6" t="str">
        <f>VLOOKUP(A53,WorldCups!$A$2:$B$23,2,FALSE)</f>
        <v>Italy</v>
      </c>
      <c r="I53" s="1" t="s">
        <v>60</v>
      </c>
      <c r="J53" s="1">
        <v>3</v>
      </c>
      <c r="K53" s="1" t="s">
        <v>44</v>
      </c>
      <c r="L53" s="1">
        <v>2</v>
      </c>
      <c r="M53" s="1" t="s">
        <v>14</v>
      </c>
    </row>
    <row r="54" spans="1:13" hidden="1" x14ac:dyDescent="0.25">
      <c r="A54" s="1">
        <v>1934</v>
      </c>
      <c r="B54" s="1">
        <v>27</v>
      </c>
      <c r="C54" s="2">
        <v>12570</v>
      </c>
      <c r="D54" s="1" t="s">
        <v>509</v>
      </c>
      <c r="E54" s="1" t="s">
        <v>61</v>
      </c>
      <c r="F54" s="1" t="s">
        <v>34</v>
      </c>
      <c r="G54" s="1" t="s">
        <v>35</v>
      </c>
      <c r="H54" s="6" t="str">
        <f>VLOOKUP(A54,WorldCups!$A$2:$B$23,2,FALSE)</f>
        <v>Italy</v>
      </c>
      <c r="I54" s="1" t="s">
        <v>44</v>
      </c>
      <c r="J54" s="1">
        <v>2</v>
      </c>
      <c r="K54" s="1" t="s">
        <v>60</v>
      </c>
      <c r="L54" s="1">
        <v>3</v>
      </c>
      <c r="M54" s="1" t="s">
        <v>14</v>
      </c>
    </row>
    <row r="55" spans="1:13" hidden="1" x14ac:dyDescent="0.25">
      <c r="A55" s="1">
        <v>1934</v>
      </c>
      <c r="B55" s="1">
        <f>B54+1</f>
        <v>28</v>
      </c>
      <c r="C55" s="2">
        <v>12570</v>
      </c>
      <c r="D55" s="1" t="s">
        <v>509</v>
      </c>
      <c r="E55" s="1" t="s">
        <v>61</v>
      </c>
      <c r="F55" s="1" t="s">
        <v>42</v>
      </c>
      <c r="G55" s="1" t="s">
        <v>43</v>
      </c>
      <c r="H55" s="6" t="str">
        <f>VLOOKUP(A55,WorldCups!$A$2:$B$23,2,FALSE)</f>
        <v>Italy</v>
      </c>
      <c r="I55" s="1" t="s">
        <v>51</v>
      </c>
      <c r="J55" s="1">
        <v>2</v>
      </c>
      <c r="K55" s="1" t="s">
        <v>48</v>
      </c>
      <c r="L55" s="1">
        <v>1</v>
      </c>
      <c r="M55" s="1" t="s">
        <v>14</v>
      </c>
    </row>
    <row r="56" spans="1:13" hidden="1" x14ac:dyDescent="0.25">
      <c r="A56" s="1">
        <v>1934</v>
      </c>
      <c r="B56" s="1">
        <v>28</v>
      </c>
      <c r="C56" s="2">
        <v>12570</v>
      </c>
      <c r="D56" s="1" t="s">
        <v>509</v>
      </c>
      <c r="E56" s="1" t="s">
        <v>61</v>
      </c>
      <c r="F56" s="1" t="s">
        <v>42</v>
      </c>
      <c r="G56" s="1" t="s">
        <v>43</v>
      </c>
      <c r="H56" s="6" t="str">
        <f>VLOOKUP(A56,WorldCups!$A$2:$B$23,2,FALSE)</f>
        <v>Italy</v>
      </c>
      <c r="I56" s="1" t="s">
        <v>48</v>
      </c>
      <c r="J56" s="1">
        <v>1</v>
      </c>
      <c r="K56" s="1" t="s">
        <v>51</v>
      </c>
      <c r="L56" s="1">
        <v>2</v>
      </c>
      <c r="M56" s="1" t="s">
        <v>14</v>
      </c>
    </row>
    <row r="57" spans="1:13" hidden="1" x14ac:dyDescent="0.25">
      <c r="A57" s="1">
        <v>1934</v>
      </c>
      <c r="B57" s="1">
        <f>B56+1</f>
        <v>29</v>
      </c>
      <c r="C57" s="2">
        <v>12570</v>
      </c>
      <c r="D57" s="1" t="s">
        <v>509</v>
      </c>
      <c r="E57" s="1" t="s">
        <v>61</v>
      </c>
      <c r="F57" s="1" t="s">
        <v>49</v>
      </c>
      <c r="G57" s="1" t="s">
        <v>50</v>
      </c>
      <c r="H57" s="6" t="str">
        <f>VLOOKUP(A57,WorldCups!$A$2:$B$23,2,FALSE)</f>
        <v>Italy</v>
      </c>
      <c r="I57" s="1" t="s">
        <v>57</v>
      </c>
      <c r="J57" s="1">
        <v>1</v>
      </c>
      <c r="K57" s="1" t="s">
        <v>54</v>
      </c>
      <c r="L57" s="1">
        <v>1</v>
      </c>
      <c r="M57" s="1" t="s">
        <v>14</v>
      </c>
    </row>
    <row r="58" spans="1:13" hidden="1" x14ac:dyDescent="0.25">
      <c r="A58" s="1">
        <v>1934</v>
      </c>
      <c r="B58" s="1">
        <v>29</v>
      </c>
      <c r="C58" s="2">
        <v>12570</v>
      </c>
      <c r="D58" s="1" t="s">
        <v>509</v>
      </c>
      <c r="E58" s="1" t="s">
        <v>61</v>
      </c>
      <c r="F58" s="1" t="s">
        <v>49</v>
      </c>
      <c r="G58" s="1" t="s">
        <v>50</v>
      </c>
      <c r="H58" s="6" t="str">
        <f>VLOOKUP(A58,WorldCups!$A$2:$B$23,2,FALSE)</f>
        <v>Italy</v>
      </c>
      <c r="I58" s="1" t="s">
        <v>54</v>
      </c>
      <c r="J58" s="1">
        <v>1</v>
      </c>
      <c r="K58" s="1" t="s">
        <v>57</v>
      </c>
      <c r="L58" s="1">
        <v>1</v>
      </c>
      <c r="M58" s="1" t="s">
        <v>14</v>
      </c>
    </row>
    <row r="59" spans="1:13" hidden="1" x14ac:dyDescent="0.25">
      <c r="A59" s="1">
        <v>1934</v>
      </c>
      <c r="B59" s="1">
        <f>B58+1</f>
        <v>30</v>
      </c>
      <c r="C59" s="2">
        <v>12570</v>
      </c>
      <c r="D59" s="1" t="s">
        <v>509</v>
      </c>
      <c r="E59" s="1" t="s">
        <v>61</v>
      </c>
      <c r="F59" s="1" t="s">
        <v>46</v>
      </c>
      <c r="G59" s="1" t="s">
        <v>47</v>
      </c>
      <c r="H59" s="6" t="str">
        <f>VLOOKUP(A59,WorldCups!$A$2:$B$23,2,FALSE)</f>
        <v>Italy</v>
      </c>
      <c r="I59" s="1" t="s">
        <v>36</v>
      </c>
      <c r="J59" s="1">
        <v>2</v>
      </c>
      <c r="K59" s="1" t="s">
        <v>40</v>
      </c>
      <c r="L59" s="1">
        <v>1</v>
      </c>
      <c r="M59" s="1" t="s">
        <v>14</v>
      </c>
    </row>
    <row r="60" spans="1:13" hidden="1" x14ac:dyDescent="0.25">
      <c r="A60" s="1">
        <v>1934</v>
      </c>
      <c r="B60" s="1">
        <v>30</v>
      </c>
      <c r="C60" s="2">
        <v>12570</v>
      </c>
      <c r="D60" s="1" t="s">
        <v>509</v>
      </c>
      <c r="E60" s="1" t="s">
        <v>61</v>
      </c>
      <c r="F60" s="1" t="s">
        <v>46</v>
      </c>
      <c r="G60" s="1" t="s">
        <v>47</v>
      </c>
      <c r="H60" s="6" t="str">
        <f>VLOOKUP(A60,WorldCups!$A$2:$B$23,2,FALSE)</f>
        <v>Italy</v>
      </c>
      <c r="I60" s="1" t="s">
        <v>40</v>
      </c>
      <c r="J60" s="1">
        <v>1</v>
      </c>
      <c r="K60" s="1" t="s">
        <v>36</v>
      </c>
      <c r="L60" s="1">
        <v>2</v>
      </c>
      <c r="M60" s="1" t="s">
        <v>14</v>
      </c>
    </row>
    <row r="61" spans="1:13" hidden="1" x14ac:dyDescent="0.25">
      <c r="A61" s="1">
        <v>1934</v>
      </c>
      <c r="B61" s="1">
        <f>B60+1</f>
        <v>31</v>
      </c>
      <c r="C61" s="2">
        <v>12571</v>
      </c>
      <c r="D61" s="1" t="s">
        <v>509</v>
      </c>
      <c r="E61" s="1" t="s">
        <v>61</v>
      </c>
      <c r="F61" s="1" t="s">
        <v>49</v>
      </c>
      <c r="G61" s="1" t="s">
        <v>50</v>
      </c>
      <c r="H61" s="6" t="str">
        <f>VLOOKUP(A61,WorldCups!$A$2:$B$23,2,FALSE)</f>
        <v>Italy</v>
      </c>
      <c r="I61" s="1" t="s">
        <v>57</v>
      </c>
      <c r="J61" s="1">
        <v>1</v>
      </c>
      <c r="K61" s="1" t="s">
        <v>54</v>
      </c>
      <c r="L61" s="1">
        <v>0</v>
      </c>
      <c r="M61" s="1" t="s">
        <v>14</v>
      </c>
    </row>
    <row r="62" spans="1:13" hidden="1" x14ac:dyDescent="0.25">
      <c r="A62" s="1">
        <v>1934</v>
      </c>
      <c r="B62" s="1">
        <v>31</v>
      </c>
      <c r="C62" s="2">
        <v>12571</v>
      </c>
      <c r="D62" s="1" t="s">
        <v>509</v>
      </c>
      <c r="E62" s="1" t="s">
        <v>61</v>
      </c>
      <c r="F62" s="1" t="s">
        <v>49</v>
      </c>
      <c r="G62" s="1" t="s">
        <v>50</v>
      </c>
      <c r="H62" s="6" t="str">
        <f>VLOOKUP(A62,WorldCups!$A$2:$B$23,2,FALSE)</f>
        <v>Italy</v>
      </c>
      <c r="I62" s="1" t="s">
        <v>54</v>
      </c>
      <c r="J62" s="1">
        <v>0</v>
      </c>
      <c r="K62" s="1" t="s">
        <v>57</v>
      </c>
      <c r="L62" s="1">
        <v>1</v>
      </c>
      <c r="M62" s="1" t="s">
        <v>14</v>
      </c>
    </row>
    <row r="63" spans="1:13" hidden="1" x14ac:dyDescent="0.25">
      <c r="A63" s="1">
        <v>1934</v>
      </c>
      <c r="B63" s="1">
        <f>B62+1</f>
        <v>32</v>
      </c>
      <c r="C63" s="2">
        <v>12573</v>
      </c>
      <c r="D63" s="1" t="s">
        <v>509</v>
      </c>
      <c r="E63" s="1" t="s">
        <v>31</v>
      </c>
      <c r="F63" s="1" t="s">
        <v>42</v>
      </c>
      <c r="G63" s="1" t="s">
        <v>43</v>
      </c>
      <c r="H63" s="6" t="str">
        <f>VLOOKUP(A63,WorldCups!$A$2:$B$23,2,FALSE)</f>
        <v>Italy</v>
      </c>
      <c r="I63" s="1" t="s">
        <v>57</v>
      </c>
      <c r="J63" s="1">
        <v>1</v>
      </c>
      <c r="K63" s="1" t="s">
        <v>36</v>
      </c>
      <c r="L63" s="1">
        <v>0</v>
      </c>
      <c r="M63" s="1" t="s">
        <v>14</v>
      </c>
    </row>
    <row r="64" spans="1:13" hidden="1" x14ac:dyDescent="0.25">
      <c r="A64" s="1">
        <v>1934</v>
      </c>
      <c r="B64" s="1">
        <v>32</v>
      </c>
      <c r="C64" s="2">
        <v>12573</v>
      </c>
      <c r="D64" s="1" t="s">
        <v>509</v>
      </c>
      <c r="E64" s="1" t="s">
        <v>31</v>
      </c>
      <c r="F64" s="1" t="s">
        <v>42</v>
      </c>
      <c r="G64" s="1" t="s">
        <v>43</v>
      </c>
      <c r="H64" s="6" t="str">
        <f>VLOOKUP(A64,WorldCups!$A$2:$B$23,2,FALSE)</f>
        <v>Italy</v>
      </c>
      <c r="I64" s="1" t="s">
        <v>36</v>
      </c>
      <c r="J64" s="1">
        <v>0</v>
      </c>
      <c r="K64" s="1" t="s">
        <v>57</v>
      </c>
      <c r="L64" s="1">
        <v>1</v>
      </c>
      <c r="M64" s="1" t="s">
        <v>14</v>
      </c>
    </row>
    <row r="65" spans="1:13" hidden="1" x14ac:dyDescent="0.25">
      <c r="A65" s="1">
        <v>1934</v>
      </c>
      <c r="B65" s="1">
        <f>B64+1</f>
        <v>33</v>
      </c>
      <c r="C65" s="2">
        <v>12573</v>
      </c>
      <c r="D65" s="1" t="s">
        <v>509</v>
      </c>
      <c r="E65" s="1" t="s">
        <v>31</v>
      </c>
      <c r="F65" s="1" t="s">
        <v>55</v>
      </c>
      <c r="G65" s="1" t="s">
        <v>56</v>
      </c>
      <c r="H65" s="6" t="str">
        <f>VLOOKUP(A65,WorldCups!$A$2:$B$23,2,FALSE)</f>
        <v>Italy</v>
      </c>
      <c r="I65" s="1" t="s">
        <v>60</v>
      </c>
      <c r="J65" s="1">
        <v>3</v>
      </c>
      <c r="K65" s="1" t="s">
        <v>51</v>
      </c>
      <c r="L65" s="1">
        <v>1</v>
      </c>
      <c r="M65" s="1" t="s">
        <v>14</v>
      </c>
    </row>
    <row r="66" spans="1:13" hidden="1" x14ac:dyDescent="0.25">
      <c r="A66" s="1">
        <v>1934</v>
      </c>
      <c r="B66" s="1">
        <v>33</v>
      </c>
      <c r="C66" s="2">
        <v>12573</v>
      </c>
      <c r="D66" s="1" t="s">
        <v>509</v>
      </c>
      <c r="E66" s="1" t="s">
        <v>31</v>
      </c>
      <c r="F66" s="1" t="s">
        <v>55</v>
      </c>
      <c r="G66" s="1" t="s">
        <v>56</v>
      </c>
      <c r="H66" s="6" t="str">
        <f>VLOOKUP(A66,WorldCups!$A$2:$B$23,2,FALSE)</f>
        <v>Italy</v>
      </c>
      <c r="I66" s="1" t="s">
        <v>51</v>
      </c>
      <c r="J66" s="1">
        <v>1</v>
      </c>
      <c r="K66" s="1" t="s">
        <v>60</v>
      </c>
      <c r="L66" s="1">
        <v>3</v>
      </c>
      <c r="M66" s="1" t="s">
        <v>14</v>
      </c>
    </row>
    <row r="67" spans="1:13" hidden="1" x14ac:dyDescent="0.25">
      <c r="A67" s="1">
        <v>1934</v>
      </c>
      <c r="B67" s="1">
        <f>B66+1</f>
        <v>34</v>
      </c>
      <c r="C67" s="2">
        <v>12577</v>
      </c>
      <c r="D67" s="1" t="s">
        <v>510</v>
      </c>
      <c r="E67" s="1" t="s">
        <v>62</v>
      </c>
      <c r="F67" s="1" t="s">
        <v>38</v>
      </c>
      <c r="G67" s="1" t="s">
        <v>39</v>
      </c>
      <c r="H67" s="6" t="str">
        <f>VLOOKUP(A67,WorldCups!$A$2:$B$23,2,FALSE)</f>
        <v>Italy</v>
      </c>
      <c r="I67" s="1" t="s">
        <v>51</v>
      </c>
      <c r="J67" s="1">
        <v>3</v>
      </c>
      <c r="K67" s="1" t="s">
        <v>36</v>
      </c>
      <c r="L67" s="1">
        <v>2</v>
      </c>
      <c r="M67" s="1" t="s">
        <v>14</v>
      </c>
    </row>
    <row r="68" spans="1:13" hidden="1" x14ac:dyDescent="0.25">
      <c r="A68" s="1">
        <v>1934</v>
      </c>
      <c r="B68" s="1">
        <v>34</v>
      </c>
      <c r="C68" s="2">
        <v>12577</v>
      </c>
      <c r="D68" s="1" t="s">
        <v>510</v>
      </c>
      <c r="E68" s="1" t="s">
        <v>62</v>
      </c>
      <c r="F68" s="1" t="s">
        <v>38</v>
      </c>
      <c r="G68" s="1" t="s">
        <v>39</v>
      </c>
      <c r="H68" s="6" t="str">
        <f>VLOOKUP(A68,WorldCups!$A$2:$B$23,2,FALSE)</f>
        <v>Italy</v>
      </c>
      <c r="I68" s="1" t="s">
        <v>36</v>
      </c>
      <c r="J68" s="1">
        <v>2</v>
      </c>
      <c r="K68" s="1" t="s">
        <v>51</v>
      </c>
      <c r="L68" s="1">
        <v>3</v>
      </c>
      <c r="M68" s="1" t="s">
        <v>14</v>
      </c>
    </row>
    <row r="69" spans="1:13" hidden="1" x14ac:dyDescent="0.25">
      <c r="A69" s="1">
        <v>1934</v>
      </c>
      <c r="B69" s="1">
        <f>B68+1</f>
        <v>35</v>
      </c>
      <c r="C69" s="2">
        <v>12580</v>
      </c>
      <c r="D69" s="1" t="s">
        <v>511</v>
      </c>
      <c r="E69" s="1" t="s">
        <v>32</v>
      </c>
      <c r="F69" s="1" t="s">
        <v>55</v>
      </c>
      <c r="G69" s="1" t="s">
        <v>56</v>
      </c>
      <c r="H69" s="6" t="str">
        <f>VLOOKUP(A69,WorldCups!$A$2:$B$23,2,FALSE)</f>
        <v>Italy</v>
      </c>
      <c r="I69" s="1" t="s">
        <v>57</v>
      </c>
      <c r="J69" s="1">
        <v>2</v>
      </c>
      <c r="K69" s="1" t="s">
        <v>60</v>
      </c>
      <c r="L69" s="1">
        <v>1</v>
      </c>
      <c r="M69" s="1" t="s">
        <v>63</v>
      </c>
    </row>
    <row r="70" spans="1:13" hidden="1" x14ac:dyDescent="0.25">
      <c r="A70" s="1">
        <v>1934</v>
      </c>
      <c r="B70" s="1">
        <v>35</v>
      </c>
      <c r="C70" s="2">
        <v>12580</v>
      </c>
      <c r="D70" s="1" t="s">
        <v>511</v>
      </c>
      <c r="E70" s="1" t="s">
        <v>32</v>
      </c>
      <c r="F70" s="1" t="s">
        <v>55</v>
      </c>
      <c r="G70" s="1" t="s">
        <v>56</v>
      </c>
      <c r="H70" s="6" t="str">
        <f>VLOOKUP(A70,WorldCups!$A$2:$B$23,2,FALSE)</f>
        <v>Italy</v>
      </c>
      <c r="I70" s="1" t="s">
        <v>60</v>
      </c>
      <c r="J70" s="1">
        <v>1</v>
      </c>
      <c r="K70" s="1" t="s">
        <v>57</v>
      </c>
      <c r="L70" s="1">
        <v>2</v>
      </c>
      <c r="M70" s="1" t="s">
        <v>63</v>
      </c>
    </row>
    <row r="71" spans="1:13" hidden="1" x14ac:dyDescent="0.25">
      <c r="A71" s="1">
        <v>1938</v>
      </c>
      <c r="B71" s="1">
        <f>B70+1</f>
        <v>36</v>
      </c>
      <c r="C71" s="2">
        <v>14035</v>
      </c>
      <c r="D71" s="1" t="s">
        <v>512</v>
      </c>
      <c r="E71" s="1" t="s">
        <v>64</v>
      </c>
      <c r="F71" s="1" t="s">
        <v>65</v>
      </c>
      <c r="G71" s="1" t="s">
        <v>66</v>
      </c>
      <c r="H71" s="6" t="str">
        <f>VLOOKUP(A71,WorldCups!$A$2:$B$23,2,FALSE)</f>
        <v>France</v>
      </c>
      <c r="I71" s="1" t="s">
        <v>44</v>
      </c>
      <c r="J71" s="1">
        <v>1</v>
      </c>
      <c r="K71" s="1" t="s">
        <v>51</v>
      </c>
      <c r="L71" s="1">
        <v>1</v>
      </c>
      <c r="M71" s="1" t="s">
        <v>14</v>
      </c>
    </row>
    <row r="72" spans="1:13" hidden="1" x14ac:dyDescent="0.25">
      <c r="A72" s="1">
        <v>1938</v>
      </c>
      <c r="B72" s="1">
        <v>36</v>
      </c>
      <c r="C72" s="2">
        <v>14035</v>
      </c>
      <c r="D72" s="1" t="s">
        <v>512</v>
      </c>
      <c r="E72" s="1" t="s">
        <v>64</v>
      </c>
      <c r="F72" s="1" t="s">
        <v>65</v>
      </c>
      <c r="G72" s="1" t="s">
        <v>66</v>
      </c>
      <c r="H72" s="6" t="str">
        <f>VLOOKUP(A72,WorldCups!$A$2:$B$23,2,FALSE)</f>
        <v>France</v>
      </c>
      <c r="I72" s="1" t="s">
        <v>51</v>
      </c>
      <c r="J72" s="1">
        <v>1</v>
      </c>
      <c r="K72" s="1" t="s">
        <v>44</v>
      </c>
      <c r="L72" s="1">
        <v>1</v>
      </c>
      <c r="M72" s="1" t="s">
        <v>14</v>
      </c>
    </row>
    <row r="73" spans="1:13" hidden="1" x14ac:dyDescent="0.25">
      <c r="A73" s="1">
        <v>1938</v>
      </c>
      <c r="B73" s="1">
        <f>B72+1</f>
        <v>37</v>
      </c>
      <c r="C73" s="2">
        <v>14036</v>
      </c>
      <c r="D73" s="1" t="s">
        <v>512</v>
      </c>
      <c r="E73" s="1" t="s">
        <v>64</v>
      </c>
      <c r="F73" s="1" t="s">
        <v>67</v>
      </c>
      <c r="G73" s="1" t="s">
        <v>68</v>
      </c>
      <c r="H73" s="6" t="str">
        <f>VLOOKUP(A73,WorldCups!$A$2:$B$23,2,FALSE)</f>
        <v>France</v>
      </c>
      <c r="I73" s="1" t="s">
        <v>40</v>
      </c>
      <c r="J73" s="1">
        <v>6</v>
      </c>
      <c r="K73" s="1" t="s">
        <v>69</v>
      </c>
      <c r="L73" s="1">
        <v>0</v>
      </c>
      <c r="M73" s="1" t="s">
        <v>14</v>
      </c>
    </row>
    <row r="74" spans="1:13" hidden="1" x14ac:dyDescent="0.25">
      <c r="A74" s="1">
        <v>1938</v>
      </c>
      <c r="B74" s="1">
        <v>37</v>
      </c>
      <c r="C74" s="2">
        <v>14036</v>
      </c>
      <c r="D74" s="1" t="s">
        <v>512</v>
      </c>
      <c r="E74" s="1" t="s">
        <v>64</v>
      </c>
      <c r="F74" s="1" t="s">
        <v>67</v>
      </c>
      <c r="G74" s="1" t="s">
        <v>68</v>
      </c>
      <c r="H74" s="6" t="str">
        <f>VLOOKUP(A74,WorldCups!$A$2:$B$23,2,FALSE)</f>
        <v>France</v>
      </c>
      <c r="I74" s="1" t="s">
        <v>69</v>
      </c>
      <c r="J74" s="1">
        <v>0</v>
      </c>
      <c r="K74" s="1" t="s">
        <v>40</v>
      </c>
      <c r="L74" s="1">
        <v>6</v>
      </c>
      <c r="M74" s="1" t="s">
        <v>14</v>
      </c>
    </row>
    <row r="75" spans="1:13" hidden="1" x14ac:dyDescent="0.25">
      <c r="A75" s="1">
        <v>1938</v>
      </c>
      <c r="B75" s="1">
        <f>B74+1</f>
        <v>38</v>
      </c>
      <c r="C75" s="2">
        <v>14036</v>
      </c>
      <c r="D75" s="1" t="s">
        <v>512</v>
      </c>
      <c r="E75" s="1" t="s">
        <v>64</v>
      </c>
      <c r="F75" s="1" t="s">
        <v>70</v>
      </c>
      <c r="G75" s="1" t="s">
        <v>71</v>
      </c>
      <c r="H75" s="6" t="str">
        <f>VLOOKUP(A75,WorldCups!$A$2:$B$23,2,FALSE)</f>
        <v>France</v>
      </c>
      <c r="I75" s="1" t="s">
        <v>12</v>
      </c>
      <c r="J75" s="1">
        <v>3</v>
      </c>
      <c r="K75" s="1" t="s">
        <v>18</v>
      </c>
      <c r="L75" s="1">
        <v>1</v>
      </c>
      <c r="M75" s="1" t="s">
        <v>14</v>
      </c>
    </row>
    <row r="76" spans="1:13" hidden="1" x14ac:dyDescent="0.25">
      <c r="A76" s="1">
        <v>1938</v>
      </c>
      <c r="B76" s="1">
        <v>38</v>
      </c>
      <c r="C76" s="2">
        <v>14036</v>
      </c>
      <c r="D76" s="1" t="s">
        <v>512</v>
      </c>
      <c r="E76" s="1" t="s">
        <v>64</v>
      </c>
      <c r="F76" s="1" t="s">
        <v>70</v>
      </c>
      <c r="G76" s="1" t="s">
        <v>71</v>
      </c>
      <c r="H76" s="6" t="str">
        <f>VLOOKUP(A76,WorldCups!$A$2:$B$23,2,FALSE)</f>
        <v>France</v>
      </c>
      <c r="I76" s="1" t="s">
        <v>18</v>
      </c>
      <c r="J76" s="1">
        <v>1</v>
      </c>
      <c r="K76" s="1" t="s">
        <v>12</v>
      </c>
      <c r="L76" s="1">
        <v>3</v>
      </c>
      <c r="M76" s="1" t="s">
        <v>14</v>
      </c>
    </row>
    <row r="77" spans="1:13" hidden="1" x14ac:dyDescent="0.25">
      <c r="A77" s="1">
        <v>1938</v>
      </c>
      <c r="B77" s="1">
        <f>B76+1</f>
        <v>39</v>
      </c>
      <c r="C77" s="2">
        <v>14036</v>
      </c>
      <c r="D77" s="1" t="s">
        <v>512</v>
      </c>
      <c r="E77" s="1" t="s">
        <v>64</v>
      </c>
      <c r="F77" s="1" t="s">
        <v>72</v>
      </c>
      <c r="G77" s="1" t="s">
        <v>73</v>
      </c>
      <c r="H77" s="6" t="str">
        <f>VLOOKUP(A77,WorldCups!$A$2:$B$23,2,FALSE)</f>
        <v>France</v>
      </c>
      <c r="I77" s="1" t="s">
        <v>74</v>
      </c>
      <c r="J77" s="1">
        <v>3</v>
      </c>
      <c r="K77" s="1" t="s">
        <v>23</v>
      </c>
      <c r="L77" s="1">
        <v>3</v>
      </c>
      <c r="M77" s="1" t="s">
        <v>14</v>
      </c>
    </row>
    <row r="78" spans="1:13" hidden="1" x14ac:dyDescent="0.25">
      <c r="A78" s="1">
        <v>1938</v>
      </c>
      <c r="B78" s="1">
        <v>39</v>
      </c>
      <c r="C78" s="2">
        <v>14036</v>
      </c>
      <c r="D78" s="1" t="s">
        <v>512</v>
      </c>
      <c r="E78" s="1" t="s">
        <v>64</v>
      </c>
      <c r="F78" s="1" t="s">
        <v>72</v>
      </c>
      <c r="G78" s="1" t="s">
        <v>73</v>
      </c>
      <c r="H78" s="6" t="str">
        <f>VLOOKUP(A78,WorldCups!$A$2:$B$23,2,FALSE)</f>
        <v>France</v>
      </c>
      <c r="I78" s="1" t="s">
        <v>23</v>
      </c>
      <c r="J78" s="1">
        <v>3</v>
      </c>
      <c r="K78" s="1" t="s">
        <v>74</v>
      </c>
      <c r="L78" s="1">
        <v>3</v>
      </c>
      <c r="M78" s="1" t="s">
        <v>14</v>
      </c>
    </row>
    <row r="79" spans="1:13" hidden="1" x14ac:dyDescent="0.25">
      <c r="A79" s="1">
        <v>1938</v>
      </c>
      <c r="B79" s="1">
        <f>B78+1</f>
        <v>40</v>
      </c>
      <c r="C79" s="2">
        <v>14036</v>
      </c>
      <c r="D79" s="1" t="s">
        <v>512</v>
      </c>
      <c r="E79" s="1" t="s">
        <v>64</v>
      </c>
      <c r="F79" s="1" t="s">
        <v>75</v>
      </c>
      <c r="G79" s="1" t="s">
        <v>76</v>
      </c>
      <c r="H79" s="6" t="str">
        <f>VLOOKUP(A79,WorldCups!$A$2:$B$23,2,FALSE)</f>
        <v>France</v>
      </c>
      <c r="I79" s="1" t="s">
        <v>57</v>
      </c>
      <c r="J79" s="1">
        <v>2</v>
      </c>
      <c r="K79" s="1" t="s">
        <v>77</v>
      </c>
      <c r="L79" s="1">
        <v>1</v>
      </c>
      <c r="M79" s="1" t="s">
        <v>63</v>
      </c>
    </row>
    <row r="80" spans="1:13" hidden="1" x14ac:dyDescent="0.25">
      <c r="A80" s="1">
        <v>1938</v>
      </c>
      <c r="B80" s="1">
        <v>40</v>
      </c>
      <c r="C80" s="2">
        <v>14036</v>
      </c>
      <c r="D80" s="1" t="s">
        <v>512</v>
      </c>
      <c r="E80" s="1" t="s">
        <v>64</v>
      </c>
      <c r="F80" s="1" t="s">
        <v>75</v>
      </c>
      <c r="G80" s="1" t="s">
        <v>76</v>
      </c>
      <c r="H80" s="6" t="str">
        <f>VLOOKUP(A80,WorldCups!$A$2:$B$23,2,FALSE)</f>
        <v>France</v>
      </c>
      <c r="I80" s="1" t="s">
        <v>77</v>
      </c>
      <c r="J80" s="1">
        <v>1</v>
      </c>
      <c r="K80" s="1" t="s">
        <v>57</v>
      </c>
      <c r="L80" s="1">
        <v>2</v>
      </c>
      <c r="M80" s="1" t="s">
        <v>63</v>
      </c>
    </row>
    <row r="81" spans="1:13" hidden="1" x14ac:dyDescent="0.25">
      <c r="A81" s="1">
        <v>1938</v>
      </c>
      <c r="B81" s="1">
        <f>B80+1</f>
        <v>41</v>
      </c>
      <c r="C81" s="2">
        <v>14036</v>
      </c>
      <c r="D81" s="1" t="s">
        <v>511</v>
      </c>
      <c r="E81" s="1" t="s">
        <v>64</v>
      </c>
      <c r="F81" s="1" t="s">
        <v>78</v>
      </c>
      <c r="G81" s="1" t="s">
        <v>79</v>
      </c>
      <c r="H81" s="6" t="str">
        <f>VLOOKUP(A81,WorldCups!$A$2:$B$23,2,FALSE)</f>
        <v>France</v>
      </c>
      <c r="I81" s="1" t="s">
        <v>21</v>
      </c>
      <c r="J81" s="1">
        <v>6</v>
      </c>
      <c r="K81" s="1" t="s">
        <v>80</v>
      </c>
      <c r="L81" s="1">
        <v>5</v>
      </c>
      <c r="M81" s="1" t="s">
        <v>81</v>
      </c>
    </row>
    <row r="82" spans="1:13" hidden="1" x14ac:dyDescent="0.25">
      <c r="A82" s="1">
        <v>1938</v>
      </c>
      <c r="B82" s="1">
        <v>41</v>
      </c>
      <c r="C82" s="2">
        <v>14036</v>
      </c>
      <c r="D82" s="1" t="s">
        <v>511</v>
      </c>
      <c r="E82" s="1" t="s">
        <v>64</v>
      </c>
      <c r="F82" s="1" t="s">
        <v>78</v>
      </c>
      <c r="G82" s="1" t="s">
        <v>79</v>
      </c>
      <c r="H82" s="6" t="str">
        <f>VLOOKUP(A82,WorldCups!$A$2:$B$23,2,FALSE)</f>
        <v>France</v>
      </c>
      <c r="I82" s="1" t="s">
        <v>80</v>
      </c>
      <c r="J82" s="1">
        <v>5</v>
      </c>
      <c r="K82" s="1" t="s">
        <v>21</v>
      </c>
      <c r="L82" s="1">
        <v>6</v>
      </c>
      <c r="M82" s="1" t="s">
        <v>81</v>
      </c>
    </row>
    <row r="83" spans="1:13" hidden="1" x14ac:dyDescent="0.25">
      <c r="A83" s="1">
        <v>1938</v>
      </c>
      <c r="B83" s="1">
        <f>B82+1</f>
        <v>42</v>
      </c>
      <c r="C83" s="2">
        <v>14036</v>
      </c>
      <c r="D83" s="1" t="s">
        <v>513</v>
      </c>
      <c r="E83" s="1" t="s">
        <v>64</v>
      </c>
      <c r="F83" s="1" t="s">
        <v>82</v>
      </c>
      <c r="G83" s="1" t="s">
        <v>83</v>
      </c>
      <c r="H83" s="6" t="str">
        <f>VLOOKUP(A83,WorldCups!$A$2:$B$23,2,FALSE)</f>
        <v>France</v>
      </c>
      <c r="I83" s="1" t="s">
        <v>60</v>
      </c>
      <c r="J83" s="1">
        <v>3</v>
      </c>
      <c r="K83" s="1" t="s">
        <v>45</v>
      </c>
      <c r="L83" s="1">
        <v>0</v>
      </c>
      <c r="M83" s="1" t="s">
        <v>84</v>
      </c>
    </row>
    <row r="84" spans="1:13" hidden="1" x14ac:dyDescent="0.25">
      <c r="A84" s="1">
        <v>1938</v>
      </c>
      <c r="B84" s="1">
        <v>42</v>
      </c>
      <c r="C84" s="2">
        <v>14036</v>
      </c>
      <c r="D84" s="1" t="s">
        <v>513</v>
      </c>
      <c r="E84" s="1" t="s">
        <v>64</v>
      </c>
      <c r="F84" s="1" t="s">
        <v>82</v>
      </c>
      <c r="G84" s="1" t="s">
        <v>83</v>
      </c>
      <c r="H84" s="6" t="str">
        <f>VLOOKUP(A84,WorldCups!$A$2:$B$23,2,FALSE)</f>
        <v>France</v>
      </c>
      <c r="I84" s="1" t="s">
        <v>45</v>
      </c>
      <c r="J84" s="1">
        <v>0</v>
      </c>
      <c r="K84" s="1" t="s">
        <v>60</v>
      </c>
      <c r="L84" s="1">
        <v>3</v>
      </c>
      <c r="M84" s="1" t="s">
        <v>84</v>
      </c>
    </row>
    <row r="85" spans="1:13" hidden="1" x14ac:dyDescent="0.25">
      <c r="A85" s="1">
        <v>1938</v>
      </c>
      <c r="B85" s="1">
        <f>B84+1</f>
        <v>43</v>
      </c>
      <c r="C85" s="2">
        <v>14040</v>
      </c>
      <c r="D85" s="1" t="s">
        <v>510</v>
      </c>
      <c r="E85" s="1" t="s">
        <v>64</v>
      </c>
      <c r="F85" s="1" t="s">
        <v>72</v>
      </c>
      <c r="G85" s="1" t="s">
        <v>73</v>
      </c>
      <c r="H85" s="6" t="str">
        <f>VLOOKUP(A85,WorldCups!$A$2:$B$23,2,FALSE)</f>
        <v>France</v>
      </c>
      <c r="I85" s="1" t="s">
        <v>74</v>
      </c>
      <c r="J85" s="1">
        <v>2</v>
      </c>
      <c r="K85" s="1" t="s">
        <v>23</v>
      </c>
      <c r="L85" s="1">
        <v>1</v>
      </c>
      <c r="M85" s="1" t="s">
        <v>14</v>
      </c>
    </row>
    <row r="86" spans="1:13" hidden="1" x14ac:dyDescent="0.25">
      <c r="A86" s="1">
        <v>1938</v>
      </c>
      <c r="B86" s="1">
        <v>43</v>
      </c>
      <c r="C86" s="2">
        <v>14040</v>
      </c>
      <c r="D86" s="1" t="s">
        <v>510</v>
      </c>
      <c r="E86" s="1" t="s">
        <v>64</v>
      </c>
      <c r="F86" s="1" t="s">
        <v>72</v>
      </c>
      <c r="G86" s="1" t="s">
        <v>73</v>
      </c>
      <c r="H86" s="6" t="str">
        <f>VLOOKUP(A86,WorldCups!$A$2:$B$23,2,FALSE)</f>
        <v>France</v>
      </c>
      <c r="I86" s="1" t="s">
        <v>23</v>
      </c>
      <c r="J86" s="1">
        <v>1</v>
      </c>
      <c r="K86" s="1" t="s">
        <v>74</v>
      </c>
      <c r="L86" s="1">
        <v>2</v>
      </c>
      <c r="M86" s="1" t="s">
        <v>14</v>
      </c>
    </row>
    <row r="87" spans="1:13" hidden="1" x14ac:dyDescent="0.25">
      <c r="A87" s="1">
        <v>1938</v>
      </c>
      <c r="B87" s="1">
        <f>B86+1</f>
        <v>44</v>
      </c>
      <c r="C87" s="2">
        <v>14040</v>
      </c>
      <c r="D87" s="1" t="s">
        <v>510</v>
      </c>
      <c r="E87" s="1" t="s">
        <v>64</v>
      </c>
      <c r="F87" s="1" t="s">
        <v>65</v>
      </c>
      <c r="G87" s="1" t="s">
        <v>66</v>
      </c>
      <c r="H87" s="6" t="str">
        <f>VLOOKUP(A87,WorldCups!$A$2:$B$23,2,FALSE)</f>
        <v>France</v>
      </c>
      <c r="I87" s="1" t="s">
        <v>44</v>
      </c>
      <c r="J87" s="1">
        <v>4</v>
      </c>
      <c r="K87" s="1" t="s">
        <v>51</v>
      </c>
      <c r="L87" s="1">
        <v>2</v>
      </c>
      <c r="M87" s="1" t="s">
        <v>14</v>
      </c>
    </row>
    <row r="88" spans="1:13" hidden="1" x14ac:dyDescent="0.25">
      <c r="A88" s="1">
        <v>1938</v>
      </c>
      <c r="B88" s="1">
        <v>44</v>
      </c>
      <c r="C88" s="2">
        <v>14040</v>
      </c>
      <c r="D88" s="1" t="s">
        <v>510</v>
      </c>
      <c r="E88" s="1" t="s">
        <v>64</v>
      </c>
      <c r="F88" s="1" t="s">
        <v>65</v>
      </c>
      <c r="G88" s="1" t="s">
        <v>66</v>
      </c>
      <c r="H88" s="6" t="str">
        <f>VLOOKUP(A88,WorldCups!$A$2:$B$23,2,FALSE)</f>
        <v>France</v>
      </c>
      <c r="I88" s="1" t="s">
        <v>51</v>
      </c>
      <c r="J88" s="1">
        <v>2</v>
      </c>
      <c r="K88" s="1" t="s">
        <v>44</v>
      </c>
      <c r="L88" s="1">
        <v>4</v>
      </c>
      <c r="M88" s="1" t="s">
        <v>14</v>
      </c>
    </row>
    <row r="89" spans="1:13" hidden="1" x14ac:dyDescent="0.25">
      <c r="A89" s="1">
        <v>1938</v>
      </c>
      <c r="B89" s="1">
        <f>B88+1</f>
        <v>45</v>
      </c>
      <c r="C89" s="2">
        <v>14043</v>
      </c>
      <c r="D89" s="1" t="s">
        <v>512</v>
      </c>
      <c r="E89" s="1" t="s">
        <v>61</v>
      </c>
      <c r="F89" s="1" t="s">
        <v>85</v>
      </c>
      <c r="G89" s="1" t="s">
        <v>86</v>
      </c>
      <c r="H89" s="6" t="str">
        <f>VLOOKUP(A89,WorldCups!$A$2:$B$23,2,FALSE)</f>
        <v>France</v>
      </c>
      <c r="I89" s="1" t="s">
        <v>21</v>
      </c>
      <c r="J89" s="1">
        <v>1</v>
      </c>
      <c r="K89" s="1" t="s">
        <v>60</v>
      </c>
      <c r="L89" s="1">
        <v>1</v>
      </c>
      <c r="M89" s="1" t="s">
        <v>14</v>
      </c>
    </row>
    <row r="90" spans="1:13" hidden="1" x14ac:dyDescent="0.25">
      <c r="A90" s="1">
        <v>1938</v>
      </c>
      <c r="B90" s="1">
        <v>45</v>
      </c>
      <c r="C90" s="2">
        <v>14043</v>
      </c>
      <c r="D90" s="1" t="s">
        <v>512</v>
      </c>
      <c r="E90" s="1" t="s">
        <v>61</v>
      </c>
      <c r="F90" s="1" t="s">
        <v>85</v>
      </c>
      <c r="G90" s="1" t="s">
        <v>86</v>
      </c>
      <c r="H90" s="6" t="str">
        <f>VLOOKUP(A90,WorldCups!$A$2:$B$23,2,FALSE)</f>
        <v>France</v>
      </c>
      <c r="I90" s="1" t="s">
        <v>60</v>
      </c>
      <c r="J90" s="1">
        <v>1</v>
      </c>
      <c r="K90" s="1" t="s">
        <v>21</v>
      </c>
      <c r="L90" s="1">
        <v>1</v>
      </c>
      <c r="M90" s="1" t="s">
        <v>14</v>
      </c>
    </row>
    <row r="91" spans="1:13" hidden="1" x14ac:dyDescent="0.25">
      <c r="A91" s="1">
        <v>1938</v>
      </c>
      <c r="B91" s="1">
        <f>B90+1</f>
        <v>46</v>
      </c>
      <c r="C91" s="2">
        <v>14043</v>
      </c>
      <c r="D91" s="1" t="s">
        <v>512</v>
      </c>
      <c r="E91" s="1" t="s">
        <v>61</v>
      </c>
      <c r="F91" s="1" t="s">
        <v>87</v>
      </c>
      <c r="G91" s="1" t="s">
        <v>88</v>
      </c>
      <c r="H91" s="6" t="str">
        <f>VLOOKUP(A91,WorldCups!$A$2:$B$23,2,FALSE)</f>
        <v>France</v>
      </c>
      <c r="I91" s="1" t="s">
        <v>40</v>
      </c>
      <c r="J91" s="1">
        <v>2</v>
      </c>
      <c r="K91" s="1" t="s">
        <v>44</v>
      </c>
      <c r="L91" s="1">
        <v>0</v>
      </c>
      <c r="M91" s="1" t="s">
        <v>14</v>
      </c>
    </row>
    <row r="92" spans="1:13" hidden="1" x14ac:dyDescent="0.25">
      <c r="A92" s="1">
        <v>1938</v>
      </c>
      <c r="B92" s="1">
        <v>46</v>
      </c>
      <c r="C92" s="2">
        <v>14043</v>
      </c>
      <c r="D92" s="1" t="s">
        <v>512</v>
      </c>
      <c r="E92" s="1" t="s">
        <v>61</v>
      </c>
      <c r="F92" s="1" t="s">
        <v>87</v>
      </c>
      <c r="G92" s="1" t="s">
        <v>88</v>
      </c>
      <c r="H92" s="6" t="str">
        <f>VLOOKUP(A92,WorldCups!$A$2:$B$23,2,FALSE)</f>
        <v>France</v>
      </c>
      <c r="I92" s="1" t="s">
        <v>44</v>
      </c>
      <c r="J92" s="1">
        <v>0</v>
      </c>
      <c r="K92" s="1" t="s">
        <v>40</v>
      </c>
      <c r="L92" s="1">
        <v>2</v>
      </c>
      <c r="M92" s="1" t="s">
        <v>14</v>
      </c>
    </row>
    <row r="93" spans="1:13" hidden="1" x14ac:dyDescent="0.25">
      <c r="A93" s="1">
        <v>1938</v>
      </c>
      <c r="B93" s="1">
        <f>B92+1</f>
        <v>47</v>
      </c>
      <c r="C93" s="2">
        <v>14043</v>
      </c>
      <c r="D93" s="1" t="s">
        <v>512</v>
      </c>
      <c r="E93" s="1" t="s">
        <v>61</v>
      </c>
      <c r="F93" s="1" t="s">
        <v>89</v>
      </c>
      <c r="G93" s="1" t="s">
        <v>90</v>
      </c>
      <c r="H93" s="6" t="str">
        <f>VLOOKUP(A93,WorldCups!$A$2:$B$23,2,FALSE)</f>
        <v>France</v>
      </c>
      <c r="I93" s="1" t="s">
        <v>48</v>
      </c>
      <c r="J93" s="1">
        <v>8</v>
      </c>
      <c r="K93" s="1" t="s">
        <v>74</v>
      </c>
      <c r="L93" s="1">
        <v>0</v>
      </c>
      <c r="M93" s="1" t="s">
        <v>14</v>
      </c>
    </row>
    <row r="94" spans="1:13" hidden="1" x14ac:dyDescent="0.25">
      <c r="A94" s="1">
        <v>1938</v>
      </c>
      <c r="B94" s="1">
        <v>47</v>
      </c>
      <c r="C94" s="2">
        <v>14043</v>
      </c>
      <c r="D94" s="1" t="s">
        <v>512</v>
      </c>
      <c r="E94" s="1" t="s">
        <v>61</v>
      </c>
      <c r="F94" s="1" t="s">
        <v>89</v>
      </c>
      <c r="G94" s="1" t="s">
        <v>90</v>
      </c>
      <c r="H94" s="6" t="str">
        <f>VLOOKUP(A94,WorldCups!$A$2:$B$23,2,FALSE)</f>
        <v>France</v>
      </c>
      <c r="I94" s="1" t="s">
        <v>74</v>
      </c>
      <c r="J94" s="1">
        <v>0</v>
      </c>
      <c r="K94" s="1" t="s">
        <v>48</v>
      </c>
      <c r="L94" s="1">
        <v>8</v>
      </c>
      <c r="M94" s="1" t="s">
        <v>14</v>
      </c>
    </row>
    <row r="95" spans="1:13" hidden="1" x14ac:dyDescent="0.25">
      <c r="A95" s="1">
        <v>1938</v>
      </c>
      <c r="B95" s="1">
        <f>B94+1</f>
        <v>48</v>
      </c>
      <c r="C95" s="2">
        <v>14043</v>
      </c>
      <c r="D95" s="1" t="s">
        <v>512</v>
      </c>
      <c r="E95" s="1" t="s">
        <v>61</v>
      </c>
      <c r="F95" s="1" t="s">
        <v>70</v>
      </c>
      <c r="G95" s="1" t="s">
        <v>71</v>
      </c>
      <c r="H95" s="6" t="str">
        <f>VLOOKUP(A95,WorldCups!$A$2:$B$23,2,FALSE)</f>
        <v>France</v>
      </c>
      <c r="I95" s="1" t="s">
        <v>57</v>
      </c>
      <c r="J95" s="1">
        <v>3</v>
      </c>
      <c r="K95" s="1" t="s">
        <v>12</v>
      </c>
      <c r="L95" s="1">
        <v>1</v>
      </c>
      <c r="M95" s="1" t="s">
        <v>14</v>
      </c>
    </row>
    <row r="96" spans="1:13" hidden="1" x14ac:dyDescent="0.25">
      <c r="A96" s="1">
        <v>1938</v>
      </c>
      <c r="B96" s="1">
        <v>48</v>
      </c>
      <c r="C96" s="2">
        <v>14043</v>
      </c>
      <c r="D96" s="1" t="s">
        <v>512</v>
      </c>
      <c r="E96" s="1" t="s">
        <v>61</v>
      </c>
      <c r="F96" s="1" t="s">
        <v>70</v>
      </c>
      <c r="G96" s="1" t="s">
        <v>71</v>
      </c>
      <c r="H96" s="6" t="str">
        <f>VLOOKUP(A96,WorldCups!$A$2:$B$23,2,FALSE)</f>
        <v>France</v>
      </c>
      <c r="I96" s="1" t="s">
        <v>12</v>
      </c>
      <c r="J96" s="1">
        <v>1</v>
      </c>
      <c r="K96" s="1" t="s">
        <v>57</v>
      </c>
      <c r="L96" s="1">
        <v>3</v>
      </c>
      <c r="M96" s="1" t="s">
        <v>14</v>
      </c>
    </row>
    <row r="97" spans="1:13" hidden="1" x14ac:dyDescent="0.25">
      <c r="A97" s="1">
        <v>1938</v>
      </c>
      <c r="B97" s="1">
        <f>B96+1</f>
        <v>49</v>
      </c>
      <c r="C97" s="2">
        <v>14045</v>
      </c>
      <c r="D97" s="1" t="s">
        <v>510</v>
      </c>
      <c r="E97" s="1" t="s">
        <v>61</v>
      </c>
      <c r="F97" s="1" t="s">
        <v>85</v>
      </c>
      <c r="G97" s="1" t="s">
        <v>86</v>
      </c>
      <c r="H97" s="6" t="str">
        <f>VLOOKUP(A97,WorldCups!$A$2:$B$23,2,FALSE)</f>
        <v>France</v>
      </c>
      <c r="I97" s="1" t="s">
        <v>21</v>
      </c>
      <c r="J97" s="1">
        <v>2</v>
      </c>
      <c r="K97" s="1" t="s">
        <v>60</v>
      </c>
      <c r="L97" s="1">
        <v>1</v>
      </c>
      <c r="M97" s="1" t="s">
        <v>14</v>
      </c>
    </row>
    <row r="98" spans="1:13" hidden="1" x14ac:dyDescent="0.25">
      <c r="A98" s="1">
        <v>1938</v>
      </c>
      <c r="B98" s="1">
        <v>49</v>
      </c>
      <c r="C98" s="2">
        <v>14045</v>
      </c>
      <c r="D98" s="1" t="s">
        <v>510</v>
      </c>
      <c r="E98" s="1" t="s">
        <v>61</v>
      </c>
      <c r="F98" s="1" t="s">
        <v>85</v>
      </c>
      <c r="G98" s="1" t="s">
        <v>86</v>
      </c>
      <c r="H98" s="6" t="str">
        <f>VLOOKUP(A98,WorldCups!$A$2:$B$23,2,FALSE)</f>
        <v>France</v>
      </c>
      <c r="I98" s="1" t="s">
        <v>60</v>
      </c>
      <c r="J98" s="1">
        <v>1</v>
      </c>
      <c r="K98" s="1" t="s">
        <v>21</v>
      </c>
      <c r="L98" s="1">
        <v>2</v>
      </c>
      <c r="M98" s="1" t="s">
        <v>14</v>
      </c>
    </row>
    <row r="99" spans="1:13" hidden="1" x14ac:dyDescent="0.25">
      <c r="A99" s="1">
        <v>1938</v>
      </c>
      <c r="B99" s="1">
        <f>B98+1</f>
        <v>50</v>
      </c>
      <c r="C99" s="2">
        <v>14047</v>
      </c>
      <c r="D99" s="1" t="s">
        <v>510</v>
      </c>
      <c r="E99" s="1" t="s">
        <v>31</v>
      </c>
      <c r="F99" s="1" t="s">
        <v>65</v>
      </c>
      <c r="G99" s="1" t="s">
        <v>66</v>
      </c>
      <c r="H99" s="6" t="str">
        <f>VLOOKUP(A99,WorldCups!$A$2:$B$23,2,FALSE)</f>
        <v>France</v>
      </c>
      <c r="I99" s="1" t="s">
        <v>40</v>
      </c>
      <c r="J99" s="1">
        <v>5</v>
      </c>
      <c r="K99" s="1" t="s">
        <v>48</v>
      </c>
      <c r="L99" s="1">
        <v>1</v>
      </c>
      <c r="M99" s="1" t="s">
        <v>14</v>
      </c>
    </row>
    <row r="100" spans="1:13" hidden="1" x14ac:dyDescent="0.25">
      <c r="A100" s="1">
        <v>1938</v>
      </c>
      <c r="B100" s="1">
        <v>50</v>
      </c>
      <c r="C100" s="2">
        <v>14047</v>
      </c>
      <c r="D100" s="1" t="s">
        <v>510</v>
      </c>
      <c r="E100" s="1" t="s">
        <v>31</v>
      </c>
      <c r="F100" s="1" t="s">
        <v>65</v>
      </c>
      <c r="G100" s="1" t="s">
        <v>66</v>
      </c>
      <c r="H100" s="6" t="str">
        <f>VLOOKUP(A100,WorldCups!$A$2:$B$23,2,FALSE)</f>
        <v>France</v>
      </c>
      <c r="I100" s="1" t="s">
        <v>48</v>
      </c>
      <c r="J100" s="1">
        <v>1</v>
      </c>
      <c r="K100" s="1" t="s">
        <v>40</v>
      </c>
      <c r="L100" s="1">
        <v>5</v>
      </c>
      <c r="M100" s="1" t="s">
        <v>14</v>
      </c>
    </row>
    <row r="101" spans="1:13" hidden="1" x14ac:dyDescent="0.25">
      <c r="A101" s="1">
        <v>1938</v>
      </c>
      <c r="B101" s="1">
        <f>B100+1</f>
        <v>51</v>
      </c>
      <c r="C101" s="2">
        <v>14047</v>
      </c>
      <c r="D101" s="1" t="s">
        <v>510</v>
      </c>
      <c r="E101" s="1" t="s">
        <v>31</v>
      </c>
      <c r="F101" s="1" t="s">
        <v>75</v>
      </c>
      <c r="G101" s="1" t="s">
        <v>76</v>
      </c>
      <c r="H101" s="6" t="str">
        <f>VLOOKUP(A101,WorldCups!$A$2:$B$23,2,FALSE)</f>
        <v>France</v>
      </c>
      <c r="I101" s="1" t="s">
        <v>57</v>
      </c>
      <c r="J101" s="1">
        <v>2</v>
      </c>
      <c r="K101" s="1" t="s">
        <v>21</v>
      </c>
      <c r="L101" s="1">
        <v>1</v>
      </c>
      <c r="M101" s="1" t="s">
        <v>14</v>
      </c>
    </row>
    <row r="102" spans="1:13" hidden="1" x14ac:dyDescent="0.25">
      <c r="A102" s="1">
        <v>1938</v>
      </c>
      <c r="B102" s="1">
        <v>51</v>
      </c>
      <c r="C102" s="2">
        <v>14047</v>
      </c>
      <c r="D102" s="1" t="s">
        <v>510</v>
      </c>
      <c r="E102" s="1" t="s">
        <v>31</v>
      </c>
      <c r="F102" s="1" t="s">
        <v>75</v>
      </c>
      <c r="G102" s="1" t="s">
        <v>76</v>
      </c>
      <c r="H102" s="6" t="str">
        <f>VLOOKUP(A102,WorldCups!$A$2:$B$23,2,FALSE)</f>
        <v>France</v>
      </c>
      <c r="I102" s="1" t="s">
        <v>21</v>
      </c>
      <c r="J102" s="1">
        <v>1</v>
      </c>
      <c r="K102" s="1" t="s">
        <v>57</v>
      </c>
      <c r="L102" s="1">
        <v>2</v>
      </c>
      <c r="M102" s="1" t="s">
        <v>14</v>
      </c>
    </row>
    <row r="103" spans="1:13" hidden="1" x14ac:dyDescent="0.25">
      <c r="A103" s="1">
        <v>1938</v>
      </c>
      <c r="B103" s="1">
        <f>B102+1</f>
        <v>52</v>
      </c>
      <c r="C103" s="2">
        <v>14050</v>
      </c>
      <c r="D103" s="1" t="s">
        <v>512</v>
      </c>
      <c r="E103" s="1" t="s">
        <v>62</v>
      </c>
      <c r="F103" s="1" t="s">
        <v>85</v>
      </c>
      <c r="G103" s="1" t="s">
        <v>86</v>
      </c>
      <c r="H103" s="6" t="str">
        <f>VLOOKUP(A103,WorldCups!$A$2:$B$23,2,FALSE)</f>
        <v>France</v>
      </c>
      <c r="I103" s="1" t="s">
        <v>21</v>
      </c>
      <c r="J103" s="1">
        <v>4</v>
      </c>
      <c r="K103" s="1" t="s">
        <v>48</v>
      </c>
      <c r="L103" s="1">
        <v>2</v>
      </c>
      <c r="M103" s="1" t="s">
        <v>14</v>
      </c>
    </row>
    <row r="104" spans="1:13" hidden="1" x14ac:dyDescent="0.25">
      <c r="A104" s="1">
        <v>1938</v>
      </c>
      <c r="B104" s="1">
        <v>52</v>
      </c>
      <c r="C104" s="2">
        <v>14050</v>
      </c>
      <c r="D104" s="1" t="s">
        <v>512</v>
      </c>
      <c r="E104" s="1" t="s">
        <v>62</v>
      </c>
      <c r="F104" s="1" t="s">
        <v>85</v>
      </c>
      <c r="G104" s="1" t="s">
        <v>86</v>
      </c>
      <c r="H104" s="6" t="str">
        <f>VLOOKUP(A104,WorldCups!$A$2:$B$23,2,FALSE)</f>
        <v>France</v>
      </c>
      <c r="I104" s="1" t="s">
        <v>48</v>
      </c>
      <c r="J104" s="1">
        <v>2</v>
      </c>
      <c r="K104" s="1" t="s">
        <v>21</v>
      </c>
      <c r="L104" s="1">
        <v>4</v>
      </c>
      <c r="M104" s="1" t="s">
        <v>14</v>
      </c>
    </row>
    <row r="105" spans="1:13" hidden="1" x14ac:dyDescent="0.25">
      <c r="A105" s="1">
        <v>1938</v>
      </c>
      <c r="B105" s="1">
        <f>B104+1</f>
        <v>53</v>
      </c>
      <c r="C105" s="2">
        <v>14050</v>
      </c>
      <c r="D105" s="1" t="s">
        <v>512</v>
      </c>
      <c r="E105" s="1" t="s">
        <v>32</v>
      </c>
      <c r="F105" s="1" t="s">
        <v>70</v>
      </c>
      <c r="G105" s="1" t="s">
        <v>71</v>
      </c>
      <c r="H105" s="6" t="str">
        <f>VLOOKUP(A105,WorldCups!$A$2:$B$23,2,FALSE)</f>
        <v>France</v>
      </c>
      <c r="I105" s="1" t="s">
        <v>57</v>
      </c>
      <c r="J105" s="1">
        <v>4</v>
      </c>
      <c r="K105" s="1" t="s">
        <v>40</v>
      </c>
      <c r="L105" s="1">
        <v>2</v>
      </c>
      <c r="M105" s="1" t="s">
        <v>14</v>
      </c>
    </row>
    <row r="106" spans="1:13" hidden="1" x14ac:dyDescent="0.25">
      <c r="A106" s="1">
        <v>1938</v>
      </c>
      <c r="B106" s="1">
        <v>53</v>
      </c>
      <c r="C106" s="2">
        <v>14050</v>
      </c>
      <c r="D106" s="1" t="s">
        <v>512</v>
      </c>
      <c r="E106" s="1" t="s">
        <v>32</v>
      </c>
      <c r="F106" s="1" t="s">
        <v>70</v>
      </c>
      <c r="G106" s="1" t="s">
        <v>71</v>
      </c>
      <c r="H106" s="6" t="str">
        <f>VLOOKUP(A106,WorldCups!$A$2:$B$23,2,FALSE)</f>
        <v>France</v>
      </c>
      <c r="I106" s="1" t="s">
        <v>40</v>
      </c>
      <c r="J106" s="1">
        <v>2</v>
      </c>
      <c r="K106" s="1" t="s">
        <v>57</v>
      </c>
      <c r="L106" s="1">
        <v>4</v>
      </c>
      <c r="M106" s="1" t="s">
        <v>14</v>
      </c>
    </row>
    <row r="107" spans="1:13" hidden="1" x14ac:dyDescent="0.25">
      <c r="A107" s="1">
        <v>1950</v>
      </c>
      <c r="B107" s="1">
        <f>B106+1</f>
        <v>54</v>
      </c>
      <c r="C107" s="2">
        <v>18438</v>
      </c>
      <c r="D107" s="1" t="s">
        <v>500</v>
      </c>
      <c r="E107" s="1" t="s">
        <v>9</v>
      </c>
      <c r="F107" s="1" t="s">
        <v>91</v>
      </c>
      <c r="G107" s="1" t="s">
        <v>92</v>
      </c>
      <c r="H107" s="6" t="str">
        <f>VLOOKUP(A107,WorldCups!$A$2:$B$23,2,FALSE)</f>
        <v>Brazil</v>
      </c>
      <c r="I107" s="1" t="s">
        <v>21</v>
      </c>
      <c r="J107" s="1">
        <v>4</v>
      </c>
      <c r="K107" s="1" t="s">
        <v>13</v>
      </c>
      <c r="L107" s="1">
        <v>0</v>
      </c>
      <c r="M107" s="1" t="s">
        <v>14</v>
      </c>
    </row>
    <row r="108" spans="1:13" hidden="1" x14ac:dyDescent="0.25">
      <c r="A108" s="1">
        <v>1950</v>
      </c>
      <c r="B108" s="1">
        <v>54</v>
      </c>
      <c r="C108" s="2">
        <v>18438</v>
      </c>
      <c r="D108" s="1" t="s">
        <v>500</v>
      </c>
      <c r="E108" s="1" t="s">
        <v>9</v>
      </c>
      <c r="F108" s="1" t="s">
        <v>91</v>
      </c>
      <c r="G108" s="1" t="s">
        <v>92</v>
      </c>
      <c r="H108" s="6" t="str">
        <f>VLOOKUP(A108,WorldCups!$A$2:$B$23,2,FALSE)</f>
        <v>Brazil</v>
      </c>
      <c r="I108" s="1" t="s">
        <v>13</v>
      </c>
      <c r="J108" s="1">
        <v>0</v>
      </c>
      <c r="K108" s="1" t="s">
        <v>21</v>
      </c>
      <c r="L108" s="1">
        <v>4</v>
      </c>
      <c r="M108" s="1" t="s">
        <v>14</v>
      </c>
    </row>
    <row r="109" spans="1:13" hidden="1" x14ac:dyDescent="0.25">
      <c r="A109" s="1">
        <v>1950</v>
      </c>
      <c r="B109" s="1">
        <f>B108+1</f>
        <v>55</v>
      </c>
      <c r="C109" s="2">
        <v>18439</v>
      </c>
      <c r="D109" s="1" t="s">
        <v>500</v>
      </c>
      <c r="E109" s="1" t="s">
        <v>19</v>
      </c>
      <c r="F109" s="1" t="s">
        <v>91</v>
      </c>
      <c r="G109" s="1" t="s">
        <v>92</v>
      </c>
      <c r="H109" s="6" t="str">
        <f>VLOOKUP(A109,WorldCups!$A$2:$B$23,2,FALSE)</f>
        <v>Brazil</v>
      </c>
      <c r="I109" s="1" t="s">
        <v>93</v>
      </c>
      <c r="J109" s="1">
        <v>2</v>
      </c>
      <c r="K109" s="1" t="s">
        <v>26</v>
      </c>
      <c r="L109" s="1">
        <v>0</v>
      </c>
      <c r="M109" s="1" t="s">
        <v>14</v>
      </c>
    </row>
    <row r="110" spans="1:13" hidden="1" x14ac:dyDescent="0.25">
      <c r="A110" s="1">
        <v>1950</v>
      </c>
      <c r="B110" s="1">
        <v>55</v>
      </c>
      <c r="C110" s="2">
        <v>18439</v>
      </c>
      <c r="D110" s="1" t="s">
        <v>500</v>
      </c>
      <c r="E110" s="1" t="s">
        <v>19</v>
      </c>
      <c r="F110" s="1" t="s">
        <v>91</v>
      </c>
      <c r="G110" s="1" t="s">
        <v>92</v>
      </c>
      <c r="H110" s="6" t="str">
        <f>VLOOKUP(A110,WorldCups!$A$2:$B$23,2,FALSE)</f>
        <v>Brazil</v>
      </c>
      <c r="I110" s="1" t="s">
        <v>26</v>
      </c>
      <c r="J110" s="1">
        <v>0</v>
      </c>
      <c r="K110" s="1" t="s">
        <v>93</v>
      </c>
      <c r="L110" s="1">
        <v>2</v>
      </c>
      <c r="M110" s="1" t="s">
        <v>14</v>
      </c>
    </row>
    <row r="111" spans="1:13" hidden="1" x14ac:dyDescent="0.25">
      <c r="A111" s="1">
        <v>1950</v>
      </c>
      <c r="B111" s="1">
        <f>B110+1</f>
        <v>56</v>
      </c>
      <c r="C111" s="2">
        <v>18439</v>
      </c>
      <c r="D111" s="1" t="s">
        <v>500</v>
      </c>
      <c r="E111" s="1" t="s">
        <v>19</v>
      </c>
      <c r="F111" s="1" t="s">
        <v>94</v>
      </c>
      <c r="G111" s="1" t="s">
        <v>95</v>
      </c>
      <c r="H111" s="6" t="str">
        <f>VLOOKUP(A111,WorldCups!$A$2:$B$23,2,FALSE)</f>
        <v>Brazil</v>
      </c>
      <c r="I111" s="1" t="s">
        <v>54</v>
      </c>
      <c r="J111" s="1">
        <v>3</v>
      </c>
      <c r="K111" s="1" t="s">
        <v>17</v>
      </c>
      <c r="L111" s="1">
        <v>1</v>
      </c>
      <c r="M111" s="1" t="s">
        <v>14</v>
      </c>
    </row>
    <row r="112" spans="1:13" hidden="1" x14ac:dyDescent="0.25">
      <c r="A112" s="1">
        <v>1950</v>
      </c>
      <c r="B112" s="1">
        <v>56</v>
      </c>
      <c r="C112" s="2">
        <v>18439</v>
      </c>
      <c r="D112" s="1" t="s">
        <v>500</v>
      </c>
      <c r="E112" s="1" t="s">
        <v>19</v>
      </c>
      <c r="F112" s="1" t="s">
        <v>94</v>
      </c>
      <c r="G112" s="1" t="s">
        <v>95</v>
      </c>
      <c r="H112" s="6" t="str">
        <f>VLOOKUP(A112,WorldCups!$A$2:$B$23,2,FALSE)</f>
        <v>Brazil</v>
      </c>
      <c r="I112" s="1" t="s">
        <v>17</v>
      </c>
      <c r="J112" s="1">
        <v>1</v>
      </c>
      <c r="K112" s="1" t="s">
        <v>54</v>
      </c>
      <c r="L112" s="1">
        <v>3</v>
      </c>
      <c r="M112" s="1" t="s">
        <v>14</v>
      </c>
    </row>
    <row r="113" spans="1:13" hidden="1" x14ac:dyDescent="0.25">
      <c r="A113" s="1">
        <v>1950</v>
      </c>
      <c r="B113" s="1">
        <f>B112+1</f>
        <v>57</v>
      </c>
      <c r="C113" s="2">
        <v>18439</v>
      </c>
      <c r="D113" s="1" t="s">
        <v>500</v>
      </c>
      <c r="E113" s="1" t="s">
        <v>22</v>
      </c>
      <c r="F113" s="1" t="s">
        <v>96</v>
      </c>
      <c r="G113" s="1" t="s">
        <v>97</v>
      </c>
      <c r="H113" s="6" t="str">
        <f>VLOOKUP(A113,WorldCups!$A$2:$B$23,2,FALSE)</f>
        <v>Brazil</v>
      </c>
      <c r="I113" s="1" t="s">
        <v>48</v>
      </c>
      <c r="J113" s="1">
        <v>3</v>
      </c>
      <c r="K113" s="1" t="s">
        <v>57</v>
      </c>
      <c r="L113" s="1">
        <v>2</v>
      </c>
      <c r="M113" s="1" t="s">
        <v>14</v>
      </c>
    </row>
    <row r="114" spans="1:13" hidden="1" x14ac:dyDescent="0.25">
      <c r="A114" s="1">
        <v>1950</v>
      </c>
      <c r="B114" s="1">
        <v>57</v>
      </c>
      <c r="C114" s="2">
        <v>18439</v>
      </c>
      <c r="D114" s="1" t="s">
        <v>500</v>
      </c>
      <c r="E114" s="1" t="s">
        <v>22</v>
      </c>
      <c r="F114" s="1" t="s">
        <v>96</v>
      </c>
      <c r="G114" s="1" t="s">
        <v>97</v>
      </c>
      <c r="H114" s="6" t="str">
        <f>VLOOKUP(A114,WorldCups!$A$2:$B$23,2,FALSE)</f>
        <v>Brazil</v>
      </c>
      <c r="I114" s="1" t="s">
        <v>57</v>
      </c>
      <c r="J114" s="1">
        <v>2</v>
      </c>
      <c r="K114" s="1" t="s">
        <v>48</v>
      </c>
      <c r="L114" s="1">
        <v>3</v>
      </c>
      <c r="M114" s="1" t="s">
        <v>14</v>
      </c>
    </row>
    <row r="115" spans="1:13" hidden="1" x14ac:dyDescent="0.25">
      <c r="A115" s="1">
        <v>1950</v>
      </c>
      <c r="B115" s="1">
        <f>B114+1</f>
        <v>58</v>
      </c>
      <c r="C115" s="2">
        <v>18439</v>
      </c>
      <c r="D115" s="1" t="s">
        <v>500</v>
      </c>
      <c r="E115" s="1" t="s">
        <v>9</v>
      </c>
      <c r="F115" s="1" t="s">
        <v>98</v>
      </c>
      <c r="G115" s="1" t="s">
        <v>99</v>
      </c>
      <c r="H115" s="6" t="str">
        <f>VLOOKUP(A115,WorldCups!$A$2:$B$23,2,FALSE)</f>
        <v>Brazil</v>
      </c>
      <c r="I115" s="1" t="s">
        <v>20</v>
      </c>
      <c r="J115" s="1">
        <v>3</v>
      </c>
      <c r="K115" s="1" t="s">
        <v>44</v>
      </c>
      <c r="L115" s="1">
        <v>0</v>
      </c>
      <c r="M115" s="1" t="s">
        <v>14</v>
      </c>
    </row>
    <row r="116" spans="1:13" hidden="1" x14ac:dyDescent="0.25">
      <c r="A116" s="1">
        <v>1950</v>
      </c>
      <c r="B116" s="1">
        <v>58</v>
      </c>
      <c r="C116" s="2">
        <v>18439</v>
      </c>
      <c r="D116" s="1" t="s">
        <v>500</v>
      </c>
      <c r="E116" s="1" t="s">
        <v>9</v>
      </c>
      <c r="F116" s="1" t="s">
        <v>98</v>
      </c>
      <c r="G116" s="1" t="s">
        <v>99</v>
      </c>
      <c r="H116" s="6" t="str">
        <f>VLOOKUP(A116,WorldCups!$A$2:$B$23,2,FALSE)</f>
        <v>Brazil</v>
      </c>
      <c r="I116" s="1" t="s">
        <v>44</v>
      </c>
      <c r="J116" s="1">
        <v>0</v>
      </c>
      <c r="K116" s="1" t="s">
        <v>20</v>
      </c>
      <c r="L116" s="1">
        <v>3</v>
      </c>
      <c r="M116" s="1" t="s">
        <v>14</v>
      </c>
    </row>
    <row r="117" spans="1:13" hidden="1" x14ac:dyDescent="0.25">
      <c r="A117" s="1">
        <v>1950</v>
      </c>
      <c r="B117" s="1">
        <f>B116+1</f>
        <v>59</v>
      </c>
      <c r="C117" s="2">
        <v>18442</v>
      </c>
      <c r="D117" s="1" t="s">
        <v>500</v>
      </c>
      <c r="E117" s="1" t="s">
        <v>9</v>
      </c>
      <c r="F117" s="1" t="s">
        <v>96</v>
      </c>
      <c r="G117" s="1" t="s">
        <v>97</v>
      </c>
      <c r="H117" s="6" t="str">
        <f>VLOOKUP(A117,WorldCups!$A$2:$B$23,2,FALSE)</f>
        <v>Brazil</v>
      </c>
      <c r="I117" s="1" t="s">
        <v>21</v>
      </c>
      <c r="J117" s="1">
        <v>2</v>
      </c>
      <c r="K117" s="1" t="s">
        <v>44</v>
      </c>
      <c r="L117" s="1">
        <v>2</v>
      </c>
      <c r="M117" s="1" t="s">
        <v>14</v>
      </c>
    </row>
    <row r="118" spans="1:13" hidden="1" x14ac:dyDescent="0.25">
      <c r="A118" s="1">
        <v>1950</v>
      </c>
      <c r="B118" s="1">
        <v>59</v>
      </c>
      <c r="C118" s="2">
        <v>18442</v>
      </c>
      <c r="D118" s="1" t="s">
        <v>500</v>
      </c>
      <c r="E118" s="1" t="s">
        <v>9</v>
      </c>
      <c r="F118" s="1" t="s">
        <v>96</v>
      </c>
      <c r="G118" s="1" t="s">
        <v>97</v>
      </c>
      <c r="H118" s="6" t="str">
        <f>VLOOKUP(A118,WorldCups!$A$2:$B$23,2,FALSE)</f>
        <v>Brazil</v>
      </c>
      <c r="I118" s="1" t="s">
        <v>44</v>
      </c>
      <c r="J118" s="1">
        <v>2</v>
      </c>
      <c r="K118" s="1" t="s">
        <v>21</v>
      </c>
      <c r="L118" s="1">
        <v>2</v>
      </c>
      <c r="M118" s="1" t="s">
        <v>14</v>
      </c>
    </row>
    <row r="119" spans="1:13" hidden="1" x14ac:dyDescent="0.25">
      <c r="A119" s="1">
        <v>1950</v>
      </c>
      <c r="B119" s="1">
        <f>B118+1</f>
        <v>60</v>
      </c>
      <c r="C119" s="2">
        <v>18442</v>
      </c>
      <c r="D119" s="1" t="s">
        <v>500</v>
      </c>
      <c r="E119" s="1" t="s">
        <v>9</v>
      </c>
      <c r="F119" s="1" t="s">
        <v>100</v>
      </c>
      <c r="G119" s="1" t="s">
        <v>101</v>
      </c>
      <c r="H119" s="6" t="str">
        <f>VLOOKUP(A119,WorldCups!$A$2:$B$23,2,FALSE)</f>
        <v>Brazil</v>
      </c>
      <c r="I119" s="1" t="s">
        <v>20</v>
      </c>
      <c r="J119" s="1">
        <v>4</v>
      </c>
      <c r="K119" s="1" t="s">
        <v>13</v>
      </c>
      <c r="L119" s="1">
        <v>1</v>
      </c>
      <c r="M119" s="1" t="s">
        <v>14</v>
      </c>
    </row>
    <row r="120" spans="1:13" hidden="1" x14ac:dyDescent="0.25">
      <c r="A120" s="1">
        <v>1950</v>
      </c>
      <c r="B120" s="1">
        <v>60</v>
      </c>
      <c r="C120" s="2">
        <v>18442</v>
      </c>
      <c r="D120" s="1" t="s">
        <v>500</v>
      </c>
      <c r="E120" s="1" t="s">
        <v>9</v>
      </c>
      <c r="F120" s="1" t="s">
        <v>100</v>
      </c>
      <c r="G120" s="1" t="s">
        <v>101</v>
      </c>
      <c r="H120" s="6" t="str">
        <f>VLOOKUP(A120,WorldCups!$A$2:$B$23,2,FALSE)</f>
        <v>Brazil</v>
      </c>
      <c r="I120" s="1" t="s">
        <v>13</v>
      </c>
      <c r="J120" s="1">
        <v>1</v>
      </c>
      <c r="K120" s="1" t="s">
        <v>20</v>
      </c>
      <c r="L120" s="1">
        <v>4</v>
      </c>
      <c r="M120" s="1" t="s">
        <v>14</v>
      </c>
    </row>
    <row r="121" spans="1:13" hidden="1" x14ac:dyDescent="0.25">
      <c r="A121" s="1">
        <v>1950</v>
      </c>
      <c r="B121" s="1">
        <f>B120+1</f>
        <v>61</v>
      </c>
      <c r="C121" s="2">
        <v>18443</v>
      </c>
      <c r="D121" s="1" t="s">
        <v>500</v>
      </c>
      <c r="E121" s="1" t="s">
        <v>19</v>
      </c>
      <c r="F121" s="1" t="s">
        <v>91</v>
      </c>
      <c r="G121" s="1" t="s">
        <v>92</v>
      </c>
      <c r="H121" s="6" t="str">
        <f>VLOOKUP(A121,WorldCups!$A$2:$B$23,2,FALSE)</f>
        <v>Brazil</v>
      </c>
      <c r="I121" s="1" t="s">
        <v>54</v>
      </c>
      <c r="J121" s="1">
        <v>2</v>
      </c>
      <c r="K121" s="1" t="s">
        <v>26</v>
      </c>
      <c r="L121" s="1">
        <v>0</v>
      </c>
      <c r="M121" s="1" t="s">
        <v>14</v>
      </c>
    </row>
    <row r="122" spans="1:13" hidden="1" x14ac:dyDescent="0.25">
      <c r="A122" s="1">
        <v>1950</v>
      </c>
      <c r="B122" s="1">
        <v>61</v>
      </c>
      <c r="C122" s="2">
        <v>18443</v>
      </c>
      <c r="D122" s="1" t="s">
        <v>500</v>
      </c>
      <c r="E122" s="1" t="s">
        <v>19</v>
      </c>
      <c r="F122" s="1" t="s">
        <v>91</v>
      </c>
      <c r="G122" s="1" t="s">
        <v>92</v>
      </c>
      <c r="H122" s="6" t="str">
        <f>VLOOKUP(A122,WorldCups!$A$2:$B$23,2,FALSE)</f>
        <v>Brazil</v>
      </c>
      <c r="I122" s="1" t="s">
        <v>26</v>
      </c>
      <c r="J122" s="1">
        <v>0</v>
      </c>
      <c r="K122" s="1" t="s">
        <v>54</v>
      </c>
      <c r="L122" s="1">
        <v>2</v>
      </c>
      <c r="M122" s="1" t="s">
        <v>14</v>
      </c>
    </row>
    <row r="123" spans="1:13" hidden="1" x14ac:dyDescent="0.25">
      <c r="A123" s="1">
        <v>1950</v>
      </c>
      <c r="B123" s="1">
        <f>B122+1</f>
        <v>62</v>
      </c>
      <c r="C123" s="2">
        <v>18443</v>
      </c>
      <c r="D123" s="1" t="s">
        <v>514</v>
      </c>
      <c r="E123" s="1" t="s">
        <v>22</v>
      </c>
      <c r="F123" s="1" t="s">
        <v>94</v>
      </c>
      <c r="G123" s="1" t="s">
        <v>95</v>
      </c>
      <c r="H123" s="6" t="str">
        <f>VLOOKUP(A123,WorldCups!$A$2:$B$23,2,FALSE)</f>
        <v>Brazil</v>
      </c>
      <c r="I123" s="1" t="s">
        <v>48</v>
      </c>
      <c r="J123" s="1">
        <v>2</v>
      </c>
      <c r="K123" s="1" t="s">
        <v>28</v>
      </c>
      <c r="L123" s="1">
        <v>2</v>
      </c>
      <c r="M123" s="1" t="s">
        <v>14</v>
      </c>
    </row>
    <row r="124" spans="1:13" hidden="1" x14ac:dyDescent="0.25">
      <c r="A124" s="1">
        <v>1950</v>
      </c>
      <c r="B124" s="1">
        <v>62</v>
      </c>
      <c r="C124" s="2">
        <v>18443</v>
      </c>
      <c r="D124" s="1" t="s">
        <v>514</v>
      </c>
      <c r="E124" s="1" t="s">
        <v>22</v>
      </c>
      <c r="F124" s="1" t="s">
        <v>94</v>
      </c>
      <c r="G124" s="1" t="s">
        <v>95</v>
      </c>
      <c r="H124" s="6" t="str">
        <f>VLOOKUP(A124,WorldCups!$A$2:$B$23,2,FALSE)</f>
        <v>Brazil</v>
      </c>
      <c r="I124" s="1" t="s">
        <v>28</v>
      </c>
      <c r="J124" s="1">
        <v>2</v>
      </c>
      <c r="K124" s="1" t="s">
        <v>48</v>
      </c>
      <c r="L124" s="1">
        <v>2</v>
      </c>
      <c r="M124" s="1" t="s">
        <v>14</v>
      </c>
    </row>
    <row r="125" spans="1:13" hidden="1" x14ac:dyDescent="0.25">
      <c r="A125" s="1">
        <v>1950</v>
      </c>
      <c r="B125" s="1">
        <f>B124+1</f>
        <v>63</v>
      </c>
      <c r="C125" s="2">
        <v>18443</v>
      </c>
      <c r="D125" s="1" t="s">
        <v>500</v>
      </c>
      <c r="E125" s="1" t="s">
        <v>19</v>
      </c>
      <c r="F125" s="1" t="s">
        <v>98</v>
      </c>
      <c r="G125" s="1" t="s">
        <v>99</v>
      </c>
      <c r="H125" s="6" t="str">
        <f>VLOOKUP(A125,WorldCups!$A$2:$B$23,2,FALSE)</f>
        <v>Brazil</v>
      </c>
      <c r="I125" s="1" t="s">
        <v>17</v>
      </c>
      <c r="J125" s="1">
        <v>1</v>
      </c>
      <c r="K125" s="1" t="s">
        <v>93</v>
      </c>
      <c r="L125" s="1">
        <v>0</v>
      </c>
      <c r="M125" s="1" t="s">
        <v>14</v>
      </c>
    </row>
    <row r="126" spans="1:13" hidden="1" x14ac:dyDescent="0.25">
      <c r="A126" s="1">
        <v>1950</v>
      </c>
      <c r="B126" s="1">
        <v>63</v>
      </c>
      <c r="C126" s="2">
        <v>18443</v>
      </c>
      <c r="D126" s="1" t="s">
        <v>500</v>
      </c>
      <c r="E126" s="1" t="s">
        <v>19</v>
      </c>
      <c r="F126" s="1" t="s">
        <v>98</v>
      </c>
      <c r="G126" s="1" t="s">
        <v>99</v>
      </c>
      <c r="H126" s="6" t="str">
        <f>VLOOKUP(A126,WorldCups!$A$2:$B$23,2,FALSE)</f>
        <v>Brazil</v>
      </c>
      <c r="I126" s="1" t="s">
        <v>93</v>
      </c>
      <c r="J126" s="1">
        <v>0</v>
      </c>
      <c r="K126" s="1" t="s">
        <v>17</v>
      </c>
      <c r="L126" s="1">
        <v>1</v>
      </c>
      <c r="M126" s="1" t="s">
        <v>14</v>
      </c>
    </row>
    <row r="127" spans="1:13" hidden="1" x14ac:dyDescent="0.25">
      <c r="A127" s="1">
        <v>1950</v>
      </c>
      <c r="B127" s="1">
        <f>B126+1</f>
        <v>64</v>
      </c>
      <c r="C127" s="2">
        <v>18445</v>
      </c>
      <c r="D127" s="1" t="s">
        <v>500</v>
      </c>
      <c r="E127" s="1" t="s">
        <v>9</v>
      </c>
      <c r="F127" s="1" t="s">
        <v>91</v>
      </c>
      <c r="G127" s="1" t="s">
        <v>92</v>
      </c>
      <c r="H127" s="6" t="str">
        <f>VLOOKUP(A127,WorldCups!$A$2:$B$23,2,FALSE)</f>
        <v>Brazil</v>
      </c>
      <c r="I127" s="1" t="s">
        <v>21</v>
      </c>
      <c r="J127" s="1">
        <v>2</v>
      </c>
      <c r="K127" s="1" t="s">
        <v>20</v>
      </c>
      <c r="L127" s="1">
        <v>0</v>
      </c>
      <c r="M127" s="1" t="s">
        <v>14</v>
      </c>
    </row>
    <row r="128" spans="1:13" hidden="1" x14ac:dyDescent="0.25">
      <c r="A128" s="1">
        <v>1950</v>
      </c>
      <c r="B128" s="1">
        <v>64</v>
      </c>
      <c r="C128" s="2">
        <v>18445</v>
      </c>
      <c r="D128" s="1" t="s">
        <v>500</v>
      </c>
      <c r="E128" s="1" t="s">
        <v>9</v>
      </c>
      <c r="F128" s="1" t="s">
        <v>91</v>
      </c>
      <c r="G128" s="1" t="s">
        <v>92</v>
      </c>
      <c r="H128" s="6" t="str">
        <f>VLOOKUP(A128,WorldCups!$A$2:$B$23,2,FALSE)</f>
        <v>Brazil</v>
      </c>
      <c r="I128" s="1" t="s">
        <v>20</v>
      </c>
      <c r="J128" s="1">
        <v>0</v>
      </c>
      <c r="K128" s="1" t="s">
        <v>21</v>
      </c>
      <c r="L128" s="1">
        <v>2</v>
      </c>
      <c r="M128" s="1" t="s">
        <v>14</v>
      </c>
    </row>
    <row r="129" spans="1:13" hidden="1" x14ac:dyDescent="0.25">
      <c r="A129" s="1">
        <v>1950</v>
      </c>
      <c r="B129" s="1">
        <f>B128+1</f>
        <v>65</v>
      </c>
      <c r="C129" s="2">
        <v>18446</v>
      </c>
      <c r="D129" s="1" t="s">
        <v>500</v>
      </c>
      <c r="E129" s="1" t="s">
        <v>19</v>
      </c>
      <c r="F129" s="1" t="s">
        <v>91</v>
      </c>
      <c r="G129" s="1" t="s">
        <v>92</v>
      </c>
      <c r="H129" s="6" t="str">
        <f>VLOOKUP(A129,WorldCups!$A$2:$B$23,2,FALSE)</f>
        <v>Brazil</v>
      </c>
      <c r="I129" s="1" t="s">
        <v>54</v>
      </c>
      <c r="J129" s="1">
        <v>1</v>
      </c>
      <c r="K129" s="1" t="s">
        <v>93</v>
      </c>
      <c r="L129" s="1">
        <v>0</v>
      </c>
      <c r="M129" s="1" t="s">
        <v>14</v>
      </c>
    </row>
    <row r="130" spans="1:13" hidden="1" x14ac:dyDescent="0.25">
      <c r="A130" s="1">
        <v>1950</v>
      </c>
      <c r="B130" s="1">
        <v>65</v>
      </c>
      <c r="C130" s="2">
        <v>18446</v>
      </c>
      <c r="D130" s="1" t="s">
        <v>500</v>
      </c>
      <c r="E130" s="1" t="s">
        <v>19</v>
      </c>
      <c r="F130" s="1" t="s">
        <v>91</v>
      </c>
      <c r="G130" s="1" t="s">
        <v>92</v>
      </c>
      <c r="H130" s="6" t="str">
        <f>VLOOKUP(A130,WorldCups!$A$2:$B$23,2,FALSE)</f>
        <v>Brazil</v>
      </c>
      <c r="I130" s="1" t="s">
        <v>93</v>
      </c>
      <c r="J130" s="1">
        <v>0</v>
      </c>
      <c r="K130" s="1" t="s">
        <v>54</v>
      </c>
      <c r="L130" s="1">
        <v>1</v>
      </c>
      <c r="M130" s="1" t="s">
        <v>14</v>
      </c>
    </row>
    <row r="131" spans="1:13" hidden="1" x14ac:dyDescent="0.25">
      <c r="A131" s="1">
        <v>1950</v>
      </c>
      <c r="B131" s="1">
        <f>B130+1</f>
        <v>66</v>
      </c>
      <c r="C131" s="2">
        <v>18446</v>
      </c>
      <c r="D131" s="1" t="s">
        <v>500</v>
      </c>
      <c r="E131" s="1" t="s">
        <v>22</v>
      </c>
      <c r="F131" s="1" t="s">
        <v>96</v>
      </c>
      <c r="G131" s="1" t="s">
        <v>97</v>
      </c>
      <c r="H131" s="6" t="str">
        <f>VLOOKUP(A131,WorldCups!$A$2:$B$23,2,FALSE)</f>
        <v>Brazil</v>
      </c>
      <c r="I131" s="1" t="s">
        <v>57</v>
      </c>
      <c r="J131" s="1">
        <v>2</v>
      </c>
      <c r="K131" s="1" t="s">
        <v>28</v>
      </c>
      <c r="L131" s="1">
        <v>0</v>
      </c>
      <c r="M131" s="1" t="s">
        <v>14</v>
      </c>
    </row>
    <row r="132" spans="1:13" hidden="1" x14ac:dyDescent="0.25">
      <c r="A132" s="1">
        <v>1950</v>
      </c>
      <c r="B132" s="1">
        <v>66</v>
      </c>
      <c r="C132" s="2">
        <v>18446</v>
      </c>
      <c r="D132" s="1" t="s">
        <v>500</v>
      </c>
      <c r="E132" s="1" t="s">
        <v>22</v>
      </c>
      <c r="F132" s="1" t="s">
        <v>96</v>
      </c>
      <c r="G132" s="1" t="s">
        <v>97</v>
      </c>
      <c r="H132" s="6" t="str">
        <f>VLOOKUP(A132,WorldCups!$A$2:$B$23,2,FALSE)</f>
        <v>Brazil</v>
      </c>
      <c r="I132" s="1" t="s">
        <v>28</v>
      </c>
      <c r="J132" s="1">
        <v>0</v>
      </c>
      <c r="K132" s="1" t="s">
        <v>57</v>
      </c>
      <c r="L132" s="1">
        <v>2</v>
      </c>
      <c r="M132" s="1" t="s">
        <v>14</v>
      </c>
    </row>
    <row r="133" spans="1:13" hidden="1" x14ac:dyDescent="0.25">
      <c r="A133" s="1">
        <v>1950</v>
      </c>
      <c r="B133" s="1">
        <f>B132+1</f>
        <v>67</v>
      </c>
      <c r="C133" s="2">
        <v>18446</v>
      </c>
      <c r="D133" s="1" t="s">
        <v>500</v>
      </c>
      <c r="E133" s="1" t="s">
        <v>15</v>
      </c>
      <c r="F133" s="1" t="s">
        <v>98</v>
      </c>
      <c r="G133" s="1" t="s">
        <v>99</v>
      </c>
      <c r="H133" s="6" t="str">
        <f>VLOOKUP(A133,WorldCups!$A$2:$B$23,2,FALSE)</f>
        <v>Brazil</v>
      </c>
      <c r="I133" s="1" t="s">
        <v>30</v>
      </c>
      <c r="J133" s="1">
        <v>8</v>
      </c>
      <c r="K133" s="1" t="s">
        <v>27</v>
      </c>
      <c r="L133" s="1">
        <v>0</v>
      </c>
      <c r="M133" s="1" t="s">
        <v>14</v>
      </c>
    </row>
    <row r="134" spans="1:13" hidden="1" x14ac:dyDescent="0.25">
      <c r="A134" s="1">
        <v>1950</v>
      </c>
      <c r="B134" s="1">
        <v>67</v>
      </c>
      <c r="C134" s="2">
        <v>18446</v>
      </c>
      <c r="D134" s="1" t="s">
        <v>500</v>
      </c>
      <c r="E134" s="1" t="s">
        <v>15</v>
      </c>
      <c r="F134" s="1" t="s">
        <v>98</v>
      </c>
      <c r="G134" s="1" t="s">
        <v>99</v>
      </c>
      <c r="H134" s="6" t="str">
        <f>VLOOKUP(A134,WorldCups!$A$2:$B$23,2,FALSE)</f>
        <v>Brazil</v>
      </c>
      <c r="I134" s="1" t="s">
        <v>27</v>
      </c>
      <c r="J134" s="1">
        <v>0</v>
      </c>
      <c r="K134" s="1" t="s">
        <v>30</v>
      </c>
      <c r="L134" s="1">
        <v>8</v>
      </c>
      <c r="M134" s="1" t="s">
        <v>14</v>
      </c>
    </row>
    <row r="135" spans="1:13" hidden="1" x14ac:dyDescent="0.25">
      <c r="A135" s="1">
        <v>1950</v>
      </c>
      <c r="B135" s="1">
        <f>B134+1</f>
        <v>68</v>
      </c>
      <c r="C135" s="2">
        <v>18446</v>
      </c>
      <c r="D135" s="1" t="s">
        <v>515</v>
      </c>
      <c r="E135" s="1" t="s">
        <v>9</v>
      </c>
      <c r="F135" s="1" t="s">
        <v>100</v>
      </c>
      <c r="G135" s="1" t="s">
        <v>101</v>
      </c>
      <c r="H135" s="6" t="str">
        <f>VLOOKUP(A135,WorldCups!$A$2:$B$23,2,FALSE)</f>
        <v>Brazil</v>
      </c>
      <c r="I135" s="1" t="s">
        <v>44</v>
      </c>
      <c r="J135" s="1">
        <v>2</v>
      </c>
      <c r="K135" s="1" t="s">
        <v>13</v>
      </c>
      <c r="L135" s="1">
        <v>1</v>
      </c>
      <c r="M135" s="1" t="s">
        <v>14</v>
      </c>
    </row>
    <row r="136" spans="1:13" hidden="1" x14ac:dyDescent="0.25">
      <c r="A136" s="1">
        <v>1950</v>
      </c>
      <c r="B136" s="1">
        <v>68</v>
      </c>
      <c r="C136" s="2">
        <v>18446</v>
      </c>
      <c r="D136" s="1" t="s">
        <v>515</v>
      </c>
      <c r="E136" s="1" t="s">
        <v>9</v>
      </c>
      <c r="F136" s="1" t="s">
        <v>100</v>
      </c>
      <c r="G136" s="1" t="s">
        <v>101</v>
      </c>
      <c r="H136" s="6" t="str">
        <f>VLOOKUP(A136,WorldCups!$A$2:$B$23,2,FALSE)</f>
        <v>Brazil</v>
      </c>
      <c r="I136" s="1" t="s">
        <v>13</v>
      </c>
      <c r="J136" s="1">
        <v>1</v>
      </c>
      <c r="K136" s="1" t="s">
        <v>44</v>
      </c>
      <c r="L136" s="1">
        <v>2</v>
      </c>
      <c r="M136" s="1" t="s">
        <v>14</v>
      </c>
    </row>
    <row r="137" spans="1:13" hidden="1" x14ac:dyDescent="0.25">
      <c r="A137" s="1">
        <v>1950</v>
      </c>
      <c r="B137" s="1">
        <f>B136+1</f>
        <v>69</v>
      </c>
      <c r="C137" s="2">
        <v>18446</v>
      </c>
      <c r="D137" s="1" t="s">
        <v>500</v>
      </c>
      <c r="E137" s="1" t="s">
        <v>19</v>
      </c>
      <c r="F137" s="1" t="s">
        <v>102</v>
      </c>
      <c r="G137" s="1" t="s">
        <v>103</v>
      </c>
      <c r="H137" s="6" t="str">
        <f>VLOOKUP(A137,WorldCups!$A$2:$B$23,2,FALSE)</f>
        <v>Brazil</v>
      </c>
      <c r="I137" s="1" t="s">
        <v>26</v>
      </c>
      <c r="J137" s="1">
        <v>5</v>
      </c>
      <c r="K137" s="1" t="s">
        <v>17</v>
      </c>
      <c r="L137" s="1">
        <v>2</v>
      </c>
      <c r="M137" s="1" t="s">
        <v>14</v>
      </c>
    </row>
    <row r="138" spans="1:13" hidden="1" x14ac:dyDescent="0.25">
      <c r="A138" s="1">
        <v>1950</v>
      </c>
      <c r="B138" s="1">
        <v>69</v>
      </c>
      <c r="C138" s="2">
        <v>18446</v>
      </c>
      <c r="D138" s="1" t="s">
        <v>500</v>
      </c>
      <c r="E138" s="1" t="s">
        <v>19</v>
      </c>
      <c r="F138" s="1" t="s">
        <v>102</v>
      </c>
      <c r="G138" s="1" t="s">
        <v>103</v>
      </c>
      <c r="H138" s="6" t="str">
        <f>VLOOKUP(A138,WorldCups!$A$2:$B$23,2,FALSE)</f>
        <v>Brazil</v>
      </c>
      <c r="I138" s="1" t="s">
        <v>17</v>
      </c>
      <c r="J138" s="1">
        <v>2</v>
      </c>
      <c r="K138" s="1" t="s">
        <v>26</v>
      </c>
      <c r="L138" s="1">
        <v>5</v>
      </c>
      <c r="M138" s="1" t="s">
        <v>14</v>
      </c>
    </row>
    <row r="139" spans="1:13" hidden="1" x14ac:dyDescent="0.25">
      <c r="A139" s="1">
        <v>1950</v>
      </c>
      <c r="B139" s="1">
        <f>B138+1</f>
        <v>70</v>
      </c>
      <c r="C139" s="2">
        <v>18453</v>
      </c>
      <c r="D139" s="1" t="s">
        <v>500</v>
      </c>
      <c r="E139" s="1" t="s">
        <v>104</v>
      </c>
      <c r="F139" s="1" t="s">
        <v>96</v>
      </c>
      <c r="G139" s="1" t="s">
        <v>97</v>
      </c>
      <c r="H139" s="6" t="str">
        <f>VLOOKUP(A139,WorldCups!$A$2:$B$23,2,FALSE)</f>
        <v>Brazil</v>
      </c>
      <c r="I139" s="1" t="s">
        <v>30</v>
      </c>
      <c r="J139" s="1">
        <v>2</v>
      </c>
      <c r="K139" s="1" t="s">
        <v>54</v>
      </c>
      <c r="L139" s="1">
        <v>2</v>
      </c>
      <c r="M139" s="1" t="s">
        <v>14</v>
      </c>
    </row>
    <row r="140" spans="1:13" hidden="1" x14ac:dyDescent="0.25">
      <c r="A140" s="1">
        <v>1950</v>
      </c>
      <c r="B140" s="1">
        <v>70</v>
      </c>
      <c r="C140" s="2">
        <v>18453</v>
      </c>
      <c r="D140" s="1" t="s">
        <v>500</v>
      </c>
      <c r="E140" s="1" t="s">
        <v>104</v>
      </c>
      <c r="F140" s="1" t="s">
        <v>96</v>
      </c>
      <c r="G140" s="1" t="s">
        <v>97</v>
      </c>
      <c r="H140" s="6" t="str">
        <f>VLOOKUP(A140,WorldCups!$A$2:$B$23,2,FALSE)</f>
        <v>Brazil</v>
      </c>
      <c r="I140" s="1" t="s">
        <v>54</v>
      </c>
      <c r="J140" s="1">
        <v>2</v>
      </c>
      <c r="K140" s="1" t="s">
        <v>30</v>
      </c>
      <c r="L140" s="1">
        <v>2</v>
      </c>
      <c r="M140" s="1" t="s">
        <v>14</v>
      </c>
    </row>
    <row r="141" spans="1:13" hidden="1" x14ac:dyDescent="0.25">
      <c r="A141" s="1">
        <v>1950</v>
      </c>
      <c r="B141" s="1">
        <f>B140+1</f>
        <v>71</v>
      </c>
      <c r="C141" s="2">
        <v>18453</v>
      </c>
      <c r="D141" s="1" t="s">
        <v>500</v>
      </c>
      <c r="E141" s="1" t="s">
        <v>104</v>
      </c>
      <c r="F141" s="1" t="s">
        <v>91</v>
      </c>
      <c r="G141" s="1" t="s">
        <v>92</v>
      </c>
      <c r="H141" s="6" t="str">
        <f>VLOOKUP(A141,WorldCups!$A$2:$B$23,2,FALSE)</f>
        <v>Brazil</v>
      </c>
      <c r="I141" s="1" t="s">
        <v>21</v>
      </c>
      <c r="J141" s="1">
        <v>7</v>
      </c>
      <c r="K141" s="1" t="s">
        <v>48</v>
      </c>
      <c r="L141" s="1">
        <v>1</v>
      </c>
      <c r="M141" s="1" t="s">
        <v>14</v>
      </c>
    </row>
    <row r="142" spans="1:13" hidden="1" x14ac:dyDescent="0.25">
      <c r="A142" s="1">
        <v>1950</v>
      </c>
      <c r="B142" s="1">
        <v>71</v>
      </c>
      <c r="C142" s="2">
        <v>18453</v>
      </c>
      <c r="D142" s="1" t="s">
        <v>500</v>
      </c>
      <c r="E142" s="1" t="s">
        <v>104</v>
      </c>
      <c r="F142" s="1" t="s">
        <v>91</v>
      </c>
      <c r="G142" s="1" t="s">
        <v>92</v>
      </c>
      <c r="H142" s="6" t="str">
        <f>VLOOKUP(A142,WorldCups!$A$2:$B$23,2,FALSE)</f>
        <v>Brazil</v>
      </c>
      <c r="I142" s="1" t="s">
        <v>48</v>
      </c>
      <c r="J142" s="1">
        <v>1</v>
      </c>
      <c r="K142" s="1" t="s">
        <v>21</v>
      </c>
      <c r="L142" s="1">
        <v>7</v>
      </c>
      <c r="M142" s="1" t="s">
        <v>14</v>
      </c>
    </row>
    <row r="143" spans="1:13" hidden="1" x14ac:dyDescent="0.25">
      <c r="A143" s="1">
        <v>1950</v>
      </c>
      <c r="B143" s="1">
        <f>B142+1</f>
        <v>72</v>
      </c>
      <c r="C143" s="2">
        <v>18457</v>
      </c>
      <c r="D143" s="1" t="s">
        <v>500</v>
      </c>
      <c r="E143" s="1" t="s">
        <v>104</v>
      </c>
      <c r="F143" s="1" t="s">
        <v>91</v>
      </c>
      <c r="G143" s="1" t="s">
        <v>92</v>
      </c>
      <c r="H143" s="6" t="str">
        <f>VLOOKUP(A143,WorldCups!$A$2:$B$23,2,FALSE)</f>
        <v>Brazil</v>
      </c>
      <c r="I143" s="1" t="s">
        <v>21</v>
      </c>
      <c r="J143" s="1">
        <v>6</v>
      </c>
      <c r="K143" s="1" t="s">
        <v>54</v>
      </c>
      <c r="L143" s="1">
        <v>1</v>
      </c>
      <c r="M143" s="1" t="s">
        <v>14</v>
      </c>
    </row>
    <row r="144" spans="1:13" hidden="1" x14ac:dyDescent="0.25">
      <c r="A144" s="1">
        <v>1950</v>
      </c>
      <c r="B144" s="1">
        <v>72</v>
      </c>
      <c r="C144" s="2">
        <v>18457</v>
      </c>
      <c r="D144" s="1" t="s">
        <v>500</v>
      </c>
      <c r="E144" s="1" t="s">
        <v>104</v>
      </c>
      <c r="F144" s="1" t="s">
        <v>91</v>
      </c>
      <c r="G144" s="1" t="s">
        <v>92</v>
      </c>
      <c r="H144" s="6" t="str">
        <f>VLOOKUP(A144,WorldCups!$A$2:$B$23,2,FALSE)</f>
        <v>Brazil</v>
      </c>
      <c r="I144" s="1" t="s">
        <v>54</v>
      </c>
      <c r="J144" s="1">
        <v>1</v>
      </c>
      <c r="K144" s="1" t="s">
        <v>21</v>
      </c>
      <c r="L144" s="1">
        <v>6</v>
      </c>
      <c r="M144" s="1" t="s">
        <v>14</v>
      </c>
    </row>
    <row r="145" spans="1:13" hidden="1" x14ac:dyDescent="0.25">
      <c r="A145" s="1">
        <v>1950</v>
      </c>
      <c r="B145" s="1">
        <f>B144+1</f>
        <v>73</v>
      </c>
      <c r="C145" s="2">
        <v>18457</v>
      </c>
      <c r="D145" s="1" t="s">
        <v>500</v>
      </c>
      <c r="E145" s="1" t="s">
        <v>104</v>
      </c>
      <c r="F145" s="1" t="s">
        <v>96</v>
      </c>
      <c r="G145" s="1" t="s">
        <v>97</v>
      </c>
      <c r="H145" s="6" t="str">
        <f>VLOOKUP(A145,WorldCups!$A$2:$B$23,2,FALSE)</f>
        <v>Brazil</v>
      </c>
      <c r="I145" s="1" t="s">
        <v>30</v>
      </c>
      <c r="J145" s="1">
        <v>3</v>
      </c>
      <c r="K145" s="1" t="s">
        <v>48</v>
      </c>
      <c r="L145" s="1">
        <v>2</v>
      </c>
      <c r="M145" s="1" t="s">
        <v>14</v>
      </c>
    </row>
    <row r="146" spans="1:13" hidden="1" x14ac:dyDescent="0.25">
      <c r="A146" s="1">
        <v>1950</v>
      </c>
      <c r="B146" s="1">
        <v>73</v>
      </c>
      <c r="C146" s="2">
        <v>18457</v>
      </c>
      <c r="D146" s="1" t="s">
        <v>500</v>
      </c>
      <c r="E146" s="1" t="s">
        <v>104</v>
      </c>
      <c r="F146" s="1" t="s">
        <v>96</v>
      </c>
      <c r="G146" s="1" t="s">
        <v>97</v>
      </c>
      <c r="H146" s="6" t="str">
        <f>VLOOKUP(A146,WorldCups!$A$2:$B$23,2,FALSE)</f>
        <v>Brazil</v>
      </c>
      <c r="I146" s="1" t="s">
        <v>48</v>
      </c>
      <c r="J146" s="1">
        <v>2</v>
      </c>
      <c r="K146" s="1" t="s">
        <v>30</v>
      </c>
      <c r="L146" s="1">
        <v>3</v>
      </c>
      <c r="M146" s="1" t="s">
        <v>14</v>
      </c>
    </row>
    <row r="147" spans="1:13" hidden="1" x14ac:dyDescent="0.25">
      <c r="A147" s="1">
        <v>1950</v>
      </c>
      <c r="B147" s="1">
        <f>B146+1</f>
        <v>74</v>
      </c>
      <c r="C147" s="2">
        <v>18460</v>
      </c>
      <c r="D147" s="1" t="s">
        <v>500</v>
      </c>
      <c r="E147" s="1" t="s">
        <v>104</v>
      </c>
      <c r="F147" s="1" t="s">
        <v>96</v>
      </c>
      <c r="G147" s="1" t="s">
        <v>97</v>
      </c>
      <c r="H147" s="6" t="str">
        <f>VLOOKUP(A147,WorldCups!$A$2:$B$23,2,FALSE)</f>
        <v>Brazil</v>
      </c>
      <c r="I147" s="1" t="s">
        <v>48</v>
      </c>
      <c r="J147" s="1">
        <v>3</v>
      </c>
      <c r="K147" s="1" t="s">
        <v>54</v>
      </c>
      <c r="L147" s="1">
        <v>1</v>
      </c>
      <c r="M147" s="1" t="s">
        <v>14</v>
      </c>
    </row>
    <row r="148" spans="1:13" hidden="1" x14ac:dyDescent="0.25">
      <c r="A148" s="1">
        <v>1950</v>
      </c>
      <c r="B148" s="1">
        <v>74</v>
      </c>
      <c r="C148" s="2">
        <v>18460</v>
      </c>
      <c r="D148" s="1" t="s">
        <v>500</v>
      </c>
      <c r="E148" s="1" t="s">
        <v>104</v>
      </c>
      <c r="F148" s="1" t="s">
        <v>96</v>
      </c>
      <c r="G148" s="1" t="s">
        <v>97</v>
      </c>
      <c r="H148" s="6" t="str">
        <f>VLOOKUP(A148,WorldCups!$A$2:$B$23,2,FALSE)</f>
        <v>Brazil</v>
      </c>
      <c r="I148" s="1" t="s">
        <v>54</v>
      </c>
      <c r="J148" s="1">
        <v>1</v>
      </c>
      <c r="K148" s="1" t="s">
        <v>48</v>
      </c>
      <c r="L148" s="1">
        <v>3</v>
      </c>
      <c r="M148" s="1" t="s">
        <v>14</v>
      </c>
    </row>
    <row r="149" spans="1:13" hidden="1" x14ac:dyDescent="0.25">
      <c r="A149" s="1">
        <v>1950</v>
      </c>
      <c r="B149" s="1">
        <f>B148+1</f>
        <v>75</v>
      </c>
      <c r="C149" s="2">
        <v>18460</v>
      </c>
      <c r="D149" s="1" t="s">
        <v>500</v>
      </c>
      <c r="E149" s="1" t="s">
        <v>104</v>
      </c>
      <c r="F149" s="1" t="s">
        <v>91</v>
      </c>
      <c r="G149" s="1" t="s">
        <v>92</v>
      </c>
      <c r="H149" s="6" t="str">
        <f>VLOOKUP(A149,WorldCups!$A$2:$B$23,2,FALSE)</f>
        <v>Brazil</v>
      </c>
      <c r="I149" s="1" t="s">
        <v>30</v>
      </c>
      <c r="J149" s="1">
        <v>2</v>
      </c>
      <c r="K149" s="1" t="s">
        <v>21</v>
      </c>
      <c r="L149" s="1">
        <v>1</v>
      </c>
      <c r="M149" s="1" t="s">
        <v>14</v>
      </c>
    </row>
    <row r="150" spans="1:13" hidden="1" x14ac:dyDescent="0.25">
      <c r="A150" s="1">
        <v>1950</v>
      </c>
      <c r="B150" s="1">
        <v>75</v>
      </c>
      <c r="C150" s="2">
        <v>18460</v>
      </c>
      <c r="D150" s="1" t="s">
        <v>500</v>
      </c>
      <c r="E150" s="1" t="s">
        <v>104</v>
      </c>
      <c r="F150" s="1" t="s">
        <v>91</v>
      </c>
      <c r="G150" s="1" t="s">
        <v>92</v>
      </c>
      <c r="H150" s="6" t="str">
        <f>VLOOKUP(A150,WorldCups!$A$2:$B$23,2,FALSE)</f>
        <v>Brazil</v>
      </c>
      <c r="I150" s="1" t="s">
        <v>21</v>
      </c>
      <c r="J150" s="1">
        <v>1</v>
      </c>
      <c r="K150" s="1" t="s">
        <v>30</v>
      </c>
      <c r="L150" s="1">
        <v>2</v>
      </c>
      <c r="M150" s="1" t="s">
        <v>14</v>
      </c>
    </row>
    <row r="151" spans="1:13" hidden="1" x14ac:dyDescent="0.25">
      <c r="A151" s="1">
        <v>1954</v>
      </c>
      <c r="B151" s="1">
        <f>B150+1</f>
        <v>76</v>
      </c>
      <c r="C151" s="2">
        <v>19891</v>
      </c>
      <c r="D151" s="1" t="s">
        <v>510</v>
      </c>
      <c r="E151" s="1" t="s">
        <v>22</v>
      </c>
      <c r="F151" s="1" t="s">
        <v>105</v>
      </c>
      <c r="G151" s="1" t="s">
        <v>106</v>
      </c>
      <c r="H151" s="6" t="str">
        <f>VLOOKUP(A151,WorldCups!$A$2:$B$23,2,FALSE)</f>
        <v>Switzerland</v>
      </c>
      <c r="I151" s="1" t="s">
        <v>30</v>
      </c>
      <c r="J151" s="1">
        <v>2</v>
      </c>
      <c r="K151" s="1" t="s">
        <v>60</v>
      </c>
      <c r="L151" s="1">
        <v>0</v>
      </c>
      <c r="M151" s="1" t="s">
        <v>14</v>
      </c>
    </row>
    <row r="152" spans="1:13" hidden="1" x14ac:dyDescent="0.25">
      <c r="A152" s="1">
        <v>1954</v>
      </c>
      <c r="B152" s="1">
        <v>76</v>
      </c>
      <c r="C152" s="2">
        <v>19891</v>
      </c>
      <c r="D152" s="1" t="s">
        <v>510</v>
      </c>
      <c r="E152" s="1" t="s">
        <v>22</v>
      </c>
      <c r="F152" s="1" t="s">
        <v>105</v>
      </c>
      <c r="G152" s="1" t="s">
        <v>106</v>
      </c>
      <c r="H152" s="6" t="str">
        <f>VLOOKUP(A152,WorldCups!$A$2:$B$23,2,FALSE)</f>
        <v>Switzerland</v>
      </c>
      <c r="I152" s="1" t="s">
        <v>60</v>
      </c>
      <c r="J152" s="1">
        <v>0</v>
      </c>
      <c r="K152" s="1" t="s">
        <v>30</v>
      </c>
      <c r="L152" s="1">
        <v>2</v>
      </c>
      <c r="M152" s="1" t="s">
        <v>14</v>
      </c>
    </row>
    <row r="153" spans="1:13" hidden="1" x14ac:dyDescent="0.25">
      <c r="A153" s="1">
        <v>1954</v>
      </c>
      <c r="B153" s="1">
        <f>B152+1</f>
        <v>77</v>
      </c>
      <c r="C153" s="2">
        <v>19891</v>
      </c>
      <c r="D153" s="1" t="s">
        <v>510</v>
      </c>
      <c r="E153" s="1" t="s">
        <v>22</v>
      </c>
      <c r="F153" s="1" t="s">
        <v>107</v>
      </c>
      <c r="G153" s="1" t="s">
        <v>108</v>
      </c>
      <c r="H153" s="6" t="str">
        <f>VLOOKUP(A153,WorldCups!$A$2:$B$23,2,FALSE)</f>
        <v>Switzerland</v>
      </c>
      <c r="I153" s="1" t="s">
        <v>36</v>
      </c>
      <c r="J153" s="1">
        <v>1</v>
      </c>
      <c r="K153" s="1" t="s">
        <v>109</v>
      </c>
      <c r="L153" s="1">
        <v>0</v>
      </c>
      <c r="M153" s="1" t="s">
        <v>14</v>
      </c>
    </row>
    <row r="154" spans="1:13" hidden="1" x14ac:dyDescent="0.25">
      <c r="A154" s="1">
        <v>1954</v>
      </c>
      <c r="B154" s="1">
        <v>77</v>
      </c>
      <c r="C154" s="2">
        <v>19891</v>
      </c>
      <c r="D154" s="1" t="s">
        <v>510</v>
      </c>
      <c r="E154" s="1" t="s">
        <v>22</v>
      </c>
      <c r="F154" s="1" t="s">
        <v>107</v>
      </c>
      <c r="G154" s="1" t="s">
        <v>108</v>
      </c>
      <c r="H154" s="6" t="str">
        <f>VLOOKUP(A154,WorldCups!$A$2:$B$23,2,FALSE)</f>
        <v>Switzerland</v>
      </c>
      <c r="I154" s="1" t="s">
        <v>109</v>
      </c>
      <c r="J154" s="1">
        <v>0</v>
      </c>
      <c r="K154" s="1" t="s">
        <v>36</v>
      </c>
      <c r="L154" s="1">
        <v>1</v>
      </c>
      <c r="M154" s="1" t="s">
        <v>14</v>
      </c>
    </row>
    <row r="155" spans="1:13" hidden="1" x14ac:dyDescent="0.25">
      <c r="A155" s="1">
        <v>1954</v>
      </c>
      <c r="B155" s="1">
        <f>B154+1</f>
        <v>78</v>
      </c>
      <c r="C155" s="2">
        <v>19891</v>
      </c>
      <c r="D155" s="1" t="s">
        <v>510</v>
      </c>
      <c r="E155" s="1" t="s">
        <v>9</v>
      </c>
      <c r="F155" s="1" t="s">
        <v>110</v>
      </c>
      <c r="G155" s="1" t="s">
        <v>111</v>
      </c>
      <c r="H155" s="6" t="str">
        <f>VLOOKUP(A155,WorldCups!$A$2:$B$23,2,FALSE)</f>
        <v>Switzerland</v>
      </c>
      <c r="I155" s="1" t="s">
        <v>21</v>
      </c>
      <c r="J155" s="1">
        <v>5</v>
      </c>
      <c r="K155" s="1" t="s">
        <v>13</v>
      </c>
      <c r="L155" s="1">
        <v>0</v>
      </c>
      <c r="M155" s="1" t="s">
        <v>14</v>
      </c>
    </row>
    <row r="156" spans="1:13" hidden="1" x14ac:dyDescent="0.25">
      <c r="A156" s="1">
        <v>1954</v>
      </c>
      <c r="B156" s="1">
        <v>78</v>
      </c>
      <c r="C156" s="2">
        <v>19891</v>
      </c>
      <c r="D156" s="1" t="s">
        <v>510</v>
      </c>
      <c r="E156" s="1" t="s">
        <v>9</v>
      </c>
      <c r="F156" s="1" t="s">
        <v>110</v>
      </c>
      <c r="G156" s="1" t="s">
        <v>111</v>
      </c>
      <c r="H156" s="6" t="str">
        <f>VLOOKUP(A156,WorldCups!$A$2:$B$23,2,FALSE)</f>
        <v>Switzerland</v>
      </c>
      <c r="I156" s="1" t="s">
        <v>13</v>
      </c>
      <c r="J156" s="1">
        <v>0</v>
      </c>
      <c r="K156" s="1" t="s">
        <v>21</v>
      </c>
      <c r="L156" s="1">
        <v>5</v>
      </c>
      <c r="M156" s="1" t="s">
        <v>14</v>
      </c>
    </row>
    <row r="157" spans="1:13" hidden="1" x14ac:dyDescent="0.25">
      <c r="A157" s="1">
        <v>1954</v>
      </c>
      <c r="B157" s="1">
        <f>B156+1</f>
        <v>79</v>
      </c>
      <c r="C157" s="2">
        <v>19891</v>
      </c>
      <c r="D157" s="1" t="s">
        <v>510</v>
      </c>
      <c r="E157" s="1" t="s">
        <v>9</v>
      </c>
      <c r="F157" s="1" t="s">
        <v>112</v>
      </c>
      <c r="G157" s="1" t="s">
        <v>113</v>
      </c>
      <c r="H157" s="6" t="str">
        <f>VLOOKUP(A157,WorldCups!$A$2:$B$23,2,FALSE)</f>
        <v>Switzerland</v>
      </c>
      <c r="I157" s="1" t="s">
        <v>20</v>
      </c>
      <c r="J157" s="1">
        <v>1</v>
      </c>
      <c r="K157" s="1" t="s">
        <v>12</v>
      </c>
      <c r="L157" s="1">
        <v>0</v>
      </c>
      <c r="M157" s="1" t="s">
        <v>14</v>
      </c>
    </row>
    <row r="158" spans="1:13" hidden="1" x14ac:dyDescent="0.25">
      <c r="A158" s="1">
        <v>1954</v>
      </c>
      <c r="B158" s="1">
        <v>79</v>
      </c>
      <c r="C158" s="2">
        <v>19891</v>
      </c>
      <c r="D158" s="1" t="s">
        <v>510</v>
      </c>
      <c r="E158" s="1" t="s">
        <v>9</v>
      </c>
      <c r="F158" s="1" t="s">
        <v>112</v>
      </c>
      <c r="G158" s="1" t="s">
        <v>113</v>
      </c>
      <c r="H158" s="6" t="str">
        <f>VLOOKUP(A158,WorldCups!$A$2:$B$23,2,FALSE)</f>
        <v>Switzerland</v>
      </c>
      <c r="I158" s="1" t="s">
        <v>12</v>
      </c>
      <c r="J158" s="1">
        <v>0</v>
      </c>
      <c r="K158" s="1" t="s">
        <v>20</v>
      </c>
      <c r="L158" s="1">
        <v>1</v>
      </c>
      <c r="M158" s="1" t="s">
        <v>14</v>
      </c>
    </row>
    <row r="159" spans="1:13" hidden="1" x14ac:dyDescent="0.25">
      <c r="A159" s="1">
        <v>1954</v>
      </c>
      <c r="B159" s="1">
        <f>B158+1</f>
        <v>80</v>
      </c>
      <c r="C159" s="2">
        <v>19892</v>
      </c>
      <c r="D159" s="1" t="s">
        <v>510</v>
      </c>
      <c r="E159" s="1" t="s">
        <v>19</v>
      </c>
      <c r="F159" s="1" t="s">
        <v>105</v>
      </c>
      <c r="G159" s="1" t="s">
        <v>106</v>
      </c>
      <c r="H159" s="6" t="str">
        <f>VLOOKUP(A159,WorldCups!$A$2:$B$23,2,FALSE)</f>
        <v>Switzerland</v>
      </c>
      <c r="I159" s="1" t="s">
        <v>114</v>
      </c>
      <c r="J159" s="1">
        <v>4</v>
      </c>
      <c r="K159" s="1" t="s">
        <v>115</v>
      </c>
      <c r="L159" s="1">
        <v>1</v>
      </c>
      <c r="M159" s="1" t="s">
        <v>14</v>
      </c>
    </row>
    <row r="160" spans="1:13" hidden="1" x14ac:dyDescent="0.25">
      <c r="A160" s="1">
        <v>1954</v>
      </c>
      <c r="B160" s="1">
        <v>80</v>
      </c>
      <c r="C160" s="2">
        <v>19892</v>
      </c>
      <c r="D160" s="1" t="s">
        <v>510</v>
      </c>
      <c r="E160" s="1" t="s">
        <v>19</v>
      </c>
      <c r="F160" s="1" t="s">
        <v>105</v>
      </c>
      <c r="G160" s="1" t="s">
        <v>106</v>
      </c>
      <c r="H160" s="6" t="str">
        <f>VLOOKUP(A160,WorldCups!$A$2:$B$23,2,FALSE)</f>
        <v>Switzerland</v>
      </c>
      <c r="I160" s="1" t="s">
        <v>115</v>
      </c>
      <c r="J160" s="1">
        <v>1</v>
      </c>
      <c r="K160" s="1" t="s">
        <v>114</v>
      </c>
      <c r="L160" s="1">
        <v>4</v>
      </c>
      <c r="M160" s="1" t="s">
        <v>14</v>
      </c>
    </row>
    <row r="161" spans="1:13" hidden="1" x14ac:dyDescent="0.25">
      <c r="A161" s="1">
        <v>1954</v>
      </c>
      <c r="B161" s="1">
        <f>B160+1</f>
        <v>81</v>
      </c>
      <c r="C161" s="2">
        <v>19892</v>
      </c>
      <c r="D161" s="1" t="s">
        <v>510</v>
      </c>
      <c r="E161" s="1" t="s">
        <v>19</v>
      </c>
      <c r="F161" s="1" t="s">
        <v>107</v>
      </c>
      <c r="G161" s="1" t="s">
        <v>108</v>
      </c>
      <c r="H161" s="6" t="str">
        <f>VLOOKUP(A161,WorldCups!$A$2:$B$23,2,FALSE)</f>
        <v>Switzerland</v>
      </c>
      <c r="I161" s="1" t="s">
        <v>40</v>
      </c>
      <c r="J161" s="1">
        <v>9</v>
      </c>
      <c r="K161" s="1" t="s">
        <v>116</v>
      </c>
      <c r="L161" s="1">
        <v>0</v>
      </c>
      <c r="M161" s="1" t="s">
        <v>14</v>
      </c>
    </row>
    <row r="162" spans="1:13" hidden="1" x14ac:dyDescent="0.25">
      <c r="A162" s="1">
        <v>1954</v>
      </c>
      <c r="B162" s="1">
        <v>81</v>
      </c>
      <c r="C162" s="2">
        <v>19892</v>
      </c>
      <c r="D162" s="1" t="s">
        <v>510</v>
      </c>
      <c r="E162" s="1" t="s">
        <v>19</v>
      </c>
      <c r="F162" s="1" t="s">
        <v>107</v>
      </c>
      <c r="G162" s="1" t="s">
        <v>108</v>
      </c>
      <c r="H162" s="6" t="str">
        <f>VLOOKUP(A162,WorldCups!$A$2:$B$23,2,FALSE)</f>
        <v>Switzerland</v>
      </c>
      <c r="I162" s="1" t="s">
        <v>116</v>
      </c>
      <c r="J162" s="1">
        <v>0</v>
      </c>
      <c r="K162" s="1" t="s">
        <v>40</v>
      </c>
      <c r="L162" s="1">
        <v>9</v>
      </c>
      <c r="M162" s="1" t="s">
        <v>14</v>
      </c>
    </row>
    <row r="163" spans="1:13" hidden="1" x14ac:dyDescent="0.25">
      <c r="A163" s="1">
        <v>1954</v>
      </c>
      <c r="B163" s="1">
        <f>B162+1</f>
        <v>82</v>
      </c>
      <c r="C163" s="2">
        <v>19892</v>
      </c>
      <c r="D163" s="1" t="s">
        <v>516</v>
      </c>
      <c r="E163" s="1" t="s">
        <v>15</v>
      </c>
      <c r="F163" s="1" t="s">
        <v>117</v>
      </c>
      <c r="G163" s="1" t="s">
        <v>118</v>
      </c>
      <c r="H163" s="6" t="str">
        <f>VLOOKUP(A163,WorldCups!$A$2:$B$23,2,FALSE)</f>
        <v>Switzerland</v>
      </c>
      <c r="I163" s="1" t="s">
        <v>93</v>
      </c>
      <c r="J163" s="1">
        <v>4</v>
      </c>
      <c r="K163" s="1" t="s">
        <v>18</v>
      </c>
      <c r="L163" s="1">
        <v>4</v>
      </c>
      <c r="M163" s="1" t="s">
        <v>14</v>
      </c>
    </row>
    <row r="164" spans="1:13" hidden="1" x14ac:dyDescent="0.25">
      <c r="A164" s="1">
        <v>1954</v>
      </c>
      <c r="B164" s="1">
        <v>82</v>
      </c>
      <c r="C164" s="2">
        <v>19892</v>
      </c>
      <c r="D164" s="1" t="s">
        <v>516</v>
      </c>
      <c r="E164" s="1" t="s">
        <v>15</v>
      </c>
      <c r="F164" s="1" t="s">
        <v>117</v>
      </c>
      <c r="G164" s="1" t="s">
        <v>118</v>
      </c>
      <c r="H164" s="6" t="str">
        <f>VLOOKUP(A164,WorldCups!$A$2:$B$23,2,FALSE)</f>
        <v>Switzerland</v>
      </c>
      <c r="I164" s="1" t="s">
        <v>18</v>
      </c>
      <c r="J164" s="1">
        <v>4</v>
      </c>
      <c r="K164" s="1" t="s">
        <v>93</v>
      </c>
      <c r="L164" s="1">
        <v>4</v>
      </c>
      <c r="M164" s="1" t="s">
        <v>14</v>
      </c>
    </row>
    <row r="165" spans="1:13" hidden="1" x14ac:dyDescent="0.25">
      <c r="A165" s="1">
        <v>1954</v>
      </c>
      <c r="B165" s="1">
        <f>B164+1</f>
        <v>83</v>
      </c>
      <c r="C165" s="2">
        <v>19892</v>
      </c>
      <c r="D165" s="1" t="s">
        <v>517</v>
      </c>
      <c r="E165" s="1" t="s">
        <v>15</v>
      </c>
      <c r="F165" s="1" t="s">
        <v>112</v>
      </c>
      <c r="G165" s="1" t="s">
        <v>113</v>
      </c>
      <c r="H165" s="6" t="str">
        <f>VLOOKUP(A165,WorldCups!$A$2:$B$23,2,FALSE)</f>
        <v>Switzerland</v>
      </c>
      <c r="I165" s="1" t="s">
        <v>44</v>
      </c>
      <c r="J165" s="1">
        <v>2</v>
      </c>
      <c r="K165" s="1" t="s">
        <v>57</v>
      </c>
      <c r="L165" s="1">
        <v>1</v>
      </c>
      <c r="M165" s="1" t="s">
        <v>14</v>
      </c>
    </row>
    <row r="166" spans="1:13" hidden="1" x14ac:dyDescent="0.25">
      <c r="A166" s="1">
        <v>1954</v>
      </c>
      <c r="B166" s="1">
        <v>83</v>
      </c>
      <c r="C166" s="2">
        <v>19892</v>
      </c>
      <c r="D166" s="1" t="s">
        <v>517</v>
      </c>
      <c r="E166" s="1" t="s">
        <v>15</v>
      </c>
      <c r="F166" s="1" t="s">
        <v>112</v>
      </c>
      <c r="G166" s="1" t="s">
        <v>113</v>
      </c>
      <c r="H166" s="6" t="str">
        <f>VLOOKUP(A166,WorldCups!$A$2:$B$23,2,FALSE)</f>
        <v>Switzerland</v>
      </c>
      <c r="I166" s="1" t="s">
        <v>57</v>
      </c>
      <c r="J166" s="1">
        <v>1</v>
      </c>
      <c r="K166" s="1" t="s">
        <v>44</v>
      </c>
      <c r="L166" s="1">
        <v>2</v>
      </c>
      <c r="M166" s="1" t="s">
        <v>14</v>
      </c>
    </row>
    <row r="167" spans="1:13" hidden="1" x14ac:dyDescent="0.25">
      <c r="A167" s="1">
        <v>1954</v>
      </c>
      <c r="B167" s="1">
        <f>B166+1</f>
        <v>84</v>
      </c>
      <c r="C167" s="2">
        <v>19894</v>
      </c>
      <c r="D167" s="1" t="s">
        <v>518</v>
      </c>
      <c r="E167" s="1" t="s">
        <v>22</v>
      </c>
      <c r="F167" s="1" t="s">
        <v>117</v>
      </c>
      <c r="G167" s="1" t="s">
        <v>118</v>
      </c>
      <c r="H167" s="6" t="str">
        <f>VLOOKUP(A167,WorldCups!$A$2:$B$23,2,FALSE)</f>
        <v>Switzerland</v>
      </c>
      <c r="I167" s="1" t="s">
        <v>30</v>
      </c>
      <c r="J167" s="1">
        <v>7</v>
      </c>
      <c r="K167" s="1" t="s">
        <v>109</v>
      </c>
      <c r="L167" s="1">
        <v>0</v>
      </c>
      <c r="M167" s="1" t="s">
        <v>14</v>
      </c>
    </row>
    <row r="168" spans="1:13" hidden="1" x14ac:dyDescent="0.25">
      <c r="A168" s="1">
        <v>1954</v>
      </c>
      <c r="B168" s="1">
        <v>84</v>
      </c>
      <c r="C168" s="2">
        <v>19894</v>
      </c>
      <c r="D168" s="1" t="s">
        <v>518</v>
      </c>
      <c r="E168" s="1" t="s">
        <v>22</v>
      </c>
      <c r="F168" s="1" t="s">
        <v>117</v>
      </c>
      <c r="G168" s="1" t="s">
        <v>118</v>
      </c>
      <c r="H168" s="6" t="str">
        <f>VLOOKUP(A168,WorldCups!$A$2:$B$23,2,FALSE)</f>
        <v>Switzerland</v>
      </c>
      <c r="I168" s="1" t="s">
        <v>109</v>
      </c>
      <c r="J168" s="1">
        <v>0</v>
      </c>
      <c r="K168" s="1" t="s">
        <v>30</v>
      </c>
      <c r="L168" s="1">
        <v>7</v>
      </c>
      <c r="M168" s="1" t="s">
        <v>14</v>
      </c>
    </row>
    <row r="169" spans="1:13" hidden="1" x14ac:dyDescent="0.25">
      <c r="A169" s="1">
        <v>1954</v>
      </c>
      <c r="B169" s="1">
        <f>B168+1</f>
        <v>85</v>
      </c>
      <c r="C169" s="2">
        <v>19894</v>
      </c>
      <c r="D169" s="1" t="s">
        <v>512</v>
      </c>
      <c r="E169" s="1" t="s">
        <v>22</v>
      </c>
      <c r="F169" s="1" t="s">
        <v>107</v>
      </c>
      <c r="G169" s="1" t="s">
        <v>108</v>
      </c>
      <c r="H169" s="6" t="str">
        <f>VLOOKUP(A169,WorldCups!$A$2:$B$23,2,FALSE)</f>
        <v>Switzerland</v>
      </c>
      <c r="I169" s="1" t="s">
        <v>36</v>
      </c>
      <c r="J169" s="1">
        <v>5</v>
      </c>
      <c r="K169" s="1" t="s">
        <v>60</v>
      </c>
      <c r="L169" s="1">
        <v>0</v>
      </c>
      <c r="M169" s="1" t="s">
        <v>14</v>
      </c>
    </row>
    <row r="170" spans="1:13" hidden="1" x14ac:dyDescent="0.25">
      <c r="A170" s="1">
        <v>1954</v>
      </c>
      <c r="B170" s="1">
        <v>85</v>
      </c>
      <c r="C170" s="2">
        <v>19894</v>
      </c>
      <c r="D170" s="1" t="s">
        <v>512</v>
      </c>
      <c r="E170" s="1" t="s">
        <v>22</v>
      </c>
      <c r="F170" s="1" t="s">
        <v>107</v>
      </c>
      <c r="G170" s="1" t="s">
        <v>108</v>
      </c>
      <c r="H170" s="6" t="str">
        <f>VLOOKUP(A170,WorldCups!$A$2:$B$23,2,FALSE)</f>
        <v>Switzerland</v>
      </c>
      <c r="I170" s="1" t="s">
        <v>60</v>
      </c>
      <c r="J170" s="1">
        <v>0</v>
      </c>
      <c r="K170" s="1" t="s">
        <v>36</v>
      </c>
      <c r="L170" s="1">
        <v>5</v>
      </c>
      <c r="M170" s="1" t="s">
        <v>14</v>
      </c>
    </row>
    <row r="171" spans="1:13" hidden="1" x14ac:dyDescent="0.25">
      <c r="A171" s="1">
        <v>1954</v>
      </c>
      <c r="B171" s="1">
        <f>B170+1</f>
        <v>86</v>
      </c>
      <c r="C171" s="2">
        <v>19894</v>
      </c>
      <c r="D171" s="1" t="s">
        <v>519</v>
      </c>
      <c r="E171" s="1" t="s">
        <v>9</v>
      </c>
      <c r="F171" s="1" t="s">
        <v>110</v>
      </c>
      <c r="G171" s="1" t="s">
        <v>111</v>
      </c>
      <c r="H171" s="6" t="str">
        <f>VLOOKUP(A171,WorldCups!$A$2:$B$23,2,FALSE)</f>
        <v>Switzerland</v>
      </c>
      <c r="I171" s="1" t="s">
        <v>12</v>
      </c>
      <c r="J171" s="1">
        <v>3</v>
      </c>
      <c r="K171" s="1" t="s">
        <v>13</v>
      </c>
      <c r="L171" s="1">
        <v>2</v>
      </c>
      <c r="M171" s="1" t="s">
        <v>14</v>
      </c>
    </row>
    <row r="172" spans="1:13" hidden="1" x14ac:dyDescent="0.25">
      <c r="A172" s="1">
        <v>1954</v>
      </c>
      <c r="B172" s="1">
        <v>86</v>
      </c>
      <c r="C172" s="2">
        <v>19894</v>
      </c>
      <c r="D172" s="1" t="s">
        <v>519</v>
      </c>
      <c r="E172" s="1" t="s">
        <v>9</v>
      </c>
      <c r="F172" s="1" t="s">
        <v>110</v>
      </c>
      <c r="G172" s="1" t="s">
        <v>111</v>
      </c>
      <c r="H172" s="6" t="str">
        <f>VLOOKUP(A172,WorldCups!$A$2:$B$23,2,FALSE)</f>
        <v>Switzerland</v>
      </c>
      <c r="I172" s="1" t="s">
        <v>13</v>
      </c>
      <c r="J172" s="1">
        <v>2</v>
      </c>
      <c r="K172" s="1" t="s">
        <v>12</v>
      </c>
      <c r="L172" s="1">
        <v>3</v>
      </c>
      <c r="M172" s="1" t="s">
        <v>14</v>
      </c>
    </row>
    <row r="173" spans="1:13" hidden="1" x14ac:dyDescent="0.25">
      <c r="A173" s="1">
        <v>1954</v>
      </c>
      <c r="B173" s="1">
        <f>B172+1</f>
        <v>87</v>
      </c>
      <c r="C173" s="2">
        <v>19894</v>
      </c>
      <c r="D173" s="1" t="s">
        <v>512</v>
      </c>
      <c r="E173" s="1" t="s">
        <v>9</v>
      </c>
      <c r="F173" s="1" t="s">
        <v>112</v>
      </c>
      <c r="G173" s="1" t="s">
        <v>113</v>
      </c>
      <c r="H173" s="6" t="str">
        <f>VLOOKUP(A173,WorldCups!$A$2:$B$23,2,FALSE)</f>
        <v>Switzerland</v>
      </c>
      <c r="I173" s="1" t="s">
        <v>21</v>
      </c>
      <c r="J173" s="1">
        <v>1</v>
      </c>
      <c r="K173" s="1" t="s">
        <v>20</v>
      </c>
      <c r="L173" s="1">
        <v>1</v>
      </c>
      <c r="M173" s="1" t="s">
        <v>14</v>
      </c>
    </row>
    <row r="174" spans="1:13" hidden="1" x14ac:dyDescent="0.25">
      <c r="A174" s="1">
        <v>1954</v>
      </c>
      <c r="B174" s="1">
        <v>87</v>
      </c>
      <c r="C174" s="2">
        <v>19894</v>
      </c>
      <c r="D174" s="1" t="s">
        <v>512</v>
      </c>
      <c r="E174" s="1" t="s">
        <v>9</v>
      </c>
      <c r="F174" s="1" t="s">
        <v>112</v>
      </c>
      <c r="G174" s="1" t="s">
        <v>113</v>
      </c>
      <c r="H174" s="6" t="str">
        <f>VLOOKUP(A174,WorldCups!$A$2:$B$23,2,FALSE)</f>
        <v>Switzerland</v>
      </c>
      <c r="I174" s="1" t="s">
        <v>20</v>
      </c>
      <c r="J174" s="1">
        <v>1</v>
      </c>
      <c r="K174" s="1" t="s">
        <v>21</v>
      </c>
      <c r="L174" s="1">
        <v>1</v>
      </c>
      <c r="M174" s="1" t="s">
        <v>14</v>
      </c>
    </row>
    <row r="175" spans="1:13" hidden="1" x14ac:dyDescent="0.25">
      <c r="A175" s="1">
        <v>1954</v>
      </c>
      <c r="B175" s="1">
        <f>B174+1</f>
        <v>88</v>
      </c>
      <c r="C175" s="2">
        <v>19895</v>
      </c>
      <c r="D175" s="1" t="s">
        <v>518</v>
      </c>
      <c r="E175" s="1" t="s">
        <v>19</v>
      </c>
      <c r="F175" s="1" t="s">
        <v>117</v>
      </c>
      <c r="G175" s="1" t="s">
        <v>118</v>
      </c>
      <c r="H175" s="6" t="str">
        <f>VLOOKUP(A175,WorldCups!$A$2:$B$23,2,FALSE)</f>
        <v>Switzerland</v>
      </c>
      <c r="I175" s="1" t="s">
        <v>40</v>
      </c>
      <c r="J175" s="1">
        <v>8</v>
      </c>
      <c r="K175" s="1" t="s">
        <v>114</v>
      </c>
      <c r="L175" s="1">
        <v>3</v>
      </c>
      <c r="M175" s="1" t="s">
        <v>14</v>
      </c>
    </row>
    <row r="176" spans="1:13" hidden="1" x14ac:dyDescent="0.25">
      <c r="A176" s="1">
        <v>1954</v>
      </c>
      <c r="B176" s="1">
        <v>88</v>
      </c>
      <c r="C176" s="2">
        <v>19895</v>
      </c>
      <c r="D176" s="1" t="s">
        <v>518</v>
      </c>
      <c r="E176" s="1" t="s">
        <v>19</v>
      </c>
      <c r="F176" s="1" t="s">
        <v>117</v>
      </c>
      <c r="G176" s="1" t="s">
        <v>118</v>
      </c>
      <c r="H176" s="6" t="str">
        <f>VLOOKUP(A176,WorldCups!$A$2:$B$23,2,FALSE)</f>
        <v>Switzerland</v>
      </c>
      <c r="I176" s="1" t="s">
        <v>114</v>
      </c>
      <c r="J176" s="1">
        <v>3</v>
      </c>
      <c r="K176" s="1" t="s">
        <v>40</v>
      </c>
      <c r="L176" s="1">
        <v>8</v>
      </c>
      <c r="M176" s="1" t="s">
        <v>14</v>
      </c>
    </row>
    <row r="177" spans="1:13" hidden="1" x14ac:dyDescent="0.25">
      <c r="A177" s="1">
        <v>1954</v>
      </c>
      <c r="B177" s="1">
        <f>B176+1</f>
        <v>89</v>
      </c>
      <c r="C177" s="2">
        <v>19895</v>
      </c>
      <c r="D177" s="1" t="s">
        <v>512</v>
      </c>
      <c r="E177" s="1" t="s">
        <v>19</v>
      </c>
      <c r="F177" s="1" t="s">
        <v>110</v>
      </c>
      <c r="G177" s="1" t="s">
        <v>111</v>
      </c>
      <c r="H177" s="6" t="str">
        <f>VLOOKUP(A177,WorldCups!$A$2:$B$23,2,FALSE)</f>
        <v>Switzerland</v>
      </c>
      <c r="I177" s="1" t="s">
        <v>115</v>
      </c>
      <c r="J177" s="1">
        <v>7</v>
      </c>
      <c r="K177" s="1" t="s">
        <v>116</v>
      </c>
      <c r="L177" s="1">
        <v>0</v>
      </c>
      <c r="M177" s="1" t="s">
        <v>14</v>
      </c>
    </row>
    <row r="178" spans="1:13" hidden="1" x14ac:dyDescent="0.25">
      <c r="A178" s="1">
        <v>1954</v>
      </c>
      <c r="B178" s="1">
        <v>89</v>
      </c>
      <c r="C178" s="2">
        <v>19895</v>
      </c>
      <c r="D178" s="1" t="s">
        <v>512</v>
      </c>
      <c r="E178" s="1" t="s">
        <v>19</v>
      </c>
      <c r="F178" s="1" t="s">
        <v>110</v>
      </c>
      <c r="G178" s="1" t="s">
        <v>111</v>
      </c>
      <c r="H178" s="6" t="str">
        <f>VLOOKUP(A178,WorldCups!$A$2:$B$23,2,FALSE)</f>
        <v>Switzerland</v>
      </c>
      <c r="I178" s="1" t="s">
        <v>116</v>
      </c>
      <c r="J178" s="1">
        <v>0</v>
      </c>
      <c r="K178" s="1" t="s">
        <v>115</v>
      </c>
      <c r="L178" s="1">
        <v>7</v>
      </c>
      <c r="M178" s="1" t="s">
        <v>14</v>
      </c>
    </row>
    <row r="179" spans="1:13" hidden="1" x14ac:dyDescent="0.25">
      <c r="A179" s="1">
        <v>1954</v>
      </c>
      <c r="B179" s="1">
        <f>B178+1</f>
        <v>90</v>
      </c>
      <c r="C179" s="2">
        <v>19895</v>
      </c>
      <c r="D179" s="1" t="s">
        <v>519</v>
      </c>
      <c r="E179" s="1" t="s">
        <v>15</v>
      </c>
      <c r="F179" s="1" t="s">
        <v>105</v>
      </c>
      <c r="G179" s="1" t="s">
        <v>106</v>
      </c>
      <c r="H179" s="6" t="str">
        <f>VLOOKUP(A179,WorldCups!$A$2:$B$23,2,FALSE)</f>
        <v>Switzerland</v>
      </c>
      <c r="I179" s="1" t="s">
        <v>93</v>
      </c>
      <c r="J179" s="1">
        <v>2</v>
      </c>
      <c r="K179" s="1" t="s">
        <v>44</v>
      </c>
      <c r="L179" s="1">
        <v>0</v>
      </c>
      <c r="M179" s="1" t="s">
        <v>14</v>
      </c>
    </row>
    <row r="180" spans="1:13" hidden="1" x14ac:dyDescent="0.25">
      <c r="A180" s="1">
        <v>1954</v>
      </c>
      <c r="B180" s="1">
        <v>90</v>
      </c>
      <c r="C180" s="2">
        <v>19895</v>
      </c>
      <c r="D180" s="1" t="s">
        <v>519</v>
      </c>
      <c r="E180" s="1" t="s">
        <v>15</v>
      </c>
      <c r="F180" s="1" t="s">
        <v>105</v>
      </c>
      <c r="G180" s="1" t="s">
        <v>106</v>
      </c>
      <c r="H180" s="6" t="str">
        <f>VLOOKUP(A180,WorldCups!$A$2:$B$23,2,FALSE)</f>
        <v>Switzerland</v>
      </c>
      <c r="I180" s="1" t="s">
        <v>44</v>
      </c>
      <c r="J180" s="1">
        <v>0</v>
      </c>
      <c r="K180" s="1" t="s">
        <v>93</v>
      </c>
      <c r="L180" s="1">
        <v>2</v>
      </c>
      <c r="M180" s="1" t="s">
        <v>14</v>
      </c>
    </row>
    <row r="181" spans="1:13" hidden="1" x14ac:dyDescent="0.25">
      <c r="A181" s="1">
        <v>1954</v>
      </c>
      <c r="B181" s="1">
        <f>B180+1</f>
        <v>91</v>
      </c>
      <c r="C181" s="2">
        <v>19895</v>
      </c>
      <c r="D181" s="1" t="s">
        <v>512</v>
      </c>
      <c r="E181" s="1" t="s">
        <v>15</v>
      </c>
      <c r="F181" s="1" t="s">
        <v>119</v>
      </c>
      <c r="G181" s="1" t="s">
        <v>120</v>
      </c>
      <c r="H181" s="6" t="str">
        <f>VLOOKUP(A181,WorldCups!$A$2:$B$23,2,FALSE)</f>
        <v>Switzerland</v>
      </c>
      <c r="I181" s="1" t="s">
        <v>57</v>
      </c>
      <c r="J181" s="1">
        <v>4</v>
      </c>
      <c r="K181" s="1" t="s">
        <v>18</v>
      </c>
      <c r="L181" s="1">
        <v>1</v>
      </c>
      <c r="M181" s="1" t="s">
        <v>14</v>
      </c>
    </row>
    <row r="182" spans="1:13" hidden="1" x14ac:dyDescent="0.25">
      <c r="A182" s="1">
        <v>1954</v>
      </c>
      <c r="B182" s="1">
        <v>91</v>
      </c>
      <c r="C182" s="2">
        <v>19895</v>
      </c>
      <c r="D182" s="1" t="s">
        <v>512</v>
      </c>
      <c r="E182" s="1" t="s">
        <v>15</v>
      </c>
      <c r="F182" s="1" t="s">
        <v>119</v>
      </c>
      <c r="G182" s="1" t="s">
        <v>120</v>
      </c>
      <c r="H182" s="6" t="str">
        <f>VLOOKUP(A182,WorldCups!$A$2:$B$23,2,FALSE)</f>
        <v>Switzerland</v>
      </c>
      <c r="I182" s="1" t="s">
        <v>18</v>
      </c>
      <c r="J182" s="1">
        <v>1</v>
      </c>
      <c r="K182" s="1" t="s">
        <v>57</v>
      </c>
      <c r="L182" s="1">
        <v>4</v>
      </c>
      <c r="M182" s="1" t="s">
        <v>14</v>
      </c>
    </row>
    <row r="183" spans="1:13" hidden="1" x14ac:dyDescent="0.25">
      <c r="A183" s="1">
        <v>1954</v>
      </c>
      <c r="B183" s="1">
        <f>B182+1</f>
        <v>92</v>
      </c>
      <c r="C183" s="2">
        <v>19898</v>
      </c>
      <c r="D183" s="1" t="s">
        <v>510</v>
      </c>
      <c r="E183" s="1" t="s">
        <v>19</v>
      </c>
      <c r="F183" s="1" t="s">
        <v>107</v>
      </c>
      <c r="G183" s="1" t="s">
        <v>108</v>
      </c>
      <c r="H183" s="6" t="str">
        <f>VLOOKUP(A183,WorldCups!$A$2:$B$23,2,FALSE)</f>
        <v>Switzerland</v>
      </c>
      <c r="I183" s="1" t="s">
        <v>114</v>
      </c>
      <c r="J183" s="1">
        <v>7</v>
      </c>
      <c r="K183" s="1" t="s">
        <v>115</v>
      </c>
      <c r="L183" s="1">
        <v>2</v>
      </c>
      <c r="M183" s="1" t="s">
        <v>14</v>
      </c>
    </row>
    <row r="184" spans="1:13" hidden="1" x14ac:dyDescent="0.25">
      <c r="A184" s="1">
        <v>1954</v>
      </c>
      <c r="B184" s="1">
        <v>92</v>
      </c>
      <c r="C184" s="2">
        <v>19898</v>
      </c>
      <c r="D184" s="1" t="s">
        <v>510</v>
      </c>
      <c r="E184" s="1" t="s">
        <v>19</v>
      </c>
      <c r="F184" s="1" t="s">
        <v>107</v>
      </c>
      <c r="G184" s="1" t="s">
        <v>108</v>
      </c>
      <c r="H184" s="6" t="str">
        <f>VLOOKUP(A184,WorldCups!$A$2:$B$23,2,FALSE)</f>
        <v>Switzerland</v>
      </c>
      <c r="I184" s="1" t="s">
        <v>115</v>
      </c>
      <c r="J184" s="1">
        <v>2</v>
      </c>
      <c r="K184" s="1" t="s">
        <v>114</v>
      </c>
      <c r="L184" s="1">
        <v>7</v>
      </c>
      <c r="M184" s="1" t="s">
        <v>14</v>
      </c>
    </row>
    <row r="185" spans="1:13" hidden="1" x14ac:dyDescent="0.25">
      <c r="A185" s="1">
        <v>1954</v>
      </c>
      <c r="B185" s="1">
        <f>B184+1</f>
        <v>93</v>
      </c>
      <c r="C185" s="2">
        <v>19898</v>
      </c>
      <c r="D185" s="1" t="s">
        <v>510</v>
      </c>
      <c r="E185" s="1" t="s">
        <v>15</v>
      </c>
      <c r="F185" s="1" t="s">
        <v>117</v>
      </c>
      <c r="G185" s="1" t="s">
        <v>118</v>
      </c>
      <c r="H185" s="6" t="str">
        <f>VLOOKUP(A185,WorldCups!$A$2:$B$23,2,FALSE)</f>
        <v>Switzerland</v>
      </c>
      <c r="I185" s="1" t="s">
        <v>44</v>
      </c>
      <c r="J185" s="1">
        <v>4</v>
      </c>
      <c r="K185" s="1" t="s">
        <v>57</v>
      </c>
      <c r="L185" s="1">
        <v>1</v>
      </c>
      <c r="M185" s="1" t="s">
        <v>14</v>
      </c>
    </row>
    <row r="186" spans="1:13" hidden="1" x14ac:dyDescent="0.25">
      <c r="A186" s="1">
        <v>1954</v>
      </c>
      <c r="B186" s="1">
        <v>93</v>
      </c>
      <c r="C186" s="2">
        <v>19898</v>
      </c>
      <c r="D186" s="1" t="s">
        <v>510</v>
      </c>
      <c r="E186" s="1" t="s">
        <v>15</v>
      </c>
      <c r="F186" s="1" t="s">
        <v>117</v>
      </c>
      <c r="G186" s="1" t="s">
        <v>118</v>
      </c>
      <c r="H186" s="6" t="str">
        <f>VLOOKUP(A186,WorldCups!$A$2:$B$23,2,FALSE)</f>
        <v>Switzerland</v>
      </c>
      <c r="I186" s="1" t="s">
        <v>57</v>
      </c>
      <c r="J186" s="1">
        <v>1</v>
      </c>
      <c r="K186" s="1" t="s">
        <v>44</v>
      </c>
      <c r="L186" s="1">
        <v>4</v>
      </c>
      <c r="M186" s="1" t="s">
        <v>14</v>
      </c>
    </row>
    <row r="187" spans="1:13" hidden="1" x14ac:dyDescent="0.25">
      <c r="A187" s="1">
        <v>1954</v>
      </c>
      <c r="B187" s="1">
        <f>B186+1</f>
        <v>94</v>
      </c>
      <c r="C187" s="2">
        <v>19901</v>
      </c>
      <c r="D187" s="1" t="s">
        <v>512</v>
      </c>
      <c r="E187" s="1" t="s">
        <v>61</v>
      </c>
      <c r="F187" s="1" t="s">
        <v>117</v>
      </c>
      <c r="G187" s="1" t="s">
        <v>118</v>
      </c>
      <c r="H187" s="6" t="str">
        <f>VLOOKUP(A187,WorldCups!$A$2:$B$23,2,FALSE)</f>
        <v>Switzerland</v>
      </c>
      <c r="I187" s="1" t="s">
        <v>30</v>
      </c>
      <c r="J187" s="1">
        <v>4</v>
      </c>
      <c r="K187" s="1" t="s">
        <v>93</v>
      </c>
      <c r="L187" s="1">
        <v>2</v>
      </c>
      <c r="M187" s="1" t="s">
        <v>14</v>
      </c>
    </row>
    <row r="188" spans="1:13" hidden="1" x14ac:dyDescent="0.25">
      <c r="A188" s="1">
        <v>1954</v>
      </c>
      <c r="B188" s="1">
        <v>94</v>
      </c>
      <c r="C188" s="2">
        <v>19901</v>
      </c>
      <c r="D188" s="1" t="s">
        <v>512</v>
      </c>
      <c r="E188" s="1" t="s">
        <v>61</v>
      </c>
      <c r="F188" s="1" t="s">
        <v>117</v>
      </c>
      <c r="G188" s="1" t="s">
        <v>118</v>
      </c>
      <c r="H188" s="6" t="str">
        <f>VLOOKUP(A188,WorldCups!$A$2:$B$23,2,FALSE)</f>
        <v>Switzerland</v>
      </c>
      <c r="I188" s="1" t="s">
        <v>93</v>
      </c>
      <c r="J188" s="1">
        <v>2</v>
      </c>
      <c r="K188" s="1" t="s">
        <v>30</v>
      </c>
      <c r="L188" s="1">
        <v>4</v>
      </c>
      <c r="M188" s="1" t="s">
        <v>14</v>
      </c>
    </row>
    <row r="189" spans="1:13" hidden="1" x14ac:dyDescent="0.25">
      <c r="A189" s="1">
        <v>1954</v>
      </c>
      <c r="B189" s="1">
        <f>B188+1</f>
        <v>95</v>
      </c>
      <c r="C189" s="2">
        <v>19901</v>
      </c>
      <c r="D189" s="1" t="s">
        <v>512</v>
      </c>
      <c r="E189" s="1" t="s">
        <v>61</v>
      </c>
      <c r="F189" s="1" t="s">
        <v>112</v>
      </c>
      <c r="G189" s="1" t="s">
        <v>113</v>
      </c>
      <c r="H189" s="6" t="str">
        <f>VLOOKUP(A189,WorldCups!$A$2:$B$23,2,FALSE)</f>
        <v>Switzerland</v>
      </c>
      <c r="I189" s="1" t="s">
        <v>36</v>
      </c>
      <c r="J189" s="1">
        <v>7</v>
      </c>
      <c r="K189" s="1" t="s">
        <v>44</v>
      </c>
      <c r="L189" s="1">
        <v>5</v>
      </c>
      <c r="M189" s="1" t="s">
        <v>14</v>
      </c>
    </row>
    <row r="190" spans="1:13" hidden="1" x14ac:dyDescent="0.25">
      <c r="A190" s="1">
        <v>1954</v>
      </c>
      <c r="B190" s="1">
        <v>95</v>
      </c>
      <c r="C190" s="2">
        <v>19901</v>
      </c>
      <c r="D190" s="1" t="s">
        <v>512</v>
      </c>
      <c r="E190" s="1" t="s">
        <v>61</v>
      </c>
      <c r="F190" s="1" t="s">
        <v>112</v>
      </c>
      <c r="G190" s="1" t="s">
        <v>113</v>
      </c>
      <c r="H190" s="6" t="str">
        <f>VLOOKUP(A190,WorldCups!$A$2:$B$23,2,FALSE)</f>
        <v>Switzerland</v>
      </c>
      <c r="I190" s="1" t="s">
        <v>44</v>
      </c>
      <c r="J190" s="1">
        <v>5</v>
      </c>
      <c r="K190" s="1" t="s">
        <v>36</v>
      </c>
      <c r="L190" s="1">
        <v>7</v>
      </c>
      <c r="M190" s="1" t="s">
        <v>14</v>
      </c>
    </row>
    <row r="191" spans="1:13" hidden="1" x14ac:dyDescent="0.25">
      <c r="A191" s="1">
        <v>1954</v>
      </c>
      <c r="B191" s="1">
        <f>B190+1</f>
        <v>96</v>
      </c>
      <c r="C191" s="2">
        <v>19902</v>
      </c>
      <c r="D191" s="1" t="s">
        <v>512</v>
      </c>
      <c r="E191" s="1" t="s">
        <v>61</v>
      </c>
      <c r="F191" s="1" t="s">
        <v>110</v>
      </c>
      <c r="G191" s="1" t="s">
        <v>111</v>
      </c>
      <c r="H191" s="6" t="str">
        <f>VLOOKUP(A191,WorldCups!$A$2:$B$23,2,FALSE)</f>
        <v>Switzerland</v>
      </c>
      <c r="I191" s="1" t="s">
        <v>114</v>
      </c>
      <c r="J191" s="1">
        <v>2</v>
      </c>
      <c r="K191" s="1" t="s">
        <v>20</v>
      </c>
      <c r="L191" s="1">
        <v>0</v>
      </c>
      <c r="M191" s="1" t="s">
        <v>14</v>
      </c>
    </row>
    <row r="192" spans="1:13" hidden="1" x14ac:dyDescent="0.25">
      <c r="A192" s="1">
        <v>1954</v>
      </c>
      <c r="B192" s="1">
        <v>96</v>
      </c>
      <c r="C192" s="2">
        <v>19902</v>
      </c>
      <c r="D192" s="1" t="s">
        <v>512</v>
      </c>
      <c r="E192" s="1" t="s">
        <v>61</v>
      </c>
      <c r="F192" s="1" t="s">
        <v>110</v>
      </c>
      <c r="G192" s="1" t="s">
        <v>111</v>
      </c>
      <c r="H192" s="6" t="str">
        <f>VLOOKUP(A192,WorldCups!$A$2:$B$23,2,FALSE)</f>
        <v>Switzerland</v>
      </c>
      <c r="I192" s="1" t="s">
        <v>20</v>
      </c>
      <c r="J192" s="1">
        <v>0</v>
      </c>
      <c r="K192" s="1" t="s">
        <v>114</v>
      </c>
      <c r="L192" s="1">
        <v>2</v>
      </c>
      <c r="M192" s="1" t="s">
        <v>14</v>
      </c>
    </row>
    <row r="193" spans="1:13" hidden="1" x14ac:dyDescent="0.25">
      <c r="A193" s="1">
        <v>1954</v>
      </c>
      <c r="B193" s="1">
        <f>B192+1</f>
        <v>97</v>
      </c>
      <c r="C193" s="2">
        <v>19902</v>
      </c>
      <c r="D193" s="1" t="s">
        <v>512</v>
      </c>
      <c r="E193" s="1" t="s">
        <v>61</v>
      </c>
      <c r="F193" s="1" t="s">
        <v>105</v>
      </c>
      <c r="G193" s="1" t="s">
        <v>106</v>
      </c>
      <c r="H193" s="6" t="str">
        <f>VLOOKUP(A193,WorldCups!$A$2:$B$23,2,FALSE)</f>
        <v>Switzerland</v>
      </c>
      <c r="I193" s="1" t="s">
        <v>40</v>
      </c>
      <c r="J193" s="1">
        <v>4</v>
      </c>
      <c r="K193" s="1" t="s">
        <v>21</v>
      </c>
      <c r="L193" s="1">
        <v>2</v>
      </c>
      <c r="M193" s="1" t="s">
        <v>14</v>
      </c>
    </row>
    <row r="194" spans="1:13" hidden="1" x14ac:dyDescent="0.25">
      <c r="A194" s="1">
        <v>1954</v>
      </c>
      <c r="B194" s="1">
        <v>97</v>
      </c>
      <c r="C194" s="2">
        <v>19902</v>
      </c>
      <c r="D194" s="1" t="s">
        <v>512</v>
      </c>
      <c r="E194" s="1" t="s">
        <v>61</v>
      </c>
      <c r="F194" s="1" t="s">
        <v>105</v>
      </c>
      <c r="G194" s="1" t="s">
        <v>106</v>
      </c>
      <c r="H194" s="6" t="str">
        <f>VLOOKUP(A194,WorldCups!$A$2:$B$23,2,FALSE)</f>
        <v>Switzerland</v>
      </c>
      <c r="I194" s="1" t="s">
        <v>21</v>
      </c>
      <c r="J194" s="1">
        <v>2</v>
      </c>
      <c r="K194" s="1" t="s">
        <v>40</v>
      </c>
      <c r="L194" s="1">
        <v>4</v>
      </c>
      <c r="M194" s="1" t="s">
        <v>14</v>
      </c>
    </row>
    <row r="195" spans="1:13" hidden="1" x14ac:dyDescent="0.25">
      <c r="A195" s="1">
        <v>1954</v>
      </c>
      <c r="B195" s="1">
        <f>B194+1</f>
        <v>98</v>
      </c>
      <c r="C195" s="2">
        <v>19905</v>
      </c>
      <c r="D195" s="1" t="s">
        <v>510</v>
      </c>
      <c r="E195" s="1" t="s">
        <v>31</v>
      </c>
      <c r="F195" s="1" t="s">
        <v>117</v>
      </c>
      <c r="G195" s="1" t="s">
        <v>118</v>
      </c>
      <c r="H195" s="6" t="str">
        <f>VLOOKUP(A195,WorldCups!$A$2:$B$23,2,FALSE)</f>
        <v>Switzerland</v>
      </c>
      <c r="I195" s="1" t="s">
        <v>114</v>
      </c>
      <c r="J195" s="1">
        <v>6</v>
      </c>
      <c r="K195" s="1" t="s">
        <v>36</v>
      </c>
      <c r="L195" s="1">
        <v>1</v>
      </c>
      <c r="M195" s="1" t="s">
        <v>14</v>
      </c>
    </row>
    <row r="196" spans="1:13" hidden="1" x14ac:dyDescent="0.25">
      <c r="A196" s="1">
        <v>1954</v>
      </c>
      <c r="B196" s="1">
        <v>98</v>
      </c>
      <c r="C196" s="2">
        <v>19905</v>
      </c>
      <c r="D196" s="1" t="s">
        <v>510</v>
      </c>
      <c r="E196" s="1" t="s">
        <v>31</v>
      </c>
      <c r="F196" s="1" t="s">
        <v>117</v>
      </c>
      <c r="G196" s="1" t="s">
        <v>118</v>
      </c>
      <c r="H196" s="6" t="str">
        <f>VLOOKUP(A196,WorldCups!$A$2:$B$23,2,FALSE)</f>
        <v>Switzerland</v>
      </c>
      <c r="I196" s="1" t="s">
        <v>36</v>
      </c>
      <c r="J196" s="1">
        <v>1</v>
      </c>
      <c r="K196" s="1" t="s">
        <v>114</v>
      </c>
      <c r="L196" s="1">
        <v>6</v>
      </c>
      <c r="M196" s="1" t="s">
        <v>14</v>
      </c>
    </row>
    <row r="197" spans="1:13" hidden="1" x14ac:dyDescent="0.25">
      <c r="A197" s="1">
        <v>1954</v>
      </c>
      <c r="B197" s="1">
        <f>B196+1</f>
        <v>99</v>
      </c>
      <c r="C197" s="2">
        <v>19905</v>
      </c>
      <c r="D197" s="1" t="s">
        <v>510</v>
      </c>
      <c r="E197" s="1" t="s">
        <v>31</v>
      </c>
      <c r="F197" s="1" t="s">
        <v>112</v>
      </c>
      <c r="G197" s="1" t="s">
        <v>113</v>
      </c>
      <c r="H197" s="6" t="str">
        <f>VLOOKUP(A197,WorldCups!$A$2:$B$23,2,FALSE)</f>
        <v>Switzerland</v>
      </c>
      <c r="I197" s="1" t="s">
        <v>40</v>
      </c>
      <c r="J197" s="1">
        <v>4</v>
      </c>
      <c r="K197" s="1" t="s">
        <v>30</v>
      </c>
      <c r="L197" s="1">
        <v>2</v>
      </c>
      <c r="M197" s="1" t="s">
        <v>121</v>
      </c>
    </row>
    <row r="198" spans="1:13" hidden="1" x14ac:dyDescent="0.25">
      <c r="A198" s="1">
        <v>1954</v>
      </c>
      <c r="B198" s="1">
        <v>99</v>
      </c>
      <c r="C198" s="2">
        <v>19905</v>
      </c>
      <c r="D198" s="1" t="s">
        <v>510</v>
      </c>
      <c r="E198" s="1" t="s">
        <v>31</v>
      </c>
      <c r="F198" s="1" t="s">
        <v>112</v>
      </c>
      <c r="G198" s="1" t="s">
        <v>113</v>
      </c>
      <c r="H198" s="6" t="str">
        <f>VLOOKUP(A198,WorldCups!$A$2:$B$23,2,FALSE)</f>
        <v>Switzerland</v>
      </c>
      <c r="I198" s="1" t="s">
        <v>30</v>
      </c>
      <c r="J198" s="1">
        <v>2</v>
      </c>
      <c r="K198" s="1" t="s">
        <v>40</v>
      </c>
      <c r="L198" s="1">
        <v>4</v>
      </c>
      <c r="M198" s="1" t="s">
        <v>121</v>
      </c>
    </row>
    <row r="199" spans="1:13" hidden="1" x14ac:dyDescent="0.25">
      <c r="A199" s="1">
        <v>1954</v>
      </c>
      <c r="B199" s="1">
        <f>B198+1</f>
        <v>100</v>
      </c>
      <c r="C199" s="2">
        <v>19908</v>
      </c>
      <c r="D199" s="1" t="s">
        <v>512</v>
      </c>
      <c r="E199" s="1" t="s">
        <v>62</v>
      </c>
      <c r="F199" s="1" t="s">
        <v>107</v>
      </c>
      <c r="G199" s="1" t="s">
        <v>108</v>
      </c>
      <c r="H199" s="6" t="str">
        <f>VLOOKUP(A199,WorldCups!$A$2:$B$23,2,FALSE)</f>
        <v>Switzerland</v>
      </c>
      <c r="I199" s="1" t="s">
        <v>36</v>
      </c>
      <c r="J199" s="1">
        <v>3</v>
      </c>
      <c r="K199" s="1" t="s">
        <v>30</v>
      </c>
      <c r="L199" s="1">
        <v>1</v>
      </c>
      <c r="M199" s="1" t="s">
        <v>14</v>
      </c>
    </row>
    <row r="200" spans="1:13" hidden="1" x14ac:dyDescent="0.25">
      <c r="A200" s="1">
        <v>1954</v>
      </c>
      <c r="B200" s="1">
        <v>100</v>
      </c>
      <c r="C200" s="2">
        <v>19908</v>
      </c>
      <c r="D200" s="1" t="s">
        <v>512</v>
      </c>
      <c r="E200" s="1" t="s">
        <v>62</v>
      </c>
      <c r="F200" s="1" t="s">
        <v>107</v>
      </c>
      <c r="G200" s="1" t="s">
        <v>108</v>
      </c>
      <c r="H200" s="6" t="str">
        <f>VLOOKUP(A200,WorldCups!$A$2:$B$23,2,FALSE)</f>
        <v>Switzerland</v>
      </c>
      <c r="I200" s="1" t="s">
        <v>30</v>
      </c>
      <c r="J200" s="1">
        <v>1</v>
      </c>
      <c r="K200" s="1" t="s">
        <v>36</v>
      </c>
      <c r="L200" s="1">
        <v>3</v>
      </c>
      <c r="M200" s="1" t="s">
        <v>14</v>
      </c>
    </row>
    <row r="201" spans="1:13" hidden="1" x14ac:dyDescent="0.25">
      <c r="A201" s="1">
        <v>1954</v>
      </c>
      <c r="B201" s="1">
        <f>B200+1</f>
        <v>101</v>
      </c>
      <c r="C201" s="2">
        <v>19909</v>
      </c>
      <c r="D201" s="1" t="s">
        <v>512</v>
      </c>
      <c r="E201" s="1" t="s">
        <v>32</v>
      </c>
      <c r="F201" s="1" t="s">
        <v>105</v>
      </c>
      <c r="G201" s="1" t="s">
        <v>106</v>
      </c>
      <c r="H201" s="6" t="str">
        <f>VLOOKUP(A201,WorldCups!$A$2:$B$23,2,FALSE)</f>
        <v>Switzerland</v>
      </c>
      <c r="I201" s="1" t="s">
        <v>114</v>
      </c>
      <c r="J201" s="1">
        <v>3</v>
      </c>
      <c r="K201" s="1" t="s">
        <v>40</v>
      </c>
      <c r="L201" s="1">
        <v>2</v>
      </c>
      <c r="M201" s="1" t="s">
        <v>14</v>
      </c>
    </row>
    <row r="202" spans="1:13" hidden="1" x14ac:dyDescent="0.25">
      <c r="A202" s="1">
        <v>1954</v>
      </c>
      <c r="B202" s="1">
        <v>101</v>
      </c>
      <c r="C202" s="2">
        <v>19909</v>
      </c>
      <c r="D202" s="1" t="s">
        <v>512</v>
      </c>
      <c r="E202" s="1" t="s">
        <v>32</v>
      </c>
      <c r="F202" s="1" t="s">
        <v>105</v>
      </c>
      <c r="G202" s="1" t="s">
        <v>106</v>
      </c>
      <c r="H202" s="6" t="str">
        <f>VLOOKUP(A202,WorldCups!$A$2:$B$23,2,FALSE)</f>
        <v>Switzerland</v>
      </c>
      <c r="I202" s="1" t="s">
        <v>40</v>
      </c>
      <c r="J202" s="1">
        <v>2</v>
      </c>
      <c r="K202" s="1" t="s">
        <v>114</v>
      </c>
      <c r="L202" s="1">
        <v>3</v>
      </c>
      <c r="M202" s="1" t="s">
        <v>14</v>
      </c>
    </row>
    <row r="203" spans="1:13" hidden="1" x14ac:dyDescent="0.25">
      <c r="A203" s="1">
        <v>1958</v>
      </c>
      <c r="B203" s="1">
        <f>B202+1</f>
        <v>102</v>
      </c>
      <c r="C203" s="2">
        <v>21344</v>
      </c>
      <c r="D203" s="1" t="s">
        <v>520</v>
      </c>
      <c r="E203" s="1" t="s">
        <v>22</v>
      </c>
      <c r="F203" s="1" t="s">
        <v>122</v>
      </c>
      <c r="G203" s="1" t="s">
        <v>123</v>
      </c>
      <c r="H203" s="6" t="str">
        <f>VLOOKUP(A203,WorldCups!$A$2:$B$23,2,FALSE)</f>
        <v>Sweden</v>
      </c>
      <c r="I203" s="1" t="s">
        <v>48</v>
      </c>
      <c r="J203" s="1">
        <v>3</v>
      </c>
      <c r="K203" s="1" t="s">
        <v>13</v>
      </c>
      <c r="L203" s="1">
        <v>0</v>
      </c>
      <c r="M203" s="1" t="s">
        <v>14</v>
      </c>
    </row>
    <row r="204" spans="1:13" hidden="1" x14ac:dyDescent="0.25">
      <c r="A204" s="1">
        <v>1958</v>
      </c>
      <c r="B204" s="1">
        <v>102</v>
      </c>
      <c r="C204" s="2">
        <v>21344</v>
      </c>
      <c r="D204" s="1" t="s">
        <v>520</v>
      </c>
      <c r="E204" s="1" t="s">
        <v>22</v>
      </c>
      <c r="F204" s="1" t="s">
        <v>122</v>
      </c>
      <c r="G204" s="1" t="s">
        <v>123</v>
      </c>
      <c r="H204" s="6" t="str">
        <f>VLOOKUP(A204,WorldCups!$A$2:$B$23,2,FALSE)</f>
        <v>Sweden</v>
      </c>
      <c r="I204" s="1" t="s">
        <v>13</v>
      </c>
      <c r="J204" s="1">
        <v>0</v>
      </c>
      <c r="K204" s="1" t="s">
        <v>48</v>
      </c>
      <c r="L204" s="1">
        <v>3</v>
      </c>
      <c r="M204" s="1" t="s">
        <v>14</v>
      </c>
    </row>
    <row r="205" spans="1:13" hidden="1" x14ac:dyDescent="0.25">
      <c r="A205" s="1">
        <v>1958</v>
      </c>
      <c r="B205" s="1">
        <f>B204+1</f>
        <v>103</v>
      </c>
      <c r="C205" s="2">
        <v>21344</v>
      </c>
      <c r="D205" s="1" t="s">
        <v>521</v>
      </c>
      <c r="E205" s="1" t="s">
        <v>15</v>
      </c>
      <c r="F205" s="1" t="s">
        <v>124</v>
      </c>
      <c r="G205" s="1" t="s">
        <v>125</v>
      </c>
      <c r="H205" s="6" t="str">
        <f>VLOOKUP(A205,WorldCups!$A$2:$B$23,2,FALSE)</f>
        <v>Sweden</v>
      </c>
      <c r="I205" s="1" t="s">
        <v>126</v>
      </c>
      <c r="J205" s="1">
        <v>2</v>
      </c>
      <c r="K205" s="1" t="s">
        <v>93</v>
      </c>
      <c r="L205" s="1">
        <v>2</v>
      </c>
      <c r="M205" s="1" t="s">
        <v>14</v>
      </c>
    </row>
    <row r="206" spans="1:13" hidden="1" x14ac:dyDescent="0.25">
      <c r="A206" s="1">
        <v>1958</v>
      </c>
      <c r="B206" s="1">
        <v>103</v>
      </c>
      <c r="C206" s="2">
        <v>21344</v>
      </c>
      <c r="D206" s="1" t="s">
        <v>521</v>
      </c>
      <c r="E206" s="1" t="s">
        <v>15</v>
      </c>
      <c r="F206" s="1" t="s">
        <v>124</v>
      </c>
      <c r="G206" s="1" t="s">
        <v>125</v>
      </c>
      <c r="H206" s="6" t="str">
        <f>VLOOKUP(A206,WorldCups!$A$2:$B$23,2,FALSE)</f>
        <v>Sweden</v>
      </c>
      <c r="I206" s="1" t="s">
        <v>93</v>
      </c>
      <c r="J206" s="1">
        <v>2</v>
      </c>
      <c r="K206" s="1" t="s">
        <v>126</v>
      </c>
      <c r="L206" s="1">
        <v>2</v>
      </c>
      <c r="M206" s="1" t="s">
        <v>14</v>
      </c>
    </row>
    <row r="207" spans="1:13" hidden="1" x14ac:dyDescent="0.25">
      <c r="A207" s="1">
        <v>1958</v>
      </c>
      <c r="B207" s="1">
        <f>B206+1</f>
        <v>104</v>
      </c>
      <c r="C207" s="2">
        <v>21344</v>
      </c>
      <c r="D207" s="1" t="s">
        <v>521</v>
      </c>
      <c r="E207" s="1" t="s">
        <v>9</v>
      </c>
      <c r="F207" s="1" t="s">
        <v>127</v>
      </c>
      <c r="G207" s="1" t="s">
        <v>128</v>
      </c>
      <c r="H207" s="6" t="str">
        <f>VLOOKUP(A207,WorldCups!$A$2:$B$23,2,FALSE)</f>
        <v>Sweden</v>
      </c>
      <c r="I207" s="1" t="s">
        <v>25</v>
      </c>
      <c r="J207" s="1">
        <v>1</v>
      </c>
      <c r="K207" s="1" t="s">
        <v>114</v>
      </c>
      <c r="L207" s="1">
        <v>3</v>
      </c>
      <c r="M207" s="1" t="s">
        <v>14</v>
      </c>
    </row>
    <row r="208" spans="1:13" hidden="1" x14ac:dyDescent="0.25">
      <c r="A208" s="1">
        <v>1958</v>
      </c>
      <c r="B208" s="1">
        <v>104</v>
      </c>
      <c r="C208" s="2">
        <v>21344</v>
      </c>
      <c r="D208" s="1" t="s">
        <v>521</v>
      </c>
      <c r="E208" s="1" t="s">
        <v>9</v>
      </c>
      <c r="F208" s="1" t="s">
        <v>127</v>
      </c>
      <c r="G208" s="1" t="s">
        <v>128</v>
      </c>
      <c r="H208" s="6" t="str">
        <f>VLOOKUP(A208,WorldCups!$A$2:$B$23,2,FALSE)</f>
        <v>Sweden</v>
      </c>
      <c r="I208" s="1" t="s">
        <v>114</v>
      </c>
      <c r="J208" s="1">
        <v>3</v>
      </c>
      <c r="K208" s="1" t="s">
        <v>25</v>
      </c>
      <c r="L208" s="1">
        <v>1</v>
      </c>
      <c r="M208" s="1" t="s">
        <v>14</v>
      </c>
    </row>
    <row r="209" spans="1:13" hidden="1" x14ac:dyDescent="0.25">
      <c r="A209" s="1">
        <v>1958</v>
      </c>
      <c r="B209" s="1">
        <f>B208+1</f>
        <v>105</v>
      </c>
      <c r="C209" s="2">
        <v>21344</v>
      </c>
      <c r="D209" s="1" t="s">
        <v>521</v>
      </c>
      <c r="E209" s="1" t="s">
        <v>22</v>
      </c>
      <c r="F209" s="1" t="s">
        <v>129</v>
      </c>
      <c r="G209" s="1" t="s">
        <v>130</v>
      </c>
      <c r="H209" s="6" t="str">
        <f>VLOOKUP(A209,WorldCups!$A$2:$B$23,2,FALSE)</f>
        <v>Sweden</v>
      </c>
      <c r="I209" s="1" t="s">
        <v>40</v>
      </c>
      <c r="J209" s="1">
        <v>1</v>
      </c>
      <c r="K209" s="1" t="s">
        <v>131</v>
      </c>
      <c r="L209" s="1">
        <v>1</v>
      </c>
      <c r="M209" s="1" t="s">
        <v>14</v>
      </c>
    </row>
    <row r="210" spans="1:13" hidden="1" x14ac:dyDescent="0.25">
      <c r="A210" s="1">
        <v>1958</v>
      </c>
      <c r="B210" s="1">
        <v>105</v>
      </c>
      <c r="C210" s="2">
        <v>21344</v>
      </c>
      <c r="D210" s="1" t="s">
        <v>521</v>
      </c>
      <c r="E210" s="1" t="s">
        <v>22</v>
      </c>
      <c r="F210" s="1" t="s">
        <v>129</v>
      </c>
      <c r="G210" s="1" t="s">
        <v>130</v>
      </c>
      <c r="H210" s="6" t="str">
        <f>VLOOKUP(A210,WorldCups!$A$2:$B$23,2,FALSE)</f>
        <v>Sweden</v>
      </c>
      <c r="I210" s="1" t="s">
        <v>131</v>
      </c>
      <c r="J210" s="1">
        <v>1</v>
      </c>
      <c r="K210" s="1" t="s">
        <v>40</v>
      </c>
      <c r="L210" s="1">
        <v>1</v>
      </c>
      <c r="M210" s="1" t="s">
        <v>14</v>
      </c>
    </row>
    <row r="211" spans="1:13" hidden="1" x14ac:dyDescent="0.25">
      <c r="A211" s="1">
        <v>1958</v>
      </c>
      <c r="B211" s="1">
        <f>B210+1</f>
        <v>106</v>
      </c>
      <c r="C211" s="2">
        <v>21344</v>
      </c>
      <c r="D211" s="1" t="s">
        <v>521</v>
      </c>
      <c r="E211" s="1" t="s">
        <v>19</v>
      </c>
      <c r="F211" s="1" t="s">
        <v>132</v>
      </c>
      <c r="G211" s="1" t="s">
        <v>133</v>
      </c>
      <c r="H211" s="6" t="str">
        <f>VLOOKUP(A211,WorldCups!$A$2:$B$23,2,FALSE)</f>
        <v>Sweden</v>
      </c>
      <c r="I211" s="1" t="s">
        <v>12</v>
      </c>
      <c r="J211" s="1">
        <v>7</v>
      </c>
      <c r="K211" s="1" t="s">
        <v>28</v>
      </c>
      <c r="L211" s="1">
        <v>3</v>
      </c>
      <c r="M211" s="1" t="s">
        <v>14</v>
      </c>
    </row>
    <row r="212" spans="1:13" hidden="1" x14ac:dyDescent="0.25">
      <c r="A212" s="1">
        <v>1958</v>
      </c>
      <c r="B212" s="1">
        <v>106</v>
      </c>
      <c r="C212" s="2">
        <v>21344</v>
      </c>
      <c r="D212" s="1" t="s">
        <v>521</v>
      </c>
      <c r="E212" s="1" t="s">
        <v>19</v>
      </c>
      <c r="F212" s="1" t="s">
        <v>132</v>
      </c>
      <c r="G212" s="1" t="s">
        <v>133</v>
      </c>
      <c r="H212" s="6" t="str">
        <f>VLOOKUP(A212,WorldCups!$A$2:$B$23,2,FALSE)</f>
        <v>Sweden</v>
      </c>
      <c r="I212" s="1" t="s">
        <v>28</v>
      </c>
      <c r="J212" s="1">
        <v>3</v>
      </c>
      <c r="K212" s="1" t="s">
        <v>12</v>
      </c>
      <c r="L212" s="1">
        <v>7</v>
      </c>
      <c r="M212" s="1" t="s">
        <v>14</v>
      </c>
    </row>
    <row r="213" spans="1:13" hidden="1" x14ac:dyDescent="0.25">
      <c r="A213" s="1">
        <v>1958</v>
      </c>
      <c r="B213" s="1">
        <f>B212+1</f>
        <v>107</v>
      </c>
      <c r="C213" s="2">
        <v>21344</v>
      </c>
      <c r="D213" s="1" t="s">
        <v>521</v>
      </c>
      <c r="E213" s="1" t="s">
        <v>19</v>
      </c>
      <c r="F213" s="1" t="s">
        <v>134</v>
      </c>
      <c r="G213" s="1" t="s">
        <v>135</v>
      </c>
      <c r="H213" s="6" t="str">
        <f>VLOOKUP(A213,WorldCups!$A$2:$B$23,2,FALSE)</f>
        <v>Sweden</v>
      </c>
      <c r="I213" s="1" t="s">
        <v>20</v>
      </c>
      <c r="J213" s="1">
        <v>1</v>
      </c>
      <c r="K213" s="1" t="s">
        <v>109</v>
      </c>
      <c r="L213" s="1">
        <v>1</v>
      </c>
      <c r="M213" s="1" t="s">
        <v>14</v>
      </c>
    </row>
    <row r="214" spans="1:13" hidden="1" x14ac:dyDescent="0.25">
      <c r="A214" s="1">
        <v>1958</v>
      </c>
      <c r="B214" s="1">
        <v>107</v>
      </c>
      <c r="C214" s="2">
        <v>21344</v>
      </c>
      <c r="D214" s="1" t="s">
        <v>521</v>
      </c>
      <c r="E214" s="1" t="s">
        <v>19</v>
      </c>
      <c r="F214" s="1" t="s">
        <v>134</v>
      </c>
      <c r="G214" s="1" t="s">
        <v>135</v>
      </c>
      <c r="H214" s="6" t="str">
        <f>VLOOKUP(A214,WorldCups!$A$2:$B$23,2,FALSE)</f>
        <v>Sweden</v>
      </c>
      <c r="I214" s="1" t="s">
        <v>109</v>
      </c>
      <c r="J214" s="1">
        <v>1</v>
      </c>
      <c r="K214" s="1" t="s">
        <v>20</v>
      </c>
      <c r="L214" s="1">
        <v>1</v>
      </c>
      <c r="M214" s="1" t="s">
        <v>14</v>
      </c>
    </row>
    <row r="215" spans="1:13" hidden="1" x14ac:dyDescent="0.25">
      <c r="A215" s="1">
        <v>1958</v>
      </c>
      <c r="B215" s="1">
        <f>B214+1</f>
        <v>108</v>
      </c>
      <c r="C215" s="2">
        <v>21344</v>
      </c>
      <c r="D215" s="1" t="s">
        <v>521</v>
      </c>
      <c r="E215" s="1" t="s">
        <v>15</v>
      </c>
      <c r="F215" s="1" t="s">
        <v>136</v>
      </c>
      <c r="G215" s="1" t="s">
        <v>137</v>
      </c>
      <c r="H215" s="6" t="str">
        <f>VLOOKUP(A215,WorldCups!$A$2:$B$23,2,FALSE)</f>
        <v>Sweden</v>
      </c>
      <c r="I215" s="1" t="s">
        <v>21</v>
      </c>
      <c r="J215" s="1">
        <v>3</v>
      </c>
      <c r="K215" s="1" t="s">
        <v>36</v>
      </c>
      <c r="L215" s="1">
        <v>0</v>
      </c>
      <c r="M215" s="1" t="s">
        <v>14</v>
      </c>
    </row>
    <row r="216" spans="1:13" hidden="1" x14ac:dyDescent="0.25">
      <c r="A216" s="1">
        <v>1958</v>
      </c>
      <c r="B216" s="1">
        <v>108</v>
      </c>
      <c r="C216" s="2">
        <v>21344</v>
      </c>
      <c r="D216" s="1" t="s">
        <v>521</v>
      </c>
      <c r="E216" s="1" t="s">
        <v>15</v>
      </c>
      <c r="F216" s="1" t="s">
        <v>136</v>
      </c>
      <c r="G216" s="1" t="s">
        <v>137</v>
      </c>
      <c r="H216" s="6" t="str">
        <f>VLOOKUP(A216,WorldCups!$A$2:$B$23,2,FALSE)</f>
        <v>Sweden</v>
      </c>
      <c r="I216" s="1" t="s">
        <v>36</v>
      </c>
      <c r="J216" s="1">
        <v>0</v>
      </c>
      <c r="K216" s="1" t="s">
        <v>21</v>
      </c>
      <c r="L216" s="1">
        <v>3</v>
      </c>
      <c r="M216" s="1" t="s">
        <v>14</v>
      </c>
    </row>
    <row r="217" spans="1:13" hidden="1" x14ac:dyDescent="0.25">
      <c r="A217" s="1">
        <v>1958</v>
      </c>
      <c r="B217" s="1">
        <f>B216+1</f>
        <v>109</v>
      </c>
      <c r="C217" s="2">
        <v>21344</v>
      </c>
      <c r="D217" s="1" t="s">
        <v>521</v>
      </c>
      <c r="E217" s="1" t="s">
        <v>9</v>
      </c>
      <c r="F217" s="1" t="s">
        <v>138</v>
      </c>
      <c r="G217" s="1" t="s">
        <v>139</v>
      </c>
      <c r="H217" s="6" t="str">
        <f>VLOOKUP(A217,WorldCups!$A$2:$B$23,2,FALSE)</f>
        <v>Sweden</v>
      </c>
      <c r="I217" s="1" t="s">
        <v>537</v>
      </c>
      <c r="J217" s="1">
        <v>1</v>
      </c>
      <c r="K217" s="1" t="s">
        <v>60</v>
      </c>
      <c r="L217" s="1">
        <v>0</v>
      </c>
      <c r="M217" s="1" t="s">
        <v>14</v>
      </c>
    </row>
    <row r="218" spans="1:13" hidden="1" x14ac:dyDescent="0.25">
      <c r="A218" s="1">
        <v>1958</v>
      </c>
      <c r="B218" s="1">
        <v>109</v>
      </c>
      <c r="C218" s="2">
        <v>21344</v>
      </c>
      <c r="D218" s="1" t="s">
        <v>521</v>
      </c>
      <c r="E218" s="1" t="s">
        <v>9</v>
      </c>
      <c r="F218" s="1" t="s">
        <v>138</v>
      </c>
      <c r="G218" s="1" t="s">
        <v>139</v>
      </c>
      <c r="H218" s="6" t="str">
        <f>VLOOKUP(A218,WorldCups!$A$2:$B$23,2,FALSE)</f>
        <v>Sweden</v>
      </c>
      <c r="I218" s="1" t="s">
        <v>60</v>
      </c>
      <c r="J218" s="1">
        <v>0</v>
      </c>
      <c r="K218" s="1" t="s">
        <v>537</v>
      </c>
      <c r="L218" s="1">
        <v>1</v>
      </c>
      <c r="M218" s="1" t="s">
        <v>14</v>
      </c>
    </row>
    <row r="219" spans="1:13" hidden="1" x14ac:dyDescent="0.25">
      <c r="A219" s="1">
        <v>1958</v>
      </c>
      <c r="B219" s="1">
        <f>B218+1</f>
        <v>110</v>
      </c>
      <c r="C219" s="2">
        <v>21347</v>
      </c>
      <c r="D219" s="1" t="s">
        <v>521</v>
      </c>
      <c r="E219" s="1" t="s">
        <v>15</v>
      </c>
      <c r="F219" s="1" t="s">
        <v>124</v>
      </c>
      <c r="G219" s="1" t="s">
        <v>125</v>
      </c>
      <c r="H219" s="6" t="str">
        <f>VLOOKUP(A219,WorldCups!$A$2:$B$23,2,FALSE)</f>
        <v>Sweden</v>
      </c>
      <c r="I219" s="1" t="s">
        <v>21</v>
      </c>
      <c r="J219" s="1">
        <v>0</v>
      </c>
      <c r="K219" s="1" t="s">
        <v>93</v>
      </c>
      <c r="L219" s="1">
        <v>0</v>
      </c>
      <c r="M219" s="1" t="s">
        <v>14</v>
      </c>
    </row>
    <row r="220" spans="1:13" hidden="1" x14ac:dyDescent="0.25">
      <c r="A220" s="1">
        <v>1958</v>
      </c>
      <c r="B220" s="1">
        <v>110</v>
      </c>
      <c r="C220" s="2">
        <v>21347</v>
      </c>
      <c r="D220" s="1" t="s">
        <v>521</v>
      </c>
      <c r="E220" s="1" t="s">
        <v>15</v>
      </c>
      <c r="F220" s="1" t="s">
        <v>124</v>
      </c>
      <c r="G220" s="1" t="s">
        <v>125</v>
      </c>
      <c r="H220" s="6" t="str">
        <f>VLOOKUP(A220,WorldCups!$A$2:$B$23,2,FALSE)</f>
        <v>Sweden</v>
      </c>
      <c r="I220" s="1" t="s">
        <v>93</v>
      </c>
      <c r="J220" s="1">
        <v>0</v>
      </c>
      <c r="K220" s="1" t="s">
        <v>21</v>
      </c>
      <c r="L220" s="1">
        <v>0</v>
      </c>
      <c r="M220" s="1" t="s">
        <v>14</v>
      </c>
    </row>
    <row r="221" spans="1:13" hidden="1" x14ac:dyDescent="0.25">
      <c r="A221" s="1">
        <v>1958</v>
      </c>
      <c r="B221" s="1">
        <f>B220+1</f>
        <v>111</v>
      </c>
      <c r="C221" s="2">
        <v>21347</v>
      </c>
      <c r="D221" s="1" t="s">
        <v>521</v>
      </c>
      <c r="E221" s="1" t="s">
        <v>22</v>
      </c>
      <c r="F221" s="1" t="s">
        <v>122</v>
      </c>
      <c r="G221" s="1" t="s">
        <v>123</v>
      </c>
      <c r="H221" s="6" t="str">
        <f>VLOOKUP(A221,WorldCups!$A$2:$B$23,2,FALSE)</f>
        <v>Sweden</v>
      </c>
      <c r="I221" s="1" t="s">
        <v>13</v>
      </c>
      <c r="J221" s="1">
        <v>1</v>
      </c>
      <c r="K221" s="1" t="s">
        <v>131</v>
      </c>
      <c r="L221" s="1">
        <v>1</v>
      </c>
      <c r="M221" s="1" t="s">
        <v>14</v>
      </c>
    </row>
    <row r="222" spans="1:13" hidden="1" x14ac:dyDescent="0.25">
      <c r="A222" s="1">
        <v>1958</v>
      </c>
      <c r="B222" s="1">
        <v>111</v>
      </c>
      <c r="C222" s="2">
        <v>21347</v>
      </c>
      <c r="D222" s="1" t="s">
        <v>521</v>
      </c>
      <c r="E222" s="1" t="s">
        <v>22</v>
      </c>
      <c r="F222" s="1" t="s">
        <v>122</v>
      </c>
      <c r="G222" s="1" t="s">
        <v>123</v>
      </c>
      <c r="H222" s="6" t="str">
        <f>VLOOKUP(A222,WorldCups!$A$2:$B$23,2,FALSE)</f>
        <v>Sweden</v>
      </c>
      <c r="I222" s="1" t="s">
        <v>131</v>
      </c>
      <c r="J222" s="1">
        <v>1</v>
      </c>
      <c r="K222" s="1" t="s">
        <v>13</v>
      </c>
      <c r="L222" s="1">
        <v>1</v>
      </c>
      <c r="M222" s="1" t="s">
        <v>14</v>
      </c>
    </row>
    <row r="223" spans="1:13" hidden="1" x14ac:dyDescent="0.25">
      <c r="A223" s="1">
        <v>1958</v>
      </c>
      <c r="B223" s="1">
        <f>B222+1</f>
        <v>112</v>
      </c>
      <c r="C223" s="2">
        <v>21347</v>
      </c>
      <c r="D223" s="1" t="s">
        <v>521</v>
      </c>
      <c r="E223" s="1" t="s">
        <v>19</v>
      </c>
      <c r="F223" s="1" t="s">
        <v>132</v>
      </c>
      <c r="G223" s="1" t="s">
        <v>133</v>
      </c>
      <c r="H223" s="6" t="str">
        <f>VLOOKUP(A223,WorldCups!$A$2:$B$23,2,FALSE)</f>
        <v>Sweden</v>
      </c>
      <c r="I223" s="1" t="s">
        <v>28</v>
      </c>
      <c r="J223" s="1">
        <v>3</v>
      </c>
      <c r="K223" s="1" t="s">
        <v>109</v>
      </c>
      <c r="L223" s="1">
        <v>2</v>
      </c>
      <c r="M223" s="1" t="s">
        <v>14</v>
      </c>
    </row>
    <row r="224" spans="1:13" hidden="1" x14ac:dyDescent="0.25">
      <c r="A224" s="1">
        <v>1958</v>
      </c>
      <c r="B224" s="1">
        <v>112</v>
      </c>
      <c r="C224" s="2">
        <v>21347</v>
      </c>
      <c r="D224" s="1" t="s">
        <v>521</v>
      </c>
      <c r="E224" s="1" t="s">
        <v>19</v>
      </c>
      <c r="F224" s="1" t="s">
        <v>132</v>
      </c>
      <c r="G224" s="1" t="s">
        <v>133</v>
      </c>
      <c r="H224" s="6" t="str">
        <f>VLOOKUP(A224,WorldCups!$A$2:$B$23,2,FALSE)</f>
        <v>Sweden</v>
      </c>
      <c r="I224" s="1" t="s">
        <v>109</v>
      </c>
      <c r="J224" s="1">
        <v>2</v>
      </c>
      <c r="K224" s="1" t="s">
        <v>28</v>
      </c>
      <c r="L224" s="1">
        <v>3</v>
      </c>
      <c r="M224" s="1" t="s">
        <v>14</v>
      </c>
    </row>
    <row r="225" spans="1:13" hidden="1" x14ac:dyDescent="0.25">
      <c r="A225" s="1">
        <v>1958</v>
      </c>
      <c r="B225" s="1">
        <f>B224+1</f>
        <v>113</v>
      </c>
      <c r="C225" s="2">
        <v>21347</v>
      </c>
      <c r="D225" s="1" t="s">
        <v>521</v>
      </c>
      <c r="E225" s="1" t="s">
        <v>19</v>
      </c>
      <c r="F225" s="1" t="s">
        <v>134</v>
      </c>
      <c r="G225" s="1" t="s">
        <v>135</v>
      </c>
      <c r="H225" s="6" t="str">
        <f>VLOOKUP(A225,WorldCups!$A$2:$B$23,2,FALSE)</f>
        <v>Sweden</v>
      </c>
      <c r="I225" s="1" t="s">
        <v>20</v>
      </c>
      <c r="J225" s="1">
        <v>3</v>
      </c>
      <c r="K225" s="1" t="s">
        <v>12</v>
      </c>
      <c r="L225" s="1">
        <v>2</v>
      </c>
      <c r="M225" s="1" t="s">
        <v>14</v>
      </c>
    </row>
    <row r="226" spans="1:13" hidden="1" x14ac:dyDescent="0.25">
      <c r="A226" s="1">
        <v>1958</v>
      </c>
      <c r="B226" s="1">
        <v>113</v>
      </c>
      <c r="C226" s="2">
        <v>21347</v>
      </c>
      <c r="D226" s="1" t="s">
        <v>521</v>
      </c>
      <c r="E226" s="1" t="s">
        <v>19</v>
      </c>
      <c r="F226" s="1" t="s">
        <v>134</v>
      </c>
      <c r="G226" s="1" t="s">
        <v>135</v>
      </c>
      <c r="H226" s="6" t="str">
        <f>VLOOKUP(A226,WorldCups!$A$2:$B$23,2,FALSE)</f>
        <v>Sweden</v>
      </c>
      <c r="I226" s="1" t="s">
        <v>12</v>
      </c>
      <c r="J226" s="1">
        <v>2</v>
      </c>
      <c r="K226" s="1" t="s">
        <v>20</v>
      </c>
      <c r="L226" s="1">
        <v>3</v>
      </c>
      <c r="M226" s="1" t="s">
        <v>14</v>
      </c>
    </row>
    <row r="227" spans="1:13" hidden="1" x14ac:dyDescent="0.25">
      <c r="A227" s="1">
        <v>1958</v>
      </c>
      <c r="B227" s="1">
        <f>B226+1</f>
        <v>114</v>
      </c>
      <c r="C227" s="2">
        <v>21347</v>
      </c>
      <c r="D227" s="1" t="s">
        <v>521</v>
      </c>
      <c r="E227" s="1" t="s">
        <v>15</v>
      </c>
      <c r="F227" s="1" t="s">
        <v>140</v>
      </c>
      <c r="G227" s="1" t="s">
        <v>141</v>
      </c>
      <c r="H227" s="6" t="str">
        <f>VLOOKUP(A227,WorldCups!$A$2:$B$23,2,FALSE)</f>
        <v>Sweden</v>
      </c>
      <c r="I227" s="1" t="s">
        <v>126</v>
      </c>
      <c r="J227" s="1">
        <v>2</v>
      </c>
      <c r="K227" s="1" t="s">
        <v>36</v>
      </c>
      <c r="L227" s="1">
        <v>0</v>
      </c>
      <c r="M227" s="1" t="s">
        <v>14</v>
      </c>
    </row>
    <row r="228" spans="1:13" hidden="1" x14ac:dyDescent="0.25">
      <c r="A228" s="1">
        <v>1958</v>
      </c>
      <c r="B228" s="1">
        <v>114</v>
      </c>
      <c r="C228" s="2">
        <v>21347</v>
      </c>
      <c r="D228" s="1" t="s">
        <v>521</v>
      </c>
      <c r="E228" s="1" t="s">
        <v>15</v>
      </c>
      <c r="F228" s="1" t="s">
        <v>140</v>
      </c>
      <c r="G228" s="1" t="s">
        <v>141</v>
      </c>
      <c r="H228" s="6" t="str">
        <f>VLOOKUP(A228,WorldCups!$A$2:$B$23,2,FALSE)</f>
        <v>Sweden</v>
      </c>
      <c r="I228" s="1" t="s">
        <v>36</v>
      </c>
      <c r="J228" s="1">
        <v>0</v>
      </c>
      <c r="K228" s="1" t="s">
        <v>126</v>
      </c>
      <c r="L228" s="1">
        <v>2</v>
      </c>
      <c r="M228" s="1" t="s">
        <v>14</v>
      </c>
    </row>
    <row r="229" spans="1:13" hidden="1" x14ac:dyDescent="0.25">
      <c r="A229" s="1">
        <v>1958</v>
      </c>
      <c r="B229" s="1">
        <f>B228+1</f>
        <v>115</v>
      </c>
      <c r="C229" s="2">
        <v>21347</v>
      </c>
      <c r="D229" s="1" t="s">
        <v>521</v>
      </c>
      <c r="E229" s="1" t="s">
        <v>9</v>
      </c>
      <c r="F229" s="1" t="s">
        <v>142</v>
      </c>
      <c r="G229" s="1" t="s">
        <v>143</v>
      </c>
      <c r="H229" s="6" t="str">
        <f>VLOOKUP(A229,WorldCups!$A$2:$B$23,2,FALSE)</f>
        <v>Sweden</v>
      </c>
      <c r="I229" s="1" t="s">
        <v>114</v>
      </c>
      <c r="J229" s="1">
        <v>2</v>
      </c>
      <c r="K229" s="1" t="s">
        <v>60</v>
      </c>
      <c r="L229" s="1">
        <v>2</v>
      </c>
      <c r="M229" s="1" t="s">
        <v>14</v>
      </c>
    </row>
    <row r="230" spans="1:13" hidden="1" x14ac:dyDescent="0.25">
      <c r="A230" s="1">
        <v>1958</v>
      </c>
      <c r="B230" s="1">
        <v>115</v>
      </c>
      <c r="C230" s="2">
        <v>21347</v>
      </c>
      <c r="D230" s="1" t="s">
        <v>521</v>
      </c>
      <c r="E230" s="1" t="s">
        <v>9</v>
      </c>
      <c r="F230" s="1" t="s">
        <v>142</v>
      </c>
      <c r="G230" s="1" t="s">
        <v>143</v>
      </c>
      <c r="H230" s="6" t="str">
        <f>VLOOKUP(A230,WorldCups!$A$2:$B$23,2,FALSE)</f>
        <v>Sweden</v>
      </c>
      <c r="I230" s="1" t="s">
        <v>60</v>
      </c>
      <c r="J230" s="1">
        <v>2</v>
      </c>
      <c r="K230" s="1" t="s">
        <v>114</v>
      </c>
      <c r="L230" s="1">
        <v>2</v>
      </c>
      <c r="M230" s="1" t="s">
        <v>14</v>
      </c>
    </row>
    <row r="231" spans="1:13" hidden="1" x14ac:dyDescent="0.25">
      <c r="A231" s="1">
        <v>1958</v>
      </c>
      <c r="B231" s="1">
        <f>B230+1</f>
        <v>116</v>
      </c>
      <c r="C231" s="2">
        <v>21347</v>
      </c>
      <c r="D231" s="1" t="s">
        <v>521</v>
      </c>
      <c r="E231" s="1" t="s">
        <v>9</v>
      </c>
      <c r="F231" s="1" t="s">
        <v>138</v>
      </c>
      <c r="G231" s="1" t="s">
        <v>139</v>
      </c>
      <c r="H231" s="6" t="str">
        <f>VLOOKUP(A231,WorldCups!$A$2:$B$23,2,FALSE)</f>
        <v>Sweden</v>
      </c>
      <c r="I231" s="1" t="s">
        <v>25</v>
      </c>
      <c r="J231" s="1">
        <v>3</v>
      </c>
      <c r="K231" s="1" t="s">
        <v>537</v>
      </c>
      <c r="L231" s="1">
        <v>1</v>
      </c>
      <c r="M231" s="1" t="s">
        <v>14</v>
      </c>
    </row>
    <row r="232" spans="1:13" hidden="1" x14ac:dyDescent="0.25">
      <c r="A232" s="1">
        <v>1958</v>
      </c>
      <c r="B232" s="1">
        <v>116</v>
      </c>
      <c r="C232" s="2">
        <v>21347</v>
      </c>
      <c r="D232" s="1" t="s">
        <v>521</v>
      </c>
      <c r="E232" s="1" t="s">
        <v>9</v>
      </c>
      <c r="F232" s="1" t="s">
        <v>138</v>
      </c>
      <c r="G232" s="1" t="s">
        <v>139</v>
      </c>
      <c r="H232" s="6" t="str">
        <f>VLOOKUP(A232,WorldCups!$A$2:$B$23,2,FALSE)</f>
        <v>Sweden</v>
      </c>
      <c r="I232" s="1" t="s">
        <v>537</v>
      </c>
      <c r="J232" s="1">
        <v>1</v>
      </c>
      <c r="K232" s="1" t="s">
        <v>25</v>
      </c>
      <c r="L232" s="1">
        <v>3</v>
      </c>
      <c r="M232" s="1" t="s">
        <v>14</v>
      </c>
    </row>
    <row r="233" spans="1:13" hidden="1" x14ac:dyDescent="0.25">
      <c r="A233" s="1">
        <v>1958</v>
      </c>
      <c r="B233" s="1">
        <f>B232+1</f>
        <v>117</v>
      </c>
      <c r="C233" s="2">
        <v>21348</v>
      </c>
      <c r="D233" s="1" t="s">
        <v>521</v>
      </c>
      <c r="E233" s="1" t="s">
        <v>22</v>
      </c>
      <c r="F233" s="1" t="s">
        <v>122</v>
      </c>
      <c r="G233" s="1" t="s">
        <v>123</v>
      </c>
      <c r="H233" s="6" t="str">
        <f>VLOOKUP(A233,WorldCups!$A$2:$B$23,2,FALSE)</f>
        <v>Sweden</v>
      </c>
      <c r="I233" s="1" t="s">
        <v>48</v>
      </c>
      <c r="J233" s="1">
        <v>2</v>
      </c>
      <c r="K233" s="1" t="s">
        <v>40</v>
      </c>
      <c r="L233" s="1">
        <v>1</v>
      </c>
      <c r="M233" s="1" t="s">
        <v>14</v>
      </c>
    </row>
    <row r="234" spans="1:13" hidden="1" x14ac:dyDescent="0.25">
      <c r="A234" s="1">
        <v>1958</v>
      </c>
      <c r="B234" s="1">
        <v>117</v>
      </c>
      <c r="C234" s="2">
        <v>21348</v>
      </c>
      <c r="D234" s="1" t="s">
        <v>521</v>
      </c>
      <c r="E234" s="1" t="s">
        <v>22</v>
      </c>
      <c r="F234" s="1" t="s">
        <v>122</v>
      </c>
      <c r="G234" s="1" t="s">
        <v>123</v>
      </c>
      <c r="H234" s="6" t="str">
        <f>VLOOKUP(A234,WorldCups!$A$2:$B$23,2,FALSE)</f>
        <v>Sweden</v>
      </c>
      <c r="I234" s="1" t="s">
        <v>40</v>
      </c>
      <c r="J234" s="1">
        <v>1</v>
      </c>
      <c r="K234" s="1" t="s">
        <v>48</v>
      </c>
      <c r="L234" s="1">
        <v>2</v>
      </c>
      <c r="M234" s="1" t="s">
        <v>14</v>
      </c>
    </row>
    <row r="235" spans="1:13" hidden="1" x14ac:dyDescent="0.25">
      <c r="A235" s="1">
        <v>1958</v>
      </c>
      <c r="B235" s="1">
        <f>B234+1</f>
        <v>118</v>
      </c>
      <c r="C235" s="2">
        <v>21351</v>
      </c>
      <c r="D235" s="1" t="s">
        <v>520</v>
      </c>
      <c r="E235" s="1" t="s">
        <v>22</v>
      </c>
      <c r="F235" s="1" t="s">
        <v>122</v>
      </c>
      <c r="G235" s="1" t="s">
        <v>123</v>
      </c>
      <c r="H235" s="6" t="str">
        <f>VLOOKUP(A235,WorldCups!$A$2:$B$23,2,FALSE)</f>
        <v>Sweden</v>
      </c>
      <c r="I235" s="1" t="s">
        <v>48</v>
      </c>
      <c r="J235" s="1">
        <v>0</v>
      </c>
      <c r="K235" s="1" t="s">
        <v>131</v>
      </c>
      <c r="L235" s="1">
        <v>0</v>
      </c>
      <c r="M235" s="1" t="s">
        <v>14</v>
      </c>
    </row>
    <row r="236" spans="1:13" hidden="1" x14ac:dyDescent="0.25">
      <c r="A236" s="1">
        <v>1958</v>
      </c>
      <c r="B236" s="1">
        <v>118</v>
      </c>
      <c r="C236" s="2">
        <v>21351</v>
      </c>
      <c r="D236" s="1" t="s">
        <v>520</v>
      </c>
      <c r="E236" s="1" t="s">
        <v>22</v>
      </c>
      <c r="F236" s="1" t="s">
        <v>122</v>
      </c>
      <c r="G236" s="1" t="s">
        <v>123</v>
      </c>
      <c r="H236" s="6" t="str">
        <f>VLOOKUP(A236,WorldCups!$A$2:$B$23,2,FALSE)</f>
        <v>Sweden</v>
      </c>
      <c r="I236" s="1" t="s">
        <v>131</v>
      </c>
      <c r="J236" s="1">
        <v>0</v>
      </c>
      <c r="K236" s="1" t="s">
        <v>48</v>
      </c>
      <c r="L236" s="1">
        <v>0</v>
      </c>
      <c r="M236" s="1" t="s">
        <v>14</v>
      </c>
    </row>
    <row r="237" spans="1:13" hidden="1" x14ac:dyDescent="0.25">
      <c r="A237" s="1">
        <v>1958</v>
      </c>
      <c r="B237" s="1">
        <f>B236+1</f>
        <v>119</v>
      </c>
      <c r="C237" s="2">
        <v>21351</v>
      </c>
      <c r="D237" s="1" t="s">
        <v>521</v>
      </c>
      <c r="E237" s="1" t="s">
        <v>15</v>
      </c>
      <c r="F237" s="1" t="s">
        <v>124</v>
      </c>
      <c r="G237" s="1" t="s">
        <v>125</v>
      </c>
      <c r="H237" s="6" t="str">
        <f>VLOOKUP(A237,WorldCups!$A$2:$B$23,2,FALSE)</f>
        <v>Sweden</v>
      </c>
      <c r="I237" s="1" t="s">
        <v>21</v>
      </c>
      <c r="J237" s="1">
        <v>2</v>
      </c>
      <c r="K237" s="1" t="s">
        <v>126</v>
      </c>
      <c r="L237" s="1">
        <v>0</v>
      </c>
      <c r="M237" s="1" t="s">
        <v>14</v>
      </c>
    </row>
    <row r="238" spans="1:13" hidden="1" x14ac:dyDescent="0.25">
      <c r="A238" s="1">
        <v>1958</v>
      </c>
      <c r="B238" s="1">
        <v>119</v>
      </c>
      <c r="C238" s="2">
        <v>21351</v>
      </c>
      <c r="D238" s="1" t="s">
        <v>521</v>
      </c>
      <c r="E238" s="1" t="s">
        <v>15</v>
      </c>
      <c r="F238" s="1" t="s">
        <v>124</v>
      </c>
      <c r="G238" s="1" t="s">
        <v>125</v>
      </c>
      <c r="H238" s="6" t="str">
        <f>VLOOKUP(A238,WorldCups!$A$2:$B$23,2,FALSE)</f>
        <v>Sweden</v>
      </c>
      <c r="I238" s="1" t="s">
        <v>126</v>
      </c>
      <c r="J238" s="1">
        <v>0</v>
      </c>
      <c r="K238" s="1" t="s">
        <v>21</v>
      </c>
      <c r="L238" s="1">
        <v>2</v>
      </c>
      <c r="M238" s="1" t="s">
        <v>14</v>
      </c>
    </row>
    <row r="239" spans="1:13" hidden="1" x14ac:dyDescent="0.25">
      <c r="A239" s="1">
        <v>1958</v>
      </c>
      <c r="B239" s="1">
        <f>B238+1</f>
        <v>120</v>
      </c>
      <c r="C239" s="2">
        <v>21351</v>
      </c>
      <c r="D239" s="1" t="s">
        <v>521</v>
      </c>
      <c r="E239" s="1" t="s">
        <v>9</v>
      </c>
      <c r="F239" s="1" t="s">
        <v>127</v>
      </c>
      <c r="G239" s="1" t="s">
        <v>128</v>
      </c>
      <c r="H239" s="6" t="str">
        <f>VLOOKUP(A239,WorldCups!$A$2:$B$23,2,FALSE)</f>
        <v>Sweden</v>
      </c>
      <c r="I239" s="1" t="s">
        <v>114</v>
      </c>
      <c r="J239" s="1">
        <v>2</v>
      </c>
      <c r="K239" s="1" t="s">
        <v>537</v>
      </c>
      <c r="L239" s="1">
        <v>2</v>
      </c>
      <c r="M239" s="1" t="s">
        <v>14</v>
      </c>
    </row>
    <row r="240" spans="1:13" hidden="1" x14ac:dyDescent="0.25">
      <c r="A240" s="1">
        <v>1958</v>
      </c>
      <c r="B240" s="1">
        <v>120</v>
      </c>
      <c r="C240" s="2">
        <v>21351</v>
      </c>
      <c r="D240" s="1" t="s">
        <v>521</v>
      </c>
      <c r="E240" s="1" t="s">
        <v>9</v>
      </c>
      <c r="F240" s="1" t="s">
        <v>127</v>
      </c>
      <c r="G240" s="1" t="s">
        <v>128</v>
      </c>
      <c r="H240" s="6" t="str">
        <f>VLOOKUP(A240,WorldCups!$A$2:$B$23,2,FALSE)</f>
        <v>Sweden</v>
      </c>
      <c r="I240" s="1" t="s">
        <v>537</v>
      </c>
      <c r="J240" s="1">
        <v>2</v>
      </c>
      <c r="K240" s="1" t="s">
        <v>114</v>
      </c>
      <c r="L240" s="1">
        <v>2</v>
      </c>
      <c r="M240" s="1" t="s">
        <v>14</v>
      </c>
    </row>
    <row r="241" spans="1:13" hidden="1" x14ac:dyDescent="0.25">
      <c r="A241" s="1">
        <v>1958</v>
      </c>
      <c r="B241" s="1">
        <f>B240+1</f>
        <v>121</v>
      </c>
      <c r="C241" s="2">
        <v>21351</v>
      </c>
      <c r="D241" s="1" t="s">
        <v>521</v>
      </c>
      <c r="E241" s="1" t="s">
        <v>22</v>
      </c>
      <c r="F241" s="1" t="s">
        <v>129</v>
      </c>
      <c r="G241" s="1" t="s">
        <v>130</v>
      </c>
      <c r="H241" s="6" t="str">
        <f>VLOOKUP(A241,WorldCups!$A$2:$B$23,2,FALSE)</f>
        <v>Sweden</v>
      </c>
      <c r="I241" s="1" t="s">
        <v>40</v>
      </c>
      <c r="J241" s="1">
        <v>4</v>
      </c>
      <c r="K241" s="1" t="s">
        <v>13</v>
      </c>
      <c r="L241" s="1">
        <v>0</v>
      </c>
      <c r="M241" s="1" t="s">
        <v>14</v>
      </c>
    </row>
    <row r="242" spans="1:13" hidden="1" x14ac:dyDescent="0.25">
      <c r="A242" s="1">
        <v>1958</v>
      </c>
      <c r="B242" s="1">
        <v>121</v>
      </c>
      <c r="C242" s="2">
        <v>21351</v>
      </c>
      <c r="D242" s="1" t="s">
        <v>521</v>
      </c>
      <c r="E242" s="1" t="s">
        <v>22</v>
      </c>
      <c r="F242" s="1" t="s">
        <v>129</v>
      </c>
      <c r="G242" s="1" t="s">
        <v>130</v>
      </c>
      <c r="H242" s="6" t="str">
        <f>VLOOKUP(A242,WorldCups!$A$2:$B$23,2,FALSE)</f>
        <v>Sweden</v>
      </c>
      <c r="I242" s="1" t="s">
        <v>13</v>
      </c>
      <c r="J242" s="1">
        <v>0</v>
      </c>
      <c r="K242" s="1" t="s">
        <v>40</v>
      </c>
      <c r="L242" s="1">
        <v>4</v>
      </c>
      <c r="M242" s="1" t="s">
        <v>14</v>
      </c>
    </row>
    <row r="243" spans="1:13" hidden="1" x14ac:dyDescent="0.25">
      <c r="A243" s="1">
        <v>1958</v>
      </c>
      <c r="B243" s="1">
        <f>B242+1</f>
        <v>122</v>
      </c>
      <c r="C243" s="2">
        <v>21351</v>
      </c>
      <c r="D243" s="1" t="s">
        <v>521</v>
      </c>
      <c r="E243" s="1" t="s">
        <v>19</v>
      </c>
      <c r="F243" s="1" t="s">
        <v>144</v>
      </c>
      <c r="G243" s="1" t="s">
        <v>145</v>
      </c>
      <c r="H243" s="6" t="str">
        <f>VLOOKUP(A243,WorldCups!$A$2:$B$23,2,FALSE)</f>
        <v>Sweden</v>
      </c>
      <c r="I243" s="1" t="s">
        <v>28</v>
      </c>
      <c r="J243" s="1">
        <v>3</v>
      </c>
      <c r="K243" s="1" t="s">
        <v>20</v>
      </c>
      <c r="L243" s="1">
        <v>3</v>
      </c>
      <c r="M243" s="1" t="s">
        <v>14</v>
      </c>
    </row>
    <row r="244" spans="1:13" hidden="1" x14ac:dyDescent="0.25">
      <c r="A244" s="1">
        <v>1958</v>
      </c>
      <c r="B244" s="1">
        <v>122</v>
      </c>
      <c r="C244" s="2">
        <v>21351</v>
      </c>
      <c r="D244" s="1" t="s">
        <v>521</v>
      </c>
      <c r="E244" s="1" t="s">
        <v>19</v>
      </c>
      <c r="F244" s="1" t="s">
        <v>144</v>
      </c>
      <c r="G244" s="1" t="s">
        <v>145</v>
      </c>
      <c r="H244" s="6" t="str">
        <f>VLOOKUP(A244,WorldCups!$A$2:$B$23,2,FALSE)</f>
        <v>Sweden</v>
      </c>
      <c r="I244" s="1" t="s">
        <v>20</v>
      </c>
      <c r="J244" s="1">
        <v>3</v>
      </c>
      <c r="K244" s="1" t="s">
        <v>28</v>
      </c>
      <c r="L244" s="1">
        <v>3</v>
      </c>
      <c r="M244" s="1" t="s">
        <v>14</v>
      </c>
    </row>
    <row r="245" spans="1:13" hidden="1" x14ac:dyDescent="0.25">
      <c r="A245" s="1">
        <v>1958</v>
      </c>
      <c r="B245" s="1">
        <f>B244+1</f>
        <v>123</v>
      </c>
      <c r="C245" s="2">
        <v>21351</v>
      </c>
      <c r="D245" s="1" t="s">
        <v>521</v>
      </c>
      <c r="E245" s="1" t="s">
        <v>19</v>
      </c>
      <c r="F245" s="1" t="s">
        <v>146</v>
      </c>
      <c r="G245" s="1" t="s">
        <v>147</v>
      </c>
      <c r="H245" s="6" t="str">
        <f>VLOOKUP(A245,WorldCups!$A$2:$B$23,2,FALSE)</f>
        <v>Sweden</v>
      </c>
      <c r="I245" s="1" t="s">
        <v>12</v>
      </c>
      <c r="J245" s="1">
        <v>2</v>
      </c>
      <c r="K245" s="1" t="s">
        <v>109</v>
      </c>
      <c r="L245" s="1">
        <v>1</v>
      </c>
      <c r="M245" s="1" t="s">
        <v>14</v>
      </c>
    </row>
    <row r="246" spans="1:13" hidden="1" x14ac:dyDescent="0.25">
      <c r="A246" s="1">
        <v>1958</v>
      </c>
      <c r="B246" s="1">
        <v>123</v>
      </c>
      <c r="C246" s="2">
        <v>21351</v>
      </c>
      <c r="D246" s="1" t="s">
        <v>521</v>
      </c>
      <c r="E246" s="1" t="s">
        <v>19</v>
      </c>
      <c r="F246" s="1" t="s">
        <v>146</v>
      </c>
      <c r="G246" s="1" t="s">
        <v>147</v>
      </c>
      <c r="H246" s="6" t="str">
        <f>VLOOKUP(A246,WorldCups!$A$2:$B$23,2,FALSE)</f>
        <v>Sweden</v>
      </c>
      <c r="I246" s="1" t="s">
        <v>109</v>
      </c>
      <c r="J246" s="1">
        <v>1</v>
      </c>
      <c r="K246" s="1" t="s">
        <v>12</v>
      </c>
      <c r="L246" s="1">
        <v>2</v>
      </c>
      <c r="M246" s="1" t="s">
        <v>14</v>
      </c>
    </row>
    <row r="247" spans="1:13" hidden="1" x14ac:dyDescent="0.25">
      <c r="A247" s="1">
        <v>1958</v>
      </c>
      <c r="B247" s="1">
        <f>B246+1</f>
        <v>124</v>
      </c>
      <c r="C247" s="2">
        <v>21351</v>
      </c>
      <c r="D247" s="1" t="s">
        <v>521</v>
      </c>
      <c r="E247" s="1" t="s">
        <v>15</v>
      </c>
      <c r="F247" s="1" t="s">
        <v>140</v>
      </c>
      <c r="G247" s="1" t="s">
        <v>141</v>
      </c>
      <c r="H247" s="6" t="str">
        <f>VLOOKUP(A247,WorldCups!$A$2:$B$23,2,FALSE)</f>
        <v>Sweden</v>
      </c>
      <c r="I247" s="1" t="s">
        <v>93</v>
      </c>
      <c r="J247" s="1">
        <v>2</v>
      </c>
      <c r="K247" s="1" t="s">
        <v>36</v>
      </c>
      <c r="L247" s="1">
        <v>2</v>
      </c>
      <c r="M247" s="1" t="s">
        <v>14</v>
      </c>
    </row>
    <row r="248" spans="1:13" hidden="1" x14ac:dyDescent="0.25">
      <c r="A248" s="1">
        <v>1958</v>
      </c>
      <c r="B248" s="1">
        <v>124</v>
      </c>
      <c r="C248" s="2">
        <v>21351</v>
      </c>
      <c r="D248" s="1" t="s">
        <v>521</v>
      </c>
      <c r="E248" s="1" t="s">
        <v>15</v>
      </c>
      <c r="F248" s="1" t="s">
        <v>140</v>
      </c>
      <c r="G248" s="1" t="s">
        <v>141</v>
      </c>
      <c r="H248" s="6" t="str">
        <f>VLOOKUP(A248,WorldCups!$A$2:$B$23,2,FALSE)</f>
        <v>Sweden</v>
      </c>
      <c r="I248" s="1" t="s">
        <v>36</v>
      </c>
      <c r="J248" s="1">
        <v>2</v>
      </c>
      <c r="K248" s="1" t="s">
        <v>93</v>
      </c>
      <c r="L248" s="1">
        <v>2</v>
      </c>
      <c r="M248" s="1" t="s">
        <v>14</v>
      </c>
    </row>
    <row r="249" spans="1:13" hidden="1" x14ac:dyDescent="0.25">
      <c r="A249" s="1">
        <v>1958</v>
      </c>
      <c r="B249" s="1">
        <f>B248+1</f>
        <v>125</v>
      </c>
      <c r="C249" s="2">
        <v>21351</v>
      </c>
      <c r="D249" s="1" t="s">
        <v>521</v>
      </c>
      <c r="E249" s="1" t="s">
        <v>9</v>
      </c>
      <c r="F249" s="1" t="s">
        <v>142</v>
      </c>
      <c r="G249" s="1" t="s">
        <v>143</v>
      </c>
      <c r="H249" s="6" t="str">
        <f>VLOOKUP(A249,WorldCups!$A$2:$B$23,2,FALSE)</f>
        <v>Sweden</v>
      </c>
      <c r="I249" s="1" t="s">
        <v>60</v>
      </c>
      <c r="J249" s="1">
        <v>6</v>
      </c>
      <c r="K249" s="1" t="s">
        <v>25</v>
      </c>
      <c r="L249" s="1">
        <v>1</v>
      </c>
      <c r="M249" s="1" t="s">
        <v>14</v>
      </c>
    </row>
    <row r="250" spans="1:13" hidden="1" x14ac:dyDescent="0.25">
      <c r="A250" s="1">
        <v>1958</v>
      </c>
      <c r="B250" s="1">
        <v>125</v>
      </c>
      <c r="C250" s="2">
        <v>21351</v>
      </c>
      <c r="D250" s="1" t="s">
        <v>521</v>
      </c>
      <c r="E250" s="1" t="s">
        <v>9</v>
      </c>
      <c r="F250" s="1" t="s">
        <v>142</v>
      </c>
      <c r="G250" s="1" t="s">
        <v>143</v>
      </c>
      <c r="H250" s="6" t="str">
        <f>VLOOKUP(A250,WorldCups!$A$2:$B$23,2,FALSE)</f>
        <v>Sweden</v>
      </c>
      <c r="I250" s="1" t="s">
        <v>25</v>
      </c>
      <c r="J250" s="1">
        <v>1</v>
      </c>
      <c r="K250" s="1" t="s">
        <v>60</v>
      </c>
      <c r="L250" s="1">
        <v>6</v>
      </c>
      <c r="M250" s="1" t="s">
        <v>14</v>
      </c>
    </row>
    <row r="251" spans="1:13" hidden="1" x14ac:dyDescent="0.25">
      <c r="A251" s="1">
        <v>1958</v>
      </c>
      <c r="B251" s="1">
        <f>B250+1</f>
        <v>126</v>
      </c>
      <c r="C251" s="2">
        <v>21353</v>
      </c>
      <c r="D251" s="1" t="s">
        <v>521</v>
      </c>
      <c r="E251" s="1" t="s">
        <v>15</v>
      </c>
      <c r="F251" s="1" t="s">
        <v>124</v>
      </c>
      <c r="G251" s="1" t="s">
        <v>125</v>
      </c>
      <c r="H251" s="6" t="str">
        <f>VLOOKUP(A251,WorldCups!$A$2:$B$23,2,FALSE)</f>
        <v>Sweden</v>
      </c>
      <c r="I251" s="1" t="s">
        <v>126</v>
      </c>
      <c r="J251" s="1">
        <v>1</v>
      </c>
      <c r="K251" s="1" t="s">
        <v>93</v>
      </c>
      <c r="L251" s="1">
        <v>0</v>
      </c>
      <c r="M251" s="1" t="s">
        <v>14</v>
      </c>
    </row>
    <row r="252" spans="1:13" hidden="1" x14ac:dyDescent="0.25">
      <c r="A252" s="1">
        <v>1958</v>
      </c>
      <c r="B252" s="1">
        <v>126</v>
      </c>
      <c r="C252" s="2">
        <v>21353</v>
      </c>
      <c r="D252" s="1" t="s">
        <v>521</v>
      </c>
      <c r="E252" s="1" t="s">
        <v>15</v>
      </c>
      <c r="F252" s="1" t="s">
        <v>124</v>
      </c>
      <c r="G252" s="1" t="s">
        <v>125</v>
      </c>
      <c r="H252" s="6" t="str">
        <f>VLOOKUP(A252,WorldCups!$A$2:$B$23,2,FALSE)</f>
        <v>Sweden</v>
      </c>
      <c r="I252" s="1" t="s">
        <v>93</v>
      </c>
      <c r="J252" s="1">
        <v>0</v>
      </c>
      <c r="K252" s="1" t="s">
        <v>126</v>
      </c>
      <c r="L252" s="1">
        <v>1</v>
      </c>
      <c r="M252" s="1" t="s">
        <v>14</v>
      </c>
    </row>
    <row r="253" spans="1:13" hidden="1" x14ac:dyDescent="0.25">
      <c r="A253" s="1">
        <v>1958</v>
      </c>
      <c r="B253" s="1">
        <f>B252+1</f>
        <v>127</v>
      </c>
      <c r="C253" s="2">
        <v>21353</v>
      </c>
      <c r="D253" s="1" t="s">
        <v>521</v>
      </c>
      <c r="E253" s="1" t="s">
        <v>9</v>
      </c>
      <c r="F253" s="1" t="s">
        <v>127</v>
      </c>
      <c r="G253" s="1" t="s">
        <v>128</v>
      </c>
      <c r="H253" s="6" t="str">
        <f>VLOOKUP(A253,WorldCups!$A$2:$B$23,2,FALSE)</f>
        <v>Sweden</v>
      </c>
      <c r="I253" s="1" t="s">
        <v>537</v>
      </c>
      <c r="J253" s="1">
        <v>2</v>
      </c>
      <c r="K253" s="1" t="s">
        <v>60</v>
      </c>
      <c r="L253" s="1">
        <v>1</v>
      </c>
      <c r="M253" s="1" t="s">
        <v>148</v>
      </c>
    </row>
    <row r="254" spans="1:13" hidden="1" x14ac:dyDescent="0.25">
      <c r="A254" s="1">
        <v>1958</v>
      </c>
      <c r="B254" s="1">
        <v>127</v>
      </c>
      <c r="C254" s="2">
        <v>21353</v>
      </c>
      <c r="D254" s="1" t="s">
        <v>521</v>
      </c>
      <c r="E254" s="1" t="s">
        <v>9</v>
      </c>
      <c r="F254" s="1" t="s">
        <v>127</v>
      </c>
      <c r="G254" s="1" t="s">
        <v>128</v>
      </c>
      <c r="H254" s="6" t="str">
        <f>VLOOKUP(A254,WorldCups!$A$2:$B$23,2,FALSE)</f>
        <v>Sweden</v>
      </c>
      <c r="I254" s="1" t="s">
        <v>60</v>
      </c>
      <c r="J254" s="1">
        <v>1</v>
      </c>
      <c r="K254" s="1" t="s">
        <v>537</v>
      </c>
      <c r="L254" s="1">
        <v>2</v>
      </c>
      <c r="M254" s="1" t="s">
        <v>148</v>
      </c>
    </row>
    <row r="255" spans="1:13" hidden="1" x14ac:dyDescent="0.25">
      <c r="A255" s="1">
        <v>1958</v>
      </c>
      <c r="B255" s="1">
        <f>B254+1</f>
        <v>128</v>
      </c>
      <c r="C255" s="2">
        <v>21353</v>
      </c>
      <c r="D255" s="1" t="s">
        <v>521</v>
      </c>
      <c r="E255" s="1" t="s">
        <v>22</v>
      </c>
      <c r="F255" s="1" t="s">
        <v>122</v>
      </c>
      <c r="G255" s="1" t="s">
        <v>123</v>
      </c>
      <c r="H255" s="6" t="str">
        <f>VLOOKUP(A255,WorldCups!$A$2:$B$23,2,FALSE)</f>
        <v>Sweden</v>
      </c>
      <c r="I255" s="1" t="s">
        <v>131</v>
      </c>
      <c r="J255" s="1">
        <v>2</v>
      </c>
      <c r="K255" s="1" t="s">
        <v>40</v>
      </c>
      <c r="L255" s="1">
        <v>1</v>
      </c>
      <c r="M255" s="1" t="s">
        <v>14</v>
      </c>
    </row>
    <row r="256" spans="1:13" hidden="1" x14ac:dyDescent="0.25">
      <c r="A256" s="1">
        <v>1958</v>
      </c>
      <c r="B256" s="1">
        <v>128</v>
      </c>
      <c r="C256" s="2">
        <v>21353</v>
      </c>
      <c r="D256" s="1" t="s">
        <v>521</v>
      </c>
      <c r="E256" s="1" t="s">
        <v>22</v>
      </c>
      <c r="F256" s="1" t="s">
        <v>122</v>
      </c>
      <c r="G256" s="1" t="s">
        <v>123</v>
      </c>
      <c r="H256" s="6" t="str">
        <f>VLOOKUP(A256,WorldCups!$A$2:$B$23,2,FALSE)</f>
        <v>Sweden</v>
      </c>
      <c r="I256" s="1" t="s">
        <v>40</v>
      </c>
      <c r="J256" s="1">
        <v>1</v>
      </c>
      <c r="K256" s="1" t="s">
        <v>131</v>
      </c>
      <c r="L256" s="1">
        <v>2</v>
      </c>
      <c r="M256" s="1" t="s">
        <v>14</v>
      </c>
    </row>
    <row r="257" spans="1:13" hidden="1" x14ac:dyDescent="0.25">
      <c r="A257" s="1">
        <v>1958</v>
      </c>
      <c r="B257" s="1">
        <f>B256+1</f>
        <v>129</v>
      </c>
      <c r="C257" s="2">
        <v>21355</v>
      </c>
      <c r="D257" s="1" t="s">
        <v>521</v>
      </c>
      <c r="E257" s="1" t="s">
        <v>61</v>
      </c>
      <c r="F257" s="1" t="s">
        <v>124</v>
      </c>
      <c r="G257" s="1" t="s">
        <v>125</v>
      </c>
      <c r="H257" s="6" t="str">
        <f>VLOOKUP(A257,WorldCups!$A$2:$B$23,2,FALSE)</f>
        <v>Sweden</v>
      </c>
      <c r="I257" s="1" t="s">
        <v>21</v>
      </c>
      <c r="J257" s="1">
        <v>1</v>
      </c>
      <c r="K257" s="1" t="s">
        <v>131</v>
      </c>
      <c r="L257" s="1">
        <v>0</v>
      </c>
      <c r="M257" s="1" t="s">
        <v>14</v>
      </c>
    </row>
    <row r="258" spans="1:13" hidden="1" x14ac:dyDescent="0.25">
      <c r="A258" s="1">
        <v>1958</v>
      </c>
      <c r="B258" s="1">
        <v>129</v>
      </c>
      <c r="C258" s="2">
        <v>21355</v>
      </c>
      <c r="D258" s="1" t="s">
        <v>521</v>
      </c>
      <c r="E258" s="1" t="s">
        <v>61</v>
      </c>
      <c r="F258" s="1" t="s">
        <v>124</v>
      </c>
      <c r="G258" s="1" t="s">
        <v>125</v>
      </c>
      <c r="H258" s="6" t="str">
        <f>VLOOKUP(A258,WorldCups!$A$2:$B$23,2,FALSE)</f>
        <v>Sweden</v>
      </c>
      <c r="I258" s="1" t="s">
        <v>131</v>
      </c>
      <c r="J258" s="1">
        <v>0</v>
      </c>
      <c r="K258" s="1" t="s">
        <v>21</v>
      </c>
      <c r="L258" s="1">
        <v>1</v>
      </c>
      <c r="M258" s="1" t="s">
        <v>14</v>
      </c>
    </row>
    <row r="259" spans="1:13" hidden="1" x14ac:dyDescent="0.25">
      <c r="A259" s="1">
        <v>1958</v>
      </c>
      <c r="B259" s="1">
        <f>B258+1</f>
        <v>130</v>
      </c>
      <c r="C259" s="2">
        <v>21355</v>
      </c>
      <c r="D259" s="1" t="s">
        <v>521</v>
      </c>
      <c r="E259" s="1" t="s">
        <v>61</v>
      </c>
      <c r="F259" s="1" t="s">
        <v>127</v>
      </c>
      <c r="G259" s="1" t="s">
        <v>128</v>
      </c>
      <c r="H259" s="6" t="str">
        <f>VLOOKUP(A259,WorldCups!$A$2:$B$23,2,FALSE)</f>
        <v>Sweden</v>
      </c>
      <c r="I259" s="1" t="s">
        <v>114</v>
      </c>
      <c r="J259" s="1">
        <v>1</v>
      </c>
      <c r="K259" s="1" t="s">
        <v>20</v>
      </c>
      <c r="L259" s="1">
        <v>0</v>
      </c>
      <c r="M259" s="1" t="s">
        <v>14</v>
      </c>
    </row>
    <row r="260" spans="1:13" hidden="1" x14ac:dyDescent="0.25">
      <c r="A260" s="1">
        <v>1958</v>
      </c>
      <c r="B260" s="1">
        <v>130</v>
      </c>
      <c r="C260" s="2">
        <v>21355</v>
      </c>
      <c r="D260" s="1" t="s">
        <v>521</v>
      </c>
      <c r="E260" s="1" t="s">
        <v>61</v>
      </c>
      <c r="F260" s="1" t="s">
        <v>127</v>
      </c>
      <c r="G260" s="1" t="s">
        <v>128</v>
      </c>
      <c r="H260" s="6" t="str">
        <f>VLOOKUP(A260,WorldCups!$A$2:$B$23,2,FALSE)</f>
        <v>Sweden</v>
      </c>
      <c r="I260" s="1" t="s">
        <v>20</v>
      </c>
      <c r="J260" s="1">
        <v>0</v>
      </c>
      <c r="K260" s="1" t="s">
        <v>114</v>
      </c>
      <c r="L260" s="1">
        <v>1</v>
      </c>
      <c r="M260" s="1" t="s">
        <v>14</v>
      </c>
    </row>
    <row r="261" spans="1:13" hidden="1" x14ac:dyDescent="0.25">
      <c r="A261" s="1">
        <v>1958</v>
      </c>
      <c r="B261" s="1">
        <f>B260+1</f>
        <v>131</v>
      </c>
      <c r="C261" s="2">
        <v>21355</v>
      </c>
      <c r="D261" s="1" t="s">
        <v>521</v>
      </c>
      <c r="E261" s="1" t="s">
        <v>61</v>
      </c>
      <c r="F261" s="1" t="s">
        <v>122</v>
      </c>
      <c r="G261" s="1" t="s">
        <v>123</v>
      </c>
      <c r="H261" s="6" t="str">
        <f>VLOOKUP(A261,WorldCups!$A$2:$B$23,2,FALSE)</f>
        <v>Sweden</v>
      </c>
      <c r="I261" s="1" t="s">
        <v>48</v>
      </c>
      <c r="J261" s="1">
        <v>2</v>
      </c>
      <c r="K261" s="1" t="s">
        <v>126</v>
      </c>
      <c r="L261" s="1">
        <v>0</v>
      </c>
      <c r="M261" s="1" t="s">
        <v>14</v>
      </c>
    </row>
    <row r="262" spans="1:13" hidden="1" x14ac:dyDescent="0.25">
      <c r="A262" s="1">
        <v>1958</v>
      </c>
      <c r="B262" s="1">
        <v>131</v>
      </c>
      <c r="C262" s="2">
        <v>21355</v>
      </c>
      <c r="D262" s="1" t="s">
        <v>521</v>
      </c>
      <c r="E262" s="1" t="s">
        <v>61</v>
      </c>
      <c r="F262" s="1" t="s">
        <v>122</v>
      </c>
      <c r="G262" s="1" t="s">
        <v>123</v>
      </c>
      <c r="H262" s="6" t="str">
        <f>VLOOKUP(A262,WorldCups!$A$2:$B$23,2,FALSE)</f>
        <v>Sweden</v>
      </c>
      <c r="I262" s="1" t="s">
        <v>126</v>
      </c>
      <c r="J262" s="1">
        <v>0</v>
      </c>
      <c r="K262" s="1" t="s">
        <v>48</v>
      </c>
      <c r="L262" s="1">
        <v>2</v>
      </c>
      <c r="M262" s="1" t="s">
        <v>14</v>
      </c>
    </row>
    <row r="263" spans="1:13" hidden="1" x14ac:dyDescent="0.25">
      <c r="A263" s="1">
        <v>1958</v>
      </c>
      <c r="B263" s="1">
        <f>B262+1</f>
        <v>132</v>
      </c>
      <c r="C263" s="2">
        <v>21355</v>
      </c>
      <c r="D263" s="1" t="s">
        <v>521</v>
      </c>
      <c r="E263" s="1" t="s">
        <v>61</v>
      </c>
      <c r="F263" s="1" t="s">
        <v>132</v>
      </c>
      <c r="G263" s="1" t="s">
        <v>133</v>
      </c>
      <c r="H263" s="6" t="str">
        <f>VLOOKUP(A263,WorldCups!$A$2:$B$23,2,FALSE)</f>
        <v>Sweden</v>
      </c>
      <c r="I263" s="1" t="s">
        <v>12</v>
      </c>
      <c r="J263" s="1">
        <v>4</v>
      </c>
      <c r="K263" s="1" t="s">
        <v>537</v>
      </c>
      <c r="L263" s="1">
        <v>0</v>
      </c>
      <c r="M263" s="1" t="s">
        <v>14</v>
      </c>
    </row>
    <row r="264" spans="1:13" hidden="1" x14ac:dyDescent="0.25">
      <c r="A264" s="1">
        <v>1958</v>
      </c>
      <c r="B264" s="1">
        <v>132</v>
      </c>
      <c r="C264" s="2">
        <v>21355</v>
      </c>
      <c r="D264" s="1" t="s">
        <v>521</v>
      </c>
      <c r="E264" s="1" t="s">
        <v>61</v>
      </c>
      <c r="F264" s="1" t="s">
        <v>132</v>
      </c>
      <c r="G264" s="1" t="s">
        <v>133</v>
      </c>
      <c r="H264" s="6" t="str">
        <f>VLOOKUP(A264,WorldCups!$A$2:$B$23,2,FALSE)</f>
        <v>Sweden</v>
      </c>
      <c r="I264" s="1" t="s">
        <v>537</v>
      </c>
      <c r="J264" s="1">
        <v>0</v>
      </c>
      <c r="K264" s="1" t="s">
        <v>12</v>
      </c>
      <c r="L264" s="1">
        <v>4</v>
      </c>
      <c r="M264" s="1" t="s">
        <v>14</v>
      </c>
    </row>
    <row r="265" spans="1:13" hidden="1" x14ac:dyDescent="0.25">
      <c r="A265" s="1">
        <v>1958</v>
      </c>
      <c r="B265" s="1">
        <f>B264+1</f>
        <v>133</v>
      </c>
      <c r="C265" s="2">
        <v>21360</v>
      </c>
      <c r="D265" s="1" t="s">
        <v>521</v>
      </c>
      <c r="E265" s="1" t="s">
        <v>31</v>
      </c>
      <c r="F265" s="1" t="s">
        <v>124</v>
      </c>
      <c r="G265" s="1" t="s">
        <v>125</v>
      </c>
      <c r="H265" s="6" t="str">
        <f>VLOOKUP(A265,WorldCups!$A$2:$B$23,2,FALSE)</f>
        <v>Sweden</v>
      </c>
      <c r="I265" s="1" t="s">
        <v>48</v>
      </c>
      <c r="J265" s="1">
        <v>3</v>
      </c>
      <c r="K265" s="1" t="s">
        <v>114</v>
      </c>
      <c r="L265" s="1">
        <v>1</v>
      </c>
      <c r="M265" s="1" t="s">
        <v>14</v>
      </c>
    </row>
    <row r="266" spans="1:13" hidden="1" x14ac:dyDescent="0.25">
      <c r="A266" s="1">
        <v>1958</v>
      </c>
      <c r="B266" s="1">
        <v>133</v>
      </c>
      <c r="C266" s="2">
        <v>21360</v>
      </c>
      <c r="D266" s="1" t="s">
        <v>521</v>
      </c>
      <c r="E266" s="1" t="s">
        <v>31</v>
      </c>
      <c r="F266" s="1" t="s">
        <v>124</v>
      </c>
      <c r="G266" s="1" t="s">
        <v>125</v>
      </c>
      <c r="H266" s="6" t="str">
        <f>VLOOKUP(A266,WorldCups!$A$2:$B$23,2,FALSE)</f>
        <v>Sweden</v>
      </c>
      <c r="I266" s="1" t="s">
        <v>114</v>
      </c>
      <c r="J266" s="1">
        <v>1</v>
      </c>
      <c r="K266" s="1" t="s">
        <v>48</v>
      </c>
      <c r="L266" s="1">
        <v>3</v>
      </c>
      <c r="M266" s="1" t="s">
        <v>14</v>
      </c>
    </row>
    <row r="267" spans="1:13" hidden="1" x14ac:dyDescent="0.25">
      <c r="A267" s="1">
        <v>1958</v>
      </c>
      <c r="B267" s="1">
        <f>B266+1</f>
        <v>134</v>
      </c>
      <c r="C267" s="2">
        <v>21360</v>
      </c>
      <c r="D267" s="1" t="s">
        <v>521</v>
      </c>
      <c r="E267" s="1" t="s">
        <v>31</v>
      </c>
      <c r="F267" s="1" t="s">
        <v>122</v>
      </c>
      <c r="G267" s="1" t="s">
        <v>123</v>
      </c>
      <c r="H267" s="6" t="str">
        <f>VLOOKUP(A267,WorldCups!$A$2:$B$23,2,FALSE)</f>
        <v>Sweden</v>
      </c>
      <c r="I267" s="1" t="s">
        <v>21</v>
      </c>
      <c r="J267" s="1">
        <v>5</v>
      </c>
      <c r="K267" s="1" t="s">
        <v>12</v>
      </c>
      <c r="L267" s="1">
        <v>2</v>
      </c>
      <c r="M267" s="1" t="s">
        <v>14</v>
      </c>
    </row>
    <row r="268" spans="1:13" hidden="1" x14ac:dyDescent="0.25">
      <c r="A268" s="1">
        <v>1958</v>
      </c>
      <c r="B268" s="1">
        <v>134</v>
      </c>
      <c r="C268" s="2">
        <v>21360</v>
      </c>
      <c r="D268" s="1" t="s">
        <v>521</v>
      </c>
      <c r="E268" s="1" t="s">
        <v>31</v>
      </c>
      <c r="F268" s="1" t="s">
        <v>122</v>
      </c>
      <c r="G268" s="1" t="s">
        <v>123</v>
      </c>
      <c r="H268" s="6" t="str">
        <f>VLOOKUP(A268,WorldCups!$A$2:$B$23,2,FALSE)</f>
        <v>Sweden</v>
      </c>
      <c r="I268" s="1" t="s">
        <v>12</v>
      </c>
      <c r="J268" s="1">
        <v>2</v>
      </c>
      <c r="K268" s="1" t="s">
        <v>21</v>
      </c>
      <c r="L268" s="1">
        <v>5</v>
      </c>
      <c r="M268" s="1" t="s">
        <v>14</v>
      </c>
    </row>
    <row r="269" spans="1:13" hidden="1" x14ac:dyDescent="0.25">
      <c r="A269" s="1">
        <v>1958</v>
      </c>
      <c r="B269" s="1">
        <f>B268+1</f>
        <v>135</v>
      </c>
      <c r="C269" s="2">
        <v>21364</v>
      </c>
      <c r="D269" s="1" t="s">
        <v>512</v>
      </c>
      <c r="E269" s="1" t="s">
        <v>62</v>
      </c>
      <c r="F269" s="1" t="s">
        <v>124</v>
      </c>
      <c r="G269" s="1" t="s">
        <v>125</v>
      </c>
      <c r="H269" s="6" t="str">
        <f>VLOOKUP(A269,WorldCups!$A$2:$B$23,2,FALSE)</f>
        <v>Sweden</v>
      </c>
      <c r="I269" s="1" t="s">
        <v>12</v>
      </c>
      <c r="J269" s="1">
        <v>6</v>
      </c>
      <c r="K269" s="1" t="s">
        <v>114</v>
      </c>
      <c r="L269" s="1">
        <v>3</v>
      </c>
      <c r="M269" s="1" t="s">
        <v>14</v>
      </c>
    </row>
    <row r="270" spans="1:13" hidden="1" x14ac:dyDescent="0.25">
      <c r="A270" s="1">
        <v>1958</v>
      </c>
      <c r="B270" s="1">
        <v>135</v>
      </c>
      <c r="C270" s="2">
        <v>21364</v>
      </c>
      <c r="D270" s="1" t="s">
        <v>512</v>
      </c>
      <c r="E270" s="1" t="s">
        <v>62</v>
      </c>
      <c r="F270" s="1" t="s">
        <v>124</v>
      </c>
      <c r="G270" s="1" t="s">
        <v>125</v>
      </c>
      <c r="H270" s="6" t="str">
        <f>VLOOKUP(A270,WorldCups!$A$2:$B$23,2,FALSE)</f>
        <v>Sweden</v>
      </c>
      <c r="I270" s="1" t="s">
        <v>114</v>
      </c>
      <c r="J270" s="1">
        <v>3</v>
      </c>
      <c r="K270" s="1" t="s">
        <v>12</v>
      </c>
      <c r="L270" s="1">
        <v>6</v>
      </c>
      <c r="M270" s="1" t="s">
        <v>14</v>
      </c>
    </row>
    <row r="271" spans="1:13" hidden="1" x14ac:dyDescent="0.25">
      <c r="A271" s="1">
        <v>1958</v>
      </c>
      <c r="B271" s="1">
        <f>B270+1</f>
        <v>136</v>
      </c>
      <c r="C271" s="2">
        <v>21365</v>
      </c>
      <c r="D271" s="1" t="s">
        <v>500</v>
      </c>
      <c r="E271" s="1" t="s">
        <v>32</v>
      </c>
      <c r="F271" s="1" t="s">
        <v>122</v>
      </c>
      <c r="G271" s="1" t="s">
        <v>123</v>
      </c>
      <c r="H271" s="6" t="str">
        <f>VLOOKUP(A271,WorldCups!$A$2:$B$23,2,FALSE)</f>
        <v>Sweden</v>
      </c>
      <c r="I271" s="1" t="s">
        <v>21</v>
      </c>
      <c r="J271" s="1">
        <v>5</v>
      </c>
      <c r="K271" s="1" t="s">
        <v>48</v>
      </c>
      <c r="L271" s="1">
        <v>2</v>
      </c>
      <c r="M271" s="1" t="s">
        <v>14</v>
      </c>
    </row>
    <row r="272" spans="1:13" hidden="1" x14ac:dyDescent="0.25">
      <c r="A272" s="1">
        <v>1958</v>
      </c>
      <c r="B272" s="1">
        <v>136</v>
      </c>
      <c r="C272" s="2">
        <v>21365</v>
      </c>
      <c r="D272" s="1" t="s">
        <v>500</v>
      </c>
      <c r="E272" s="1" t="s">
        <v>32</v>
      </c>
      <c r="F272" s="1" t="s">
        <v>122</v>
      </c>
      <c r="G272" s="1" t="s">
        <v>123</v>
      </c>
      <c r="H272" s="6" t="str">
        <f>VLOOKUP(A272,WorldCups!$A$2:$B$23,2,FALSE)</f>
        <v>Sweden</v>
      </c>
      <c r="I272" s="1" t="s">
        <v>48</v>
      </c>
      <c r="J272" s="1">
        <v>2</v>
      </c>
      <c r="K272" s="1" t="s">
        <v>21</v>
      </c>
      <c r="L272" s="1">
        <v>5</v>
      </c>
      <c r="M272" s="1" t="s">
        <v>14</v>
      </c>
    </row>
    <row r="273" spans="1:13" hidden="1" x14ac:dyDescent="0.25">
      <c r="A273" s="1">
        <v>1962</v>
      </c>
      <c r="B273" s="1">
        <f>B272+1</f>
        <v>137</v>
      </c>
      <c r="C273" s="2">
        <v>22796</v>
      </c>
      <c r="D273" s="1" t="s">
        <v>500</v>
      </c>
      <c r="E273" s="1" t="s">
        <v>9</v>
      </c>
      <c r="F273" s="1" t="s">
        <v>149</v>
      </c>
      <c r="G273" s="1" t="s">
        <v>150</v>
      </c>
      <c r="H273" s="6" t="str">
        <f>VLOOKUP(A273,WorldCups!$A$2:$B$23,2,FALSE)</f>
        <v>Chile</v>
      </c>
      <c r="I273" s="1" t="s">
        <v>30</v>
      </c>
      <c r="J273" s="1">
        <v>2</v>
      </c>
      <c r="K273" s="1" t="s">
        <v>151</v>
      </c>
      <c r="L273" s="1">
        <v>1</v>
      </c>
      <c r="M273" s="1" t="s">
        <v>14</v>
      </c>
    </row>
    <row r="274" spans="1:13" hidden="1" x14ac:dyDescent="0.25">
      <c r="A274" s="1">
        <v>1962</v>
      </c>
      <c r="B274" s="1">
        <v>137</v>
      </c>
      <c r="C274" s="2">
        <v>22796</v>
      </c>
      <c r="D274" s="1" t="s">
        <v>500</v>
      </c>
      <c r="E274" s="1" t="s">
        <v>9</v>
      </c>
      <c r="F274" s="1" t="s">
        <v>149</v>
      </c>
      <c r="G274" s="1" t="s">
        <v>150</v>
      </c>
      <c r="H274" s="6" t="str">
        <f>VLOOKUP(A274,WorldCups!$A$2:$B$23,2,FALSE)</f>
        <v>Chile</v>
      </c>
      <c r="I274" s="1" t="s">
        <v>151</v>
      </c>
      <c r="J274" s="1">
        <v>1</v>
      </c>
      <c r="K274" s="1" t="s">
        <v>30</v>
      </c>
      <c r="L274" s="1">
        <v>2</v>
      </c>
      <c r="M274" s="1" t="s">
        <v>14</v>
      </c>
    </row>
    <row r="275" spans="1:13" hidden="1" x14ac:dyDescent="0.25">
      <c r="A275" s="1">
        <v>1962</v>
      </c>
      <c r="B275" s="1">
        <f>B274+1</f>
        <v>138</v>
      </c>
      <c r="C275" s="2">
        <v>22796</v>
      </c>
      <c r="D275" s="1" t="s">
        <v>500</v>
      </c>
      <c r="E275" s="1" t="s">
        <v>22</v>
      </c>
      <c r="F275" s="1" t="s">
        <v>152</v>
      </c>
      <c r="G275" s="1" t="s">
        <v>153</v>
      </c>
      <c r="H275" s="6" t="str">
        <f>VLOOKUP(A275,WorldCups!$A$2:$B$23,2,FALSE)</f>
        <v>Chile</v>
      </c>
      <c r="I275" s="1" t="s">
        <v>21</v>
      </c>
      <c r="J275" s="1">
        <v>2</v>
      </c>
      <c r="K275" s="1" t="s">
        <v>13</v>
      </c>
      <c r="L275" s="1">
        <v>0</v>
      </c>
      <c r="M275" s="1" t="s">
        <v>14</v>
      </c>
    </row>
    <row r="276" spans="1:13" hidden="1" x14ac:dyDescent="0.25">
      <c r="A276" s="1">
        <v>1962</v>
      </c>
      <c r="B276" s="1">
        <v>138</v>
      </c>
      <c r="C276" s="2">
        <v>22796</v>
      </c>
      <c r="D276" s="1" t="s">
        <v>500</v>
      </c>
      <c r="E276" s="1" t="s">
        <v>22</v>
      </c>
      <c r="F276" s="1" t="s">
        <v>152</v>
      </c>
      <c r="G276" s="1" t="s">
        <v>153</v>
      </c>
      <c r="H276" s="6" t="str">
        <f>VLOOKUP(A276,WorldCups!$A$2:$B$23,2,FALSE)</f>
        <v>Chile</v>
      </c>
      <c r="I276" s="1" t="s">
        <v>13</v>
      </c>
      <c r="J276" s="1">
        <v>0</v>
      </c>
      <c r="K276" s="1" t="s">
        <v>21</v>
      </c>
      <c r="L276" s="1">
        <v>2</v>
      </c>
      <c r="M276" s="1" t="s">
        <v>14</v>
      </c>
    </row>
    <row r="277" spans="1:13" hidden="1" x14ac:dyDescent="0.25">
      <c r="A277" s="1">
        <v>1962</v>
      </c>
      <c r="B277" s="1">
        <f>B276+1</f>
        <v>139</v>
      </c>
      <c r="C277" s="2">
        <v>22796</v>
      </c>
      <c r="D277" s="1" t="s">
        <v>500</v>
      </c>
      <c r="E277" s="1" t="s">
        <v>15</v>
      </c>
      <c r="F277" s="1" t="s">
        <v>154</v>
      </c>
      <c r="G277" s="1" t="s">
        <v>155</v>
      </c>
      <c r="H277" s="6" t="str">
        <f>VLOOKUP(A277,WorldCups!$A$2:$B$23,2,FALSE)</f>
        <v>Chile</v>
      </c>
      <c r="I277" s="1" t="s">
        <v>25</v>
      </c>
      <c r="J277" s="1">
        <v>1</v>
      </c>
      <c r="K277" s="1" t="s">
        <v>156</v>
      </c>
      <c r="L277" s="1">
        <v>0</v>
      </c>
      <c r="M277" s="1" t="s">
        <v>14</v>
      </c>
    </row>
    <row r="278" spans="1:13" hidden="1" x14ac:dyDescent="0.25">
      <c r="A278" s="1">
        <v>1962</v>
      </c>
      <c r="B278" s="1">
        <v>139</v>
      </c>
      <c r="C278" s="2">
        <v>22796</v>
      </c>
      <c r="D278" s="1" t="s">
        <v>500</v>
      </c>
      <c r="E278" s="1" t="s">
        <v>15</v>
      </c>
      <c r="F278" s="1" t="s">
        <v>154</v>
      </c>
      <c r="G278" s="1" t="s">
        <v>155</v>
      </c>
      <c r="H278" s="6" t="str">
        <f>VLOOKUP(A278,WorldCups!$A$2:$B$23,2,FALSE)</f>
        <v>Chile</v>
      </c>
      <c r="I278" s="1" t="s">
        <v>156</v>
      </c>
      <c r="J278" s="1">
        <v>0</v>
      </c>
      <c r="K278" s="1" t="s">
        <v>25</v>
      </c>
      <c r="L278" s="1">
        <v>1</v>
      </c>
      <c r="M278" s="1" t="s">
        <v>14</v>
      </c>
    </row>
    <row r="279" spans="1:13" hidden="1" x14ac:dyDescent="0.25">
      <c r="A279" s="1">
        <v>1962</v>
      </c>
      <c r="B279" s="1">
        <f>B278+1</f>
        <v>140</v>
      </c>
      <c r="C279" s="2">
        <v>22796</v>
      </c>
      <c r="D279" s="1" t="s">
        <v>500</v>
      </c>
      <c r="E279" s="1" t="s">
        <v>19</v>
      </c>
      <c r="F279" s="1" t="s">
        <v>157</v>
      </c>
      <c r="G279" s="1" t="s">
        <v>158</v>
      </c>
      <c r="H279" s="6" t="str">
        <f>VLOOKUP(A279,WorldCups!$A$2:$B$23,2,FALSE)</f>
        <v>Chile</v>
      </c>
      <c r="I279" s="1" t="s">
        <v>26</v>
      </c>
      <c r="J279" s="1">
        <v>3</v>
      </c>
      <c r="K279" s="1" t="s">
        <v>44</v>
      </c>
      <c r="L279" s="1">
        <v>1</v>
      </c>
      <c r="M279" s="1" t="s">
        <v>14</v>
      </c>
    </row>
    <row r="280" spans="1:13" hidden="1" x14ac:dyDescent="0.25">
      <c r="A280" s="1">
        <v>1962</v>
      </c>
      <c r="B280" s="1">
        <v>140</v>
      </c>
      <c r="C280" s="2">
        <v>22796</v>
      </c>
      <c r="D280" s="1" t="s">
        <v>500</v>
      </c>
      <c r="E280" s="1" t="s">
        <v>19</v>
      </c>
      <c r="F280" s="1" t="s">
        <v>157</v>
      </c>
      <c r="G280" s="1" t="s">
        <v>158</v>
      </c>
      <c r="H280" s="6" t="str">
        <f>VLOOKUP(A280,WorldCups!$A$2:$B$23,2,FALSE)</f>
        <v>Chile</v>
      </c>
      <c r="I280" s="1" t="s">
        <v>44</v>
      </c>
      <c r="J280" s="1">
        <v>1</v>
      </c>
      <c r="K280" s="1" t="s">
        <v>26</v>
      </c>
      <c r="L280" s="1">
        <v>3</v>
      </c>
      <c r="M280" s="1" t="s">
        <v>14</v>
      </c>
    </row>
    <row r="281" spans="1:13" hidden="1" x14ac:dyDescent="0.25">
      <c r="A281" s="1">
        <v>1962</v>
      </c>
      <c r="B281" s="1">
        <f>B280+1</f>
        <v>141</v>
      </c>
      <c r="C281" s="2">
        <v>22797</v>
      </c>
      <c r="D281" s="1" t="s">
        <v>500</v>
      </c>
      <c r="E281" s="1" t="s">
        <v>9</v>
      </c>
      <c r="F281" s="1" t="s">
        <v>149</v>
      </c>
      <c r="G281" s="1" t="s">
        <v>150</v>
      </c>
      <c r="H281" s="6" t="str">
        <f>VLOOKUP(A281,WorldCups!$A$2:$B$23,2,FALSE)</f>
        <v>Chile</v>
      </c>
      <c r="I281" s="1" t="s">
        <v>126</v>
      </c>
      <c r="J281" s="1">
        <v>2</v>
      </c>
      <c r="K281" s="1" t="s">
        <v>20</v>
      </c>
      <c r="L281" s="1">
        <v>0</v>
      </c>
      <c r="M281" s="1" t="s">
        <v>14</v>
      </c>
    </row>
    <row r="282" spans="1:13" hidden="1" x14ac:dyDescent="0.25">
      <c r="A282" s="1">
        <v>1962</v>
      </c>
      <c r="B282" s="1">
        <v>141</v>
      </c>
      <c r="C282" s="2">
        <v>22797</v>
      </c>
      <c r="D282" s="1" t="s">
        <v>500</v>
      </c>
      <c r="E282" s="1" t="s">
        <v>9</v>
      </c>
      <c r="F282" s="1" t="s">
        <v>149</v>
      </c>
      <c r="G282" s="1" t="s">
        <v>150</v>
      </c>
      <c r="H282" s="6" t="str">
        <f>VLOOKUP(A282,WorldCups!$A$2:$B$23,2,FALSE)</f>
        <v>Chile</v>
      </c>
      <c r="I282" s="1" t="s">
        <v>20</v>
      </c>
      <c r="J282" s="1">
        <v>0</v>
      </c>
      <c r="K282" s="1" t="s">
        <v>126</v>
      </c>
      <c r="L282" s="1">
        <v>2</v>
      </c>
      <c r="M282" s="1" t="s">
        <v>14</v>
      </c>
    </row>
    <row r="283" spans="1:13" hidden="1" x14ac:dyDescent="0.25">
      <c r="A283" s="1">
        <v>1962</v>
      </c>
      <c r="B283" s="1">
        <f>B282+1</f>
        <v>142</v>
      </c>
      <c r="C283" s="2">
        <v>22797</v>
      </c>
      <c r="D283" s="1" t="s">
        <v>500</v>
      </c>
      <c r="E283" s="1" t="s">
        <v>22</v>
      </c>
      <c r="F283" s="1" t="s">
        <v>152</v>
      </c>
      <c r="G283" s="1" t="s">
        <v>153</v>
      </c>
      <c r="H283" s="6" t="str">
        <f>VLOOKUP(A283,WorldCups!$A$2:$B$23,2,FALSE)</f>
        <v>Chile</v>
      </c>
      <c r="I283" s="1" t="s">
        <v>60</v>
      </c>
      <c r="J283" s="1">
        <v>1</v>
      </c>
      <c r="K283" s="1" t="s">
        <v>54</v>
      </c>
      <c r="L283" s="1">
        <v>0</v>
      </c>
      <c r="M283" s="1" t="s">
        <v>14</v>
      </c>
    </row>
    <row r="284" spans="1:13" hidden="1" x14ac:dyDescent="0.25">
      <c r="A284" s="1">
        <v>1962</v>
      </c>
      <c r="B284" s="1">
        <v>142</v>
      </c>
      <c r="C284" s="2">
        <v>22797</v>
      </c>
      <c r="D284" s="1" t="s">
        <v>500</v>
      </c>
      <c r="E284" s="1" t="s">
        <v>22</v>
      </c>
      <c r="F284" s="1" t="s">
        <v>152</v>
      </c>
      <c r="G284" s="1" t="s">
        <v>153</v>
      </c>
      <c r="H284" s="6" t="str">
        <f>VLOOKUP(A284,WorldCups!$A$2:$B$23,2,FALSE)</f>
        <v>Chile</v>
      </c>
      <c r="I284" s="1" t="s">
        <v>54</v>
      </c>
      <c r="J284" s="1">
        <v>0</v>
      </c>
      <c r="K284" s="1" t="s">
        <v>60</v>
      </c>
      <c r="L284" s="1">
        <v>1</v>
      </c>
      <c r="M284" s="1" t="s">
        <v>14</v>
      </c>
    </row>
    <row r="285" spans="1:13" hidden="1" x14ac:dyDescent="0.25">
      <c r="A285" s="1">
        <v>1962</v>
      </c>
      <c r="B285" s="1">
        <f>B284+1</f>
        <v>143</v>
      </c>
      <c r="C285" s="2">
        <v>22797</v>
      </c>
      <c r="D285" s="1" t="s">
        <v>500</v>
      </c>
      <c r="E285" s="1" t="s">
        <v>15</v>
      </c>
      <c r="F285" s="1" t="s">
        <v>154</v>
      </c>
      <c r="G285" s="1" t="s">
        <v>155</v>
      </c>
      <c r="H285" s="6" t="str">
        <f>VLOOKUP(A285,WorldCups!$A$2:$B$23,2,FALSE)</f>
        <v>Chile</v>
      </c>
      <c r="I285" s="1" t="s">
        <v>40</v>
      </c>
      <c r="J285" s="1">
        <v>2</v>
      </c>
      <c r="K285" s="1" t="s">
        <v>93</v>
      </c>
      <c r="L285" s="1">
        <v>1</v>
      </c>
      <c r="M285" s="1" t="s">
        <v>14</v>
      </c>
    </row>
    <row r="286" spans="1:13" hidden="1" x14ac:dyDescent="0.25">
      <c r="A286" s="1">
        <v>1962</v>
      </c>
      <c r="B286" s="1">
        <v>143</v>
      </c>
      <c r="C286" s="2">
        <v>22797</v>
      </c>
      <c r="D286" s="1" t="s">
        <v>500</v>
      </c>
      <c r="E286" s="1" t="s">
        <v>15</v>
      </c>
      <c r="F286" s="1" t="s">
        <v>154</v>
      </c>
      <c r="G286" s="1" t="s">
        <v>155</v>
      </c>
      <c r="H286" s="6" t="str">
        <f>VLOOKUP(A286,WorldCups!$A$2:$B$23,2,FALSE)</f>
        <v>Chile</v>
      </c>
      <c r="I286" s="1" t="s">
        <v>93</v>
      </c>
      <c r="J286" s="1">
        <v>1</v>
      </c>
      <c r="K286" s="1" t="s">
        <v>40</v>
      </c>
      <c r="L286" s="1">
        <v>2</v>
      </c>
      <c r="M286" s="1" t="s">
        <v>14</v>
      </c>
    </row>
    <row r="287" spans="1:13" hidden="1" x14ac:dyDescent="0.25">
      <c r="A287" s="1">
        <v>1962</v>
      </c>
      <c r="B287" s="1">
        <f>B286+1</f>
        <v>144</v>
      </c>
      <c r="C287" s="2">
        <v>22797</v>
      </c>
      <c r="D287" s="1" t="s">
        <v>500</v>
      </c>
      <c r="E287" s="1" t="s">
        <v>19</v>
      </c>
      <c r="F287" s="1" t="s">
        <v>157</v>
      </c>
      <c r="G287" s="1" t="s">
        <v>158</v>
      </c>
      <c r="H287" s="6" t="str">
        <f>VLOOKUP(A287,WorldCups!$A$2:$B$23,2,FALSE)</f>
        <v>Chile</v>
      </c>
      <c r="I287" s="1" t="s">
        <v>114</v>
      </c>
      <c r="J287" s="1">
        <v>0</v>
      </c>
      <c r="K287" s="1" t="s">
        <v>57</v>
      </c>
      <c r="L287" s="1">
        <v>0</v>
      </c>
      <c r="M287" s="1" t="s">
        <v>14</v>
      </c>
    </row>
    <row r="288" spans="1:13" hidden="1" x14ac:dyDescent="0.25">
      <c r="A288" s="1">
        <v>1962</v>
      </c>
      <c r="B288" s="1">
        <v>144</v>
      </c>
      <c r="C288" s="2">
        <v>22797</v>
      </c>
      <c r="D288" s="1" t="s">
        <v>500</v>
      </c>
      <c r="E288" s="1" t="s">
        <v>19</v>
      </c>
      <c r="F288" s="1" t="s">
        <v>157</v>
      </c>
      <c r="G288" s="1" t="s">
        <v>158</v>
      </c>
      <c r="H288" s="6" t="str">
        <f>VLOOKUP(A288,WorldCups!$A$2:$B$23,2,FALSE)</f>
        <v>Chile</v>
      </c>
      <c r="I288" s="1" t="s">
        <v>57</v>
      </c>
      <c r="J288" s="1">
        <v>0</v>
      </c>
      <c r="K288" s="1" t="s">
        <v>114</v>
      </c>
      <c r="L288" s="1">
        <v>0</v>
      </c>
      <c r="M288" s="1" t="s">
        <v>14</v>
      </c>
    </row>
    <row r="289" spans="1:13" hidden="1" x14ac:dyDescent="0.25">
      <c r="A289" s="1">
        <v>1962</v>
      </c>
      <c r="B289" s="1">
        <f>B288+1</f>
        <v>145</v>
      </c>
      <c r="C289" s="2">
        <v>22799</v>
      </c>
      <c r="D289" s="1" t="s">
        <v>500</v>
      </c>
      <c r="E289" s="1" t="s">
        <v>9</v>
      </c>
      <c r="F289" s="1" t="s">
        <v>149</v>
      </c>
      <c r="G289" s="1" t="s">
        <v>150</v>
      </c>
      <c r="H289" s="6" t="str">
        <f>VLOOKUP(A289,WorldCups!$A$2:$B$23,2,FALSE)</f>
        <v>Chile</v>
      </c>
      <c r="I289" s="1" t="s">
        <v>20</v>
      </c>
      <c r="J289" s="1">
        <v>3</v>
      </c>
      <c r="K289" s="1" t="s">
        <v>30</v>
      </c>
      <c r="L289" s="1">
        <v>1</v>
      </c>
      <c r="M289" s="1" t="s">
        <v>14</v>
      </c>
    </row>
    <row r="290" spans="1:13" hidden="1" x14ac:dyDescent="0.25">
      <c r="A290" s="1">
        <v>1962</v>
      </c>
      <c r="B290" s="1">
        <v>145</v>
      </c>
      <c r="C290" s="2">
        <v>22799</v>
      </c>
      <c r="D290" s="1" t="s">
        <v>500</v>
      </c>
      <c r="E290" s="1" t="s">
        <v>9</v>
      </c>
      <c r="F290" s="1" t="s">
        <v>149</v>
      </c>
      <c r="G290" s="1" t="s">
        <v>150</v>
      </c>
      <c r="H290" s="6" t="str">
        <f>VLOOKUP(A290,WorldCups!$A$2:$B$23,2,FALSE)</f>
        <v>Chile</v>
      </c>
      <c r="I290" s="1" t="s">
        <v>30</v>
      </c>
      <c r="J290" s="1">
        <v>1</v>
      </c>
      <c r="K290" s="1" t="s">
        <v>20</v>
      </c>
      <c r="L290" s="1">
        <v>3</v>
      </c>
      <c r="M290" s="1" t="s">
        <v>14</v>
      </c>
    </row>
    <row r="291" spans="1:13" hidden="1" x14ac:dyDescent="0.25">
      <c r="A291" s="1">
        <v>1962</v>
      </c>
      <c r="B291" s="1">
        <f>B290+1</f>
        <v>146</v>
      </c>
      <c r="C291" s="2">
        <v>22799</v>
      </c>
      <c r="D291" s="1" t="s">
        <v>500</v>
      </c>
      <c r="E291" s="1" t="s">
        <v>22</v>
      </c>
      <c r="F291" s="1" t="s">
        <v>152</v>
      </c>
      <c r="G291" s="1" t="s">
        <v>153</v>
      </c>
      <c r="H291" s="6" t="str">
        <f>VLOOKUP(A291,WorldCups!$A$2:$B$23,2,FALSE)</f>
        <v>Chile</v>
      </c>
      <c r="I291" s="1" t="s">
        <v>21</v>
      </c>
      <c r="J291" s="1">
        <v>0</v>
      </c>
      <c r="K291" s="1" t="s">
        <v>60</v>
      </c>
      <c r="L291" s="1">
        <v>0</v>
      </c>
      <c r="M291" s="1" t="s">
        <v>14</v>
      </c>
    </row>
    <row r="292" spans="1:13" hidden="1" x14ac:dyDescent="0.25">
      <c r="A292" s="1">
        <v>1962</v>
      </c>
      <c r="B292" s="1">
        <v>146</v>
      </c>
      <c r="C292" s="2">
        <v>22799</v>
      </c>
      <c r="D292" s="1" t="s">
        <v>500</v>
      </c>
      <c r="E292" s="1" t="s">
        <v>22</v>
      </c>
      <c r="F292" s="1" t="s">
        <v>152</v>
      </c>
      <c r="G292" s="1" t="s">
        <v>153</v>
      </c>
      <c r="H292" s="6" t="str">
        <f>VLOOKUP(A292,WorldCups!$A$2:$B$23,2,FALSE)</f>
        <v>Chile</v>
      </c>
      <c r="I292" s="1" t="s">
        <v>60</v>
      </c>
      <c r="J292" s="1">
        <v>0</v>
      </c>
      <c r="K292" s="1" t="s">
        <v>21</v>
      </c>
      <c r="L292" s="1">
        <v>0</v>
      </c>
      <c r="M292" s="1" t="s">
        <v>14</v>
      </c>
    </row>
    <row r="293" spans="1:13" hidden="1" x14ac:dyDescent="0.25">
      <c r="A293" s="1">
        <v>1962</v>
      </c>
      <c r="B293" s="1">
        <f>B292+1</f>
        <v>147</v>
      </c>
      <c r="C293" s="2">
        <v>22799</v>
      </c>
      <c r="D293" s="1" t="s">
        <v>500</v>
      </c>
      <c r="E293" s="1" t="s">
        <v>15</v>
      </c>
      <c r="F293" s="1" t="s">
        <v>154</v>
      </c>
      <c r="G293" s="1" t="s">
        <v>155</v>
      </c>
      <c r="H293" s="6" t="str">
        <f>VLOOKUP(A293,WorldCups!$A$2:$B$23,2,FALSE)</f>
        <v>Chile</v>
      </c>
      <c r="I293" s="1" t="s">
        <v>93</v>
      </c>
      <c r="J293" s="1">
        <v>3</v>
      </c>
      <c r="K293" s="1" t="s">
        <v>25</v>
      </c>
      <c r="L293" s="1">
        <v>1</v>
      </c>
      <c r="M293" s="1" t="s">
        <v>14</v>
      </c>
    </row>
    <row r="294" spans="1:13" hidden="1" x14ac:dyDescent="0.25">
      <c r="A294" s="1">
        <v>1962</v>
      </c>
      <c r="B294" s="1">
        <v>147</v>
      </c>
      <c r="C294" s="2">
        <v>22799</v>
      </c>
      <c r="D294" s="1" t="s">
        <v>500</v>
      </c>
      <c r="E294" s="1" t="s">
        <v>15</v>
      </c>
      <c r="F294" s="1" t="s">
        <v>154</v>
      </c>
      <c r="G294" s="1" t="s">
        <v>155</v>
      </c>
      <c r="H294" s="6" t="str">
        <f>VLOOKUP(A294,WorldCups!$A$2:$B$23,2,FALSE)</f>
        <v>Chile</v>
      </c>
      <c r="I294" s="1" t="s">
        <v>25</v>
      </c>
      <c r="J294" s="1">
        <v>1</v>
      </c>
      <c r="K294" s="1" t="s">
        <v>93</v>
      </c>
      <c r="L294" s="1">
        <v>3</v>
      </c>
      <c r="M294" s="1" t="s">
        <v>14</v>
      </c>
    </row>
    <row r="295" spans="1:13" hidden="1" x14ac:dyDescent="0.25">
      <c r="A295" s="1">
        <v>1962</v>
      </c>
      <c r="B295" s="1">
        <f>B294+1</f>
        <v>148</v>
      </c>
      <c r="C295" s="2">
        <v>22799</v>
      </c>
      <c r="D295" s="1" t="s">
        <v>500</v>
      </c>
      <c r="E295" s="1" t="s">
        <v>19</v>
      </c>
      <c r="F295" s="1" t="s">
        <v>157</v>
      </c>
      <c r="G295" s="1" t="s">
        <v>158</v>
      </c>
      <c r="H295" s="6" t="str">
        <f>VLOOKUP(A295,WorldCups!$A$2:$B$23,2,FALSE)</f>
        <v>Chile</v>
      </c>
      <c r="I295" s="1" t="s">
        <v>26</v>
      </c>
      <c r="J295" s="1">
        <v>2</v>
      </c>
      <c r="K295" s="1" t="s">
        <v>57</v>
      </c>
      <c r="L295" s="1">
        <v>0</v>
      </c>
      <c r="M295" s="1" t="s">
        <v>14</v>
      </c>
    </row>
    <row r="296" spans="1:13" hidden="1" x14ac:dyDescent="0.25">
      <c r="A296" s="1">
        <v>1962</v>
      </c>
      <c r="B296" s="1">
        <v>148</v>
      </c>
      <c r="C296" s="2">
        <v>22799</v>
      </c>
      <c r="D296" s="1" t="s">
        <v>500</v>
      </c>
      <c r="E296" s="1" t="s">
        <v>19</v>
      </c>
      <c r="F296" s="1" t="s">
        <v>157</v>
      </c>
      <c r="G296" s="1" t="s">
        <v>158</v>
      </c>
      <c r="H296" s="6" t="str">
        <f>VLOOKUP(A296,WorldCups!$A$2:$B$23,2,FALSE)</f>
        <v>Chile</v>
      </c>
      <c r="I296" s="1" t="s">
        <v>57</v>
      </c>
      <c r="J296" s="1">
        <v>0</v>
      </c>
      <c r="K296" s="1" t="s">
        <v>26</v>
      </c>
      <c r="L296" s="1">
        <v>2</v>
      </c>
      <c r="M296" s="1" t="s">
        <v>14</v>
      </c>
    </row>
    <row r="297" spans="1:13" hidden="1" x14ac:dyDescent="0.25">
      <c r="A297" s="1">
        <v>1962</v>
      </c>
      <c r="B297" s="1">
        <f>B296+1</f>
        <v>149</v>
      </c>
      <c r="C297" s="2">
        <v>22800</v>
      </c>
      <c r="D297" s="1" t="s">
        <v>500</v>
      </c>
      <c r="E297" s="1" t="s">
        <v>9</v>
      </c>
      <c r="F297" s="1" t="s">
        <v>149</v>
      </c>
      <c r="G297" s="1" t="s">
        <v>150</v>
      </c>
      <c r="H297" s="6" t="str">
        <f>VLOOKUP(A297,WorldCups!$A$2:$B$23,2,FALSE)</f>
        <v>Chile</v>
      </c>
      <c r="I297" s="1" t="s">
        <v>126</v>
      </c>
      <c r="J297" s="1">
        <v>4</v>
      </c>
      <c r="K297" s="1" t="s">
        <v>151</v>
      </c>
      <c r="L297" s="1">
        <v>4</v>
      </c>
      <c r="M297" s="1" t="s">
        <v>14</v>
      </c>
    </row>
    <row r="298" spans="1:13" hidden="1" x14ac:dyDescent="0.25">
      <c r="A298" s="1">
        <v>1962</v>
      </c>
      <c r="B298" s="1">
        <v>149</v>
      </c>
      <c r="C298" s="2">
        <v>22800</v>
      </c>
      <c r="D298" s="1" t="s">
        <v>500</v>
      </c>
      <c r="E298" s="1" t="s">
        <v>9</v>
      </c>
      <c r="F298" s="1" t="s">
        <v>149</v>
      </c>
      <c r="G298" s="1" t="s">
        <v>150</v>
      </c>
      <c r="H298" s="6" t="str">
        <f>VLOOKUP(A298,WorldCups!$A$2:$B$23,2,FALSE)</f>
        <v>Chile</v>
      </c>
      <c r="I298" s="1" t="s">
        <v>151</v>
      </c>
      <c r="J298" s="1">
        <v>4</v>
      </c>
      <c r="K298" s="1" t="s">
        <v>126</v>
      </c>
      <c r="L298" s="1">
        <v>4</v>
      </c>
      <c r="M298" s="1" t="s">
        <v>14</v>
      </c>
    </row>
    <row r="299" spans="1:13" hidden="1" x14ac:dyDescent="0.25">
      <c r="A299" s="1">
        <v>1962</v>
      </c>
      <c r="B299" s="1">
        <f>B298+1</f>
        <v>150</v>
      </c>
      <c r="C299" s="2">
        <v>22800</v>
      </c>
      <c r="D299" s="1" t="s">
        <v>500</v>
      </c>
      <c r="E299" s="1" t="s">
        <v>22</v>
      </c>
      <c r="F299" s="1" t="s">
        <v>152</v>
      </c>
      <c r="G299" s="1" t="s">
        <v>153</v>
      </c>
      <c r="H299" s="6" t="str">
        <f>VLOOKUP(A299,WorldCups!$A$2:$B$23,2,FALSE)</f>
        <v>Chile</v>
      </c>
      <c r="I299" s="1" t="s">
        <v>54</v>
      </c>
      <c r="J299" s="1">
        <v>1</v>
      </c>
      <c r="K299" s="1" t="s">
        <v>13</v>
      </c>
      <c r="L299" s="1">
        <v>0</v>
      </c>
      <c r="M299" s="1" t="s">
        <v>14</v>
      </c>
    </row>
    <row r="300" spans="1:13" hidden="1" x14ac:dyDescent="0.25">
      <c r="A300" s="1">
        <v>1962</v>
      </c>
      <c r="B300" s="1">
        <v>150</v>
      </c>
      <c r="C300" s="2">
        <v>22800</v>
      </c>
      <c r="D300" s="1" t="s">
        <v>500</v>
      </c>
      <c r="E300" s="1" t="s">
        <v>22</v>
      </c>
      <c r="F300" s="1" t="s">
        <v>152</v>
      </c>
      <c r="G300" s="1" t="s">
        <v>153</v>
      </c>
      <c r="H300" s="6" t="str">
        <f>VLOOKUP(A300,WorldCups!$A$2:$B$23,2,FALSE)</f>
        <v>Chile</v>
      </c>
      <c r="I300" s="1" t="s">
        <v>13</v>
      </c>
      <c r="J300" s="1">
        <v>0</v>
      </c>
      <c r="K300" s="1" t="s">
        <v>54</v>
      </c>
      <c r="L300" s="1">
        <v>1</v>
      </c>
      <c r="M300" s="1" t="s">
        <v>14</v>
      </c>
    </row>
    <row r="301" spans="1:13" hidden="1" x14ac:dyDescent="0.25">
      <c r="A301" s="1">
        <v>1962</v>
      </c>
      <c r="B301" s="1">
        <f>B300+1</f>
        <v>151</v>
      </c>
      <c r="C301" s="2">
        <v>22800</v>
      </c>
      <c r="D301" s="1" t="s">
        <v>500</v>
      </c>
      <c r="E301" s="1" t="s">
        <v>15</v>
      </c>
      <c r="F301" s="1" t="s">
        <v>154</v>
      </c>
      <c r="G301" s="1" t="s">
        <v>155</v>
      </c>
      <c r="H301" s="6" t="str">
        <f>VLOOKUP(A301,WorldCups!$A$2:$B$23,2,FALSE)</f>
        <v>Chile</v>
      </c>
      <c r="I301" s="1" t="s">
        <v>40</v>
      </c>
      <c r="J301" s="1">
        <v>6</v>
      </c>
      <c r="K301" s="1" t="s">
        <v>156</v>
      </c>
      <c r="L301" s="1">
        <v>1</v>
      </c>
      <c r="M301" s="1" t="s">
        <v>14</v>
      </c>
    </row>
    <row r="302" spans="1:13" hidden="1" x14ac:dyDescent="0.25">
      <c r="A302" s="1">
        <v>1962</v>
      </c>
      <c r="B302" s="1">
        <v>151</v>
      </c>
      <c r="C302" s="2">
        <v>22800</v>
      </c>
      <c r="D302" s="1" t="s">
        <v>500</v>
      </c>
      <c r="E302" s="1" t="s">
        <v>15</v>
      </c>
      <c r="F302" s="1" t="s">
        <v>154</v>
      </c>
      <c r="G302" s="1" t="s">
        <v>155</v>
      </c>
      <c r="H302" s="6" t="str">
        <f>VLOOKUP(A302,WorldCups!$A$2:$B$23,2,FALSE)</f>
        <v>Chile</v>
      </c>
      <c r="I302" s="1" t="s">
        <v>156</v>
      </c>
      <c r="J302" s="1">
        <v>1</v>
      </c>
      <c r="K302" s="1" t="s">
        <v>40</v>
      </c>
      <c r="L302" s="1">
        <v>6</v>
      </c>
      <c r="M302" s="1" t="s">
        <v>14</v>
      </c>
    </row>
    <row r="303" spans="1:13" hidden="1" x14ac:dyDescent="0.25">
      <c r="A303" s="1">
        <v>1962</v>
      </c>
      <c r="B303" s="1">
        <f>B302+1</f>
        <v>152</v>
      </c>
      <c r="C303" s="2">
        <v>22800</v>
      </c>
      <c r="D303" s="1" t="s">
        <v>500</v>
      </c>
      <c r="E303" s="1" t="s">
        <v>19</v>
      </c>
      <c r="F303" s="1" t="s">
        <v>157</v>
      </c>
      <c r="G303" s="1" t="s">
        <v>158</v>
      </c>
      <c r="H303" s="6" t="str">
        <f>VLOOKUP(A303,WorldCups!$A$2:$B$23,2,FALSE)</f>
        <v>Chile</v>
      </c>
      <c r="I303" s="1" t="s">
        <v>114</v>
      </c>
      <c r="J303" s="1">
        <v>2</v>
      </c>
      <c r="K303" s="1" t="s">
        <v>44</v>
      </c>
      <c r="L303" s="1">
        <v>1</v>
      </c>
      <c r="M303" s="1" t="s">
        <v>14</v>
      </c>
    </row>
    <row r="304" spans="1:13" hidden="1" x14ac:dyDescent="0.25">
      <c r="A304" s="1">
        <v>1962</v>
      </c>
      <c r="B304" s="1">
        <v>152</v>
      </c>
      <c r="C304" s="2">
        <v>22800</v>
      </c>
      <c r="D304" s="1" t="s">
        <v>500</v>
      </c>
      <c r="E304" s="1" t="s">
        <v>19</v>
      </c>
      <c r="F304" s="1" t="s">
        <v>157</v>
      </c>
      <c r="G304" s="1" t="s">
        <v>158</v>
      </c>
      <c r="H304" s="6" t="str">
        <f>VLOOKUP(A304,WorldCups!$A$2:$B$23,2,FALSE)</f>
        <v>Chile</v>
      </c>
      <c r="I304" s="1" t="s">
        <v>44</v>
      </c>
      <c r="J304" s="1">
        <v>1</v>
      </c>
      <c r="K304" s="1" t="s">
        <v>114</v>
      </c>
      <c r="L304" s="1">
        <v>2</v>
      </c>
      <c r="M304" s="1" t="s">
        <v>14</v>
      </c>
    </row>
    <row r="305" spans="1:13" hidden="1" x14ac:dyDescent="0.25">
      <c r="A305" s="1">
        <v>1962</v>
      </c>
      <c r="B305" s="1">
        <f>B304+1</f>
        <v>153</v>
      </c>
      <c r="C305" s="2">
        <v>22803</v>
      </c>
      <c r="D305" s="1" t="s">
        <v>500</v>
      </c>
      <c r="E305" s="1" t="s">
        <v>9</v>
      </c>
      <c r="F305" s="1" t="s">
        <v>149</v>
      </c>
      <c r="G305" s="1" t="s">
        <v>150</v>
      </c>
      <c r="H305" s="6" t="str">
        <f>VLOOKUP(A305,WorldCups!$A$2:$B$23,2,FALSE)</f>
        <v>Chile</v>
      </c>
      <c r="I305" s="1" t="s">
        <v>126</v>
      </c>
      <c r="J305" s="1">
        <v>2</v>
      </c>
      <c r="K305" s="1" t="s">
        <v>30</v>
      </c>
      <c r="L305" s="1">
        <v>1</v>
      </c>
      <c r="M305" s="1" t="s">
        <v>14</v>
      </c>
    </row>
    <row r="306" spans="1:13" hidden="1" x14ac:dyDescent="0.25">
      <c r="A306" s="1">
        <v>1962</v>
      </c>
      <c r="B306" s="1">
        <v>153</v>
      </c>
      <c r="C306" s="2">
        <v>22803</v>
      </c>
      <c r="D306" s="1" t="s">
        <v>500</v>
      </c>
      <c r="E306" s="1" t="s">
        <v>9</v>
      </c>
      <c r="F306" s="1" t="s">
        <v>149</v>
      </c>
      <c r="G306" s="1" t="s">
        <v>150</v>
      </c>
      <c r="H306" s="6" t="str">
        <f>VLOOKUP(A306,WorldCups!$A$2:$B$23,2,FALSE)</f>
        <v>Chile</v>
      </c>
      <c r="I306" s="1" t="s">
        <v>30</v>
      </c>
      <c r="J306" s="1">
        <v>1</v>
      </c>
      <c r="K306" s="1" t="s">
        <v>126</v>
      </c>
      <c r="L306" s="1">
        <v>2</v>
      </c>
      <c r="M306" s="1" t="s">
        <v>14</v>
      </c>
    </row>
    <row r="307" spans="1:13" hidden="1" x14ac:dyDescent="0.25">
      <c r="A307" s="1">
        <v>1962</v>
      </c>
      <c r="B307" s="1">
        <f>B306+1</f>
        <v>154</v>
      </c>
      <c r="C307" s="2">
        <v>22803</v>
      </c>
      <c r="D307" s="1" t="s">
        <v>500</v>
      </c>
      <c r="E307" s="1" t="s">
        <v>22</v>
      </c>
      <c r="F307" s="1" t="s">
        <v>152</v>
      </c>
      <c r="G307" s="1" t="s">
        <v>153</v>
      </c>
      <c r="H307" s="6" t="str">
        <f>VLOOKUP(A307,WorldCups!$A$2:$B$23,2,FALSE)</f>
        <v>Chile</v>
      </c>
      <c r="I307" s="1" t="s">
        <v>21</v>
      </c>
      <c r="J307" s="1">
        <v>2</v>
      </c>
      <c r="K307" s="1" t="s">
        <v>54</v>
      </c>
      <c r="L307" s="1">
        <v>1</v>
      </c>
      <c r="M307" s="1" t="s">
        <v>14</v>
      </c>
    </row>
    <row r="308" spans="1:13" hidden="1" x14ac:dyDescent="0.25">
      <c r="A308" s="1">
        <v>1962</v>
      </c>
      <c r="B308" s="1">
        <v>154</v>
      </c>
      <c r="C308" s="2">
        <v>22803</v>
      </c>
      <c r="D308" s="1" t="s">
        <v>500</v>
      </c>
      <c r="E308" s="1" t="s">
        <v>22</v>
      </c>
      <c r="F308" s="1" t="s">
        <v>152</v>
      </c>
      <c r="G308" s="1" t="s">
        <v>153</v>
      </c>
      <c r="H308" s="6" t="str">
        <f>VLOOKUP(A308,WorldCups!$A$2:$B$23,2,FALSE)</f>
        <v>Chile</v>
      </c>
      <c r="I308" s="1" t="s">
        <v>54</v>
      </c>
      <c r="J308" s="1">
        <v>1</v>
      </c>
      <c r="K308" s="1" t="s">
        <v>21</v>
      </c>
      <c r="L308" s="1">
        <v>2</v>
      </c>
      <c r="M308" s="1" t="s">
        <v>14</v>
      </c>
    </row>
    <row r="309" spans="1:13" hidden="1" x14ac:dyDescent="0.25">
      <c r="A309" s="1">
        <v>1962</v>
      </c>
      <c r="B309" s="1">
        <f>B308+1</f>
        <v>155</v>
      </c>
      <c r="C309" s="2">
        <v>22803</v>
      </c>
      <c r="D309" s="1" t="s">
        <v>500</v>
      </c>
      <c r="E309" s="1" t="s">
        <v>15</v>
      </c>
      <c r="F309" s="1" t="s">
        <v>154</v>
      </c>
      <c r="G309" s="1" t="s">
        <v>155</v>
      </c>
      <c r="H309" s="6" t="str">
        <f>VLOOKUP(A309,WorldCups!$A$2:$B$23,2,FALSE)</f>
        <v>Chile</v>
      </c>
      <c r="I309" s="1" t="s">
        <v>40</v>
      </c>
      <c r="J309" s="1">
        <v>0</v>
      </c>
      <c r="K309" s="1" t="s">
        <v>25</v>
      </c>
      <c r="L309" s="1">
        <v>0</v>
      </c>
      <c r="M309" s="1" t="s">
        <v>14</v>
      </c>
    </row>
    <row r="310" spans="1:13" hidden="1" x14ac:dyDescent="0.25">
      <c r="A310" s="1">
        <v>1962</v>
      </c>
      <c r="B310" s="1">
        <v>155</v>
      </c>
      <c r="C310" s="2">
        <v>22803</v>
      </c>
      <c r="D310" s="1" t="s">
        <v>500</v>
      </c>
      <c r="E310" s="1" t="s">
        <v>15</v>
      </c>
      <c r="F310" s="1" t="s">
        <v>154</v>
      </c>
      <c r="G310" s="1" t="s">
        <v>155</v>
      </c>
      <c r="H310" s="6" t="str">
        <f>VLOOKUP(A310,WorldCups!$A$2:$B$23,2,FALSE)</f>
        <v>Chile</v>
      </c>
      <c r="I310" s="1" t="s">
        <v>25</v>
      </c>
      <c r="J310" s="1">
        <v>0</v>
      </c>
      <c r="K310" s="1" t="s">
        <v>40</v>
      </c>
      <c r="L310" s="1">
        <v>0</v>
      </c>
      <c r="M310" s="1" t="s">
        <v>14</v>
      </c>
    </row>
    <row r="311" spans="1:13" hidden="1" x14ac:dyDescent="0.25">
      <c r="A311" s="1">
        <v>1962</v>
      </c>
      <c r="B311" s="1">
        <f>B310+1</f>
        <v>156</v>
      </c>
      <c r="C311" s="2">
        <v>22803</v>
      </c>
      <c r="D311" s="1" t="s">
        <v>500</v>
      </c>
      <c r="E311" s="1" t="s">
        <v>19</v>
      </c>
      <c r="F311" s="1" t="s">
        <v>157</v>
      </c>
      <c r="G311" s="1" t="s">
        <v>158</v>
      </c>
      <c r="H311" s="6" t="str">
        <f>VLOOKUP(A311,WorldCups!$A$2:$B$23,2,FALSE)</f>
        <v>Chile</v>
      </c>
      <c r="I311" s="1" t="s">
        <v>114</v>
      </c>
      <c r="J311" s="1">
        <v>2</v>
      </c>
      <c r="K311" s="1" t="s">
        <v>26</v>
      </c>
      <c r="L311" s="1">
        <v>0</v>
      </c>
      <c r="M311" s="1" t="s">
        <v>14</v>
      </c>
    </row>
    <row r="312" spans="1:13" hidden="1" x14ac:dyDescent="0.25">
      <c r="A312" s="1">
        <v>1962</v>
      </c>
      <c r="B312" s="1">
        <v>156</v>
      </c>
      <c r="C312" s="2">
        <v>22803</v>
      </c>
      <c r="D312" s="1" t="s">
        <v>500</v>
      </c>
      <c r="E312" s="1" t="s">
        <v>19</v>
      </c>
      <c r="F312" s="1" t="s">
        <v>157</v>
      </c>
      <c r="G312" s="1" t="s">
        <v>158</v>
      </c>
      <c r="H312" s="6" t="str">
        <f>VLOOKUP(A312,WorldCups!$A$2:$B$23,2,FALSE)</f>
        <v>Chile</v>
      </c>
      <c r="I312" s="1" t="s">
        <v>26</v>
      </c>
      <c r="J312" s="1">
        <v>0</v>
      </c>
      <c r="K312" s="1" t="s">
        <v>114</v>
      </c>
      <c r="L312" s="1">
        <v>2</v>
      </c>
      <c r="M312" s="1" t="s">
        <v>14</v>
      </c>
    </row>
    <row r="313" spans="1:13" hidden="1" x14ac:dyDescent="0.25">
      <c r="A313" s="1">
        <v>1962</v>
      </c>
      <c r="B313" s="1">
        <f>B312+1</f>
        <v>157</v>
      </c>
      <c r="C313" s="2">
        <v>22804</v>
      </c>
      <c r="D313" s="1" t="s">
        <v>500</v>
      </c>
      <c r="E313" s="1" t="s">
        <v>9</v>
      </c>
      <c r="F313" s="1" t="s">
        <v>149</v>
      </c>
      <c r="G313" s="1" t="s">
        <v>150</v>
      </c>
      <c r="H313" s="6" t="str">
        <f>VLOOKUP(A313,WorldCups!$A$2:$B$23,2,FALSE)</f>
        <v>Chile</v>
      </c>
      <c r="I313" s="1" t="s">
        <v>20</v>
      </c>
      <c r="J313" s="1">
        <v>5</v>
      </c>
      <c r="K313" s="1" t="s">
        <v>151</v>
      </c>
      <c r="L313" s="1">
        <v>0</v>
      </c>
      <c r="M313" s="1" t="s">
        <v>14</v>
      </c>
    </row>
    <row r="314" spans="1:13" hidden="1" x14ac:dyDescent="0.25">
      <c r="A314" s="1">
        <v>1962</v>
      </c>
      <c r="B314" s="1">
        <v>157</v>
      </c>
      <c r="C314" s="2">
        <v>22804</v>
      </c>
      <c r="D314" s="1" t="s">
        <v>500</v>
      </c>
      <c r="E314" s="1" t="s">
        <v>9</v>
      </c>
      <c r="F314" s="1" t="s">
        <v>149</v>
      </c>
      <c r="G314" s="1" t="s">
        <v>150</v>
      </c>
      <c r="H314" s="6" t="str">
        <f>VLOOKUP(A314,WorldCups!$A$2:$B$23,2,FALSE)</f>
        <v>Chile</v>
      </c>
      <c r="I314" s="1" t="s">
        <v>151</v>
      </c>
      <c r="J314" s="1">
        <v>0</v>
      </c>
      <c r="K314" s="1" t="s">
        <v>20</v>
      </c>
      <c r="L314" s="1">
        <v>5</v>
      </c>
      <c r="M314" s="1" t="s">
        <v>14</v>
      </c>
    </row>
    <row r="315" spans="1:13" hidden="1" x14ac:dyDescent="0.25">
      <c r="A315" s="1">
        <v>1962</v>
      </c>
      <c r="B315" s="1">
        <f>B314+1</f>
        <v>158</v>
      </c>
      <c r="C315" s="2">
        <v>22804</v>
      </c>
      <c r="D315" s="1" t="s">
        <v>500</v>
      </c>
      <c r="E315" s="1" t="s">
        <v>22</v>
      </c>
      <c r="F315" s="1" t="s">
        <v>152</v>
      </c>
      <c r="G315" s="1" t="s">
        <v>153</v>
      </c>
      <c r="H315" s="6" t="str">
        <f>VLOOKUP(A315,WorldCups!$A$2:$B$23,2,FALSE)</f>
        <v>Chile</v>
      </c>
      <c r="I315" s="1" t="s">
        <v>13</v>
      </c>
      <c r="J315" s="1">
        <v>3</v>
      </c>
      <c r="K315" s="1" t="s">
        <v>60</v>
      </c>
      <c r="L315" s="1">
        <v>1</v>
      </c>
      <c r="M315" s="1" t="s">
        <v>14</v>
      </c>
    </row>
    <row r="316" spans="1:13" hidden="1" x14ac:dyDescent="0.25">
      <c r="A316" s="1">
        <v>1962</v>
      </c>
      <c r="B316" s="1">
        <v>158</v>
      </c>
      <c r="C316" s="2">
        <v>22804</v>
      </c>
      <c r="D316" s="1" t="s">
        <v>500</v>
      </c>
      <c r="E316" s="1" t="s">
        <v>22</v>
      </c>
      <c r="F316" s="1" t="s">
        <v>152</v>
      </c>
      <c r="G316" s="1" t="s">
        <v>153</v>
      </c>
      <c r="H316" s="6" t="str">
        <f>VLOOKUP(A316,WorldCups!$A$2:$B$23,2,FALSE)</f>
        <v>Chile</v>
      </c>
      <c r="I316" s="1" t="s">
        <v>60</v>
      </c>
      <c r="J316" s="1">
        <v>1</v>
      </c>
      <c r="K316" s="1" t="s">
        <v>13</v>
      </c>
      <c r="L316" s="1">
        <v>3</v>
      </c>
      <c r="M316" s="1" t="s">
        <v>14</v>
      </c>
    </row>
    <row r="317" spans="1:13" hidden="1" x14ac:dyDescent="0.25">
      <c r="A317" s="1">
        <v>1962</v>
      </c>
      <c r="B317" s="1">
        <f>B316+1</f>
        <v>159</v>
      </c>
      <c r="C317" s="2">
        <v>22804</v>
      </c>
      <c r="D317" s="1" t="s">
        <v>500</v>
      </c>
      <c r="E317" s="1" t="s">
        <v>15</v>
      </c>
      <c r="F317" s="1" t="s">
        <v>154</v>
      </c>
      <c r="G317" s="1" t="s">
        <v>155</v>
      </c>
      <c r="H317" s="6" t="str">
        <f>VLOOKUP(A317,WorldCups!$A$2:$B$23,2,FALSE)</f>
        <v>Chile</v>
      </c>
      <c r="I317" s="1" t="s">
        <v>93</v>
      </c>
      <c r="J317" s="1">
        <v>0</v>
      </c>
      <c r="K317" s="1" t="s">
        <v>156</v>
      </c>
      <c r="L317" s="1">
        <v>0</v>
      </c>
      <c r="M317" s="1" t="s">
        <v>14</v>
      </c>
    </row>
    <row r="318" spans="1:13" hidden="1" x14ac:dyDescent="0.25">
      <c r="A318" s="1">
        <v>1962</v>
      </c>
      <c r="B318" s="1">
        <v>159</v>
      </c>
      <c r="C318" s="2">
        <v>22804</v>
      </c>
      <c r="D318" s="1" t="s">
        <v>500</v>
      </c>
      <c r="E318" s="1" t="s">
        <v>15</v>
      </c>
      <c r="F318" s="1" t="s">
        <v>154</v>
      </c>
      <c r="G318" s="1" t="s">
        <v>155</v>
      </c>
      <c r="H318" s="6" t="str">
        <f>VLOOKUP(A318,WorldCups!$A$2:$B$23,2,FALSE)</f>
        <v>Chile</v>
      </c>
      <c r="I318" s="1" t="s">
        <v>156</v>
      </c>
      <c r="J318" s="1">
        <v>0</v>
      </c>
      <c r="K318" s="1" t="s">
        <v>93</v>
      </c>
      <c r="L318" s="1">
        <v>0</v>
      </c>
      <c r="M318" s="1" t="s">
        <v>14</v>
      </c>
    </row>
    <row r="319" spans="1:13" hidden="1" x14ac:dyDescent="0.25">
      <c r="A319" s="1">
        <v>1962</v>
      </c>
      <c r="B319" s="1">
        <f>B318+1</f>
        <v>160</v>
      </c>
      <c r="C319" s="2">
        <v>22804</v>
      </c>
      <c r="D319" s="1" t="s">
        <v>500</v>
      </c>
      <c r="E319" s="1" t="s">
        <v>19</v>
      </c>
      <c r="F319" s="1" t="s">
        <v>157</v>
      </c>
      <c r="G319" s="1" t="s">
        <v>158</v>
      </c>
      <c r="H319" s="6" t="str">
        <f>VLOOKUP(A319,WorldCups!$A$2:$B$23,2,FALSE)</f>
        <v>Chile</v>
      </c>
      <c r="I319" s="1" t="s">
        <v>57</v>
      </c>
      <c r="J319" s="1">
        <v>3</v>
      </c>
      <c r="K319" s="1" t="s">
        <v>44</v>
      </c>
      <c r="L319" s="1">
        <v>0</v>
      </c>
      <c r="M319" s="1" t="s">
        <v>14</v>
      </c>
    </row>
    <row r="320" spans="1:13" hidden="1" x14ac:dyDescent="0.25">
      <c r="A320" s="1">
        <v>1962</v>
      </c>
      <c r="B320" s="1">
        <v>160</v>
      </c>
      <c r="C320" s="2">
        <v>22804</v>
      </c>
      <c r="D320" s="1" t="s">
        <v>500</v>
      </c>
      <c r="E320" s="1" t="s">
        <v>19</v>
      </c>
      <c r="F320" s="1" t="s">
        <v>157</v>
      </c>
      <c r="G320" s="1" t="s">
        <v>158</v>
      </c>
      <c r="H320" s="6" t="str">
        <f>VLOOKUP(A320,WorldCups!$A$2:$B$23,2,FALSE)</f>
        <v>Chile</v>
      </c>
      <c r="I320" s="1" t="s">
        <v>44</v>
      </c>
      <c r="J320" s="1">
        <v>0</v>
      </c>
      <c r="K320" s="1" t="s">
        <v>57</v>
      </c>
      <c r="L320" s="1">
        <v>3</v>
      </c>
      <c r="M320" s="1" t="s">
        <v>14</v>
      </c>
    </row>
    <row r="321" spans="1:13" hidden="1" x14ac:dyDescent="0.25">
      <c r="A321" s="1">
        <v>1962</v>
      </c>
      <c r="B321" s="1">
        <f>B320+1</f>
        <v>161</v>
      </c>
      <c r="C321" s="2">
        <v>22807</v>
      </c>
      <c r="D321" s="1" t="s">
        <v>505</v>
      </c>
      <c r="E321" s="1" t="s">
        <v>61</v>
      </c>
      <c r="F321" s="1" t="s">
        <v>149</v>
      </c>
      <c r="G321" s="1" t="s">
        <v>150</v>
      </c>
      <c r="H321" s="6" t="str">
        <f>VLOOKUP(A321,WorldCups!$A$2:$B$23,2,FALSE)</f>
        <v>Chile</v>
      </c>
      <c r="I321" s="1" t="s">
        <v>26</v>
      </c>
      <c r="J321" s="1">
        <v>2</v>
      </c>
      <c r="K321" s="1" t="s">
        <v>126</v>
      </c>
      <c r="L321" s="1">
        <v>1</v>
      </c>
      <c r="M321" s="1" t="s">
        <v>14</v>
      </c>
    </row>
    <row r="322" spans="1:13" hidden="1" x14ac:dyDescent="0.25">
      <c r="A322" s="1">
        <v>1962</v>
      </c>
      <c r="B322" s="1">
        <v>161</v>
      </c>
      <c r="C322" s="2">
        <v>22807</v>
      </c>
      <c r="D322" s="1" t="s">
        <v>505</v>
      </c>
      <c r="E322" s="1" t="s">
        <v>61</v>
      </c>
      <c r="F322" s="1" t="s">
        <v>149</v>
      </c>
      <c r="G322" s="1" t="s">
        <v>150</v>
      </c>
      <c r="H322" s="6" t="str">
        <f>VLOOKUP(A322,WorldCups!$A$2:$B$23,2,FALSE)</f>
        <v>Chile</v>
      </c>
      <c r="I322" s="1" t="s">
        <v>126</v>
      </c>
      <c r="J322" s="1">
        <v>1</v>
      </c>
      <c r="K322" s="1" t="s">
        <v>26</v>
      </c>
      <c r="L322" s="1">
        <v>2</v>
      </c>
      <c r="M322" s="1" t="s">
        <v>14</v>
      </c>
    </row>
    <row r="323" spans="1:13" hidden="1" x14ac:dyDescent="0.25">
      <c r="A323" s="1">
        <v>1962</v>
      </c>
      <c r="B323" s="1">
        <f>B322+1</f>
        <v>162</v>
      </c>
      <c r="C323" s="2">
        <v>22807</v>
      </c>
      <c r="D323" s="1" t="s">
        <v>505</v>
      </c>
      <c r="E323" s="1" t="s">
        <v>61</v>
      </c>
      <c r="F323" s="1" t="s">
        <v>152</v>
      </c>
      <c r="G323" s="1" t="s">
        <v>153</v>
      </c>
      <c r="H323" s="6" t="str">
        <f>VLOOKUP(A323,WorldCups!$A$2:$B$23,2,FALSE)</f>
        <v>Chile</v>
      </c>
      <c r="I323" s="1" t="s">
        <v>21</v>
      </c>
      <c r="J323" s="1">
        <v>3</v>
      </c>
      <c r="K323" s="1" t="s">
        <v>93</v>
      </c>
      <c r="L323" s="1">
        <v>1</v>
      </c>
      <c r="M323" s="1" t="s">
        <v>14</v>
      </c>
    </row>
    <row r="324" spans="1:13" hidden="1" x14ac:dyDescent="0.25">
      <c r="A324" s="1">
        <v>1962</v>
      </c>
      <c r="B324" s="1">
        <v>162</v>
      </c>
      <c r="C324" s="2">
        <v>22807</v>
      </c>
      <c r="D324" s="1" t="s">
        <v>505</v>
      </c>
      <c r="E324" s="1" t="s">
        <v>61</v>
      </c>
      <c r="F324" s="1" t="s">
        <v>152</v>
      </c>
      <c r="G324" s="1" t="s">
        <v>153</v>
      </c>
      <c r="H324" s="6" t="str">
        <f>VLOOKUP(A324,WorldCups!$A$2:$B$23,2,FALSE)</f>
        <v>Chile</v>
      </c>
      <c r="I324" s="1" t="s">
        <v>93</v>
      </c>
      <c r="J324" s="1">
        <v>1</v>
      </c>
      <c r="K324" s="1" t="s">
        <v>21</v>
      </c>
      <c r="L324" s="1">
        <v>3</v>
      </c>
      <c r="M324" s="1" t="s">
        <v>14</v>
      </c>
    </row>
    <row r="325" spans="1:13" hidden="1" x14ac:dyDescent="0.25">
      <c r="A325" s="1">
        <v>1962</v>
      </c>
      <c r="B325" s="1">
        <f>B324+1</f>
        <v>163</v>
      </c>
      <c r="C325" s="2">
        <v>22807</v>
      </c>
      <c r="D325" s="1" t="s">
        <v>505</v>
      </c>
      <c r="E325" s="1" t="s">
        <v>61</v>
      </c>
      <c r="F325" s="1" t="s">
        <v>154</v>
      </c>
      <c r="G325" s="1" t="s">
        <v>155</v>
      </c>
      <c r="H325" s="6" t="str">
        <f>VLOOKUP(A325,WorldCups!$A$2:$B$23,2,FALSE)</f>
        <v>Chile</v>
      </c>
      <c r="I325" s="1" t="s">
        <v>60</v>
      </c>
      <c r="J325" s="1">
        <v>1</v>
      </c>
      <c r="K325" s="1" t="s">
        <v>40</v>
      </c>
      <c r="L325" s="1">
        <v>0</v>
      </c>
      <c r="M325" s="1" t="s">
        <v>14</v>
      </c>
    </row>
    <row r="326" spans="1:13" hidden="1" x14ac:dyDescent="0.25">
      <c r="A326" s="1">
        <v>1962</v>
      </c>
      <c r="B326" s="1">
        <v>163</v>
      </c>
      <c r="C326" s="2">
        <v>22807</v>
      </c>
      <c r="D326" s="1" t="s">
        <v>505</v>
      </c>
      <c r="E326" s="1" t="s">
        <v>61</v>
      </c>
      <c r="F326" s="1" t="s">
        <v>154</v>
      </c>
      <c r="G326" s="1" t="s">
        <v>155</v>
      </c>
      <c r="H326" s="6" t="str">
        <f>VLOOKUP(A326,WorldCups!$A$2:$B$23,2,FALSE)</f>
        <v>Chile</v>
      </c>
      <c r="I326" s="1" t="s">
        <v>40</v>
      </c>
      <c r="J326" s="1">
        <v>0</v>
      </c>
      <c r="K326" s="1" t="s">
        <v>60</v>
      </c>
      <c r="L326" s="1">
        <v>1</v>
      </c>
      <c r="M326" s="1" t="s">
        <v>14</v>
      </c>
    </row>
    <row r="327" spans="1:13" hidden="1" x14ac:dyDescent="0.25">
      <c r="A327" s="1">
        <v>1962</v>
      </c>
      <c r="B327" s="1">
        <f>B326+1</f>
        <v>164</v>
      </c>
      <c r="C327" s="2">
        <v>22807</v>
      </c>
      <c r="D327" s="1" t="s">
        <v>505</v>
      </c>
      <c r="E327" s="1" t="s">
        <v>61</v>
      </c>
      <c r="F327" s="1" t="s">
        <v>157</v>
      </c>
      <c r="G327" s="1" t="s">
        <v>158</v>
      </c>
      <c r="H327" s="6" t="str">
        <f>VLOOKUP(A327,WorldCups!$A$2:$B$23,2,FALSE)</f>
        <v>Chile</v>
      </c>
      <c r="I327" s="1" t="s">
        <v>20</v>
      </c>
      <c r="J327" s="1">
        <v>1</v>
      </c>
      <c r="K327" s="1" t="s">
        <v>114</v>
      </c>
      <c r="L327" s="1">
        <v>0</v>
      </c>
      <c r="M327" s="1" t="s">
        <v>14</v>
      </c>
    </row>
    <row r="328" spans="1:13" hidden="1" x14ac:dyDescent="0.25">
      <c r="A328" s="1">
        <v>1962</v>
      </c>
      <c r="B328" s="1">
        <v>164</v>
      </c>
      <c r="C328" s="2">
        <v>22807</v>
      </c>
      <c r="D328" s="1" t="s">
        <v>505</v>
      </c>
      <c r="E328" s="1" t="s">
        <v>61</v>
      </c>
      <c r="F328" s="1" t="s">
        <v>157</v>
      </c>
      <c r="G328" s="1" t="s">
        <v>158</v>
      </c>
      <c r="H328" s="6" t="str">
        <f>VLOOKUP(A328,WorldCups!$A$2:$B$23,2,FALSE)</f>
        <v>Chile</v>
      </c>
      <c r="I328" s="1" t="s">
        <v>114</v>
      </c>
      <c r="J328" s="1">
        <v>0</v>
      </c>
      <c r="K328" s="1" t="s">
        <v>20</v>
      </c>
      <c r="L328" s="1">
        <v>1</v>
      </c>
      <c r="M328" s="1" t="s">
        <v>14</v>
      </c>
    </row>
    <row r="329" spans="1:13" hidden="1" x14ac:dyDescent="0.25">
      <c r="A329" s="1">
        <v>1962</v>
      </c>
      <c r="B329" s="1">
        <f>B328+1</f>
        <v>165</v>
      </c>
      <c r="C329" s="2">
        <v>22810</v>
      </c>
      <c r="D329" s="1" t="s">
        <v>505</v>
      </c>
      <c r="E329" s="1" t="s">
        <v>31</v>
      </c>
      <c r="F329" s="1" t="s">
        <v>152</v>
      </c>
      <c r="G329" s="1" t="s">
        <v>153</v>
      </c>
      <c r="H329" s="6" t="str">
        <f>VLOOKUP(A329,WorldCups!$A$2:$B$23,2,FALSE)</f>
        <v>Chile</v>
      </c>
      <c r="I329" s="1" t="s">
        <v>60</v>
      </c>
      <c r="J329" s="1">
        <v>3</v>
      </c>
      <c r="K329" s="1" t="s">
        <v>20</v>
      </c>
      <c r="L329" s="1">
        <v>1</v>
      </c>
      <c r="M329" s="1" t="s">
        <v>14</v>
      </c>
    </row>
    <row r="330" spans="1:13" hidden="1" x14ac:dyDescent="0.25">
      <c r="A330" s="1">
        <v>1962</v>
      </c>
      <c r="B330" s="1">
        <v>165</v>
      </c>
      <c r="C330" s="2">
        <v>22810</v>
      </c>
      <c r="D330" s="1" t="s">
        <v>505</v>
      </c>
      <c r="E330" s="1" t="s">
        <v>31</v>
      </c>
      <c r="F330" s="1" t="s">
        <v>152</v>
      </c>
      <c r="G330" s="1" t="s">
        <v>153</v>
      </c>
      <c r="H330" s="6" t="str">
        <f>VLOOKUP(A330,WorldCups!$A$2:$B$23,2,FALSE)</f>
        <v>Chile</v>
      </c>
      <c r="I330" s="1" t="s">
        <v>20</v>
      </c>
      <c r="J330" s="1">
        <v>1</v>
      </c>
      <c r="K330" s="1" t="s">
        <v>60</v>
      </c>
      <c r="L330" s="1">
        <v>3</v>
      </c>
      <c r="M330" s="1" t="s">
        <v>14</v>
      </c>
    </row>
    <row r="331" spans="1:13" hidden="1" x14ac:dyDescent="0.25">
      <c r="A331" s="1">
        <v>1962</v>
      </c>
      <c r="B331" s="1">
        <f>B330+1</f>
        <v>166</v>
      </c>
      <c r="C331" s="2">
        <v>22810</v>
      </c>
      <c r="D331" s="1" t="s">
        <v>505</v>
      </c>
      <c r="E331" s="1" t="s">
        <v>31</v>
      </c>
      <c r="F331" s="1" t="s">
        <v>157</v>
      </c>
      <c r="G331" s="1" t="s">
        <v>158</v>
      </c>
      <c r="H331" s="6" t="str">
        <f>VLOOKUP(A331,WorldCups!$A$2:$B$23,2,FALSE)</f>
        <v>Chile</v>
      </c>
      <c r="I331" s="1" t="s">
        <v>21</v>
      </c>
      <c r="J331" s="1">
        <v>4</v>
      </c>
      <c r="K331" s="1" t="s">
        <v>26</v>
      </c>
      <c r="L331" s="1">
        <v>2</v>
      </c>
      <c r="M331" s="1" t="s">
        <v>14</v>
      </c>
    </row>
    <row r="332" spans="1:13" hidden="1" x14ac:dyDescent="0.25">
      <c r="A332" s="1">
        <v>1962</v>
      </c>
      <c r="B332" s="1">
        <v>166</v>
      </c>
      <c r="C332" s="2">
        <v>22810</v>
      </c>
      <c r="D332" s="1" t="s">
        <v>505</v>
      </c>
      <c r="E332" s="1" t="s">
        <v>31</v>
      </c>
      <c r="F332" s="1" t="s">
        <v>157</v>
      </c>
      <c r="G332" s="1" t="s">
        <v>158</v>
      </c>
      <c r="H332" s="6" t="str">
        <f>VLOOKUP(A332,WorldCups!$A$2:$B$23,2,FALSE)</f>
        <v>Chile</v>
      </c>
      <c r="I332" s="1" t="s">
        <v>26</v>
      </c>
      <c r="J332" s="1">
        <v>2</v>
      </c>
      <c r="K332" s="1" t="s">
        <v>21</v>
      </c>
      <c r="L332" s="1">
        <v>4</v>
      </c>
      <c r="M332" s="1" t="s">
        <v>14</v>
      </c>
    </row>
    <row r="333" spans="1:13" hidden="1" x14ac:dyDescent="0.25">
      <c r="A333" s="1">
        <v>1962</v>
      </c>
      <c r="B333" s="1">
        <f>B332+1</f>
        <v>167</v>
      </c>
      <c r="C333" s="2">
        <v>22813</v>
      </c>
      <c r="D333" s="1" t="s">
        <v>505</v>
      </c>
      <c r="E333" s="1" t="s">
        <v>62</v>
      </c>
      <c r="F333" s="1" t="s">
        <v>157</v>
      </c>
      <c r="G333" s="1" t="s">
        <v>158</v>
      </c>
      <c r="H333" s="6" t="str">
        <f>VLOOKUP(A333,WorldCups!$A$2:$B$23,2,FALSE)</f>
        <v>Chile</v>
      </c>
      <c r="I333" s="1" t="s">
        <v>26</v>
      </c>
      <c r="J333" s="1">
        <v>1</v>
      </c>
      <c r="K333" s="1" t="s">
        <v>20</v>
      </c>
      <c r="L333" s="1">
        <v>0</v>
      </c>
      <c r="M333" s="1" t="s">
        <v>14</v>
      </c>
    </row>
    <row r="334" spans="1:13" hidden="1" x14ac:dyDescent="0.25">
      <c r="A334" s="1">
        <v>1962</v>
      </c>
      <c r="B334" s="1">
        <v>167</v>
      </c>
      <c r="C334" s="2">
        <v>22813</v>
      </c>
      <c r="D334" s="1" t="s">
        <v>505</v>
      </c>
      <c r="E334" s="1" t="s">
        <v>62</v>
      </c>
      <c r="F334" s="1" t="s">
        <v>157</v>
      </c>
      <c r="G334" s="1" t="s">
        <v>158</v>
      </c>
      <c r="H334" s="6" t="str">
        <f>VLOOKUP(A334,WorldCups!$A$2:$B$23,2,FALSE)</f>
        <v>Chile</v>
      </c>
      <c r="I334" s="1" t="s">
        <v>20</v>
      </c>
      <c r="J334" s="1">
        <v>0</v>
      </c>
      <c r="K334" s="1" t="s">
        <v>26</v>
      </c>
      <c r="L334" s="1">
        <v>1</v>
      </c>
      <c r="M334" s="1" t="s">
        <v>14</v>
      </c>
    </row>
    <row r="335" spans="1:13" hidden="1" x14ac:dyDescent="0.25">
      <c r="A335" s="1">
        <v>1962</v>
      </c>
      <c r="B335" s="1">
        <f>B334+1</f>
        <v>168</v>
      </c>
      <c r="C335" s="2">
        <v>22814</v>
      </c>
      <c r="D335" s="1" t="s">
        <v>505</v>
      </c>
      <c r="E335" s="1" t="s">
        <v>32</v>
      </c>
      <c r="F335" s="1" t="s">
        <v>157</v>
      </c>
      <c r="G335" s="1" t="s">
        <v>158</v>
      </c>
      <c r="H335" s="6" t="str">
        <f>VLOOKUP(A335,WorldCups!$A$2:$B$23,2,FALSE)</f>
        <v>Chile</v>
      </c>
      <c r="I335" s="1" t="s">
        <v>21</v>
      </c>
      <c r="J335" s="1">
        <v>3</v>
      </c>
      <c r="K335" s="1" t="s">
        <v>60</v>
      </c>
      <c r="L335" s="1">
        <v>1</v>
      </c>
      <c r="M335" s="1" t="s">
        <v>14</v>
      </c>
    </row>
    <row r="336" spans="1:13" hidden="1" x14ac:dyDescent="0.25">
      <c r="A336" s="1">
        <v>1962</v>
      </c>
      <c r="B336" s="1">
        <v>168</v>
      </c>
      <c r="C336" s="2">
        <v>22814</v>
      </c>
      <c r="D336" s="1" t="s">
        <v>505</v>
      </c>
      <c r="E336" s="1" t="s">
        <v>32</v>
      </c>
      <c r="F336" s="1" t="s">
        <v>157</v>
      </c>
      <c r="G336" s="1" t="s">
        <v>158</v>
      </c>
      <c r="H336" s="6" t="str">
        <f>VLOOKUP(A336,WorldCups!$A$2:$B$23,2,FALSE)</f>
        <v>Chile</v>
      </c>
      <c r="I336" s="1" t="s">
        <v>60</v>
      </c>
      <c r="J336" s="1">
        <v>1</v>
      </c>
      <c r="K336" s="1" t="s">
        <v>21</v>
      </c>
      <c r="L336" s="1">
        <v>3</v>
      </c>
      <c r="M336" s="1" t="s">
        <v>14</v>
      </c>
    </row>
    <row r="337" spans="1:13" hidden="1" x14ac:dyDescent="0.25">
      <c r="A337" s="1">
        <v>1966</v>
      </c>
      <c r="B337" s="1">
        <f>B336+1</f>
        <v>169</v>
      </c>
      <c r="C337" s="2">
        <v>24299</v>
      </c>
      <c r="D337" s="1" t="s">
        <v>522</v>
      </c>
      <c r="E337" s="1" t="s">
        <v>9</v>
      </c>
      <c r="F337" s="1" t="s">
        <v>159</v>
      </c>
      <c r="G337" s="1" t="s">
        <v>160</v>
      </c>
      <c r="H337" s="6" t="str">
        <f>VLOOKUP(A337,WorldCups!$A$2:$B$23,2,FALSE)</f>
        <v>England</v>
      </c>
      <c r="I337" s="1" t="s">
        <v>93</v>
      </c>
      <c r="J337" s="1">
        <v>0</v>
      </c>
      <c r="K337" s="1" t="s">
        <v>30</v>
      </c>
      <c r="L337" s="1">
        <v>0</v>
      </c>
      <c r="M337" s="1" t="s">
        <v>14</v>
      </c>
    </row>
    <row r="338" spans="1:13" hidden="1" x14ac:dyDescent="0.25">
      <c r="A338" s="1">
        <v>1966</v>
      </c>
      <c r="B338" s="1">
        <v>169</v>
      </c>
      <c r="C338" s="2">
        <v>24299</v>
      </c>
      <c r="D338" s="1" t="s">
        <v>522</v>
      </c>
      <c r="E338" s="1" t="s">
        <v>9</v>
      </c>
      <c r="F338" s="1" t="s">
        <v>159</v>
      </c>
      <c r="G338" s="1" t="s">
        <v>160</v>
      </c>
      <c r="H338" s="6" t="str">
        <f>VLOOKUP(A338,WorldCups!$A$2:$B$23,2,FALSE)</f>
        <v>England</v>
      </c>
      <c r="I338" s="1" t="s">
        <v>30</v>
      </c>
      <c r="J338" s="1">
        <v>0</v>
      </c>
      <c r="K338" s="1" t="s">
        <v>93</v>
      </c>
      <c r="L338" s="1">
        <v>0</v>
      </c>
      <c r="M338" s="1" t="s">
        <v>14</v>
      </c>
    </row>
    <row r="339" spans="1:13" hidden="1" x14ac:dyDescent="0.25">
      <c r="A339" s="1">
        <v>1966</v>
      </c>
      <c r="B339" s="1">
        <f>B338+1</f>
        <v>170</v>
      </c>
      <c r="C339" s="2">
        <v>24300</v>
      </c>
      <c r="D339" s="1" t="s">
        <v>522</v>
      </c>
      <c r="E339" s="1" t="s">
        <v>19</v>
      </c>
      <c r="F339" s="1" t="s">
        <v>161</v>
      </c>
      <c r="G339" s="1" t="s">
        <v>162</v>
      </c>
      <c r="H339" s="6" t="str">
        <f>VLOOKUP(A339,WorldCups!$A$2:$B$23,2,FALSE)</f>
        <v>England</v>
      </c>
      <c r="I339" s="1" t="s">
        <v>114</v>
      </c>
      <c r="J339" s="1">
        <v>5</v>
      </c>
      <c r="K339" s="1" t="s">
        <v>44</v>
      </c>
      <c r="L339" s="1">
        <v>0</v>
      </c>
      <c r="M339" s="1" t="s">
        <v>14</v>
      </c>
    </row>
    <row r="340" spans="1:13" hidden="1" x14ac:dyDescent="0.25">
      <c r="A340" s="1">
        <v>1966</v>
      </c>
      <c r="B340" s="1">
        <v>170</v>
      </c>
      <c r="C340" s="2">
        <v>24300</v>
      </c>
      <c r="D340" s="1" t="s">
        <v>522</v>
      </c>
      <c r="E340" s="1" t="s">
        <v>19</v>
      </c>
      <c r="F340" s="1" t="s">
        <v>161</v>
      </c>
      <c r="G340" s="1" t="s">
        <v>162</v>
      </c>
      <c r="H340" s="6" t="str">
        <f>VLOOKUP(A340,WorldCups!$A$2:$B$23,2,FALSE)</f>
        <v>England</v>
      </c>
      <c r="I340" s="1" t="s">
        <v>44</v>
      </c>
      <c r="J340" s="1">
        <v>0</v>
      </c>
      <c r="K340" s="1" t="s">
        <v>114</v>
      </c>
      <c r="L340" s="1">
        <v>5</v>
      </c>
      <c r="M340" s="1" t="s">
        <v>14</v>
      </c>
    </row>
    <row r="341" spans="1:13" hidden="1" x14ac:dyDescent="0.25">
      <c r="A341" s="1">
        <v>1966</v>
      </c>
      <c r="B341" s="1">
        <f>B340+1</f>
        <v>171</v>
      </c>
      <c r="C341" s="2">
        <v>24300</v>
      </c>
      <c r="D341" s="1" t="s">
        <v>522</v>
      </c>
      <c r="E341" s="1" t="s">
        <v>22</v>
      </c>
      <c r="F341" s="1" t="s">
        <v>163</v>
      </c>
      <c r="G341" s="1" t="s">
        <v>164</v>
      </c>
      <c r="H341" s="6" t="str">
        <f>VLOOKUP(A341,WorldCups!$A$2:$B$23,2,FALSE)</f>
        <v>England</v>
      </c>
      <c r="I341" s="1" t="s">
        <v>21</v>
      </c>
      <c r="J341" s="1">
        <v>2</v>
      </c>
      <c r="K341" s="1" t="s">
        <v>156</v>
      </c>
      <c r="L341" s="1">
        <v>0</v>
      </c>
      <c r="M341" s="1" t="s">
        <v>14</v>
      </c>
    </row>
    <row r="342" spans="1:13" hidden="1" x14ac:dyDescent="0.25">
      <c r="A342" s="1">
        <v>1966</v>
      </c>
      <c r="B342" s="1">
        <v>171</v>
      </c>
      <c r="C342" s="2">
        <v>24300</v>
      </c>
      <c r="D342" s="1" t="s">
        <v>522</v>
      </c>
      <c r="E342" s="1" t="s">
        <v>22</v>
      </c>
      <c r="F342" s="1" t="s">
        <v>163</v>
      </c>
      <c r="G342" s="1" t="s">
        <v>164</v>
      </c>
      <c r="H342" s="6" t="str">
        <f>VLOOKUP(A342,WorldCups!$A$2:$B$23,2,FALSE)</f>
        <v>England</v>
      </c>
      <c r="I342" s="1" t="s">
        <v>156</v>
      </c>
      <c r="J342" s="1">
        <v>0</v>
      </c>
      <c r="K342" s="1" t="s">
        <v>21</v>
      </c>
      <c r="L342" s="1">
        <v>2</v>
      </c>
      <c r="M342" s="1" t="s">
        <v>14</v>
      </c>
    </row>
    <row r="343" spans="1:13" hidden="1" x14ac:dyDescent="0.25">
      <c r="A343" s="1">
        <v>1966</v>
      </c>
      <c r="B343" s="1">
        <f>B342+1</f>
        <v>172</v>
      </c>
      <c r="C343" s="2">
        <v>24300</v>
      </c>
      <c r="D343" s="1" t="s">
        <v>522</v>
      </c>
      <c r="E343" s="1" t="s">
        <v>15</v>
      </c>
      <c r="F343" s="1" t="s">
        <v>165</v>
      </c>
      <c r="G343" s="1" t="s">
        <v>166</v>
      </c>
      <c r="H343" s="6" t="str">
        <f>VLOOKUP(A343,WorldCups!$A$2:$B$23,2,FALSE)</f>
        <v>England</v>
      </c>
      <c r="I343" s="1" t="s">
        <v>126</v>
      </c>
      <c r="J343" s="1">
        <v>3</v>
      </c>
      <c r="K343" s="1" t="s">
        <v>167</v>
      </c>
      <c r="L343" s="1">
        <v>0</v>
      </c>
      <c r="M343" s="1" t="s">
        <v>14</v>
      </c>
    </row>
    <row r="344" spans="1:13" hidden="1" x14ac:dyDescent="0.25">
      <c r="A344" s="1">
        <v>1966</v>
      </c>
      <c r="B344" s="1">
        <v>172</v>
      </c>
      <c r="C344" s="2">
        <v>24300</v>
      </c>
      <c r="D344" s="1" t="s">
        <v>522</v>
      </c>
      <c r="E344" s="1" t="s">
        <v>15</v>
      </c>
      <c r="F344" s="1" t="s">
        <v>165</v>
      </c>
      <c r="G344" s="1" t="s">
        <v>166</v>
      </c>
      <c r="H344" s="6" t="str">
        <f>VLOOKUP(A344,WorldCups!$A$2:$B$23,2,FALSE)</f>
        <v>England</v>
      </c>
      <c r="I344" s="1" t="s">
        <v>167</v>
      </c>
      <c r="J344" s="1">
        <v>0</v>
      </c>
      <c r="K344" s="1" t="s">
        <v>126</v>
      </c>
      <c r="L344" s="1">
        <v>3</v>
      </c>
      <c r="M344" s="1" t="s">
        <v>14</v>
      </c>
    </row>
    <row r="345" spans="1:13" hidden="1" x14ac:dyDescent="0.25">
      <c r="A345" s="1">
        <v>1966</v>
      </c>
      <c r="B345" s="1">
        <f>B344+1</f>
        <v>173</v>
      </c>
      <c r="C345" s="2">
        <v>24301</v>
      </c>
      <c r="D345" s="1" t="s">
        <v>522</v>
      </c>
      <c r="E345" s="1" t="s">
        <v>9</v>
      </c>
      <c r="F345" s="1" t="s">
        <v>159</v>
      </c>
      <c r="G345" s="1" t="s">
        <v>160</v>
      </c>
      <c r="H345" s="6" t="str">
        <f>VLOOKUP(A345,WorldCups!$A$2:$B$23,2,FALSE)</f>
        <v>England</v>
      </c>
      <c r="I345" s="1" t="s">
        <v>12</v>
      </c>
      <c r="J345" s="1">
        <v>1</v>
      </c>
      <c r="K345" s="1" t="s">
        <v>13</v>
      </c>
      <c r="L345" s="1">
        <v>1</v>
      </c>
      <c r="M345" s="1" t="s">
        <v>14</v>
      </c>
    </row>
    <row r="346" spans="1:13" hidden="1" x14ac:dyDescent="0.25">
      <c r="A346" s="1">
        <v>1966</v>
      </c>
      <c r="B346" s="1">
        <v>173</v>
      </c>
      <c r="C346" s="2">
        <v>24301</v>
      </c>
      <c r="D346" s="1" t="s">
        <v>522</v>
      </c>
      <c r="E346" s="1" t="s">
        <v>9</v>
      </c>
      <c r="F346" s="1" t="s">
        <v>159</v>
      </c>
      <c r="G346" s="1" t="s">
        <v>160</v>
      </c>
      <c r="H346" s="6" t="str">
        <f>VLOOKUP(A346,WorldCups!$A$2:$B$23,2,FALSE)</f>
        <v>England</v>
      </c>
      <c r="I346" s="1" t="s">
        <v>13</v>
      </c>
      <c r="J346" s="1">
        <v>1</v>
      </c>
      <c r="K346" s="1" t="s">
        <v>12</v>
      </c>
      <c r="L346" s="1">
        <v>1</v>
      </c>
      <c r="M346" s="1" t="s">
        <v>14</v>
      </c>
    </row>
    <row r="347" spans="1:13" hidden="1" x14ac:dyDescent="0.25">
      <c r="A347" s="1">
        <v>1966</v>
      </c>
      <c r="B347" s="1">
        <f>B346+1</f>
        <v>174</v>
      </c>
      <c r="C347" s="2">
        <v>24301</v>
      </c>
      <c r="D347" s="1" t="s">
        <v>522</v>
      </c>
      <c r="E347" s="1" t="s">
        <v>22</v>
      </c>
      <c r="F347" s="1" t="s">
        <v>168</v>
      </c>
      <c r="G347" s="1" t="s">
        <v>169</v>
      </c>
      <c r="H347" s="6" t="str">
        <f>VLOOKUP(A347,WorldCups!$A$2:$B$23,2,FALSE)</f>
        <v>England</v>
      </c>
      <c r="I347" s="1" t="s">
        <v>170</v>
      </c>
      <c r="J347" s="1">
        <v>3</v>
      </c>
      <c r="K347" s="1" t="s">
        <v>40</v>
      </c>
      <c r="L347" s="1">
        <v>1</v>
      </c>
      <c r="M347" s="1" t="s">
        <v>14</v>
      </c>
    </row>
    <row r="348" spans="1:13" hidden="1" x14ac:dyDescent="0.25">
      <c r="A348" s="1">
        <v>1966</v>
      </c>
      <c r="B348" s="1">
        <v>174</v>
      </c>
      <c r="C348" s="2">
        <v>24301</v>
      </c>
      <c r="D348" s="1" t="s">
        <v>522</v>
      </c>
      <c r="E348" s="1" t="s">
        <v>22</v>
      </c>
      <c r="F348" s="1" t="s">
        <v>168</v>
      </c>
      <c r="G348" s="1" t="s">
        <v>169</v>
      </c>
      <c r="H348" s="6" t="str">
        <f>VLOOKUP(A348,WorldCups!$A$2:$B$23,2,FALSE)</f>
        <v>England</v>
      </c>
      <c r="I348" s="1" t="s">
        <v>40</v>
      </c>
      <c r="J348" s="1">
        <v>1</v>
      </c>
      <c r="K348" s="1" t="s">
        <v>170</v>
      </c>
      <c r="L348" s="1">
        <v>3</v>
      </c>
      <c r="M348" s="1" t="s">
        <v>14</v>
      </c>
    </row>
    <row r="349" spans="1:13" hidden="1" x14ac:dyDescent="0.25">
      <c r="A349" s="1">
        <v>1966</v>
      </c>
      <c r="B349" s="1">
        <f>B348+1</f>
        <v>175</v>
      </c>
      <c r="C349" s="2">
        <v>24301</v>
      </c>
      <c r="D349" s="1" t="s">
        <v>522</v>
      </c>
      <c r="E349" s="1" t="s">
        <v>19</v>
      </c>
      <c r="F349" s="1" t="s">
        <v>171</v>
      </c>
      <c r="G349" s="1" t="s">
        <v>172</v>
      </c>
      <c r="H349" s="6" t="str">
        <f>VLOOKUP(A349,WorldCups!$A$2:$B$23,2,FALSE)</f>
        <v>England</v>
      </c>
      <c r="I349" s="1" t="s">
        <v>25</v>
      </c>
      <c r="J349" s="1">
        <v>2</v>
      </c>
      <c r="K349" s="1" t="s">
        <v>54</v>
      </c>
      <c r="L349" s="1">
        <v>1</v>
      </c>
      <c r="M349" s="1" t="s">
        <v>14</v>
      </c>
    </row>
    <row r="350" spans="1:13" hidden="1" x14ac:dyDescent="0.25">
      <c r="A350" s="1">
        <v>1966</v>
      </c>
      <c r="B350" s="1">
        <v>175</v>
      </c>
      <c r="C350" s="2">
        <v>24301</v>
      </c>
      <c r="D350" s="1" t="s">
        <v>522</v>
      </c>
      <c r="E350" s="1" t="s">
        <v>19</v>
      </c>
      <c r="F350" s="1" t="s">
        <v>171</v>
      </c>
      <c r="G350" s="1" t="s">
        <v>172</v>
      </c>
      <c r="H350" s="6" t="str">
        <f>VLOOKUP(A350,WorldCups!$A$2:$B$23,2,FALSE)</f>
        <v>England</v>
      </c>
      <c r="I350" s="1" t="s">
        <v>54</v>
      </c>
      <c r="J350" s="1">
        <v>1</v>
      </c>
      <c r="K350" s="1" t="s">
        <v>25</v>
      </c>
      <c r="L350" s="1">
        <v>2</v>
      </c>
      <c r="M350" s="1" t="s">
        <v>14</v>
      </c>
    </row>
    <row r="351" spans="1:13" hidden="1" x14ac:dyDescent="0.25">
      <c r="A351" s="1">
        <v>1966</v>
      </c>
      <c r="B351" s="1">
        <f>B350+1</f>
        <v>176</v>
      </c>
      <c r="C351" s="2">
        <v>24301</v>
      </c>
      <c r="D351" s="1" t="s">
        <v>522</v>
      </c>
      <c r="E351" s="1" t="s">
        <v>15</v>
      </c>
      <c r="F351" s="1" t="s">
        <v>173</v>
      </c>
      <c r="G351" s="1" t="s">
        <v>174</v>
      </c>
      <c r="H351" s="6" t="str">
        <f>VLOOKUP(A351,WorldCups!$A$2:$B$23,2,FALSE)</f>
        <v>England</v>
      </c>
      <c r="I351" s="1" t="s">
        <v>57</v>
      </c>
      <c r="J351" s="1">
        <v>2</v>
      </c>
      <c r="K351" s="1" t="s">
        <v>26</v>
      </c>
      <c r="L351" s="1">
        <v>0</v>
      </c>
      <c r="M351" s="1" t="s">
        <v>14</v>
      </c>
    </row>
    <row r="352" spans="1:13" hidden="1" x14ac:dyDescent="0.25">
      <c r="A352" s="1">
        <v>1966</v>
      </c>
      <c r="B352" s="1">
        <v>176</v>
      </c>
      <c r="C352" s="2">
        <v>24301</v>
      </c>
      <c r="D352" s="1" t="s">
        <v>522</v>
      </c>
      <c r="E352" s="1" t="s">
        <v>15</v>
      </c>
      <c r="F352" s="1" t="s">
        <v>173</v>
      </c>
      <c r="G352" s="1" t="s">
        <v>174</v>
      </c>
      <c r="H352" s="6" t="str">
        <f>VLOOKUP(A352,WorldCups!$A$2:$B$23,2,FALSE)</f>
        <v>England</v>
      </c>
      <c r="I352" s="1" t="s">
        <v>26</v>
      </c>
      <c r="J352" s="1">
        <v>0</v>
      </c>
      <c r="K352" s="1" t="s">
        <v>57</v>
      </c>
      <c r="L352" s="1">
        <v>2</v>
      </c>
      <c r="M352" s="1" t="s">
        <v>14</v>
      </c>
    </row>
    <row r="353" spans="1:13" hidden="1" x14ac:dyDescent="0.25">
      <c r="A353" s="1">
        <v>1966</v>
      </c>
      <c r="B353" s="1">
        <f>B352+1</f>
        <v>177</v>
      </c>
      <c r="C353" s="2">
        <v>24303</v>
      </c>
      <c r="D353" s="1" t="s">
        <v>522</v>
      </c>
      <c r="E353" s="1" t="s">
        <v>9</v>
      </c>
      <c r="F353" s="1" t="s">
        <v>175</v>
      </c>
      <c r="G353" s="1" t="s">
        <v>160</v>
      </c>
      <c r="H353" s="6" t="str">
        <f>VLOOKUP(A353,WorldCups!$A$2:$B$23,2,FALSE)</f>
        <v>England</v>
      </c>
      <c r="I353" s="1" t="s">
        <v>30</v>
      </c>
      <c r="J353" s="1">
        <v>2</v>
      </c>
      <c r="K353" s="1" t="s">
        <v>12</v>
      </c>
      <c r="L353" s="1">
        <v>1</v>
      </c>
      <c r="M353" s="1" t="s">
        <v>14</v>
      </c>
    </row>
    <row r="354" spans="1:13" hidden="1" x14ac:dyDescent="0.25">
      <c r="A354" s="1">
        <v>1966</v>
      </c>
      <c r="B354" s="1">
        <v>177</v>
      </c>
      <c r="C354" s="2">
        <v>24303</v>
      </c>
      <c r="D354" s="1" t="s">
        <v>522</v>
      </c>
      <c r="E354" s="1" t="s">
        <v>9</v>
      </c>
      <c r="F354" s="1" t="s">
        <v>175</v>
      </c>
      <c r="G354" s="1" t="s">
        <v>160</v>
      </c>
      <c r="H354" s="6" t="str">
        <f>VLOOKUP(A354,WorldCups!$A$2:$B$23,2,FALSE)</f>
        <v>England</v>
      </c>
      <c r="I354" s="1" t="s">
        <v>12</v>
      </c>
      <c r="J354" s="1">
        <v>1</v>
      </c>
      <c r="K354" s="1" t="s">
        <v>30</v>
      </c>
      <c r="L354" s="1">
        <v>2</v>
      </c>
      <c r="M354" s="1" t="s">
        <v>14</v>
      </c>
    </row>
    <row r="355" spans="1:13" hidden="1" x14ac:dyDescent="0.25">
      <c r="A355" s="1">
        <v>1966</v>
      </c>
      <c r="B355" s="1">
        <f>B354+1</f>
        <v>178</v>
      </c>
      <c r="C355" s="2">
        <v>24303</v>
      </c>
      <c r="D355" s="1" t="s">
        <v>522</v>
      </c>
      <c r="E355" s="1" t="s">
        <v>19</v>
      </c>
      <c r="F355" s="1" t="s">
        <v>161</v>
      </c>
      <c r="G355" s="1" t="s">
        <v>162</v>
      </c>
      <c r="H355" s="6" t="str">
        <f>VLOOKUP(A355,WorldCups!$A$2:$B$23,2,FALSE)</f>
        <v>England</v>
      </c>
      <c r="I355" s="1" t="s">
        <v>54</v>
      </c>
      <c r="J355" s="1">
        <v>2</v>
      </c>
      <c r="K355" s="1" t="s">
        <v>44</v>
      </c>
      <c r="L355" s="1">
        <v>1</v>
      </c>
      <c r="M355" s="1" t="s">
        <v>14</v>
      </c>
    </row>
    <row r="356" spans="1:13" hidden="1" x14ac:dyDescent="0.25">
      <c r="A356" s="1">
        <v>1966</v>
      </c>
      <c r="B356" s="1">
        <v>178</v>
      </c>
      <c r="C356" s="2">
        <v>24303</v>
      </c>
      <c r="D356" s="1" t="s">
        <v>522</v>
      </c>
      <c r="E356" s="1" t="s">
        <v>19</v>
      </c>
      <c r="F356" s="1" t="s">
        <v>161</v>
      </c>
      <c r="G356" s="1" t="s">
        <v>162</v>
      </c>
      <c r="H356" s="6" t="str">
        <f>VLOOKUP(A356,WorldCups!$A$2:$B$23,2,FALSE)</f>
        <v>England</v>
      </c>
      <c r="I356" s="1" t="s">
        <v>44</v>
      </c>
      <c r="J356" s="1">
        <v>1</v>
      </c>
      <c r="K356" s="1" t="s">
        <v>54</v>
      </c>
      <c r="L356" s="1">
        <v>2</v>
      </c>
      <c r="M356" s="1" t="s">
        <v>14</v>
      </c>
    </row>
    <row r="357" spans="1:13" hidden="1" x14ac:dyDescent="0.25">
      <c r="A357" s="1">
        <v>1966</v>
      </c>
      <c r="B357" s="1">
        <f>B356+1</f>
        <v>179</v>
      </c>
      <c r="C357" s="2">
        <v>24303</v>
      </c>
      <c r="D357" s="1" t="s">
        <v>522</v>
      </c>
      <c r="E357" s="1" t="s">
        <v>22</v>
      </c>
      <c r="F357" s="1" t="s">
        <v>163</v>
      </c>
      <c r="G357" s="1" t="s">
        <v>164</v>
      </c>
      <c r="H357" s="6" t="str">
        <f>VLOOKUP(A357,WorldCups!$A$2:$B$23,2,FALSE)</f>
        <v>England</v>
      </c>
      <c r="I357" s="1" t="s">
        <v>40</v>
      </c>
      <c r="J357" s="1">
        <v>3</v>
      </c>
      <c r="K357" s="1" t="s">
        <v>21</v>
      </c>
      <c r="L357" s="1">
        <v>1</v>
      </c>
      <c r="M357" s="1" t="s">
        <v>14</v>
      </c>
    </row>
    <row r="358" spans="1:13" hidden="1" x14ac:dyDescent="0.25">
      <c r="A358" s="1">
        <v>1966</v>
      </c>
      <c r="B358" s="1">
        <v>179</v>
      </c>
      <c r="C358" s="2">
        <v>24303</v>
      </c>
      <c r="D358" s="1" t="s">
        <v>522</v>
      </c>
      <c r="E358" s="1" t="s">
        <v>22</v>
      </c>
      <c r="F358" s="1" t="s">
        <v>163</v>
      </c>
      <c r="G358" s="1" t="s">
        <v>164</v>
      </c>
      <c r="H358" s="6" t="str">
        <f>VLOOKUP(A358,WorldCups!$A$2:$B$23,2,FALSE)</f>
        <v>England</v>
      </c>
      <c r="I358" s="1" t="s">
        <v>21</v>
      </c>
      <c r="J358" s="1">
        <v>1</v>
      </c>
      <c r="K358" s="1" t="s">
        <v>40</v>
      </c>
      <c r="L358" s="1">
        <v>3</v>
      </c>
      <c r="M358" s="1" t="s">
        <v>14</v>
      </c>
    </row>
    <row r="359" spans="1:13" hidden="1" x14ac:dyDescent="0.25">
      <c r="A359" s="1">
        <v>1966</v>
      </c>
      <c r="B359" s="1">
        <f>B358+1</f>
        <v>180</v>
      </c>
      <c r="C359" s="2">
        <v>24303</v>
      </c>
      <c r="D359" s="1" t="s">
        <v>522</v>
      </c>
      <c r="E359" s="1" t="s">
        <v>15</v>
      </c>
      <c r="F359" s="1" t="s">
        <v>165</v>
      </c>
      <c r="G359" s="1" t="s">
        <v>166</v>
      </c>
      <c r="H359" s="6" t="str">
        <f>VLOOKUP(A359,WorldCups!$A$2:$B$23,2,FALSE)</f>
        <v>England</v>
      </c>
      <c r="I359" s="1" t="s">
        <v>167</v>
      </c>
      <c r="J359" s="1">
        <v>1</v>
      </c>
      <c r="K359" s="1" t="s">
        <v>26</v>
      </c>
      <c r="L359" s="1">
        <v>1</v>
      </c>
      <c r="M359" s="1" t="s">
        <v>14</v>
      </c>
    </row>
    <row r="360" spans="1:13" hidden="1" x14ac:dyDescent="0.25">
      <c r="A360" s="1">
        <v>1966</v>
      </c>
      <c r="B360" s="1">
        <v>180</v>
      </c>
      <c r="C360" s="2">
        <v>24303</v>
      </c>
      <c r="D360" s="1" t="s">
        <v>522</v>
      </c>
      <c r="E360" s="1" t="s">
        <v>15</v>
      </c>
      <c r="F360" s="1" t="s">
        <v>165</v>
      </c>
      <c r="G360" s="1" t="s">
        <v>166</v>
      </c>
      <c r="H360" s="6" t="str">
        <f>VLOOKUP(A360,WorldCups!$A$2:$B$23,2,FALSE)</f>
        <v>England</v>
      </c>
      <c r="I360" s="1" t="s">
        <v>26</v>
      </c>
      <c r="J360" s="1">
        <v>1</v>
      </c>
      <c r="K360" s="1" t="s">
        <v>167</v>
      </c>
      <c r="L360" s="1">
        <v>1</v>
      </c>
      <c r="M360" s="1" t="s">
        <v>14</v>
      </c>
    </row>
    <row r="361" spans="1:13" hidden="1" x14ac:dyDescent="0.25">
      <c r="A361" s="1">
        <v>1966</v>
      </c>
      <c r="B361" s="1">
        <f>B360+1</f>
        <v>181</v>
      </c>
      <c r="C361" s="2">
        <v>24304</v>
      </c>
      <c r="D361" s="1" t="s">
        <v>500</v>
      </c>
      <c r="E361" s="1" t="s">
        <v>22</v>
      </c>
      <c r="F361" s="1" t="s">
        <v>168</v>
      </c>
      <c r="G361" s="1" t="s">
        <v>169</v>
      </c>
      <c r="H361" s="6" t="str">
        <f>VLOOKUP(A361,WorldCups!$A$2:$B$23,2,FALSE)</f>
        <v>England</v>
      </c>
      <c r="I361" s="1" t="s">
        <v>170</v>
      </c>
      <c r="J361" s="1">
        <v>3</v>
      </c>
      <c r="K361" s="1" t="s">
        <v>156</v>
      </c>
      <c r="L361" s="1">
        <v>0</v>
      </c>
      <c r="M361" s="1" t="s">
        <v>14</v>
      </c>
    </row>
    <row r="362" spans="1:13" hidden="1" x14ac:dyDescent="0.25">
      <c r="A362" s="1">
        <v>1966</v>
      </c>
      <c r="B362" s="1">
        <v>181</v>
      </c>
      <c r="C362" s="2">
        <v>24304</v>
      </c>
      <c r="D362" s="1" t="s">
        <v>500</v>
      </c>
      <c r="E362" s="1" t="s">
        <v>22</v>
      </c>
      <c r="F362" s="1" t="s">
        <v>168</v>
      </c>
      <c r="G362" s="1" t="s">
        <v>169</v>
      </c>
      <c r="H362" s="6" t="str">
        <f>VLOOKUP(A362,WorldCups!$A$2:$B$23,2,FALSE)</f>
        <v>England</v>
      </c>
      <c r="I362" s="1" t="s">
        <v>156</v>
      </c>
      <c r="J362" s="1">
        <v>0</v>
      </c>
      <c r="K362" s="1" t="s">
        <v>170</v>
      </c>
      <c r="L362" s="1">
        <v>3</v>
      </c>
      <c r="M362" s="1" t="s">
        <v>14</v>
      </c>
    </row>
    <row r="363" spans="1:13" hidden="1" x14ac:dyDescent="0.25">
      <c r="A363" s="1">
        <v>1966</v>
      </c>
      <c r="B363" s="1">
        <f>B362+1</f>
        <v>182</v>
      </c>
      <c r="C363" s="2">
        <v>24304</v>
      </c>
      <c r="D363" s="1" t="s">
        <v>500</v>
      </c>
      <c r="E363" s="1" t="s">
        <v>19</v>
      </c>
      <c r="F363" s="1" t="s">
        <v>171</v>
      </c>
      <c r="G363" s="1" t="s">
        <v>172</v>
      </c>
      <c r="H363" s="6" t="str">
        <f>VLOOKUP(A363,WorldCups!$A$2:$B$23,2,FALSE)</f>
        <v>England</v>
      </c>
      <c r="I363" s="1" t="s">
        <v>114</v>
      </c>
      <c r="J363" s="1">
        <v>0</v>
      </c>
      <c r="K363" s="1" t="s">
        <v>25</v>
      </c>
      <c r="L363" s="1">
        <v>0</v>
      </c>
      <c r="M363" s="1" t="s">
        <v>14</v>
      </c>
    </row>
    <row r="364" spans="1:13" hidden="1" x14ac:dyDescent="0.25">
      <c r="A364" s="1">
        <v>1966</v>
      </c>
      <c r="B364" s="1">
        <v>182</v>
      </c>
      <c r="C364" s="2">
        <v>24304</v>
      </c>
      <c r="D364" s="1" t="s">
        <v>500</v>
      </c>
      <c r="E364" s="1" t="s">
        <v>19</v>
      </c>
      <c r="F364" s="1" t="s">
        <v>171</v>
      </c>
      <c r="G364" s="1" t="s">
        <v>172</v>
      </c>
      <c r="H364" s="6" t="str">
        <f>VLOOKUP(A364,WorldCups!$A$2:$B$23,2,FALSE)</f>
        <v>England</v>
      </c>
      <c r="I364" s="1" t="s">
        <v>25</v>
      </c>
      <c r="J364" s="1">
        <v>0</v>
      </c>
      <c r="K364" s="1" t="s">
        <v>114</v>
      </c>
      <c r="L364" s="1">
        <v>0</v>
      </c>
      <c r="M364" s="1" t="s">
        <v>14</v>
      </c>
    </row>
    <row r="365" spans="1:13" hidden="1" x14ac:dyDescent="0.25">
      <c r="A365" s="1">
        <v>1966</v>
      </c>
      <c r="B365" s="1">
        <f>B364+1</f>
        <v>183</v>
      </c>
      <c r="C365" s="2">
        <v>24304</v>
      </c>
      <c r="D365" s="1" t="s">
        <v>500</v>
      </c>
      <c r="E365" s="1" t="s">
        <v>15</v>
      </c>
      <c r="F365" s="1" t="s">
        <v>173</v>
      </c>
      <c r="G365" s="1" t="s">
        <v>174</v>
      </c>
      <c r="H365" s="6" t="str">
        <f>VLOOKUP(A365,WorldCups!$A$2:$B$23,2,FALSE)</f>
        <v>England</v>
      </c>
      <c r="I365" s="1" t="s">
        <v>126</v>
      </c>
      <c r="J365" s="1">
        <v>1</v>
      </c>
      <c r="K365" s="1" t="s">
        <v>57</v>
      </c>
      <c r="L365" s="1">
        <v>0</v>
      </c>
      <c r="M365" s="1" t="s">
        <v>14</v>
      </c>
    </row>
    <row r="366" spans="1:13" hidden="1" x14ac:dyDescent="0.25">
      <c r="A366" s="1">
        <v>1966</v>
      </c>
      <c r="B366" s="1">
        <v>183</v>
      </c>
      <c r="C366" s="2">
        <v>24304</v>
      </c>
      <c r="D366" s="1" t="s">
        <v>500</v>
      </c>
      <c r="E366" s="1" t="s">
        <v>15</v>
      </c>
      <c r="F366" s="1" t="s">
        <v>173</v>
      </c>
      <c r="G366" s="1" t="s">
        <v>174</v>
      </c>
      <c r="H366" s="6" t="str">
        <f>VLOOKUP(A366,WorldCups!$A$2:$B$23,2,FALSE)</f>
        <v>England</v>
      </c>
      <c r="I366" s="1" t="s">
        <v>57</v>
      </c>
      <c r="J366" s="1">
        <v>0</v>
      </c>
      <c r="K366" s="1" t="s">
        <v>126</v>
      </c>
      <c r="L366" s="1">
        <v>1</v>
      </c>
      <c r="M366" s="1" t="s">
        <v>14</v>
      </c>
    </row>
    <row r="367" spans="1:13" hidden="1" x14ac:dyDescent="0.25">
      <c r="A367" s="1">
        <v>1966</v>
      </c>
      <c r="B367" s="1">
        <f>B366+1</f>
        <v>184</v>
      </c>
      <c r="C367" s="2">
        <v>24304</v>
      </c>
      <c r="D367" s="1" t="s">
        <v>522</v>
      </c>
      <c r="E367" s="1" t="s">
        <v>9</v>
      </c>
      <c r="F367" s="1" t="s">
        <v>159</v>
      </c>
      <c r="G367" s="1" t="s">
        <v>160</v>
      </c>
      <c r="H367" s="6" t="str">
        <f>VLOOKUP(A367,WorldCups!$A$2:$B$23,2,FALSE)</f>
        <v>England</v>
      </c>
      <c r="I367" s="1" t="s">
        <v>93</v>
      </c>
      <c r="J367" s="1">
        <v>2</v>
      </c>
      <c r="K367" s="1" t="s">
        <v>13</v>
      </c>
      <c r="L367" s="1">
        <v>0</v>
      </c>
      <c r="M367" s="1" t="s">
        <v>14</v>
      </c>
    </row>
    <row r="368" spans="1:13" hidden="1" x14ac:dyDescent="0.25">
      <c r="A368" s="1">
        <v>1966</v>
      </c>
      <c r="B368" s="1">
        <v>184</v>
      </c>
      <c r="C368" s="2">
        <v>24304</v>
      </c>
      <c r="D368" s="1" t="s">
        <v>522</v>
      </c>
      <c r="E368" s="1" t="s">
        <v>9</v>
      </c>
      <c r="F368" s="1" t="s">
        <v>159</v>
      </c>
      <c r="G368" s="1" t="s">
        <v>160</v>
      </c>
      <c r="H368" s="6" t="str">
        <f>VLOOKUP(A368,WorldCups!$A$2:$B$23,2,FALSE)</f>
        <v>England</v>
      </c>
      <c r="I368" s="1" t="s">
        <v>13</v>
      </c>
      <c r="J368" s="1">
        <v>0</v>
      </c>
      <c r="K368" s="1" t="s">
        <v>93</v>
      </c>
      <c r="L368" s="1">
        <v>2</v>
      </c>
      <c r="M368" s="1" t="s">
        <v>14</v>
      </c>
    </row>
    <row r="369" spans="1:13" hidden="1" x14ac:dyDescent="0.25">
      <c r="A369" s="1">
        <v>1966</v>
      </c>
      <c r="B369" s="1">
        <f>B368+1</f>
        <v>185</v>
      </c>
      <c r="C369" s="2">
        <v>24307</v>
      </c>
      <c r="D369" s="1" t="s">
        <v>509</v>
      </c>
      <c r="E369" s="1" t="s">
        <v>9</v>
      </c>
      <c r="F369" s="1" t="s">
        <v>159</v>
      </c>
      <c r="G369" s="1" t="s">
        <v>160</v>
      </c>
      <c r="H369" s="6" t="str">
        <f>VLOOKUP(A369,WorldCups!$A$2:$B$23,2,FALSE)</f>
        <v>England</v>
      </c>
      <c r="I369" s="1" t="s">
        <v>30</v>
      </c>
      <c r="J369" s="1">
        <v>0</v>
      </c>
      <c r="K369" s="1" t="s">
        <v>13</v>
      </c>
      <c r="L369" s="1">
        <v>0</v>
      </c>
      <c r="M369" s="1" t="s">
        <v>14</v>
      </c>
    </row>
    <row r="370" spans="1:13" hidden="1" x14ac:dyDescent="0.25">
      <c r="A370" s="1">
        <v>1966</v>
      </c>
      <c r="B370" s="1">
        <v>185</v>
      </c>
      <c r="C370" s="2">
        <v>24307</v>
      </c>
      <c r="D370" s="1" t="s">
        <v>509</v>
      </c>
      <c r="E370" s="1" t="s">
        <v>9</v>
      </c>
      <c r="F370" s="1" t="s">
        <v>159</v>
      </c>
      <c r="G370" s="1" t="s">
        <v>160</v>
      </c>
      <c r="H370" s="6" t="str">
        <f>VLOOKUP(A370,WorldCups!$A$2:$B$23,2,FALSE)</f>
        <v>England</v>
      </c>
      <c r="I370" s="1" t="s">
        <v>13</v>
      </c>
      <c r="J370" s="1">
        <v>0</v>
      </c>
      <c r="K370" s="1" t="s">
        <v>30</v>
      </c>
      <c r="L370" s="1">
        <v>0</v>
      </c>
      <c r="M370" s="1" t="s">
        <v>14</v>
      </c>
    </row>
    <row r="371" spans="1:13" hidden="1" x14ac:dyDescent="0.25">
      <c r="A371" s="1">
        <v>1966</v>
      </c>
      <c r="B371" s="1">
        <f>B370+1</f>
        <v>186</v>
      </c>
      <c r="C371" s="2">
        <v>24307</v>
      </c>
      <c r="D371" s="1" t="s">
        <v>522</v>
      </c>
      <c r="E371" s="1" t="s">
        <v>19</v>
      </c>
      <c r="F371" s="1" t="s">
        <v>161</v>
      </c>
      <c r="G371" s="1" t="s">
        <v>162</v>
      </c>
      <c r="H371" s="6" t="str">
        <f>VLOOKUP(A371,WorldCups!$A$2:$B$23,2,FALSE)</f>
        <v>England</v>
      </c>
      <c r="I371" s="1" t="s">
        <v>25</v>
      </c>
      <c r="J371" s="1">
        <v>2</v>
      </c>
      <c r="K371" s="1" t="s">
        <v>44</v>
      </c>
      <c r="L371" s="1">
        <v>0</v>
      </c>
      <c r="M371" s="1" t="s">
        <v>14</v>
      </c>
    </row>
    <row r="372" spans="1:13" hidden="1" x14ac:dyDescent="0.25">
      <c r="A372" s="1">
        <v>1966</v>
      </c>
      <c r="B372" s="1">
        <v>186</v>
      </c>
      <c r="C372" s="2">
        <v>24307</v>
      </c>
      <c r="D372" s="1" t="s">
        <v>522</v>
      </c>
      <c r="E372" s="1" t="s">
        <v>19</v>
      </c>
      <c r="F372" s="1" t="s">
        <v>161</v>
      </c>
      <c r="G372" s="1" t="s">
        <v>162</v>
      </c>
      <c r="H372" s="6" t="str">
        <f>VLOOKUP(A372,WorldCups!$A$2:$B$23,2,FALSE)</f>
        <v>England</v>
      </c>
      <c r="I372" s="1" t="s">
        <v>44</v>
      </c>
      <c r="J372" s="1">
        <v>0</v>
      </c>
      <c r="K372" s="1" t="s">
        <v>25</v>
      </c>
      <c r="L372" s="1">
        <v>2</v>
      </c>
      <c r="M372" s="1" t="s">
        <v>14</v>
      </c>
    </row>
    <row r="373" spans="1:13" hidden="1" x14ac:dyDescent="0.25">
      <c r="A373" s="1">
        <v>1966</v>
      </c>
      <c r="B373" s="1">
        <f>B372+1</f>
        <v>187</v>
      </c>
      <c r="C373" s="2">
        <v>24307</v>
      </c>
      <c r="D373" s="1" t="s">
        <v>522</v>
      </c>
      <c r="E373" s="1" t="s">
        <v>22</v>
      </c>
      <c r="F373" s="1" t="s">
        <v>163</v>
      </c>
      <c r="G373" s="1" t="s">
        <v>164</v>
      </c>
      <c r="H373" s="6" t="str">
        <f>VLOOKUP(A373,WorldCups!$A$2:$B$23,2,FALSE)</f>
        <v>England</v>
      </c>
      <c r="I373" s="1" t="s">
        <v>170</v>
      </c>
      <c r="J373" s="1">
        <v>3</v>
      </c>
      <c r="K373" s="1" t="s">
        <v>21</v>
      </c>
      <c r="L373" s="1">
        <v>1</v>
      </c>
      <c r="M373" s="1" t="s">
        <v>14</v>
      </c>
    </row>
    <row r="374" spans="1:13" hidden="1" x14ac:dyDescent="0.25">
      <c r="A374" s="1">
        <v>1966</v>
      </c>
      <c r="B374" s="1">
        <v>187</v>
      </c>
      <c r="C374" s="2">
        <v>24307</v>
      </c>
      <c r="D374" s="1" t="s">
        <v>522</v>
      </c>
      <c r="E374" s="1" t="s">
        <v>22</v>
      </c>
      <c r="F374" s="1" t="s">
        <v>163</v>
      </c>
      <c r="G374" s="1" t="s">
        <v>164</v>
      </c>
      <c r="H374" s="6" t="str">
        <f>VLOOKUP(A374,WorldCups!$A$2:$B$23,2,FALSE)</f>
        <v>England</v>
      </c>
      <c r="I374" s="1" t="s">
        <v>21</v>
      </c>
      <c r="J374" s="1">
        <v>1</v>
      </c>
      <c r="K374" s="1" t="s">
        <v>170</v>
      </c>
      <c r="L374" s="1">
        <v>3</v>
      </c>
      <c r="M374" s="1" t="s">
        <v>14</v>
      </c>
    </row>
    <row r="375" spans="1:13" hidden="1" x14ac:dyDescent="0.25">
      <c r="A375" s="1">
        <v>1966</v>
      </c>
      <c r="B375" s="1">
        <f>B374+1</f>
        <v>188</v>
      </c>
      <c r="C375" s="2">
        <v>24307</v>
      </c>
      <c r="D375" s="1" t="s">
        <v>522</v>
      </c>
      <c r="E375" s="1" t="s">
        <v>15</v>
      </c>
      <c r="F375" s="1" t="s">
        <v>165</v>
      </c>
      <c r="G375" s="1" t="s">
        <v>166</v>
      </c>
      <c r="H375" s="6" t="str">
        <f>VLOOKUP(A375,WorldCups!$A$2:$B$23,2,FALSE)</f>
        <v>England</v>
      </c>
      <c r="I375" s="1" t="s">
        <v>167</v>
      </c>
      <c r="J375" s="1">
        <v>1</v>
      </c>
      <c r="K375" s="1" t="s">
        <v>57</v>
      </c>
      <c r="L375" s="1">
        <v>0</v>
      </c>
      <c r="M375" s="1" t="s">
        <v>14</v>
      </c>
    </row>
    <row r="376" spans="1:13" hidden="1" x14ac:dyDescent="0.25">
      <c r="A376" s="1">
        <v>1966</v>
      </c>
      <c r="B376" s="1">
        <v>188</v>
      </c>
      <c r="C376" s="2">
        <v>24307</v>
      </c>
      <c r="D376" s="1" t="s">
        <v>522</v>
      </c>
      <c r="E376" s="1" t="s">
        <v>15</v>
      </c>
      <c r="F376" s="1" t="s">
        <v>165</v>
      </c>
      <c r="G376" s="1" t="s">
        <v>166</v>
      </c>
      <c r="H376" s="6" t="str">
        <f>VLOOKUP(A376,WorldCups!$A$2:$B$23,2,FALSE)</f>
        <v>England</v>
      </c>
      <c r="I376" s="1" t="s">
        <v>57</v>
      </c>
      <c r="J376" s="1">
        <v>0</v>
      </c>
      <c r="K376" s="1" t="s">
        <v>167</v>
      </c>
      <c r="L376" s="1">
        <v>1</v>
      </c>
      <c r="M376" s="1" t="s">
        <v>14</v>
      </c>
    </row>
    <row r="377" spans="1:13" hidden="1" x14ac:dyDescent="0.25">
      <c r="A377" s="1">
        <v>1966</v>
      </c>
      <c r="B377" s="1">
        <f>B376+1</f>
        <v>189</v>
      </c>
      <c r="C377" s="2">
        <v>24308</v>
      </c>
      <c r="D377" s="1" t="s">
        <v>522</v>
      </c>
      <c r="E377" s="1" t="s">
        <v>9</v>
      </c>
      <c r="F377" s="1" t="s">
        <v>159</v>
      </c>
      <c r="G377" s="1" t="s">
        <v>160</v>
      </c>
      <c r="H377" s="6" t="str">
        <f>VLOOKUP(A377,WorldCups!$A$2:$B$23,2,FALSE)</f>
        <v>England</v>
      </c>
      <c r="I377" s="1" t="s">
        <v>93</v>
      </c>
      <c r="J377" s="1">
        <v>2</v>
      </c>
      <c r="K377" s="1" t="s">
        <v>12</v>
      </c>
      <c r="L377" s="1">
        <v>0</v>
      </c>
      <c r="M377" s="1" t="s">
        <v>14</v>
      </c>
    </row>
    <row r="378" spans="1:13" hidden="1" x14ac:dyDescent="0.25">
      <c r="A378" s="1">
        <v>1966</v>
      </c>
      <c r="B378" s="1">
        <v>189</v>
      </c>
      <c r="C378" s="2">
        <v>24308</v>
      </c>
      <c r="D378" s="1" t="s">
        <v>522</v>
      </c>
      <c r="E378" s="1" t="s">
        <v>9</v>
      </c>
      <c r="F378" s="1" t="s">
        <v>159</v>
      </c>
      <c r="G378" s="1" t="s">
        <v>160</v>
      </c>
      <c r="H378" s="6" t="str">
        <f>VLOOKUP(A378,WorldCups!$A$2:$B$23,2,FALSE)</f>
        <v>England</v>
      </c>
      <c r="I378" s="1" t="s">
        <v>12</v>
      </c>
      <c r="J378" s="1">
        <v>0</v>
      </c>
      <c r="K378" s="1" t="s">
        <v>93</v>
      </c>
      <c r="L378" s="1">
        <v>2</v>
      </c>
      <c r="M378" s="1" t="s">
        <v>14</v>
      </c>
    </row>
    <row r="379" spans="1:13" hidden="1" x14ac:dyDescent="0.25">
      <c r="A379" s="1">
        <v>1966</v>
      </c>
      <c r="B379" s="1">
        <f>B378+1</f>
        <v>190</v>
      </c>
      <c r="C379" s="2">
        <v>24308</v>
      </c>
      <c r="D379" s="1" t="s">
        <v>522</v>
      </c>
      <c r="E379" s="1" t="s">
        <v>22</v>
      </c>
      <c r="F379" s="1" t="s">
        <v>168</v>
      </c>
      <c r="G379" s="1" t="s">
        <v>169</v>
      </c>
      <c r="H379" s="6" t="str">
        <f>VLOOKUP(A379,WorldCups!$A$2:$B$23,2,FALSE)</f>
        <v>England</v>
      </c>
      <c r="I379" s="1" t="s">
        <v>40</v>
      </c>
      <c r="J379" s="1">
        <v>3</v>
      </c>
      <c r="K379" s="1" t="s">
        <v>156</v>
      </c>
      <c r="L379" s="1">
        <v>1</v>
      </c>
      <c r="M379" s="1" t="s">
        <v>14</v>
      </c>
    </row>
    <row r="380" spans="1:13" hidden="1" x14ac:dyDescent="0.25">
      <c r="A380" s="1">
        <v>1966</v>
      </c>
      <c r="B380" s="1">
        <v>190</v>
      </c>
      <c r="C380" s="2">
        <v>24308</v>
      </c>
      <c r="D380" s="1" t="s">
        <v>522</v>
      </c>
      <c r="E380" s="1" t="s">
        <v>22</v>
      </c>
      <c r="F380" s="1" t="s">
        <v>168</v>
      </c>
      <c r="G380" s="1" t="s">
        <v>169</v>
      </c>
      <c r="H380" s="6" t="str">
        <f>VLOOKUP(A380,WorldCups!$A$2:$B$23,2,FALSE)</f>
        <v>England</v>
      </c>
      <c r="I380" s="1" t="s">
        <v>156</v>
      </c>
      <c r="J380" s="1">
        <v>1</v>
      </c>
      <c r="K380" s="1" t="s">
        <v>40</v>
      </c>
      <c r="L380" s="1">
        <v>3</v>
      </c>
      <c r="M380" s="1" t="s">
        <v>14</v>
      </c>
    </row>
    <row r="381" spans="1:13" hidden="1" x14ac:dyDescent="0.25">
      <c r="A381" s="1">
        <v>1966</v>
      </c>
      <c r="B381" s="1">
        <f>B380+1</f>
        <v>191</v>
      </c>
      <c r="C381" s="2">
        <v>24308</v>
      </c>
      <c r="D381" s="1" t="s">
        <v>522</v>
      </c>
      <c r="E381" s="1" t="s">
        <v>19</v>
      </c>
      <c r="F381" s="1" t="s">
        <v>171</v>
      </c>
      <c r="G381" s="1" t="s">
        <v>172</v>
      </c>
      <c r="H381" s="6" t="str">
        <f>VLOOKUP(A381,WorldCups!$A$2:$B$23,2,FALSE)</f>
        <v>England</v>
      </c>
      <c r="I381" s="1" t="s">
        <v>114</v>
      </c>
      <c r="J381" s="1">
        <v>2</v>
      </c>
      <c r="K381" s="1" t="s">
        <v>54</v>
      </c>
      <c r="L381" s="1">
        <v>1</v>
      </c>
      <c r="M381" s="1" t="s">
        <v>14</v>
      </c>
    </row>
    <row r="382" spans="1:13" hidden="1" x14ac:dyDescent="0.25">
      <c r="A382" s="1">
        <v>1966</v>
      </c>
      <c r="B382" s="1">
        <v>191</v>
      </c>
      <c r="C382" s="2">
        <v>24308</v>
      </c>
      <c r="D382" s="1" t="s">
        <v>522</v>
      </c>
      <c r="E382" s="1" t="s">
        <v>19</v>
      </c>
      <c r="F382" s="1" t="s">
        <v>171</v>
      </c>
      <c r="G382" s="1" t="s">
        <v>172</v>
      </c>
      <c r="H382" s="6" t="str">
        <f>VLOOKUP(A382,WorldCups!$A$2:$B$23,2,FALSE)</f>
        <v>England</v>
      </c>
      <c r="I382" s="1" t="s">
        <v>54</v>
      </c>
      <c r="J382" s="1">
        <v>1</v>
      </c>
      <c r="K382" s="1" t="s">
        <v>114</v>
      </c>
      <c r="L382" s="1">
        <v>2</v>
      </c>
      <c r="M382" s="1" t="s">
        <v>14</v>
      </c>
    </row>
    <row r="383" spans="1:13" hidden="1" x14ac:dyDescent="0.25">
      <c r="A383" s="1">
        <v>1966</v>
      </c>
      <c r="B383" s="1">
        <f>B382+1</f>
        <v>192</v>
      </c>
      <c r="C383" s="2">
        <v>24308</v>
      </c>
      <c r="D383" s="1" t="s">
        <v>522</v>
      </c>
      <c r="E383" s="1" t="s">
        <v>15</v>
      </c>
      <c r="F383" s="1" t="s">
        <v>173</v>
      </c>
      <c r="G383" s="1" t="s">
        <v>174</v>
      </c>
      <c r="H383" s="6" t="str">
        <f>VLOOKUP(A383,WorldCups!$A$2:$B$23,2,FALSE)</f>
        <v>England</v>
      </c>
      <c r="I383" s="1" t="s">
        <v>126</v>
      </c>
      <c r="J383" s="1">
        <v>2</v>
      </c>
      <c r="K383" s="1" t="s">
        <v>26</v>
      </c>
      <c r="L383" s="1">
        <v>1</v>
      </c>
      <c r="M383" s="1" t="s">
        <v>14</v>
      </c>
    </row>
    <row r="384" spans="1:13" hidden="1" x14ac:dyDescent="0.25">
      <c r="A384" s="1">
        <v>1966</v>
      </c>
      <c r="B384" s="1">
        <v>192</v>
      </c>
      <c r="C384" s="2">
        <v>24308</v>
      </c>
      <c r="D384" s="1" t="s">
        <v>522</v>
      </c>
      <c r="E384" s="1" t="s">
        <v>15</v>
      </c>
      <c r="F384" s="1" t="s">
        <v>173</v>
      </c>
      <c r="G384" s="1" t="s">
        <v>174</v>
      </c>
      <c r="H384" s="6" t="str">
        <f>VLOOKUP(A384,WorldCups!$A$2:$B$23,2,FALSE)</f>
        <v>England</v>
      </c>
      <c r="I384" s="1" t="s">
        <v>26</v>
      </c>
      <c r="J384" s="1">
        <v>1</v>
      </c>
      <c r="K384" s="1" t="s">
        <v>126</v>
      </c>
      <c r="L384" s="1">
        <v>2</v>
      </c>
      <c r="M384" s="1" t="s">
        <v>14</v>
      </c>
    </row>
    <row r="385" spans="1:13" hidden="1" x14ac:dyDescent="0.25">
      <c r="A385" s="1">
        <v>1966</v>
      </c>
      <c r="B385" s="1">
        <f>B384+1</f>
        <v>193</v>
      </c>
      <c r="C385" s="2">
        <v>24311</v>
      </c>
      <c r="D385" s="1" t="s">
        <v>500</v>
      </c>
      <c r="E385" s="1" t="s">
        <v>61</v>
      </c>
      <c r="F385" s="1" t="s">
        <v>159</v>
      </c>
      <c r="G385" s="1" t="s">
        <v>160</v>
      </c>
      <c r="H385" s="6" t="str">
        <f>VLOOKUP(A385,WorldCups!$A$2:$B$23,2,FALSE)</f>
        <v>England</v>
      </c>
      <c r="I385" s="1" t="s">
        <v>93</v>
      </c>
      <c r="J385" s="1">
        <v>1</v>
      </c>
      <c r="K385" s="1" t="s">
        <v>25</v>
      </c>
      <c r="L385" s="1">
        <v>0</v>
      </c>
      <c r="M385" s="1" t="s">
        <v>14</v>
      </c>
    </row>
    <row r="386" spans="1:13" hidden="1" x14ac:dyDescent="0.25">
      <c r="A386" s="1">
        <v>1966</v>
      </c>
      <c r="B386" s="1">
        <v>193</v>
      </c>
      <c r="C386" s="2">
        <v>24311</v>
      </c>
      <c r="D386" s="1" t="s">
        <v>500</v>
      </c>
      <c r="E386" s="1" t="s">
        <v>61</v>
      </c>
      <c r="F386" s="1" t="s">
        <v>159</v>
      </c>
      <c r="G386" s="1" t="s">
        <v>160</v>
      </c>
      <c r="H386" s="6" t="str">
        <f>VLOOKUP(A386,WorldCups!$A$2:$B$23,2,FALSE)</f>
        <v>England</v>
      </c>
      <c r="I386" s="1" t="s">
        <v>25</v>
      </c>
      <c r="J386" s="1">
        <v>0</v>
      </c>
      <c r="K386" s="1" t="s">
        <v>93</v>
      </c>
      <c r="L386" s="1">
        <v>1</v>
      </c>
      <c r="M386" s="1" t="s">
        <v>14</v>
      </c>
    </row>
    <row r="387" spans="1:13" hidden="1" x14ac:dyDescent="0.25">
      <c r="A387" s="1">
        <v>1966</v>
      </c>
      <c r="B387" s="1">
        <f>B386+1</f>
        <v>194</v>
      </c>
      <c r="C387" s="2">
        <v>24311</v>
      </c>
      <c r="D387" s="1" t="s">
        <v>500</v>
      </c>
      <c r="E387" s="1" t="s">
        <v>61</v>
      </c>
      <c r="F387" s="1" t="s">
        <v>161</v>
      </c>
      <c r="G387" s="1" t="s">
        <v>162</v>
      </c>
      <c r="H387" s="6" t="str">
        <f>VLOOKUP(A387,WorldCups!$A$2:$B$23,2,FALSE)</f>
        <v>England</v>
      </c>
      <c r="I387" s="1" t="s">
        <v>114</v>
      </c>
      <c r="J387" s="1">
        <v>4</v>
      </c>
      <c r="K387" s="1" t="s">
        <v>30</v>
      </c>
      <c r="L387" s="1">
        <v>0</v>
      </c>
      <c r="M387" s="1" t="s">
        <v>14</v>
      </c>
    </row>
    <row r="388" spans="1:13" hidden="1" x14ac:dyDescent="0.25">
      <c r="A388" s="1">
        <v>1966</v>
      </c>
      <c r="B388" s="1">
        <v>194</v>
      </c>
      <c r="C388" s="2">
        <v>24311</v>
      </c>
      <c r="D388" s="1" t="s">
        <v>500</v>
      </c>
      <c r="E388" s="1" t="s">
        <v>61</v>
      </c>
      <c r="F388" s="1" t="s">
        <v>161</v>
      </c>
      <c r="G388" s="1" t="s">
        <v>162</v>
      </c>
      <c r="H388" s="6" t="str">
        <f>VLOOKUP(A388,WorldCups!$A$2:$B$23,2,FALSE)</f>
        <v>England</v>
      </c>
      <c r="I388" s="1" t="s">
        <v>30</v>
      </c>
      <c r="J388" s="1">
        <v>0</v>
      </c>
      <c r="K388" s="1" t="s">
        <v>114</v>
      </c>
      <c r="L388" s="1">
        <v>4</v>
      </c>
      <c r="M388" s="1" t="s">
        <v>14</v>
      </c>
    </row>
    <row r="389" spans="1:13" hidden="1" x14ac:dyDescent="0.25">
      <c r="A389" s="1">
        <v>1966</v>
      </c>
      <c r="B389" s="1">
        <f>B388+1</f>
        <v>195</v>
      </c>
      <c r="C389" s="2">
        <v>24311</v>
      </c>
      <c r="D389" s="1" t="s">
        <v>500</v>
      </c>
      <c r="E389" s="1" t="s">
        <v>61</v>
      </c>
      <c r="F389" s="1" t="s">
        <v>173</v>
      </c>
      <c r="G389" s="1" t="s">
        <v>174</v>
      </c>
      <c r="H389" s="6" t="str">
        <f>VLOOKUP(A389,WorldCups!$A$2:$B$23,2,FALSE)</f>
        <v>England</v>
      </c>
      <c r="I389" s="1" t="s">
        <v>126</v>
      </c>
      <c r="J389" s="1">
        <v>2</v>
      </c>
      <c r="K389" s="1" t="s">
        <v>40</v>
      </c>
      <c r="L389" s="1">
        <v>1</v>
      </c>
      <c r="M389" s="1" t="s">
        <v>14</v>
      </c>
    </row>
    <row r="390" spans="1:13" hidden="1" x14ac:dyDescent="0.25">
      <c r="A390" s="1">
        <v>1966</v>
      </c>
      <c r="B390" s="1">
        <v>195</v>
      </c>
      <c r="C390" s="2">
        <v>24311</v>
      </c>
      <c r="D390" s="1" t="s">
        <v>500</v>
      </c>
      <c r="E390" s="1" t="s">
        <v>61</v>
      </c>
      <c r="F390" s="1" t="s">
        <v>173</v>
      </c>
      <c r="G390" s="1" t="s">
        <v>174</v>
      </c>
      <c r="H390" s="6" t="str">
        <f>VLOOKUP(A390,WorldCups!$A$2:$B$23,2,FALSE)</f>
        <v>England</v>
      </c>
      <c r="I390" s="1" t="s">
        <v>40</v>
      </c>
      <c r="J390" s="1">
        <v>1</v>
      </c>
      <c r="K390" s="1" t="s">
        <v>126</v>
      </c>
      <c r="L390" s="1">
        <v>2</v>
      </c>
      <c r="M390" s="1" t="s">
        <v>14</v>
      </c>
    </row>
    <row r="391" spans="1:13" hidden="1" x14ac:dyDescent="0.25">
      <c r="A391" s="1">
        <v>1966</v>
      </c>
      <c r="B391" s="1">
        <f>B390+1</f>
        <v>196</v>
      </c>
      <c r="C391" s="2">
        <v>24311</v>
      </c>
      <c r="D391" s="1" t="s">
        <v>500</v>
      </c>
      <c r="E391" s="1" t="s">
        <v>61</v>
      </c>
      <c r="F391" s="1" t="s">
        <v>163</v>
      </c>
      <c r="G391" s="1" t="s">
        <v>164</v>
      </c>
      <c r="H391" s="6" t="str">
        <f>VLOOKUP(A391,WorldCups!$A$2:$B$23,2,FALSE)</f>
        <v>England</v>
      </c>
      <c r="I391" s="1" t="s">
        <v>170</v>
      </c>
      <c r="J391" s="1">
        <v>5</v>
      </c>
      <c r="K391" s="1" t="s">
        <v>167</v>
      </c>
      <c r="L391" s="1">
        <v>3</v>
      </c>
      <c r="M391" s="1" t="s">
        <v>14</v>
      </c>
    </row>
    <row r="392" spans="1:13" hidden="1" x14ac:dyDescent="0.25">
      <c r="A392" s="1">
        <v>1966</v>
      </c>
      <c r="B392" s="1">
        <v>196</v>
      </c>
      <c r="C392" s="2">
        <v>24311</v>
      </c>
      <c r="D392" s="1" t="s">
        <v>500</v>
      </c>
      <c r="E392" s="1" t="s">
        <v>61</v>
      </c>
      <c r="F392" s="1" t="s">
        <v>163</v>
      </c>
      <c r="G392" s="1" t="s">
        <v>164</v>
      </c>
      <c r="H392" s="6" t="str">
        <f>VLOOKUP(A392,WorldCups!$A$2:$B$23,2,FALSE)</f>
        <v>England</v>
      </c>
      <c r="I392" s="1" t="s">
        <v>167</v>
      </c>
      <c r="J392" s="1">
        <v>3</v>
      </c>
      <c r="K392" s="1" t="s">
        <v>170</v>
      </c>
      <c r="L392" s="1">
        <v>5</v>
      </c>
      <c r="M392" s="1" t="s">
        <v>14</v>
      </c>
    </row>
    <row r="393" spans="1:13" hidden="1" x14ac:dyDescent="0.25">
      <c r="A393" s="1">
        <v>1966</v>
      </c>
      <c r="B393" s="1">
        <f>B392+1</f>
        <v>197</v>
      </c>
      <c r="C393" s="2">
        <v>24313</v>
      </c>
      <c r="D393" s="1" t="s">
        <v>522</v>
      </c>
      <c r="E393" s="1" t="s">
        <v>31</v>
      </c>
      <c r="F393" s="1" t="s">
        <v>163</v>
      </c>
      <c r="G393" s="1" t="s">
        <v>164</v>
      </c>
      <c r="H393" s="6" t="str">
        <f>VLOOKUP(A393,WorldCups!$A$2:$B$23,2,FALSE)</f>
        <v>England</v>
      </c>
      <c r="I393" s="1" t="s">
        <v>114</v>
      </c>
      <c r="J393" s="1">
        <v>2</v>
      </c>
      <c r="K393" s="1" t="s">
        <v>126</v>
      </c>
      <c r="L393" s="1">
        <v>1</v>
      </c>
      <c r="M393" s="1" t="s">
        <v>14</v>
      </c>
    </row>
    <row r="394" spans="1:13" hidden="1" x14ac:dyDescent="0.25">
      <c r="A394" s="1">
        <v>1966</v>
      </c>
      <c r="B394" s="1">
        <v>197</v>
      </c>
      <c r="C394" s="2">
        <v>24313</v>
      </c>
      <c r="D394" s="1" t="s">
        <v>522</v>
      </c>
      <c r="E394" s="1" t="s">
        <v>31</v>
      </c>
      <c r="F394" s="1" t="s">
        <v>163</v>
      </c>
      <c r="G394" s="1" t="s">
        <v>164</v>
      </c>
      <c r="H394" s="6" t="str">
        <f>VLOOKUP(A394,WorldCups!$A$2:$B$23,2,FALSE)</f>
        <v>England</v>
      </c>
      <c r="I394" s="1" t="s">
        <v>126</v>
      </c>
      <c r="J394" s="1">
        <v>1</v>
      </c>
      <c r="K394" s="1" t="s">
        <v>114</v>
      </c>
      <c r="L394" s="1">
        <v>2</v>
      </c>
      <c r="M394" s="1" t="s">
        <v>14</v>
      </c>
    </row>
    <row r="395" spans="1:13" hidden="1" x14ac:dyDescent="0.25">
      <c r="A395" s="1">
        <v>1966</v>
      </c>
      <c r="B395" s="1">
        <f>B394+1</f>
        <v>198</v>
      </c>
      <c r="C395" s="2">
        <v>24314</v>
      </c>
      <c r="D395" s="1" t="s">
        <v>522</v>
      </c>
      <c r="E395" s="1" t="s">
        <v>31</v>
      </c>
      <c r="F395" s="1" t="s">
        <v>159</v>
      </c>
      <c r="G395" s="1" t="s">
        <v>160</v>
      </c>
      <c r="H395" s="6" t="str">
        <f>VLOOKUP(A395,WorldCups!$A$2:$B$23,2,FALSE)</f>
        <v>England</v>
      </c>
      <c r="I395" s="1" t="s">
        <v>93</v>
      </c>
      <c r="J395" s="1">
        <v>2</v>
      </c>
      <c r="K395" s="1" t="s">
        <v>170</v>
      </c>
      <c r="L395" s="1">
        <v>1</v>
      </c>
      <c r="M395" s="1" t="s">
        <v>14</v>
      </c>
    </row>
    <row r="396" spans="1:13" hidden="1" x14ac:dyDescent="0.25">
      <c r="A396" s="1">
        <v>1966</v>
      </c>
      <c r="B396" s="1">
        <v>198</v>
      </c>
      <c r="C396" s="2">
        <v>24314</v>
      </c>
      <c r="D396" s="1" t="s">
        <v>522</v>
      </c>
      <c r="E396" s="1" t="s">
        <v>31</v>
      </c>
      <c r="F396" s="1" t="s">
        <v>159</v>
      </c>
      <c r="G396" s="1" t="s">
        <v>160</v>
      </c>
      <c r="H396" s="6" t="str">
        <f>VLOOKUP(A396,WorldCups!$A$2:$B$23,2,FALSE)</f>
        <v>England</v>
      </c>
      <c r="I396" s="1" t="s">
        <v>170</v>
      </c>
      <c r="J396" s="1">
        <v>1</v>
      </c>
      <c r="K396" s="1" t="s">
        <v>93</v>
      </c>
      <c r="L396" s="1">
        <v>2</v>
      </c>
      <c r="M396" s="1" t="s">
        <v>14</v>
      </c>
    </row>
    <row r="397" spans="1:13" hidden="1" x14ac:dyDescent="0.25">
      <c r="A397" s="1">
        <v>1966</v>
      </c>
      <c r="B397" s="1">
        <f>B396+1</f>
        <v>199</v>
      </c>
      <c r="C397" s="2">
        <v>24316</v>
      </c>
      <c r="D397" s="1" t="s">
        <v>522</v>
      </c>
      <c r="E397" s="1" t="s">
        <v>62</v>
      </c>
      <c r="F397" s="1" t="s">
        <v>159</v>
      </c>
      <c r="G397" s="1" t="s">
        <v>160</v>
      </c>
      <c r="H397" s="6" t="str">
        <f>VLOOKUP(A397,WorldCups!$A$2:$B$23,2,FALSE)</f>
        <v>England</v>
      </c>
      <c r="I397" s="1" t="s">
        <v>170</v>
      </c>
      <c r="J397" s="1">
        <v>2</v>
      </c>
      <c r="K397" s="1" t="s">
        <v>126</v>
      </c>
      <c r="L397" s="1">
        <v>1</v>
      </c>
      <c r="M397" s="1" t="s">
        <v>14</v>
      </c>
    </row>
    <row r="398" spans="1:13" hidden="1" x14ac:dyDescent="0.25">
      <c r="A398" s="1">
        <v>1966</v>
      </c>
      <c r="B398" s="1">
        <v>199</v>
      </c>
      <c r="C398" s="2">
        <v>24316</v>
      </c>
      <c r="D398" s="1" t="s">
        <v>522</v>
      </c>
      <c r="E398" s="1" t="s">
        <v>62</v>
      </c>
      <c r="F398" s="1" t="s">
        <v>159</v>
      </c>
      <c r="G398" s="1" t="s">
        <v>160</v>
      </c>
      <c r="H398" s="6" t="str">
        <f>VLOOKUP(A398,WorldCups!$A$2:$B$23,2,FALSE)</f>
        <v>England</v>
      </c>
      <c r="I398" s="1" t="s">
        <v>126</v>
      </c>
      <c r="J398" s="1">
        <v>1</v>
      </c>
      <c r="K398" s="1" t="s">
        <v>170</v>
      </c>
      <c r="L398" s="1">
        <v>2</v>
      </c>
      <c r="M398" s="1" t="s">
        <v>14</v>
      </c>
    </row>
    <row r="399" spans="1:13" hidden="1" x14ac:dyDescent="0.25">
      <c r="A399" s="1">
        <v>1966</v>
      </c>
      <c r="B399" s="1">
        <f>B398+1</f>
        <v>200</v>
      </c>
      <c r="C399" s="2">
        <v>24318</v>
      </c>
      <c r="D399" s="1" t="s">
        <v>500</v>
      </c>
      <c r="E399" s="1" t="s">
        <v>32</v>
      </c>
      <c r="F399" s="1" t="s">
        <v>159</v>
      </c>
      <c r="G399" s="1" t="s">
        <v>160</v>
      </c>
      <c r="H399" s="6" t="str">
        <f>VLOOKUP(A399,WorldCups!$A$2:$B$23,2,FALSE)</f>
        <v>England</v>
      </c>
      <c r="I399" s="1" t="s">
        <v>93</v>
      </c>
      <c r="J399" s="1">
        <v>4</v>
      </c>
      <c r="K399" s="1" t="s">
        <v>114</v>
      </c>
      <c r="L399" s="1">
        <v>2</v>
      </c>
      <c r="M399" s="1" t="s">
        <v>176</v>
      </c>
    </row>
    <row r="400" spans="1:13" hidden="1" x14ac:dyDescent="0.25">
      <c r="A400" s="1">
        <v>1966</v>
      </c>
      <c r="B400" s="1">
        <v>200</v>
      </c>
      <c r="C400" s="2">
        <v>24318</v>
      </c>
      <c r="D400" s="1" t="s">
        <v>500</v>
      </c>
      <c r="E400" s="1" t="s">
        <v>32</v>
      </c>
      <c r="F400" s="1" t="s">
        <v>159</v>
      </c>
      <c r="G400" s="1" t="s">
        <v>160</v>
      </c>
      <c r="H400" s="6" t="str">
        <f>VLOOKUP(A400,WorldCups!$A$2:$B$23,2,FALSE)</f>
        <v>England</v>
      </c>
      <c r="I400" s="1" t="s">
        <v>114</v>
      </c>
      <c r="J400" s="1">
        <v>2</v>
      </c>
      <c r="K400" s="1" t="s">
        <v>93</v>
      </c>
      <c r="L400" s="1">
        <v>4</v>
      </c>
      <c r="M400" s="1" t="s">
        <v>176</v>
      </c>
    </row>
    <row r="401" spans="1:13" hidden="1" x14ac:dyDescent="0.25">
      <c r="A401" s="1">
        <v>1970</v>
      </c>
      <c r="B401" s="1">
        <f>B400+1</f>
        <v>201</v>
      </c>
      <c r="C401" s="2">
        <v>25719</v>
      </c>
      <c r="D401" s="1" t="s">
        <v>523</v>
      </c>
      <c r="E401" s="1" t="s">
        <v>9</v>
      </c>
      <c r="F401" s="1" t="s">
        <v>177</v>
      </c>
      <c r="G401" s="1" t="s">
        <v>178</v>
      </c>
      <c r="H401" s="6" t="str">
        <f>VLOOKUP(A401,WorldCups!$A$2:$B$23,2,FALSE)</f>
        <v>Mexico</v>
      </c>
      <c r="I401" s="1" t="s">
        <v>13</v>
      </c>
      <c r="J401" s="1">
        <v>0</v>
      </c>
      <c r="K401" s="1" t="s">
        <v>126</v>
      </c>
      <c r="L401" s="1">
        <v>0</v>
      </c>
      <c r="M401" s="1" t="s">
        <v>14</v>
      </c>
    </row>
    <row r="402" spans="1:13" hidden="1" x14ac:dyDescent="0.25">
      <c r="A402" s="1">
        <v>1970</v>
      </c>
      <c r="B402" s="1">
        <v>201</v>
      </c>
      <c r="C402" s="2">
        <v>25719</v>
      </c>
      <c r="D402" s="1" t="s">
        <v>523</v>
      </c>
      <c r="E402" s="1" t="s">
        <v>9</v>
      </c>
      <c r="F402" s="1" t="s">
        <v>177</v>
      </c>
      <c r="G402" s="1" t="s">
        <v>178</v>
      </c>
      <c r="H402" s="6" t="str">
        <f>VLOOKUP(A402,WorldCups!$A$2:$B$23,2,FALSE)</f>
        <v>Mexico</v>
      </c>
      <c r="I402" s="1" t="s">
        <v>126</v>
      </c>
      <c r="J402" s="1">
        <v>0</v>
      </c>
      <c r="K402" s="1" t="s">
        <v>13</v>
      </c>
      <c r="L402" s="1">
        <v>0</v>
      </c>
      <c r="M402" s="1" t="s">
        <v>14</v>
      </c>
    </row>
    <row r="403" spans="1:13" hidden="1" x14ac:dyDescent="0.25">
      <c r="A403" s="1">
        <v>1970</v>
      </c>
      <c r="B403" s="1">
        <f>B402+1</f>
        <v>202</v>
      </c>
      <c r="C403" s="2">
        <v>25721</v>
      </c>
      <c r="D403" s="1" t="s">
        <v>503</v>
      </c>
      <c r="E403" s="1" t="s">
        <v>19</v>
      </c>
      <c r="F403" s="1" t="s">
        <v>179</v>
      </c>
      <c r="G403" s="1" t="s">
        <v>180</v>
      </c>
      <c r="H403" s="6" t="str">
        <f>VLOOKUP(A403,WorldCups!$A$2:$B$23,2,FALSE)</f>
        <v>Mexico</v>
      </c>
      <c r="I403" s="1" t="s">
        <v>30</v>
      </c>
      <c r="J403" s="1">
        <v>2</v>
      </c>
      <c r="K403" s="1" t="s">
        <v>181</v>
      </c>
      <c r="L403" s="1">
        <v>0</v>
      </c>
      <c r="M403" s="1" t="s">
        <v>14</v>
      </c>
    </row>
    <row r="404" spans="1:13" hidden="1" x14ac:dyDescent="0.25">
      <c r="A404" s="1">
        <v>1970</v>
      </c>
      <c r="B404" s="1">
        <v>202</v>
      </c>
      <c r="C404" s="2">
        <v>25721</v>
      </c>
      <c r="D404" s="1" t="s">
        <v>503</v>
      </c>
      <c r="E404" s="1" t="s">
        <v>19</v>
      </c>
      <c r="F404" s="1" t="s">
        <v>179</v>
      </c>
      <c r="G404" s="1" t="s">
        <v>180</v>
      </c>
      <c r="H404" s="6" t="str">
        <f>VLOOKUP(A404,WorldCups!$A$2:$B$23,2,FALSE)</f>
        <v>Mexico</v>
      </c>
      <c r="I404" s="1" t="s">
        <v>181</v>
      </c>
      <c r="J404" s="1">
        <v>0</v>
      </c>
      <c r="K404" s="1" t="s">
        <v>30</v>
      </c>
      <c r="L404" s="1">
        <v>2</v>
      </c>
      <c r="M404" s="1" t="s">
        <v>14</v>
      </c>
    </row>
    <row r="405" spans="1:13" hidden="1" x14ac:dyDescent="0.25">
      <c r="A405" s="1">
        <v>1970</v>
      </c>
      <c r="B405" s="1">
        <f>B404+1</f>
        <v>203</v>
      </c>
      <c r="C405" s="2">
        <v>25721</v>
      </c>
      <c r="D405" s="1" t="s">
        <v>503</v>
      </c>
      <c r="E405" s="1" t="s">
        <v>15</v>
      </c>
      <c r="F405" s="1" t="s">
        <v>182</v>
      </c>
      <c r="G405" s="1" t="s">
        <v>183</v>
      </c>
      <c r="H405" s="6" t="str">
        <f>VLOOKUP(A405,WorldCups!$A$2:$B$23,2,FALSE)</f>
        <v>Mexico</v>
      </c>
      <c r="I405" s="1" t="s">
        <v>24</v>
      </c>
      <c r="J405" s="1">
        <v>3</v>
      </c>
      <c r="K405" s="1" t="s">
        <v>156</v>
      </c>
      <c r="L405" s="1">
        <v>2</v>
      </c>
      <c r="M405" s="1" t="s">
        <v>14</v>
      </c>
    </row>
    <row r="406" spans="1:13" hidden="1" x14ac:dyDescent="0.25">
      <c r="A406" s="1">
        <v>1970</v>
      </c>
      <c r="B406" s="1">
        <v>203</v>
      </c>
      <c r="C406" s="2">
        <v>25721</v>
      </c>
      <c r="D406" s="1" t="s">
        <v>503</v>
      </c>
      <c r="E406" s="1" t="s">
        <v>15</v>
      </c>
      <c r="F406" s="1" t="s">
        <v>182</v>
      </c>
      <c r="G406" s="1" t="s">
        <v>183</v>
      </c>
      <c r="H406" s="6" t="str">
        <f>VLOOKUP(A406,WorldCups!$A$2:$B$23,2,FALSE)</f>
        <v>Mexico</v>
      </c>
      <c r="I406" s="1" t="s">
        <v>156</v>
      </c>
      <c r="J406" s="1">
        <v>2</v>
      </c>
      <c r="K406" s="1" t="s">
        <v>24</v>
      </c>
      <c r="L406" s="1">
        <v>3</v>
      </c>
      <c r="M406" s="1" t="s">
        <v>14</v>
      </c>
    </row>
    <row r="407" spans="1:13" hidden="1" x14ac:dyDescent="0.25">
      <c r="A407" s="1">
        <v>1970</v>
      </c>
      <c r="B407" s="1">
        <f>B406+1</f>
        <v>204</v>
      </c>
      <c r="C407" s="2">
        <v>25721</v>
      </c>
      <c r="D407" s="1" t="s">
        <v>503</v>
      </c>
      <c r="E407" s="1" t="s">
        <v>22</v>
      </c>
      <c r="F407" s="1" t="s">
        <v>184</v>
      </c>
      <c r="G407" s="1" t="s">
        <v>185</v>
      </c>
      <c r="H407" s="6" t="str">
        <f>VLOOKUP(A407,WorldCups!$A$2:$B$23,2,FALSE)</f>
        <v>Mexico</v>
      </c>
      <c r="I407" s="1" t="s">
        <v>93</v>
      </c>
      <c r="J407" s="1">
        <v>1</v>
      </c>
      <c r="K407" s="1" t="s">
        <v>23</v>
      </c>
      <c r="L407" s="1">
        <v>0</v>
      </c>
      <c r="M407" s="1" t="s">
        <v>14</v>
      </c>
    </row>
    <row r="408" spans="1:13" hidden="1" x14ac:dyDescent="0.25">
      <c r="A408" s="1">
        <v>1970</v>
      </c>
      <c r="B408" s="1">
        <v>204</v>
      </c>
      <c r="C408" s="2">
        <v>25721</v>
      </c>
      <c r="D408" s="1" t="s">
        <v>503</v>
      </c>
      <c r="E408" s="1" t="s">
        <v>22</v>
      </c>
      <c r="F408" s="1" t="s">
        <v>184</v>
      </c>
      <c r="G408" s="1" t="s">
        <v>185</v>
      </c>
      <c r="H408" s="6" t="str">
        <f>VLOOKUP(A408,WorldCups!$A$2:$B$23,2,FALSE)</f>
        <v>Mexico</v>
      </c>
      <c r="I408" s="1" t="s">
        <v>23</v>
      </c>
      <c r="J408" s="1">
        <v>0</v>
      </c>
      <c r="K408" s="1" t="s">
        <v>93</v>
      </c>
      <c r="L408" s="1">
        <v>1</v>
      </c>
      <c r="M408" s="1" t="s">
        <v>14</v>
      </c>
    </row>
    <row r="409" spans="1:13" hidden="1" x14ac:dyDescent="0.25">
      <c r="A409" s="1">
        <v>1970</v>
      </c>
      <c r="B409" s="1">
        <f>B408+1</f>
        <v>205</v>
      </c>
      <c r="C409" s="2">
        <v>25722</v>
      </c>
      <c r="D409" s="1" t="s">
        <v>503</v>
      </c>
      <c r="E409" s="1" t="s">
        <v>19</v>
      </c>
      <c r="F409" s="1" t="s">
        <v>186</v>
      </c>
      <c r="G409" s="1" t="s">
        <v>187</v>
      </c>
      <c r="H409" s="6" t="str">
        <f>VLOOKUP(A409,WorldCups!$A$2:$B$23,2,FALSE)</f>
        <v>Mexico</v>
      </c>
      <c r="I409" s="1" t="s">
        <v>57</v>
      </c>
      <c r="J409" s="1">
        <v>1</v>
      </c>
      <c r="K409" s="1" t="s">
        <v>48</v>
      </c>
      <c r="L409" s="1">
        <v>0</v>
      </c>
      <c r="M409" s="1" t="s">
        <v>14</v>
      </c>
    </row>
    <row r="410" spans="1:13" hidden="1" x14ac:dyDescent="0.25">
      <c r="A410" s="1">
        <v>1970</v>
      </c>
      <c r="B410" s="1">
        <v>205</v>
      </c>
      <c r="C410" s="2">
        <v>25722</v>
      </c>
      <c r="D410" s="1" t="s">
        <v>503</v>
      </c>
      <c r="E410" s="1" t="s">
        <v>19</v>
      </c>
      <c r="F410" s="1" t="s">
        <v>186</v>
      </c>
      <c r="G410" s="1" t="s">
        <v>187</v>
      </c>
      <c r="H410" s="6" t="str">
        <f>VLOOKUP(A410,WorldCups!$A$2:$B$23,2,FALSE)</f>
        <v>Mexico</v>
      </c>
      <c r="I410" s="1" t="s">
        <v>48</v>
      </c>
      <c r="J410" s="1">
        <v>0</v>
      </c>
      <c r="K410" s="1" t="s">
        <v>57</v>
      </c>
      <c r="L410" s="1">
        <v>1</v>
      </c>
      <c r="M410" s="1" t="s">
        <v>14</v>
      </c>
    </row>
    <row r="411" spans="1:13" hidden="1" x14ac:dyDescent="0.25">
      <c r="A411" s="1">
        <v>1970</v>
      </c>
      <c r="B411" s="1">
        <f>B410+1</f>
        <v>206</v>
      </c>
      <c r="C411" s="2">
        <v>25722</v>
      </c>
      <c r="D411" s="1" t="s">
        <v>503</v>
      </c>
      <c r="E411" s="1" t="s">
        <v>15</v>
      </c>
      <c r="F411" s="1" t="s">
        <v>182</v>
      </c>
      <c r="G411" s="1" t="s">
        <v>183</v>
      </c>
      <c r="H411" s="6" t="str">
        <f>VLOOKUP(A411,WorldCups!$A$2:$B$23,2,FALSE)</f>
        <v>Mexico</v>
      </c>
      <c r="I411" s="1" t="s">
        <v>114</v>
      </c>
      <c r="J411" s="1">
        <v>2</v>
      </c>
      <c r="K411" s="1" t="s">
        <v>188</v>
      </c>
      <c r="L411" s="1">
        <v>1</v>
      </c>
      <c r="M411" s="1" t="s">
        <v>14</v>
      </c>
    </row>
    <row r="412" spans="1:13" hidden="1" x14ac:dyDescent="0.25">
      <c r="A412" s="1">
        <v>1970</v>
      </c>
      <c r="B412" s="1">
        <v>206</v>
      </c>
      <c r="C412" s="2">
        <v>25722</v>
      </c>
      <c r="D412" s="1" t="s">
        <v>503</v>
      </c>
      <c r="E412" s="1" t="s">
        <v>15</v>
      </c>
      <c r="F412" s="1" t="s">
        <v>182</v>
      </c>
      <c r="G412" s="1" t="s">
        <v>183</v>
      </c>
      <c r="H412" s="6" t="str">
        <f>VLOOKUP(A412,WorldCups!$A$2:$B$23,2,FALSE)</f>
        <v>Mexico</v>
      </c>
      <c r="I412" s="1" t="s">
        <v>188</v>
      </c>
      <c r="J412" s="1">
        <v>1</v>
      </c>
      <c r="K412" s="1" t="s">
        <v>114</v>
      </c>
      <c r="L412" s="1">
        <v>2</v>
      </c>
      <c r="M412" s="1" t="s">
        <v>14</v>
      </c>
    </row>
    <row r="413" spans="1:13" hidden="1" x14ac:dyDescent="0.25">
      <c r="A413" s="1">
        <v>1970</v>
      </c>
      <c r="B413" s="1">
        <f>B412+1</f>
        <v>207</v>
      </c>
      <c r="C413" s="2">
        <v>25722</v>
      </c>
      <c r="D413" s="1" t="s">
        <v>503</v>
      </c>
      <c r="E413" s="1" t="s">
        <v>22</v>
      </c>
      <c r="F413" s="1" t="s">
        <v>184</v>
      </c>
      <c r="G413" s="1" t="s">
        <v>185</v>
      </c>
      <c r="H413" s="6" t="str">
        <f>VLOOKUP(A413,WorldCups!$A$2:$B$23,2,FALSE)</f>
        <v>Mexico</v>
      </c>
      <c r="I413" s="1" t="s">
        <v>21</v>
      </c>
      <c r="J413" s="1">
        <v>4</v>
      </c>
      <c r="K413" s="1" t="s">
        <v>60</v>
      </c>
      <c r="L413" s="1">
        <v>1</v>
      </c>
      <c r="M413" s="1" t="s">
        <v>14</v>
      </c>
    </row>
    <row r="414" spans="1:13" hidden="1" x14ac:dyDescent="0.25">
      <c r="A414" s="1">
        <v>1970</v>
      </c>
      <c r="B414" s="1">
        <v>207</v>
      </c>
      <c r="C414" s="2">
        <v>25722</v>
      </c>
      <c r="D414" s="1" t="s">
        <v>503</v>
      </c>
      <c r="E414" s="1" t="s">
        <v>22</v>
      </c>
      <c r="F414" s="1" t="s">
        <v>184</v>
      </c>
      <c r="G414" s="1" t="s">
        <v>185</v>
      </c>
      <c r="H414" s="6" t="str">
        <f>VLOOKUP(A414,WorldCups!$A$2:$B$23,2,FALSE)</f>
        <v>Mexico</v>
      </c>
      <c r="I414" s="1" t="s">
        <v>60</v>
      </c>
      <c r="J414" s="1">
        <v>1</v>
      </c>
      <c r="K414" s="1" t="s">
        <v>21</v>
      </c>
      <c r="L414" s="1">
        <v>4</v>
      </c>
      <c r="M414" s="1" t="s">
        <v>14</v>
      </c>
    </row>
    <row r="415" spans="1:13" hidden="1" x14ac:dyDescent="0.25">
      <c r="A415" s="1">
        <v>1970</v>
      </c>
      <c r="B415" s="1">
        <f>B414+1</f>
        <v>208</v>
      </c>
      <c r="C415" s="2">
        <v>25722</v>
      </c>
      <c r="D415" s="1" t="s">
        <v>503</v>
      </c>
      <c r="E415" s="1" t="s">
        <v>9</v>
      </c>
      <c r="F415" s="1" t="s">
        <v>177</v>
      </c>
      <c r="G415" s="1" t="s">
        <v>178</v>
      </c>
      <c r="H415" s="6" t="str">
        <f>VLOOKUP(A415,WorldCups!$A$2:$B$23,2,FALSE)</f>
        <v>Mexico</v>
      </c>
      <c r="I415" s="1" t="s">
        <v>18</v>
      </c>
      <c r="J415" s="1">
        <v>3</v>
      </c>
      <c r="K415" s="1" t="s">
        <v>189</v>
      </c>
      <c r="L415" s="1">
        <v>0</v>
      </c>
      <c r="M415" s="1" t="s">
        <v>14</v>
      </c>
    </row>
    <row r="416" spans="1:13" hidden="1" x14ac:dyDescent="0.25">
      <c r="A416" s="1">
        <v>1970</v>
      </c>
      <c r="B416" s="1">
        <v>208</v>
      </c>
      <c r="C416" s="2">
        <v>25722</v>
      </c>
      <c r="D416" s="1" t="s">
        <v>503</v>
      </c>
      <c r="E416" s="1" t="s">
        <v>9</v>
      </c>
      <c r="F416" s="1" t="s">
        <v>177</v>
      </c>
      <c r="G416" s="1" t="s">
        <v>178</v>
      </c>
      <c r="H416" s="6" t="str">
        <f>VLOOKUP(A416,WorldCups!$A$2:$B$23,2,FALSE)</f>
        <v>Mexico</v>
      </c>
      <c r="I416" s="1" t="s">
        <v>189</v>
      </c>
      <c r="J416" s="1">
        <v>0</v>
      </c>
      <c r="K416" s="1" t="s">
        <v>18</v>
      </c>
      <c r="L416" s="1">
        <v>3</v>
      </c>
      <c r="M416" s="1" t="s">
        <v>14</v>
      </c>
    </row>
    <row r="417" spans="1:13" hidden="1" x14ac:dyDescent="0.25">
      <c r="A417" s="1">
        <v>1970</v>
      </c>
      <c r="B417" s="1">
        <f>B416+1</f>
        <v>209</v>
      </c>
      <c r="C417" s="2">
        <v>25725</v>
      </c>
      <c r="D417" s="1" t="s">
        <v>503</v>
      </c>
      <c r="E417" s="1" t="s">
        <v>19</v>
      </c>
      <c r="F417" s="1" t="s">
        <v>179</v>
      </c>
      <c r="G417" s="1" t="s">
        <v>180</v>
      </c>
      <c r="H417" s="6" t="str">
        <f>VLOOKUP(A417,WorldCups!$A$2:$B$23,2,FALSE)</f>
        <v>Mexico</v>
      </c>
      <c r="I417" s="1" t="s">
        <v>30</v>
      </c>
      <c r="J417" s="1">
        <v>0</v>
      </c>
      <c r="K417" s="1" t="s">
        <v>57</v>
      </c>
      <c r="L417" s="1">
        <v>0</v>
      </c>
      <c r="M417" s="1" t="s">
        <v>14</v>
      </c>
    </row>
    <row r="418" spans="1:13" hidden="1" x14ac:dyDescent="0.25">
      <c r="A418" s="1">
        <v>1970</v>
      </c>
      <c r="B418" s="1">
        <v>209</v>
      </c>
      <c r="C418" s="2">
        <v>25725</v>
      </c>
      <c r="D418" s="1" t="s">
        <v>503</v>
      </c>
      <c r="E418" s="1" t="s">
        <v>19</v>
      </c>
      <c r="F418" s="1" t="s">
        <v>179</v>
      </c>
      <c r="G418" s="1" t="s">
        <v>180</v>
      </c>
      <c r="H418" s="6" t="str">
        <f>VLOOKUP(A418,WorldCups!$A$2:$B$23,2,FALSE)</f>
        <v>Mexico</v>
      </c>
      <c r="I418" s="1" t="s">
        <v>57</v>
      </c>
      <c r="J418" s="1">
        <v>0</v>
      </c>
      <c r="K418" s="1" t="s">
        <v>30</v>
      </c>
      <c r="L418" s="1">
        <v>0</v>
      </c>
      <c r="M418" s="1" t="s">
        <v>14</v>
      </c>
    </row>
    <row r="419" spans="1:13" hidden="1" x14ac:dyDescent="0.25">
      <c r="A419" s="1">
        <v>1970</v>
      </c>
      <c r="B419" s="1">
        <f>B418+1</f>
        <v>210</v>
      </c>
      <c r="C419" s="2">
        <v>25725</v>
      </c>
      <c r="D419" s="1" t="s">
        <v>503</v>
      </c>
      <c r="E419" s="1" t="s">
        <v>15</v>
      </c>
      <c r="F419" s="1" t="s">
        <v>182</v>
      </c>
      <c r="G419" s="1" t="s">
        <v>183</v>
      </c>
      <c r="H419" s="6" t="str">
        <f>VLOOKUP(A419,WorldCups!$A$2:$B$23,2,FALSE)</f>
        <v>Mexico</v>
      </c>
      <c r="I419" s="1" t="s">
        <v>24</v>
      </c>
      <c r="J419" s="1">
        <v>3</v>
      </c>
      <c r="K419" s="1" t="s">
        <v>188</v>
      </c>
      <c r="L419" s="1">
        <v>0</v>
      </c>
      <c r="M419" s="1" t="s">
        <v>14</v>
      </c>
    </row>
    <row r="420" spans="1:13" hidden="1" x14ac:dyDescent="0.25">
      <c r="A420" s="1">
        <v>1970</v>
      </c>
      <c r="B420" s="1">
        <v>210</v>
      </c>
      <c r="C420" s="2">
        <v>25725</v>
      </c>
      <c r="D420" s="1" t="s">
        <v>503</v>
      </c>
      <c r="E420" s="1" t="s">
        <v>15</v>
      </c>
      <c r="F420" s="1" t="s">
        <v>182</v>
      </c>
      <c r="G420" s="1" t="s">
        <v>183</v>
      </c>
      <c r="H420" s="6" t="str">
        <f>VLOOKUP(A420,WorldCups!$A$2:$B$23,2,FALSE)</f>
        <v>Mexico</v>
      </c>
      <c r="I420" s="1" t="s">
        <v>188</v>
      </c>
      <c r="J420" s="1">
        <v>0</v>
      </c>
      <c r="K420" s="1" t="s">
        <v>24</v>
      </c>
      <c r="L420" s="1">
        <v>3</v>
      </c>
      <c r="M420" s="1" t="s">
        <v>14</v>
      </c>
    </row>
    <row r="421" spans="1:13" hidden="1" x14ac:dyDescent="0.25">
      <c r="A421" s="1">
        <v>1970</v>
      </c>
      <c r="B421" s="1">
        <f>B420+1</f>
        <v>211</v>
      </c>
      <c r="C421" s="2">
        <v>25725</v>
      </c>
      <c r="D421" s="1" t="s">
        <v>503</v>
      </c>
      <c r="E421" s="1" t="s">
        <v>22</v>
      </c>
      <c r="F421" s="1" t="s">
        <v>184</v>
      </c>
      <c r="G421" s="1" t="s">
        <v>185</v>
      </c>
      <c r="H421" s="6" t="str">
        <f>VLOOKUP(A421,WorldCups!$A$2:$B$23,2,FALSE)</f>
        <v>Mexico</v>
      </c>
      <c r="I421" s="1" t="s">
        <v>23</v>
      </c>
      <c r="J421" s="1">
        <v>2</v>
      </c>
      <c r="K421" s="1" t="s">
        <v>60</v>
      </c>
      <c r="L421" s="1">
        <v>1</v>
      </c>
      <c r="M421" s="1" t="s">
        <v>14</v>
      </c>
    </row>
    <row r="422" spans="1:13" hidden="1" x14ac:dyDescent="0.25">
      <c r="A422" s="1">
        <v>1970</v>
      </c>
      <c r="B422" s="1">
        <v>211</v>
      </c>
      <c r="C422" s="2">
        <v>25725</v>
      </c>
      <c r="D422" s="1" t="s">
        <v>503</v>
      </c>
      <c r="E422" s="1" t="s">
        <v>22</v>
      </c>
      <c r="F422" s="1" t="s">
        <v>184</v>
      </c>
      <c r="G422" s="1" t="s">
        <v>185</v>
      </c>
      <c r="H422" s="6" t="str">
        <f>VLOOKUP(A422,WorldCups!$A$2:$B$23,2,FALSE)</f>
        <v>Mexico</v>
      </c>
      <c r="I422" s="1" t="s">
        <v>60</v>
      </c>
      <c r="J422" s="1">
        <v>1</v>
      </c>
      <c r="K422" s="1" t="s">
        <v>23</v>
      </c>
      <c r="L422" s="1">
        <v>2</v>
      </c>
      <c r="M422" s="1" t="s">
        <v>14</v>
      </c>
    </row>
    <row r="423" spans="1:13" hidden="1" x14ac:dyDescent="0.25">
      <c r="A423" s="1">
        <v>1970</v>
      </c>
      <c r="B423" s="1">
        <f>B422+1</f>
        <v>212</v>
      </c>
      <c r="C423" s="2">
        <v>25725</v>
      </c>
      <c r="D423" s="1" t="s">
        <v>503</v>
      </c>
      <c r="E423" s="1" t="s">
        <v>9</v>
      </c>
      <c r="F423" s="1" t="s">
        <v>177</v>
      </c>
      <c r="G423" s="1" t="s">
        <v>178</v>
      </c>
      <c r="H423" s="6" t="str">
        <f>VLOOKUP(A423,WorldCups!$A$2:$B$23,2,FALSE)</f>
        <v>Mexico</v>
      </c>
      <c r="I423" s="1" t="s">
        <v>126</v>
      </c>
      <c r="J423" s="1">
        <v>4</v>
      </c>
      <c r="K423" s="1" t="s">
        <v>18</v>
      </c>
      <c r="L423" s="1">
        <v>1</v>
      </c>
      <c r="M423" s="1" t="s">
        <v>14</v>
      </c>
    </row>
    <row r="424" spans="1:13" hidden="1" x14ac:dyDescent="0.25">
      <c r="A424" s="1">
        <v>1970</v>
      </c>
      <c r="B424" s="1">
        <v>212</v>
      </c>
      <c r="C424" s="2">
        <v>25725</v>
      </c>
      <c r="D424" s="1" t="s">
        <v>503</v>
      </c>
      <c r="E424" s="1" t="s">
        <v>9</v>
      </c>
      <c r="F424" s="1" t="s">
        <v>177</v>
      </c>
      <c r="G424" s="1" t="s">
        <v>178</v>
      </c>
      <c r="H424" s="6" t="str">
        <f>VLOOKUP(A424,WorldCups!$A$2:$B$23,2,FALSE)</f>
        <v>Mexico</v>
      </c>
      <c r="I424" s="1" t="s">
        <v>18</v>
      </c>
      <c r="J424" s="1">
        <v>1</v>
      </c>
      <c r="K424" s="1" t="s">
        <v>126</v>
      </c>
      <c r="L424" s="1">
        <v>4</v>
      </c>
      <c r="M424" s="1" t="s">
        <v>14</v>
      </c>
    </row>
    <row r="425" spans="1:13" hidden="1" x14ac:dyDescent="0.25">
      <c r="A425" s="1">
        <v>1970</v>
      </c>
      <c r="B425" s="1">
        <f>B424+1</f>
        <v>213</v>
      </c>
      <c r="C425" s="2">
        <v>25726</v>
      </c>
      <c r="D425" s="1" t="s">
        <v>523</v>
      </c>
      <c r="E425" s="1" t="s">
        <v>19</v>
      </c>
      <c r="F425" s="1" t="s">
        <v>186</v>
      </c>
      <c r="G425" s="1" t="s">
        <v>187</v>
      </c>
      <c r="H425" s="6" t="str">
        <f>VLOOKUP(A425,WorldCups!$A$2:$B$23,2,FALSE)</f>
        <v>Mexico</v>
      </c>
      <c r="I425" s="1" t="s">
        <v>48</v>
      </c>
      <c r="J425" s="1">
        <v>1</v>
      </c>
      <c r="K425" s="1" t="s">
        <v>181</v>
      </c>
      <c r="L425" s="1">
        <v>1</v>
      </c>
      <c r="M425" s="1" t="s">
        <v>14</v>
      </c>
    </row>
    <row r="426" spans="1:13" hidden="1" x14ac:dyDescent="0.25">
      <c r="A426" s="1">
        <v>1970</v>
      </c>
      <c r="B426" s="1">
        <v>213</v>
      </c>
      <c r="C426" s="2">
        <v>25726</v>
      </c>
      <c r="D426" s="1" t="s">
        <v>523</v>
      </c>
      <c r="E426" s="1" t="s">
        <v>19</v>
      </c>
      <c r="F426" s="1" t="s">
        <v>186</v>
      </c>
      <c r="G426" s="1" t="s">
        <v>187</v>
      </c>
      <c r="H426" s="6" t="str">
        <f>VLOOKUP(A426,WorldCups!$A$2:$B$23,2,FALSE)</f>
        <v>Mexico</v>
      </c>
      <c r="I426" s="1" t="s">
        <v>181</v>
      </c>
      <c r="J426" s="1">
        <v>1</v>
      </c>
      <c r="K426" s="1" t="s">
        <v>48</v>
      </c>
      <c r="L426" s="1">
        <v>1</v>
      </c>
      <c r="M426" s="1" t="s">
        <v>14</v>
      </c>
    </row>
    <row r="427" spans="1:13" hidden="1" x14ac:dyDescent="0.25">
      <c r="A427" s="1">
        <v>1970</v>
      </c>
      <c r="B427" s="1">
        <f>B426+1</f>
        <v>214</v>
      </c>
      <c r="C427" s="2">
        <v>25726</v>
      </c>
      <c r="D427" s="1" t="s">
        <v>523</v>
      </c>
      <c r="E427" s="1" t="s">
        <v>15</v>
      </c>
      <c r="F427" s="1" t="s">
        <v>182</v>
      </c>
      <c r="G427" s="1" t="s">
        <v>183</v>
      </c>
      <c r="H427" s="6" t="str">
        <f>VLOOKUP(A427,WorldCups!$A$2:$B$23,2,FALSE)</f>
        <v>Mexico</v>
      </c>
      <c r="I427" s="1" t="s">
        <v>114</v>
      </c>
      <c r="J427" s="1">
        <v>5</v>
      </c>
      <c r="K427" s="1" t="s">
        <v>156</v>
      </c>
      <c r="L427" s="1">
        <v>2</v>
      </c>
      <c r="M427" s="1" t="s">
        <v>14</v>
      </c>
    </row>
    <row r="428" spans="1:13" hidden="1" x14ac:dyDescent="0.25">
      <c r="A428" s="1">
        <v>1970</v>
      </c>
      <c r="B428" s="1">
        <v>214</v>
      </c>
      <c r="C428" s="2">
        <v>25726</v>
      </c>
      <c r="D428" s="1" t="s">
        <v>523</v>
      </c>
      <c r="E428" s="1" t="s">
        <v>15</v>
      </c>
      <c r="F428" s="1" t="s">
        <v>182</v>
      </c>
      <c r="G428" s="1" t="s">
        <v>183</v>
      </c>
      <c r="H428" s="6" t="str">
        <f>VLOOKUP(A428,WorldCups!$A$2:$B$23,2,FALSE)</f>
        <v>Mexico</v>
      </c>
      <c r="I428" s="1" t="s">
        <v>156</v>
      </c>
      <c r="J428" s="1">
        <v>2</v>
      </c>
      <c r="K428" s="1" t="s">
        <v>114</v>
      </c>
      <c r="L428" s="1">
        <v>5</v>
      </c>
      <c r="M428" s="1" t="s">
        <v>14</v>
      </c>
    </row>
    <row r="429" spans="1:13" hidden="1" x14ac:dyDescent="0.25">
      <c r="A429" s="1">
        <v>1970</v>
      </c>
      <c r="B429" s="1">
        <f>B428+1</f>
        <v>215</v>
      </c>
      <c r="C429" s="2">
        <v>25726</v>
      </c>
      <c r="D429" s="1" t="s">
        <v>523</v>
      </c>
      <c r="E429" s="1" t="s">
        <v>22</v>
      </c>
      <c r="F429" s="1" t="s">
        <v>184</v>
      </c>
      <c r="G429" s="1" t="s">
        <v>185</v>
      </c>
      <c r="H429" s="6" t="str">
        <f>VLOOKUP(A429,WorldCups!$A$2:$B$23,2,FALSE)</f>
        <v>Mexico</v>
      </c>
      <c r="I429" s="1" t="s">
        <v>21</v>
      </c>
      <c r="J429" s="1">
        <v>1</v>
      </c>
      <c r="K429" s="1" t="s">
        <v>93</v>
      </c>
      <c r="L429" s="1">
        <v>0</v>
      </c>
      <c r="M429" s="1" t="s">
        <v>14</v>
      </c>
    </row>
    <row r="430" spans="1:13" hidden="1" x14ac:dyDescent="0.25">
      <c r="A430" s="1">
        <v>1970</v>
      </c>
      <c r="B430" s="1">
        <v>215</v>
      </c>
      <c r="C430" s="2">
        <v>25726</v>
      </c>
      <c r="D430" s="1" t="s">
        <v>523</v>
      </c>
      <c r="E430" s="1" t="s">
        <v>22</v>
      </c>
      <c r="F430" s="1" t="s">
        <v>184</v>
      </c>
      <c r="G430" s="1" t="s">
        <v>185</v>
      </c>
      <c r="H430" s="6" t="str">
        <f>VLOOKUP(A430,WorldCups!$A$2:$B$23,2,FALSE)</f>
        <v>Mexico</v>
      </c>
      <c r="I430" s="1" t="s">
        <v>93</v>
      </c>
      <c r="J430" s="1">
        <v>0</v>
      </c>
      <c r="K430" s="1" t="s">
        <v>21</v>
      </c>
      <c r="L430" s="1">
        <v>1</v>
      </c>
      <c r="M430" s="1" t="s">
        <v>14</v>
      </c>
    </row>
    <row r="431" spans="1:13" hidden="1" x14ac:dyDescent="0.25">
      <c r="A431" s="1">
        <v>1970</v>
      </c>
      <c r="B431" s="1">
        <f>B430+1</f>
        <v>216</v>
      </c>
      <c r="C431" s="2">
        <v>25726</v>
      </c>
      <c r="D431" s="1" t="s">
        <v>523</v>
      </c>
      <c r="E431" s="1" t="s">
        <v>9</v>
      </c>
      <c r="F431" s="1" t="s">
        <v>177</v>
      </c>
      <c r="G431" s="1" t="s">
        <v>178</v>
      </c>
      <c r="H431" s="6" t="str">
        <f>VLOOKUP(A431,WorldCups!$A$2:$B$23,2,FALSE)</f>
        <v>Mexico</v>
      </c>
      <c r="I431" s="1" t="s">
        <v>13</v>
      </c>
      <c r="J431" s="1">
        <v>4</v>
      </c>
      <c r="K431" s="1" t="s">
        <v>189</v>
      </c>
      <c r="L431" s="1">
        <v>0</v>
      </c>
      <c r="M431" s="1" t="s">
        <v>14</v>
      </c>
    </row>
    <row r="432" spans="1:13" hidden="1" x14ac:dyDescent="0.25">
      <c r="A432" s="1">
        <v>1970</v>
      </c>
      <c r="B432" s="1">
        <v>216</v>
      </c>
      <c r="C432" s="2">
        <v>25726</v>
      </c>
      <c r="D432" s="1" t="s">
        <v>523</v>
      </c>
      <c r="E432" s="1" t="s">
        <v>9</v>
      </c>
      <c r="F432" s="1" t="s">
        <v>177</v>
      </c>
      <c r="G432" s="1" t="s">
        <v>178</v>
      </c>
      <c r="H432" s="6" t="str">
        <f>VLOOKUP(A432,WorldCups!$A$2:$B$23,2,FALSE)</f>
        <v>Mexico</v>
      </c>
      <c r="I432" s="1" t="s">
        <v>189</v>
      </c>
      <c r="J432" s="1">
        <v>0</v>
      </c>
      <c r="K432" s="1" t="s">
        <v>13</v>
      </c>
      <c r="L432" s="1">
        <v>4</v>
      </c>
      <c r="M432" s="1" t="s">
        <v>14</v>
      </c>
    </row>
    <row r="433" spans="1:13" hidden="1" x14ac:dyDescent="0.25">
      <c r="A433" s="1">
        <v>1970</v>
      </c>
      <c r="B433" s="1">
        <f>B432+1</f>
        <v>217</v>
      </c>
      <c r="C433" s="2">
        <v>25729</v>
      </c>
      <c r="D433" s="1" t="s">
        <v>503</v>
      </c>
      <c r="E433" s="1" t="s">
        <v>19</v>
      </c>
      <c r="F433" s="1" t="s">
        <v>179</v>
      </c>
      <c r="G433" s="1" t="s">
        <v>180</v>
      </c>
      <c r="H433" s="6" t="str">
        <f>VLOOKUP(A433,WorldCups!$A$2:$B$23,2,FALSE)</f>
        <v>Mexico</v>
      </c>
      <c r="I433" s="1" t="s">
        <v>48</v>
      </c>
      <c r="J433" s="1">
        <v>1</v>
      </c>
      <c r="K433" s="1" t="s">
        <v>30</v>
      </c>
      <c r="L433" s="1">
        <v>0</v>
      </c>
      <c r="M433" s="1" t="s">
        <v>14</v>
      </c>
    </row>
    <row r="434" spans="1:13" hidden="1" x14ac:dyDescent="0.25">
      <c r="A434" s="1">
        <v>1970</v>
      </c>
      <c r="B434" s="1">
        <v>217</v>
      </c>
      <c r="C434" s="2">
        <v>25729</v>
      </c>
      <c r="D434" s="1" t="s">
        <v>503</v>
      </c>
      <c r="E434" s="1" t="s">
        <v>19</v>
      </c>
      <c r="F434" s="1" t="s">
        <v>179</v>
      </c>
      <c r="G434" s="1" t="s">
        <v>180</v>
      </c>
      <c r="H434" s="6" t="str">
        <f>VLOOKUP(A434,WorldCups!$A$2:$B$23,2,FALSE)</f>
        <v>Mexico</v>
      </c>
      <c r="I434" s="1" t="s">
        <v>30</v>
      </c>
      <c r="J434" s="1">
        <v>0</v>
      </c>
      <c r="K434" s="1" t="s">
        <v>48</v>
      </c>
      <c r="L434" s="1">
        <v>1</v>
      </c>
      <c r="M434" s="1" t="s">
        <v>14</v>
      </c>
    </row>
    <row r="435" spans="1:13" hidden="1" x14ac:dyDescent="0.25">
      <c r="A435" s="1">
        <v>1970</v>
      </c>
      <c r="B435" s="1">
        <f>B434+1</f>
        <v>218</v>
      </c>
      <c r="C435" s="2">
        <v>25729</v>
      </c>
      <c r="D435" s="1" t="s">
        <v>503</v>
      </c>
      <c r="E435" s="1" t="s">
        <v>15</v>
      </c>
      <c r="F435" s="1" t="s">
        <v>182</v>
      </c>
      <c r="G435" s="1" t="s">
        <v>183</v>
      </c>
      <c r="H435" s="6" t="str">
        <f>VLOOKUP(A435,WorldCups!$A$2:$B$23,2,FALSE)</f>
        <v>Mexico</v>
      </c>
      <c r="I435" s="1" t="s">
        <v>114</v>
      </c>
      <c r="J435" s="1">
        <v>3</v>
      </c>
      <c r="K435" s="1" t="s">
        <v>24</v>
      </c>
      <c r="L435" s="1">
        <v>1</v>
      </c>
      <c r="M435" s="1" t="s">
        <v>14</v>
      </c>
    </row>
    <row r="436" spans="1:13" hidden="1" x14ac:dyDescent="0.25">
      <c r="A436" s="1">
        <v>1970</v>
      </c>
      <c r="B436" s="1">
        <v>218</v>
      </c>
      <c r="C436" s="2">
        <v>25729</v>
      </c>
      <c r="D436" s="1" t="s">
        <v>503</v>
      </c>
      <c r="E436" s="1" t="s">
        <v>15</v>
      </c>
      <c r="F436" s="1" t="s">
        <v>182</v>
      </c>
      <c r="G436" s="1" t="s">
        <v>183</v>
      </c>
      <c r="H436" s="6" t="str">
        <f>VLOOKUP(A436,WorldCups!$A$2:$B$23,2,FALSE)</f>
        <v>Mexico</v>
      </c>
      <c r="I436" s="1" t="s">
        <v>24</v>
      </c>
      <c r="J436" s="1">
        <v>1</v>
      </c>
      <c r="K436" s="1" t="s">
        <v>114</v>
      </c>
      <c r="L436" s="1">
        <v>3</v>
      </c>
      <c r="M436" s="1" t="s">
        <v>14</v>
      </c>
    </row>
    <row r="437" spans="1:13" hidden="1" x14ac:dyDescent="0.25">
      <c r="A437" s="1">
        <v>1970</v>
      </c>
      <c r="B437" s="1">
        <f>B436+1</f>
        <v>219</v>
      </c>
      <c r="C437" s="2">
        <v>25729</v>
      </c>
      <c r="D437" s="1" t="s">
        <v>503</v>
      </c>
      <c r="E437" s="1" t="s">
        <v>22</v>
      </c>
      <c r="F437" s="1" t="s">
        <v>184</v>
      </c>
      <c r="G437" s="1" t="s">
        <v>185</v>
      </c>
      <c r="H437" s="6" t="str">
        <f>VLOOKUP(A437,WorldCups!$A$2:$B$23,2,FALSE)</f>
        <v>Mexico</v>
      </c>
      <c r="I437" s="1" t="s">
        <v>21</v>
      </c>
      <c r="J437" s="1">
        <v>3</v>
      </c>
      <c r="K437" s="1" t="s">
        <v>23</v>
      </c>
      <c r="L437" s="1">
        <v>2</v>
      </c>
      <c r="M437" s="1" t="s">
        <v>14</v>
      </c>
    </row>
    <row r="438" spans="1:13" hidden="1" x14ac:dyDescent="0.25">
      <c r="A438" s="1">
        <v>1970</v>
      </c>
      <c r="B438" s="1">
        <v>219</v>
      </c>
      <c r="C438" s="2">
        <v>25729</v>
      </c>
      <c r="D438" s="1" t="s">
        <v>503</v>
      </c>
      <c r="E438" s="1" t="s">
        <v>22</v>
      </c>
      <c r="F438" s="1" t="s">
        <v>184</v>
      </c>
      <c r="G438" s="1" t="s">
        <v>185</v>
      </c>
      <c r="H438" s="6" t="str">
        <f>VLOOKUP(A438,WorldCups!$A$2:$B$23,2,FALSE)</f>
        <v>Mexico</v>
      </c>
      <c r="I438" s="1" t="s">
        <v>23</v>
      </c>
      <c r="J438" s="1">
        <v>2</v>
      </c>
      <c r="K438" s="1" t="s">
        <v>21</v>
      </c>
      <c r="L438" s="1">
        <v>3</v>
      </c>
      <c r="M438" s="1" t="s">
        <v>14</v>
      </c>
    </row>
    <row r="439" spans="1:13" hidden="1" x14ac:dyDescent="0.25">
      <c r="A439" s="1">
        <v>1970</v>
      </c>
      <c r="B439" s="1">
        <f>B438+1</f>
        <v>220</v>
      </c>
      <c r="C439" s="2">
        <v>25729</v>
      </c>
      <c r="D439" s="1" t="s">
        <v>503</v>
      </c>
      <c r="E439" s="1" t="s">
        <v>9</v>
      </c>
      <c r="F439" s="1" t="s">
        <v>177</v>
      </c>
      <c r="G439" s="1" t="s">
        <v>178</v>
      </c>
      <c r="H439" s="6" t="str">
        <f>VLOOKUP(A439,WorldCups!$A$2:$B$23,2,FALSE)</f>
        <v>Mexico</v>
      </c>
      <c r="I439" s="1" t="s">
        <v>126</v>
      </c>
      <c r="J439" s="1">
        <v>2</v>
      </c>
      <c r="K439" s="1" t="s">
        <v>189</v>
      </c>
      <c r="L439" s="1">
        <v>0</v>
      </c>
      <c r="M439" s="1" t="s">
        <v>14</v>
      </c>
    </row>
    <row r="440" spans="1:13" hidden="1" x14ac:dyDescent="0.25">
      <c r="A440" s="1">
        <v>1970</v>
      </c>
      <c r="B440" s="1">
        <v>220</v>
      </c>
      <c r="C440" s="2">
        <v>25729</v>
      </c>
      <c r="D440" s="1" t="s">
        <v>503</v>
      </c>
      <c r="E440" s="1" t="s">
        <v>9</v>
      </c>
      <c r="F440" s="1" t="s">
        <v>177</v>
      </c>
      <c r="G440" s="1" t="s">
        <v>178</v>
      </c>
      <c r="H440" s="6" t="str">
        <f>VLOOKUP(A440,WorldCups!$A$2:$B$23,2,FALSE)</f>
        <v>Mexico</v>
      </c>
      <c r="I440" s="1" t="s">
        <v>189</v>
      </c>
      <c r="J440" s="1">
        <v>0</v>
      </c>
      <c r="K440" s="1" t="s">
        <v>126</v>
      </c>
      <c r="L440" s="1">
        <v>2</v>
      </c>
      <c r="M440" s="1" t="s">
        <v>14</v>
      </c>
    </row>
    <row r="441" spans="1:13" hidden="1" x14ac:dyDescent="0.25">
      <c r="A441" s="1">
        <v>1970</v>
      </c>
      <c r="B441" s="1">
        <f>B440+1</f>
        <v>221</v>
      </c>
      <c r="C441" s="2">
        <v>25730</v>
      </c>
      <c r="D441" s="1" t="s">
        <v>503</v>
      </c>
      <c r="E441" s="1" t="s">
        <v>19</v>
      </c>
      <c r="F441" s="1" t="s">
        <v>186</v>
      </c>
      <c r="G441" s="1" t="s">
        <v>187</v>
      </c>
      <c r="H441" s="6" t="str">
        <f>VLOOKUP(A441,WorldCups!$A$2:$B$23,2,FALSE)</f>
        <v>Mexico</v>
      </c>
      <c r="I441" s="1" t="s">
        <v>57</v>
      </c>
      <c r="J441" s="1">
        <v>0</v>
      </c>
      <c r="K441" s="1" t="s">
        <v>181</v>
      </c>
      <c r="L441" s="1">
        <v>0</v>
      </c>
      <c r="M441" s="1" t="s">
        <v>14</v>
      </c>
    </row>
    <row r="442" spans="1:13" hidden="1" x14ac:dyDescent="0.25">
      <c r="A442" s="1">
        <v>1970</v>
      </c>
      <c r="B442" s="1">
        <v>221</v>
      </c>
      <c r="C442" s="2">
        <v>25730</v>
      </c>
      <c r="D442" s="1" t="s">
        <v>503</v>
      </c>
      <c r="E442" s="1" t="s">
        <v>19</v>
      </c>
      <c r="F442" s="1" t="s">
        <v>186</v>
      </c>
      <c r="G442" s="1" t="s">
        <v>187</v>
      </c>
      <c r="H442" s="6" t="str">
        <f>VLOOKUP(A442,WorldCups!$A$2:$B$23,2,FALSE)</f>
        <v>Mexico</v>
      </c>
      <c r="I442" s="1" t="s">
        <v>181</v>
      </c>
      <c r="J442" s="1">
        <v>0</v>
      </c>
      <c r="K442" s="1" t="s">
        <v>57</v>
      </c>
      <c r="L442" s="1">
        <v>0</v>
      </c>
      <c r="M442" s="1" t="s">
        <v>14</v>
      </c>
    </row>
    <row r="443" spans="1:13" hidden="1" x14ac:dyDescent="0.25">
      <c r="A443" s="1">
        <v>1970</v>
      </c>
      <c r="B443" s="1">
        <f>B442+1</f>
        <v>222</v>
      </c>
      <c r="C443" s="2">
        <v>25730</v>
      </c>
      <c r="D443" s="1" t="s">
        <v>503</v>
      </c>
      <c r="E443" s="1" t="s">
        <v>15</v>
      </c>
      <c r="F443" s="1" t="s">
        <v>182</v>
      </c>
      <c r="G443" s="1" t="s">
        <v>183</v>
      </c>
      <c r="H443" s="6" t="str">
        <f>VLOOKUP(A443,WorldCups!$A$2:$B$23,2,FALSE)</f>
        <v>Mexico</v>
      </c>
      <c r="I443" s="1" t="s">
        <v>156</v>
      </c>
      <c r="J443" s="1">
        <v>1</v>
      </c>
      <c r="K443" s="1" t="s">
        <v>188</v>
      </c>
      <c r="L443" s="1">
        <v>1</v>
      </c>
      <c r="M443" s="1" t="s">
        <v>14</v>
      </c>
    </row>
    <row r="444" spans="1:13" hidden="1" x14ac:dyDescent="0.25">
      <c r="A444" s="1">
        <v>1970</v>
      </c>
      <c r="B444" s="1">
        <v>222</v>
      </c>
      <c r="C444" s="2">
        <v>25730</v>
      </c>
      <c r="D444" s="1" t="s">
        <v>503</v>
      </c>
      <c r="E444" s="1" t="s">
        <v>15</v>
      </c>
      <c r="F444" s="1" t="s">
        <v>182</v>
      </c>
      <c r="G444" s="1" t="s">
        <v>183</v>
      </c>
      <c r="H444" s="6" t="str">
        <f>VLOOKUP(A444,WorldCups!$A$2:$B$23,2,FALSE)</f>
        <v>Mexico</v>
      </c>
      <c r="I444" s="1" t="s">
        <v>188</v>
      </c>
      <c r="J444" s="1">
        <v>1</v>
      </c>
      <c r="K444" s="1" t="s">
        <v>156</v>
      </c>
      <c r="L444" s="1">
        <v>1</v>
      </c>
      <c r="M444" s="1" t="s">
        <v>14</v>
      </c>
    </row>
    <row r="445" spans="1:13" hidden="1" x14ac:dyDescent="0.25">
      <c r="A445" s="1">
        <v>1970</v>
      </c>
      <c r="B445" s="1">
        <f>B444+1</f>
        <v>223</v>
      </c>
      <c r="C445" s="2">
        <v>25730</v>
      </c>
      <c r="D445" s="1" t="s">
        <v>503</v>
      </c>
      <c r="E445" s="1" t="s">
        <v>22</v>
      </c>
      <c r="F445" s="1" t="s">
        <v>184</v>
      </c>
      <c r="G445" s="1" t="s">
        <v>185</v>
      </c>
      <c r="H445" s="6" t="str">
        <f>VLOOKUP(A445,WorldCups!$A$2:$B$23,2,FALSE)</f>
        <v>Mexico</v>
      </c>
      <c r="I445" s="1" t="s">
        <v>93</v>
      </c>
      <c r="J445" s="1">
        <v>1</v>
      </c>
      <c r="K445" s="1" t="s">
        <v>60</v>
      </c>
      <c r="L445" s="1">
        <v>0</v>
      </c>
      <c r="M445" s="1" t="s">
        <v>14</v>
      </c>
    </row>
    <row r="446" spans="1:13" hidden="1" x14ac:dyDescent="0.25">
      <c r="A446" s="1">
        <v>1970</v>
      </c>
      <c r="B446" s="1">
        <v>223</v>
      </c>
      <c r="C446" s="2">
        <v>25730</v>
      </c>
      <c r="D446" s="1" t="s">
        <v>503</v>
      </c>
      <c r="E446" s="1" t="s">
        <v>22</v>
      </c>
      <c r="F446" s="1" t="s">
        <v>184</v>
      </c>
      <c r="G446" s="1" t="s">
        <v>185</v>
      </c>
      <c r="H446" s="6" t="str">
        <f>VLOOKUP(A446,WorldCups!$A$2:$B$23,2,FALSE)</f>
        <v>Mexico</v>
      </c>
      <c r="I446" s="1" t="s">
        <v>60</v>
      </c>
      <c r="J446" s="1">
        <v>0</v>
      </c>
      <c r="K446" s="1" t="s">
        <v>93</v>
      </c>
      <c r="L446" s="1">
        <v>1</v>
      </c>
      <c r="M446" s="1" t="s">
        <v>14</v>
      </c>
    </row>
    <row r="447" spans="1:13" hidden="1" x14ac:dyDescent="0.25">
      <c r="A447" s="1">
        <v>1970</v>
      </c>
      <c r="B447" s="1">
        <f>B446+1</f>
        <v>224</v>
      </c>
      <c r="C447" s="2">
        <v>25730</v>
      </c>
      <c r="D447" s="1" t="s">
        <v>503</v>
      </c>
      <c r="E447" s="1" t="s">
        <v>9</v>
      </c>
      <c r="F447" s="1" t="s">
        <v>177</v>
      </c>
      <c r="G447" s="1" t="s">
        <v>178</v>
      </c>
      <c r="H447" s="6" t="str">
        <f>VLOOKUP(A447,WorldCups!$A$2:$B$23,2,FALSE)</f>
        <v>Mexico</v>
      </c>
      <c r="I447" s="1" t="s">
        <v>13</v>
      </c>
      <c r="J447" s="1">
        <v>1</v>
      </c>
      <c r="K447" s="1" t="s">
        <v>18</v>
      </c>
      <c r="L447" s="1">
        <v>0</v>
      </c>
      <c r="M447" s="1" t="s">
        <v>14</v>
      </c>
    </row>
    <row r="448" spans="1:13" hidden="1" x14ac:dyDescent="0.25">
      <c r="A448" s="1">
        <v>1970</v>
      </c>
      <c r="B448" s="1">
        <v>224</v>
      </c>
      <c r="C448" s="2">
        <v>25730</v>
      </c>
      <c r="D448" s="1" t="s">
        <v>503</v>
      </c>
      <c r="E448" s="1" t="s">
        <v>9</v>
      </c>
      <c r="F448" s="1" t="s">
        <v>177</v>
      </c>
      <c r="G448" s="1" t="s">
        <v>178</v>
      </c>
      <c r="H448" s="6" t="str">
        <f>VLOOKUP(A448,WorldCups!$A$2:$B$23,2,FALSE)</f>
        <v>Mexico</v>
      </c>
      <c r="I448" s="1" t="s">
        <v>18</v>
      </c>
      <c r="J448" s="1">
        <v>0</v>
      </c>
      <c r="K448" s="1" t="s">
        <v>13</v>
      </c>
      <c r="L448" s="1">
        <v>1</v>
      </c>
      <c r="M448" s="1" t="s">
        <v>14</v>
      </c>
    </row>
    <row r="449" spans="1:13" hidden="1" x14ac:dyDescent="0.25">
      <c r="A449" s="1">
        <v>1970</v>
      </c>
      <c r="B449" s="1">
        <f>B448+1</f>
        <v>225</v>
      </c>
      <c r="C449" s="2">
        <v>25733</v>
      </c>
      <c r="D449" s="1" t="s">
        <v>523</v>
      </c>
      <c r="E449" s="1" t="s">
        <v>61</v>
      </c>
      <c r="F449" s="1" t="s">
        <v>186</v>
      </c>
      <c r="G449" s="1" t="s">
        <v>187</v>
      </c>
      <c r="H449" s="6" t="str">
        <f>VLOOKUP(A449,WorldCups!$A$2:$B$23,2,FALSE)</f>
        <v>Mexico</v>
      </c>
      <c r="I449" s="1" t="s">
        <v>57</v>
      </c>
      <c r="J449" s="1">
        <v>4</v>
      </c>
      <c r="K449" s="1" t="s">
        <v>13</v>
      </c>
      <c r="L449" s="1">
        <v>1</v>
      </c>
      <c r="M449" s="1" t="s">
        <v>14</v>
      </c>
    </row>
    <row r="450" spans="1:13" hidden="1" x14ac:dyDescent="0.25">
      <c r="A450" s="1">
        <v>1970</v>
      </c>
      <c r="B450" s="1">
        <v>225</v>
      </c>
      <c r="C450" s="2">
        <v>25733</v>
      </c>
      <c r="D450" s="1" t="s">
        <v>523</v>
      </c>
      <c r="E450" s="1" t="s">
        <v>61</v>
      </c>
      <c r="F450" s="1" t="s">
        <v>186</v>
      </c>
      <c r="G450" s="1" t="s">
        <v>187</v>
      </c>
      <c r="H450" s="6" t="str">
        <f>VLOOKUP(A450,WorldCups!$A$2:$B$23,2,FALSE)</f>
        <v>Mexico</v>
      </c>
      <c r="I450" s="1" t="s">
        <v>13</v>
      </c>
      <c r="J450" s="1">
        <v>1</v>
      </c>
      <c r="K450" s="1" t="s">
        <v>57</v>
      </c>
      <c r="L450" s="1">
        <v>4</v>
      </c>
      <c r="M450" s="1" t="s">
        <v>14</v>
      </c>
    </row>
    <row r="451" spans="1:13" hidden="1" x14ac:dyDescent="0.25">
      <c r="A451" s="1">
        <v>1970</v>
      </c>
      <c r="B451" s="1">
        <f>B450+1</f>
        <v>226</v>
      </c>
      <c r="C451" s="2">
        <v>25733</v>
      </c>
      <c r="D451" s="1" t="s">
        <v>523</v>
      </c>
      <c r="E451" s="1" t="s">
        <v>61</v>
      </c>
      <c r="F451" s="1" t="s">
        <v>182</v>
      </c>
      <c r="G451" s="1" t="s">
        <v>183</v>
      </c>
      <c r="H451" s="6" t="str">
        <f>VLOOKUP(A451,WorldCups!$A$2:$B$23,2,FALSE)</f>
        <v>Mexico</v>
      </c>
      <c r="I451" s="1" t="s">
        <v>114</v>
      </c>
      <c r="J451" s="1">
        <v>3</v>
      </c>
      <c r="K451" s="1" t="s">
        <v>93</v>
      </c>
      <c r="L451" s="1">
        <v>2</v>
      </c>
      <c r="M451" s="1" t="s">
        <v>190</v>
      </c>
    </row>
    <row r="452" spans="1:13" hidden="1" x14ac:dyDescent="0.25">
      <c r="A452" s="1">
        <v>1970</v>
      </c>
      <c r="B452" s="1">
        <v>226</v>
      </c>
      <c r="C452" s="2">
        <v>25733</v>
      </c>
      <c r="D452" s="1" t="s">
        <v>523</v>
      </c>
      <c r="E452" s="1" t="s">
        <v>61</v>
      </c>
      <c r="F452" s="1" t="s">
        <v>182</v>
      </c>
      <c r="G452" s="1" t="s">
        <v>183</v>
      </c>
      <c r="H452" s="6" t="str">
        <f>VLOOKUP(A452,WorldCups!$A$2:$B$23,2,FALSE)</f>
        <v>Mexico</v>
      </c>
      <c r="I452" s="1" t="s">
        <v>93</v>
      </c>
      <c r="J452" s="1">
        <v>2</v>
      </c>
      <c r="K452" s="1" t="s">
        <v>114</v>
      </c>
      <c r="L452" s="1">
        <v>3</v>
      </c>
      <c r="M452" s="1" t="s">
        <v>190</v>
      </c>
    </row>
    <row r="453" spans="1:13" hidden="1" x14ac:dyDescent="0.25">
      <c r="A453" s="1">
        <v>1970</v>
      </c>
      <c r="B453" s="1">
        <f>B452+1</f>
        <v>227</v>
      </c>
      <c r="C453" s="2">
        <v>25733</v>
      </c>
      <c r="D453" s="1" t="s">
        <v>523</v>
      </c>
      <c r="E453" s="1" t="s">
        <v>61</v>
      </c>
      <c r="F453" s="1" t="s">
        <v>184</v>
      </c>
      <c r="G453" s="1" t="s">
        <v>185</v>
      </c>
      <c r="H453" s="6" t="str">
        <f>VLOOKUP(A453,WorldCups!$A$2:$B$23,2,FALSE)</f>
        <v>Mexico</v>
      </c>
      <c r="I453" s="1" t="s">
        <v>21</v>
      </c>
      <c r="J453" s="1">
        <v>4</v>
      </c>
      <c r="K453" s="1" t="s">
        <v>24</v>
      </c>
      <c r="L453" s="1">
        <v>2</v>
      </c>
      <c r="M453" s="1" t="s">
        <v>14</v>
      </c>
    </row>
    <row r="454" spans="1:13" hidden="1" x14ac:dyDescent="0.25">
      <c r="A454" s="1">
        <v>1970</v>
      </c>
      <c r="B454" s="1">
        <v>227</v>
      </c>
      <c r="C454" s="2">
        <v>25733</v>
      </c>
      <c r="D454" s="1" t="s">
        <v>523</v>
      </c>
      <c r="E454" s="1" t="s">
        <v>61</v>
      </c>
      <c r="F454" s="1" t="s">
        <v>184</v>
      </c>
      <c r="G454" s="1" t="s">
        <v>185</v>
      </c>
      <c r="H454" s="6" t="str">
        <f>VLOOKUP(A454,WorldCups!$A$2:$B$23,2,FALSE)</f>
        <v>Mexico</v>
      </c>
      <c r="I454" s="1" t="s">
        <v>24</v>
      </c>
      <c r="J454" s="1">
        <v>2</v>
      </c>
      <c r="K454" s="1" t="s">
        <v>21</v>
      </c>
      <c r="L454" s="1">
        <v>4</v>
      </c>
      <c r="M454" s="1" t="s">
        <v>14</v>
      </c>
    </row>
    <row r="455" spans="1:13" hidden="1" x14ac:dyDescent="0.25">
      <c r="A455" s="1">
        <v>1970</v>
      </c>
      <c r="B455" s="1">
        <f>B454+1</f>
        <v>228</v>
      </c>
      <c r="C455" s="2">
        <v>25733</v>
      </c>
      <c r="D455" s="1" t="s">
        <v>523</v>
      </c>
      <c r="E455" s="1" t="s">
        <v>61</v>
      </c>
      <c r="F455" s="1" t="s">
        <v>177</v>
      </c>
      <c r="G455" s="1" t="s">
        <v>178</v>
      </c>
      <c r="H455" s="6" t="str">
        <f>VLOOKUP(A455,WorldCups!$A$2:$B$23,2,FALSE)</f>
        <v>Mexico</v>
      </c>
      <c r="I455" s="1" t="s">
        <v>30</v>
      </c>
      <c r="J455" s="1">
        <v>1</v>
      </c>
      <c r="K455" s="1" t="s">
        <v>126</v>
      </c>
      <c r="L455" s="1">
        <v>0</v>
      </c>
      <c r="M455" s="1" t="s">
        <v>191</v>
      </c>
    </row>
    <row r="456" spans="1:13" hidden="1" x14ac:dyDescent="0.25">
      <c r="A456" s="1">
        <v>1970</v>
      </c>
      <c r="B456" s="1">
        <v>228</v>
      </c>
      <c r="C456" s="2">
        <v>25733</v>
      </c>
      <c r="D456" s="1" t="s">
        <v>523</v>
      </c>
      <c r="E456" s="1" t="s">
        <v>61</v>
      </c>
      <c r="F456" s="1" t="s">
        <v>177</v>
      </c>
      <c r="G456" s="1" t="s">
        <v>178</v>
      </c>
      <c r="H456" s="6" t="str">
        <f>VLOOKUP(A456,WorldCups!$A$2:$B$23,2,FALSE)</f>
        <v>Mexico</v>
      </c>
      <c r="I456" s="1" t="s">
        <v>126</v>
      </c>
      <c r="J456" s="1">
        <v>0</v>
      </c>
      <c r="K456" s="1" t="s">
        <v>30</v>
      </c>
      <c r="L456" s="1">
        <v>1</v>
      </c>
      <c r="M456" s="1" t="s">
        <v>191</v>
      </c>
    </row>
    <row r="457" spans="1:13" hidden="1" x14ac:dyDescent="0.25">
      <c r="A457" s="1">
        <v>1970</v>
      </c>
      <c r="B457" s="1">
        <f>B456+1</f>
        <v>229</v>
      </c>
      <c r="C457" s="2">
        <v>25736</v>
      </c>
      <c r="D457" s="1" t="s">
        <v>503</v>
      </c>
      <c r="E457" s="1" t="s">
        <v>31</v>
      </c>
      <c r="F457" s="1" t="s">
        <v>184</v>
      </c>
      <c r="G457" s="1" t="s">
        <v>185</v>
      </c>
      <c r="H457" s="6" t="str">
        <f>VLOOKUP(A457,WorldCups!$A$2:$B$23,2,FALSE)</f>
        <v>Mexico</v>
      </c>
      <c r="I457" s="1" t="s">
        <v>21</v>
      </c>
      <c r="J457" s="1">
        <v>3</v>
      </c>
      <c r="K457" s="1" t="s">
        <v>30</v>
      </c>
      <c r="L457" s="1">
        <v>1</v>
      </c>
      <c r="M457" s="1" t="s">
        <v>14</v>
      </c>
    </row>
    <row r="458" spans="1:13" hidden="1" x14ac:dyDescent="0.25">
      <c r="A458" s="1">
        <v>1970</v>
      </c>
      <c r="B458" s="1">
        <v>229</v>
      </c>
      <c r="C458" s="2">
        <v>25736</v>
      </c>
      <c r="D458" s="1" t="s">
        <v>503</v>
      </c>
      <c r="E458" s="1" t="s">
        <v>31</v>
      </c>
      <c r="F458" s="1" t="s">
        <v>184</v>
      </c>
      <c r="G458" s="1" t="s">
        <v>185</v>
      </c>
      <c r="H458" s="6" t="str">
        <f>VLOOKUP(A458,WorldCups!$A$2:$B$23,2,FALSE)</f>
        <v>Mexico</v>
      </c>
      <c r="I458" s="1" t="s">
        <v>30</v>
      </c>
      <c r="J458" s="1">
        <v>1</v>
      </c>
      <c r="K458" s="1" t="s">
        <v>21</v>
      </c>
      <c r="L458" s="1">
        <v>3</v>
      </c>
      <c r="M458" s="1" t="s">
        <v>14</v>
      </c>
    </row>
    <row r="459" spans="1:13" hidden="1" x14ac:dyDescent="0.25">
      <c r="A459" s="1">
        <v>1970</v>
      </c>
      <c r="B459" s="1">
        <f>B458+1</f>
        <v>230</v>
      </c>
      <c r="C459" s="2">
        <v>25736</v>
      </c>
      <c r="D459" s="1" t="s">
        <v>503</v>
      </c>
      <c r="E459" s="1" t="s">
        <v>31</v>
      </c>
      <c r="F459" s="1" t="s">
        <v>177</v>
      </c>
      <c r="G459" s="1" t="s">
        <v>178</v>
      </c>
      <c r="H459" s="6" t="str">
        <f>VLOOKUP(A459,WorldCups!$A$2:$B$23,2,FALSE)</f>
        <v>Mexico</v>
      </c>
      <c r="I459" s="1" t="s">
        <v>57</v>
      </c>
      <c r="J459" s="1">
        <v>4</v>
      </c>
      <c r="K459" s="1" t="s">
        <v>114</v>
      </c>
      <c r="L459" s="1">
        <v>3</v>
      </c>
      <c r="M459" s="1" t="s">
        <v>63</v>
      </c>
    </row>
    <row r="460" spans="1:13" hidden="1" x14ac:dyDescent="0.25">
      <c r="A460" s="1">
        <v>1970</v>
      </c>
      <c r="B460" s="1">
        <v>230</v>
      </c>
      <c r="C460" s="2">
        <v>25736</v>
      </c>
      <c r="D460" s="1" t="s">
        <v>503</v>
      </c>
      <c r="E460" s="1" t="s">
        <v>31</v>
      </c>
      <c r="F460" s="1" t="s">
        <v>177</v>
      </c>
      <c r="G460" s="1" t="s">
        <v>178</v>
      </c>
      <c r="H460" s="6" t="str">
        <f>VLOOKUP(A460,WorldCups!$A$2:$B$23,2,FALSE)</f>
        <v>Mexico</v>
      </c>
      <c r="I460" s="1" t="s">
        <v>114</v>
      </c>
      <c r="J460" s="1">
        <v>3</v>
      </c>
      <c r="K460" s="1" t="s">
        <v>57</v>
      </c>
      <c r="L460" s="1">
        <v>4</v>
      </c>
      <c r="M460" s="1" t="s">
        <v>63</v>
      </c>
    </row>
    <row r="461" spans="1:13" hidden="1" x14ac:dyDescent="0.25">
      <c r="A461" s="1">
        <v>1970</v>
      </c>
      <c r="B461" s="1">
        <f>B460+1</f>
        <v>231</v>
      </c>
      <c r="C461" s="2">
        <v>25739</v>
      </c>
      <c r="D461" s="1" t="s">
        <v>503</v>
      </c>
      <c r="E461" s="1" t="s">
        <v>62</v>
      </c>
      <c r="F461" s="1" t="s">
        <v>177</v>
      </c>
      <c r="G461" s="1" t="s">
        <v>178</v>
      </c>
      <c r="H461" s="6" t="str">
        <f>VLOOKUP(A461,WorldCups!$A$2:$B$23,2,FALSE)</f>
        <v>Mexico</v>
      </c>
      <c r="I461" s="1" t="s">
        <v>114</v>
      </c>
      <c r="J461" s="1">
        <v>1</v>
      </c>
      <c r="K461" s="1" t="s">
        <v>30</v>
      </c>
      <c r="L461" s="1">
        <v>0</v>
      </c>
      <c r="M461" s="1" t="s">
        <v>14</v>
      </c>
    </row>
    <row r="462" spans="1:13" hidden="1" x14ac:dyDescent="0.25">
      <c r="A462" s="1">
        <v>1970</v>
      </c>
      <c r="B462" s="1">
        <v>231</v>
      </c>
      <c r="C462" s="2">
        <v>25739</v>
      </c>
      <c r="D462" s="1" t="s">
        <v>503</v>
      </c>
      <c r="E462" s="1" t="s">
        <v>62</v>
      </c>
      <c r="F462" s="1" t="s">
        <v>177</v>
      </c>
      <c r="G462" s="1" t="s">
        <v>178</v>
      </c>
      <c r="H462" s="6" t="str">
        <f>VLOOKUP(A462,WorldCups!$A$2:$B$23,2,FALSE)</f>
        <v>Mexico</v>
      </c>
      <c r="I462" s="1" t="s">
        <v>30</v>
      </c>
      <c r="J462" s="1">
        <v>0</v>
      </c>
      <c r="K462" s="1" t="s">
        <v>114</v>
      </c>
      <c r="L462" s="1">
        <v>1</v>
      </c>
      <c r="M462" s="1" t="s">
        <v>14</v>
      </c>
    </row>
    <row r="463" spans="1:13" hidden="1" x14ac:dyDescent="0.25">
      <c r="A463" s="1">
        <v>1970</v>
      </c>
      <c r="B463" s="1">
        <f>B462+1</f>
        <v>232</v>
      </c>
      <c r="C463" s="2">
        <v>25740</v>
      </c>
      <c r="D463" s="1" t="s">
        <v>523</v>
      </c>
      <c r="E463" s="1" t="s">
        <v>32</v>
      </c>
      <c r="F463" s="1" t="s">
        <v>177</v>
      </c>
      <c r="G463" s="1" t="s">
        <v>178</v>
      </c>
      <c r="H463" s="6" t="str">
        <f>VLOOKUP(A463,WorldCups!$A$2:$B$23,2,FALSE)</f>
        <v>Mexico</v>
      </c>
      <c r="I463" s="1" t="s">
        <v>21</v>
      </c>
      <c r="J463" s="1">
        <v>4</v>
      </c>
      <c r="K463" s="1" t="s">
        <v>57</v>
      </c>
      <c r="L463" s="1">
        <v>1</v>
      </c>
      <c r="M463" s="1" t="s">
        <v>14</v>
      </c>
    </row>
    <row r="464" spans="1:13" hidden="1" x14ac:dyDescent="0.25">
      <c r="A464" s="1">
        <v>1970</v>
      </c>
      <c r="B464" s="1">
        <v>232</v>
      </c>
      <c r="C464" s="2">
        <v>25740</v>
      </c>
      <c r="D464" s="1" t="s">
        <v>523</v>
      </c>
      <c r="E464" s="1" t="s">
        <v>32</v>
      </c>
      <c r="F464" s="1" t="s">
        <v>177</v>
      </c>
      <c r="G464" s="1" t="s">
        <v>178</v>
      </c>
      <c r="H464" s="6" t="str">
        <f>VLOOKUP(A464,WorldCups!$A$2:$B$23,2,FALSE)</f>
        <v>Mexico</v>
      </c>
      <c r="I464" s="1" t="s">
        <v>57</v>
      </c>
      <c r="J464" s="1">
        <v>1</v>
      </c>
      <c r="K464" s="1" t="s">
        <v>21</v>
      </c>
      <c r="L464" s="1">
        <v>4</v>
      </c>
      <c r="M464" s="1" t="s">
        <v>14</v>
      </c>
    </row>
    <row r="465" spans="1:13" hidden="1" x14ac:dyDescent="0.25">
      <c r="A465" s="1">
        <v>1974</v>
      </c>
      <c r="B465" s="1">
        <f>B464+1</f>
        <v>233</v>
      </c>
      <c r="C465" s="2">
        <v>27193</v>
      </c>
      <c r="D465" s="1" t="s">
        <v>512</v>
      </c>
      <c r="E465" s="1" t="s">
        <v>19</v>
      </c>
      <c r="F465" s="1" t="s">
        <v>192</v>
      </c>
      <c r="G465" s="1" t="s">
        <v>193</v>
      </c>
      <c r="H465" s="6" t="str">
        <f>VLOOKUP(A465,WorldCups!$A$2:$B$23,2,FALSE)</f>
        <v>Germany</v>
      </c>
      <c r="I465" s="1" t="s">
        <v>21</v>
      </c>
      <c r="J465" s="1">
        <v>0</v>
      </c>
      <c r="K465" s="1" t="s">
        <v>20</v>
      </c>
      <c r="L465" s="1">
        <v>0</v>
      </c>
      <c r="M465" s="1" t="s">
        <v>14</v>
      </c>
    </row>
    <row r="466" spans="1:13" hidden="1" x14ac:dyDescent="0.25">
      <c r="A466" s="1">
        <v>1974</v>
      </c>
      <c r="B466" s="1">
        <v>233</v>
      </c>
      <c r="C466" s="2">
        <v>27193</v>
      </c>
      <c r="D466" s="1" t="s">
        <v>512</v>
      </c>
      <c r="E466" s="1" t="s">
        <v>19</v>
      </c>
      <c r="F466" s="1" t="s">
        <v>192</v>
      </c>
      <c r="G466" s="1" t="s">
        <v>193</v>
      </c>
      <c r="H466" s="6" t="str">
        <f>VLOOKUP(A466,WorldCups!$A$2:$B$23,2,FALSE)</f>
        <v>Germany</v>
      </c>
      <c r="I466" s="1" t="s">
        <v>20</v>
      </c>
      <c r="J466" s="1">
        <v>0</v>
      </c>
      <c r="K466" s="1" t="s">
        <v>21</v>
      </c>
      <c r="L466" s="1">
        <v>0</v>
      </c>
      <c r="M466" s="1" t="s">
        <v>14</v>
      </c>
    </row>
    <row r="467" spans="1:13" hidden="1" x14ac:dyDescent="0.25">
      <c r="A467" s="1">
        <v>1974</v>
      </c>
      <c r="B467" s="1">
        <f>B466+1</f>
        <v>234</v>
      </c>
      <c r="C467" s="2">
        <v>27194</v>
      </c>
      <c r="D467" s="1" t="s">
        <v>503</v>
      </c>
      <c r="E467" s="1" t="s">
        <v>9</v>
      </c>
      <c r="F467" s="1" t="s">
        <v>194</v>
      </c>
      <c r="G467" s="1" t="s">
        <v>195</v>
      </c>
      <c r="H467" s="6" t="str">
        <f>VLOOKUP(A467,WorldCups!$A$2:$B$23,2,FALSE)</f>
        <v>Germany</v>
      </c>
      <c r="I467" s="1" t="s">
        <v>114</v>
      </c>
      <c r="J467" s="1">
        <v>1</v>
      </c>
      <c r="K467" s="1" t="s">
        <v>26</v>
      </c>
      <c r="L467" s="1">
        <v>0</v>
      </c>
      <c r="M467" s="1" t="s">
        <v>14</v>
      </c>
    </row>
    <row r="468" spans="1:13" hidden="1" x14ac:dyDescent="0.25">
      <c r="A468" s="1">
        <v>1974</v>
      </c>
      <c r="B468" s="1">
        <v>234</v>
      </c>
      <c r="C468" s="2">
        <v>27194</v>
      </c>
      <c r="D468" s="1" t="s">
        <v>503</v>
      </c>
      <c r="E468" s="1" t="s">
        <v>9</v>
      </c>
      <c r="F468" s="1" t="s">
        <v>194</v>
      </c>
      <c r="G468" s="1" t="s">
        <v>195</v>
      </c>
      <c r="H468" s="6" t="str">
        <f>VLOOKUP(A468,WorldCups!$A$2:$B$23,2,FALSE)</f>
        <v>Germany</v>
      </c>
      <c r="I468" s="1" t="s">
        <v>26</v>
      </c>
      <c r="J468" s="1">
        <v>0</v>
      </c>
      <c r="K468" s="1" t="s">
        <v>114</v>
      </c>
      <c r="L468" s="1">
        <v>1</v>
      </c>
      <c r="M468" s="1" t="s">
        <v>14</v>
      </c>
    </row>
    <row r="469" spans="1:13" hidden="1" x14ac:dyDescent="0.25">
      <c r="A469" s="1">
        <v>1974</v>
      </c>
      <c r="B469" s="1">
        <f>B468+1</f>
        <v>235</v>
      </c>
      <c r="C469" s="2">
        <v>27194</v>
      </c>
      <c r="D469" s="1" t="s">
        <v>522</v>
      </c>
      <c r="E469" s="1" t="s">
        <v>9</v>
      </c>
      <c r="F469" s="1" t="s">
        <v>196</v>
      </c>
      <c r="G469" s="1" t="s">
        <v>197</v>
      </c>
      <c r="H469" s="6" t="str">
        <f>VLOOKUP(A469,WorldCups!$A$2:$B$23,2,FALSE)</f>
        <v>Germany</v>
      </c>
      <c r="I469" s="1" t="s">
        <v>198</v>
      </c>
      <c r="J469" s="1">
        <v>2</v>
      </c>
      <c r="K469" s="1" t="s">
        <v>199</v>
      </c>
      <c r="L469" s="1">
        <v>0</v>
      </c>
      <c r="M469" s="1" t="s">
        <v>14</v>
      </c>
    </row>
    <row r="470" spans="1:13" hidden="1" x14ac:dyDescent="0.25">
      <c r="A470" s="1">
        <v>1974</v>
      </c>
      <c r="B470" s="1">
        <v>235</v>
      </c>
      <c r="C470" s="2">
        <v>27194</v>
      </c>
      <c r="D470" s="1" t="s">
        <v>522</v>
      </c>
      <c r="E470" s="1" t="s">
        <v>9</v>
      </c>
      <c r="F470" s="1" t="s">
        <v>196</v>
      </c>
      <c r="G470" s="1" t="s">
        <v>197</v>
      </c>
      <c r="H470" s="6" t="str">
        <f>VLOOKUP(A470,WorldCups!$A$2:$B$23,2,FALSE)</f>
        <v>Germany</v>
      </c>
      <c r="I470" s="1" t="s">
        <v>199</v>
      </c>
      <c r="J470" s="1">
        <v>0</v>
      </c>
      <c r="K470" s="1" t="s">
        <v>198</v>
      </c>
      <c r="L470" s="1">
        <v>2</v>
      </c>
      <c r="M470" s="1" t="s">
        <v>14</v>
      </c>
    </row>
    <row r="471" spans="1:13" hidden="1" x14ac:dyDescent="0.25">
      <c r="A471" s="1">
        <v>1974</v>
      </c>
      <c r="B471" s="1">
        <f>B470+1</f>
        <v>236</v>
      </c>
      <c r="C471" s="2">
        <v>27194</v>
      </c>
      <c r="D471" s="1" t="s">
        <v>522</v>
      </c>
      <c r="E471" s="1" t="s">
        <v>19</v>
      </c>
      <c r="F471" s="1" t="s">
        <v>200</v>
      </c>
      <c r="G471" s="1" t="s">
        <v>201</v>
      </c>
      <c r="H471" s="6" t="str">
        <f>VLOOKUP(A471,WorldCups!$A$2:$B$23,2,FALSE)</f>
        <v>Germany</v>
      </c>
      <c r="I471" s="1" t="s">
        <v>202</v>
      </c>
      <c r="J471" s="1">
        <v>0</v>
      </c>
      <c r="K471" s="1" t="s">
        <v>109</v>
      </c>
      <c r="L471" s="1">
        <v>2</v>
      </c>
      <c r="M471" s="1" t="s">
        <v>14</v>
      </c>
    </row>
    <row r="472" spans="1:13" hidden="1" x14ac:dyDescent="0.25">
      <c r="A472" s="1">
        <v>1974</v>
      </c>
      <c r="B472" s="1">
        <v>236</v>
      </c>
      <c r="C472" s="2">
        <v>27194</v>
      </c>
      <c r="D472" s="1" t="s">
        <v>522</v>
      </c>
      <c r="E472" s="1" t="s">
        <v>19</v>
      </c>
      <c r="F472" s="1" t="s">
        <v>200</v>
      </c>
      <c r="G472" s="1" t="s">
        <v>201</v>
      </c>
      <c r="H472" s="6" t="str">
        <f>VLOOKUP(A472,WorldCups!$A$2:$B$23,2,FALSE)</f>
        <v>Germany</v>
      </c>
      <c r="I472" s="1" t="s">
        <v>109</v>
      </c>
      <c r="J472" s="1">
        <v>2</v>
      </c>
      <c r="K472" s="1" t="s">
        <v>202</v>
      </c>
      <c r="L472" s="1">
        <v>0</v>
      </c>
      <c r="M472" s="1" t="s">
        <v>14</v>
      </c>
    </row>
    <row r="473" spans="1:13" hidden="1" x14ac:dyDescent="0.25">
      <c r="A473" s="1">
        <v>1974</v>
      </c>
      <c r="B473" s="1">
        <f>B472+1</f>
        <v>237</v>
      </c>
      <c r="C473" s="2">
        <v>27195</v>
      </c>
      <c r="D473" s="1" t="s">
        <v>503</v>
      </c>
      <c r="E473" s="1" t="s">
        <v>22</v>
      </c>
      <c r="F473" s="1" t="s">
        <v>203</v>
      </c>
      <c r="G473" s="1" t="s">
        <v>204</v>
      </c>
      <c r="H473" s="6" t="str">
        <f>VLOOKUP(A473,WorldCups!$A$2:$B$23,2,FALSE)</f>
        <v>Germany</v>
      </c>
      <c r="I473" s="1" t="s">
        <v>30</v>
      </c>
      <c r="J473" s="1">
        <v>0</v>
      </c>
      <c r="K473" s="1" t="s">
        <v>45</v>
      </c>
      <c r="L473" s="1">
        <v>2</v>
      </c>
      <c r="M473" s="1" t="s">
        <v>14</v>
      </c>
    </row>
    <row r="474" spans="1:13" hidden="1" x14ac:dyDescent="0.25">
      <c r="A474" s="1">
        <v>1974</v>
      </c>
      <c r="B474" s="1">
        <v>237</v>
      </c>
      <c r="C474" s="2">
        <v>27195</v>
      </c>
      <c r="D474" s="1" t="s">
        <v>503</v>
      </c>
      <c r="E474" s="1" t="s">
        <v>22</v>
      </c>
      <c r="F474" s="1" t="s">
        <v>203</v>
      </c>
      <c r="G474" s="1" t="s">
        <v>204</v>
      </c>
      <c r="H474" s="6" t="str">
        <f>VLOOKUP(A474,WorldCups!$A$2:$B$23,2,FALSE)</f>
        <v>Germany</v>
      </c>
      <c r="I474" s="1" t="s">
        <v>45</v>
      </c>
      <c r="J474" s="1">
        <v>2</v>
      </c>
      <c r="K474" s="1" t="s">
        <v>30</v>
      </c>
      <c r="L474" s="1">
        <v>0</v>
      </c>
      <c r="M474" s="1" t="s">
        <v>14</v>
      </c>
    </row>
    <row r="475" spans="1:13" hidden="1" x14ac:dyDescent="0.25">
      <c r="A475" s="1">
        <v>1974</v>
      </c>
      <c r="B475" s="1">
        <f>B474+1</f>
        <v>238</v>
      </c>
      <c r="C475" s="2">
        <v>27195</v>
      </c>
      <c r="D475" s="1" t="s">
        <v>503</v>
      </c>
      <c r="E475" s="1" t="s">
        <v>22</v>
      </c>
      <c r="F475" s="1" t="s">
        <v>205</v>
      </c>
      <c r="G475" s="1" t="s">
        <v>206</v>
      </c>
      <c r="H475" s="6" t="str">
        <f>VLOOKUP(A475,WorldCups!$A$2:$B$23,2,FALSE)</f>
        <v>Germany</v>
      </c>
      <c r="I475" s="1" t="s">
        <v>48</v>
      </c>
      <c r="J475" s="1">
        <v>0</v>
      </c>
      <c r="K475" s="1" t="s">
        <v>156</v>
      </c>
      <c r="L475" s="1">
        <v>0</v>
      </c>
      <c r="M475" s="1" t="s">
        <v>14</v>
      </c>
    </row>
    <row r="476" spans="1:13" hidden="1" x14ac:dyDescent="0.25">
      <c r="A476" s="1">
        <v>1974</v>
      </c>
      <c r="B476" s="1">
        <v>238</v>
      </c>
      <c r="C476" s="2">
        <v>27195</v>
      </c>
      <c r="D476" s="1" t="s">
        <v>503</v>
      </c>
      <c r="E476" s="1" t="s">
        <v>22</v>
      </c>
      <c r="F476" s="1" t="s">
        <v>205</v>
      </c>
      <c r="G476" s="1" t="s">
        <v>206</v>
      </c>
      <c r="H476" s="6" t="str">
        <f>VLOOKUP(A476,WorldCups!$A$2:$B$23,2,FALSE)</f>
        <v>Germany</v>
      </c>
      <c r="I476" s="1" t="s">
        <v>156</v>
      </c>
      <c r="J476" s="1">
        <v>0</v>
      </c>
      <c r="K476" s="1" t="s">
        <v>48</v>
      </c>
      <c r="L476" s="1">
        <v>0</v>
      </c>
      <c r="M476" s="1" t="s">
        <v>14</v>
      </c>
    </row>
    <row r="477" spans="1:13" hidden="1" x14ac:dyDescent="0.25">
      <c r="A477" s="1">
        <v>1974</v>
      </c>
      <c r="B477" s="1">
        <f>B476+1</f>
        <v>239</v>
      </c>
      <c r="C477" s="2">
        <v>27195</v>
      </c>
      <c r="D477" s="1" t="s">
        <v>510</v>
      </c>
      <c r="E477" s="1" t="s">
        <v>15</v>
      </c>
      <c r="F477" s="1" t="s">
        <v>194</v>
      </c>
      <c r="G477" s="1" t="s">
        <v>207</v>
      </c>
      <c r="H477" s="6" t="str">
        <f>VLOOKUP(A477,WorldCups!$A$2:$B$23,2,FALSE)</f>
        <v>Germany</v>
      </c>
      <c r="I477" s="1" t="s">
        <v>57</v>
      </c>
      <c r="J477" s="1">
        <v>3</v>
      </c>
      <c r="K477" s="1" t="s">
        <v>208</v>
      </c>
      <c r="L477" s="1">
        <v>1</v>
      </c>
      <c r="M477" s="1" t="s">
        <v>14</v>
      </c>
    </row>
    <row r="478" spans="1:13" hidden="1" x14ac:dyDescent="0.25">
      <c r="A478" s="1">
        <v>1974</v>
      </c>
      <c r="B478" s="1">
        <v>239</v>
      </c>
      <c r="C478" s="2">
        <v>27195</v>
      </c>
      <c r="D478" s="1" t="s">
        <v>510</v>
      </c>
      <c r="E478" s="1" t="s">
        <v>15</v>
      </c>
      <c r="F478" s="1" t="s">
        <v>194</v>
      </c>
      <c r="G478" s="1" t="s">
        <v>207</v>
      </c>
      <c r="H478" s="6" t="str">
        <f>VLOOKUP(A478,WorldCups!$A$2:$B$23,2,FALSE)</f>
        <v>Germany</v>
      </c>
      <c r="I478" s="1" t="s">
        <v>208</v>
      </c>
      <c r="J478" s="1">
        <v>1</v>
      </c>
      <c r="K478" s="1" t="s">
        <v>57</v>
      </c>
      <c r="L478" s="1">
        <v>3</v>
      </c>
      <c r="M478" s="1" t="s">
        <v>14</v>
      </c>
    </row>
    <row r="479" spans="1:13" hidden="1" x14ac:dyDescent="0.25">
      <c r="A479" s="1">
        <v>1974</v>
      </c>
      <c r="B479" s="1">
        <f>B478+1</f>
        <v>240</v>
      </c>
      <c r="C479" s="2">
        <v>27195</v>
      </c>
      <c r="D479" s="1" t="s">
        <v>510</v>
      </c>
      <c r="E479" s="1" t="s">
        <v>15</v>
      </c>
      <c r="F479" s="1" t="s">
        <v>209</v>
      </c>
      <c r="G479" s="1" t="s">
        <v>210</v>
      </c>
      <c r="H479" s="6" t="str">
        <f>VLOOKUP(A479,WorldCups!$A$2:$B$23,2,FALSE)</f>
        <v>Germany</v>
      </c>
      <c r="I479" s="1" t="s">
        <v>80</v>
      </c>
      <c r="J479" s="1">
        <v>3</v>
      </c>
      <c r="K479" s="1" t="s">
        <v>25</v>
      </c>
      <c r="L479" s="1">
        <v>2</v>
      </c>
      <c r="M479" s="1" t="s">
        <v>14</v>
      </c>
    </row>
    <row r="480" spans="1:13" hidden="1" x14ac:dyDescent="0.25">
      <c r="A480" s="1">
        <v>1974</v>
      </c>
      <c r="B480" s="1">
        <v>240</v>
      </c>
      <c r="C480" s="2">
        <v>27195</v>
      </c>
      <c r="D480" s="1" t="s">
        <v>510</v>
      </c>
      <c r="E480" s="1" t="s">
        <v>15</v>
      </c>
      <c r="F480" s="1" t="s">
        <v>209</v>
      </c>
      <c r="G480" s="1" t="s">
        <v>210</v>
      </c>
      <c r="H480" s="6" t="str">
        <f>VLOOKUP(A480,WorldCups!$A$2:$B$23,2,FALSE)</f>
        <v>Germany</v>
      </c>
      <c r="I480" s="1" t="s">
        <v>25</v>
      </c>
      <c r="J480" s="1">
        <v>2</v>
      </c>
      <c r="K480" s="1" t="s">
        <v>80</v>
      </c>
      <c r="L480" s="1">
        <v>3</v>
      </c>
      <c r="M480" s="1" t="s">
        <v>14</v>
      </c>
    </row>
    <row r="481" spans="1:13" hidden="1" x14ac:dyDescent="0.25">
      <c r="A481" s="1">
        <v>1974</v>
      </c>
      <c r="B481" s="1">
        <f>B480+1</f>
        <v>241</v>
      </c>
      <c r="C481" s="2">
        <v>27198</v>
      </c>
      <c r="D481" s="1" t="s">
        <v>503</v>
      </c>
      <c r="E481" s="1" t="s">
        <v>9</v>
      </c>
      <c r="F481" s="1" t="s">
        <v>196</v>
      </c>
      <c r="G481" s="1" t="s">
        <v>197</v>
      </c>
      <c r="H481" s="6" t="str">
        <f>VLOOKUP(A481,WorldCups!$A$2:$B$23,2,FALSE)</f>
        <v>Germany</v>
      </c>
      <c r="I481" s="1" t="s">
        <v>199</v>
      </c>
      <c r="J481" s="1">
        <v>0</v>
      </c>
      <c r="K481" s="1" t="s">
        <v>114</v>
      </c>
      <c r="L481" s="1">
        <v>3</v>
      </c>
      <c r="M481" s="1" t="s">
        <v>14</v>
      </c>
    </row>
    <row r="482" spans="1:13" hidden="1" x14ac:dyDescent="0.25">
      <c r="A482" s="1">
        <v>1974</v>
      </c>
      <c r="B482" s="1">
        <v>241</v>
      </c>
      <c r="C482" s="2">
        <v>27198</v>
      </c>
      <c r="D482" s="1" t="s">
        <v>503</v>
      </c>
      <c r="E482" s="1" t="s">
        <v>9</v>
      </c>
      <c r="F482" s="1" t="s">
        <v>196</v>
      </c>
      <c r="G482" s="1" t="s">
        <v>197</v>
      </c>
      <c r="H482" s="6" t="str">
        <f>VLOOKUP(A482,WorldCups!$A$2:$B$23,2,FALSE)</f>
        <v>Germany</v>
      </c>
      <c r="I482" s="1" t="s">
        <v>114</v>
      </c>
      <c r="J482" s="1">
        <v>3</v>
      </c>
      <c r="K482" s="1" t="s">
        <v>199</v>
      </c>
      <c r="L482" s="1">
        <v>0</v>
      </c>
      <c r="M482" s="1" t="s">
        <v>14</v>
      </c>
    </row>
    <row r="483" spans="1:13" hidden="1" x14ac:dyDescent="0.25">
      <c r="A483" s="1">
        <v>1974</v>
      </c>
      <c r="B483" s="1">
        <f>B482+1</f>
        <v>242</v>
      </c>
      <c r="C483" s="2">
        <v>27198</v>
      </c>
      <c r="D483" s="1" t="s">
        <v>522</v>
      </c>
      <c r="E483" s="1" t="s">
        <v>19</v>
      </c>
      <c r="F483" s="1" t="s">
        <v>192</v>
      </c>
      <c r="G483" s="1" t="s">
        <v>193</v>
      </c>
      <c r="H483" s="6" t="str">
        <f>VLOOKUP(A483,WorldCups!$A$2:$B$23,2,FALSE)</f>
        <v>Germany</v>
      </c>
      <c r="I483" s="1" t="s">
        <v>109</v>
      </c>
      <c r="J483" s="1">
        <v>0</v>
      </c>
      <c r="K483" s="1" t="s">
        <v>21</v>
      </c>
      <c r="L483" s="1">
        <v>0</v>
      </c>
      <c r="M483" s="1" t="s">
        <v>14</v>
      </c>
    </row>
    <row r="484" spans="1:13" hidden="1" x14ac:dyDescent="0.25">
      <c r="A484" s="1">
        <v>1974</v>
      </c>
      <c r="B484" s="1">
        <v>242</v>
      </c>
      <c r="C484" s="2">
        <v>27198</v>
      </c>
      <c r="D484" s="1" t="s">
        <v>522</v>
      </c>
      <c r="E484" s="1" t="s">
        <v>19</v>
      </c>
      <c r="F484" s="1" t="s">
        <v>192</v>
      </c>
      <c r="G484" s="1" t="s">
        <v>193</v>
      </c>
      <c r="H484" s="6" t="str">
        <f>VLOOKUP(A484,WorldCups!$A$2:$B$23,2,FALSE)</f>
        <v>Germany</v>
      </c>
      <c r="I484" s="1" t="s">
        <v>21</v>
      </c>
      <c r="J484" s="1">
        <v>0</v>
      </c>
      <c r="K484" s="1" t="s">
        <v>109</v>
      </c>
      <c r="L484" s="1">
        <v>0</v>
      </c>
      <c r="M484" s="1" t="s">
        <v>14</v>
      </c>
    </row>
    <row r="485" spans="1:13" hidden="1" x14ac:dyDescent="0.25">
      <c r="A485" s="1">
        <v>1974</v>
      </c>
      <c r="B485" s="1">
        <f>B484+1</f>
        <v>243</v>
      </c>
      <c r="C485" s="2">
        <v>27198</v>
      </c>
      <c r="D485" s="1" t="s">
        <v>522</v>
      </c>
      <c r="E485" s="1" t="s">
        <v>9</v>
      </c>
      <c r="F485" s="1" t="s">
        <v>194</v>
      </c>
      <c r="G485" s="1" t="s">
        <v>195</v>
      </c>
      <c r="H485" s="6" t="str">
        <f>VLOOKUP(A485,WorldCups!$A$2:$B$23,2,FALSE)</f>
        <v>Germany</v>
      </c>
      <c r="I485" s="1" t="s">
        <v>26</v>
      </c>
      <c r="J485" s="1">
        <v>1</v>
      </c>
      <c r="K485" s="1" t="s">
        <v>198</v>
      </c>
      <c r="L485" s="1">
        <v>1</v>
      </c>
      <c r="M485" s="1" t="s">
        <v>14</v>
      </c>
    </row>
    <row r="486" spans="1:13" hidden="1" x14ac:dyDescent="0.25">
      <c r="A486" s="1">
        <v>1974</v>
      </c>
      <c r="B486" s="1">
        <v>243</v>
      </c>
      <c r="C486" s="2">
        <v>27198</v>
      </c>
      <c r="D486" s="1" t="s">
        <v>522</v>
      </c>
      <c r="E486" s="1" t="s">
        <v>9</v>
      </c>
      <c r="F486" s="1" t="s">
        <v>194</v>
      </c>
      <c r="G486" s="1" t="s">
        <v>195</v>
      </c>
      <c r="H486" s="6" t="str">
        <f>VLOOKUP(A486,WorldCups!$A$2:$B$23,2,FALSE)</f>
        <v>Germany</v>
      </c>
      <c r="I486" s="1" t="s">
        <v>198</v>
      </c>
      <c r="J486" s="1">
        <v>1</v>
      </c>
      <c r="K486" s="1" t="s">
        <v>26</v>
      </c>
      <c r="L486" s="1">
        <v>1</v>
      </c>
      <c r="M486" s="1" t="s">
        <v>14</v>
      </c>
    </row>
    <row r="487" spans="1:13" hidden="1" x14ac:dyDescent="0.25">
      <c r="A487" s="1">
        <v>1974</v>
      </c>
      <c r="B487" s="1">
        <f>B486+1</f>
        <v>244</v>
      </c>
      <c r="C487" s="2">
        <v>27198</v>
      </c>
      <c r="D487" s="1" t="s">
        <v>522</v>
      </c>
      <c r="E487" s="1" t="s">
        <v>19</v>
      </c>
      <c r="F487" s="1" t="s">
        <v>211</v>
      </c>
      <c r="G487" s="1" t="s">
        <v>212</v>
      </c>
      <c r="H487" s="6" t="str">
        <f>VLOOKUP(A487,WorldCups!$A$2:$B$23,2,FALSE)</f>
        <v>Germany</v>
      </c>
      <c r="I487" s="1" t="s">
        <v>20</v>
      </c>
      <c r="J487" s="1">
        <v>9</v>
      </c>
      <c r="K487" s="1" t="s">
        <v>202</v>
      </c>
      <c r="L487" s="1">
        <v>0</v>
      </c>
      <c r="M487" s="1" t="s">
        <v>14</v>
      </c>
    </row>
    <row r="488" spans="1:13" hidden="1" x14ac:dyDescent="0.25">
      <c r="A488" s="1">
        <v>1974</v>
      </c>
      <c r="B488" s="1">
        <v>244</v>
      </c>
      <c r="C488" s="2">
        <v>27198</v>
      </c>
      <c r="D488" s="1" t="s">
        <v>522</v>
      </c>
      <c r="E488" s="1" t="s">
        <v>19</v>
      </c>
      <c r="F488" s="1" t="s">
        <v>211</v>
      </c>
      <c r="G488" s="1" t="s">
        <v>212</v>
      </c>
      <c r="H488" s="6" t="str">
        <f>VLOOKUP(A488,WorldCups!$A$2:$B$23,2,FALSE)</f>
        <v>Germany</v>
      </c>
      <c r="I488" s="1" t="s">
        <v>202</v>
      </c>
      <c r="J488" s="1">
        <v>0</v>
      </c>
      <c r="K488" s="1" t="s">
        <v>20</v>
      </c>
      <c r="L488" s="1">
        <v>9</v>
      </c>
      <c r="M488" s="1" t="s">
        <v>14</v>
      </c>
    </row>
    <row r="489" spans="1:13" hidden="1" x14ac:dyDescent="0.25">
      <c r="A489" s="1">
        <v>1974</v>
      </c>
      <c r="B489" s="1">
        <f>B488+1</f>
        <v>245</v>
      </c>
      <c r="C489" s="2">
        <v>27199</v>
      </c>
      <c r="D489" s="1" t="s">
        <v>522</v>
      </c>
      <c r="E489" s="1" t="s">
        <v>22</v>
      </c>
      <c r="F489" s="1" t="s">
        <v>200</v>
      </c>
      <c r="G489" s="1" t="s">
        <v>201</v>
      </c>
      <c r="H489" s="6" t="str">
        <f>VLOOKUP(A489,WorldCups!$A$2:$B$23,2,FALSE)</f>
        <v>Germany</v>
      </c>
      <c r="I489" s="1" t="s">
        <v>45</v>
      </c>
      <c r="J489" s="1">
        <v>0</v>
      </c>
      <c r="K489" s="1" t="s">
        <v>48</v>
      </c>
      <c r="L489" s="1">
        <v>0</v>
      </c>
      <c r="M489" s="1" t="s">
        <v>14</v>
      </c>
    </row>
    <row r="490" spans="1:13" hidden="1" x14ac:dyDescent="0.25">
      <c r="A490" s="1">
        <v>1974</v>
      </c>
      <c r="B490" s="1">
        <v>245</v>
      </c>
      <c r="C490" s="2">
        <v>27199</v>
      </c>
      <c r="D490" s="1" t="s">
        <v>522</v>
      </c>
      <c r="E490" s="1" t="s">
        <v>22</v>
      </c>
      <c r="F490" s="1" t="s">
        <v>200</v>
      </c>
      <c r="G490" s="1" t="s">
        <v>201</v>
      </c>
      <c r="H490" s="6" t="str">
        <f>VLOOKUP(A490,WorldCups!$A$2:$B$23,2,FALSE)</f>
        <v>Germany</v>
      </c>
      <c r="I490" s="1" t="s">
        <v>48</v>
      </c>
      <c r="J490" s="1">
        <v>0</v>
      </c>
      <c r="K490" s="1" t="s">
        <v>45</v>
      </c>
      <c r="L490" s="1">
        <v>0</v>
      </c>
      <c r="M490" s="1" t="s">
        <v>14</v>
      </c>
    </row>
    <row r="491" spans="1:13" hidden="1" x14ac:dyDescent="0.25">
      <c r="A491" s="1">
        <v>1974</v>
      </c>
      <c r="B491" s="1">
        <f>B490+1</f>
        <v>246</v>
      </c>
      <c r="C491" s="2">
        <v>27199</v>
      </c>
      <c r="D491" s="1" t="s">
        <v>522</v>
      </c>
      <c r="E491" s="1" t="s">
        <v>22</v>
      </c>
      <c r="F491" s="1" t="s">
        <v>203</v>
      </c>
      <c r="G491" s="1" t="s">
        <v>204</v>
      </c>
      <c r="H491" s="6" t="str">
        <f>VLOOKUP(A491,WorldCups!$A$2:$B$23,2,FALSE)</f>
        <v>Germany</v>
      </c>
      <c r="I491" s="1" t="s">
        <v>156</v>
      </c>
      <c r="J491" s="1">
        <v>1</v>
      </c>
      <c r="K491" s="1" t="s">
        <v>30</v>
      </c>
      <c r="L491" s="1">
        <v>1</v>
      </c>
      <c r="M491" s="1" t="s">
        <v>14</v>
      </c>
    </row>
    <row r="492" spans="1:13" hidden="1" x14ac:dyDescent="0.25">
      <c r="A492" s="1">
        <v>1974</v>
      </c>
      <c r="B492" s="1">
        <v>246</v>
      </c>
      <c r="C492" s="2">
        <v>27199</v>
      </c>
      <c r="D492" s="1" t="s">
        <v>522</v>
      </c>
      <c r="E492" s="1" t="s">
        <v>22</v>
      </c>
      <c r="F492" s="1" t="s">
        <v>203</v>
      </c>
      <c r="G492" s="1" t="s">
        <v>204</v>
      </c>
      <c r="H492" s="6" t="str">
        <f>VLOOKUP(A492,WorldCups!$A$2:$B$23,2,FALSE)</f>
        <v>Germany</v>
      </c>
      <c r="I492" s="1" t="s">
        <v>30</v>
      </c>
      <c r="J492" s="1">
        <v>1</v>
      </c>
      <c r="K492" s="1" t="s">
        <v>156</v>
      </c>
      <c r="L492" s="1">
        <v>1</v>
      </c>
      <c r="M492" s="1" t="s">
        <v>14</v>
      </c>
    </row>
    <row r="493" spans="1:13" hidden="1" x14ac:dyDescent="0.25">
      <c r="A493" s="1">
        <v>1974</v>
      </c>
      <c r="B493" s="1">
        <f>B492+1</f>
        <v>247</v>
      </c>
      <c r="C493" s="2">
        <v>27199</v>
      </c>
      <c r="D493" s="1" t="s">
        <v>522</v>
      </c>
      <c r="E493" s="1" t="s">
        <v>15</v>
      </c>
      <c r="F493" s="1" t="s">
        <v>194</v>
      </c>
      <c r="G493" s="1" t="s">
        <v>207</v>
      </c>
      <c r="H493" s="6" t="str">
        <f>VLOOKUP(A493,WorldCups!$A$2:$B$23,2,FALSE)</f>
        <v>Germany</v>
      </c>
      <c r="I493" s="1" t="s">
        <v>208</v>
      </c>
      <c r="J493" s="1">
        <v>0</v>
      </c>
      <c r="K493" s="1" t="s">
        <v>80</v>
      </c>
      <c r="L493" s="1">
        <v>7</v>
      </c>
      <c r="M493" s="1" t="s">
        <v>14</v>
      </c>
    </row>
    <row r="494" spans="1:13" hidden="1" x14ac:dyDescent="0.25">
      <c r="A494" s="1">
        <v>1974</v>
      </c>
      <c r="B494" s="1">
        <v>247</v>
      </c>
      <c r="C494" s="2">
        <v>27199</v>
      </c>
      <c r="D494" s="1" t="s">
        <v>522</v>
      </c>
      <c r="E494" s="1" t="s">
        <v>15</v>
      </c>
      <c r="F494" s="1" t="s">
        <v>194</v>
      </c>
      <c r="G494" s="1" t="s">
        <v>207</v>
      </c>
      <c r="H494" s="6" t="str">
        <f>VLOOKUP(A494,WorldCups!$A$2:$B$23,2,FALSE)</f>
        <v>Germany</v>
      </c>
      <c r="I494" s="1" t="s">
        <v>80</v>
      </c>
      <c r="J494" s="1">
        <v>7</v>
      </c>
      <c r="K494" s="1" t="s">
        <v>208</v>
      </c>
      <c r="L494" s="1">
        <v>0</v>
      </c>
      <c r="M494" s="1" t="s">
        <v>14</v>
      </c>
    </row>
    <row r="495" spans="1:13" hidden="1" x14ac:dyDescent="0.25">
      <c r="A495" s="1">
        <v>1974</v>
      </c>
      <c r="B495" s="1">
        <f>B494+1</f>
        <v>248</v>
      </c>
      <c r="C495" s="2">
        <v>27199</v>
      </c>
      <c r="D495" s="1" t="s">
        <v>522</v>
      </c>
      <c r="E495" s="1" t="s">
        <v>15</v>
      </c>
      <c r="F495" s="1" t="s">
        <v>209</v>
      </c>
      <c r="G495" s="1" t="s">
        <v>210</v>
      </c>
      <c r="H495" s="6" t="str">
        <f>VLOOKUP(A495,WorldCups!$A$2:$B$23,2,FALSE)</f>
        <v>Germany</v>
      </c>
      <c r="I495" s="1" t="s">
        <v>25</v>
      </c>
      <c r="J495" s="1">
        <v>1</v>
      </c>
      <c r="K495" s="1" t="s">
        <v>57</v>
      </c>
      <c r="L495" s="1">
        <v>1</v>
      </c>
      <c r="M495" s="1" t="s">
        <v>14</v>
      </c>
    </row>
    <row r="496" spans="1:13" hidden="1" x14ac:dyDescent="0.25">
      <c r="A496" s="1">
        <v>1974</v>
      </c>
      <c r="B496" s="1">
        <v>248</v>
      </c>
      <c r="C496" s="2">
        <v>27199</v>
      </c>
      <c r="D496" s="1" t="s">
        <v>522</v>
      </c>
      <c r="E496" s="1" t="s">
        <v>15</v>
      </c>
      <c r="F496" s="1" t="s">
        <v>209</v>
      </c>
      <c r="G496" s="1" t="s">
        <v>210</v>
      </c>
      <c r="H496" s="6" t="str">
        <f>VLOOKUP(A496,WorldCups!$A$2:$B$23,2,FALSE)</f>
        <v>Germany</v>
      </c>
      <c r="I496" s="1" t="s">
        <v>57</v>
      </c>
      <c r="J496" s="1">
        <v>1</v>
      </c>
      <c r="K496" s="1" t="s">
        <v>25</v>
      </c>
      <c r="L496" s="1">
        <v>1</v>
      </c>
      <c r="M496" s="1" t="s">
        <v>14</v>
      </c>
    </row>
    <row r="497" spans="1:13" hidden="1" x14ac:dyDescent="0.25">
      <c r="A497" s="1">
        <v>1974</v>
      </c>
      <c r="B497" s="1">
        <f>B496+1</f>
        <v>249</v>
      </c>
      <c r="C497" s="2">
        <v>27202</v>
      </c>
      <c r="D497" s="1" t="s">
        <v>503</v>
      </c>
      <c r="E497" s="1" t="s">
        <v>19</v>
      </c>
      <c r="F497" s="1" t="s">
        <v>192</v>
      </c>
      <c r="G497" s="1" t="s">
        <v>193</v>
      </c>
      <c r="H497" s="6" t="str">
        <f>VLOOKUP(A497,WorldCups!$A$2:$B$23,2,FALSE)</f>
        <v>Germany</v>
      </c>
      <c r="I497" s="1" t="s">
        <v>109</v>
      </c>
      <c r="J497" s="1">
        <v>1</v>
      </c>
      <c r="K497" s="1" t="s">
        <v>20</v>
      </c>
      <c r="L497" s="1">
        <v>1</v>
      </c>
      <c r="M497" s="1" t="s">
        <v>14</v>
      </c>
    </row>
    <row r="498" spans="1:13" hidden="1" x14ac:dyDescent="0.25">
      <c r="A498" s="1">
        <v>1974</v>
      </c>
      <c r="B498" s="1">
        <v>249</v>
      </c>
      <c r="C498" s="2">
        <v>27202</v>
      </c>
      <c r="D498" s="1" t="s">
        <v>503</v>
      </c>
      <c r="E498" s="1" t="s">
        <v>19</v>
      </c>
      <c r="F498" s="1" t="s">
        <v>192</v>
      </c>
      <c r="G498" s="1" t="s">
        <v>193</v>
      </c>
      <c r="H498" s="6" t="str">
        <f>VLOOKUP(A498,WorldCups!$A$2:$B$23,2,FALSE)</f>
        <v>Germany</v>
      </c>
      <c r="I498" s="1" t="s">
        <v>20</v>
      </c>
      <c r="J498" s="1">
        <v>1</v>
      </c>
      <c r="K498" s="1" t="s">
        <v>109</v>
      </c>
      <c r="L498" s="1">
        <v>1</v>
      </c>
      <c r="M498" s="1" t="s">
        <v>14</v>
      </c>
    </row>
    <row r="499" spans="1:13" hidden="1" x14ac:dyDescent="0.25">
      <c r="A499" s="1">
        <v>1974</v>
      </c>
      <c r="B499" s="1">
        <f>B498+1</f>
        <v>250</v>
      </c>
      <c r="C499" s="2">
        <v>27202</v>
      </c>
      <c r="D499" s="1" t="s">
        <v>503</v>
      </c>
      <c r="E499" s="1" t="s">
        <v>9</v>
      </c>
      <c r="F499" s="1" t="s">
        <v>194</v>
      </c>
      <c r="G499" s="1" t="s">
        <v>195</v>
      </c>
      <c r="H499" s="6" t="str">
        <f>VLOOKUP(A499,WorldCups!$A$2:$B$23,2,FALSE)</f>
        <v>Germany</v>
      </c>
      <c r="I499" s="1" t="s">
        <v>199</v>
      </c>
      <c r="J499" s="1">
        <v>0</v>
      </c>
      <c r="K499" s="1" t="s">
        <v>26</v>
      </c>
      <c r="L499" s="1">
        <v>0</v>
      </c>
      <c r="M499" s="1" t="s">
        <v>14</v>
      </c>
    </row>
    <row r="500" spans="1:13" hidden="1" x14ac:dyDescent="0.25">
      <c r="A500" s="1">
        <v>1974</v>
      </c>
      <c r="B500" s="1">
        <v>250</v>
      </c>
      <c r="C500" s="2">
        <v>27202</v>
      </c>
      <c r="D500" s="1" t="s">
        <v>503</v>
      </c>
      <c r="E500" s="1" t="s">
        <v>9</v>
      </c>
      <c r="F500" s="1" t="s">
        <v>194</v>
      </c>
      <c r="G500" s="1" t="s">
        <v>195</v>
      </c>
      <c r="H500" s="6" t="str">
        <f>VLOOKUP(A500,WorldCups!$A$2:$B$23,2,FALSE)</f>
        <v>Germany</v>
      </c>
      <c r="I500" s="1" t="s">
        <v>26</v>
      </c>
      <c r="J500" s="1">
        <v>0</v>
      </c>
      <c r="K500" s="1" t="s">
        <v>199</v>
      </c>
      <c r="L500" s="1">
        <v>0</v>
      </c>
      <c r="M500" s="1" t="s">
        <v>14</v>
      </c>
    </row>
    <row r="501" spans="1:13" hidden="1" x14ac:dyDescent="0.25">
      <c r="A501" s="1">
        <v>1974</v>
      </c>
      <c r="B501" s="1">
        <f>B500+1</f>
        <v>251</v>
      </c>
      <c r="C501" s="2">
        <v>27202</v>
      </c>
      <c r="D501" s="1" t="s">
        <v>503</v>
      </c>
      <c r="E501" s="1" t="s">
        <v>19</v>
      </c>
      <c r="F501" s="1" t="s">
        <v>211</v>
      </c>
      <c r="G501" s="1" t="s">
        <v>212</v>
      </c>
      <c r="H501" s="6" t="str">
        <f>VLOOKUP(A501,WorldCups!$A$2:$B$23,2,FALSE)</f>
        <v>Germany</v>
      </c>
      <c r="I501" s="1" t="s">
        <v>202</v>
      </c>
      <c r="J501" s="1">
        <v>0</v>
      </c>
      <c r="K501" s="1" t="s">
        <v>21</v>
      </c>
      <c r="L501" s="1">
        <v>3</v>
      </c>
      <c r="M501" s="1" t="s">
        <v>14</v>
      </c>
    </row>
    <row r="502" spans="1:13" hidden="1" x14ac:dyDescent="0.25">
      <c r="A502" s="1">
        <v>1974</v>
      </c>
      <c r="B502" s="1">
        <v>251</v>
      </c>
      <c r="C502" s="2">
        <v>27202</v>
      </c>
      <c r="D502" s="1" t="s">
        <v>503</v>
      </c>
      <c r="E502" s="1" t="s">
        <v>19</v>
      </c>
      <c r="F502" s="1" t="s">
        <v>211</v>
      </c>
      <c r="G502" s="1" t="s">
        <v>212</v>
      </c>
      <c r="H502" s="6" t="str">
        <f>VLOOKUP(A502,WorldCups!$A$2:$B$23,2,FALSE)</f>
        <v>Germany</v>
      </c>
      <c r="I502" s="1" t="s">
        <v>21</v>
      </c>
      <c r="J502" s="1">
        <v>3</v>
      </c>
      <c r="K502" s="1" t="s">
        <v>202</v>
      </c>
      <c r="L502" s="1">
        <v>0</v>
      </c>
      <c r="M502" s="1" t="s">
        <v>14</v>
      </c>
    </row>
    <row r="503" spans="1:13" hidden="1" x14ac:dyDescent="0.25">
      <c r="A503" s="1">
        <v>1974</v>
      </c>
      <c r="B503" s="1">
        <f>B502+1</f>
        <v>252</v>
      </c>
      <c r="C503" s="2">
        <v>27202</v>
      </c>
      <c r="D503" s="1" t="s">
        <v>522</v>
      </c>
      <c r="E503" s="1" t="s">
        <v>9</v>
      </c>
      <c r="F503" s="1" t="s">
        <v>196</v>
      </c>
      <c r="G503" s="1" t="s">
        <v>197</v>
      </c>
      <c r="H503" s="6" t="str">
        <f>VLOOKUP(A503,WorldCups!$A$2:$B$23,2,FALSE)</f>
        <v>Germany</v>
      </c>
      <c r="I503" s="1" t="s">
        <v>198</v>
      </c>
      <c r="J503" s="1">
        <v>1</v>
      </c>
      <c r="K503" s="1" t="s">
        <v>114</v>
      </c>
      <c r="L503" s="1">
        <v>0</v>
      </c>
      <c r="M503" s="1" t="s">
        <v>14</v>
      </c>
    </row>
    <row r="504" spans="1:13" hidden="1" x14ac:dyDescent="0.25">
      <c r="A504" s="1">
        <v>1974</v>
      </c>
      <c r="B504" s="1">
        <v>252</v>
      </c>
      <c r="C504" s="2">
        <v>27202</v>
      </c>
      <c r="D504" s="1" t="s">
        <v>522</v>
      </c>
      <c r="E504" s="1" t="s">
        <v>9</v>
      </c>
      <c r="F504" s="1" t="s">
        <v>196</v>
      </c>
      <c r="G504" s="1" t="s">
        <v>197</v>
      </c>
      <c r="H504" s="6" t="str">
        <f>VLOOKUP(A504,WorldCups!$A$2:$B$23,2,FALSE)</f>
        <v>Germany</v>
      </c>
      <c r="I504" s="1" t="s">
        <v>114</v>
      </c>
      <c r="J504" s="1">
        <v>0</v>
      </c>
      <c r="K504" s="1" t="s">
        <v>198</v>
      </c>
      <c r="L504" s="1">
        <v>1</v>
      </c>
      <c r="M504" s="1" t="s">
        <v>14</v>
      </c>
    </row>
    <row r="505" spans="1:13" hidden="1" x14ac:dyDescent="0.25">
      <c r="A505" s="1">
        <v>1974</v>
      </c>
      <c r="B505" s="1">
        <f>B504+1</f>
        <v>253</v>
      </c>
      <c r="C505" s="2">
        <v>27203</v>
      </c>
      <c r="D505" s="1" t="s">
        <v>503</v>
      </c>
      <c r="E505" s="1" t="s">
        <v>22</v>
      </c>
      <c r="F505" s="1" t="s">
        <v>200</v>
      </c>
      <c r="G505" s="1" t="s">
        <v>201</v>
      </c>
      <c r="H505" s="6" t="str">
        <f>VLOOKUP(A505,WorldCups!$A$2:$B$23,2,FALSE)</f>
        <v>Germany</v>
      </c>
      <c r="I505" s="1" t="s">
        <v>156</v>
      </c>
      <c r="J505" s="1">
        <v>1</v>
      </c>
      <c r="K505" s="1" t="s">
        <v>45</v>
      </c>
      <c r="L505" s="1">
        <v>4</v>
      </c>
      <c r="M505" s="1" t="s">
        <v>14</v>
      </c>
    </row>
    <row r="506" spans="1:13" hidden="1" x14ac:dyDescent="0.25">
      <c r="A506" s="1">
        <v>1974</v>
      </c>
      <c r="B506" s="1">
        <v>253</v>
      </c>
      <c r="C506" s="2">
        <v>27203</v>
      </c>
      <c r="D506" s="1" t="s">
        <v>503</v>
      </c>
      <c r="E506" s="1" t="s">
        <v>22</v>
      </c>
      <c r="F506" s="1" t="s">
        <v>200</v>
      </c>
      <c r="G506" s="1" t="s">
        <v>201</v>
      </c>
      <c r="H506" s="6" t="str">
        <f>VLOOKUP(A506,WorldCups!$A$2:$B$23,2,FALSE)</f>
        <v>Germany</v>
      </c>
      <c r="I506" s="1" t="s">
        <v>45</v>
      </c>
      <c r="J506" s="1">
        <v>4</v>
      </c>
      <c r="K506" s="1" t="s">
        <v>156</v>
      </c>
      <c r="L506" s="1">
        <v>1</v>
      </c>
      <c r="M506" s="1" t="s">
        <v>14</v>
      </c>
    </row>
    <row r="507" spans="1:13" hidden="1" x14ac:dyDescent="0.25">
      <c r="A507" s="1">
        <v>1974</v>
      </c>
      <c r="B507" s="1">
        <f>B506+1</f>
        <v>254</v>
      </c>
      <c r="C507" s="2">
        <v>27203</v>
      </c>
      <c r="D507" s="1" t="s">
        <v>503</v>
      </c>
      <c r="E507" s="1" t="s">
        <v>15</v>
      </c>
      <c r="F507" s="1" t="s">
        <v>194</v>
      </c>
      <c r="G507" s="1" t="s">
        <v>207</v>
      </c>
      <c r="H507" s="6" t="str">
        <f>VLOOKUP(A507,WorldCups!$A$2:$B$23,2,FALSE)</f>
        <v>Germany</v>
      </c>
      <c r="I507" s="1" t="s">
        <v>25</v>
      </c>
      <c r="J507" s="1">
        <v>4</v>
      </c>
      <c r="K507" s="1" t="s">
        <v>208</v>
      </c>
      <c r="L507" s="1">
        <v>1</v>
      </c>
      <c r="M507" s="1" t="s">
        <v>14</v>
      </c>
    </row>
    <row r="508" spans="1:13" hidden="1" x14ac:dyDescent="0.25">
      <c r="A508" s="1">
        <v>1974</v>
      </c>
      <c r="B508" s="1">
        <v>254</v>
      </c>
      <c r="C508" s="2">
        <v>27203</v>
      </c>
      <c r="D508" s="1" t="s">
        <v>503</v>
      </c>
      <c r="E508" s="1" t="s">
        <v>15</v>
      </c>
      <c r="F508" s="1" t="s">
        <v>194</v>
      </c>
      <c r="G508" s="1" t="s">
        <v>207</v>
      </c>
      <c r="H508" s="6" t="str">
        <f>VLOOKUP(A508,WorldCups!$A$2:$B$23,2,FALSE)</f>
        <v>Germany</v>
      </c>
      <c r="I508" s="1" t="s">
        <v>208</v>
      </c>
      <c r="J508" s="1">
        <v>1</v>
      </c>
      <c r="K508" s="1" t="s">
        <v>25</v>
      </c>
      <c r="L508" s="1">
        <v>4</v>
      </c>
      <c r="M508" s="1" t="s">
        <v>14</v>
      </c>
    </row>
    <row r="509" spans="1:13" hidden="1" x14ac:dyDescent="0.25">
      <c r="A509" s="1">
        <v>1974</v>
      </c>
      <c r="B509" s="1">
        <f>B508+1</f>
        <v>255</v>
      </c>
      <c r="C509" s="2">
        <v>27203</v>
      </c>
      <c r="D509" s="1" t="s">
        <v>503</v>
      </c>
      <c r="E509" s="1" t="s">
        <v>22</v>
      </c>
      <c r="F509" s="1" t="s">
        <v>205</v>
      </c>
      <c r="G509" s="1" t="s">
        <v>206</v>
      </c>
      <c r="H509" s="6" t="str">
        <f>VLOOKUP(A509,WorldCups!$A$2:$B$23,2,FALSE)</f>
        <v>Germany</v>
      </c>
      <c r="I509" s="1" t="s">
        <v>48</v>
      </c>
      <c r="J509" s="1">
        <v>3</v>
      </c>
      <c r="K509" s="1" t="s">
        <v>30</v>
      </c>
      <c r="L509" s="1">
        <v>0</v>
      </c>
      <c r="M509" s="1" t="s">
        <v>14</v>
      </c>
    </row>
    <row r="510" spans="1:13" hidden="1" x14ac:dyDescent="0.25">
      <c r="A510" s="1">
        <v>1974</v>
      </c>
      <c r="B510" s="1">
        <v>255</v>
      </c>
      <c r="C510" s="2">
        <v>27203</v>
      </c>
      <c r="D510" s="1" t="s">
        <v>503</v>
      </c>
      <c r="E510" s="1" t="s">
        <v>22</v>
      </c>
      <c r="F510" s="1" t="s">
        <v>205</v>
      </c>
      <c r="G510" s="1" t="s">
        <v>206</v>
      </c>
      <c r="H510" s="6" t="str">
        <f>VLOOKUP(A510,WorldCups!$A$2:$B$23,2,FALSE)</f>
        <v>Germany</v>
      </c>
      <c r="I510" s="1" t="s">
        <v>30</v>
      </c>
      <c r="J510" s="1">
        <v>0</v>
      </c>
      <c r="K510" s="1" t="s">
        <v>48</v>
      </c>
      <c r="L510" s="1">
        <v>3</v>
      </c>
      <c r="M510" s="1" t="s">
        <v>14</v>
      </c>
    </row>
    <row r="511" spans="1:13" hidden="1" x14ac:dyDescent="0.25">
      <c r="A511" s="1">
        <v>1974</v>
      </c>
      <c r="B511" s="1">
        <f>B510+1</f>
        <v>256</v>
      </c>
      <c r="C511" s="2">
        <v>27203</v>
      </c>
      <c r="D511" s="1" t="s">
        <v>503</v>
      </c>
      <c r="E511" s="1" t="s">
        <v>15</v>
      </c>
      <c r="F511" s="1" t="s">
        <v>209</v>
      </c>
      <c r="G511" s="1" t="s">
        <v>210</v>
      </c>
      <c r="H511" s="6" t="str">
        <f>VLOOKUP(A511,WorldCups!$A$2:$B$23,2,FALSE)</f>
        <v>Germany</v>
      </c>
      <c r="I511" s="1" t="s">
        <v>80</v>
      </c>
      <c r="J511" s="1">
        <v>2</v>
      </c>
      <c r="K511" s="1" t="s">
        <v>57</v>
      </c>
      <c r="L511" s="1">
        <v>1</v>
      </c>
      <c r="M511" s="1" t="s">
        <v>14</v>
      </c>
    </row>
    <row r="512" spans="1:13" hidden="1" x14ac:dyDescent="0.25">
      <c r="A512" s="1">
        <v>1974</v>
      </c>
      <c r="B512" s="1">
        <v>256</v>
      </c>
      <c r="C512" s="2">
        <v>27203</v>
      </c>
      <c r="D512" s="1" t="s">
        <v>503</v>
      </c>
      <c r="E512" s="1" t="s">
        <v>15</v>
      </c>
      <c r="F512" s="1" t="s">
        <v>209</v>
      </c>
      <c r="G512" s="1" t="s">
        <v>210</v>
      </c>
      <c r="H512" s="6" t="str">
        <f>VLOOKUP(A512,WorldCups!$A$2:$B$23,2,FALSE)</f>
        <v>Germany</v>
      </c>
      <c r="I512" s="1" t="s">
        <v>57</v>
      </c>
      <c r="J512" s="1">
        <v>1</v>
      </c>
      <c r="K512" s="1" t="s">
        <v>80</v>
      </c>
      <c r="L512" s="1">
        <v>2</v>
      </c>
      <c r="M512" s="1" t="s">
        <v>14</v>
      </c>
    </row>
    <row r="513" spans="1:13" hidden="1" x14ac:dyDescent="0.25">
      <c r="A513" s="1">
        <v>1974</v>
      </c>
      <c r="B513" s="1">
        <f>B512+1</f>
        <v>257</v>
      </c>
      <c r="C513" s="2">
        <v>27206</v>
      </c>
      <c r="D513" s="1" t="s">
        <v>503</v>
      </c>
      <c r="E513" s="1" t="s">
        <v>213</v>
      </c>
      <c r="F513" s="1" t="s">
        <v>205</v>
      </c>
      <c r="G513" s="1" t="s">
        <v>206</v>
      </c>
      <c r="H513" s="6" t="str">
        <f>VLOOKUP(A513,WorldCups!$A$2:$B$23,2,FALSE)</f>
        <v>Germany</v>
      </c>
      <c r="I513" s="1" t="s">
        <v>20</v>
      </c>
      <c r="J513" s="1">
        <v>0</v>
      </c>
      <c r="K513" s="1" t="s">
        <v>114</v>
      </c>
      <c r="L513" s="1">
        <v>2</v>
      </c>
      <c r="M513" s="1" t="s">
        <v>14</v>
      </c>
    </row>
    <row r="514" spans="1:13" hidden="1" x14ac:dyDescent="0.25">
      <c r="A514" s="1">
        <v>1974</v>
      </c>
      <c r="B514" s="1">
        <v>257</v>
      </c>
      <c r="C514" s="2">
        <v>27206</v>
      </c>
      <c r="D514" s="1" t="s">
        <v>503</v>
      </c>
      <c r="E514" s="1" t="s">
        <v>213</v>
      </c>
      <c r="F514" s="1" t="s">
        <v>205</v>
      </c>
      <c r="G514" s="1" t="s">
        <v>206</v>
      </c>
      <c r="H514" s="6" t="str">
        <f>VLOOKUP(A514,WorldCups!$A$2:$B$23,2,FALSE)</f>
        <v>Germany</v>
      </c>
      <c r="I514" s="1" t="s">
        <v>114</v>
      </c>
      <c r="J514" s="1">
        <v>2</v>
      </c>
      <c r="K514" s="1" t="s">
        <v>20</v>
      </c>
      <c r="L514" s="1">
        <v>0</v>
      </c>
      <c r="M514" s="1" t="s">
        <v>14</v>
      </c>
    </row>
    <row r="515" spans="1:13" hidden="1" x14ac:dyDescent="0.25">
      <c r="A515" s="1">
        <v>1974</v>
      </c>
      <c r="B515" s="1">
        <f>B514+1</f>
        <v>258</v>
      </c>
      <c r="C515" s="2">
        <v>27206</v>
      </c>
      <c r="D515" s="1" t="s">
        <v>522</v>
      </c>
      <c r="E515" s="1" t="s">
        <v>214</v>
      </c>
      <c r="F515" s="1" t="s">
        <v>203</v>
      </c>
      <c r="G515" s="1" t="s">
        <v>204</v>
      </c>
      <c r="H515" s="6" t="str">
        <f>VLOOKUP(A515,WorldCups!$A$2:$B$23,2,FALSE)</f>
        <v>Germany</v>
      </c>
      <c r="I515" s="1" t="s">
        <v>21</v>
      </c>
      <c r="J515" s="1">
        <v>1</v>
      </c>
      <c r="K515" s="1" t="s">
        <v>198</v>
      </c>
      <c r="L515" s="1">
        <v>0</v>
      </c>
      <c r="M515" s="1" t="s">
        <v>14</v>
      </c>
    </row>
    <row r="516" spans="1:13" hidden="1" x14ac:dyDescent="0.25">
      <c r="A516" s="1">
        <v>1974</v>
      </c>
      <c r="B516" s="1">
        <v>258</v>
      </c>
      <c r="C516" s="2">
        <v>27206</v>
      </c>
      <c r="D516" s="1" t="s">
        <v>522</v>
      </c>
      <c r="E516" s="1" t="s">
        <v>214</v>
      </c>
      <c r="F516" s="1" t="s">
        <v>203</v>
      </c>
      <c r="G516" s="1" t="s">
        <v>204</v>
      </c>
      <c r="H516" s="6" t="str">
        <f>VLOOKUP(A516,WorldCups!$A$2:$B$23,2,FALSE)</f>
        <v>Germany</v>
      </c>
      <c r="I516" s="1" t="s">
        <v>198</v>
      </c>
      <c r="J516" s="1">
        <v>0</v>
      </c>
      <c r="K516" s="1" t="s">
        <v>21</v>
      </c>
      <c r="L516" s="1">
        <v>1</v>
      </c>
      <c r="M516" s="1" t="s">
        <v>14</v>
      </c>
    </row>
    <row r="517" spans="1:13" hidden="1" x14ac:dyDescent="0.25">
      <c r="A517" s="1">
        <v>1974</v>
      </c>
      <c r="B517" s="1">
        <f>B516+1</f>
        <v>259</v>
      </c>
      <c r="C517" s="2">
        <v>27206</v>
      </c>
      <c r="D517" s="1" t="s">
        <v>522</v>
      </c>
      <c r="E517" s="1" t="s">
        <v>214</v>
      </c>
      <c r="F517" s="1" t="s">
        <v>211</v>
      </c>
      <c r="G517" s="1" t="s">
        <v>212</v>
      </c>
      <c r="H517" s="6" t="str">
        <f>VLOOKUP(A517,WorldCups!$A$2:$B$23,2,FALSE)</f>
        <v>Germany</v>
      </c>
      <c r="I517" s="1" t="s">
        <v>45</v>
      </c>
      <c r="J517" s="1">
        <v>4</v>
      </c>
      <c r="K517" s="1" t="s">
        <v>25</v>
      </c>
      <c r="L517" s="1">
        <v>0</v>
      </c>
      <c r="M517" s="1" t="s">
        <v>14</v>
      </c>
    </row>
    <row r="518" spans="1:13" hidden="1" x14ac:dyDescent="0.25">
      <c r="A518" s="1">
        <v>1974</v>
      </c>
      <c r="B518" s="1">
        <v>259</v>
      </c>
      <c r="C518" s="2">
        <v>27206</v>
      </c>
      <c r="D518" s="1" t="s">
        <v>522</v>
      </c>
      <c r="E518" s="1" t="s">
        <v>214</v>
      </c>
      <c r="F518" s="1" t="s">
        <v>211</v>
      </c>
      <c r="G518" s="1" t="s">
        <v>212</v>
      </c>
      <c r="H518" s="6" t="str">
        <f>VLOOKUP(A518,WorldCups!$A$2:$B$23,2,FALSE)</f>
        <v>Germany</v>
      </c>
      <c r="I518" s="1" t="s">
        <v>25</v>
      </c>
      <c r="J518" s="1">
        <v>0</v>
      </c>
      <c r="K518" s="1" t="s">
        <v>45</v>
      </c>
      <c r="L518" s="1">
        <v>4</v>
      </c>
      <c r="M518" s="1" t="s">
        <v>14</v>
      </c>
    </row>
    <row r="519" spans="1:13" hidden="1" x14ac:dyDescent="0.25">
      <c r="A519" s="1">
        <v>1974</v>
      </c>
      <c r="B519" s="1">
        <f>B518+1</f>
        <v>260</v>
      </c>
      <c r="C519" s="2">
        <v>27206</v>
      </c>
      <c r="D519" s="1" t="s">
        <v>522</v>
      </c>
      <c r="E519" s="1" t="s">
        <v>213</v>
      </c>
      <c r="F519" s="1" t="s">
        <v>209</v>
      </c>
      <c r="G519" s="1" t="s">
        <v>210</v>
      </c>
      <c r="H519" s="6" t="str">
        <f>VLOOKUP(A519,WorldCups!$A$2:$B$23,2,FALSE)</f>
        <v>Germany</v>
      </c>
      <c r="I519" s="1" t="s">
        <v>48</v>
      </c>
      <c r="J519" s="1">
        <v>0</v>
      </c>
      <c r="K519" s="1" t="s">
        <v>80</v>
      </c>
      <c r="L519" s="1">
        <v>1</v>
      </c>
      <c r="M519" s="1" t="s">
        <v>14</v>
      </c>
    </row>
    <row r="520" spans="1:13" hidden="1" x14ac:dyDescent="0.25">
      <c r="A520" s="1">
        <v>1974</v>
      </c>
      <c r="B520" s="1">
        <v>260</v>
      </c>
      <c r="C520" s="2">
        <v>27206</v>
      </c>
      <c r="D520" s="1" t="s">
        <v>522</v>
      </c>
      <c r="E520" s="1" t="s">
        <v>213</v>
      </c>
      <c r="F520" s="1" t="s">
        <v>209</v>
      </c>
      <c r="G520" s="1" t="s">
        <v>210</v>
      </c>
      <c r="H520" s="6" t="str">
        <f>VLOOKUP(A520,WorldCups!$A$2:$B$23,2,FALSE)</f>
        <v>Germany</v>
      </c>
      <c r="I520" s="1" t="s">
        <v>80</v>
      </c>
      <c r="J520" s="1">
        <v>1</v>
      </c>
      <c r="K520" s="1" t="s">
        <v>48</v>
      </c>
      <c r="L520" s="1">
        <v>0</v>
      </c>
      <c r="M520" s="1" t="s">
        <v>14</v>
      </c>
    </row>
    <row r="521" spans="1:13" hidden="1" x14ac:dyDescent="0.25">
      <c r="A521" s="1">
        <v>1974</v>
      </c>
      <c r="B521" s="1">
        <f>B520+1</f>
        <v>261</v>
      </c>
      <c r="C521" s="2">
        <v>27210</v>
      </c>
      <c r="D521" s="1" t="s">
        <v>503</v>
      </c>
      <c r="E521" s="1" t="s">
        <v>214</v>
      </c>
      <c r="F521" s="1" t="s">
        <v>203</v>
      </c>
      <c r="G521" s="1" t="s">
        <v>204</v>
      </c>
      <c r="H521" s="6" t="str">
        <f>VLOOKUP(A521,WorldCups!$A$2:$B$23,2,FALSE)</f>
        <v>Germany</v>
      </c>
      <c r="I521" s="1" t="s">
        <v>25</v>
      </c>
      <c r="J521" s="1">
        <v>1</v>
      </c>
      <c r="K521" s="1" t="s">
        <v>21</v>
      </c>
      <c r="L521" s="1">
        <v>2</v>
      </c>
      <c r="M521" s="1" t="s">
        <v>14</v>
      </c>
    </row>
    <row r="522" spans="1:13" hidden="1" x14ac:dyDescent="0.25">
      <c r="A522" s="1">
        <v>1974</v>
      </c>
      <c r="B522" s="1">
        <v>261</v>
      </c>
      <c r="C522" s="2">
        <v>27210</v>
      </c>
      <c r="D522" s="1" t="s">
        <v>503</v>
      </c>
      <c r="E522" s="1" t="s">
        <v>214</v>
      </c>
      <c r="F522" s="1" t="s">
        <v>203</v>
      </c>
      <c r="G522" s="1" t="s">
        <v>204</v>
      </c>
      <c r="H522" s="6" t="str">
        <f>VLOOKUP(A522,WorldCups!$A$2:$B$23,2,FALSE)</f>
        <v>Germany</v>
      </c>
      <c r="I522" s="1" t="s">
        <v>21</v>
      </c>
      <c r="J522" s="1">
        <v>2</v>
      </c>
      <c r="K522" s="1" t="s">
        <v>25</v>
      </c>
      <c r="L522" s="1">
        <v>1</v>
      </c>
      <c r="M522" s="1" t="s">
        <v>14</v>
      </c>
    </row>
    <row r="523" spans="1:13" hidden="1" x14ac:dyDescent="0.25">
      <c r="A523" s="1">
        <v>1974</v>
      </c>
      <c r="B523" s="1">
        <f>B522+1</f>
        <v>262</v>
      </c>
      <c r="C523" s="2">
        <v>27210</v>
      </c>
      <c r="D523" s="1" t="s">
        <v>503</v>
      </c>
      <c r="E523" s="1" t="s">
        <v>213</v>
      </c>
      <c r="F523" s="1" t="s">
        <v>192</v>
      </c>
      <c r="G523" s="1" t="s">
        <v>193</v>
      </c>
      <c r="H523" s="6" t="str">
        <f>VLOOKUP(A523,WorldCups!$A$2:$B$23,2,FALSE)</f>
        <v>Germany</v>
      </c>
      <c r="I523" s="1" t="s">
        <v>80</v>
      </c>
      <c r="J523" s="1">
        <v>2</v>
      </c>
      <c r="K523" s="1" t="s">
        <v>20</v>
      </c>
      <c r="L523" s="1">
        <v>1</v>
      </c>
      <c r="M523" s="1" t="s">
        <v>14</v>
      </c>
    </row>
    <row r="524" spans="1:13" hidden="1" x14ac:dyDescent="0.25">
      <c r="A524" s="1">
        <v>1974</v>
      </c>
      <c r="B524" s="1">
        <v>262</v>
      </c>
      <c r="C524" s="2">
        <v>27210</v>
      </c>
      <c r="D524" s="1" t="s">
        <v>503</v>
      </c>
      <c r="E524" s="1" t="s">
        <v>213</v>
      </c>
      <c r="F524" s="1" t="s">
        <v>192</v>
      </c>
      <c r="G524" s="1" t="s">
        <v>193</v>
      </c>
      <c r="H524" s="6" t="str">
        <f>VLOOKUP(A524,WorldCups!$A$2:$B$23,2,FALSE)</f>
        <v>Germany</v>
      </c>
      <c r="I524" s="1" t="s">
        <v>20</v>
      </c>
      <c r="J524" s="1">
        <v>1</v>
      </c>
      <c r="K524" s="1" t="s">
        <v>80</v>
      </c>
      <c r="L524" s="1">
        <v>2</v>
      </c>
      <c r="M524" s="1" t="s">
        <v>14</v>
      </c>
    </row>
    <row r="525" spans="1:13" hidden="1" x14ac:dyDescent="0.25">
      <c r="A525" s="1">
        <v>1974</v>
      </c>
      <c r="B525" s="1">
        <f>B524+1</f>
        <v>263</v>
      </c>
      <c r="C525" s="2">
        <v>27210</v>
      </c>
      <c r="D525" s="1" t="s">
        <v>503</v>
      </c>
      <c r="E525" s="1" t="s">
        <v>214</v>
      </c>
      <c r="F525" s="1" t="s">
        <v>211</v>
      </c>
      <c r="G525" s="1" t="s">
        <v>212</v>
      </c>
      <c r="H525" s="6" t="str">
        <f>VLOOKUP(A525,WorldCups!$A$2:$B$23,2,FALSE)</f>
        <v>Germany</v>
      </c>
      <c r="I525" s="1" t="s">
        <v>198</v>
      </c>
      <c r="J525" s="1">
        <v>0</v>
      </c>
      <c r="K525" s="1" t="s">
        <v>45</v>
      </c>
      <c r="L525" s="1">
        <v>2</v>
      </c>
      <c r="M525" s="1" t="s">
        <v>14</v>
      </c>
    </row>
    <row r="526" spans="1:13" hidden="1" x14ac:dyDescent="0.25">
      <c r="A526" s="1">
        <v>1974</v>
      </c>
      <c r="B526" s="1">
        <v>263</v>
      </c>
      <c r="C526" s="2">
        <v>27210</v>
      </c>
      <c r="D526" s="1" t="s">
        <v>503</v>
      </c>
      <c r="E526" s="1" t="s">
        <v>214</v>
      </c>
      <c r="F526" s="1" t="s">
        <v>211</v>
      </c>
      <c r="G526" s="1" t="s">
        <v>212</v>
      </c>
      <c r="H526" s="6" t="str">
        <f>VLOOKUP(A526,WorldCups!$A$2:$B$23,2,FALSE)</f>
        <v>Germany</v>
      </c>
      <c r="I526" s="1" t="s">
        <v>45</v>
      </c>
      <c r="J526" s="1">
        <v>2</v>
      </c>
      <c r="K526" s="1" t="s">
        <v>198</v>
      </c>
      <c r="L526" s="1">
        <v>0</v>
      </c>
      <c r="M526" s="1" t="s">
        <v>14</v>
      </c>
    </row>
    <row r="527" spans="1:13" hidden="1" x14ac:dyDescent="0.25">
      <c r="A527" s="1">
        <v>1974</v>
      </c>
      <c r="B527" s="1">
        <f>B526+1</f>
        <v>264</v>
      </c>
      <c r="C527" s="2">
        <v>27210</v>
      </c>
      <c r="D527" s="1" t="s">
        <v>522</v>
      </c>
      <c r="E527" s="1" t="s">
        <v>213</v>
      </c>
      <c r="F527" s="1" t="s">
        <v>205</v>
      </c>
      <c r="G527" s="1" t="s">
        <v>206</v>
      </c>
      <c r="H527" s="6" t="str">
        <f>VLOOKUP(A527,WorldCups!$A$2:$B$23,2,FALSE)</f>
        <v>Germany</v>
      </c>
      <c r="I527" s="1" t="s">
        <v>114</v>
      </c>
      <c r="J527" s="1">
        <v>4</v>
      </c>
      <c r="K527" s="1" t="s">
        <v>48</v>
      </c>
      <c r="L527" s="1">
        <v>2</v>
      </c>
      <c r="M527" s="1" t="s">
        <v>14</v>
      </c>
    </row>
    <row r="528" spans="1:13" hidden="1" x14ac:dyDescent="0.25">
      <c r="A528" s="1">
        <v>1974</v>
      </c>
      <c r="B528" s="1">
        <v>264</v>
      </c>
      <c r="C528" s="2">
        <v>27210</v>
      </c>
      <c r="D528" s="1" t="s">
        <v>522</v>
      </c>
      <c r="E528" s="1" t="s">
        <v>213</v>
      </c>
      <c r="F528" s="1" t="s">
        <v>205</v>
      </c>
      <c r="G528" s="1" t="s">
        <v>206</v>
      </c>
      <c r="H528" s="6" t="str">
        <f>VLOOKUP(A528,WorldCups!$A$2:$B$23,2,FALSE)</f>
        <v>Germany</v>
      </c>
      <c r="I528" s="1" t="s">
        <v>48</v>
      </c>
      <c r="J528" s="1">
        <v>2</v>
      </c>
      <c r="K528" s="1" t="s">
        <v>114</v>
      </c>
      <c r="L528" s="1">
        <v>4</v>
      </c>
      <c r="M528" s="1" t="s">
        <v>14</v>
      </c>
    </row>
    <row r="529" spans="1:13" hidden="1" x14ac:dyDescent="0.25">
      <c r="A529" s="1">
        <v>1974</v>
      </c>
      <c r="B529" s="1">
        <f>B528+1</f>
        <v>265</v>
      </c>
      <c r="C529" s="2">
        <v>27213</v>
      </c>
      <c r="D529" s="1" t="s">
        <v>512</v>
      </c>
      <c r="E529" s="1" t="s">
        <v>213</v>
      </c>
      <c r="F529" s="1" t="s">
        <v>192</v>
      </c>
      <c r="G529" s="1" t="s">
        <v>193</v>
      </c>
      <c r="H529" s="6" t="str">
        <f>VLOOKUP(A529,WorldCups!$A$2:$B$23,2,FALSE)</f>
        <v>Germany</v>
      </c>
      <c r="I529" s="1" t="s">
        <v>80</v>
      </c>
      <c r="J529" s="1">
        <v>0</v>
      </c>
      <c r="K529" s="1" t="s">
        <v>114</v>
      </c>
      <c r="L529" s="1">
        <v>1</v>
      </c>
      <c r="M529" s="1" t="s">
        <v>14</v>
      </c>
    </row>
    <row r="530" spans="1:13" hidden="1" x14ac:dyDescent="0.25">
      <c r="A530" s="1">
        <v>1974</v>
      </c>
      <c r="B530" s="1">
        <v>265</v>
      </c>
      <c r="C530" s="2">
        <v>27213</v>
      </c>
      <c r="D530" s="1" t="s">
        <v>512</v>
      </c>
      <c r="E530" s="1" t="s">
        <v>213</v>
      </c>
      <c r="F530" s="1" t="s">
        <v>192</v>
      </c>
      <c r="G530" s="1" t="s">
        <v>193</v>
      </c>
      <c r="H530" s="6" t="str">
        <f>VLOOKUP(A530,WorldCups!$A$2:$B$23,2,FALSE)</f>
        <v>Germany</v>
      </c>
      <c r="I530" s="1" t="s">
        <v>114</v>
      </c>
      <c r="J530" s="1">
        <v>1</v>
      </c>
      <c r="K530" s="1" t="s">
        <v>80</v>
      </c>
      <c r="L530" s="1">
        <v>0</v>
      </c>
      <c r="M530" s="1" t="s">
        <v>14</v>
      </c>
    </row>
    <row r="531" spans="1:13" hidden="1" x14ac:dyDescent="0.25">
      <c r="A531" s="1">
        <v>1974</v>
      </c>
      <c r="B531" s="1">
        <f>B530+1</f>
        <v>266</v>
      </c>
      <c r="C531" s="2">
        <v>27213</v>
      </c>
      <c r="D531" s="1" t="s">
        <v>522</v>
      </c>
      <c r="E531" s="1" t="s">
        <v>214</v>
      </c>
      <c r="F531" s="1" t="s">
        <v>200</v>
      </c>
      <c r="G531" s="1" t="s">
        <v>201</v>
      </c>
      <c r="H531" s="6" t="str">
        <f>VLOOKUP(A531,WorldCups!$A$2:$B$23,2,FALSE)</f>
        <v>Germany</v>
      </c>
      <c r="I531" s="1" t="s">
        <v>45</v>
      </c>
      <c r="J531" s="1">
        <v>2</v>
      </c>
      <c r="K531" s="1" t="s">
        <v>21</v>
      </c>
      <c r="L531" s="1">
        <v>0</v>
      </c>
      <c r="M531" s="1" t="s">
        <v>14</v>
      </c>
    </row>
    <row r="532" spans="1:13" hidden="1" x14ac:dyDescent="0.25">
      <c r="A532" s="1">
        <v>1974</v>
      </c>
      <c r="B532" s="1">
        <v>266</v>
      </c>
      <c r="C532" s="2">
        <v>27213</v>
      </c>
      <c r="D532" s="1" t="s">
        <v>522</v>
      </c>
      <c r="E532" s="1" t="s">
        <v>214</v>
      </c>
      <c r="F532" s="1" t="s">
        <v>200</v>
      </c>
      <c r="G532" s="1" t="s">
        <v>201</v>
      </c>
      <c r="H532" s="6" t="str">
        <f>VLOOKUP(A532,WorldCups!$A$2:$B$23,2,FALSE)</f>
        <v>Germany</v>
      </c>
      <c r="I532" s="1" t="s">
        <v>21</v>
      </c>
      <c r="J532" s="1">
        <v>0</v>
      </c>
      <c r="K532" s="1" t="s">
        <v>45</v>
      </c>
      <c r="L532" s="1">
        <v>2</v>
      </c>
      <c r="M532" s="1" t="s">
        <v>14</v>
      </c>
    </row>
    <row r="533" spans="1:13" hidden="1" x14ac:dyDescent="0.25">
      <c r="A533" s="1">
        <v>1974</v>
      </c>
      <c r="B533" s="1">
        <f>B532+1</f>
        <v>267</v>
      </c>
      <c r="C533" s="2">
        <v>27213</v>
      </c>
      <c r="D533" s="1" t="s">
        <v>522</v>
      </c>
      <c r="E533" s="1" t="s">
        <v>214</v>
      </c>
      <c r="F533" s="1" t="s">
        <v>211</v>
      </c>
      <c r="G533" s="1" t="s">
        <v>212</v>
      </c>
      <c r="H533" s="6" t="str">
        <f>VLOOKUP(A533,WorldCups!$A$2:$B$23,2,FALSE)</f>
        <v>Germany</v>
      </c>
      <c r="I533" s="1" t="s">
        <v>25</v>
      </c>
      <c r="J533" s="1">
        <v>1</v>
      </c>
      <c r="K533" s="1" t="s">
        <v>198</v>
      </c>
      <c r="L533" s="1">
        <v>1</v>
      </c>
      <c r="M533" s="1" t="s">
        <v>14</v>
      </c>
    </row>
    <row r="534" spans="1:13" hidden="1" x14ac:dyDescent="0.25">
      <c r="A534" s="1">
        <v>1974</v>
      </c>
      <c r="B534" s="1">
        <v>267</v>
      </c>
      <c r="C534" s="2">
        <v>27213</v>
      </c>
      <c r="D534" s="1" t="s">
        <v>522</v>
      </c>
      <c r="E534" s="1" t="s">
        <v>214</v>
      </c>
      <c r="F534" s="1" t="s">
        <v>211</v>
      </c>
      <c r="G534" s="1" t="s">
        <v>212</v>
      </c>
      <c r="H534" s="6" t="str">
        <f>VLOOKUP(A534,WorldCups!$A$2:$B$23,2,FALSE)</f>
        <v>Germany</v>
      </c>
      <c r="I534" s="1" t="s">
        <v>198</v>
      </c>
      <c r="J534" s="1">
        <v>1</v>
      </c>
      <c r="K534" s="1" t="s">
        <v>25</v>
      </c>
      <c r="L534" s="1">
        <v>1</v>
      </c>
      <c r="M534" s="1" t="s">
        <v>14</v>
      </c>
    </row>
    <row r="535" spans="1:13" hidden="1" x14ac:dyDescent="0.25">
      <c r="A535" s="1">
        <v>1974</v>
      </c>
      <c r="B535" s="1">
        <f>B534+1</f>
        <v>268</v>
      </c>
      <c r="C535" s="2">
        <v>27213</v>
      </c>
      <c r="D535" s="1" t="s">
        <v>522</v>
      </c>
      <c r="E535" s="1" t="s">
        <v>213</v>
      </c>
      <c r="F535" s="1" t="s">
        <v>205</v>
      </c>
      <c r="G535" s="1" t="s">
        <v>206</v>
      </c>
      <c r="H535" s="6" t="str">
        <f>VLOOKUP(A535,WorldCups!$A$2:$B$23,2,FALSE)</f>
        <v>Germany</v>
      </c>
      <c r="I535" s="1" t="s">
        <v>48</v>
      </c>
      <c r="J535" s="1">
        <v>2</v>
      </c>
      <c r="K535" s="1" t="s">
        <v>20</v>
      </c>
      <c r="L535" s="1">
        <v>1</v>
      </c>
      <c r="M535" s="1" t="s">
        <v>14</v>
      </c>
    </row>
    <row r="536" spans="1:13" hidden="1" x14ac:dyDescent="0.25">
      <c r="A536" s="1">
        <v>1974</v>
      </c>
      <c r="B536" s="1">
        <v>268</v>
      </c>
      <c r="C536" s="2">
        <v>27213</v>
      </c>
      <c r="D536" s="1" t="s">
        <v>522</v>
      </c>
      <c r="E536" s="1" t="s">
        <v>213</v>
      </c>
      <c r="F536" s="1" t="s">
        <v>205</v>
      </c>
      <c r="G536" s="1" t="s">
        <v>206</v>
      </c>
      <c r="H536" s="6" t="str">
        <f>VLOOKUP(A536,WorldCups!$A$2:$B$23,2,FALSE)</f>
        <v>Germany</v>
      </c>
      <c r="I536" s="1" t="s">
        <v>20</v>
      </c>
      <c r="J536" s="1">
        <v>1</v>
      </c>
      <c r="K536" s="1" t="s">
        <v>48</v>
      </c>
      <c r="L536" s="1">
        <v>2</v>
      </c>
      <c r="M536" s="1" t="s">
        <v>14</v>
      </c>
    </row>
    <row r="537" spans="1:13" hidden="1" x14ac:dyDescent="0.25">
      <c r="A537" s="1">
        <v>1974</v>
      </c>
      <c r="B537" s="1">
        <f>B536+1</f>
        <v>269</v>
      </c>
      <c r="C537" s="2">
        <v>27216</v>
      </c>
      <c r="D537" s="1" t="s">
        <v>503</v>
      </c>
      <c r="E537" s="1" t="s">
        <v>62</v>
      </c>
      <c r="F537" s="1" t="s">
        <v>194</v>
      </c>
      <c r="G537" s="1" t="s">
        <v>207</v>
      </c>
      <c r="H537" s="6" t="str">
        <f>VLOOKUP(A537,WorldCups!$A$2:$B$23,2,FALSE)</f>
        <v>Germany</v>
      </c>
      <c r="I537" s="1" t="s">
        <v>21</v>
      </c>
      <c r="J537" s="1">
        <v>0</v>
      </c>
      <c r="K537" s="1" t="s">
        <v>80</v>
      </c>
      <c r="L537" s="1">
        <v>1</v>
      </c>
      <c r="M537" s="1" t="s">
        <v>14</v>
      </c>
    </row>
    <row r="538" spans="1:13" hidden="1" x14ac:dyDescent="0.25">
      <c r="A538" s="1">
        <v>1974</v>
      </c>
      <c r="B538" s="1">
        <v>269</v>
      </c>
      <c r="C538" s="2">
        <v>27216</v>
      </c>
      <c r="D538" s="1" t="s">
        <v>503</v>
      </c>
      <c r="E538" s="1" t="s">
        <v>62</v>
      </c>
      <c r="F538" s="1" t="s">
        <v>194</v>
      </c>
      <c r="G538" s="1" t="s">
        <v>207</v>
      </c>
      <c r="H538" s="6" t="str">
        <f>VLOOKUP(A538,WorldCups!$A$2:$B$23,2,FALSE)</f>
        <v>Germany</v>
      </c>
      <c r="I538" s="1" t="s">
        <v>80</v>
      </c>
      <c r="J538" s="1">
        <v>1</v>
      </c>
      <c r="K538" s="1" t="s">
        <v>21</v>
      </c>
      <c r="L538" s="1">
        <v>0</v>
      </c>
      <c r="M538" s="1" t="s">
        <v>14</v>
      </c>
    </row>
    <row r="539" spans="1:13" hidden="1" x14ac:dyDescent="0.25">
      <c r="A539" s="1">
        <v>1974</v>
      </c>
      <c r="B539" s="1">
        <f>B538+1</f>
        <v>270</v>
      </c>
      <c r="C539" s="2">
        <v>27217</v>
      </c>
      <c r="D539" s="1" t="s">
        <v>503</v>
      </c>
      <c r="E539" s="1" t="s">
        <v>32</v>
      </c>
      <c r="F539" s="1" t="s">
        <v>194</v>
      </c>
      <c r="G539" s="1" t="s">
        <v>207</v>
      </c>
      <c r="H539" s="6" t="str">
        <f>VLOOKUP(A539,WorldCups!$A$2:$B$23,2,FALSE)</f>
        <v>Germany</v>
      </c>
      <c r="I539" s="1" t="s">
        <v>45</v>
      </c>
      <c r="J539" s="1">
        <v>1</v>
      </c>
      <c r="K539" s="1" t="s">
        <v>114</v>
      </c>
      <c r="L539" s="1">
        <v>2</v>
      </c>
      <c r="M539" s="1" t="s">
        <v>14</v>
      </c>
    </row>
    <row r="540" spans="1:13" hidden="1" x14ac:dyDescent="0.25">
      <c r="A540" s="1">
        <v>1974</v>
      </c>
      <c r="B540" s="1">
        <v>270</v>
      </c>
      <c r="C540" s="2">
        <v>27217</v>
      </c>
      <c r="D540" s="1" t="s">
        <v>503</v>
      </c>
      <c r="E540" s="1" t="s">
        <v>32</v>
      </c>
      <c r="F540" s="1" t="s">
        <v>194</v>
      </c>
      <c r="G540" s="1" t="s">
        <v>207</v>
      </c>
      <c r="H540" s="6" t="str">
        <f>VLOOKUP(A540,WorldCups!$A$2:$B$23,2,FALSE)</f>
        <v>Germany</v>
      </c>
      <c r="I540" s="1" t="s">
        <v>114</v>
      </c>
      <c r="J540" s="1">
        <v>2</v>
      </c>
      <c r="K540" s="1" t="s">
        <v>45</v>
      </c>
      <c r="L540" s="1">
        <v>1</v>
      </c>
      <c r="M540" s="1" t="s">
        <v>14</v>
      </c>
    </row>
    <row r="541" spans="1:13" hidden="1" x14ac:dyDescent="0.25">
      <c r="A541" s="1">
        <v>1978</v>
      </c>
      <c r="B541" s="1">
        <f>B540+1</f>
        <v>271</v>
      </c>
      <c r="C541" s="2">
        <v>28642</v>
      </c>
      <c r="D541" s="1" t="s">
        <v>500</v>
      </c>
      <c r="E541" s="1" t="s">
        <v>19</v>
      </c>
      <c r="F541" s="1" t="s">
        <v>215</v>
      </c>
      <c r="G541" s="1" t="s">
        <v>216</v>
      </c>
      <c r="H541" s="6" t="str">
        <f>VLOOKUP(A541,WorldCups!$A$2:$B$23,2,FALSE)</f>
        <v>Argentina</v>
      </c>
      <c r="I541" s="1" t="s">
        <v>114</v>
      </c>
      <c r="J541" s="1">
        <v>0</v>
      </c>
      <c r="K541" s="1" t="s">
        <v>80</v>
      </c>
      <c r="L541" s="1">
        <v>0</v>
      </c>
      <c r="M541" s="1" t="s">
        <v>14</v>
      </c>
    </row>
    <row r="542" spans="1:13" hidden="1" x14ac:dyDescent="0.25">
      <c r="A542" s="1">
        <v>1978</v>
      </c>
      <c r="B542" s="1">
        <v>271</v>
      </c>
      <c r="C542" s="2">
        <v>28642</v>
      </c>
      <c r="D542" s="1" t="s">
        <v>500</v>
      </c>
      <c r="E542" s="1" t="s">
        <v>19</v>
      </c>
      <c r="F542" s="1" t="s">
        <v>215</v>
      </c>
      <c r="G542" s="1" t="s">
        <v>216</v>
      </c>
      <c r="H542" s="6" t="str">
        <f>VLOOKUP(A542,WorldCups!$A$2:$B$23,2,FALSE)</f>
        <v>Argentina</v>
      </c>
      <c r="I542" s="1" t="s">
        <v>80</v>
      </c>
      <c r="J542" s="1">
        <v>0</v>
      </c>
      <c r="K542" s="1" t="s">
        <v>114</v>
      </c>
      <c r="L542" s="1">
        <v>0</v>
      </c>
      <c r="M542" s="1" t="s">
        <v>14</v>
      </c>
    </row>
    <row r="543" spans="1:13" hidden="1" x14ac:dyDescent="0.25">
      <c r="A543" s="1">
        <v>1978</v>
      </c>
      <c r="B543" s="1">
        <f>B542+1</f>
        <v>272</v>
      </c>
      <c r="C543" s="2">
        <v>28643</v>
      </c>
      <c r="D543" s="1" t="s">
        <v>524</v>
      </c>
      <c r="E543" s="1" t="s">
        <v>9</v>
      </c>
      <c r="F543" s="1" t="s">
        <v>217</v>
      </c>
      <c r="G543" s="1" t="s">
        <v>218</v>
      </c>
      <c r="H543" s="6" t="str">
        <f>VLOOKUP(A543,WorldCups!$A$2:$B$23,2,FALSE)</f>
        <v>Argentina</v>
      </c>
      <c r="I543" s="1" t="s">
        <v>57</v>
      </c>
      <c r="J543" s="1">
        <v>2</v>
      </c>
      <c r="K543" s="1" t="s">
        <v>12</v>
      </c>
      <c r="L543" s="1">
        <v>1</v>
      </c>
      <c r="M543" s="1" t="s">
        <v>14</v>
      </c>
    </row>
    <row r="544" spans="1:13" hidden="1" x14ac:dyDescent="0.25">
      <c r="A544" s="1">
        <v>1978</v>
      </c>
      <c r="B544" s="1">
        <v>272</v>
      </c>
      <c r="C544" s="2">
        <v>28643</v>
      </c>
      <c r="D544" s="1" t="s">
        <v>524</v>
      </c>
      <c r="E544" s="1" t="s">
        <v>9</v>
      </c>
      <c r="F544" s="1" t="s">
        <v>217</v>
      </c>
      <c r="G544" s="1" t="s">
        <v>218</v>
      </c>
      <c r="H544" s="6" t="str">
        <f>VLOOKUP(A544,WorldCups!$A$2:$B$23,2,FALSE)</f>
        <v>Argentina</v>
      </c>
      <c r="I544" s="1" t="s">
        <v>12</v>
      </c>
      <c r="J544" s="1">
        <v>1</v>
      </c>
      <c r="K544" s="1" t="s">
        <v>57</v>
      </c>
      <c r="L544" s="1">
        <v>2</v>
      </c>
      <c r="M544" s="1" t="s">
        <v>14</v>
      </c>
    </row>
    <row r="545" spans="1:13" hidden="1" x14ac:dyDescent="0.25">
      <c r="A545" s="1">
        <v>1978</v>
      </c>
      <c r="B545" s="1">
        <f>B544+1</f>
        <v>273</v>
      </c>
      <c r="C545" s="2">
        <v>28643</v>
      </c>
      <c r="D545" s="1" t="s">
        <v>525</v>
      </c>
      <c r="E545" s="1" t="s">
        <v>19</v>
      </c>
      <c r="F545" s="1" t="s">
        <v>219</v>
      </c>
      <c r="G545" s="1" t="s">
        <v>220</v>
      </c>
      <c r="H545" s="6" t="str">
        <f>VLOOKUP(A545,WorldCups!$A$2:$B$23,2,FALSE)</f>
        <v>Argentina</v>
      </c>
      <c r="I545" s="1" t="s">
        <v>221</v>
      </c>
      <c r="J545" s="1">
        <v>3</v>
      </c>
      <c r="K545" s="1" t="s">
        <v>13</v>
      </c>
      <c r="L545" s="1">
        <v>1</v>
      </c>
      <c r="M545" s="1" t="s">
        <v>14</v>
      </c>
    </row>
    <row r="546" spans="1:13" hidden="1" x14ac:dyDescent="0.25">
      <c r="A546" s="1">
        <v>1978</v>
      </c>
      <c r="B546" s="1">
        <v>273</v>
      </c>
      <c r="C546" s="2">
        <v>28643</v>
      </c>
      <c r="D546" s="1" t="s">
        <v>525</v>
      </c>
      <c r="E546" s="1" t="s">
        <v>19</v>
      </c>
      <c r="F546" s="1" t="s">
        <v>219</v>
      </c>
      <c r="G546" s="1" t="s">
        <v>220</v>
      </c>
      <c r="H546" s="6" t="str">
        <f>VLOOKUP(A546,WorldCups!$A$2:$B$23,2,FALSE)</f>
        <v>Argentina</v>
      </c>
      <c r="I546" s="1" t="s">
        <v>13</v>
      </c>
      <c r="J546" s="1">
        <v>1</v>
      </c>
      <c r="K546" s="1" t="s">
        <v>221</v>
      </c>
      <c r="L546" s="1">
        <v>3</v>
      </c>
      <c r="M546" s="1" t="s">
        <v>14</v>
      </c>
    </row>
    <row r="547" spans="1:13" hidden="1" x14ac:dyDescent="0.25">
      <c r="A547" s="1">
        <v>1978</v>
      </c>
      <c r="B547" s="1">
        <f>B546+1</f>
        <v>274</v>
      </c>
      <c r="C547" s="2">
        <v>28643</v>
      </c>
      <c r="D547" s="1" t="s">
        <v>526</v>
      </c>
      <c r="E547" s="1" t="s">
        <v>9</v>
      </c>
      <c r="F547" s="1" t="s">
        <v>215</v>
      </c>
      <c r="G547" s="1" t="s">
        <v>216</v>
      </c>
      <c r="H547" s="6" t="str">
        <f>VLOOKUP(A547,WorldCups!$A$2:$B$23,2,FALSE)</f>
        <v>Argentina</v>
      </c>
      <c r="I547" s="1" t="s">
        <v>25</v>
      </c>
      <c r="J547" s="1">
        <v>2</v>
      </c>
      <c r="K547" s="1" t="s">
        <v>40</v>
      </c>
      <c r="L547" s="1">
        <v>1</v>
      </c>
      <c r="M547" s="1" t="s">
        <v>14</v>
      </c>
    </row>
    <row r="548" spans="1:13" hidden="1" x14ac:dyDescent="0.25">
      <c r="A548" s="1">
        <v>1978</v>
      </c>
      <c r="B548" s="1">
        <v>274</v>
      </c>
      <c r="C548" s="2">
        <v>28643</v>
      </c>
      <c r="D548" s="1" t="s">
        <v>526</v>
      </c>
      <c r="E548" s="1" t="s">
        <v>9</v>
      </c>
      <c r="F548" s="1" t="s">
        <v>215</v>
      </c>
      <c r="G548" s="1" t="s">
        <v>216</v>
      </c>
      <c r="H548" s="6" t="str">
        <f>VLOOKUP(A548,WorldCups!$A$2:$B$23,2,FALSE)</f>
        <v>Argentina</v>
      </c>
      <c r="I548" s="1" t="s">
        <v>40</v>
      </c>
      <c r="J548" s="1">
        <v>1</v>
      </c>
      <c r="K548" s="1" t="s">
        <v>25</v>
      </c>
      <c r="L548" s="1">
        <v>2</v>
      </c>
      <c r="M548" s="1" t="s">
        <v>14</v>
      </c>
    </row>
    <row r="549" spans="1:13" hidden="1" x14ac:dyDescent="0.25">
      <c r="A549" s="1">
        <v>1978</v>
      </c>
      <c r="B549" s="1">
        <f>B548+1</f>
        <v>275</v>
      </c>
      <c r="C549" s="2">
        <v>28644</v>
      </c>
      <c r="D549" s="1" t="s">
        <v>524</v>
      </c>
      <c r="E549" s="1" t="s">
        <v>22</v>
      </c>
      <c r="F549" s="1" t="s">
        <v>217</v>
      </c>
      <c r="G549" s="1" t="s">
        <v>218</v>
      </c>
      <c r="H549" s="6" t="str">
        <f>VLOOKUP(A549,WorldCups!$A$2:$B$23,2,FALSE)</f>
        <v>Argentina</v>
      </c>
      <c r="I549" s="1" t="s">
        <v>48</v>
      </c>
      <c r="J549" s="1">
        <v>1</v>
      </c>
      <c r="K549" s="1" t="s">
        <v>21</v>
      </c>
      <c r="L549" s="1">
        <v>1</v>
      </c>
      <c r="M549" s="1" t="s">
        <v>14</v>
      </c>
    </row>
    <row r="550" spans="1:13" hidden="1" x14ac:dyDescent="0.25">
      <c r="A550" s="1">
        <v>1978</v>
      </c>
      <c r="B550" s="1">
        <v>275</v>
      </c>
      <c r="C550" s="2">
        <v>28644</v>
      </c>
      <c r="D550" s="1" t="s">
        <v>524</v>
      </c>
      <c r="E550" s="1" t="s">
        <v>22</v>
      </c>
      <c r="F550" s="1" t="s">
        <v>217</v>
      </c>
      <c r="G550" s="1" t="s">
        <v>218</v>
      </c>
      <c r="H550" s="6" t="str">
        <f>VLOOKUP(A550,WorldCups!$A$2:$B$23,2,FALSE)</f>
        <v>Argentina</v>
      </c>
      <c r="I550" s="1" t="s">
        <v>21</v>
      </c>
      <c r="J550" s="1">
        <v>1</v>
      </c>
      <c r="K550" s="1" t="s">
        <v>48</v>
      </c>
      <c r="L550" s="1">
        <v>1</v>
      </c>
      <c r="M550" s="1" t="s">
        <v>14</v>
      </c>
    </row>
    <row r="551" spans="1:13" hidden="1" x14ac:dyDescent="0.25">
      <c r="A551" s="1">
        <v>1978</v>
      </c>
      <c r="B551" s="1">
        <f>B550+1</f>
        <v>276</v>
      </c>
      <c r="C551" s="2">
        <v>28644</v>
      </c>
      <c r="D551" s="1" t="s">
        <v>524</v>
      </c>
      <c r="E551" s="1" t="s">
        <v>22</v>
      </c>
      <c r="F551" s="1" t="s">
        <v>222</v>
      </c>
      <c r="G551" s="1" t="s">
        <v>216</v>
      </c>
      <c r="H551" s="6" t="str">
        <f>VLOOKUP(A551,WorldCups!$A$2:$B$23,2,FALSE)</f>
        <v>Argentina</v>
      </c>
      <c r="I551" s="1" t="s">
        <v>36</v>
      </c>
      <c r="J551" s="1">
        <v>2</v>
      </c>
      <c r="K551" s="1" t="s">
        <v>54</v>
      </c>
      <c r="L551" s="1">
        <v>1</v>
      </c>
      <c r="M551" s="1" t="s">
        <v>14</v>
      </c>
    </row>
    <row r="552" spans="1:13" hidden="1" x14ac:dyDescent="0.25">
      <c r="A552" s="1">
        <v>1978</v>
      </c>
      <c r="B552" s="1">
        <v>276</v>
      </c>
      <c r="C552" s="2">
        <v>28644</v>
      </c>
      <c r="D552" s="1" t="s">
        <v>524</v>
      </c>
      <c r="E552" s="1" t="s">
        <v>22</v>
      </c>
      <c r="F552" s="1" t="s">
        <v>222</v>
      </c>
      <c r="G552" s="1" t="s">
        <v>216</v>
      </c>
      <c r="H552" s="6" t="str">
        <f>VLOOKUP(A552,WorldCups!$A$2:$B$23,2,FALSE)</f>
        <v>Argentina</v>
      </c>
      <c r="I552" s="1" t="s">
        <v>54</v>
      </c>
      <c r="J552" s="1">
        <v>1</v>
      </c>
      <c r="K552" s="1" t="s">
        <v>36</v>
      </c>
      <c r="L552" s="1">
        <v>2</v>
      </c>
      <c r="M552" s="1" t="s">
        <v>14</v>
      </c>
    </row>
    <row r="553" spans="1:13" hidden="1" x14ac:dyDescent="0.25">
      <c r="A553" s="1">
        <v>1978</v>
      </c>
      <c r="B553" s="1">
        <f>B552+1</f>
        <v>277</v>
      </c>
      <c r="C553" s="2">
        <v>28644</v>
      </c>
      <c r="D553" s="1" t="s">
        <v>525</v>
      </c>
      <c r="E553" s="1" t="s">
        <v>15</v>
      </c>
      <c r="F553" s="1" t="s">
        <v>223</v>
      </c>
      <c r="G553" s="1" t="s">
        <v>224</v>
      </c>
      <c r="H553" s="6" t="str">
        <f>VLOOKUP(A553,WorldCups!$A$2:$B$23,2,FALSE)</f>
        <v>Argentina</v>
      </c>
      <c r="I553" s="1" t="s">
        <v>24</v>
      </c>
      <c r="J553" s="1">
        <v>3</v>
      </c>
      <c r="K553" s="1" t="s">
        <v>109</v>
      </c>
      <c r="L553" s="1">
        <v>1</v>
      </c>
      <c r="M553" s="1" t="s">
        <v>14</v>
      </c>
    </row>
    <row r="554" spans="1:13" hidden="1" x14ac:dyDescent="0.25">
      <c r="A554" s="1">
        <v>1978</v>
      </c>
      <c r="B554" s="1">
        <v>277</v>
      </c>
      <c r="C554" s="2">
        <v>28644</v>
      </c>
      <c r="D554" s="1" t="s">
        <v>525</v>
      </c>
      <c r="E554" s="1" t="s">
        <v>15</v>
      </c>
      <c r="F554" s="1" t="s">
        <v>223</v>
      </c>
      <c r="G554" s="1" t="s">
        <v>224</v>
      </c>
      <c r="H554" s="6" t="str">
        <f>VLOOKUP(A554,WorldCups!$A$2:$B$23,2,FALSE)</f>
        <v>Argentina</v>
      </c>
      <c r="I554" s="1" t="s">
        <v>109</v>
      </c>
      <c r="J554" s="1">
        <v>1</v>
      </c>
      <c r="K554" s="1" t="s">
        <v>24</v>
      </c>
      <c r="L554" s="1">
        <v>3</v>
      </c>
      <c r="M554" s="1" t="s">
        <v>14</v>
      </c>
    </row>
    <row r="555" spans="1:13" hidden="1" x14ac:dyDescent="0.25">
      <c r="A555" s="1">
        <v>1978</v>
      </c>
      <c r="B555" s="1">
        <f>B554+1</f>
        <v>278</v>
      </c>
      <c r="C555" s="2">
        <v>28644</v>
      </c>
      <c r="D555" s="1" t="s">
        <v>525</v>
      </c>
      <c r="E555" s="1" t="s">
        <v>15</v>
      </c>
      <c r="F555" s="1" t="s">
        <v>225</v>
      </c>
      <c r="G555" s="1" t="s">
        <v>226</v>
      </c>
      <c r="H555" s="6" t="str">
        <f>VLOOKUP(A555,WorldCups!$A$2:$B$23,2,FALSE)</f>
        <v>Argentina</v>
      </c>
      <c r="I555" s="1" t="s">
        <v>45</v>
      </c>
      <c r="J555" s="1">
        <v>3</v>
      </c>
      <c r="K555" s="1" t="s">
        <v>227</v>
      </c>
      <c r="L555" s="1">
        <v>0</v>
      </c>
      <c r="M555" s="1" t="s">
        <v>14</v>
      </c>
    </row>
    <row r="556" spans="1:13" hidden="1" x14ac:dyDescent="0.25">
      <c r="A556" s="1">
        <v>1978</v>
      </c>
      <c r="B556" s="1">
        <v>278</v>
      </c>
      <c r="C556" s="2">
        <v>28644</v>
      </c>
      <c r="D556" s="1" t="s">
        <v>525</v>
      </c>
      <c r="E556" s="1" t="s">
        <v>15</v>
      </c>
      <c r="F556" s="1" t="s">
        <v>225</v>
      </c>
      <c r="G556" s="1" t="s">
        <v>226</v>
      </c>
      <c r="H556" s="6" t="str">
        <f>VLOOKUP(A556,WorldCups!$A$2:$B$23,2,FALSE)</f>
        <v>Argentina</v>
      </c>
      <c r="I556" s="1" t="s">
        <v>227</v>
      </c>
      <c r="J556" s="1">
        <v>0</v>
      </c>
      <c r="K556" s="1" t="s">
        <v>45</v>
      </c>
      <c r="L556" s="1">
        <v>3</v>
      </c>
      <c r="M556" s="1" t="s">
        <v>14</v>
      </c>
    </row>
    <row r="557" spans="1:13" hidden="1" x14ac:dyDescent="0.25">
      <c r="A557" s="1">
        <v>1978</v>
      </c>
      <c r="B557" s="1">
        <f>B556+1</f>
        <v>279</v>
      </c>
      <c r="C557" s="2">
        <v>28647</v>
      </c>
      <c r="D557" s="1" t="s">
        <v>524</v>
      </c>
      <c r="E557" s="1" t="s">
        <v>9</v>
      </c>
      <c r="F557" s="1" t="s">
        <v>217</v>
      </c>
      <c r="G557" s="1" t="s">
        <v>218</v>
      </c>
      <c r="H557" s="6" t="str">
        <f>VLOOKUP(A557,WorldCups!$A$2:$B$23,2,FALSE)</f>
        <v>Argentina</v>
      </c>
      <c r="I557" s="1" t="s">
        <v>57</v>
      </c>
      <c r="J557" s="1">
        <v>3</v>
      </c>
      <c r="K557" s="1" t="s">
        <v>40</v>
      </c>
      <c r="L557" s="1">
        <v>1</v>
      </c>
      <c r="M557" s="1" t="s">
        <v>14</v>
      </c>
    </row>
    <row r="558" spans="1:13" hidden="1" x14ac:dyDescent="0.25">
      <c r="A558" s="1">
        <v>1978</v>
      </c>
      <c r="B558" s="1">
        <v>279</v>
      </c>
      <c r="C558" s="2">
        <v>28647</v>
      </c>
      <c r="D558" s="1" t="s">
        <v>524</v>
      </c>
      <c r="E558" s="1" t="s">
        <v>9</v>
      </c>
      <c r="F558" s="1" t="s">
        <v>217</v>
      </c>
      <c r="G558" s="1" t="s">
        <v>218</v>
      </c>
      <c r="H558" s="6" t="str">
        <f>VLOOKUP(A558,WorldCups!$A$2:$B$23,2,FALSE)</f>
        <v>Argentina</v>
      </c>
      <c r="I558" s="1" t="s">
        <v>40</v>
      </c>
      <c r="J558" s="1">
        <v>1</v>
      </c>
      <c r="K558" s="1" t="s">
        <v>57</v>
      </c>
      <c r="L558" s="1">
        <v>3</v>
      </c>
      <c r="M558" s="1" t="s">
        <v>14</v>
      </c>
    </row>
    <row r="559" spans="1:13" hidden="1" x14ac:dyDescent="0.25">
      <c r="A559" s="1">
        <v>1978</v>
      </c>
      <c r="B559" s="1">
        <f>B558+1</f>
        <v>280</v>
      </c>
      <c r="C559" s="2">
        <v>28647</v>
      </c>
      <c r="D559" s="1" t="s">
        <v>525</v>
      </c>
      <c r="E559" s="1" t="s">
        <v>19</v>
      </c>
      <c r="F559" s="1" t="s">
        <v>219</v>
      </c>
      <c r="G559" s="1" t="s">
        <v>220</v>
      </c>
      <c r="H559" s="6" t="str">
        <f>VLOOKUP(A559,WorldCups!$A$2:$B$23,2,FALSE)</f>
        <v>Argentina</v>
      </c>
      <c r="I559" s="1" t="s">
        <v>80</v>
      </c>
      <c r="J559" s="1">
        <v>1</v>
      </c>
      <c r="K559" s="1" t="s">
        <v>221</v>
      </c>
      <c r="L559" s="1">
        <v>0</v>
      </c>
      <c r="M559" s="1" t="s">
        <v>14</v>
      </c>
    </row>
    <row r="560" spans="1:13" hidden="1" x14ac:dyDescent="0.25">
      <c r="A560" s="1">
        <v>1978</v>
      </c>
      <c r="B560" s="1">
        <v>280</v>
      </c>
      <c r="C560" s="2">
        <v>28647</v>
      </c>
      <c r="D560" s="1" t="s">
        <v>525</v>
      </c>
      <c r="E560" s="1" t="s">
        <v>19</v>
      </c>
      <c r="F560" s="1" t="s">
        <v>219</v>
      </c>
      <c r="G560" s="1" t="s">
        <v>220</v>
      </c>
      <c r="H560" s="6" t="str">
        <f>VLOOKUP(A560,WorldCups!$A$2:$B$23,2,FALSE)</f>
        <v>Argentina</v>
      </c>
      <c r="I560" s="1" t="s">
        <v>221</v>
      </c>
      <c r="J560" s="1">
        <v>0</v>
      </c>
      <c r="K560" s="1" t="s">
        <v>80</v>
      </c>
      <c r="L560" s="1">
        <v>1</v>
      </c>
      <c r="M560" s="1" t="s">
        <v>14</v>
      </c>
    </row>
    <row r="561" spans="1:13" hidden="1" x14ac:dyDescent="0.25">
      <c r="A561" s="1">
        <v>1978</v>
      </c>
      <c r="B561" s="1">
        <f>B560+1</f>
        <v>281</v>
      </c>
      <c r="C561" s="2">
        <v>28647</v>
      </c>
      <c r="D561" s="1" t="s">
        <v>525</v>
      </c>
      <c r="E561" s="1" t="s">
        <v>19</v>
      </c>
      <c r="F561" s="1" t="s">
        <v>223</v>
      </c>
      <c r="G561" s="1" t="s">
        <v>224</v>
      </c>
      <c r="H561" s="6" t="str">
        <f>VLOOKUP(A561,WorldCups!$A$2:$B$23,2,FALSE)</f>
        <v>Argentina</v>
      </c>
      <c r="I561" s="1" t="s">
        <v>114</v>
      </c>
      <c r="J561" s="1">
        <v>6</v>
      </c>
      <c r="K561" s="1" t="s">
        <v>13</v>
      </c>
      <c r="L561" s="1">
        <v>0</v>
      </c>
      <c r="M561" s="1" t="s">
        <v>14</v>
      </c>
    </row>
    <row r="562" spans="1:13" hidden="1" x14ac:dyDescent="0.25">
      <c r="A562" s="1">
        <v>1978</v>
      </c>
      <c r="B562" s="1">
        <v>281</v>
      </c>
      <c r="C562" s="2">
        <v>28647</v>
      </c>
      <c r="D562" s="1" t="s">
        <v>525</v>
      </c>
      <c r="E562" s="1" t="s">
        <v>19</v>
      </c>
      <c r="F562" s="1" t="s">
        <v>223</v>
      </c>
      <c r="G562" s="1" t="s">
        <v>224</v>
      </c>
      <c r="H562" s="6" t="str">
        <f>VLOOKUP(A562,WorldCups!$A$2:$B$23,2,FALSE)</f>
        <v>Argentina</v>
      </c>
      <c r="I562" s="1" t="s">
        <v>13</v>
      </c>
      <c r="J562" s="1">
        <v>0</v>
      </c>
      <c r="K562" s="1" t="s">
        <v>114</v>
      </c>
      <c r="L562" s="1">
        <v>6</v>
      </c>
      <c r="M562" s="1" t="s">
        <v>14</v>
      </c>
    </row>
    <row r="563" spans="1:13" hidden="1" x14ac:dyDescent="0.25">
      <c r="A563" s="1">
        <v>1978</v>
      </c>
      <c r="B563" s="1">
        <f>B562+1</f>
        <v>282</v>
      </c>
      <c r="C563" s="2">
        <v>28647</v>
      </c>
      <c r="D563" s="1" t="s">
        <v>526</v>
      </c>
      <c r="E563" s="1" t="s">
        <v>9</v>
      </c>
      <c r="F563" s="1" t="s">
        <v>215</v>
      </c>
      <c r="G563" s="1" t="s">
        <v>216</v>
      </c>
      <c r="H563" s="6" t="str">
        <f>VLOOKUP(A563,WorldCups!$A$2:$B$23,2,FALSE)</f>
        <v>Argentina</v>
      </c>
      <c r="I563" s="1" t="s">
        <v>25</v>
      </c>
      <c r="J563" s="1">
        <v>2</v>
      </c>
      <c r="K563" s="1" t="s">
        <v>12</v>
      </c>
      <c r="L563" s="1">
        <v>1</v>
      </c>
      <c r="M563" s="1" t="s">
        <v>14</v>
      </c>
    </row>
    <row r="564" spans="1:13" hidden="1" x14ac:dyDescent="0.25">
      <c r="A564" s="1">
        <v>1978</v>
      </c>
      <c r="B564" s="1">
        <v>282</v>
      </c>
      <c r="C564" s="2">
        <v>28647</v>
      </c>
      <c r="D564" s="1" t="s">
        <v>526</v>
      </c>
      <c r="E564" s="1" t="s">
        <v>9</v>
      </c>
      <c r="F564" s="1" t="s">
        <v>215</v>
      </c>
      <c r="G564" s="1" t="s">
        <v>216</v>
      </c>
      <c r="H564" s="6" t="str">
        <f>VLOOKUP(A564,WorldCups!$A$2:$B$23,2,FALSE)</f>
        <v>Argentina</v>
      </c>
      <c r="I564" s="1" t="s">
        <v>12</v>
      </c>
      <c r="J564" s="1">
        <v>1</v>
      </c>
      <c r="K564" s="1" t="s">
        <v>25</v>
      </c>
      <c r="L564" s="1">
        <v>2</v>
      </c>
      <c r="M564" s="1" t="s">
        <v>14</v>
      </c>
    </row>
    <row r="565" spans="1:13" hidden="1" x14ac:dyDescent="0.25">
      <c r="A565" s="1">
        <v>1978</v>
      </c>
      <c r="B565" s="1">
        <f>B564+1</f>
        <v>283</v>
      </c>
      <c r="C565" s="2">
        <v>28648</v>
      </c>
      <c r="D565" s="1" t="s">
        <v>524</v>
      </c>
      <c r="E565" s="1" t="s">
        <v>22</v>
      </c>
      <c r="F565" s="1" t="s">
        <v>217</v>
      </c>
      <c r="G565" s="1" t="s">
        <v>218</v>
      </c>
      <c r="H565" s="6" t="str">
        <f>VLOOKUP(A565,WorldCups!$A$2:$B$23,2,FALSE)</f>
        <v>Argentina</v>
      </c>
      <c r="I565" s="1" t="s">
        <v>21</v>
      </c>
      <c r="J565" s="1">
        <v>0</v>
      </c>
      <c r="K565" s="1" t="s">
        <v>54</v>
      </c>
      <c r="L565" s="1">
        <v>0</v>
      </c>
      <c r="M565" s="1" t="s">
        <v>14</v>
      </c>
    </row>
    <row r="566" spans="1:13" hidden="1" x14ac:dyDescent="0.25">
      <c r="A566" s="1">
        <v>1978</v>
      </c>
      <c r="B566" s="1">
        <v>283</v>
      </c>
      <c r="C566" s="2">
        <v>28648</v>
      </c>
      <c r="D566" s="1" t="s">
        <v>524</v>
      </c>
      <c r="E566" s="1" t="s">
        <v>22</v>
      </c>
      <c r="F566" s="1" t="s">
        <v>217</v>
      </c>
      <c r="G566" s="1" t="s">
        <v>218</v>
      </c>
      <c r="H566" s="6" t="str">
        <f>VLOOKUP(A566,WorldCups!$A$2:$B$23,2,FALSE)</f>
        <v>Argentina</v>
      </c>
      <c r="I566" s="1" t="s">
        <v>54</v>
      </c>
      <c r="J566" s="1">
        <v>0</v>
      </c>
      <c r="K566" s="1" t="s">
        <v>21</v>
      </c>
      <c r="L566" s="1">
        <v>0</v>
      </c>
      <c r="M566" s="1" t="s">
        <v>14</v>
      </c>
    </row>
    <row r="567" spans="1:13" hidden="1" x14ac:dyDescent="0.25">
      <c r="A567" s="1">
        <v>1978</v>
      </c>
      <c r="B567" s="1">
        <f>B566+1</f>
        <v>284</v>
      </c>
      <c r="C567" s="2">
        <v>28648</v>
      </c>
      <c r="D567" s="1" t="s">
        <v>524</v>
      </c>
      <c r="E567" s="1" t="s">
        <v>22</v>
      </c>
      <c r="F567" s="1" t="s">
        <v>222</v>
      </c>
      <c r="G567" s="1" t="s">
        <v>216</v>
      </c>
      <c r="H567" s="6" t="str">
        <f>VLOOKUP(A567,WorldCups!$A$2:$B$23,2,FALSE)</f>
        <v>Argentina</v>
      </c>
      <c r="I567" s="1" t="s">
        <v>36</v>
      </c>
      <c r="J567" s="1">
        <v>1</v>
      </c>
      <c r="K567" s="1" t="s">
        <v>48</v>
      </c>
      <c r="L567" s="1">
        <v>0</v>
      </c>
      <c r="M567" s="1" t="s">
        <v>14</v>
      </c>
    </row>
    <row r="568" spans="1:13" hidden="1" x14ac:dyDescent="0.25">
      <c r="A568" s="1">
        <v>1978</v>
      </c>
      <c r="B568" s="1">
        <v>284</v>
      </c>
      <c r="C568" s="2">
        <v>28648</v>
      </c>
      <c r="D568" s="1" t="s">
        <v>524</v>
      </c>
      <c r="E568" s="1" t="s">
        <v>22</v>
      </c>
      <c r="F568" s="1" t="s">
        <v>222</v>
      </c>
      <c r="G568" s="1" t="s">
        <v>216</v>
      </c>
      <c r="H568" s="6" t="str">
        <f>VLOOKUP(A568,WorldCups!$A$2:$B$23,2,FALSE)</f>
        <v>Argentina</v>
      </c>
      <c r="I568" s="1" t="s">
        <v>48</v>
      </c>
      <c r="J568" s="1">
        <v>0</v>
      </c>
      <c r="K568" s="1" t="s">
        <v>36</v>
      </c>
      <c r="L568" s="1">
        <v>1</v>
      </c>
      <c r="M568" s="1" t="s">
        <v>14</v>
      </c>
    </row>
    <row r="569" spans="1:13" hidden="1" x14ac:dyDescent="0.25">
      <c r="A569" s="1">
        <v>1978</v>
      </c>
      <c r="B569" s="1">
        <f>B568+1</f>
        <v>285</v>
      </c>
      <c r="C569" s="2">
        <v>28648</v>
      </c>
      <c r="D569" s="1" t="s">
        <v>525</v>
      </c>
      <c r="E569" s="1" t="s">
        <v>15</v>
      </c>
      <c r="F569" s="1" t="s">
        <v>223</v>
      </c>
      <c r="G569" s="1" t="s">
        <v>224</v>
      </c>
      <c r="H569" s="6" t="str">
        <f>VLOOKUP(A569,WorldCups!$A$2:$B$23,2,FALSE)</f>
        <v>Argentina</v>
      </c>
      <c r="I569" s="1" t="s">
        <v>109</v>
      </c>
      <c r="J569" s="1">
        <v>1</v>
      </c>
      <c r="K569" s="1" t="s">
        <v>227</v>
      </c>
      <c r="L569" s="1">
        <v>1</v>
      </c>
      <c r="M569" s="1" t="s">
        <v>14</v>
      </c>
    </row>
    <row r="570" spans="1:13" hidden="1" x14ac:dyDescent="0.25">
      <c r="A570" s="1">
        <v>1978</v>
      </c>
      <c r="B570" s="1">
        <v>285</v>
      </c>
      <c r="C570" s="2">
        <v>28648</v>
      </c>
      <c r="D570" s="1" t="s">
        <v>525</v>
      </c>
      <c r="E570" s="1" t="s">
        <v>15</v>
      </c>
      <c r="F570" s="1" t="s">
        <v>223</v>
      </c>
      <c r="G570" s="1" t="s">
        <v>224</v>
      </c>
      <c r="H570" s="6" t="str">
        <f>VLOOKUP(A570,WorldCups!$A$2:$B$23,2,FALSE)</f>
        <v>Argentina</v>
      </c>
      <c r="I570" s="1" t="s">
        <v>227</v>
      </c>
      <c r="J570" s="1">
        <v>1</v>
      </c>
      <c r="K570" s="1" t="s">
        <v>109</v>
      </c>
      <c r="L570" s="1">
        <v>1</v>
      </c>
      <c r="M570" s="1" t="s">
        <v>14</v>
      </c>
    </row>
    <row r="571" spans="1:13" hidden="1" x14ac:dyDescent="0.25">
      <c r="A571" s="1">
        <v>1978</v>
      </c>
      <c r="B571" s="1">
        <f>B570+1</f>
        <v>286</v>
      </c>
      <c r="C571" s="2">
        <v>28648</v>
      </c>
      <c r="D571" s="1" t="s">
        <v>525</v>
      </c>
      <c r="E571" s="1" t="s">
        <v>15</v>
      </c>
      <c r="F571" s="1" t="s">
        <v>225</v>
      </c>
      <c r="G571" s="1" t="s">
        <v>226</v>
      </c>
      <c r="H571" s="6" t="str">
        <f>VLOOKUP(A571,WorldCups!$A$2:$B$23,2,FALSE)</f>
        <v>Argentina</v>
      </c>
      <c r="I571" s="1" t="s">
        <v>45</v>
      </c>
      <c r="J571" s="1">
        <v>0</v>
      </c>
      <c r="K571" s="1" t="s">
        <v>24</v>
      </c>
      <c r="L571" s="1">
        <v>0</v>
      </c>
      <c r="M571" s="1" t="s">
        <v>14</v>
      </c>
    </row>
    <row r="572" spans="1:13" hidden="1" x14ac:dyDescent="0.25">
      <c r="A572" s="1">
        <v>1978</v>
      </c>
      <c r="B572" s="1">
        <v>286</v>
      </c>
      <c r="C572" s="2">
        <v>28648</v>
      </c>
      <c r="D572" s="1" t="s">
        <v>525</v>
      </c>
      <c r="E572" s="1" t="s">
        <v>15</v>
      </c>
      <c r="F572" s="1" t="s">
        <v>225</v>
      </c>
      <c r="G572" s="1" t="s">
        <v>226</v>
      </c>
      <c r="H572" s="6" t="str">
        <f>VLOOKUP(A572,WorldCups!$A$2:$B$23,2,FALSE)</f>
        <v>Argentina</v>
      </c>
      <c r="I572" s="1" t="s">
        <v>24</v>
      </c>
      <c r="J572" s="1">
        <v>0</v>
      </c>
      <c r="K572" s="1" t="s">
        <v>45</v>
      </c>
      <c r="L572" s="1">
        <v>0</v>
      </c>
      <c r="M572" s="1" t="s">
        <v>14</v>
      </c>
    </row>
    <row r="573" spans="1:13" hidden="1" x14ac:dyDescent="0.25">
      <c r="A573" s="1">
        <v>1978</v>
      </c>
      <c r="B573" s="1">
        <f>B572+1</f>
        <v>287</v>
      </c>
      <c r="C573" s="2">
        <v>28651</v>
      </c>
      <c r="D573" s="1" t="s">
        <v>527</v>
      </c>
      <c r="E573" s="1" t="s">
        <v>9</v>
      </c>
      <c r="F573" s="1" t="s">
        <v>217</v>
      </c>
      <c r="G573" s="1" t="s">
        <v>218</v>
      </c>
      <c r="H573" s="6" t="str">
        <f>VLOOKUP(A573,WorldCups!$A$2:$B$23,2,FALSE)</f>
        <v>Argentina</v>
      </c>
      <c r="I573" s="1" t="s">
        <v>12</v>
      </c>
      <c r="J573" s="1">
        <v>3</v>
      </c>
      <c r="K573" s="1" t="s">
        <v>40</v>
      </c>
      <c r="L573" s="1">
        <v>1</v>
      </c>
      <c r="M573" s="1" t="s">
        <v>14</v>
      </c>
    </row>
    <row r="574" spans="1:13" hidden="1" x14ac:dyDescent="0.25">
      <c r="A574" s="1">
        <v>1978</v>
      </c>
      <c r="B574" s="1">
        <v>287</v>
      </c>
      <c r="C574" s="2">
        <v>28651</v>
      </c>
      <c r="D574" s="1" t="s">
        <v>527</v>
      </c>
      <c r="E574" s="1" t="s">
        <v>9</v>
      </c>
      <c r="F574" s="1" t="s">
        <v>217</v>
      </c>
      <c r="G574" s="1" t="s">
        <v>218</v>
      </c>
      <c r="H574" s="6" t="str">
        <f>VLOOKUP(A574,WorldCups!$A$2:$B$23,2,FALSE)</f>
        <v>Argentina</v>
      </c>
      <c r="I574" s="1" t="s">
        <v>40</v>
      </c>
      <c r="J574" s="1">
        <v>1</v>
      </c>
      <c r="K574" s="1" t="s">
        <v>12</v>
      </c>
      <c r="L574" s="1">
        <v>3</v>
      </c>
      <c r="M574" s="1" t="s">
        <v>14</v>
      </c>
    </row>
    <row r="575" spans="1:13" hidden="1" x14ac:dyDescent="0.25">
      <c r="A575" s="1">
        <v>1978</v>
      </c>
      <c r="B575" s="1">
        <f>B574+1</f>
        <v>288</v>
      </c>
      <c r="C575" s="2">
        <v>28651</v>
      </c>
      <c r="D575" s="1" t="s">
        <v>525</v>
      </c>
      <c r="E575" s="1" t="s">
        <v>19</v>
      </c>
      <c r="F575" s="1" t="s">
        <v>219</v>
      </c>
      <c r="G575" s="1" t="s">
        <v>220</v>
      </c>
      <c r="H575" s="6" t="str">
        <f>VLOOKUP(A575,WorldCups!$A$2:$B$23,2,FALSE)</f>
        <v>Argentina</v>
      </c>
      <c r="I575" s="1" t="s">
        <v>80</v>
      </c>
      <c r="J575" s="1">
        <v>3</v>
      </c>
      <c r="K575" s="1" t="s">
        <v>13</v>
      </c>
      <c r="L575" s="1">
        <v>1</v>
      </c>
      <c r="M575" s="1" t="s">
        <v>14</v>
      </c>
    </row>
    <row r="576" spans="1:13" hidden="1" x14ac:dyDescent="0.25">
      <c r="A576" s="1">
        <v>1978</v>
      </c>
      <c r="B576" s="1">
        <v>288</v>
      </c>
      <c r="C576" s="2">
        <v>28651</v>
      </c>
      <c r="D576" s="1" t="s">
        <v>525</v>
      </c>
      <c r="E576" s="1" t="s">
        <v>19</v>
      </c>
      <c r="F576" s="1" t="s">
        <v>219</v>
      </c>
      <c r="G576" s="1" t="s">
        <v>220</v>
      </c>
      <c r="H576" s="6" t="str">
        <f>VLOOKUP(A576,WorldCups!$A$2:$B$23,2,FALSE)</f>
        <v>Argentina</v>
      </c>
      <c r="I576" s="1" t="s">
        <v>13</v>
      </c>
      <c r="J576" s="1">
        <v>1</v>
      </c>
      <c r="K576" s="1" t="s">
        <v>80</v>
      </c>
      <c r="L576" s="1">
        <v>3</v>
      </c>
      <c r="M576" s="1" t="s">
        <v>14</v>
      </c>
    </row>
    <row r="577" spans="1:13" hidden="1" x14ac:dyDescent="0.25">
      <c r="A577" s="1">
        <v>1978</v>
      </c>
      <c r="B577" s="1">
        <f>B576+1</f>
        <v>289</v>
      </c>
      <c r="C577" s="2">
        <v>28651</v>
      </c>
      <c r="D577" s="1" t="s">
        <v>525</v>
      </c>
      <c r="E577" s="1" t="s">
        <v>19</v>
      </c>
      <c r="F577" s="1" t="s">
        <v>223</v>
      </c>
      <c r="G577" s="1" t="s">
        <v>224</v>
      </c>
      <c r="H577" s="6" t="str">
        <f>VLOOKUP(A577,WorldCups!$A$2:$B$23,2,FALSE)</f>
        <v>Argentina</v>
      </c>
      <c r="I577" s="1" t="s">
        <v>114</v>
      </c>
      <c r="J577" s="1">
        <v>0</v>
      </c>
      <c r="K577" s="1" t="s">
        <v>221</v>
      </c>
      <c r="L577" s="1">
        <v>0</v>
      </c>
      <c r="M577" s="1" t="s">
        <v>14</v>
      </c>
    </row>
    <row r="578" spans="1:13" hidden="1" x14ac:dyDescent="0.25">
      <c r="A578" s="1">
        <v>1978</v>
      </c>
      <c r="B578" s="1">
        <v>289</v>
      </c>
      <c r="C578" s="2">
        <v>28651</v>
      </c>
      <c r="D578" s="1" t="s">
        <v>525</v>
      </c>
      <c r="E578" s="1" t="s">
        <v>19</v>
      </c>
      <c r="F578" s="1" t="s">
        <v>223</v>
      </c>
      <c r="G578" s="1" t="s">
        <v>224</v>
      </c>
      <c r="H578" s="6" t="str">
        <f>VLOOKUP(A578,WorldCups!$A$2:$B$23,2,FALSE)</f>
        <v>Argentina</v>
      </c>
      <c r="I578" s="1" t="s">
        <v>221</v>
      </c>
      <c r="J578" s="1">
        <v>0</v>
      </c>
      <c r="K578" s="1" t="s">
        <v>114</v>
      </c>
      <c r="L578" s="1">
        <v>0</v>
      </c>
      <c r="M578" s="1" t="s">
        <v>14</v>
      </c>
    </row>
    <row r="579" spans="1:13" hidden="1" x14ac:dyDescent="0.25">
      <c r="A579" s="1">
        <v>1978</v>
      </c>
      <c r="B579" s="1">
        <f>B578+1</f>
        <v>290</v>
      </c>
      <c r="C579" s="2">
        <v>28651</v>
      </c>
      <c r="D579" s="1" t="s">
        <v>526</v>
      </c>
      <c r="E579" s="1" t="s">
        <v>9</v>
      </c>
      <c r="F579" s="1" t="s">
        <v>215</v>
      </c>
      <c r="G579" s="1" t="s">
        <v>216</v>
      </c>
      <c r="H579" s="6" t="str">
        <f>VLOOKUP(A579,WorldCups!$A$2:$B$23,2,FALSE)</f>
        <v>Argentina</v>
      </c>
      <c r="I579" s="1" t="s">
        <v>57</v>
      </c>
      <c r="J579" s="1">
        <v>1</v>
      </c>
      <c r="K579" s="1" t="s">
        <v>25</v>
      </c>
      <c r="L579" s="1">
        <v>0</v>
      </c>
      <c r="M579" s="1" t="s">
        <v>14</v>
      </c>
    </row>
    <row r="580" spans="1:13" hidden="1" x14ac:dyDescent="0.25">
      <c r="A580" s="1">
        <v>1978</v>
      </c>
      <c r="B580" s="1">
        <v>290</v>
      </c>
      <c r="C580" s="2">
        <v>28651</v>
      </c>
      <c r="D580" s="1" t="s">
        <v>526</v>
      </c>
      <c r="E580" s="1" t="s">
        <v>9</v>
      </c>
      <c r="F580" s="1" t="s">
        <v>215</v>
      </c>
      <c r="G580" s="1" t="s">
        <v>216</v>
      </c>
      <c r="H580" s="6" t="str">
        <f>VLOOKUP(A580,WorldCups!$A$2:$B$23,2,FALSE)</f>
        <v>Argentina</v>
      </c>
      <c r="I580" s="1" t="s">
        <v>25</v>
      </c>
      <c r="J580" s="1">
        <v>0</v>
      </c>
      <c r="K580" s="1" t="s">
        <v>57</v>
      </c>
      <c r="L580" s="1">
        <v>1</v>
      </c>
      <c r="M580" s="1" t="s">
        <v>14</v>
      </c>
    </row>
    <row r="581" spans="1:13" hidden="1" x14ac:dyDescent="0.25">
      <c r="A581" s="1">
        <v>1978</v>
      </c>
      <c r="B581" s="1">
        <f>B580+1</f>
        <v>291</v>
      </c>
      <c r="C581" s="2">
        <v>28652</v>
      </c>
      <c r="D581" s="1" t="s">
        <v>524</v>
      </c>
      <c r="E581" s="1" t="s">
        <v>22</v>
      </c>
      <c r="F581" s="1" t="s">
        <v>217</v>
      </c>
      <c r="G581" s="1" t="s">
        <v>218</v>
      </c>
      <c r="H581" s="6" t="str">
        <f>VLOOKUP(A581,WorldCups!$A$2:$B$23,2,FALSE)</f>
        <v>Argentina</v>
      </c>
      <c r="I581" s="1" t="s">
        <v>21</v>
      </c>
      <c r="J581" s="1">
        <v>1</v>
      </c>
      <c r="K581" s="1" t="s">
        <v>36</v>
      </c>
      <c r="L581" s="1">
        <v>0</v>
      </c>
      <c r="M581" s="1" t="s">
        <v>14</v>
      </c>
    </row>
    <row r="582" spans="1:13" hidden="1" x14ac:dyDescent="0.25">
      <c r="A582" s="1">
        <v>1978</v>
      </c>
      <c r="B582" s="1">
        <v>291</v>
      </c>
      <c r="C582" s="2">
        <v>28652</v>
      </c>
      <c r="D582" s="1" t="s">
        <v>524</v>
      </c>
      <c r="E582" s="1" t="s">
        <v>22</v>
      </c>
      <c r="F582" s="1" t="s">
        <v>217</v>
      </c>
      <c r="G582" s="1" t="s">
        <v>218</v>
      </c>
      <c r="H582" s="6" t="str">
        <f>VLOOKUP(A582,WorldCups!$A$2:$B$23,2,FALSE)</f>
        <v>Argentina</v>
      </c>
      <c r="I582" s="1" t="s">
        <v>36</v>
      </c>
      <c r="J582" s="1">
        <v>0</v>
      </c>
      <c r="K582" s="1" t="s">
        <v>21</v>
      </c>
      <c r="L582" s="1">
        <v>1</v>
      </c>
      <c r="M582" s="1" t="s">
        <v>14</v>
      </c>
    </row>
    <row r="583" spans="1:13" hidden="1" x14ac:dyDescent="0.25">
      <c r="A583" s="1">
        <v>1978</v>
      </c>
      <c r="B583" s="1">
        <f>B582+1</f>
        <v>292</v>
      </c>
      <c r="C583" s="2">
        <v>28652</v>
      </c>
      <c r="D583" s="1" t="s">
        <v>524</v>
      </c>
      <c r="E583" s="1" t="s">
        <v>22</v>
      </c>
      <c r="F583" s="1" t="s">
        <v>222</v>
      </c>
      <c r="G583" s="1" t="s">
        <v>216</v>
      </c>
      <c r="H583" s="6" t="str">
        <f>VLOOKUP(A583,WorldCups!$A$2:$B$23,2,FALSE)</f>
        <v>Argentina</v>
      </c>
      <c r="I583" s="1" t="s">
        <v>54</v>
      </c>
      <c r="J583" s="1">
        <v>1</v>
      </c>
      <c r="K583" s="1" t="s">
        <v>48</v>
      </c>
      <c r="L583" s="1">
        <v>0</v>
      </c>
      <c r="M583" s="1" t="s">
        <v>14</v>
      </c>
    </row>
    <row r="584" spans="1:13" hidden="1" x14ac:dyDescent="0.25">
      <c r="A584" s="1">
        <v>1978</v>
      </c>
      <c r="B584" s="1">
        <v>292</v>
      </c>
      <c r="C584" s="2">
        <v>28652</v>
      </c>
      <c r="D584" s="1" t="s">
        <v>524</v>
      </c>
      <c r="E584" s="1" t="s">
        <v>22</v>
      </c>
      <c r="F584" s="1" t="s">
        <v>222</v>
      </c>
      <c r="G584" s="1" t="s">
        <v>216</v>
      </c>
      <c r="H584" s="6" t="str">
        <f>VLOOKUP(A584,WorldCups!$A$2:$B$23,2,FALSE)</f>
        <v>Argentina</v>
      </c>
      <c r="I584" s="1" t="s">
        <v>48</v>
      </c>
      <c r="J584" s="1">
        <v>0</v>
      </c>
      <c r="K584" s="1" t="s">
        <v>54</v>
      </c>
      <c r="L584" s="1">
        <v>1</v>
      </c>
      <c r="M584" s="1" t="s">
        <v>14</v>
      </c>
    </row>
    <row r="585" spans="1:13" hidden="1" x14ac:dyDescent="0.25">
      <c r="A585" s="1">
        <v>1978</v>
      </c>
      <c r="B585" s="1">
        <f>B584+1</f>
        <v>293</v>
      </c>
      <c r="C585" s="2">
        <v>28652</v>
      </c>
      <c r="D585" s="1" t="s">
        <v>525</v>
      </c>
      <c r="E585" s="1" t="s">
        <v>15</v>
      </c>
      <c r="F585" s="1" t="s">
        <v>223</v>
      </c>
      <c r="G585" s="1" t="s">
        <v>224</v>
      </c>
      <c r="H585" s="6" t="str">
        <f>VLOOKUP(A585,WorldCups!$A$2:$B$23,2,FALSE)</f>
        <v>Argentina</v>
      </c>
      <c r="I585" s="1" t="s">
        <v>24</v>
      </c>
      <c r="J585" s="1">
        <v>4</v>
      </c>
      <c r="K585" s="1" t="s">
        <v>228</v>
      </c>
      <c r="L585" s="1">
        <v>1</v>
      </c>
      <c r="M585" s="1" t="s">
        <v>14</v>
      </c>
    </row>
    <row r="586" spans="1:13" hidden="1" x14ac:dyDescent="0.25">
      <c r="A586" s="1">
        <v>1978</v>
      </c>
      <c r="B586" s="1">
        <v>293</v>
      </c>
      <c r="C586" s="2">
        <v>28652</v>
      </c>
      <c r="D586" s="1" t="s">
        <v>525</v>
      </c>
      <c r="E586" s="1" t="s">
        <v>15</v>
      </c>
      <c r="F586" s="1" t="s">
        <v>223</v>
      </c>
      <c r="G586" s="1" t="s">
        <v>224</v>
      </c>
      <c r="H586" s="6" t="str">
        <f>VLOOKUP(A586,WorldCups!$A$2:$B$23,2,FALSE)</f>
        <v>Argentina</v>
      </c>
      <c r="I586" s="1" t="s">
        <v>228</v>
      </c>
      <c r="J586" s="1">
        <v>1</v>
      </c>
      <c r="K586" s="1" t="s">
        <v>24</v>
      </c>
      <c r="L586" s="1">
        <v>4</v>
      </c>
      <c r="M586" s="1" t="s">
        <v>14</v>
      </c>
    </row>
    <row r="587" spans="1:13" hidden="1" x14ac:dyDescent="0.25">
      <c r="A587" s="1">
        <v>1978</v>
      </c>
      <c r="B587" s="1">
        <f>B586+1</f>
        <v>294</v>
      </c>
      <c r="C587" s="2">
        <v>28652</v>
      </c>
      <c r="D587" s="1" t="s">
        <v>525</v>
      </c>
      <c r="E587" s="1" t="s">
        <v>15</v>
      </c>
      <c r="F587" s="1" t="s">
        <v>225</v>
      </c>
      <c r="G587" s="1" t="s">
        <v>226</v>
      </c>
      <c r="H587" s="6" t="str">
        <f>VLOOKUP(A587,WorldCups!$A$2:$B$23,2,FALSE)</f>
        <v>Argentina</v>
      </c>
      <c r="I587" s="1" t="s">
        <v>109</v>
      </c>
      <c r="J587" s="1">
        <v>3</v>
      </c>
      <c r="K587" s="1" t="s">
        <v>45</v>
      </c>
      <c r="L587" s="1">
        <v>2</v>
      </c>
      <c r="M587" s="1" t="s">
        <v>14</v>
      </c>
    </row>
    <row r="588" spans="1:13" hidden="1" x14ac:dyDescent="0.25">
      <c r="A588" s="1">
        <v>1978</v>
      </c>
      <c r="B588" s="1">
        <v>294</v>
      </c>
      <c r="C588" s="2">
        <v>28652</v>
      </c>
      <c r="D588" s="1" t="s">
        <v>525</v>
      </c>
      <c r="E588" s="1" t="s">
        <v>15</v>
      </c>
      <c r="F588" s="1" t="s">
        <v>225</v>
      </c>
      <c r="G588" s="1" t="s">
        <v>226</v>
      </c>
      <c r="H588" s="6" t="str">
        <f>VLOOKUP(A588,WorldCups!$A$2:$B$23,2,FALSE)</f>
        <v>Argentina</v>
      </c>
      <c r="I588" s="1" t="s">
        <v>45</v>
      </c>
      <c r="J588" s="1">
        <v>2</v>
      </c>
      <c r="K588" s="1" t="s">
        <v>109</v>
      </c>
      <c r="L588" s="1">
        <v>3</v>
      </c>
      <c r="M588" s="1" t="s">
        <v>14</v>
      </c>
    </row>
    <row r="589" spans="1:13" hidden="1" x14ac:dyDescent="0.25">
      <c r="A589" s="1">
        <v>1978</v>
      </c>
      <c r="B589" s="1">
        <f>B588+1</f>
        <v>295</v>
      </c>
      <c r="C589" s="2">
        <v>28655</v>
      </c>
      <c r="D589" s="1" t="s">
        <v>524</v>
      </c>
      <c r="E589" s="1" t="s">
        <v>214</v>
      </c>
      <c r="F589" s="1" t="s">
        <v>215</v>
      </c>
      <c r="G589" s="1" t="s">
        <v>216</v>
      </c>
      <c r="H589" s="6" t="str">
        <f>VLOOKUP(A589,WorldCups!$A$2:$B$23,2,FALSE)</f>
        <v>Argentina</v>
      </c>
      <c r="I589" s="1" t="s">
        <v>114</v>
      </c>
      <c r="J589" s="1">
        <v>0</v>
      </c>
      <c r="K589" s="1" t="s">
        <v>57</v>
      </c>
      <c r="L589" s="1">
        <v>0</v>
      </c>
      <c r="M589" s="1" t="s">
        <v>14</v>
      </c>
    </row>
    <row r="590" spans="1:13" hidden="1" x14ac:dyDescent="0.25">
      <c r="A590" s="1">
        <v>1978</v>
      </c>
      <c r="B590" s="1">
        <v>295</v>
      </c>
      <c r="C590" s="2">
        <v>28655</v>
      </c>
      <c r="D590" s="1" t="s">
        <v>524</v>
      </c>
      <c r="E590" s="1" t="s">
        <v>214</v>
      </c>
      <c r="F590" s="1" t="s">
        <v>215</v>
      </c>
      <c r="G590" s="1" t="s">
        <v>216</v>
      </c>
      <c r="H590" s="6" t="str">
        <f>VLOOKUP(A590,WorldCups!$A$2:$B$23,2,FALSE)</f>
        <v>Argentina</v>
      </c>
      <c r="I590" s="1" t="s">
        <v>57</v>
      </c>
      <c r="J590" s="1">
        <v>0</v>
      </c>
      <c r="K590" s="1" t="s">
        <v>114</v>
      </c>
      <c r="L590" s="1">
        <v>0</v>
      </c>
      <c r="M590" s="1" t="s">
        <v>14</v>
      </c>
    </row>
    <row r="591" spans="1:13" hidden="1" x14ac:dyDescent="0.25">
      <c r="A591" s="1">
        <v>1978</v>
      </c>
      <c r="B591" s="1">
        <f>B590+1</f>
        <v>296</v>
      </c>
      <c r="C591" s="2">
        <v>28655</v>
      </c>
      <c r="D591" s="1" t="s">
        <v>524</v>
      </c>
      <c r="E591" s="1" t="s">
        <v>214</v>
      </c>
      <c r="F591" s="1" t="s">
        <v>223</v>
      </c>
      <c r="G591" s="1" t="s">
        <v>224</v>
      </c>
      <c r="H591" s="6" t="str">
        <f>VLOOKUP(A591,WorldCups!$A$2:$B$23,2,FALSE)</f>
        <v>Argentina</v>
      </c>
      <c r="I591" s="1" t="s">
        <v>45</v>
      </c>
      <c r="J591" s="1">
        <v>5</v>
      </c>
      <c r="K591" s="1" t="s">
        <v>36</v>
      </c>
      <c r="L591" s="1">
        <v>1</v>
      </c>
      <c r="M591" s="1" t="s">
        <v>14</v>
      </c>
    </row>
    <row r="592" spans="1:13" hidden="1" x14ac:dyDescent="0.25">
      <c r="A592" s="1">
        <v>1978</v>
      </c>
      <c r="B592" s="1">
        <v>296</v>
      </c>
      <c r="C592" s="2">
        <v>28655</v>
      </c>
      <c r="D592" s="1" t="s">
        <v>524</v>
      </c>
      <c r="E592" s="1" t="s">
        <v>214</v>
      </c>
      <c r="F592" s="1" t="s">
        <v>223</v>
      </c>
      <c r="G592" s="1" t="s">
        <v>224</v>
      </c>
      <c r="H592" s="6" t="str">
        <f>VLOOKUP(A592,WorldCups!$A$2:$B$23,2,FALSE)</f>
        <v>Argentina</v>
      </c>
      <c r="I592" s="1" t="s">
        <v>36</v>
      </c>
      <c r="J592" s="1">
        <v>1</v>
      </c>
      <c r="K592" s="1" t="s">
        <v>45</v>
      </c>
      <c r="L592" s="1">
        <v>5</v>
      </c>
      <c r="M592" s="1" t="s">
        <v>14</v>
      </c>
    </row>
    <row r="593" spans="1:13" hidden="1" x14ac:dyDescent="0.25">
      <c r="A593" s="1">
        <v>1978</v>
      </c>
      <c r="B593" s="1">
        <f>B592+1</f>
        <v>297</v>
      </c>
      <c r="C593" s="2">
        <v>28655</v>
      </c>
      <c r="D593" s="1" t="s">
        <v>525</v>
      </c>
      <c r="E593" s="1" t="s">
        <v>213</v>
      </c>
      <c r="F593" s="1" t="s">
        <v>225</v>
      </c>
      <c r="G593" s="1" t="s">
        <v>226</v>
      </c>
      <c r="H593" s="6" t="str">
        <f>VLOOKUP(A593,WorldCups!$A$2:$B$23,2,FALSE)</f>
        <v>Argentina</v>
      </c>
      <c r="I593" s="1" t="s">
        <v>21</v>
      </c>
      <c r="J593" s="1">
        <v>3</v>
      </c>
      <c r="K593" s="1" t="s">
        <v>24</v>
      </c>
      <c r="L593" s="1">
        <v>0</v>
      </c>
      <c r="M593" s="1" t="s">
        <v>14</v>
      </c>
    </row>
    <row r="594" spans="1:13" hidden="1" x14ac:dyDescent="0.25">
      <c r="A594" s="1">
        <v>1978</v>
      </c>
      <c r="B594" s="1">
        <v>297</v>
      </c>
      <c r="C594" s="2">
        <v>28655</v>
      </c>
      <c r="D594" s="1" t="s">
        <v>525</v>
      </c>
      <c r="E594" s="1" t="s">
        <v>213</v>
      </c>
      <c r="F594" s="1" t="s">
        <v>225</v>
      </c>
      <c r="G594" s="1" t="s">
        <v>226</v>
      </c>
      <c r="H594" s="6" t="str">
        <f>VLOOKUP(A594,WorldCups!$A$2:$B$23,2,FALSE)</f>
        <v>Argentina</v>
      </c>
      <c r="I594" s="1" t="s">
        <v>24</v>
      </c>
      <c r="J594" s="1">
        <v>0</v>
      </c>
      <c r="K594" s="1" t="s">
        <v>21</v>
      </c>
      <c r="L594" s="1">
        <v>3</v>
      </c>
      <c r="M594" s="1" t="s">
        <v>14</v>
      </c>
    </row>
    <row r="595" spans="1:13" hidden="1" x14ac:dyDescent="0.25">
      <c r="A595" s="1">
        <v>1978</v>
      </c>
      <c r="B595" s="1">
        <f>B594+1</f>
        <v>298</v>
      </c>
      <c r="C595" s="2">
        <v>28655</v>
      </c>
      <c r="D595" s="1" t="s">
        <v>526</v>
      </c>
      <c r="E595" s="1" t="s">
        <v>213</v>
      </c>
      <c r="F595" s="1" t="s">
        <v>219</v>
      </c>
      <c r="G595" s="1" t="s">
        <v>220</v>
      </c>
      <c r="H595" s="6" t="str">
        <f>VLOOKUP(A595,WorldCups!$A$2:$B$23,2,FALSE)</f>
        <v>Argentina</v>
      </c>
      <c r="I595" s="1" t="s">
        <v>25</v>
      </c>
      <c r="J595" s="1">
        <v>2</v>
      </c>
      <c r="K595" s="1" t="s">
        <v>80</v>
      </c>
      <c r="L595" s="1">
        <v>0</v>
      </c>
      <c r="M595" s="1" t="s">
        <v>14</v>
      </c>
    </row>
    <row r="596" spans="1:13" hidden="1" x14ac:dyDescent="0.25">
      <c r="A596" s="1">
        <v>1978</v>
      </c>
      <c r="B596" s="1">
        <v>298</v>
      </c>
      <c r="C596" s="2">
        <v>28655</v>
      </c>
      <c r="D596" s="1" t="s">
        <v>526</v>
      </c>
      <c r="E596" s="1" t="s">
        <v>213</v>
      </c>
      <c r="F596" s="1" t="s">
        <v>219</v>
      </c>
      <c r="G596" s="1" t="s">
        <v>220</v>
      </c>
      <c r="H596" s="6" t="str">
        <f>VLOOKUP(A596,WorldCups!$A$2:$B$23,2,FALSE)</f>
        <v>Argentina</v>
      </c>
      <c r="I596" s="1" t="s">
        <v>80</v>
      </c>
      <c r="J596" s="1">
        <v>0</v>
      </c>
      <c r="K596" s="1" t="s">
        <v>25</v>
      </c>
      <c r="L596" s="1">
        <v>2</v>
      </c>
      <c r="M596" s="1" t="s">
        <v>14</v>
      </c>
    </row>
    <row r="597" spans="1:13" hidden="1" x14ac:dyDescent="0.25">
      <c r="A597" s="1">
        <v>1978</v>
      </c>
      <c r="B597" s="1">
        <f>B596+1</f>
        <v>299</v>
      </c>
      <c r="C597" s="2">
        <v>28659</v>
      </c>
      <c r="D597" s="1" t="s">
        <v>524</v>
      </c>
      <c r="E597" s="1" t="s">
        <v>213</v>
      </c>
      <c r="F597" s="1" t="s">
        <v>225</v>
      </c>
      <c r="G597" s="1" t="s">
        <v>226</v>
      </c>
      <c r="H597" s="6" t="str">
        <f>VLOOKUP(A597,WorldCups!$A$2:$B$23,2,FALSE)</f>
        <v>Argentina</v>
      </c>
      <c r="I597" s="1" t="s">
        <v>80</v>
      </c>
      <c r="J597" s="1">
        <v>1</v>
      </c>
      <c r="K597" s="1" t="s">
        <v>24</v>
      </c>
      <c r="L597" s="1">
        <v>0</v>
      </c>
      <c r="M597" s="1" t="s">
        <v>14</v>
      </c>
    </row>
    <row r="598" spans="1:13" hidden="1" x14ac:dyDescent="0.25">
      <c r="A598" s="1">
        <v>1978</v>
      </c>
      <c r="B598" s="1">
        <v>299</v>
      </c>
      <c r="C598" s="2">
        <v>28659</v>
      </c>
      <c r="D598" s="1" t="s">
        <v>524</v>
      </c>
      <c r="E598" s="1" t="s">
        <v>213</v>
      </c>
      <c r="F598" s="1" t="s">
        <v>225</v>
      </c>
      <c r="G598" s="1" t="s">
        <v>226</v>
      </c>
      <c r="H598" s="6" t="str">
        <f>VLOOKUP(A598,WorldCups!$A$2:$B$23,2,FALSE)</f>
        <v>Argentina</v>
      </c>
      <c r="I598" s="1" t="s">
        <v>24</v>
      </c>
      <c r="J598" s="1">
        <v>0</v>
      </c>
      <c r="K598" s="1" t="s">
        <v>80</v>
      </c>
      <c r="L598" s="1">
        <v>1</v>
      </c>
      <c r="M598" s="1" t="s">
        <v>14</v>
      </c>
    </row>
    <row r="599" spans="1:13" hidden="1" x14ac:dyDescent="0.25">
      <c r="A599" s="1">
        <v>1978</v>
      </c>
      <c r="B599" s="1">
        <f>B598+1</f>
        <v>300</v>
      </c>
      <c r="C599" s="2">
        <v>28659</v>
      </c>
      <c r="D599" s="1" t="s">
        <v>525</v>
      </c>
      <c r="E599" s="1" t="s">
        <v>214</v>
      </c>
      <c r="F599" s="1" t="s">
        <v>215</v>
      </c>
      <c r="G599" s="1" t="s">
        <v>216</v>
      </c>
      <c r="H599" s="6" t="str">
        <f>VLOOKUP(A599,WorldCups!$A$2:$B$23,2,FALSE)</f>
        <v>Argentina</v>
      </c>
      <c r="I599" s="1" t="s">
        <v>57</v>
      </c>
      <c r="J599" s="1">
        <v>1</v>
      </c>
      <c r="K599" s="1" t="s">
        <v>36</v>
      </c>
      <c r="L599" s="1">
        <v>0</v>
      </c>
      <c r="M599" s="1" t="s">
        <v>14</v>
      </c>
    </row>
    <row r="600" spans="1:13" hidden="1" x14ac:dyDescent="0.25">
      <c r="A600" s="1">
        <v>1978</v>
      </c>
      <c r="B600" s="1">
        <v>300</v>
      </c>
      <c r="C600" s="2">
        <v>28659</v>
      </c>
      <c r="D600" s="1" t="s">
        <v>525</v>
      </c>
      <c r="E600" s="1" t="s">
        <v>214</v>
      </c>
      <c r="F600" s="1" t="s">
        <v>215</v>
      </c>
      <c r="G600" s="1" t="s">
        <v>216</v>
      </c>
      <c r="H600" s="6" t="str">
        <f>VLOOKUP(A600,WorldCups!$A$2:$B$23,2,FALSE)</f>
        <v>Argentina</v>
      </c>
      <c r="I600" s="1" t="s">
        <v>36</v>
      </c>
      <c r="J600" s="1">
        <v>0</v>
      </c>
      <c r="K600" s="1" t="s">
        <v>57</v>
      </c>
      <c r="L600" s="1">
        <v>1</v>
      </c>
      <c r="M600" s="1" t="s">
        <v>14</v>
      </c>
    </row>
    <row r="601" spans="1:13" hidden="1" x14ac:dyDescent="0.25">
      <c r="A601" s="1">
        <v>1978</v>
      </c>
      <c r="B601" s="1">
        <f>B600+1</f>
        <v>301</v>
      </c>
      <c r="C601" s="2">
        <v>28659</v>
      </c>
      <c r="D601" s="1" t="s">
        <v>525</v>
      </c>
      <c r="E601" s="1" t="s">
        <v>214</v>
      </c>
      <c r="F601" s="1" t="s">
        <v>223</v>
      </c>
      <c r="G601" s="1" t="s">
        <v>224</v>
      </c>
      <c r="H601" s="6" t="str">
        <f>VLOOKUP(A601,WorldCups!$A$2:$B$23,2,FALSE)</f>
        <v>Argentina</v>
      </c>
      <c r="I601" s="1" t="s">
        <v>114</v>
      </c>
      <c r="J601" s="1">
        <v>2</v>
      </c>
      <c r="K601" s="1" t="s">
        <v>45</v>
      </c>
      <c r="L601" s="1">
        <v>2</v>
      </c>
      <c r="M601" s="1" t="s">
        <v>14</v>
      </c>
    </row>
    <row r="602" spans="1:13" hidden="1" x14ac:dyDescent="0.25">
      <c r="A602" s="1">
        <v>1978</v>
      </c>
      <c r="B602" s="1">
        <v>301</v>
      </c>
      <c r="C602" s="2">
        <v>28659</v>
      </c>
      <c r="D602" s="1" t="s">
        <v>525</v>
      </c>
      <c r="E602" s="1" t="s">
        <v>214</v>
      </c>
      <c r="F602" s="1" t="s">
        <v>223</v>
      </c>
      <c r="G602" s="1" t="s">
        <v>224</v>
      </c>
      <c r="H602" s="6" t="str">
        <f>VLOOKUP(A602,WorldCups!$A$2:$B$23,2,FALSE)</f>
        <v>Argentina</v>
      </c>
      <c r="I602" s="1" t="s">
        <v>45</v>
      </c>
      <c r="J602" s="1">
        <v>2</v>
      </c>
      <c r="K602" s="1" t="s">
        <v>114</v>
      </c>
      <c r="L602" s="1">
        <v>2</v>
      </c>
      <c r="M602" s="1" t="s">
        <v>14</v>
      </c>
    </row>
    <row r="603" spans="1:13" hidden="1" x14ac:dyDescent="0.25">
      <c r="A603" s="1">
        <v>1978</v>
      </c>
      <c r="B603" s="1">
        <f>B602+1</f>
        <v>302</v>
      </c>
      <c r="C603" s="2">
        <v>28659</v>
      </c>
      <c r="D603" s="1" t="s">
        <v>526</v>
      </c>
      <c r="E603" s="1" t="s">
        <v>213</v>
      </c>
      <c r="F603" s="1" t="s">
        <v>219</v>
      </c>
      <c r="G603" s="1" t="s">
        <v>220</v>
      </c>
      <c r="H603" s="6" t="str">
        <f>VLOOKUP(A603,WorldCups!$A$2:$B$23,2,FALSE)</f>
        <v>Argentina</v>
      </c>
      <c r="I603" s="1" t="s">
        <v>25</v>
      </c>
      <c r="J603" s="1">
        <v>0</v>
      </c>
      <c r="K603" s="1" t="s">
        <v>21</v>
      </c>
      <c r="L603" s="1">
        <v>0</v>
      </c>
      <c r="M603" s="1" t="s">
        <v>14</v>
      </c>
    </row>
    <row r="604" spans="1:13" hidden="1" x14ac:dyDescent="0.25">
      <c r="A604" s="1">
        <v>1978</v>
      </c>
      <c r="B604" s="1">
        <v>302</v>
      </c>
      <c r="C604" s="2">
        <v>28659</v>
      </c>
      <c r="D604" s="1" t="s">
        <v>526</v>
      </c>
      <c r="E604" s="1" t="s">
        <v>213</v>
      </c>
      <c r="F604" s="1" t="s">
        <v>219</v>
      </c>
      <c r="G604" s="1" t="s">
        <v>220</v>
      </c>
      <c r="H604" s="6" t="str">
        <f>VLOOKUP(A604,WorldCups!$A$2:$B$23,2,FALSE)</f>
        <v>Argentina</v>
      </c>
      <c r="I604" s="1" t="s">
        <v>21</v>
      </c>
      <c r="J604" s="1">
        <v>0</v>
      </c>
      <c r="K604" s="1" t="s">
        <v>25</v>
      </c>
      <c r="L604" s="1">
        <v>0</v>
      </c>
      <c r="M604" s="1" t="s">
        <v>14</v>
      </c>
    </row>
    <row r="605" spans="1:13" hidden="1" x14ac:dyDescent="0.25">
      <c r="A605" s="1">
        <v>1978</v>
      </c>
      <c r="B605" s="1">
        <f>B604+1</f>
        <v>303</v>
      </c>
      <c r="C605" s="2">
        <v>28662</v>
      </c>
      <c r="D605" s="1" t="s">
        <v>524</v>
      </c>
      <c r="E605" s="1" t="s">
        <v>214</v>
      </c>
      <c r="F605" s="1" t="s">
        <v>215</v>
      </c>
      <c r="G605" s="1" t="s">
        <v>216</v>
      </c>
      <c r="H605" s="6" t="str">
        <f>VLOOKUP(A605,WorldCups!$A$2:$B$23,2,FALSE)</f>
        <v>Argentina</v>
      </c>
      <c r="I605" s="1" t="s">
        <v>45</v>
      </c>
      <c r="J605" s="1">
        <v>2</v>
      </c>
      <c r="K605" s="1" t="s">
        <v>57</v>
      </c>
      <c r="L605" s="1">
        <v>1</v>
      </c>
      <c r="M605" s="1" t="s">
        <v>14</v>
      </c>
    </row>
    <row r="606" spans="1:13" hidden="1" x14ac:dyDescent="0.25">
      <c r="A606" s="1">
        <v>1978</v>
      </c>
      <c r="B606" s="1">
        <v>303</v>
      </c>
      <c r="C606" s="2">
        <v>28662</v>
      </c>
      <c r="D606" s="1" t="s">
        <v>524</v>
      </c>
      <c r="E606" s="1" t="s">
        <v>214</v>
      </c>
      <c r="F606" s="1" t="s">
        <v>215</v>
      </c>
      <c r="G606" s="1" t="s">
        <v>216</v>
      </c>
      <c r="H606" s="6" t="str">
        <f>VLOOKUP(A606,WorldCups!$A$2:$B$23,2,FALSE)</f>
        <v>Argentina</v>
      </c>
      <c r="I606" s="1" t="s">
        <v>57</v>
      </c>
      <c r="J606" s="1">
        <v>1</v>
      </c>
      <c r="K606" s="1" t="s">
        <v>45</v>
      </c>
      <c r="L606" s="1">
        <v>2</v>
      </c>
      <c r="M606" s="1" t="s">
        <v>14</v>
      </c>
    </row>
    <row r="607" spans="1:13" hidden="1" x14ac:dyDescent="0.25">
      <c r="A607" s="1">
        <v>1978</v>
      </c>
      <c r="B607" s="1">
        <f>B606+1</f>
        <v>304</v>
      </c>
      <c r="C607" s="2">
        <v>28662</v>
      </c>
      <c r="D607" s="1" t="s">
        <v>524</v>
      </c>
      <c r="E607" s="1" t="s">
        <v>214</v>
      </c>
      <c r="F607" s="1" t="s">
        <v>223</v>
      </c>
      <c r="G607" s="1" t="s">
        <v>224</v>
      </c>
      <c r="H607" s="6" t="str">
        <f>VLOOKUP(A607,WorldCups!$A$2:$B$23,2,FALSE)</f>
        <v>Argentina</v>
      </c>
      <c r="I607" s="1" t="s">
        <v>36</v>
      </c>
      <c r="J607" s="1">
        <v>3</v>
      </c>
      <c r="K607" s="1" t="s">
        <v>114</v>
      </c>
      <c r="L607" s="1">
        <v>2</v>
      </c>
      <c r="M607" s="1" t="s">
        <v>14</v>
      </c>
    </row>
    <row r="608" spans="1:13" hidden="1" x14ac:dyDescent="0.25">
      <c r="A608" s="1">
        <v>1978</v>
      </c>
      <c r="B608" s="1">
        <v>304</v>
      </c>
      <c r="C608" s="2">
        <v>28662</v>
      </c>
      <c r="D608" s="1" t="s">
        <v>524</v>
      </c>
      <c r="E608" s="1" t="s">
        <v>214</v>
      </c>
      <c r="F608" s="1" t="s">
        <v>223</v>
      </c>
      <c r="G608" s="1" t="s">
        <v>224</v>
      </c>
      <c r="H608" s="6" t="str">
        <f>VLOOKUP(A608,WorldCups!$A$2:$B$23,2,FALSE)</f>
        <v>Argentina</v>
      </c>
      <c r="I608" s="1" t="s">
        <v>114</v>
      </c>
      <c r="J608" s="1">
        <v>2</v>
      </c>
      <c r="K608" s="1" t="s">
        <v>36</v>
      </c>
      <c r="L608" s="1">
        <v>3</v>
      </c>
      <c r="M608" s="1" t="s">
        <v>14</v>
      </c>
    </row>
    <row r="609" spans="1:13" hidden="1" x14ac:dyDescent="0.25">
      <c r="A609" s="1">
        <v>1978</v>
      </c>
      <c r="B609" s="1">
        <f>B608+1</f>
        <v>305</v>
      </c>
      <c r="C609" s="2">
        <v>28662</v>
      </c>
      <c r="D609" s="1" t="s">
        <v>525</v>
      </c>
      <c r="E609" s="1" t="s">
        <v>213</v>
      </c>
      <c r="F609" s="1" t="s">
        <v>225</v>
      </c>
      <c r="G609" s="1" t="s">
        <v>226</v>
      </c>
      <c r="H609" s="6" t="str">
        <f>VLOOKUP(A609,WorldCups!$A$2:$B$23,2,FALSE)</f>
        <v>Argentina</v>
      </c>
      <c r="I609" s="1" t="s">
        <v>21</v>
      </c>
      <c r="J609" s="1">
        <v>3</v>
      </c>
      <c r="K609" s="1" t="s">
        <v>80</v>
      </c>
      <c r="L609" s="1">
        <v>1</v>
      </c>
      <c r="M609" s="1" t="s">
        <v>14</v>
      </c>
    </row>
    <row r="610" spans="1:13" hidden="1" x14ac:dyDescent="0.25">
      <c r="A610" s="1">
        <v>1978</v>
      </c>
      <c r="B610" s="1">
        <v>305</v>
      </c>
      <c r="C610" s="2">
        <v>28662</v>
      </c>
      <c r="D610" s="1" t="s">
        <v>525</v>
      </c>
      <c r="E610" s="1" t="s">
        <v>213</v>
      </c>
      <c r="F610" s="1" t="s">
        <v>225</v>
      </c>
      <c r="G610" s="1" t="s">
        <v>226</v>
      </c>
      <c r="H610" s="6" t="str">
        <f>VLOOKUP(A610,WorldCups!$A$2:$B$23,2,FALSE)</f>
        <v>Argentina</v>
      </c>
      <c r="I610" s="1" t="s">
        <v>80</v>
      </c>
      <c r="J610" s="1">
        <v>1</v>
      </c>
      <c r="K610" s="1" t="s">
        <v>21</v>
      </c>
      <c r="L610" s="1">
        <v>3</v>
      </c>
      <c r="M610" s="1" t="s">
        <v>14</v>
      </c>
    </row>
    <row r="611" spans="1:13" hidden="1" x14ac:dyDescent="0.25">
      <c r="A611" s="1">
        <v>1978</v>
      </c>
      <c r="B611" s="1">
        <f>B610+1</f>
        <v>306</v>
      </c>
      <c r="C611" s="2">
        <v>28662</v>
      </c>
      <c r="D611" s="1" t="s">
        <v>526</v>
      </c>
      <c r="E611" s="1" t="s">
        <v>213</v>
      </c>
      <c r="F611" s="1" t="s">
        <v>219</v>
      </c>
      <c r="G611" s="1" t="s">
        <v>220</v>
      </c>
      <c r="H611" s="6" t="str">
        <f>VLOOKUP(A611,WorldCups!$A$2:$B$23,2,FALSE)</f>
        <v>Argentina</v>
      </c>
      <c r="I611" s="1" t="s">
        <v>25</v>
      </c>
      <c r="J611" s="1">
        <v>6</v>
      </c>
      <c r="K611" s="1" t="s">
        <v>24</v>
      </c>
      <c r="L611" s="1">
        <v>0</v>
      </c>
      <c r="M611" s="1" t="s">
        <v>14</v>
      </c>
    </row>
    <row r="612" spans="1:13" hidden="1" x14ac:dyDescent="0.25">
      <c r="A612" s="1">
        <v>1978</v>
      </c>
      <c r="B612" s="1">
        <v>306</v>
      </c>
      <c r="C612" s="2">
        <v>28662</v>
      </c>
      <c r="D612" s="1" t="s">
        <v>526</v>
      </c>
      <c r="E612" s="1" t="s">
        <v>213</v>
      </c>
      <c r="F612" s="1" t="s">
        <v>219</v>
      </c>
      <c r="G612" s="1" t="s">
        <v>220</v>
      </c>
      <c r="H612" s="6" t="str">
        <f>VLOOKUP(A612,WorldCups!$A$2:$B$23,2,FALSE)</f>
        <v>Argentina</v>
      </c>
      <c r="I612" s="1" t="s">
        <v>24</v>
      </c>
      <c r="J612" s="1">
        <v>0</v>
      </c>
      <c r="K612" s="1" t="s">
        <v>25</v>
      </c>
      <c r="L612" s="1">
        <v>6</v>
      </c>
      <c r="M612" s="1" t="s">
        <v>14</v>
      </c>
    </row>
    <row r="613" spans="1:13" hidden="1" x14ac:dyDescent="0.25">
      <c r="A613" s="1">
        <v>1978</v>
      </c>
      <c r="B613" s="1">
        <f>B612+1</f>
        <v>307</v>
      </c>
      <c r="C613" s="2">
        <v>28665</v>
      </c>
      <c r="D613" s="1" t="s">
        <v>500</v>
      </c>
      <c r="E613" s="1" t="s">
        <v>62</v>
      </c>
      <c r="F613" s="1" t="s">
        <v>215</v>
      </c>
      <c r="G613" s="1" t="s">
        <v>216</v>
      </c>
      <c r="H613" s="6" t="str">
        <f>VLOOKUP(A613,WorldCups!$A$2:$B$23,2,FALSE)</f>
        <v>Argentina</v>
      </c>
      <c r="I613" s="1" t="s">
        <v>21</v>
      </c>
      <c r="J613" s="1">
        <v>2</v>
      </c>
      <c r="K613" s="1" t="s">
        <v>57</v>
      </c>
      <c r="L613" s="1">
        <v>1</v>
      </c>
      <c r="M613" s="1" t="s">
        <v>14</v>
      </c>
    </row>
    <row r="614" spans="1:13" hidden="1" x14ac:dyDescent="0.25">
      <c r="A614" s="1">
        <v>1978</v>
      </c>
      <c r="B614" s="1">
        <v>307</v>
      </c>
      <c r="C614" s="2">
        <v>28665</v>
      </c>
      <c r="D614" s="1" t="s">
        <v>500</v>
      </c>
      <c r="E614" s="1" t="s">
        <v>62</v>
      </c>
      <c r="F614" s="1" t="s">
        <v>215</v>
      </c>
      <c r="G614" s="1" t="s">
        <v>216</v>
      </c>
      <c r="H614" s="6" t="str">
        <f>VLOOKUP(A614,WorldCups!$A$2:$B$23,2,FALSE)</f>
        <v>Argentina</v>
      </c>
      <c r="I614" s="1" t="s">
        <v>57</v>
      </c>
      <c r="J614" s="1">
        <v>1</v>
      </c>
      <c r="K614" s="1" t="s">
        <v>21</v>
      </c>
      <c r="L614" s="1">
        <v>2</v>
      </c>
      <c r="M614" s="1" t="s">
        <v>14</v>
      </c>
    </row>
    <row r="615" spans="1:13" hidden="1" x14ac:dyDescent="0.25">
      <c r="A615" s="1">
        <v>1978</v>
      </c>
      <c r="B615" s="1">
        <f>B614+1</f>
        <v>308</v>
      </c>
      <c r="C615" s="2">
        <v>28666</v>
      </c>
      <c r="D615" s="1" t="s">
        <v>500</v>
      </c>
      <c r="E615" s="1" t="s">
        <v>32</v>
      </c>
      <c r="F615" s="1" t="s">
        <v>215</v>
      </c>
      <c r="G615" s="1" t="s">
        <v>216</v>
      </c>
      <c r="H615" s="6" t="str">
        <f>VLOOKUP(A615,WorldCups!$A$2:$B$23,2,FALSE)</f>
        <v>Argentina</v>
      </c>
      <c r="I615" s="1" t="s">
        <v>25</v>
      </c>
      <c r="J615" s="1">
        <v>3</v>
      </c>
      <c r="K615" s="1" t="s">
        <v>45</v>
      </c>
      <c r="L615" s="1">
        <v>1</v>
      </c>
      <c r="M615" s="1" t="s">
        <v>229</v>
      </c>
    </row>
    <row r="616" spans="1:13" hidden="1" x14ac:dyDescent="0.25">
      <c r="A616" s="1">
        <v>1978</v>
      </c>
      <c r="B616" s="1">
        <v>308</v>
      </c>
      <c r="C616" s="2">
        <v>28666</v>
      </c>
      <c r="D616" s="1" t="s">
        <v>500</v>
      </c>
      <c r="E616" s="1" t="s">
        <v>32</v>
      </c>
      <c r="F616" s="1" t="s">
        <v>215</v>
      </c>
      <c r="G616" s="1" t="s">
        <v>216</v>
      </c>
      <c r="H616" s="6" t="str">
        <f>VLOOKUP(A616,WorldCups!$A$2:$B$23,2,FALSE)</f>
        <v>Argentina</v>
      </c>
      <c r="I616" s="1" t="s">
        <v>45</v>
      </c>
      <c r="J616" s="1">
        <v>1</v>
      </c>
      <c r="K616" s="1" t="s">
        <v>25</v>
      </c>
      <c r="L616" s="1">
        <v>3</v>
      </c>
      <c r="M616" s="1" t="s">
        <v>229</v>
      </c>
    </row>
    <row r="617" spans="1:13" hidden="1" x14ac:dyDescent="0.25">
      <c r="A617" s="1">
        <v>1982</v>
      </c>
      <c r="B617" s="1">
        <f>B616+1</f>
        <v>309</v>
      </c>
      <c r="C617" s="2">
        <v>30115</v>
      </c>
      <c r="D617" s="1" t="s">
        <v>528</v>
      </c>
      <c r="E617" s="1" t="s">
        <v>22</v>
      </c>
      <c r="F617" s="1" t="s">
        <v>230</v>
      </c>
      <c r="G617" s="1" t="s">
        <v>231</v>
      </c>
      <c r="H617" s="6" t="str">
        <f>VLOOKUP(A617,WorldCups!$A$2:$B$23,2,FALSE)</f>
        <v>Spain</v>
      </c>
      <c r="I617" s="1" t="s">
        <v>25</v>
      </c>
      <c r="J617" s="1">
        <v>0</v>
      </c>
      <c r="K617" s="1" t="s">
        <v>18</v>
      </c>
      <c r="L617" s="1">
        <v>1</v>
      </c>
      <c r="M617" s="1" t="s">
        <v>14</v>
      </c>
    </row>
    <row r="618" spans="1:13" hidden="1" x14ac:dyDescent="0.25">
      <c r="A618" s="1">
        <v>1982</v>
      </c>
      <c r="B618" s="1">
        <v>309</v>
      </c>
      <c r="C618" s="2">
        <v>30115</v>
      </c>
      <c r="D618" s="1" t="s">
        <v>528</v>
      </c>
      <c r="E618" s="1" t="s">
        <v>22</v>
      </c>
      <c r="F618" s="1" t="s">
        <v>230</v>
      </c>
      <c r="G618" s="1" t="s">
        <v>231</v>
      </c>
      <c r="H618" s="6" t="str">
        <f>VLOOKUP(A618,WorldCups!$A$2:$B$23,2,FALSE)</f>
        <v>Spain</v>
      </c>
      <c r="I618" s="1" t="s">
        <v>18</v>
      </c>
      <c r="J618" s="1">
        <v>1</v>
      </c>
      <c r="K618" s="1" t="s">
        <v>25</v>
      </c>
      <c r="L618" s="1">
        <v>0</v>
      </c>
      <c r="M618" s="1" t="s">
        <v>14</v>
      </c>
    </row>
    <row r="619" spans="1:13" hidden="1" x14ac:dyDescent="0.25">
      <c r="A619" s="1">
        <v>1982</v>
      </c>
      <c r="B619" s="1">
        <f>B618+1</f>
        <v>310</v>
      </c>
      <c r="C619" s="2">
        <v>30116</v>
      </c>
      <c r="D619" s="1" t="s">
        <v>529</v>
      </c>
      <c r="E619" s="1" t="s">
        <v>9</v>
      </c>
      <c r="F619" s="1" t="s">
        <v>232</v>
      </c>
      <c r="G619" s="1" t="s">
        <v>233</v>
      </c>
      <c r="H619" s="6" t="str">
        <f>VLOOKUP(A619,WorldCups!$A$2:$B$23,2,FALSE)</f>
        <v>Spain</v>
      </c>
      <c r="I619" s="1" t="s">
        <v>57</v>
      </c>
      <c r="J619" s="1">
        <v>0</v>
      </c>
      <c r="K619" s="1" t="s">
        <v>80</v>
      </c>
      <c r="L619" s="1">
        <v>0</v>
      </c>
      <c r="M619" s="1" t="s">
        <v>14</v>
      </c>
    </row>
    <row r="620" spans="1:13" hidden="1" x14ac:dyDescent="0.25">
      <c r="A620" s="1">
        <v>1982</v>
      </c>
      <c r="B620" s="1">
        <v>310</v>
      </c>
      <c r="C620" s="2">
        <v>30116</v>
      </c>
      <c r="D620" s="1" t="s">
        <v>529</v>
      </c>
      <c r="E620" s="1" t="s">
        <v>9</v>
      </c>
      <c r="F620" s="1" t="s">
        <v>232</v>
      </c>
      <c r="G620" s="1" t="s">
        <v>233</v>
      </c>
      <c r="H620" s="6" t="str">
        <f>VLOOKUP(A620,WorldCups!$A$2:$B$23,2,FALSE)</f>
        <v>Spain</v>
      </c>
      <c r="I620" s="1" t="s">
        <v>80</v>
      </c>
      <c r="J620" s="1">
        <v>0</v>
      </c>
      <c r="K620" s="1" t="s">
        <v>57</v>
      </c>
      <c r="L620" s="1">
        <v>0</v>
      </c>
      <c r="M620" s="1" t="s">
        <v>14</v>
      </c>
    </row>
    <row r="621" spans="1:13" hidden="1" x14ac:dyDescent="0.25">
      <c r="A621" s="1">
        <v>1982</v>
      </c>
      <c r="B621" s="1">
        <f>B620+1</f>
        <v>311</v>
      </c>
      <c r="C621" s="2">
        <v>30116</v>
      </c>
      <c r="D621" s="1" t="s">
        <v>530</v>
      </c>
      <c r="E621" s="1" t="s">
        <v>104</v>
      </c>
      <c r="F621" s="1" t="s">
        <v>234</v>
      </c>
      <c r="G621" s="1" t="s">
        <v>235</v>
      </c>
      <c r="H621" s="6" t="str">
        <f>VLOOKUP(A621,WorldCups!$A$2:$B$23,2,FALSE)</f>
        <v>Spain</v>
      </c>
      <c r="I621" s="1" t="s">
        <v>21</v>
      </c>
      <c r="J621" s="1">
        <v>2</v>
      </c>
      <c r="K621" s="1" t="s">
        <v>126</v>
      </c>
      <c r="L621" s="1">
        <v>1</v>
      </c>
      <c r="M621" s="1" t="s">
        <v>14</v>
      </c>
    </row>
    <row r="622" spans="1:13" hidden="1" x14ac:dyDescent="0.25">
      <c r="A622" s="1">
        <v>1982</v>
      </c>
      <c r="B622" s="1">
        <v>311</v>
      </c>
      <c r="C622" s="2">
        <v>30116</v>
      </c>
      <c r="D622" s="1" t="s">
        <v>530</v>
      </c>
      <c r="E622" s="1" t="s">
        <v>104</v>
      </c>
      <c r="F622" s="1" t="s">
        <v>234</v>
      </c>
      <c r="G622" s="1" t="s">
        <v>235</v>
      </c>
      <c r="H622" s="6" t="str">
        <f>VLOOKUP(A622,WorldCups!$A$2:$B$23,2,FALSE)</f>
        <v>Spain</v>
      </c>
      <c r="I622" s="1" t="s">
        <v>126</v>
      </c>
      <c r="J622" s="1">
        <v>1</v>
      </c>
      <c r="K622" s="1" t="s">
        <v>21</v>
      </c>
      <c r="L622" s="1">
        <v>2</v>
      </c>
      <c r="M622" s="1" t="s">
        <v>14</v>
      </c>
    </row>
    <row r="623" spans="1:13" hidden="1" x14ac:dyDescent="0.25">
      <c r="A623" s="1">
        <v>1982</v>
      </c>
      <c r="B623" s="1">
        <f>B622+1</f>
        <v>312</v>
      </c>
      <c r="C623" s="2">
        <v>30117</v>
      </c>
      <c r="D623" s="1" t="s">
        <v>529</v>
      </c>
      <c r="E623" s="1" t="s">
        <v>9</v>
      </c>
      <c r="F623" s="1" t="s">
        <v>236</v>
      </c>
      <c r="G623" s="1" t="s">
        <v>237</v>
      </c>
      <c r="H623" s="6" t="str">
        <f>VLOOKUP(A623,WorldCups!$A$2:$B$23,2,FALSE)</f>
        <v>Spain</v>
      </c>
      <c r="I623" s="1" t="s">
        <v>24</v>
      </c>
      <c r="J623" s="1">
        <v>0</v>
      </c>
      <c r="K623" s="1" t="s">
        <v>238</v>
      </c>
      <c r="L623" s="1">
        <v>0</v>
      </c>
      <c r="M623" s="1" t="s">
        <v>14</v>
      </c>
    </row>
    <row r="624" spans="1:13" hidden="1" x14ac:dyDescent="0.25">
      <c r="A624" s="1">
        <v>1982</v>
      </c>
      <c r="B624" s="1">
        <v>312</v>
      </c>
      <c r="C624" s="2">
        <v>30117</v>
      </c>
      <c r="D624" s="1" t="s">
        <v>529</v>
      </c>
      <c r="E624" s="1" t="s">
        <v>9</v>
      </c>
      <c r="F624" s="1" t="s">
        <v>236</v>
      </c>
      <c r="G624" s="1" t="s">
        <v>237</v>
      </c>
      <c r="H624" s="6" t="str">
        <f>VLOOKUP(A624,WorldCups!$A$2:$B$23,2,FALSE)</f>
        <v>Spain</v>
      </c>
      <c r="I624" s="1" t="s">
        <v>238</v>
      </c>
      <c r="J624" s="1">
        <v>0</v>
      </c>
      <c r="K624" s="1" t="s">
        <v>24</v>
      </c>
      <c r="L624" s="1">
        <v>0</v>
      </c>
      <c r="M624" s="1" t="s">
        <v>14</v>
      </c>
    </row>
    <row r="625" spans="1:13" hidden="1" x14ac:dyDescent="0.25">
      <c r="A625" s="1">
        <v>1982</v>
      </c>
      <c r="B625" s="1">
        <f>B624+1</f>
        <v>313</v>
      </c>
      <c r="C625" s="2">
        <v>30117</v>
      </c>
      <c r="D625" s="1" t="s">
        <v>530</v>
      </c>
      <c r="E625" s="1" t="s">
        <v>22</v>
      </c>
      <c r="F625" s="1" t="s">
        <v>239</v>
      </c>
      <c r="G625" s="1" t="s">
        <v>240</v>
      </c>
      <c r="H625" s="6" t="str">
        <f>VLOOKUP(A625,WorldCups!$A$2:$B$23,2,FALSE)</f>
        <v>Spain</v>
      </c>
      <c r="I625" s="1" t="s">
        <v>40</v>
      </c>
      <c r="J625" s="1">
        <v>10</v>
      </c>
      <c r="K625" s="1" t="s">
        <v>189</v>
      </c>
      <c r="L625" s="1">
        <v>1</v>
      </c>
      <c r="M625" s="1" t="s">
        <v>14</v>
      </c>
    </row>
    <row r="626" spans="1:13" hidden="1" x14ac:dyDescent="0.25">
      <c r="A626" s="1">
        <v>1982</v>
      </c>
      <c r="B626" s="1">
        <v>313</v>
      </c>
      <c r="C626" s="2">
        <v>30117</v>
      </c>
      <c r="D626" s="1" t="s">
        <v>530</v>
      </c>
      <c r="E626" s="1" t="s">
        <v>22</v>
      </c>
      <c r="F626" s="1" t="s">
        <v>239</v>
      </c>
      <c r="G626" s="1" t="s">
        <v>240</v>
      </c>
      <c r="H626" s="6" t="str">
        <f>VLOOKUP(A626,WorldCups!$A$2:$B$23,2,FALSE)</f>
        <v>Spain</v>
      </c>
      <c r="I626" s="1" t="s">
        <v>189</v>
      </c>
      <c r="J626" s="1">
        <v>1</v>
      </c>
      <c r="K626" s="1" t="s">
        <v>40</v>
      </c>
      <c r="L626" s="1">
        <v>10</v>
      </c>
      <c r="M626" s="1" t="s">
        <v>14</v>
      </c>
    </row>
    <row r="627" spans="1:13" hidden="1" x14ac:dyDescent="0.25">
      <c r="A627" s="1">
        <v>1982</v>
      </c>
      <c r="B627" s="1">
        <f>B626+1</f>
        <v>314</v>
      </c>
      <c r="C627" s="2">
        <v>30117</v>
      </c>
      <c r="D627" s="1" t="s">
        <v>530</v>
      </c>
      <c r="E627" s="1" t="s">
        <v>104</v>
      </c>
      <c r="F627" s="1" t="s">
        <v>241</v>
      </c>
      <c r="G627" s="1" t="s">
        <v>242</v>
      </c>
      <c r="H627" s="6" t="str">
        <f>VLOOKUP(A627,WorldCups!$A$2:$B$23,2,FALSE)</f>
        <v>Spain</v>
      </c>
      <c r="I627" s="1" t="s">
        <v>109</v>
      </c>
      <c r="J627" s="1">
        <v>5</v>
      </c>
      <c r="K627" s="1" t="s">
        <v>243</v>
      </c>
      <c r="L627" s="1">
        <v>2</v>
      </c>
      <c r="M627" s="1" t="s">
        <v>14</v>
      </c>
    </row>
    <row r="628" spans="1:13" hidden="1" x14ac:dyDescent="0.25">
      <c r="A628" s="1">
        <v>1982</v>
      </c>
      <c r="B628" s="1">
        <v>314</v>
      </c>
      <c r="C628" s="2">
        <v>30117</v>
      </c>
      <c r="D628" s="1" t="s">
        <v>530</v>
      </c>
      <c r="E628" s="1" t="s">
        <v>104</v>
      </c>
      <c r="F628" s="1" t="s">
        <v>241</v>
      </c>
      <c r="G628" s="1" t="s">
        <v>242</v>
      </c>
      <c r="H628" s="6" t="str">
        <f>VLOOKUP(A628,WorldCups!$A$2:$B$23,2,FALSE)</f>
        <v>Spain</v>
      </c>
      <c r="I628" s="1" t="s">
        <v>243</v>
      </c>
      <c r="J628" s="1">
        <v>2</v>
      </c>
      <c r="K628" s="1" t="s">
        <v>109</v>
      </c>
      <c r="L628" s="1">
        <v>5</v>
      </c>
      <c r="M628" s="1" t="s">
        <v>14</v>
      </c>
    </row>
    <row r="629" spans="1:13" hidden="1" x14ac:dyDescent="0.25">
      <c r="A629" s="1">
        <v>1982</v>
      </c>
      <c r="B629" s="1">
        <f>B628+1</f>
        <v>315</v>
      </c>
      <c r="C629" s="2">
        <v>30118</v>
      </c>
      <c r="D629" s="1" t="s">
        <v>529</v>
      </c>
      <c r="E629" s="1" t="s">
        <v>19</v>
      </c>
      <c r="F629" s="1" t="s">
        <v>244</v>
      </c>
      <c r="G629" s="1" t="s">
        <v>245</v>
      </c>
      <c r="H629" s="6" t="str">
        <f>VLOOKUP(A629,WorldCups!$A$2:$B$23,2,FALSE)</f>
        <v>Spain</v>
      </c>
      <c r="I629" s="1" t="s">
        <v>114</v>
      </c>
      <c r="J629" s="1">
        <v>1</v>
      </c>
      <c r="K629" s="1" t="s">
        <v>246</v>
      </c>
      <c r="L629" s="1">
        <v>2</v>
      </c>
      <c r="M629" s="1" t="s">
        <v>14</v>
      </c>
    </row>
    <row r="630" spans="1:13" hidden="1" x14ac:dyDescent="0.25">
      <c r="A630" s="1">
        <v>1982</v>
      </c>
      <c r="B630" s="1">
        <v>315</v>
      </c>
      <c r="C630" s="2">
        <v>30118</v>
      </c>
      <c r="D630" s="1" t="s">
        <v>529</v>
      </c>
      <c r="E630" s="1" t="s">
        <v>19</v>
      </c>
      <c r="F630" s="1" t="s">
        <v>244</v>
      </c>
      <c r="G630" s="1" t="s">
        <v>245</v>
      </c>
      <c r="H630" s="6" t="str">
        <f>VLOOKUP(A630,WorldCups!$A$2:$B$23,2,FALSE)</f>
        <v>Spain</v>
      </c>
      <c r="I630" s="1" t="s">
        <v>246</v>
      </c>
      <c r="J630" s="1">
        <v>2</v>
      </c>
      <c r="K630" s="1" t="s">
        <v>114</v>
      </c>
      <c r="L630" s="1">
        <v>1</v>
      </c>
      <c r="M630" s="1" t="s">
        <v>14</v>
      </c>
    </row>
    <row r="631" spans="1:13" hidden="1" x14ac:dyDescent="0.25">
      <c r="A631" s="1">
        <v>1982</v>
      </c>
      <c r="B631" s="1">
        <f>B630+1</f>
        <v>316</v>
      </c>
      <c r="C631" s="2">
        <v>30118</v>
      </c>
      <c r="D631" s="1" t="s">
        <v>529</v>
      </c>
      <c r="E631" s="1" t="s">
        <v>15</v>
      </c>
      <c r="F631" s="1" t="s">
        <v>247</v>
      </c>
      <c r="G631" s="1" t="s">
        <v>248</v>
      </c>
      <c r="H631" s="6" t="str">
        <f>VLOOKUP(A631,WorldCups!$A$2:$B$23,2,FALSE)</f>
        <v>Spain</v>
      </c>
      <c r="I631" s="1" t="s">
        <v>93</v>
      </c>
      <c r="J631" s="1">
        <v>3</v>
      </c>
      <c r="K631" s="1" t="s">
        <v>12</v>
      </c>
      <c r="L631" s="1">
        <v>1</v>
      </c>
      <c r="M631" s="1" t="s">
        <v>14</v>
      </c>
    </row>
    <row r="632" spans="1:13" hidden="1" x14ac:dyDescent="0.25">
      <c r="A632" s="1">
        <v>1982</v>
      </c>
      <c r="B632" s="1">
        <v>316</v>
      </c>
      <c r="C632" s="2">
        <v>30118</v>
      </c>
      <c r="D632" s="1" t="s">
        <v>529</v>
      </c>
      <c r="E632" s="1" t="s">
        <v>15</v>
      </c>
      <c r="F632" s="1" t="s">
        <v>247</v>
      </c>
      <c r="G632" s="1" t="s">
        <v>248</v>
      </c>
      <c r="H632" s="6" t="str">
        <f>VLOOKUP(A632,WorldCups!$A$2:$B$23,2,FALSE)</f>
        <v>Spain</v>
      </c>
      <c r="I632" s="1" t="s">
        <v>12</v>
      </c>
      <c r="J632" s="1">
        <v>1</v>
      </c>
      <c r="K632" s="1" t="s">
        <v>93</v>
      </c>
      <c r="L632" s="1">
        <v>3</v>
      </c>
      <c r="M632" s="1" t="s">
        <v>14</v>
      </c>
    </row>
    <row r="633" spans="1:13" hidden="1" x14ac:dyDescent="0.25">
      <c r="A633" s="1">
        <v>1982</v>
      </c>
      <c r="B633" s="1">
        <f>B632+1</f>
        <v>317</v>
      </c>
      <c r="C633" s="2">
        <v>30118</v>
      </c>
      <c r="D633" s="1" t="s">
        <v>530</v>
      </c>
      <c r="E633" s="1" t="s">
        <v>249</v>
      </c>
      <c r="F633" s="1" t="s">
        <v>250</v>
      </c>
      <c r="G633" s="1" t="s">
        <v>251</v>
      </c>
      <c r="H633" s="6" t="str">
        <f>VLOOKUP(A633,WorldCups!$A$2:$B$23,2,FALSE)</f>
        <v>Spain</v>
      </c>
      <c r="I633" s="1" t="s">
        <v>54</v>
      </c>
      <c r="J633" s="1">
        <v>1</v>
      </c>
      <c r="K633" s="1" t="s">
        <v>252</v>
      </c>
      <c r="L633" s="1">
        <v>1</v>
      </c>
      <c r="M633" s="1" t="s">
        <v>14</v>
      </c>
    </row>
    <row r="634" spans="1:13" hidden="1" x14ac:dyDescent="0.25">
      <c r="A634" s="1">
        <v>1982</v>
      </c>
      <c r="B634" s="1">
        <v>317</v>
      </c>
      <c r="C634" s="2">
        <v>30118</v>
      </c>
      <c r="D634" s="1" t="s">
        <v>530</v>
      </c>
      <c r="E634" s="1" t="s">
        <v>249</v>
      </c>
      <c r="F634" s="1" t="s">
        <v>250</v>
      </c>
      <c r="G634" s="1" t="s">
        <v>251</v>
      </c>
      <c r="H634" s="6" t="str">
        <f>VLOOKUP(A634,WorldCups!$A$2:$B$23,2,FALSE)</f>
        <v>Spain</v>
      </c>
      <c r="I634" s="1" t="s">
        <v>252</v>
      </c>
      <c r="J634" s="1">
        <v>1</v>
      </c>
      <c r="K634" s="1" t="s">
        <v>54</v>
      </c>
      <c r="L634" s="1">
        <v>1</v>
      </c>
      <c r="M634" s="1" t="s">
        <v>14</v>
      </c>
    </row>
    <row r="635" spans="1:13" hidden="1" x14ac:dyDescent="0.25">
      <c r="A635" s="1">
        <v>1982</v>
      </c>
      <c r="B635" s="1">
        <f>B634+1</f>
        <v>318</v>
      </c>
      <c r="C635" s="2">
        <v>30119</v>
      </c>
      <c r="D635" s="1" t="s">
        <v>529</v>
      </c>
      <c r="E635" s="1" t="s">
        <v>19</v>
      </c>
      <c r="F635" s="1" t="s">
        <v>253</v>
      </c>
      <c r="G635" s="1" t="s">
        <v>254</v>
      </c>
      <c r="H635" s="6" t="str">
        <f>VLOOKUP(A635,WorldCups!$A$2:$B$23,2,FALSE)</f>
        <v>Spain</v>
      </c>
      <c r="I635" s="1" t="s">
        <v>26</v>
      </c>
      <c r="J635" s="1">
        <v>0</v>
      </c>
      <c r="K635" s="1" t="s">
        <v>36</v>
      </c>
      <c r="L635" s="1">
        <v>1</v>
      </c>
      <c r="M635" s="1" t="s">
        <v>14</v>
      </c>
    </row>
    <row r="636" spans="1:13" hidden="1" x14ac:dyDescent="0.25">
      <c r="A636" s="1">
        <v>1982</v>
      </c>
      <c r="B636" s="1">
        <v>318</v>
      </c>
      <c r="C636" s="2">
        <v>30119</v>
      </c>
      <c r="D636" s="1" t="s">
        <v>529</v>
      </c>
      <c r="E636" s="1" t="s">
        <v>19</v>
      </c>
      <c r="F636" s="1" t="s">
        <v>253</v>
      </c>
      <c r="G636" s="1" t="s">
        <v>254</v>
      </c>
      <c r="H636" s="6" t="str">
        <f>VLOOKUP(A636,WorldCups!$A$2:$B$23,2,FALSE)</f>
        <v>Spain</v>
      </c>
      <c r="I636" s="1" t="s">
        <v>36</v>
      </c>
      <c r="J636" s="1">
        <v>1</v>
      </c>
      <c r="K636" s="1" t="s">
        <v>26</v>
      </c>
      <c r="L636" s="1">
        <v>0</v>
      </c>
      <c r="M636" s="1" t="s">
        <v>14</v>
      </c>
    </row>
    <row r="637" spans="1:13" hidden="1" x14ac:dyDescent="0.25">
      <c r="A637" s="1">
        <v>1982</v>
      </c>
      <c r="B637" s="1">
        <f>B636+1</f>
        <v>319</v>
      </c>
      <c r="C637" s="2">
        <v>30119</v>
      </c>
      <c r="D637" s="1" t="s">
        <v>531</v>
      </c>
      <c r="E637" s="1" t="s">
        <v>15</v>
      </c>
      <c r="F637" s="1" t="s">
        <v>255</v>
      </c>
      <c r="G637" s="1" t="s">
        <v>256</v>
      </c>
      <c r="H637" s="6" t="str">
        <f>VLOOKUP(A637,WorldCups!$A$2:$B$23,2,FALSE)</f>
        <v>Spain</v>
      </c>
      <c r="I637" s="1" t="s">
        <v>60</v>
      </c>
      <c r="J637" s="1">
        <v>1</v>
      </c>
      <c r="K637" s="1" t="s">
        <v>257</v>
      </c>
      <c r="L637" s="1">
        <v>1</v>
      </c>
      <c r="M637" s="1" t="s">
        <v>14</v>
      </c>
    </row>
    <row r="638" spans="1:13" hidden="1" x14ac:dyDescent="0.25">
      <c r="A638" s="1">
        <v>1982</v>
      </c>
      <c r="B638" s="1">
        <v>319</v>
      </c>
      <c r="C638" s="2">
        <v>30119</v>
      </c>
      <c r="D638" s="1" t="s">
        <v>531</v>
      </c>
      <c r="E638" s="1" t="s">
        <v>15</v>
      </c>
      <c r="F638" s="1" t="s">
        <v>255</v>
      </c>
      <c r="G638" s="1" t="s">
        <v>256</v>
      </c>
      <c r="H638" s="6" t="str">
        <f>VLOOKUP(A638,WorldCups!$A$2:$B$23,2,FALSE)</f>
        <v>Spain</v>
      </c>
      <c r="I638" s="1" t="s">
        <v>257</v>
      </c>
      <c r="J638" s="1">
        <v>1</v>
      </c>
      <c r="K638" s="1" t="s">
        <v>60</v>
      </c>
      <c r="L638" s="1">
        <v>1</v>
      </c>
      <c r="M638" s="1" t="s">
        <v>14</v>
      </c>
    </row>
    <row r="639" spans="1:13" hidden="1" x14ac:dyDescent="0.25">
      <c r="A639" s="1">
        <v>1982</v>
      </c>
      <c r="B639" s="1">
        <f>B638+1</f>
        <v>320</v>
      </c>
      <c r="C639" s="2">
        <v>30119</v>
      </c>
      <c r="D639" s="1" t="s">
        <v>530</v>
      </c>
      <c r="E639" s="1" t="s">
        <v>249</v>
      </c>
      <c r="F639" s="1" t="s">
        <v>258</v>
      </c>
      <c r="G639" s="1" t="s">
        <v>259</v>
      </c>
      <c r="H639" s="6" t="str">
        <f>VLOOKUP(A639,WorldCups!$A$2:$B$23,2,FALSE)</f>
        <v>Spain</v>
      </c>
      <c r="I639" s="1" t="s">
        <v>20</v>
      </c>
      <c r="J639" s="1">
        <v>0</v>
      </c>
      <c r="K639" s="1" t="s">
        <v>537</v>
      </c>
      <c r="L639" s="1">
        <v>0</v>
      </c>
      <c r="M639" s="1" t="s">
        <v>14</v>
      </c>
    </row>
    <row r="640" spans="1:13" hidden="1" x14ac:dyDescent="0.25">
      <c r="A640" s="1">
        <v>1982</v>
      </c>
      <c r="B640" s="1">
        <v>320</v>
      </c>
      <c r="C640" s="2">
        <v>30119</v>
      </c>
      <c r="D640" s="1" t="s">
        <v>530</v>
      </c>
      <c r="E640" s="1" t="s">
        <v>249</v>
      </c>
      <c r="F640" s="1" t="s">
        <v>258</v>
      </c>
      <c r="G640" s="1" t="s">
        <v>259</v>
      </c>
      <c r="H640" s="6" t="str">
        <f>VLOOKUP(A640,WorldCups!$A$2:$B$23,2,FALSE)</f>
        <v>Spain</v>
      </c>
      <c r="I640" s="1" t="s">
        <v>537</v>
      </c>
      <c r="J640" s="1">
        <v>0</v>
      </c>
      <c r="K640" s="1" t="s">
        <v>20</v>
      </c>
      <c r="L640" s="1">
        <v>0</v>
      </c>
      <c r="M640" s="1" t="s">
        <v>14</v>
      </c>
    </row>
    <row r="641" spans="1:13" hidden="1" x14ac:dyDescent="0.25">
      <c r="A641" s="1">
        <v>1982</v>
      </c>
      <c r="B641" s="1">
        <f>B640+1</f>
        <v>321</v>
      </c>
      <c r="C641" s="2">
        <v>30120</v>
      </c>
      <c r="D641" s="1" t="s">
        <v>529</v>
      </c>
      <c r="E641" s="1" t="s">
        <v>9</v>
      </c>
      <c r="F641" s="1" t="s">
        <v>232</v>
      </c>
      <c r="G641" s="1" t="s">
        <v>233</v>
      </c>
      <c r="H641" s="6" t="str">
        <f>VLOOKUP(A641,WorldCups!$A$2:$B$23,2,FALSE)</f>
        <v>Spain</v>
      </c>
      <c r="I641" s="1" t="s">
        <v>57</v>
      </c>
      <c r="J641" s="1">
        <v>1</v>
      </c>
      <c r="K641" s="1" t="s">
        <v>24</v>
      </c>
      <c r="L641" s="1">
        <v>1</v>
      </c>
      <c r="M641" s="1" t="s">
        <v>14</v>
      </c>
    </row>
    <row r="642" spans="1:13" hidden="1" x14ac:dyDescent="0.25">
      <c r="A642" s="1">
        <v>1982</v>
      </c>
      <c r="B642" s="1">
        <v>321</v>
      </c>
      <c r="C642" s="2">
        <v>30120</v>
      </c>
      <c r="D642" s="1" t="s">
        <v>529</v>
      </c>
      <c r="E642" s="1" t="s">
        <v>9</v>
      </c>
      <c r="F642" s="1" t="s">
        <v>232</v>
      </c>
      <c r="G642" s="1" t="s">
        <v>233</v>
      </c>
      <c r="H642" s="6" t="str">
        <f>VLOOKUP(A642,WorldCups!$A$2:$B$23,2,FALSE)</f>
        <v>Spain</v>
      </c>
      <c r="I642" s="1" t="s">
        <v>24</v>
      </c>
      <c r="J642" s="1">
        <v>1</v>
      </c>
      <c r="K642" s="1" t="s">
        <v>57</v>
      </c>
      <c r="L642" s="1">
        <v>1</v>
      </c>
      <c r="M642" s="1" t="s">
        <v>14</v>
      </c>
    </row>
    <row r="643" spans="1:13" hidden="1" x14ac:dyDescent="0.25">
      <c r="A643" s="1">
        <v>1982</v>
      </c>
      <c r="B643" s="1">
        <f>B642+1</f>
        <v>322</v>
      </c>
      <c r="C643" s="2">
        <v>30120</v>
      </c>
      <c r="D643" s="1" t="s">
        <v>530</v>
      </c>
      <c r="E643" s="1" t="s">
        <v>22</v>
      </c>
      <c r="F643" s="1" t="s">
        <v>260</v>
      </c>
      <c r="G643" s="1" t="s">
        <v>261</v>
      </c>
      <c r="H643" s="6" t="str">
        <f>VLOOKUP(A643,WorldCups!$A$2:$B$23,2,FALSE)</f>
        <v>Spain</v>
      </c>
      <c r="I643" s="1" t="s">
        <v>25</v>
      </c>
      <c r="J643" s="1">
        <v>4</v>
      </c>
      <c r="K643" s="1" t="s">
        <v>40</v>
      </c>
      <c r="L643" s="1">
        <v>1</v>
      </c>
      <c r="M643" s="1" t="s">
        <v>14</v>
      </c>
    </row>
    <row r="644" spans="1:13" hidden="1" x14ac:dyDescent="0.25">
      <c r="A644" s="1">
        <v>1982</v>
      </c>
      <c r="B644" s="1">
        <v>322</v>
      </c>
      <c r="C644" s="2">
        <v>30120</v>
      </c>
      <c r="D644" s="1" t="s">
        <v>530</v>
      </c>
      <c r="E644" s="1" t="s">
        <v>22</v>
      </c>
      <c r="F644" s="1" t="s">
        <v>260</v>
      </c>
      <c r="G644" s="1" t="s">
        <v>261</v>
      </c>
      <c r="H644" s="6" t="str">
        <f>VLOOKUP(A644,WorldCups!$A$2:$B$23,2,FALSE)</f>
        <v>Spain</v>
      </c>
      <c r="I644" s="1" t="s">
        <v>40</v>
      </c>
      <c r="J644" s="1">
        <v>1</v>
      </c>
      <c r="K644" s="1" t="s">
        <v>25</v>
      </c>
      <c r="L644" s="1">
        <v>4</v>
      </c>
      <c r="M644" s="1" t="s">
        <v>14</v>
      </c>
    </row>
    <row r="645" spans="1:13" hidden="1" x14ac:dyDescent="0.25">
      <c r="A645" s="1">
        <v>1982</v>
      </c>
      <c r="B645" s="1">
        <f>B644+1</f>
        <v>323</v>
      </c>
      <c r="C645" s="2">
        <v>30120</v>
      </c>
      <c r="D645" s="1" t="s">
        <v>530</v>
      </c>
      <c r="E645" s="1" t="s">
        <v>104</v>
      </c>
      <c r="F645" s="1" t="s">
        <v>262</v>
      </c>
      <c r="G645" s="1" t="s">
        <v>235</v>
      </c>
      <c r="H645" s="6" t="str">
        <f>VLOOKUP(A645,WorldCups!$A$2:$B$23,2,FALSE)</f>
        <v>Spain</v>
      </c>
      <c r="I645" s="1" t="s">
        <v>21</v>
      </c>
      <c r="J645" s="1">
        <v>4</v>
      </c>
      <c r="K645" s="1" t="s">
        <v>109</v>
      </c>
      <c r="L645" s="1">
        <v>1</v>
      </c>
      <c r="M645" s="1" t="s">
        <v>14</v>
      </c>
    </row>
    <row r="646" spans="1:13" hidden="1" x14ac:dyDescent="0.25">
      <c r="A646" s="1">
        <v>1982</v>
      </c>
      <c r="B646" s="1">
        <v>323</v>
      </c>
      <c r="C646" s="2">
        <v>30120</v>
      </c>
      <c r="D646" s="1" t="s">
        <v>530</v>
      </c>
      <c r="E646" s="1" t="s">
        <v>104</v>
      </c>
      <c r="F646" s="1" t="s">
        <v>262</v>
      </c>
      <c r="G646" s="1" t="s">
        <v>235</v>
      </c>
      <c r="H646" s="6" t="str">
        <f>VLOOKUP(A646,WorldCups!$A$2:$B$23,2,FALSE)</f>
        <v>Spain</v>
      </c>
      <c r="I646" s="1" t="s">
        <v>109</v>
      </c>
      <c r="J646" s="1">
        <v>1</v>
      </c>
      <c r="K646" s="1" t="s">
        <v>21</v>
      </c>
      <c r="L646" s="1">
        <v>4</v>
      </c>
      <c r="M646" s="1" t="s">
        <v>14</v>
      </c>
    </row>
    <row r="647" spans="1:13" hidden="1" x14ac:dyDescent="0.25">
      <c r="A647" s="1">
        <v>1982</v>
      </c>
      <c r="B647" s="1">
        <f>B646+1</f>
        <v>324</v>
      </c>
      <c r="C647" s="2">
        <v>30121</v>
      </c>
      <c r="D647" s="1" t="s">
        <v>526</v>
      </c>
      <c r="E647" s="1" t="s">
        <v>9</v>
      </c>
      <c r="F647" s="1" t="s">
        <v>236</v>
      </c>
      <c r="G647" s="1" t="s">
        <v>237</v>
      </c>
      <c r="H647" s="6" t="str">
        <f>VLOOKUP(A647,WorldCups!$A$2:$B$23,2,FALSE)</f>
        <v>Spain</v>
      </c>
      <c r="I647" s="1" t="s">
        <v>80</v>
      </c>
      <c r="J647" s="1">
        <v>0</v>
      </c>
      <c r="K647" s="1" t="s">
        <v>238</v>
      </c>
      <c r="L647" s="1">
        <v>0</v>
      </c>
      <c r="M647" s="1" t="s">
        <v>14</v>
      </c>
    </row>
    <row r="648" spans="1:13" hidden="1" x14ac:dyDescent="0.25">
      <c r="A648" s="1">
        <v>1982</v>
      </c>
      <c r="B648" s="1">
        <v>324</v>
      </c>
      <c r="C648" s="2">
        <v>30121</v>
      </c>
      <c r="D648" s="1" t="s">
        <v>526</v>
      </c>
      <c r="E648" s="1" t="s">
        <v>9</v>
      </c>
      <c r="F648" s="1" t="s">
        <v>236</v>
      </c>
      <c r="G648" s="1" t="s">
        <v>237</v>
      </c>
      <c r="H648" s="6" t="str">
        <f>VLOOKUP(A648,WorldCups!$A$2:$B$23,2,FALSE)</f>
        <v>Spain</v>
      </c>
      <c r="I648" s="1" t="s">
        <v>238</v>
      </c>
      <c r="J648" s="1">
        <v>0</v>
      </c>
      <c r="K648" s="1" t="s">
        <v>80</v>
      </c>
      <c r="L648" s="1">
        <v>0</v>
      </c>
      <c r="M648" s="1" t="s">
        <v>14</v>
      </c>
    </row>
    <row r="649" spans="1:13" hidden="1" x14ac:dyDescent="0.25">
      <c r="A649" s="1">
        <v>1982</v>
      </c>
      <c r="B649" s="1">
        <f>B648+1</f>
        <v>325</v>
      </c>
      <c r="C649" s="2">
        <v>30121</v>
      </c>
      <c r="D649" s="1" t="s">
        <v>530</v>
      </c>
      <c r="E649" s="1" t="s">
        <v>22</v>
      </c>
      <c r="F649" s="1" t="s">
        <v>239</v>
      </c>
      <c r="G649" s="1" t="s">
        <v>240</v>
      </c>
      <c r="H649" s="6" t="str">
        <f>VLOOKUP(A649,WorldCups!$A$2:$B$23,2,FALSE)</f>
        <v>Spain</v>
      </c>
      <c r="I649" s="1" t="s">
        <v>18</v>
      </c>
      <c r="J649" s="1">
        <v>1</v>
      </c>
      <c r="K649" s="1" t="s">
        <v>189</v>
      </c>
      <c r="L649" s="1">
        <v>0</v>
      </c>
      <c r="M649" s="1" t="s">
        <v>14</v>
      </c>
    </row>
    <row r="650" spans="1:13" hidden="1" x14ac:dyDescent="0.25">
      <c r="A650" s="1">
        <v>1982</v>
      </c>
      <c r="B650" s="1">
        <v>325</v>
      </c>
      <c r="C650" s="2">
        <v>30121</v>
      </c>
      <c r="D650" s="1" t="s">
        <v>530</v>
      </c>
      <c r="E650" s="1" t="s">
        <v>22</v>
      </c>
      <c r="F650" s="1" t="s">
        <v>239</v>
      </c>
      <c r="G650" s="1" t="s">
        <v>240</v>
      </c>
      <c r="H650" s="6" t="str">
        <f>VLOOKUP(A650,WorldCups!$A$2:$B$23,2,FALSE)</f>
        <v>Spain</v>
      </c>
      <c r="I650" s="1" t="s">
        <v>189</v>
      </c>
      <c r="J650" s="1">
        <v>0</v>
      </c>
      <c r="K650" s="1" t="s">
        <v>18</v>
      </c>
      <c r="L650" s="1">
        <v>1</v>
      </c>
      <c r="M650" s="1" t="s">
        <v>14</v>
      </c>
    </row>
    <row r="651" spans="1:13" hidden="1" x14ac:dyDescent="0.25">
      <c r="A651" s="1">
        <v>1982</v>
      </c>
      <c r="B651" s="1">
        <f>B650+1</f>
        <v>326</v>
      </c>
      <c r="C651" s="2">
        <v>30121</v>
      </c>
      <c r="D651" s="1" t="s">
        <v>530</v>
      </c>
      <c r="E651" s="1" t="s">
        <v>104</v>
      </c>
      <c r="F651" s="1" t="s">
        <v>241</v>
      </c>
      <c r="G651" s="1" t="s">
        <v>242</v>
      </c>
      <c r="H651" s="6" t="str">
        <f>VLOOKUP(A651,WorldCups!$A$2:$B$23,2,FALSE)</f>
        <v>Spain</v>
      </c>
      <c r="I651" s="1" t="s">
        <v>126</v>
      </c>
      <c r="J651" s="1">
        <v>3</v>
      </c>
      <c r="K651" s="1" t="s">
        <v>243</v>
      </c>
      <c r="L651" s="1">
        <v>0</v>
      </c>
      <c r="M651" s="1" t="s">
        <v>14</v>
      </c>
    </row>
    <row r="652" spans="1:13" hidden="1" x14ac:dyDescent="0.25">
      <c r="A652" s="1">
        <v>1982</v>
      </c>
      <c r="B652" s="1">
        <v>326</v>
      </c>
      <c r="C652" s="2">
        <v>30121</v>
      </c>
      <c r="D652" s="1" t="s">
        <v>530</v>
      </c>
      <c r="E652" s="1" t="s">
        <v>104</v>
      </c>
      <c r="F652" s="1" t="s">
        <v>241</v>
      </c>
      <c r="G652" s="1" t="s">
        <v>242</v>
      </c>
      <c r="H652" s="6" t="str">
        <f>VLOOKUP(A652,WorldCups!$A$2:$B$23,2,FALSE)</f>
        <v>Spain</v>
      </c>
      <c r="I652" s="1" t="s">
        <v>243</v>
      </c>
      <c r="J652" s="1">
        <v>0</v>
      </c>
      <c r="K652" s="1" t="s">
        <v>126</v>
      </c>
      <c r="L652" s="1">
        <v>3</v>
      </c>
      <c r="M652" s="1" t="s">
        <v>14</v>
      </c>
    </row>
    <row r="653" spans="1:13" hidden="1" x14ac:dyDescent="0.25">
      <c r="A653" s="1">
        <v>1982</v>
      </c>
      <c r="B653" s="1">
        <f>B652+1</f>
        <v>327</v>
      </c>
      <c r="C653" s="2">
        <v>30122</v>
      </c>
      <c r="D653" s="1" t="s">
        <v>529</v>
      </c>
      <c r="E653" s="1" t="s">
        <v>19</v>
      </c>
      <c r="F653" s="1" t="s">
        <v>244</v>
      </c>
      <c r="G653" s="1" t="s">
        <v>245</v>
      </c>
      <c r="H653" s="6" t="str">
        <f>VLOOKUP(A653,WorldCups!$A$2:$B$23,2,FALSE)</f>
        <v>Spain</v>
      </c>
      <c r="I653" s="1" t="s">
        <v>114</v>
      </c>
      <c r="J653" s="1">
        <v>4</v>
      </c>
      <c r="K653" s="1" t="s">
        <v>26</v>
      </c>
      <c r="L653" s="1">
        <v>1</v>
      </c>
      <c r="M653" s="1" t="s">
        <v>14</v>
      </c>
    </row>
    <row r="654" spans="1:13" hidden="1" x14ac:dyDescent="0.25">
      <c r="A654" s="1">
        <v>1982</v>
      </c>
      <c r="B654" s="1">
        <v>327</v>
      </c>
      <c r="C654" s="2">
        <v>30122</v>
      </c>
      <c r="D654" s="1" t="s">
        <v>529</v>
      </c>
      <c r="E654" s="1" t="s">
        <v>19</v>
      </c>
      <c r="F654" s="1" t="s">
        <v>244</v>
      </c>
      <c r="G654" s="1" t="s">
        <v>245</v>
      </c>
      <c r="H654" s="6" t="str">
        <f>VLOOKUP(A654,WorldCups!$A$2:$B$23,2,FALSE)</f>
        <v>Spain</v>
      </c>
      <c r="I654" s="1" t="s">
        <v>26</v>
      </c>
      <c r="J654" s="1">
        <v>1</v>
      </c>
      <c r="K654" s="1" t="s">
        <v>114</v>
      </c>
      <c r="L654" s="1">
        <v>4</v>
      </c>
      <c r="M654" s="1" t="s">
        <v>14</v>
      </c>
    </row>
    <row r="655" spans="1:13" hidden="1" x14ac:dyDescent="0.25">
      <c r="A655" s="1">
        <v>1982</v>
      </c>
      <c r="B655" s="1">
        <f>B654+1</f>
        <v>328</v>
      </c>
      <c r="C655" s="2">
        <v>30122</v>
      </c>
      <c r="D655" s="1" t="s">
        <v>529</v>
      </c>
      <c r="E655" s="1" t="s">
        <v>15</v>
      </c>
      <c r="F655" s="1" t="s">
        <v>247</v>
      </c>
      <c r="G655" s="1" t="s">
        <v>248</v>
      </c>
      <c r="H655" s="6" t="str">
        <f>VLOOKUP(A655,WorldCups!$A$2:$B$23,2,FALSE)</f>
        <v>Spain</v>
      </c>
      <c r="I655" s="1" t="s">
        <v>93</v>
      </c>
      <c r="J655" s="1">
        <v>2</v>
      </c>
      <c r="K655" s="1" t="s">
        <v>60</v>
      </c>
      <c r="L655" s="1">
        <v>0</v>
      </c>
      <c r="M655" s="1" t="s">
        <v>14</v>
      </c>
    </row>
    <row r="656" spans="1:13" hidden="1" x14ac:dyDescent="0.25">
      <c r="A656" s="1">
        <v>1982</v>
      </c>
      <c r="B656" s="1">
        <v>328</v>
      </c>
      <c r="C656" s="2">
        <v>30122</v>
      </c>
      <c r="D656" s="1" t="s">
        <v>529</v>
      </c>
      <c r="E656" s="1" t="s">
        <v>15</v>
      </c>
      <c r="F656" s="1" t="s">
        <v>247</v>
      </c>
      <c r="G656" s="1" t="s">
        <v>248</v>
      </c>
      <c r="H656" s="6" t="str">
        <f>VLOOKUP(A656,WorldCups!$A$2:$B$23,2,FALSE)</f>
        <v>Spain</v>
      </c>
      <c r="I656" s="1" t="s">
        <v>60</v>
      </c>
      <c r="J656" s="1">
        <v>0</v>
      </c>
      <c r="K656" s="1" t="s">
        <v>93</v>
      </c>
      <c r="L656" s="1">
        <v>2</v>
      </c>
      <c r="M656" s="1" t="s">
        <v>14</v>
      </c>
    </row>
    <row r="657" spans="1:13" hidden="1" x14ac:dyDescent="0.25">
      <c r="A657" s="1">
        <v>1982</v>
      </c>
      <c r="B657" s="1">
        <f>B656+1</f>
        <v>329</v>
      </c>
      <c r="C657" s="2">
        <v>30122</v>
      </c>
      <c r="D657" s="1" t="s">
        <v>530</v>
      </c>
      <c r="E657" s="1" t="s">
        <v>249</v>
      </c>
      <c r="F657" s="1" t="s">
        <v>250</v>
      </c>
      <c r="G657" s="1" t="s">
        <v>251</v>
      </c>
      <c r="H657" s="6" t="str">
        <f>VLOOKUP(A657,WorldCups!$A$2:$B$23,2,FALSE)</f>
        <v>Spain</v>
      </c>
      <c r="I657" s="1" t="s">
        <v>54</v>
      </c>
      <c r="J657" s="1">
        <v>2</v>
      </c>
      <c r="K657" s="1" t="s">
        <v>20</v>
      </c>
      <c r="L657" s="1">
        <v>1</v>
      </c>
      <c r="M657" s="1" t="s">
        <v>14</v>
      </c>
    </row>
    <row r="658" spans="1:13" hidden="1" x14ac:dyDescent="0.25">
      <c r="A658" s="1">
        <v>1982</v>
      </c>
      <c r="B658" s="1">
        <v>329</v>
      </c>
      <c r="C658" s="2">
        <v>30122</v>
      </c>
      <c r="D658" s="1" t="s">
        <v>530</v>
      </c>
      <c r="E658" s="1" t="s">
        <v>249</v>
      </c>
      <c r="F658" s="1" t="s">
        <v>250</v>
      </c>
      <c r="G658" s="1" t="s">
        <v>251</v>
      </c>
      <c r="H658" s="6" t="str">
        <f>VLOOKUP(A658,WorldCups!$A$2:$B$23,2,FALSE)</f>
        <v>Spain</v>
      </c>
      <c r="I658" s="1" t="s">
        <v>20</v>
      </c>
      <c r="J658" s="1">
        <v>1</v>
      </c>
      <c r="K658" s="1" t="s">
        <v>54</v>
      </c>
      <c r="L658" s="1">
        <v>2</v>
      </c>
      <c r="M658" s="1" t="s">
        <v>14</v>
      </c>
    </row>
    <row r="659" spans="1:13" hidden="1" x14ac:dyDescent="0.25">
      <c r="A659" s="1">
        <v>1982</v>
      </c>
      <c r="B659" s="1">
        <f>B658+1</f>
        <v>330</v>
      </c>
      <c r="C659" s="2">
        <v>30123</v>
      </c>
      <c r="D659" s="1" t="s">
        <v>529</v>
      </c>
      <c r="E659" s="1" t="s">
        <v>19</v>
      </c>
      <c r="F659" s="1" t="s">
        <v>253</v>
      </c>
      <c r="G659" s="1" t="s">
        <v>254</v>
      </c>
      <c r="H659" s="6" t="str">
        <f>VLOOKUP(A659,WorldCups!$A$2:$B$23,2,FALSE)</f>
        <v>Spain</v>
      </c>
      <c r="I659" s="1" t="s">
        <v>246</v>
      </c>
      <c r="J659" s="1">
        <v>0</v>
      </c>
      <c r="K659" s="1" t="s">
        <v>36</v>
      </c>
      <c r="L659" s="1">
        <v>2</v>
      </c>
      <c r="M659" s="1" t="s">
        <v>14</v>
      </c>
    </row>
    <row r="660" spans="1:13" hidden="1" x14ac:dyDescent="0.25">
      <c r="A660" s="1">
        <v>1982</v>
      </c>
      <c r="B660" s="1">
        <v>330</v>
      </c>
      <c r="C660" s="2">
        <v>30123</v>
      </c>
      <c r="D660" s="1" t="s">
        <v>529</v>
      </c>
      <c r="E660" s="1" t="s">
        <v>19</v>
      </c>
      <c r="F660" s="1" t="s">
        <v>253</v>
      </c>
      <c r="G660" s="1" t="s">
        <v>254</v>
      </c>
      <c r="H660" s="6" t="str">
        <f>VLOOKUP(A660,WorldCups!$A$2:$B$23,2,FALSE)</f>
        <v>Spain</v>
      </c>
      <c r="I660" s="1" t="s">
        <v>36</v>
      </c>
      <c r="J660" s="1">
        <v>2</v>
      </c>
      <c r="K660" s="1" t="s">
        <v>246</v>
      </c>
      <c r="L660" s="1">
        <v>0</v>
      </c>
      <c r="M660" s="1" t="s">
        <v>14</v>
      </c>
    </row>
    <row r="661" spans="1:13" hidden="1" x14ac:dyDescent="0.25">
      <c r="A661" s="1">
        <v>1982</v>
      </c>
      <c r="B661" s="1">
        <f>B660+1</f>
        <v>331</v>
      </c>
      <c r="C661" s="2">
        <v>30123</v>
      </c>
      <c r="D661" s="1" t="s">
        <v>529</v>
      </c>
      <c r="E661" s="1" t="s">
        <v>15</v>
      </c>
      <c r="F661" s="1" t="s">
        <v>255</v>
      </c>
      <c r="G661" s="1" t="s">
        <v>256</v>
      </c>
      <c r="H661" s="6" t="str">
        <f>VLOOKUP(A661,WorldCups!$A$2:$B$23,2,FALSE)</f>
        <v>Spain</v>
      </c>
      <c r="I661" s="1" t="s">
        <v>12</v>
      </c>
      <c r="J661" s="1">
        <v>4</v>
      </c>
      <c r="K661" s="1" t="s">
        <v>257</v>
      </c>
      <c r="L661" s="1">
        <v>1</v>
      </c>
      <c r="M661" s="1" t="s">
        <v>14</v>
      </c>
    </row>
    <row r="662" spans="1:13" hidden="1" x14ac:dyDescent="0.25">
      <c r="A662" s="1">
        <v>1982</v>
      </c>
      <c r="B662" s="1">
        <v>331</v>
      </c>
      <c r="C662" s="2">
        <v>30123</v>
      </c>
      <c r="D662" s="1" t="s">
        <v>529</v>
      </c>
      <c r="E662" s="1" t="s">
        <v>15</v>
      </c>
      <c r="F662" s="1" t="s">
        <v>255</v>
      </c>
      <c r="G662" s="1" t="s">
        <v>256</v>
      </c>
      <c r="H662" s="6" t="str">
        <f>VLOOKUP(A662,WorldCups!$A$2:$B$23,2,FALSE)</f>
        <v>Spain</v>
      </c>
      <c r="I662" s="1" t="s">
        <v>257</v>
      </c>
      <c r="J662" s="1">
        <v>1</v>
      </c>
      <c r="K662" s="1" t="s">
        <v>12</v>
      </c>
      <c r="L662" s="1">
        <v>4</v>
      </c>
      <c r="M662" s="1" t="s">
        <v>14</v>
      </c>
    </row>
    <row r="663" spans="1:13" hidden="1" x14ac:dyDescent="0.25">
      <c r="A663" s="1">
        <v>1982</v>
      </c>
      <c r="B663" s="1">
        <f>B662+1</f>
        <v>332</v>
      </c>
      <c r="C663" s="2">
        <v>30123</v>
      </c>
      <c r="D663" s="1" t="s">
        <v>530</v>
      </c>
      <c r="E663" s="1" t="s">
        <v>249</v>
      </c>
      <c r="F663" s="1" t="s">
        <v>258</v>
      </c>
      <c r="G663" s="1" t="s">
        <v>259</v>
      </c>
      <c r="H663" s="6" t="str">
        <f>VLOOKUP(A663,WorldCups!$A$2:$B$23,2,FALSE)</f>
        <v>Spain</v>
      </c>
      <c r="I663" s="1" t="s">
        <v>252</v>
      </c>
      <c r="J663" s="1">
        <v>1</v>
      </c>
      <c r="K663" s="1" t="s">
        <v>537</v>
      </c>
      <c r="L663" s="1">
        <v>1</v>
      </c>
      <c r="M663" s="1" t="s">
        <v>14</v>
      </c>
    </row>
    <row r="664" spans="1:13" hidden="1" x14ac:dyDescent="0.25">
      <c r="A664" s="1">
        <v>1982</v>
      </c>
      <c r="B664" s="1">
        <v>332</v>
      </c>
      <c r="C664" s="2">
        <v>30123</v>
      </c>
      <c r="D664" s="1" t="s">
        <v>530</v>
      </c>
      <c r="E664" s="1" t="s">
        <v>249</v>
      </c>
      <c r="F664" s="1" t="s">
        <v>258</v>
      </c>
      <c r="G664" s="1" t="s">
        <v>259</v>
      </c>
      <c r="H664" s="6" t="str">
        <f>VLOOKUP(A664,WorldCups!$A$2:$B$23,2,FALSE)</f>
        <v>Spain</v>
      </c>
      <c r="I664" s="1" t="s">
        <v>537</v>
      </c>
      <c r="J664" s="1">
        <v>1</v>
      </c>
      <c r="K664" s="1" t="s">
        <v>252</v>
      </c>
      <c r="L664" s="1">
        <v>1</v>
      </c>
      <c r="M664" s="1" t="s">
        <v>14</v>
      </c>
    </row>
    <row r="665" spans="1:13" hidden="1" x14ac:dyDescent="0.25">
      <c r="A665" s="1">
        <v>1982</v>
      </c>
      <c r="B665" s="1">
        <f>B664+1</f>
        <v>333</v>
      </c>
      <c r="C665" s="2">
        <v>30124</v>
      </c>
      <c r="D665" s="1" t="s">
        <v>529</v>
      </c>
      <c r="E665" s="1" t="s">
        <v>9</v>
      </c>
      <c r="F665" s="1" t="s">
        <v>236</v>
      </c>
      <c r="G665" s="1" t="s">
        <v>237</v>
      </c>
      <c r="H665" s="6" t="str">
        <f>VLOOKUP(A665,WorldCups!$A$2:$B$23,2,FALSE)</f>
        <v>Spain</v>
      </c>
      <c r="I665" s="1" t="s">
        <v>80</v>
      </c>
      <c r="J665" s="1">
        <v>5</v>
      </c>
      <c r="K665" s="1" t="s">
        <v>24</v>
      </c>
      <c r="L665" s="1">
        <v>1</v>
      </c>
      <c r="M665" s="1" t="s">
        <v>14</v>
      </c>
    </row>
    <row r="666" spans="1:13" hidden="1" x14ac:dyDescent="0.25">
      <c r="A666" s="1">
        <v>1982</v>
      </c>
      <c r="B666" s="1">
        <v>333</v>
      </c>
      <c r="C666" s="2">
        <v>30124</v>
      </c>
      <c r="D666" s="1" t="s">
        <v>529</v>
      </c>
      <c r="E666" s="1" t="s">
        <v>9</v>
      </c>
      <c r="F666" s="1" t="s">
        <v>236</v>
      </c>
      <c r="G666" s="1" t="s">
        <v>237</v>
      </c>
      <c r="H666" s="6" t="str">
        <f>VLOOKUP(A666,WorldCups!$A$2:$B$23,2,FALSE)</f>
        <v>Spain</v>
      </c>
      <c r="I666" s="1" t="s">
        <v>24</v>
      </c>
      <c r="J666" s="1">
        <v>1</v>
      </c>
      <c r="K666" s="1" t="s">
        <v>80</v>
      </c>
      <c r="L666" s="1">
        <v>5</v>
      </c>
      <c r="M666" s="1" t="s">
        <v>14</v>
      </c>
    </row>
    <row r="667" spans="1:13" hidden="1" x14ac:dyDescent="0.25">
      <c r="A667" s="1">
        <v>1982</v>
      </c>
      <c r="B667" s="1">
        <f>B666+1</f>
        <v>334</v>
      </c>
      <c r="C667" s="2">
        <v>30124</v>
      </c>
      <c r="D667" s="1" t="s">
        <v>530</v>
      </c>
      <c r="E667" s="1" t="s">
        <v>22</v>
      </c>
      <c r="F667" s="1" t="s">
        <v>239</v>
      </c>
      <c r="G667" s="1" t="s">
        <v>240</v>
      </c>
      <c r="H667" s="6" t="str">
        <f>VLOOKUP(A667,WorldCups!$A$2:$B$23,2,FALSE)</f>
        <v>Spain</v>
      </c>
      <c r="I667" s="1" t="s">
        <v>18</v>
      </c>
      <c r="J667" s="1">
        <v>1</v>
      </c>
      <c r="K667" s="1" t="s">
        <v>40</v>
      </c>
      <c r="L667" s="1">
        <v>1</v>
      </c>
      <c r="M667" s="1" t="s">
        <v>14</v>
      </c>
    </row>
    <row r="668" spans="1:13" hidden="1" x14ac:dyDescent="0.25">
      <c r="A668" s="1">
        <v>1982</v>
      </c>
      <c r="B668" s="1">
        <v>334</v>
      </c>
      <c r="C668" s="2">
        <v>30124</v>
      </c>
      <c r="D668" s="1" t="s">
        <v>530</v>
      </c>
      <c r="E668" s="1" t="s">
        <v>22</v>
      </c>
      <c r="F668" s="1" t="s">
        <v>239</v>
      </c>
      <c r="G668" s="1" t="s">
        <v>240</v>
      </c>
      <c r="H668" s="6" t="str">
        <f>VLOOKUP(A668,WorldCups!$A$2:$B$23,2,FALSE)</f>
        <v>Spain</v>
      </c>
      <c r="I668" s="1" t="s">
        <v>40</v>
      </c>
      <c r="J668" s="1">
        <v>1</v>
      </c>
      <c r="K668" s="1" t="s">
        <v>18</v>
      </c>
      <c r="L668" s="1">
        <v>1</v>
      </c>
      <c r="M668" s="1" t="s">
        <v>14</v>
      </c>
    </row>
    <row r="669" spans="1:13" hidden="1" x14ac:dyDescent="0.25">
      <c r="A669" s="1">
        <v>1982</v>
      </c>
      <c r="B669" s="1">
        <f>B668+1</f>
        <v>335</v>
      </c>
      <c r="C669" s="2">
        <v>30124</v>
      </c>
      <c r="D669" s="1" t="s">
        <v>530</v>
      </c>
      <c r="E669" s="1" t="s">
        <v>104</v>
      </c>
      <c r="F669" s="1" t="s">
        <v>241</v>
      </c>
      <c r="G669" s="1" t="s">
        <v>242</v>
      </c>
      <c r="H669" s="6" t="str">
        <f>VLOOKUP(A669,WorldCups!$A$2:$B$23,2,FALSE)</f>
        <v>Spain</v>
      </c>
      <c r="I669" s="1" t="s">
        <v>126</v>
      </c>
      <c r="J669" s="1">
        <v>2</v>
      </c>
      <c r="K669" s="1" t="s">
        <v>109</v>
      </c>
      <c r="L669" s="1">
        <v>2</v>
      </c>
      <c r="M669" s="1" t="s">
        <v>14</v>
      </c>
    </row>
    <row r="670" spans="1:13" hidden="1" x14ac:dyDescent="0.25">
      <c r="A670" s="1">
        <v>1982</v>
      </c>
      <c r="B670" s="1">
        <v>335</v>
      </c>
      <c r="C670" s="2">
        <v>30124</v>
      </c>
      <c r="D670" s="1" t="s">
        <v>530</v>
      </c>
      <c r="E670" s="1" t="s">
        <v>104</v>
      </c>
      <c r="F670" s="1" t="s">
        <v>241</v>
      </c>
      <c r="G670" s="1" t="s">
        <v>242</v>
      </c>
      <c r="H670" s="6" t="str">
        <f>VLOOKUP(A670,WorldCups!$A$2:$B$23,2,FALSE)</f>
        <v>Spain</v>
      </c>
      <c r="I670" s="1" t="s">
        <v>109</v>
      </c>
      <c r="J670" s="1">
        <v>2</v>
      </c>
      <c r="K670" s="1" t="s">
        <v>126</v>
      </c>
      <c r="L670" s="1">
        <v>2</v>
      </c>
      <c r="M670" s="1" t="s">
        <v>14</v>
      </c>
    </row>
    <row r="671" spans="1:13" hidden="1" x14ac:dyDescent="0.25">
      <c r="A671" s="1">
        <v>1982</v>
      </c>
      <c r="B671" s="1">
        <f>B670+1</f>
        <v>336</v>
      </c>
      <c r="C671" s="2">
        <v>30125</v>
      </c>
      <c r="D671" s="1" t="s">
        <v>529</v>
      </c>
      <c r="E671" s="1" t="s">
        <v>9</v>
      </c>
      <c r="F671" s="1" t="s">
        <v>232</v>
      </c>
      <c r="G671" s="1" t="s">
        <v>233</v>
      </c>
      <c r="H671" s="6" t="str">
        <f>VLOOKUP(A671,WorldCups!$A$2:$B$23,2,FALSE)</f>
        <v>Spain</v>
      </c>
      <c r="I671" s="1" t="s">
        <v>57</v>
      </c>
      <c r="J671" s="1">
        <v>1</v>
      </c>
      <c r="K671" s="1" t="s">
        <v>238</v>
      </c>
      <c r="L671" s="1">
        <v>1</v>
      </c>
      <c r="M671" s="1" t="s">
        <v>14</v>
      </c>
    </row>
    <row r="672" spans="1:13" hidden="1" x14ac:dyDescent="0.25">
      <c r="A672" s="1">
        <v>1982</v>
      </c>
      <c r="B672" s="1">
        <v>336</v>
      </c>
      <c r="C672" s="2">
        <v>30125</v>
      </c>
      <c r="D672" s="1" t="s">
        <v>529</v>
      </c>
      <c r="E672" s="1" t="s">
        <v>9</v>
      </c>
      <c r="F672" s="1" t="s">
        <v>232</v>
      </c>
      <c r="G672" s="1" t="s">
        <v>233</v>
      </c>
      <c r="H672" s="6" t="str">
        <f>VLOOKUP(A672,WorldCups!$A$2:$B$23,2,FALSE)</f>
        <v>Spain</v>
      </c>
      <c r="I672" s="1" t="s">
        <v>238</v>
      </c>
      <c r="J672" s="1">
        <v>1</v>
      </c>
      <c r="K672" s="1" t="s">
        <v>57</v>
      </c>
      <c r="L672" s="1">
        <v>1</v>
      </c>
      <c r="M672" s="1" t="s">
        <v>14</v>
      </c>
    </row>
    <row r="673" spans="1:13" hidden="1" x14ac:dyDescent="0.25">
      <c r="A673" s="1">
        <v>1982</v>
      </c>
      <c r="B673" s="1">
        <f>B672+1</f>
        <v>337</v>
      </c>
      <c r="C673" s="2">
        <v>30125</v>
      </c>
      <c r="D673" s="1" t="s">
        <v>530</v>
      </c>
      <c r="E673" s="1" t="s">
        <v>22</v>
      </c>
      <c r="F673" s="1" t="s">
        <v>260</v>
      </c>
      <c r="G673" s="1" t="s">
        <v>261</v>
      </c>
      <c r="H673" s="6" t="str">
        <f>VLOOKUP(A673,WorldCups!$A$2:$B$23,2,FALSE)</f>
        <v>Spain</v>
      </c>
      <c r="I673" s="1" t="s">
        <v>25</v>
      </c>
      <c r="J673" s="1">
        <v>2</v>
      </c>
      <c r="K673" s="1" t="s">
        <v>189</v>
      </c>
      <c r="L673" s="1">
        <v>0</v>
      </c>
      <c r="M673" s="1" t="s">
        <v>14</v>
      </c>
    </row>
    <row r="674" spans="1:13" hidden="1" x14ac:dyDescent="0.25">
      <c r="A674" s="1">
        <v>1982</v>
      </c>
      <c r="B674" s="1">
        <v>337</v>
      </c>
      <c r="C674" s="2">
        <v>30125</v>
      </c>
      <c r="D674" s="1" t="s">
        <v>530</v>
      </c>
      <c r="E674" s="1" t="s">
        <v>22</v>
      </c>
      <c r="F674" s="1" t="s">
        <v>260</v>
      </c>
      <c r="G674" s="1" t="s">
        <v>261</v>
      </c>
      <c r="H674" s="6" t="str">
        <f>VLOOKUP(A674,WorldCups!$A$2:$B$23,2,FALSE)</f>
        <v>Spain</v>
      </c>
      <c r="I674" s="1" t="s">
        <v>189</v>
      </c>
      <c r="J674" s="1">
        <v>0</v>
      </c>
      <c r="K674" s="1" t="s">
        <v>25</v>
      </c>
      <c r="L674" s="1">
        <v>2</v>
      </c>
      <c r="M674" s="1" t="s">
        <v>14</v>
      </c>
    </row>
    <row r="675" spans="1:13" hidden="1" x14ac:dyDescent="0.25">
      <c r="A675" s="1">
        <v>1982</v>
      </c>
      <c r="B675" s="1">
        <f>B674+1</f>
        <v>338</v>
      </c>
      <c r="C675" s="2">
        <v>30125</v>
      </c>
      <c r="D675" s="1" t="s">
        <v>530</v>
      </c>
      <c r="E675" s="1" t="s">
        <v>104</v>
      </c>
      <c r="F675" s="1" t="s">
        <v>262</v>
      </c>
      <c r="G675" s="1" t="s">
        <v>235</v>
      </c>
      <c r="H675" s="6" t="str">
        <f>VLOOKUP(A675,WorldCups!$A$2:$B$23,2,FALSE)</f>
        <v>Spain</v>
      </c>
      <c r="I675" s="1" t="s">
        <v>21</v>
      </c>
      <c r="J675" s="1">
        <v>4</v>
      </c>
      <c r="K675" s="1" t="s">
        <v>243</v>
      </c>
      <c r="L675" s="1">
        <v>0</v>
      </c>
      <c r="M675" s="1" t="s">
        <v>14</v>
      </c>
    </row>
    <row r="676" spans="1:13" hidden="1" x14ac:dyDescent="0.25">
      <c r="A676" s="1">
        <v>1982</v>
      </c>
      <c r="B676" s="1">
        <v>338</v>
      </c>
      <c r="C676" s="2">
        <v>30125</v>
      </c>
      <c r="D676" s="1" t="s">
        <v>530</v>
      </c>
      <c r="E676" s="1" t="s">
        <v>104</v>
      </c>
      <c r="F676" s="1" t="s">
        <v>262</v>
      </c>
      <c r="G676" s="1" t="s">
        <v>235</v>
      </c>
      <c r="H676" s="6" t="str">
        <f>VLOOKUP(A676,WorldCups!$A$2:$B$23,2,FALSE)</f>
        <v>Spain</v>
      </c>
      <c r="I676" s="1" t="s">
        <v>243</v>
      </c>
      <c r="J676" s="1">
        <v>0</v>
      </c>
      <c r="K676" s="1" t="s">
        <v>21</v>
      </c>
      <c r="L676" s="1">
        <v>4</v>
      </c>
      <c r="M676" s="1" t="s">
        <v>14</v>
      </c>
    </row>
    <row r="677" spans="1:13" hidden="1" x14ac:dyDescent="0.25">
      <c r="A677" s="1">
        <v>1982</v>
      </c>
      <c r="B677" s="1">
        <f>B676+1</f>
        <v>339</v>
      </c>
      <c r="C677" s="2">
        <v>30126</v>
      </c>
      <c r="D677" s="1" t="s">
        <v>529</v>
      </c>
      <c r="E677" s="1" t="s">
        <v>19</v>
      </c>
      <c r="F677" s="1" t="s">
        <v>253</v>
      </c>
      <c r="G677" s="1" t="s">
        <v>254</v>
      </c>
      <c r="H677" s="6" t="str">
        <f>VLOOKUP(A677,WorldCups!$A$2:$B$23,2,FALSE)</f>
        <v>Spain</v>
      </c>
      <c r="I677" s="1" t="s">
        <v>246</v>
      </c>
      <c r="J677" s="1">
        <v>3</v>
      </c>
      <c r="K677" s="1" t="s">
        <v>26</v>
      </c>
      <c r="L677" s="1">
        <v>2</v>
      </c>
      <c r="M677" s="1" t="s">
        <v>14</v>
      </c>
    </row>
    <row r="678" spans="1:13" hidden="1" x14ac:dyDescent="0.25">
      <c r="A678" s="1">
        <v>1982</v>
      </c>
      <c r="B678" s="1">
        <v>339</v>
      </c>
      <c r="C678" s="2">
        <v>30126</v>
      </c>
      <c r="D678" s="1" t="s">
        <v>529</v>
      </c>
      <c r="E678" s="1" t="s">
        <v>19</v>
      </c>
      <c r="F678" s="1" t="s">
        <v>253</v>
      </c>
      <c r="G678" s="1" t="s">
        <v>254</v>
      </c>
      <c r="H678" s="6" t="str">
        <f>VLOOKUP(A678,WorldCups!$A$2:$B$23,2,FALSE)</f>
        <v>Spain</v>
      </c>
      <c r="I678" s="1" t="s">
        <v>26</v>
      </c>
      <c r="J678" s="1">
        <v>2</v>
      </c>
      <c r="K678" s="1" t="s">
        <v>246</v>
      </c>
      <c r="L678" s="1">
        <v>3</v>
      </c>
      <c r="M678" s="1" t="s">
        <v>14</v>
      </c>
    </row>
    <row r="679" spans="1:13" hidden="1" x14ac:dyDescent="0.25">
      <c r="A679" s="1">
        <v>1982</v>
      </c>
      <c r="B679" s="1">
        <f>B678+1</f>
        <v>340</v>
      </c>
      <c r="C679" s="2">
        <v>30126</v>
      </c>
      <c r="D679" s="1" t="s">
        <v>529</v>
      </c>
      <c r="E679" s="1" t="s">
        <v>15</v>
      </c>
      <c r="F679" s="1" t="s">
        <v>255</v>
      </c>
      <c r="G679" s="1" t="s">
        <v>256</v>
      </c>
      <c r="H679" s="6" t="str">
        <f>VLOOKUP(A679,WorldCups!$A$2:$B$23,2,FALSE)</f>
        <v>Spain</v>
      </c>
      <c r="I679" s="1" t="s">
        <v>12</v>
      </c>
      <c r="J679" s="1">
        <v>1</v>
      </c>
      <c r="K679" s="1" t="s">
        <v>60</v>
      </c>
      <c r="L679" s="1">
        <v>1</v>
      </c>
      <c r="M679" s="1" t="s">
        <v>14</v>
      </c>
    </row>
    <row r="680" spans="1:13" hidden="1" x14ac:dyDescent="0.25">
      <c r="A680" s="1">
        <v>1982</v>
      </c>
      <c r="B680" s="1">
        <v>340</v>
      </c>
      <c r="C680" s="2">
        <v>30126</v>
      </c>
      <c r="D680" s="1" t="s">
        <v>529</v>
      </c>
      <c r="E680" s="1" t="s">
        <v>15</v>
      </c>
      <c r="F680" s="1" t="s">
        <v>255</v>
      </c>
      <c r="G680" s="1" t="s">
        <v>256</v>
      </c>
      <c r="H680" s="6" t="str">
        <f>VLOOKUP(A680,WorldCups!$A$2:$B$23,2,FALSE)</f>
        <v>Spain</v>
      </c>
      <c r="I680" s="1" t="s">
        <v>60</v>
      </c>
      <c r="J680" s="1">
        <v>1</v>
      </c>
      <c r="K680" s="1" t="s">
        <v>12</v>
      </c>
      <c r="L680" s="1">
        <v>1</v>
      </c>
      <c r="M680" s="1" t="s">
        <v>14</v>
      </c>
    </row>
    <row r="681" spans="1:13" hidden="1" x14ac:dyDescent="0.25">
      <c r="A681" s="1">
        <v>1982</v>
      </c>
      <c r="B681" s="1">
        <f>B680+1</f>
        <v>341</v>
      </c>
      <c r="C681" s="2">
        <v>30126</v>
      </c>
      <c r="D681" s="1" t="s">
        <v>530</v>
      </c>
      <c r="E681" s="1" t="s">
        <v>249</v>
      </c>
      <c r="F681" s="1" t="s">
        <v>258</v>
      </c>
      <c r="G681" s="1" t="s">
        <v>259</v>
      </c>
      <c r="H681" s="6" t="str">
        <f>VLOOKUP(A681,WorldCups!$A$2:$B$23,2,FALSE)</f>
        <v>Spain</v>
      </c>
      <c r="I681" s="1" t="s">
        <v>252</v>
      </c>
      <c r="J681" s="1">
        <v>0</v>
      </c>
      <c r="K681" s="1" t="s">
        <v>20</v>
      </c>
      <c r="L681" s="1">
        <v>1</v>
      </c>
      <c r="M681" s="1" t="s">
        <v>14</v>
      </c>
    </row>
    <row r="682" spans="1:13" hidden="1" x14ac:dyDescent="0.25">
      <c r="A682" s="1">
        <v>1982</v>
      </c>
      <c r="B682" s="1">
        <v>341</v>
      </c>
      <c r="C682" s="2">
        <v>30126</v>
      </c>
      <c r="D682" s="1" t="s">
        <v>530</v>
      </c>
      <c r="E682" s="1" t="s">
        <v>249</v>
      </c>
      <c r="F682" s="1" t="s">
        <v>258</v>
      </c>
      <c r="G682" s="1" t="s">
        <v>259</v>
      </c>
      <c r="H682" s="6" t="str">
        <f>VLOOKUP(A682,WorldCups!$A$2:$B$23,2,FALSE)</f>
        <v>Spain</v>
      </c>
      <c r="I682" s="1" t="s">
        <v>20</v>
      </c>
      <c r="J682" s="1">
        <v>1</v>
      </c>
      <c r="K682" s="1" t="s">
        <v>252</v>
      </c>
      <c r="L682" s="1">
        <v>0</v>
      </c>
      <c r="M682" s="1" t="s">
        <v>14</v>
      </c>
    </row>
    <row r="683" spans="1:13" hidden="1" x14ac:dyDescent="0.25">
      <c r="A683" s="1">
        <v>1982</v>
      </c>
      <c r="B683" s="1">
        <f>B682+1</f>
        <v>342</v>
      </c>
      <c r="C683" s="2">
        <v>30127</v>
      </c>
      <c r="D683" s="1" t="s">
        <v>529</v>
      </c>
      <c r="E683" s="1" t="s">
        <v>19</v>
      </c>
      <c r="F683" s="1" t="s">
        <v>244</v>
      </c>
      <c r="G683" s="1" t="s">
        <v>245</v>
      </c>
      <c r="H683" s="6" t="str">
        <f>VLOOKUP(A683,WorldCups!$A$2:$B$23,2,FALSE)</f>
        <v>Spain</v>
      </c>
      <c r="I683" s="1" t="s">
        <v>114</v>
      </c>
      <c r="J683" s="1">
        <v>1</v>
      </c>
      <c r="K683" s="1" t="s">
        <v>36</v>
      </c>
      <c r="L683" s="1">
        <v>0</v>
      </c>
      <c r="M683" s="1" t="s">
        <v>14</v>
      </c>
    </row>
    <row r="684" spans="1:13" hidden="1" x14ac:dyDescent="0.25">
      <c r="A684" s="1">
        <v>1982</v>
      </c>
      <c r="B684" s="1">
        <v>342</v>
      </c>
      <c r="C684" s="2">
        <v>30127</v>
      </c>
      <c r="D684" s="1" t="s">
        <v>529</v>
      </c>
      <c r="E684" s="1" t="s">
        <v>19</v>
      </c>
      <c r="F684" s="1" t="s">
        <v>244</v>
      </c>
      <c r="G684" s="1" t="s">
        <v>245</v>
      </c>
      <c r="H684" s="6" t="str">
        <f>VLOOKUP(A684,WorldCups!$A$2:$B$23,2,FALSE)</f>
        <v>Spain</v>
      </c>
      <c r="I684" s="1" t="s">
        <v>36</v>
      </c>
      <c r="J684" s="1">
        <v>0</v>
      </c>
      <c r="K684" s="1" t="s">
        <v>114</v>
      </c>
      <c r="L684" s="1">
        <v>1</v>
      </c>
      <c r="M684" s="1" t="s">
        <v>14</v>
      </c>
    </row>
    <row r="685" spans="1:13" hidden="1" x14ac:dyDescent="0.25">
      <c r="A685" s="1">
        <v>1982</v>
      </c>
      <c r="B685" s="1">
        <f>B684+1</f>
        <v>343</v>
      </c>
      <c r="C685" s="2">
        <v>30127</v>
      </c>
      <c r="D685" s="1" t="s">
        <v>529</v>
      </c>
      <c r="E685" s="1" t="s">
        <v>15</v>
      </c>
      <c r="F685" s="1" t="s">
        <v>247</v>
      </c>
      <c r="G685" s="1" t="s">
        <v>248</v>
      </c>
      <c r="H685" s="6" t="str">
        <f>VLOOKUP(A685,WorldCups!$A$2:$B$23,2,FALSE)</f>
        <v>Spain</v>
      </c>
      <c r="I685" s="1" t="s">
        <v>93</v>
      </c>
      <c r="J685" s="1">
        <v>1</v>
      </c>
      <c r="K685" s="1" t="s">
        <v>257</v>
      </c>
      <c r="L685" s="1">
        <v>0</v>
      </c>
      <c r="M685" s="1" t="s">
        <v>14</v>
      </c>
    </row>
    <row r="686" spans="1:13" hidden="1" x14ac:dyDescent="0.25">
      <c r="A686" s="1">
        <v>1982</v>
      </c>
      <c r="B686" s="1">
        <v>343</v>
      </c>
      <c r="C686" s="2">
        <v>30127</v>
      </c>
      <c r="D686" s="1" t="s">
        <v>529</v>
      </c>
      <c r="E686" s="1" t="s">
        <v>15</v>
      </c>
      <c r="F686" s="1" t="s">
        <v>247</v>
      </c>
      <c r="G686" s="1" t="s">
        <v>248</v>
      </c>
      <c r="H686" s="6" t="str">
        <f>VLOOKUP(A686,WorldCups!$A$2:$B$23,2,FALSE)</f>
        <v>Spain</v>
      </c>
      <c r="I686" s="1" t="s">
        <v>257</v>
      </c>
      <c r="J686" s="1">
        <v>0</v>
      </c>
      <c r="K686" s="1" t="s">
        <v>93</v>
      </c>
      <c r="L686" s="1">
        <v>1</v>
      </c>
      <c r="M686" s="1" t="s">
        <v>14</v>
      </c>
    </row>
    <row r="687" spans="1:13" hidden="1" x14ac:dyDescent="0.25">
      <c r="A687" s="1">
        <v>1982</v>
      </c>
      <c r="B687" s="1">
        <f>B686+1</f>
        <v>344</v>
      </c>
      <c r="C687" s="2">
        <v>30127</v>
      </c>
      <c r="D687" s="1" t="s">
        <v>530</v>
      </c>
      <c r="E687" s="1" t="s">
        <v>249</v>
      </c>
      <c r="F687" s="1" t="s">
        <v>250</v>
      </c>
      <c r="G687" s="1" t="s">
        <v>251</v>
      </c>
      <c r="H687" s="6" t="str">
        <f>VLOOKUP(A687,WorldCups!$A$2:$B$23,2,FALSE)</f>
        <v>Spain</v>
      </c>
      <c r="I687" s="1" t="s">
        <v>537</v>
      </c>
      <c r="J687" s="1">
        <v>1</v>
      </c>
      <c r="K687" s="1" t="s">
        <v>54</v>
      </c>
      <c r="L687" s="1">
        <v>0</v>
      </c>
      <c r="M687" s="1" t="s">
        <v>14</v>
      </c>
    </row>
    <row r="688" spans="1:13" hidden="1" x14ac:dyDescent="0.25">
      <c r="A688" s="1">
        <v>1982</v>
      </c>
      <c r="B688" s="1">
        <v>344</v>
      </c>
      <c r="C688" s="2">
        <v>30127</v>
      </c>
      <c r="D688" s="1" t="s">
        <v>530</v>
      </c>
      <c r="E688" s="1" t="s">
        <v>249</v>
      </c>
      <c r="F688" s="1" t="s">
        <v>250</v>
      </c>
      <c r="G688" s="1" t="s">
        <v>251</v>
      </c>
      <c r="H688" s="6" t="str">
        <f>VLOOKUP(A688,WorldCups!$A$2:$B$23,2,FALSE)</f>
        <v>Spain</v>
      </c>
      <c r="I688" s="1" t="s">
        <v>54</v>
      </c>
      <c r="J688" s="1">
        <v>0</v>
      </c>
      <c r="K688" s="1" t="s">
        <v>537</v>
      </c>
      <c r="L688" s="1">
        <v>1</v>
      </c>
      <c r="M688" s="1" t="s">
        <v>14</v>
      </c>
    </row>
    <row r="689" spans="1:13" hidden="1" x14ac:dyDescent="0.25">
      <c r="A689" s="1">
        <v>1982</v>
      </c>
      <c r="B689" s="1">
        <f>B688+1</f>
        <v>345</v>
      </c>
      <c r="C689" s="2">
        <v>30130</v>
      </c>
      <c r="D689" s="1" t="s">
        <v>529</v>
      </c>
      <c r="E689" s="1" t="s">
        <v>15</v>
      </c>
      <c r="F689" s="1" t="s">
        <v>263</v>
      </c>
      <c r="G689" s="1" t="s">
        <v>264</v>
      </c>
      <c r="H689" s="6" t="str">
        <f>VLOOKUP(A689,WorldCups!$A$2:$B$23,2,FALSE)</f>
        <v>Spain</v>
      </c>
      <c r="I689" s="1" t="s">
        <v>36</v>
      </c>
      <c r="J689" s="1">
        <v>0</v>
      </c>
      <c r="K689" s="1" t="s">
        <v>12</v>
      </c>
      <c r="L689" s="1">
        <v>1</v>
      </c>
      <c r="M689" s="1" t="s">
        <v>14</v>
      </c>
    </row>
    <row r="690" spans="1:13" hidden="1" x14ac:dyDescent="0.25">
      <c r="A690" s="1">
        <v>1982</v>
      </c>
      <c r="B690" s="1">
        <v>345</v>
      </c>
      <c r="C690" s="2">
        <v>30130</v>
      </c>
      <c r="D690" s="1" t="s">
        <v>529</v>
      </c>
      <c r="E690" s="1" t="s">
        <v>15</v>
      </c>
      <c r="F690" s="1" t="s">
        <v>263</v>
      </c>
      <c r="G690" s="1" t="s">
        <v>264</v>
      </c>
      <c r="H690" s="6" t="str">
        <f>VLOOKUP(A690,WorldCups!$A$2:$B$23,2,FALSE)</f>
        <v>Spain</v>
      </c>
      <c r="I690" s="1" t="s">
        <v>12</v>
      </c>
      <c r="J690" s="1">
        <v>1</v>
      </c>
      <c r="K690" s="1" t="s">
        <v>36</v>
      </c>
      <c r="L690" s="1">
        <v>0</v>
      </c>
      <c r="M690" s="1" t="s">
        <v>14</v>
      </c>
    </row>
    <row r="691" spans="1:13" hidden="1" x14ac:dyDescent="0.25">
      <c r="A691" s="1">
        <v>1982</v>
      </c>
      <c r="B691" s="1">
        <f>B690+1</f>
        <v>346</v>
      </c>
      <c r="C691" s="2">
        <v>30130</v>
      </c>
      <c r="D691" s="1" t="s">
        <v>530</v>
      </c>
      <c r="E691" s="1" t="s">
        <v>9</v>
      </c>
      <c r="F691" s="1" t="s">
        <v>230</v>
      </c>
      <c r="G691" s="1" t="s">
        <v>231</v>
      </c>
      <c r="H691" s="6" t="str">
        <f>VLOOKUP(A691,WorldCups!$A$2:$B$23,2,FALSE)</f>
        <v>Spain</v>
      </c>
      <c r="I691" s="1" t="s">
        <v>80</v>
      </c>
      <c r="J691" s="1">
        <v>3</v>
      </c>
      <c r="K691" s="1" t="s">
        <v>18</v>
      </c>
      <c r="L691" s="1">
        <v>0</v>
      </c>
      <c r="M691" s="1" t="s">
        <v>14</v>
      </c>
    </row>
    <row r="692" spans="1:13" hidden="1" x14ac:dyDescent="0.25">
      <c r="A692" s="1">
        <v>1982</v>
      </c>
      <c r="B692" s="1">
        <v>346</v>
      </c>
      <c r="C692" s="2">
        <v>30130</v>
      </c>
      <c r="D692" s="1" t="s">
        <v>530</v>
      </c>
      <c r="E692" s="1" t="s">
        <v>9</v>
      </c>
      <c r="F692" s="1" t="s">
        <v>230</v>
      </c>
      <c r="G692" s="1" t="s">
        <v>231</v>
      </c>
      <c r="H692" s="6" t="str">
        <f>VLOOKUP(A692,WorldCups!$A$2:$B$23,2,FALSE)</f>
        <v>Spain</v>
      </c>
      <c r="I692" s="1" t="s">
        <v>18</v>
      </c>
      <c r="J692" s="1">
        <v>0</v>
      </c>
      <c r="K692" s="1" t="s">
        <v>80</v>
      </c>
      <c r="L692" s="1">
        <v>3</v>
      </c>
      <c r="M692" s="1" t="s">
        <v>14</v>
      </c>
    </row>
    <row r="693" spans="1:13" hidden="1" x14ac:dyDescent="0.25">
      <c r="A693" s="1">
        <v>1982</v>
      </c>
      <c r="B693" s="1">
        <f>B692+1</f>
        <v>347</v>
      </c>
      <c r="C693" s="2">
        <v>30131</v>
      </c>
      <c r="D693" s="1" t="s">
        <v>529</v>
      </c>
      <c r="E693" s="1" t="s">
        <v>22</v>
      </c>
      <c r="F693" s="1" t="s">
        <v>265</v>
      </c>
      <c r="G693" s="1" t="s">
        <v>231</v>
      </c>
      <c r="H693" s="6" t="str">
        <f>VLOOKUP(A693,WorldCups!$A$2:$B$23,2,FALSE)</f>
        <v>Spain</v>
      </c>
      <c r="I693" s="1" t="s">
        <v>57</v>
      </c>
      <c r="J693" s="1">
        <v>2</v>
      </c>
      <c r="K693" s="1" t="s">
        <v>25</v>
      </c>
      <c r="L693" s="1">
        <v>1</v>
      </c>
      <c r="M693" s="1" t="s">
        <v>14</v>
      </c>
    </row>
    <row r="694" spans="1:13" hidden="1" x14ac:dyDescent="0.25">
      <c r="A694" s="1">
        <v>1982</v>
      </c>
      <c r="B694" s="1">
        <v>347</v>
      </c>
      <c r="C694" s="2">
        <v>30131</v>
      </c>
      <c r="D694" s="1" t="s">
        <v>529</v>
      </c>
      <c r="E694" s="1" t="s">
        <v>22</v>
      </c>
      <c r="F694" s="1" t="s">
        <v>265</v>
      </c>
      <c r="G694" s="1" t="s">
        <v>231</v>
      </c>
      <c r="H694" s="6" t="str">
        <f>VLOOKUP(A694,WorldCups!$A$2:$B$23,2,FALSE)</f>
        <v>Spain</v>
      </c>
      <c r="I694" s="1" t="s">
        <v>25</v>
      </c>
      <c r="J694" s="1">
        <v>1</v>
      </c>
      <c r="K694" s="1" t="s">
        <v>57</v>
      </c>
      <c r="L694" s="1">
        <v>2</v>
      </c>
      <c r="M694" s="1" t="s">
        <v>14</v>
      </c>
    </row>
    <row r="695" spans="1:13" hidden="1" x14ac:dyDescent="0.25">
      <c r="A695" s="1">
        <v>1982</v>
      </c>
      <c r="B695" s="1">
        <f>B694+1</f>
        <v>348</v>
      </c>
      <c r="C695" s="2">
        <v>30131</v>
      </c>
      <c r="D695" s="1" t="s">
        <v>530</v>
      </c>
      <c r="E695" s="1" t="s">
        <v>19</v>
      </c>
      <c r="F695" s="1" t="s">
        <v>266</v>
      </c>
      <c r="G695" s="1" t="s">
        <v>264</v>
      </c>
      <c r="H695" s="6" t="str">
        <f>VLOOKUP(A695,WorldCups!$A$2:$B$23,2,FALSE)</f>
        <v>Spain</v>
      </c>
      <c r="I695" s="1" t="s">
        <v>114</v>
      </c>
      <c r="J695" s="1">
        <v>0</v>
      </c>
      <c r="K695" s="1" t="s">
        <v>93</v>
      </c>
      <c r="L695" s="1">
        <v>0</v>
      </c>
      <c r="M695" s="1" t="s">
        <v>14</v>
      </c>
    </row>
    <row r="696" spans="1:13" hidden="1" x14ac:dyDescent="0.25">
      <c r="A696" s="1">
        <v>1982</v>
      </c>
      <c r="B696" s="1">
        <v>348</v>
      </c>
      <c r="C696" s="2">
        <v>30131</v>
      </c>
      <c r="D696" s="1" t="s">
        <v>530</v>
      </c>
      <c r="E696" s="1" t="s">
        <v>19</v>
      </c>
      <c r="F696" s="1" t="s">
        <v>266</v>
      </c>
      <c r="G696" s="1" t="s">
        <v>264</v>
      </c>
      <c r="H696" s="6" t="str">
        <f>VLOOKUP(A696,WorldCups!$A$2:$B$23,2,FALSE)</f>
        <v>Spain</v>
      </c>
      <c r="I696" s="1" t="s">
        <v>93</v>
      </c>
      <c r="J696" s="1">
        <v>0</v>
      </c>
      <c r="K696" s="1" t="s">
        <v>114</v>
      </c>
      <c r="L696" s="1">
        <v>0</v>
      </c>
      <c r="M696" s="1" t="s">
        <v>14</v>
      </c>
    </row>
    <row r="697" spans="1:13" hidden="1" x14ac:dyDescent="0.25">
      <c r="A697" s="1">
        <v>1982</v>
      </c>
      <c r="B697" s="1">
        <f>B696+1</f>
        <v>349</v>
      </c>
      <c r="C697" s="2">
        <v>30133</v>
      </c>
      <c r="D697" s="1" t="s">
        <v>529</v>
      </c>
      <c r="E697" s="1" t="s">
        <v>15</v>
      </c>
      <c r="F697" s="1" t="s">
        <v>263</v>
      </c>
      <c r="G697" s="1" t="s">
        <v>264</v>
      </c>
      <c r="H697" s="6" t="str">
        <f>VLOOKUP(A697,WorldCups!$A$2:$B$23,2,FALSE)</f>
        <v>Spain</v>
      </c>
      <c r="I697" s="1" t="s">
        <v>36</v>
      </c>
      <c r="J697" s="1">
        <v>2</v>
      </c>
      <c r="K697" s="1" t="s">
        <v>537</v>
      </c>
      <c r="L697" s="1">
        <v>2</v>
      </c>
      <c r="M697" s="1" t="s">
        <v>14</v>
      </c>
    </row>
    <row r="698" spans="1:13" hidden="1" x14ac:dyDescent="0.25">
      <c r="A698" s="1">
        <v>1982</v>
      </c>
      <c r="B698" s="1">
        <v>349</v>
      </c>
      <c r="C698" s="2">
        <v>30133</v>
      </c>
      <c r="D698" s="1" t="s">
        <v>529</v>
      </c>
      <c r="E698" s="1" t="s">
        <v>15</v>
      </c>
      <c r="F698" s="1" t="s">
        <v>263</v>
      </c>
      <c r="G698" s="1" t="s">
        <v>264</v>
      </c>
      <c r="H698" s="6" t="str">
        <f>VLOOKUP(A698,WorldCups!$A$2:$B$23,2,FALSE)</f>
        <v>Spain</v>
      </c>
      <c r="I698" s="1" t="s">
        <v>537</v>
      </c>
      <c r="J698" s="1">
        <v>2</v>
      </c>
      <c r="K698" s="1" t="s">
        <v>36</v>
      </c>
      <c r="L698" s="1">
        <v>2</v>
      </c>
      <c r="M698" s="1" t="s">
        <v>14</v>
      </c>
    </row>
    <row r="699" spans="1:13" hidden="1" x14ac:dyDescent="0.25">
      <c r="A699" s="1">
        <v>1982</v>
      </c>
      <c r="B699" s="1">
        <f>B698+1</f>
        <v>350</v>
      </c>
      <c r="C699" s="2">
        <v>30133</v>
      </c>
      <c r="D699" s="1" t="s">
        <v>530</v>
      </c>
      <c r="E699" s="1" t="s">
        <v>9</v>
      </c>
      <c r="F699" s="1" t="s">
        <v>230</v>
      </c>
      <c r="G699" s="1" t="s">
        <v>231</v>
      </c>
      <c r="H699" s="6" t="str">
        <f>VLOOKUP(A699,WorldCups!$A$2:$B$23,2,FALSE)</f>
        <v>Spain</v>
      </c>
      <c r="I699" s="1" t="s">
        <v>18</v>
      </c>
      <c r="J699" s="1">
        <v>0</v>
      </c>
      <c r="K699" s="1" t="s">
        <v>126</v>
      </c>
      <c r="L699" s="1">
        <v>1</v>
      </c>
      <c r="M699" s="1" t="s">
        <v>14</v>
      </c>
    </row>
    <row r="700" spans="1:13" hidden="1" x14ac:dyDescent="0.25">
      <c r="A700" s="1">
        <v>1982</v>
      </c>
      <c r="B700" s="1">
        <v>350</v>
      </c>
      <c r="C700" s="2">
        <v>30133</v>
      </c>
      <c r="D700" s="1" t="s">
        <v>530</v>
      </c>
      <c r="E700" s="1" t="s">
        <v>9</v>
      </c>
      <c r="F700" s="1" t="s">
        <v>230</v>
      </c>
      <c r="G700" s="1" t="s">
        <v>231</v>
      </c>
      <c r="H700" s="6" t="str">
        <f>VLOOKUP(A700,WorldCups!$A$2:$B$23,2,FALSE)</f>
        <v>Spain</v>
      </c>
      <c r="I700" s="1" t="s">
        <v>126</v>
      </c>
      <c r="J700" s="1">
        <v>1</v>
      </c>
      <c r="K700" s="1" t="s">
        <v>18</v>
      </c>
      <c r="L700" s="1">
        <v>0</v>
      </c>
      <c r="M700" s="1" t="s">
        <v>14</v>
      </c>
    </row>
    <row r="701" spans="1:13" hidden="1" x14ac:dyDescent="0.25">
      <c r="A701" s="1">
        <v>1982</v>
      </c>
      <c r="B701" s="1">
        <f>B700+1</f>
        <v>351</v>
      </c>
      <c r="C701" s="2">
        <v>30134</v>
      </c>
      <c r="D701" s="1" t="s">
        <v>529</v>
      </c>
      <c r="E701" s="1" t="s">
        <v>22</v>
      </c>
      <c r="F701" s="1" t="s">
        <v>265</v>
      </c>
      <c r="G701" s="1" t="s">
        <v>231</v>
      </c>
      <c r="H701" s="6" t="str">
        <f>VLOOKUP(A701,WorldCups!$A$2:$B$23,2,FALSE)</f>
        <v>Spain</v>
      </c>
      <c r="I701" s="1" t="s">
        <v>25</v>
      </c>
      <c r="J701" s="1">
        <v>1</v>
      </c>
      <c r="K701" s="1" t="s">
        <v>21</v>
      </c>
      <c r="L701" s="1">
        <v>3</v>
      </c>
      <c r="M701" s="1" t="s">
        <v>14</v>
      </c>
    </row>
    <row r="702" spans="1:13" hidden="1" x14ac:dyDescent="0.25">
      <c r="A702" s="1">
        <v>1982</v>
      </c>
      <c r="B702" s="1">
        <v>351</v>
      </c>
      <c r="C702" s="2">
        <v>30134</v>
      </c>
      <c r="D702" s="1" t="s">
        <v>529</v>
      </c>
      <c r="E702" s="1" t="s">
        <v>22</v>
      </c>
      <c r="F702" s="1" t="s">
        <v>265</v>
      </c>
      <c r="G702" s="1" t="s">
        <v>231</v>
      </c>
      <c r="H702" s="6" t="str">
        <f>VLOOKUP(A702,WorldCups!$A$2:$B$23,2,FALSE)</f>
        <v>Spain</v>
      </c>
      <c r="I702" s="1" t="s">
        <v>21</v>
      </c>
      <c r="J702" s="1">
        <v>3</v>
      </c>
      <c r="K702" s="1" t="s">
        <v>25</v>
      </c>
      <c r="L702" s="1">
        <v>1</v>
      </c>
      <c r="M702" s="1" t="s">
        <v>14</v>
      </c>
    </row>
    <row r="703" spans="1:13" hidden="1" x14ac:dyDescent="0.25">
      <c r="A703" s="1">
        <v>1982</v>
      </c>
      <c r="B703" s="1">
        <f>B702+1</f>
        <v>352</v>
      </c>
      <c r="C703" s="2">
        <v>30134</v>
      </c>
      <c r="D703" s="1" t="s">
        <v>530</v>
      </c>
      <c r="E703" s="1" t="s">
        <v>19</v>
      </c>
      <c r="F703" s="1" t="s">
        <v>266</v>
      </c>
      <c r="G703" s="1" t="s">
        <v>264</v>
      </c>
      <c r="H703" s="6" t="str">
        <f>VLOOKUP(A703,WorldCups!$A$2:$B$23,2,FALSE)</f>
        <v>Spain</v>
      </c>
      <c r="I703" s="1" t="s">
        <v>114</v>
      </c>
      <c r="J703" s="1">
        <v>2</v>
      </c>
      <c r="K703" s="1" t="s">
        <v>54</v>
      </c>
      <c r="L703" s="1">
        <v>1</v>
      </c>
      <c r="M703" s="1" t="s">
        <v>14</v>
      </c>
    </row>
    <row r="704" spans="1:13" hidden="1" x14ac:dyDescent="0.25">
      <c r="A704" s="1">
        <v>1982</v>
      </c>
      <c r="B704" s="1">
        <v>352</v>
      </c>
      <c r="C704" s="2">
        <v>30134</v>
      </c>
      <c r="D704" s="1" t="s">
        <v>530</v>
      </c>
      <c r="E704" s="1" t="s">
        <v>19</v>
      </c>
      <c r="F704" s="1" t="s">
        <v>266</v>
      </c>
      <c r="G704" s="1" t="s">
        <v>264</v>
      </c>
      <c r="H704" s="6" t="str">
        <f>VLOOKUP(A704,WorldCups!$A$2:$B$23,2,FALSE)</f>
        <v>Spain</v>
      </c>
      <c r="I704" s="1" t="s">
        <v>54</v>
      </c>
      <c r="J704" s="1">
        <v>1</v>
      </c>
      <c r="K704" s="1" t="s">
        <v>114</v>
      </c>
      <c r="L704" s="1">
        <v>2</v>
      </c>
      <c r="M704" s="1" t="s">
        <v>14</v>
      </c>
    </row>
    <row r="705" spans="1:13" hidden="1" x14ac:dyDescent="0.25">
      <c r="A705" s="1">
        <v>1982</v>
      </c>
      <c r="B705" s="1">
        <f>B704+1</f>
        <v>353</v>
      </c>
      <c r="C705" s="2">
        <v>30136</v>
      </c>
      <c r="D705" s="1" t="s">
        <v>529</v>
      </c>
      <c r="E705" s="1" t="s">
        <v>15</v>
      </c>
      <c r="F705" s="1" t="s">
        <v>263</v>
      </c>
      <c r="G705" s="1" t="s">
        <v>264</v>
      </c>
      <c r="H705" s="6" t="str">
        <f>VLOOKUP(A705,WorldCups!$A$2:$B$23,2,FALSE)</f>
        <v>Spain</v>
      </c>
      <c r="I705" s="1" t="s">
        <v>12</v>
      </c>
      <c r="J705" s="1">
        <v>4</v>
      </c>
      <c r="K705" s="1" t="s">
        <v>537</v>
      </c>
      <c r="L705" s="1">
        <v>1</v>
      </c>
      <c r="M705" s="1" t="s">
        <v>14</v>
      </c>
    </row>
    <row r="706" spans="1:13" hidden="1" x14ac:dyDescent="0.25">
      <c r="A706" s="1">
        <v>1982</v>
      </c>
      <c r="B706" s="1">
        <v>353</v>
      </c>
      <c r="C706" s="2">
        <v>30136</v>
      </c>
      <c r="D706" s="1" t="s">
        <v>529</v>
      </c>
      <c r="E706" s="1" t="s">
        <v>15</v>
      </c>
      <c r="F706" s="1" t="s">
        <v>263</v>
      </c>
      <c r="G706" s="1" t="s">
        <v>264</v>
      </c>
      <c r="H706" s="6" t="str">
        <f>VLOOKUP(A706,WorldCups!$A$2:$B$23,2,FALSE)</f>
        <v>Spain</v>
      </c>
      <c r="I706" s="1" t="s">
        <v>537</v>
      </c>
      <c r="J706" s="1">
        <v>1</v>
      </c>
      <c r="K706" s="1" t="s">
        <v>12</v>
      </c>
      <c r="L706" s="1">
        <v>4</v>
      </c>
      <c r="M706" s="1" t="s">
        <v>14</v>
      </c>
    </row>
    <row r="707" spans="1:13" hidden="1" x14ac:dyDescent="0.25">
      <c r="A707" s="1">
        <v>1982</v>
      </c>
      <c r="B707" s="1">
        <f>B706+1</f>
        <v>354</v>
      </c>
      <c r="C707" s="2">
        <v>30136</v>
      </c>
      <c r="D707" s="1" t="s">
        <v>530</v>
      </c>
      <c r="E707" s="1" t="s">
        <v>9</v>
      </c>
      <c r="F707" s="1" t="s">
        <v>230</v>
      </c>
      <c r="G707" s="1" t="s">
        <v>231</v>
      </c>
      <c r="H707" s="6" t="str">
        <f>VLOOKUP(A707,WorldCups!$A$2:$B$23,2,FALSE)</f>
        <v>Spain</v>
      </c>
      <c r="I707" s="1" t="s">
        <v>80</v>
      </c>
      <c r="J707" s="1">
        <v>0</v>
      </c>
      <c r="K707" s="1" t="s">
        <v>126</v>
      </c>
      <c r="L707" s="1">
        <v>0</v>
      </c>
      <c r="M707" s="1" t="s">
        <v>14</v>
      </c>
    </row>
    <row r="708" spans="1:13" hidden="1" x14ac:dyDescent="0.25">
      <c r="A708" s="1">
        <v>1982</v>
      </c>
      <c r="B708" s="1">
        <v>354</v>
      </c>
      <c r="C708" s="2">
        <v>30136</v>
      </c>
      <c r="D708" s="1" t="s">
        <v>530</v>
      </c>
      <c r="E708" s="1" t="s">
        <v>9</v>
      </c>
      <c r="F708" s="1" t="s">
        <v>230</v>
      </c>
      <c r="G708" s="1" t="s">
        <v>231</v>
      </c>
      <c r="H708" s="6" t="str">
        <f>VLOOKUP(A708,WorldCups!$A$2:$B$23,2,FALSE)</f>
        <v>Spain</v>
      </c>
      <c r="I708" s="1" t="s">
        <v>126</v>
      </c>
      <c r="J708" s="1">
        <v>0</v>
      </c>
      <c r="K708" s="1" t="s">
        <v>80</v>
      </c>
      <c r="L708" s="1">
        <v>0</v>
      </c>
      <c r="M708" s="1" t="s">
        <v>14</v>
      </c>
    </row>
    <row r="709" spans="1:13" hidden="1" x14ac:dyDescent="0.25">
      <c r="A709" s="1">
        <v>1982</v>
      </c>
      <c r="B709" s="1">
        <f>B708+1</f>
        <v>355</v>
      </c>
      <c r="C709" s="2">
        <v>30137</v>
      </c>
      <c r="D709" s="1" t="s">
        <v>529</v>
      </c>
      <c r="E709" s="1" t="s">
        <v>22</v>
      </c>
      <c r="F709" s="1" t="s">
        <v>265</v>
      </c>
      <c r="G709" s="1" t="s">
        <v>231</v>
      </c>
      <c r="H709" s="6" t="str">
        <f>VLOOKUP(A709,WorldCups!$A$2:$B$23,2,FALSE)</f>
        <v>Spain</v>
      </c>
      <c r="I709" s="1" t="s">
        <v>57</v>
      </c>
      <c r="J709" s="1">
        <v>3</v>
      </c>
      <c r="K709" s="1" t="s">
        <v>21</v>
      </c>
      <c r="L709" s="1">
        <v>2</v>
      </c>
      <c r="M709" s="1" t="s">
        <v>14</v>
      </c>
    </row>
    <row r="710" spans="1:13" hidden="1" x14ac:dyDescent="0.25">
      <c r="A710" s="1">
        <v>1982</v>
      </c>
      <c r="B710" s="1">
        <v>355</v>
      </c>
      <c r="C710" s="2">
        <v>30137</v>
      </c>
      <c r="D710" s="1" t="s">
        <v>529</v>
      </c>
      <c r="E710" s="1" t="s">
        <v>22</v>
      </c>
      <c r="F710" s="1" t="s">
        <v>265</v>
      </c>
      <c r="G710" s="1" t="s">
        <v>231</v>
      </c>
      <c r="H710" s="6" t="str">
        <f>VLOOKUP(A710,WorldCups!$A$2:$B$23,2,FALSE)</f>
        <v>Spain</v>
      </c>
      <c r="I710" s="1" t="s">
        <v>21</v>
      </c>
      <c r="J710" s="1">
        <v>2</v>
      </c>
      <c r="K710" s="1" t="s">
        <v>57</v>
      </c>
      <c r="L710" s="1">
        <v>3</v>
      </c>
      <c r="M710" s="1" t="s">
        <v>14</v>
      </c>
    </row>
    <row r="711" spans="1:13" hidden="1" x14ac:dyDescent="0.25">
      <c r="A711" s="1">
        <v>1982</v>
      </c>
      <c r="B711" s="1">
        <f>B710+1</f>
        <v>356</v>
      </c>
      <c r="C711" s="2">
        <v>30137</v>
      </c>
      <c r="D711" s="1" t="s">
        <v>530</v>
      </c>
      <c r="E711" s="1" t="s">
        <v>19</v>
      </c>
      <c r="F711" s="1" t="s">
        <v>266</v>
      </c>
      <c r="G711" s="1" t="s">
        <v>264</v>
      </c>
      <c r="H711" s="6" t="str">
        <f>VLOOKUP(A711,WorldCups!$A$2:$B$23,2,FALSE)</f>
        <v>Spain</v>
      </c>
      <c r="I711" s="1" t="s">
        <v>54</v>
      </c>
      <c r="J711" s="1">
        <v>0</v>
      </c>
      <c r="K711" s="1" t="s">
        <v>93</v>
      </c>
      <c r="L711" s="1">
        <v>0</v>
      </c>
      <c r="M711" s="1" t="s">
        <v>14</v>
      </c>
    </row>
    <row r="712" spans="1:13" hidden="1" x14ac:dyDescent="0.25">
      <c r="A712" s="1">
        <v>1982</v>
      </c>
      <c r="B712" s="1">
        <v>356</v>
      </c>
      <c r="C712" s="2">
        <v>30137</v>
      </c>
      <c r="D712" s="1" t="s">
        <v>530</v>
      </c>
      <c r="E712" s="1" t="s">
        <v>19</v>
      </c>
      <c r="F712" s="1" t="s">
        <v>266</v>
      </c>
      <c r="G712" s="1" t="s">
        <v>264</v>
      </c>
      <c r="H712" s="6" t="str">
        <f>VLOOKUP(A712,WorldCups!$A$2:$B$23,2,FALSE)</f>
        <v>Spain</v>
      </c>
      <c r="I712" s="1" t="s">
        <v>93</v>
      </c>
      <c r="J712" s="1">
        <v>0</v>
      </c>
      <c r="K712" s="1" t="s">
        <v>54</v>
      </c>
      <c r="L712" s="1">
        <v>0</v>
      </c>
      <c r="M712" s="1" t="s">
        <v>14</v>
      </c>
    </row>
    <row r="713" spans="1:13" hidden="1" x14ac:dyDescent="0.25">
      <c r="A713" s="1">
        <v>1982</v>
      </c>
      <c r="B713" s="1">
        <f>B712+1</f>
        <v>357</v>
      </c>
      <c r="C713" s="2">
        <v>30140</v>
      </c>
      <c r="D713" s="1" t="s">
        <v>529</v>
      </c>
      <c r="E713" s="1" t="s">
        <v>31</v>
      </c>
      <c r="F713" s="1" t="s">
        <v>230</v>
      </c>
      <c r="G713" s="1" t="s">
        <v>231</v>
      </c>
      <c r="H713" s="6" t="str">
        <f>VLOOKUP(A713,WorldCups!$A$2:$B$23,2,FALSE)</f>
        <v>Spain</v>
      </c>
      <c r="I713" s="1" t="s">
        <v>80</v>
      </c>
      <c r="J713" s="1">
        <v>0</v>
      </c>
      <c r="K713" s="1" t="s">
        <v>57</v>
      </c>
      <c r="L713" s="1">
        <v>2</v>
      </c>
      <c r="M713" s="1" t="s">
        <v>14</v>
      </c>
    </row>
    <row r="714" spans="1:13" hidden="1" x14ac:dyDescent="0.25">
      <c r="A714" s="1">
        <v>1982</v>
      </c>
      <c r="B714" s="1">
        <v>357</v>
      </c>
      <c r="C714" s="2">
        <v>30140</v>
      </c>
      <c r="D714" s="1" t="s">
        <v>529</v>
      </c>
      <c r="E714" s="1" t="s">
        <v>31</v>
      </c>
      <c r="F714" s="1" t="s">
        <v>230</v>
      </c>
      <c r="G714" s="1" t="s">
        <v>231</v>
      </c>
      <c r="H714" s="6" t="str">
        <f>VLOOKUP(A714,WorldCups!$A$2:$B$23,2,FALSE)</f>
        <v>Spain</v>
      </c>
      <c r="I714" s="1" t="s">
        <v>57</v>
      </c>
      <c r="J714" s="1">
        <v>2</v>
      </c>
      <c r="K714" s="1" t="s">
        <v>80</v>
      </c>
      <c r="L714" s="1">
        <v>0</v>
      </c>
      <c r="M714" s="1" t="s">
        <v>14</v>
      </c>
    </row>
    <row r="715" spans="1:13" hidden="1" x14ac:dyDescent="0.25">
      <c r="A715" s="1">
        <v>1982</v>
      </c>
      <c r="B715" s="1">
        <f>B714+1</f>
        <v>358</v>
      </c>
      <c r="C715" s="2">
        <v>30140</v>
      </c>
      <c r="D715" s="1" t="s">
        <v>530</v>
      </c>
      <c r="E715" s="1" t="s">
        <v>31</v>
      </c>
      <c r="F715" s="1" t="s">
        <v>234</v>
      </c>
      <c r="G715" s="1" t="s">
        <v>235</v>
      </c>
      <c r="H715" s="6" t="str">
        <f>VLOOKUP(A715,WorldCups!$A$2:$B$23,2,FALSE)</f>
        <v>Spain</v>
      </c>
      <c r="I715" s="1" t="s">
        <v>114</v>
      </c>
      <c r="J715" s="1">
        <v>3</v>
      </c>
      <c r="K715" s="1" t="s">
        <v>12</v>
      </c>
      <c r="L715" s="1">
        <v>3</v>
      </c>
      <c r="M715" s="1" t="s">
        <v>267</v>
      </c>
    </row>
    <row r="716" spans="1:13" hidden="1" x14ac:dyDescent="0.25">
      <c r="A716" s="1">
        <v>1982</v>
      </c>
      <c r="B716" s="1">
        <v>358</v>
      </c>
      <c r="C716" s="2">
        <v>30140</v>
      </c>
      <c r="D716" s="1" t="s">
        <v>530</v>
      </c>
      <c r="E716" s="1" t="s">
        <v>31</v>
      </c>
      <c r="F716" s="1" t="s">
        <v>234</v>
      </c>
      <c r="G716" s="1" t="s">
        <v>235</v>
      </c>
      <c r="H716" s="6" t="str">
        <f>VLOOKUP(A716,WorldCups!$A$2:$B$23,2,FALSE)</f>
        <v>Spain</v>
      </c>
      <c r="I716" s="1" t="s">
        <v>12</v>
      </c>
      <c r="J716" s="1">
        <v>3</v>
      </c>
      <c r="K716" s="1" t="s">
        <v>114</v>
      </c>
      <c r="L716" s="1">
        <v>3</v>
      </c>
      <c r="M716" s="1" t="s">
        <v>267</v>
      </c>
    </row>
    <row r="717" spans="1:13" hidden="1" x14ac:dyDescent="0.25">
      <c r="A717" s="1">
        <v>1982</v>
      </c>
      <c r="B717" s="1">
        <f>B716+1</f>
        <v>359</v>
      </c>
      <c r="C717" s="2">
        <v>30142</v>
      </c>
      <c r="D717" s="1" t="s">
        <v>528</v>
      </c>
      <c r="E717" s="1" t="s">
        <v>62</v>
      </c>
      <c r="F717" s="1" t="s">
        <v>260</v>
      </c>
      <c r="G717" s="1" t="s">
        <v>261</v>
      </c>
      <c r="H717" s="6" t="str">
        <f>VLOOKUP(A717,WorldCups!$A$2:$B$23,2,FALSE)</f>
        <v>Spain</v>
      </c>
      <c r="I717" s="1" t="s">
        <v>80</v>
      </c>
      <c r="J717" s="1">
        <v>3</v>
      </c>
      <c r="K717" s="1" t="s">
        <v>12</v>
      </c>
      <c r="L717" s="1">
        <v>2</v>
      </c>
      <c r="M717" s="1" t="s">
        <v>14</v>
      </c>
    </row>
    <row r="718" spans="1:13" hidden="1" x14ac:dyDescent="0.25">
      <c r="A718" s="1">
        <v>1982</v>
      </c>
      <c r="B718" s="1">
        <v>359</v>
      </c>
      <c r="C718" s="2">
        <v>30142</v>
      </c>
      <c r="D718" s="1" t="s">
        <v>528</v>
      </c>
      <c r="E718" s="1" t="s">
        <v>62</v>
      </c>
      <c r="F718" s="1" t="s">
        <v>260</v>
      </c>
      <c r="G718" s="1" t="s">
        <v>261</v>
      </c>
      <c r="H718" s="6" t="str">
        <f>VLOOKUP(A718,WorldCups!$A$2:$B$23,2,FALSE)</f>
        <v>Spain</v>
      </c>
      <c r="I718" s="1" t="s">
        <v>12</v>
      </c>
      <c r="J718" s="1">
        <v>2</v>
      </c>
      <c r="K718" s="1" t="s">
        <v>80</v>
      </c>
      <c r="L718" s="1">
        <v>3</v>
      </c>
      <c r="M718" s="1" t="s">
        <v>14</v>
      </c>
    </row>
    <row r="719" spans="1:13" hidden="1" x14ac:dyDescent="0.25">
      <c r="A719" s="1">
        <v>1982</v>
      </c>
      <c r="B719" s="1">
        <f>B718+1</f>
        <v>360</v>
      </c>
      <c r="C719" s="2">
        <v>30143</v>
      </c>
      <c r="D719" s="1" t="s">
        <v>528</v>
      </c>
      <c r="E719" s="1" t="s">
        <v>32</v>
      </c>
      <c r="F719" s="1" t="s">
        <v>266</v>
      </c>
      <c r="G719" s="1" t="s">
        <v>264</v>
      </c>
      <c r="H719" s="6" t="str">
        <f>VLOOKUP(A719,WorldCups!$A$2:$B$23,2,FALSE)</f>
        <v>Spain</v>
      </c>
      <c r="I719" s="1" t="s">
        <v>57</v>
      </c>
      <c r="J719" s="1">
        <v>3</v>
      </c>
      <c r="K719" s="1" t="s">
        <v>114</v>
      </c>
      <c r="L719" s="1">
        <v>1</v>
      </c>
      <c r="M719" s="1" t="s">
        <v>14</v>
      </c>
    </row>
    <row r="720" spans="1:13" hidden="1" x14ac:dyDescent="0.25">
      <c r="A720" s="1">
        <v>1982</v>
      </c>
      <c r="B720" s="1">
        <v>360</v>
      </c>
      <c r="C720" s="2">
        <v>30143</v>
      </c>
      <c r="D720" s="1" t="s">
        <v>528</v>
      </c>
      <c r="E720" s="1" t="s">
        <v>32</v>
      </c>
      <c r="F720" s="1" t="s">
        <v>266</v>
      </c>
      <c r="G720" s="1" t="s">
        <v>264</v>
      </c>
      <c r="H720" s="6" t="str">
        <f>VLOOKUP(A720,WorldCups!$A$2:$B$23,2,FALSE)</f>
        <v>Spain</v>
      </c>
      <c r="I720" s="1" t="s">
        <v>114</v>
      </c>
      <c r="J720" s="1">
        <v>1</v>
      </c>
      <c r="K720" s="1" t="s">
        <v>57</v>
      </c>
      <c r="L720" s="1">
        <v>3</v>
      </c>
      <c r="M720" s="1" t="s">
        <v>14</v>
      </c>
    </row>
    <row r="721" spans="1:13" hidden="1" x14ac:dyDescent="0.25">
      <c r="A721" s="1">
        <v>1986</v>
      </c>
      <c r="B721" s="1">
        <f>B720+1</f>
        <v>361</v>
      </c>
      <c r="C721" s="2">
        <v>31563</v>
      </c>
      <c r="D721" s="1" t="s">
        <v>523</v>
      </c>
      <c r="E721" s="1" t="s">
        <v>214</v>
      </c>
      <c r="F721" s="1" t="s">
        <v>177</v>
      </c>
      <c r="G721" s="1" t="s">
        <v>178</v>
      </c>
      <c r="H721" s="6" t="str">
        <f>VLOOKUP(A721,WorldCups!$A$2:$B$23,2,FALSE)</f>
        <v>Mexico</v>
      </c>
      <c r="I721" s="1" t="s">
        <v>156</v>
      </c>
      <c r="J721" s="1">
        <v>1</v>
      </c>
      <c r="K721" s="1" t="s">
        <v>57</v>
      </c>
      <c r="L721" s="1">
        <v>1</v>
      </c>
      <c r="M721" s="1" t="s">
        <v>14</v>
      </c>
    </row>
    <row r="722" spans="1:13" hidden="1" x14ac:dyDescent="0.25">
      <c r="A722" s="1">
        <v>1986</v>
      </c>
      <c r="B722" s="1">
        <v>361</v>
      </c>
      <c r="C722" s="2">
        <v>31563</v>
      </c>
      <c r="D722" s="1" t="s">
        <v>523</v>
      </c>
      <c r="E722" s="1" t="s">
        <v>214</v>
      </c>
      <c r="F722" s="1" t="s">
        <v>177</v>
      </c>
      <c r="G722" s="1" t="s">
        <v>178</v>
      </c>
      <c r="H722" s="6" t="str">
        <f>VLOOKUP(A722,WorldCups!$A$2:$B$23,2,FALSE)</f>
        <v>Mexico</v>
      </c>
      <c r="I722" s="1" t="s">
        <v>57</v>
      </c>
      <c r="J722" s="1">
        <v>1</v>
      </c>
      <c r="K722" s="1" t="s">
        <v>156</v>
      </c>
      <c r="L722" s="1">
        <v>1</v>
      </c>
      <c r="M722" s="1" t="s">
        <v>14</v>
      </c>
    </row>
    <row r="723" spans="1:13" hidden="1" x14ac:dyDescent="0.25">
      <c r="A723" s="1">
        <v>1986</v>
      </c>
      <c r="B723" s="1">
        <f>B722+1</f>
        <v>362</v>
      </c>
      <c r="C723" s="2">
        <v>31564</v>
      </c>
      <c r="D723" s="1" t="s">
        <v>503</v>
      </c>
      <c r="E723" s="1" t="s">
        <v>268</v>
      </c>
      <c r="F723" s="1" t="s">
        <v>182</v>
      </c>
      <c r="G723" s="1" t="s">
        <v>183</v>
      </c>
      <c r="H723" s="6" t="str">
        <f>VLOOKUP(A723,WorldCups!$A$2:$B$23,2,FALSE)</f>
        <v>Mexico</v>
      </c>
      <c r="I723" s="1" t="s">
        <v>269</v>
      </c>
      <c r="J723" s="1">
        <v>0</v>
      </c>
      <c r="K723" s="1" t="s">
        <v>12</v>
      </c>
      <c r="L723" s="1">
        <v>1</v>
      </c>
      <c r="M723" s="1" t="s">
        <v>14</v>
      </c>
    </row>
    <row r="724" spans="1:13" hidden="1" x14ac:dyDescent="0.25">
      <c r="A724" s="1">
        <v>1986</v>
      </c>
      <c r="B724" s="1">
        <v>362</v>
      </c>
      <c r="C724" s="2">
        <v>31564</v>
      </c>
      <c r="D724" s="1" t="s">
        <v>503</v>
      </c>
      <c r="E724" s="1" t="s">
        <v>268</v>
      </c>
      <c r="F724" s="1" t="s">
        <v>182</v>
      </c>
      <c r="G724" s="1" t="s">
        <v>183</v>
      </c>
      <c r="H724" s="6" t="str">
        <f>VLOOKUP(A724,WorldCups!$A$2:$B$23,2,FALSE)</f>
        <v>Mexico</v>
      </c>
      <c r="I724" s="1" t="s">
        <v>12</v>
      </c>
      <c r="J724" s="1">
        <v>1</v>
      </c>
      <c r="K724" s="1" t="s">
        <v>269</v>
      </c>
      <c r="L724" s="1">
        <v>0</v>
      </c>
      <c r="M724" s="1" t="s">
        <v>14</v>
      </c>
    </row>
    <row r="725" spans="1:13" hidden="1" x14ac:dyDescent="0.25">
      <c r="A725" s="1">
        <v>1986</v>
      </c>
      <c r="B725" s="1">
        <f>B724+1</f>
        <v>363</v>
      </c>
      <c r="C725" s="2">
        <v>31564</v>
      </c>
      <c r="D725" s="1" t="s">
        <v>523</v>
      </c>
      <c r="E725" s="1" t="s">
        <v>270</v>
      </c>
      <c r="F725" s="1" t="s">
        <v>184</v>
      </c>
      <c r="G725" s="1" t="s">
        <v>185</v>
      </c>
      <c r="H725" s="6" t="str">
        <f>VLOOKUP(A725,WorldCups!$A$2:$B$23,2,FALSE)</f>
        <v>Mexico</v>
      </c>
      <c r="I725" s="1" t="s">
        <v>54</v>
      </c>
      <c r="J725" s="1">
        <v>0</v>
      </c>
      <c r="K725" s="1" t="s">
        <v>21</v>
      </c>
      <c r="L725" s="1">
        <v>1</v>
      </c>
      <c r="M725" s="1" t="s">
        <v>14</v>
      </c>
    </row>
    <row r="726" spans="1:13" hidden="1" x14ac:dyDescent="0.25">
      <c r="A726" s="1">
        <v>1986</v>
      </c>
      <c r="B726" s="1">
        <v>363</v>
      </c>
      <c r="C726" s="2">
        <v>31564</v>
      </c>
      <c r="D726" s="1" t="s">
        <v>523</v>
      </c>
      <c r="E726" s="1" t="s">
        <v>270</v>
      </c>
      <c r="F726" s="1" t="s">
        <v>184</v>
      </c>
      <c r="G726" s="1" t="s">
        <v>185</v>
      </c>
      <c r="H726" s="6" t="str">
        <f>VLOOKUP(A726,WorldCups!$A$2:$B$23,2,FALSE)</f>
        <v>Mexico</v>
      </c>
      <c r="I726" s="1" t="s">
        <v>21</v>
      </c>
      <c r="J726" s="1">
        <v>1</v>
      </c>
      <c r="K726" s="1" t="s">
        <v>54</v>
      </c>
      <c r="L726" s="1">
        <v>0</v>
      </c>
      <c r="M726" s="1" t="s">
        <v>14</v>
      </c>
    </row>
    <row r="727" spans="1:13" hidden="1" x14ac:dyDescent="0.25">
      <c r="A727" s="1">
        <v>1986</v>
      </c>
      <c r="B727" s="1">
        <f>B726+1</f>
        <v>364</v>
      </c>
      <c r="C727" s="2">
        <v>31565</v>
      </c>
      <c r="D727" s="1" t="s">
        <v>523</v>
      </c>
      <c r="E727" s="1" t="s">
        <v>268</v>
      </c>
      <c r="F727" s="1" t="s">
        <v>271</v>
      </c>
      <c r="G727" s="1" t="s">
        <v>272</v>
      </c>
      <c r="H727" s="6" t="str">
        <f>VLOOKUP(A727,WorldCups!$A$2:$B$23,2,FALSE)</f>
        <v>Mexico</v>
      </c>
      <c r="I727" s="1" t="s">
        <v>126</v>
      </c>
      <c r="J727" s="1">
        <v>6</v>
      </c>
      <c r="K727" s="1" t="s">
        <v>40</v>
      </c>
      <c r="L727" s="1">
        <v>0</v>
      </c>
      <c r="M727" s="1" t="s">
        <v>14</v>
      </c>
    </row>
    <row r="728" spans="1:13" hidden="1" x14ac:dyDescent="0.25">
      <c r="A728" s="1">
        <v>1986</v>
      </c>
      <c r="B728" s="1">
        <v>364</v>
      </c>
      <c r="C728" s="2">
        <v>31565</v>
      </c>
      <c r="D728" s="1" t="s">
        <v>523</v>
      </c>
      <c r="E728" s="1" t="s">
        <v>268</v>
      </c>
      <c r="F728" s="1" t="s">
        <v>271</v>
      </c>
      <c r="G728" s="1" t="s">
        <v>272</v>
      </c>
      <c r="H728" s="6" t="str">
        <f>VLOOKUP(A728,WorldCups!$A$2:$B$23,2,FALSE)</f>
        <v>Mexico</v>
      </c>
      <c r="I728" s="1" t="s">
        <v>40</v>
      </c>
      <c r="J728" s="1">
        <v>0</v>
      </c>
      <c r="K728" s="1" t="s">
        <v>126</v>
      </c>
      <c r="L728" s="1">
        <v>6</v>
      </c>
      <c r="M728" s="1" t="s">
        <v>14</v>
      </c>
    </row>
    <row r="729" spans="1:13" hidden="1" x14ac:dyDescent="0.25">
      <c r="A729" s="1">
        <v>1986</v>
      </c>
      <c r="B729" s="1">
        <f>B728+1</f>
        <v>365</v>
      </c>
      <c r="C729" s="2">
        <v>31565</v>
      </c>
      <c r="D729" s="1" t="s">
        <v>523</v>
      </c>
      <c r="E729" s="1" t="s">
        <v>214</v>
      </c>
      <c r="F729" s="1" t="s">
        <v>273</v>
      </c>
      <c r="G729" s="1" t="s">
        <v>178</v>
      </c>
      <c r="H729" s="6" t="str">
        <f>VLOOKUP(A729,WorldCups!$A$2:$B$23,2,FALSE)</f>
        <v>Mexico</v>
      </c>
      <c r="I729" s="1" t="s">
        <v>25</v>
      </c>
      <c r="J729" s="1">
        <v>3</v>
      </c>
      <c r="K729" s="1" t="s">
        <v>116</v>
      </c>
      <c r="L729" s="1">
        <v>1</v>
      </c>
      <c r="M729" s="1" t="s">
        <v>14</v>
      </c>
    </row>
    <row r="730" spans="1:13" hidden="1" x14ac:dyDescent="0.25">
      <c r="A730" s="1">
        <v>1986</v>
      </c>
      <c r="B730" s="1">
        <v>365</v>
      </c>
      <c r="C730" s="2">
        <v>31565</v>
      </c>
      <c r="D730" s="1" t="s">
        <v>523</v>
      </c>
      <c r="E730" s="1" t="s">
        <v>214</v>
      </c>
      <c r="F730" s="1" t="s">
        <v>273</v>
      </c>
      <c r="G730" s="1" t="s">
        <v>178</v>
      </c>
      <c r="H730" s="6" t="str">
        <f>VLOOKUP(A730,WorldCups!$A$2:$B$23,2,FALSE)</f>
        <v>Mexico</v>
      </c>
      <c r="I730" s="1" t="s">
        <v>116</v>
      </c>
      <c r="J730" s="1">
        <v>1</v>
      </c>
      <c r="K730" s="1" t="s">
        <v>25</v>
      </c>
      <c r="L730" s="1">
        <v>3</v>
      </c>
      <c r="M730" s="1" t="s">
        <v>14</v>
      </c>
    </row>
    <row r="731" spans="1:13" hidden="1" x14ac:dyDescent="0.25">
      <c r="A731" s="1">
        <v>1986</v>
      </c>
      <c r="B731" s="1">
        <f>B730+1</f>
        <v>366</v>
      </c>
      <c r="C731" s="2">
        <v>31565</v>
      </c>
      <c r="D731" s="1" t="s">
        <v>503</v>
      </c>
      <c r="E731" s="1" t="s">
        <v>274</v>
      </c>
      <c r="F731" s="1" t="s">
        <v>275</v>
      </c>
      <c r="G731" s="1" t="s">
        <v>276</v>
      </c>
      <c r="H731" s="6" t="str">
        <f>VLOOKUP(A731,WorldCups!$A$2:$B$23,2,FALSE)</f>
        <v>Mexico</v>
      </c>
      <c r="I731" s="1" t="s">
        <v>188</v>
      </c>
      <c r="J731" s="1">
        <v>0</v>
      </c>
      <c r="K731" s="1" t="s">
        <v>80</v>
      </c>
      <c r="L731" s="1">
        <v>0</v>
      </c>
      <c r="M731" s="1" t="s">
        <v>14</v>
      </c>
    </row>
    <row r="732" spans="1:13" hidden="1" x14ac:dyDescent="0.25">
      <c r="A732" s="1">
        <v>1986</v>
      </c>
      <c r="B732" s="1">
        <v>366</v>
      </c>
      <c r="C732" s="2">
        <v>31565</v>
      </c>
      <c r="D732" s="1" t="s">
        <v>503</v>
      </c>
      <c r="E732" s="1" t="s">
        <v>274</v>
      </c>
      <c r="F732" s="1" t="s">
        <v>275</v>
      </c>
      <c r="G732" s="1" t="s">
        <v>276</v>
      </c>
      <c r="H732" s="6" t="str">
        <f>VLOOKUP(A732,WorldCups!$A$2:$B$23,2,FALSE)</f>
        <v>Mexico</v>
      </c>
      <c r="I732" s="1" t="s">
        <v>80</v>
      </c>
      <c r="J732" s="1">
        <v>0</v>
      </c>
      <c r="K732" s="1" t="s">
        <v>188</v>
      </c>
      <c r="L732" s="1">
        <v>0</v>
      </c>
      <c r="M732" s="1" t="s">
        <v>14</v>
      </c>
    </row>
    <row r="733" spans="1:13" hidden="1" x14ac:dyDescent="0.25">
      <c r="A733" s="1">
        <v>1986</v>
      </c>
      <c r="B733" s="1">
        <f>B732+1</f>
        <v>367</v>
      </c>
      <c r="C733" s="2">
        <v>31566</v>
      </c>
      <c r="D733" s="1" t="s">
        <v>523</v>
      </c>
      <c r="E733" s="1" t="s">
        <v>270</v>
      </c>
      <c r="F733" s="1" t="s">
        <v>277</v>
      </c>
      <c r="G733" s="1" t="s">
        <v>185</v>
      </c>
      <c r="H733" s="6" t="str">
        <f>VLOOKUP(A733,WorldCups!$A$2:$B$23,2,FALSE)</f>
        <v>Mexico</v>
      </c>
      <c r="I733" s="1" t="s">
        <v>246</v>
      </c>
      <c r="J733" s="1">
        <v>1</v>
      </c>
      <c r="K733" s="1" t="s">
        <v>537</v>
      </c>
      <c r="L733" s="1">
        <v>1</v>
      </c>
      <c r="M733" s="1" t="s">
        <v>14</v>
      </c>
    </row>
    <row r="734" spans="1:13" hidden="1" x14ac:dyDescent="0.25">
      <c r="A734" s="1">
        <v>1986</v>
      </c>
      <c r="B734" s="1">
        <v>367</v>
      </c>
      <c r="C734" s="2">
        <v>31566</v>
      </c>
      <c r="D734" s="1" t="s">
        <v>523</v>
      </c>
      <c r="E734" s="1" t="s">
        <v>270</v>
      </c>
      <c r="F734" s="1" t="s">
        <v>277</v>
      </c>
      <c r="G734" s="1" t="s">
        <v>185</v>
      </c>
      <c r="H734" s="6" t="str">
        <f>VLOOKUP(A734,WorldCups!$A$2:$B$23,2,FALSE)</f>
        <v>Mexico</v>
      </c>
      <c r="I734" s="1" t="s">
        <v>537</v>
      </c>
      <c r="J734" s="1">
        <v>1</v>
      </c>
      <c r="K734" s="1" t="s">
        <v>246</v>
      </c>
      <c r="L734" s="1">
        <v>1</v>
      </c>
      <c r="M734" s="1" t="s">
        <v>14</v>
      </c>
    </row>
    <row r="735" spans="1:13" hidden="1" x14ac:dyDescent="0.25">
      <c r="A735" s="1">
        <v>1986</v>
      </c>
      <c r="B735" s="1">
        <f>B734+1</f>
        <v>368</v>
      </c>
      <c r="C735" s="2">
        <v>31566</v>
      </c>
      <c r="D735" s="1" t="s">
        <v>523</v>
      </c>
      <c r="E735" s="1" t="s">
        <v>213</v>
      </c>
      <c r="F735" s="1" t="s">
        <v>177</v>
      </c>
      <c r="G735" s="1" t="s">
        <v>178</v>
      </c>
      <c r="H735" s="6" t="str">
        <f>VLOOKUP(A735,WorldCups!$A$2:$B$23,2,FALSE)</f>
        <v>Mexico</v>
      </c>
      <c r="I735" s="1" t="s">
        <v>18</v>
      </c>
      <c r="J735" s="1">
        <v>1</v>
      </c>
      <c r="K735" s="1" t="s">
        <v>13</v>
      </c>
      <c r="L735" s="1">
        <v>2</v>
      </c>
      <c r="M735" s="1" t="s">
        <v>14</v>
      </c>
    </row>
    <row r="736" spans="1:13" hidden="1" x14ac:dyDescent="0.25">
      <c r="A736" s="1">
        <v>1986</v>
      </c>
      <c r="B736" s="1">
        <v>368</v>
      </c>
      <c r="C736" s="2">
        <v>31566</v>
      </c>
      <c r="D736" s="1" t="s">
        <v>523</v>
      </c>
      <c r="E736" s="1" t="s">
        <v>213</v>
      </c>
      <c r="F736" s="1" t="s">
        <v>177</v>
      </c>
      <c r="G736" s="1" t="s">
        <v>178</v>
      </c>
      <c r="H736" s="6" t="str">
        <f>VLOOKUP(A736,WorldCups!$A$2:$B$23,2,FALSE)</f>
        <v>Mexico</v>
      </c>
      <c r="I736" s="1" t="s">
        <v>13</v>
      </c>
      <c r="J736" s="1">
        <v>2</v>
      </c>
      <c r="K736" s="1" t="s">
        <v>18</v>
      </c>
      <c r="L736" s="1">
        <v>1</v>
      </c>
      <c r="M736" s="1" t="s">
        <v>14</v>
      </c>
    </row>
    <row r="737" spans="1:13" hidden="1" x14ac:dyDescent="0.25">
      <c r="A737" s="1">
        <v>1986</v>
      </c>
      <c r="B737" s="1">
        <f>B736+1</f>
        <v>369</v>
      </c>
      <c r="C737" s="2">
        <v>31566</v>
      </c>
      <c r="D737" s="1" t="s">
        <v>503</v>
      </c>
      <c r="E737" s="1" t="s">
        <v>274</v>
      </c>
      <c r="F737" s="1" t="s">
        <v>278</v>
      </c>
      <c r="G737" s="1" t="s">
        <v>276</v>
      </c>
      <c r="H737" s="6" t="str">
        <f>VLOOKUP(A737,WorldCups!$A$2:$B$23,2,FALSE)</f>
        <v>Mexico</v>
      </c>
      <c r="I737" s="1" t="s">
        <v>170</v>
      </c>
      <c r="J737" s="1">
        <v>1</v>
      </c>
      <c r="K737" s="1" t="s">
        <v>93</v>
      </c>
      <c r="L737" s="1">
        <v>0</v>
      </c>
      <c r="M737" s="1" t="s">
        <v>14</v>
      </c>
    </row>
    <row r="738" spans="1:13" hidden="1" x14ac:dyDescent="0.25">
      <c r="A738" s="1">
        <v>1986</v>
      </c>
      <c r="B738" s="1">
        <v>369</v>
      </c>
      <c r="C738" s="2">
        <v>31566</v>
      </c>
      <c r="D738" s="1" t="s">
        <v>503</v>
      </c>
      <c r="E738" s="1" t="s">
        <v>274</v>
      </c>
      <c r="F738" s="1" t="s">
        <v>278</v>
      </c>
      <c r="G738" s="1" t="s">
        <v>276</v>
      </c>
      <c r="H738" s="6" t="str">
        <f>VLOOKUP(A738,WorldCups!$A$2:$B$23,2,FALSE)</f>
        <v>Mexico</v>
      </c>
      <c r="I738" s="1" t="s">
        <v>93</v>
      </c>
      <c r="J738" s="1">
        <v>0</v>
      </c>
      <c r="K738" s="1" t="s">
        <v>170</v>
      </c>
      <c r="L738" s="1">
        <v>1</v>
      </c>
      <c r="M738" s="1" t="s">
        <v>14</v>
      </c>
    </row>
    <row r="739" spans="1:13" hidden="1" x14ac:dyDescent="0.25">
      <c r="A739" s="1">
        <v>1986</v>
      </c>
      <c r="B739" s="1">
        <f>B738+1</f>
        <v>370</v>
      </c>
      <c r="C739" s="2">
        <v>31567</v>
      </c>
      <c r="D739" s="1" t="s">
        <v>523</v>
      </c>
      <c r="E739" s="1" t="s">
        <v>213</v>
      </c>
      <c r="F739" s="1" t="s">
        <v>279</v>
      </c>
      <c r="G739" s="1" t="s">
        <v>187</v>
      </c>
      <c r="H739" s="6" t="str">
        <f>VLOOKUP(A739,WorldCups!$A$2:$B$23,2,FALSE)</f>
        <v>Mexico</v>
      </c>
      <c r="I739" s="1" t="s">
        <v>28</v>
      </c>
      <c r="J739" s="1">
        <v>1</v>
      </c>
      <c r="K739" s="1" t="s">
        <v>280</v>
      </c>
      <c r="L739" s="1">
        <v>0</v>
      </c>
      <c r="M739" s="1" t="s">
        <v>14</v>
      </c>
    </row>
    <row r="740" spans="1:13" hidden="1" x14ac:dyDescent="0.25">
      <c r="A740" s="1">
        <v>1986</v>
      </c>
      <c r="B740" s="1">
        <v>370</v>
      </c>
      <c r="C740" s="2">
        <v>31567</v>
      </c>
      <c r="D740" s="1" t="s">
        <v>523</v>
      </c>
      <c r="E740" s="1" t="s">
        <v>213</v>
      </c>
      <c r="F740" s="1" t="s">
        <v>279</v>
      </c>
      <c r="G740" s="1" t="s">
        <v>187</v>
      </c>
      <c r="H740" s="6" t="str">
        <f>VLOOKUP(A740,WorldCups!$A$2:$B$23,2,FALSE)</f>
        <v>Mexico</v>
      </c>
      <c r="I740" s="1" t="s">
        <v>280</v>
      </c>
      <c r="J740" s="1">
        <v>0</v>
      </c>
      <c r="K740" s="1" t="s">
        <v>28</v>
      </c>
      <c r="L740" s="1">
        <v>1</v>
      </c>
      <c r="M740" s="1" t="s">
        <v>14</v>
      </c>
    </row>
    <row r="741" spans="1:13" hidden="1" x14ac:dyDescent="0.25">
      <c r="A741" s="1">
        <v>1986</v>
      </c>
      <c r="B741" s="1">
        <f>B740+1</f>
        <v>371</v>
      </c>
      <c r="C741" s="2">
        <v>31567</v>
      </c>
      <c r="D741" s="1" t="s">
        <v>503</v>
      </c>
      <c r="E741" s="1" t="s">
        <v>281</v>
      </c>
      <c r="F741" s="1" t="s">
        <v>282</v>
      </c>
      <c r="G741" s="1" t="s">
        <v>283</v>
      </c>
      <c r="H741" s="6" t="str">
        <f>VLOOKUP(A741,WorldCups!$A$2:$B$23,2,FALSE)</f>
        <v>Mexico</v>
      </c>
      <c r="I741" s="1" t="s">
        <v>109</v>
      </c>
      <c r="J741" s="1">
        <v>0</v>
      </c>
      <c r="K741" s="1" t="s">
        <v>284</v>
      </c>
      <c r="L741" s="1">
        <v>1</v>
      </c>
      <c r="M741" s="1" t="s">
        <v>14</v>
      </c>
    </row>
    <row r="742" spans="1:13" hidden="1" x14ac:dyDescent="0.25">
      <c r="A742" s="1">
        <v>1986</v>
      </c>
      <c r="B742" s="1">
        <v>371</v>
      </c>
      <c r="C742" s="2">
        <v>31567</v>
      </c>
      <c r="D742" s="1" t="s">
        <v>503</v>
      </c>
      <c r="E742" s="1" t="s">
        <v>281</v>
      </c>
      <c r="F742" s="1" t="s">
        <v>282</v>
      </c>
      <c r="G742" s="1" t="s">
        <v>283</v>
      </c>
      <c r="H742" s="6" t="str">
        <f>VLOOKUP(A742,WorldCups!$A$2:$B$23,2,FALSE)</f>
        <v>Mexico</v>
      </c>
      <c r="I742" s="1" t="s">
        <v>284</v>
      </c>
      <c r="J742" s="1">
        <v>1</v>
      </c>
      <c r="K742" s="1" t="s">
        <v>109</v>
      </c>
      <c r="L742" s="1">
        <v>0</v>
      </c>
      <c r="M742" s="1" t="s">
        <v>14</v>
      </c>
    </row>
    <row r="743" spans="1:13" hidden="1" x14ac:dyDescent="0.25">
      <c r="A743" s="1">
        <v>1986</v>
      </c>
      <c r="B743" s="1">
        <f>B742+1</f>
        <v>372</v>
      </c>
      <c r="C743" s="2">
        <v>31567</v>
      </c>
      <c r="D743" s="1" t="s">
        <v>523</v>
      </c>
      <c r="E743" s="1" t="s">
        <v>281</v>
      </c>
      <c r="F743" s="1" t="s">
        <v>285</v>
      </c>
      <c r="G743" s="1" t="s">
        <v>286</v>
      </c>
      <c r="H743" s="6" t="str">
        <f>VLOOKUP(A743,WorldCups!$A$2:$B$23,2,FALSE)</f>
        <v>Mexico</v>
      </c>
      <c r="I743" s="1" t="s">
        <v>30</v>
      </c>
      <c r="J743" s="1">
        <v>1</v>
      </c>
      <c r="K743" s="1" t="s">
        <v>114</v>
      </c>
      <c r="L743" s="1">
        <v>1</v>
      </c>
      <c r="M743" s="1" t="s">
        <v>14</v>
      </c>
    </row>
    <row r="744" spans="1:13" hidden="1" x14ac:dyDescent="0.25">
      <c r="A744" s="1">
        <v>1986</v>
      </c>
      <c r="B744" s="1">
        <v>372</v>
      </c>
      <c r="C744" s="2">
        <v>31567</v>
      </c>
      <c r="D744" s="1" t="s">
        <v>523</v>
      </c>
      <c r="E744" s="1" t="s">
        <v>281</v>
      </c>
      <c r="F744" s="1" t="s">
        <v>285</v>
      </c>
      <c r="G744" s="1" t="s">
        <v>286</v>
      </c>
      <c r="H744" s="6" t="str">
        <f>VLOOKUP(A744,WorldCups!$A$2:$B$23,2,FALSE)</f>
        <v>Mexico</v>
      </c>
      <c r="I744" s="1" t="s">
        <v>114</v>
      </c>
      <c r="J744" s="1">
        <v>1</v>
      </c>
      <c r="K744" s="1" t="s">
        <v>30</v>
      </c>
      <c r="L744" s="1">
        <v>1</v>
      </c>
      <c r="M744" s="1" t="s">
        <v>14</v>
      </c>
    </row>
    <row r="745" spans="1:13" hidden="1" x14ac:dyDescent="0.25">
      <c r="A745" s="1">
        <v>1986</v>
      </c>
      <c r="B745" s="1">
        <f>B744+1</f>
        <v>373</v>
      </c>
      <c r="C745" s="2">
        <v>31568</v>
      </c>
      <c r="D745" s="1" t="s">
        <v>523</v>
      </c>
      <c r="E745" s="1" t="s">
        <v>214</v>
      </c>
      <c r="F745" s="1" t="s">
        <v>179</v>
      </c>
      <c r="G745" s="1" t="s">
        <v>180</v>
      </c>
      <c r="H745" s="6" t="str">
        <f>VLOOKUP(A745,WorldCups!$A$2:$B$23,2,FALSE)</f>
        <v>Mexico</v>
      </c>
      <c r="I745" s="1" t="s">
        <v>57</v>
      </c>
      <c r="J745" s="1">
        <v>1</v>
      </c>
      <c r="K745" s="1" t="s">
        <v>25</v>
      </c>
      <c r="L745" s="1">
        <v>1</v>
      </c>
      <c r="M745" s="1" t="s">
        <v>14</v>
      </c>
    </row>
    <row r="746" spans="1:13" hidden="1" x14ac:dyDescent="0.25">
      <c r="A746" s="1">
        <v>1986</v>
      </c>
      <c r="B746" s="1">
        <v>373</v>
      </c>
      <c r="C746" s="2">
        <v>31568</v>
      </c>
      <c r="D746" s="1" t="s">
        <v>523</v>
      </c>
      <c r="E746" s="1" t="s">
        <v>214</v>
      </c>
      <c r="F746" s="1" t="s">
        <v>179</v>
      </c>
      <c r="G746" s="1" t="s">
        <v>180</v>
      </c>
      <c r="H746" s="6" t="str">
        <f>VLOOKUP(A746,WorldCups!$A$2:$B$23,2,FALSE)</f>
        <v>Mexico</v>
      </c>
      <c r="I746" s="1" t="s">
        <v>25</v>
      </c>
      <c r="J746" s="1">
        <v>1</v>
      </c>
      <c r="K746" s="1" t="s">
        <v>57</v>
      </c>
      <c r="L746" s="1">
        <v>1</v>
      </c>
      <c r="M746" s="1" t="s">
        <v>14</v>
      </c>
    </row>
    <row r="747" spans="1:13" hidden="1" x14ac:dyDescent="0.25">
      <c r="A747" s="1">
        <v>1986</v>
      </c>
      <c r="B747" s="1">
        <f>B746+1</f>
        <v>374</v>
      </c>
      <c r="C747" s="2">
        <v>31568</v>
      </c>
      <c r="D747" s="1" t="s">
        <v>523</v>
      </c>
      <c r="E747" s="1" t="s">
        <v>268</v>
      </c>
      <c r="F747" s="1" t="s">
        <v>182</v>
      </c>
      <c r="G747" s="1" t="s">
        <v>183</v>
      </c>
      <c r="H747" s="6" t="str">
        <f>VLOOKUP(A747,WorldCups!$A$2:$B$23,2,FALSE)</f>
        <v>Mexico</v>
      </c>
      <c r="I747" s="1" t="s">
        <v>12</v>
      </c>
      <c r="J747" s="1">
        <v>1</v>
      </c>
      <c r="K747" s="1" t="s">
        <v>126</v>
      </c>
      <c r="L747" s="1">
        <v>1</v>
      </c>
      <c r="M747" s="1" t="s">
        <v>14</v>
      </c>
    </row>
    <row r="748" spans="1:13" hidden="1" x14ac:dyDescent="0.25">
      <c r="A748" s="1">
        <v>1986</v>
      </c>
      <c r="B748" s="1">
        <v>374</v>
      </c>
      <c r="C748" s="2">
        <v>31568</v>
      </c>
      <c r="D748" s="1" t="s">
        <v>523</v>
      </c>
      <c r="E748" s="1" t="s">
        <v>268</v>
      </c>
      <c r="F748" s="1" t="s">
        <v>182</v>
      </c>
      <c r="G748" s="1" t="s">
        <v>183</v>
      </c>
      <c r="H748" s="6" t="str">
        <f>VLOOKUP(A748,WorldCups!$A$2:$B$23,2,FALSE)</f>
        <v>Mexico</v>
      </c>
      <c r="I748" s="1" t="s">
        <v>126</v>
      </c>
      <c r="J748" s="1">
        <v>1</v>
      </c>
      <c r="K748" s="1" t="s">
        <v>12</v>
      </c>
      <c r="L748" s="1">
        <v>1</v>
      </c>
      <c r="M748" s="1" t="s">
        <v>14</v>
      </c>
    </row>
    <row r="749" spans="1:13" hidden="1" x14ac:dyDescent="0.25">
      <c r="A749" s="1">
        <v>1986</v>
      </c>
      <c r="B749" s="1">
        <f>B748+1</f>
        <v>375</v>
      </c>
      <c r="C749" s="2">
        <v>31568</v>
      </c>
      <c r="D749" s="1" t="s">
        <v>503</v>
      </c>
      <c r="E749" s="1" t="s">
        <v>214</v>
      </c>
      <c r="F749" s="1" t="s">
        <v>273</v>
      </c>
      <c r="G749" s="1" t="s">
        <v>178</v>
      </c>
      <c r="H749" s="6" t="str">
        <f>VLOOKUP(A749,WorldCups!$A$2:$B$23,2,FALSE)</f>
        <v>Mexico</v>
      </c>
      <c r="I749" s="1" t="s">
        <v>116</v>
      </c>
      <c r="J749" s="1">
        <v>1</v>
      </c>
      <c r="K749" s="1" t="s">
        <v>156</v>
      </c>
      <c r="L749" s="1">
        <v>1</v>
      </c>
      <c r="M749" s="1" t="s">
        <v>14</v>
      </c>
    </row>
    <row r="750" spans="1:13" hidden="1" x14ac:dyDescent="0.25">
      <c r="A750" s="1">
        <v>1986</v>
      </c>
      <c r="B750" s="1">
        <v>375</v>
      </c>
      <c r="C750" s="2">
        <v>31568</v>
      </c>
      <c r="D750" s="1" t="s">
        <v>503</v>
      </c>
      <c r="E750" s="1" t="s">
        <v>214</v>
      </c>
      <c r="F750" s="1" t="s">
        <v>273</v>
      </c>
      <c r="G750" s="1" t="s">
        <v>178</v>
      </c>
      <c r="H750" s="6" t="str">
        <f>VLOOKUP(A750,WorldCups!$A$2:$B$23,2,FALSE)</f>
        <v>Mexico</v>
      </c>
      <c r="I750" s="1" t="s">
        <v>156</v>
      </c>
      <c r="J750" s="1">
        <v>1</v>
      </c>
      <c r="K750" s="1" t="s">
        <v>116</v>
      </c>
      <c r="L750" s="1">
        <v>1</v>
      </c>
      <c r="M750" s="1" t="s">
        <v>14</v>
      </c>
    </row>
    <row r="751" spans="1:13" hidden="1" x14ac:dyDescent="0.25">
      <c r="A751" s="1">
        <v>1986</v>
      </c>
      <c r="B751" s="1">
        <f>B750+1</f>
        <v>376</v>
      </c>
      <c r="C751" s="2">
        <v>31569</v>
      </c>
      <c r="D751" s="1" t="s">
        <v>523</v>
      </c>
      <c r="E751" s="1" t="s">
        <v>268</v>
      </c>
      <c r="F751" s="1" t="s">
        <v>271</v>
      </c>
      <c r="G751" s="1" t="s">
        <v>272</v>
      </c>
      <c r="H751" s="6" t="str">
        <f>VLOOKUP(A751,WorldCups!$A$2:$B$23,2,FALSE)</f>
        <v>Mexico</v>
      </c>
      <c r="I751" s="1" t="s">
        <v>40</v>
      </c>
      <c r="J751" s="1">
        <v>2</v>
      </c>
      <c r="K751" s="1" t="s">
        <v>269</v>
      </c>
      <c r="L751" s="1">
        <v>0</v>
      </c>
      <c r="M751" s="1" t="s">
        <v>14</v>
      </c>
    </row>
    <row r="752" spans="1:13" hidden="1" x14ac:dyDescent="0.25">
      <c r="A752" s="1">
        <v>1986</v>
      </c>
      <c r="B752" s="1">
        <v>376</v>
      </c>
      <c r="C752" s="2">
        <v>31569</v>
      </c>
      <c r="D752" s="1" t="s">
        <v>523</v>
      </c>
      <c r="E752" s="1" t="s">
        <v>268</v>
      </c>
      <c r="F752" s="1" t="s">
        <v>271</v>
      </c>
      <c r="G752" s="1" t="s">
        <v>272</v>
      </c>
      <c r="H752" s="6" t="str">
        <f>VLOOKUP(A752,WorldCups!$A$2:$B$23,2,FALSE)</f>
        <v>Mexico</v>
      </c>
      <c r="I752" s="1" t="s">
        <v>269</v>
      </c>
      <c r="J752" s="1">
        <v>0</v>
      </c>
      <c r="K752" s="1" t="s">
        <v>40</v>
      </c>
      <c r="L752" s="1">
        <v>2</v>
      </c>
      <c r="M752" s="1" t="s">
        <v>14</v>
      </c>
    </row>
    <row r="753" spans="1:13" hidden="1" x14ac:dyDescent="0.25">
      <c r="A753" s="1">
        <v>1986</v>
      </c>
      <c r="B753" s="1">
        <f>B752+1</f>
        <v>377</v>
      </c>
      <c r="C753" s="2">
        <v>31569</v>
      </c>
      <c r="D753" s="1" t="s">
        <v>523</v>
      </c>
      <c r="E753" s="1" t="s">
        <v>270</v>
      </c>
      <c r="F753" s="1" t="s">
        <v>184</v>
      </c>
      <c r="G753" s="1" t="s">
        <v>185</v>
      </c>
      <c r="H753" s="6" t="str">
        <f>VLOOKUP(A753,WorldCups!$A$2:$B$23,2,FALSE)</f>
        <v>Mexico</v>
      </c>
      <c r="I753" s="1" t="s">
        <v>21</v>
      </c>
      <c r="J753" s="1">
        <v>1</v>
      </c>
      <c r="K753" s="1" t="s">
        <v>246</v>
      </c>
      <c r="L753" s="1">
        <v>0</v>
      </c>
      <c r="M753" s="1" t="s">
        <v>14</v>
      </c>
    </row>
    <row r="754" spans="1:13" hidden="1" x14ac:dyDescent="0.25">
      <c r="A754" s="1">
        <v>1986</v>
      </c>
      <c r="B754" s="1">
        <v>377</v>
      </c>
      <c r="C754" s="2">
        <v>31569</v>
      </c>
      <c r="D754" s="1" t="s">
        <v>523</v>
      </c>
      <c r="E754" s="1" t="s">
        <v>270</v>
      </c>
      <c r="F754" s="1" t="s">
        <v>184</v>
      </c>
      <c r="G754" s="1" t="s">
        <v>185</v>
      </c>
      <c r="H754" s="6" t="str">
        <f>VLOOKUP(A754,WorldCups!$A$2:$B$23,2,FALSE)</f>
        <v>Mexico</v>
      </c>
      <c r="I754" s="1" t="s">
        <v>246</v>
      </c>
      <c r="J754" s="1">
        <v>0</v>
      </c>
      <c r="K754" s="1" t="s">
        <v>21</v>
      </c>
      <c r="L754" s="1">
        <v>1</v>
      </c>
      <c r="M754" s="1" t="s">
        <v>14</v>
      </c>
    </row>
    <row r="755" spans="1:13" hidden="1" x14ac:dyDescent="0.25">
      <c r="A755" s="1">
        <v>1986</v>
      </c>
      <c r="B755" s="1">
        <f>B754+1</f>
        <v>378</v>
      </c>
      <c r="C755" s="2">
        <v>31569</v>
      </c>
      <c r="D755" s="1" t="s">
        <v>503</v>
      </c>
      <c r="E755" s="1" t="s">
        <v>274</v>
      </c>
      <c r="F755" s="1" t="s">
        <v>278</v>
      </c>
      <c r="G755" s="1" t="s">
        <v>276</v>
      </c>
      <c r="H755" s="6" t="str">
        <f>VLOOKUP(A755,WorldCups!$A$2:$B$23,2,FALSE)</f>
        <v>Mexico</v>
      </c>
      <c r="I755" s="1" t="s">
        <v>93</v>
      </c>
      <c r="J755" s="1">
        <v>0</v>
      </c>
      <c r="K755" s="1" t="s">
        <v>188</v>
      </c>
      <c r="L755" s="1">
        <v>0</v>
      </c>
      <c r="M755" s="1" t="s">
        <v>14</v>
      </c>
    </row>
    <row r="756" spans="1:13" hidden="1" x14ac:dyDescent="0.25">
      <c r="A756" s="1">
        <v>1986</v>
      </c>
      <c r="B756" s="1">
        <v>378</v>
      </c>
      <c r="C756" s="2">
        <v>31569</v>
      </c>
      <c r="D756" s="1" t="s">
        <v>503</v>
      </c>
      <c r="E756" s="1" t="s">
        <v>274</v>
      </c>
      <c r="F756" s="1" t="s">
        <v>278</v>
      </c>
      <c r="G756" s="1" t="s">
        <v>276</v>
      </c>
      <c r="H756" s="6" t="str">
        <f>VLOOKUP(A756,WorldCups!$A$2:$B$23,2,FALSE)</f>
        <v>Mexico</v>
      </c>
      <c r="I756" s="1" t="s">
        <v>188</v>
      </c>
      <c r="J756" s="1">
        <v>0</v>
      </c>
      <c r="K756" s="1" t="s">
        <v>93</v>
      </c>
      <c r="L756" s="1">
        <v>0</v>
      </c>
      <c r="M756" s="1" t="s">
        <v>14</v>
      </c>
    </row>
    <row r="757" spans="1:13" hidden="1" x14ac:dyDescent="0.25">
      <c r="A757" s="1">
        <v>1986</v>
      </c>
      <c r="B757" s="1">
        <f>B756+1</f>
        <v>379</v>
      </c>
      <c r="C757" s="2">
        <v>31570</v>
      </c>
      <c r="D757" s="1" t="s">
        <v>523</v>
      </c>
      <c r="E757" s="1" t="s">
        <v>270</v>
      </c>
      <c r="F757" s="1" t="s">
        <v>277</v>
      </c>
      <c r="G757" s="1" t="s">
        <v>185</v>
      </c>
      <c r="H757" s="6" t="str">
        <f>VLOOKUP(A757,WorldCups!$A$2:$B$23,2,FALSE)</f>
        <v>Mexico</v>
      </c>
      <c r="I757" s="1" t="s">
        <v>537</v>
      </c>
      <c r="J757" s="1">
        <v>1</v>
      </c>
      <c r="K757" s="1" t="s">
        <v>54</v>
      </c>
      <c r="L757" s="1">
        <v>2</v>
      </c>
      <c r="M757" s="1" t="s">
        <v>14</v>
      </c>
    </row>
    <row r="758" spans="1:13" hidden="1" x14ac:dyDescent="0.25">
      <c r="A758" s="1">
        <v>1986</v>
      </c>
      <c r="B758" s="1">
        <v>379</v>
      </c>
      <c r="C758" s="2">
        <v>31570</v>
      </c>
      <c r="D758" s="1" t="s">
        <v>523</v>
      </c>
      <c r="E758" s="1" t="s">
        <v>270</v>
      </c>
      <c r="F758" s="1" t="s">
        <v>277</v>
      </c>
      <c r="G758" s="1" t="s">
        <v>185</v>
      </c>
      <c r="H758" s="6" t="str">
        <f>VLOOKUP(A758,WorldCups!$A$2:$B$23,2,FALSE)</f>
        <v>Mexico</v>
      </c>
      <c r="I758" s="1" t="s">
        <v>54</v>
      </c>
      <c r="J758" s="1">
        <v>2</v>
      </c>
      <c r="K758" s="1" t="s">
        <v>537</v>
      </c>
      <c r="L758" s="1">
        <v>1</v>
      </c>
      <c r="M758" s="1" t="s">
        <v>14</v>
      </c>
    </row>
    <row r="759" spans="1:13" hidden="1" x14ac:dyDescent="0.25">
      <c r="A759" s="1">
        <v>1986</v>
      </c>
      <c r="B759" s="1">
        <f>B758+1</f>
        <v>380</v>
      </c>
      <c r="C759" s="2">
        <v>31570</v>
      </c>
      <c r="D759" s="1" t="s">
        <v>523</v>
      </c>
      <c r="E759" s="1" t="s">
        <v>213</v>
      </c>
      <c r="F759" s="1" t="s">
        <v>177</v>
      </c>
      <c r="G759" s="1" t="s">
        <v>178</v>
      </c>
      <c r="H759" s="6" t="str">
        <f>VLOOKUP(A759,WorldCups!$A$2:$B$23,2,FALSE)</f>
        <v>Mexico</v>
      </c>
      <c r="I759" s="1" t="s">
        <v>13</v>
      </c>
      <c r="J759" s="1">
        <v>1</v>
      </c>
      <c r="K759" s="1" t="s">
        <v>28</v>
      </c>
      <c r="L759" s="1">
        <v>1</v>
      </c>
      <c r="M759" s="1" t="s">
        <v>14</v>
      </c>
    </row>
    <row r="760" spans="1:13" hidden="1" x14ac:dyDescent="0.25">
      <c r="A760" s="1">
        <v>1986</v>
      </c>
      <c r="B760" s="1">
        <v>380</v>
      </c>
      <c r="C760" s="2">
        <v>31570</v>
      </c>
      <c r="D760" s="1" t="s">
        <v>523</v>
      </c>
      <c r="E760" s="1" t="s">
        <v>213</v>
      </c>
      <c r="F760" s="1" t="s">
        <v>177</v>
      </c>
      <c r="G760" s="1" t="s">
        <v>178</v>
      </c>
      <c r="H760" s="6" t="str">
        <f>VLOOKUP(A760,WorldCups!$A$2:$B$23,2,FALSE)</f>
        <v>Mexico</v>
      </c>
      <c r="I760" s="1" t="s">
        <v>28</v>
      </c>
      <c r="J760" s="1">
        <v>1</v>
      </c>
      <c r="K760" s="1" t="s">
        <v>13</v>
      </c>
      <c r="L760" s="1">
        <v>1</v>
      </c>
      <c r="M760" s="1" t="s">
        <v>14</v>
      </c>
    </row>
    <row r="761" spans="1:13" hidden="1" x14ac:dyDescent="0.25">
      <c r="A761" s="1">
        <v>1986</v>
      </c>
      <c r="B761" s="1">
        <f>B760+1</f>
        <v>381</v>
      </c>
      <c r="C761" s="2">
        <v>31570</v>
      </c>
      <c r="D761" s="1" t="s">
        <v>503</v>
      </c>
      <c r="E761" s="1" t="s">
        <v>274</v>
      </c>
      <c r="F761" s="1" t="s">
        <v>275</v>
      </c>
      <c r="G761" s="1" t="s">
        <v>276</v>
      </c>
      <c r="H761" s="6" t="str">
        <f>VLOOKUP(A761,WorldCups!$A$2:$B$23,2,FALSE)</f>
        <v>Mexico</v>
      </c>
      <c r="I761" s="1" t="s">
        <v>80</v>
      </c>
      <c r="J761" s="1">
        <v>1</v>
      </c>
      <c r="K761" s="1" t="s">
        <v>170</v>
      </c>
      <c r="L761" s="1">
        <v>0</v>
      </c>
      <c r="M761" s="1" t="s">
        <v>14</v>
      </c>
    </row>
    <row r="762" spans="1:13" hidden="1" x14ac:dyDescent="0.25">
      <c r="A762" s="1">
        <v>1986</v>
      </c>
      <c r="B762" s="1">
        <v>381</v>
      </c>
      <c r="C762" s="2">
        <v>31570</v>
      </c>
      <c r="D762" s="1" t="s">
        <v>503</v>
      </c>
      <c r="E762" s="1" t="s">
        <v>274</v>
      </c>
      <c r="F762" s="1" t="s">
        <v>275</v>
      </c>
      <c r="G762" s="1" t="s">
        <v>276</v>
      </c>
      <c r="H762" s="6" t="str">
        <f>VLOOKUP(A762,WorldCups!$A$2:$B$23,2,FALSE)</f>
        <v>Mexico</v>
      </c>
      <c r="I762" s="1" t="s">
        <v>170</v>
      </c>
      <c r="J762" s="1">
        <v>0</v>
      </c>
      <c r="K762" s="1" t="s">
        <v>80</v>
      </c>
      <c r="L762" s="1">
        <v>1</v>
      </c>
      <c r="M762" s="1" t="s">
        <v>14</v>
      </c>
    </row>
    <row r="763" spans="1:13" hidden="1" x14ac:dyDescent="0.25">
      <c r="A763" s="1">
        <v>1986</v>
      </c>
      <c r="B763" s="1">
        <f>B762+1</f>
        <v>382</v>
      </c>
      <c r="C763" s="2">
        <v>31571</v>
      </c>
      <c r="D763" s="1" t="s">
        <v>523</v>
      </c>
      <c r="E763" s="1" t="s">
        <v>213</v>
      </c>
      <c r="F763" s="1" t="s">
        <v>279</v>
      </c>
      <c r="G763" s="1" t="s">
        <v>187</v>
      </c>
      <c r="H763" s="6" t="str">
        <f>VLOOKUP(A763,WorldCups!$A$2:$B$23,2,FALSE)</f>
        <v>Mexico</v>
      </c>
      <c r="I763" s="1" t="s">
        <v>280</v>
      </c>
      <c r="J763" s="1">
        <v>1</v>
      </c>
      <c r="K763" s="1" t="s">
        <v>18</v>
      </c>
      <c r="L763" s="1">
        <v>2</v>
      </c>
      <c r="M763" s="1" t="s">
        <v>14</v>
      </c>
    </row>
    <row r="764" spans="1:13" hidden="1" x14ac:dyDescent="0.25">
      <c r="A764" s="1">
        <v>1986</v>
      </c>
      <c r="B764" s="1">
        <v>382</v>
      </c>
      <c r="C764" s="2">
        <v>31571</v>
      </c>
      <c r="D764" s="1" t="s">
        <v>523</v>
      </c>
      <c r="E764" s="1" t="s">
        <v>213</v>
      </c>
      <c r="F764" s="1" t="s">
        <v>279</v>
      </c>
      <c r="G764" s="1" t="s">
        <v>187</v>
      </c>
      <c r="H764" s="6" t="str">
        <f>VLOOKUP(A764,WorldCups!$A$2:$B$23,2,FALSE)</f>
        <v>Mexico</v>
      </c>
      <c r="I764" s="1" t="s">
        <v>18</v>
      </c>
      <c r="J764" s="1">
        <v>2</v>
      </c>
      <c r="K764" s="1" t="s">
        <v>280</v>
      </c>
      <c r="L764" s="1">
        <v>1</v>
      </c>
      <c r="M764" s="1" t="s">
        <v>14</v>
      </c>
    </row>
    <row r="765" spans="1:13" hidden="1" x14ac:dyDescent="0.25">
      <c r="A765" s="1">
        <v>1986</v>
      </c>
      <c r="B765" s="1">
        <f>B764+1</f>
        <v>383</v>
      </c>
      <c r="C765" s="2">
        <v>31571</v>
      </c>
      <c r="D765" s="1" t="s">
        <v>503</v>
      </c>
      <c r="E765" s="1" t="s">
        <v>281</v>
      </c>
      <c r="F765" s="1" t="s">
        <v>282</v>
      </c>
      <c r="G765" s="1" t="s">
        <v>283</v>
      </c>
      <c r="H765" s="6" t="str">
        <f>VLOOKUP(A765,WorldCups!$A$2:$B$23,2,FALSE)</f>
        <v>Mexico</v>
      </c>
      <c r="I765" s="1" t="s">
        <v>284</v>
      </c>
      <c r="J765" s="1">
        <v>6</v>
      </c>
      <c r="K765" s="1" t="s">
        <v>30</v>
      </c>
      <c r="L765" s="1">
        <v>1</v>
      </c>
      <c r="M765" s="1" t="s">
        <v>14</v>
      </c>
    </row>
    <row r="766" spans="1:13" hidden="1" x14ac:dyDescent="0.25">
      <c r="A766" s="1">
        <v>1986</v>
      </c>
      <c r="B766" s="1">
        <v>383</v>
      </c>
      <c r="C766" s="2">
        <v>31571</v>
      </c>
      <c r="D766" s="1" t="s">
        <v>503</v>
      </c>
      <c r="E766" s="1" t="s">
        <v>281</v>
      </c>
      <c r="F766" s="1" t="s">
        <v>282</v>
      </c>
      <c r="G766" s="1" t="s">
        <v>283</v>
      </c>
      <c r="H766" s="6" t="str">
        <f>VLOOKUP(A766,WorldCups!$A$2:$B$23,2,FALSE)</f>
        <v>Mexico</v>
      </c>
      <c r="I766" s="1" t="s">
        <v>30</v>
      </c>
      <c r="J766" s="1">
        <v>1</v>
      </c>
      <c r="K766" s="1" t="s">
        <v>284</v>
      </c>
      <c r="L766" s="1">
        <v>6</v>
      </c>
      <c r="M766" s="1" t="s">
        <v>14</v>
      </c>
    </row>
    <row r="767" spans="1:13" hidden="1" x14ac:dyDescent="0.25">
      <c r="A767" s="1">
        <v>1986</v>
      </c>
      <c r="B767" s="1">
        <f>B766+1</f>
        <v>384</v>
      </c>
      <c r="C767" s="2">
        <v>31571</v>
      </c>
      <c r="D767" s="1" t="s">
        <v>523</v>
      </c>
      <c r="E767" s="1" t="s">
        <v>281</v>
      </c>
      <c r="F767" s="1" t="s">
        <v>285</v>
      </c>
      <c r="G767" s="1" t="s">
        <v>286</v>
      </c>
      <c r="H767" s="6" t="str">
        <f>VLOOKUP(A767,WorldCups!$A$2:$B$23,2,FALSE)</f>
        <v>Mexico</v>
      </c>
      <c r="I767" s="1" t="s">
        <v>114</v>
      </c>
      <c r="J767" s="1">
        <v>2</v>
      </c>
      <c r="K767" s="1" t="s">
        <v>109</v>
      </c>
      <c r="L767" s="1">
        <v>1</v>
      </c>
      <c r="M767" s="1" t="s">
        <v>14</v>
      </c>
    </row>
    <row r="768" spans="1:13" hidden="1" x14ac:dyDescent="0.25">
      <c r="A768" s="1">
        <v>1986</v>
      </c>
      <c r="B768" s="1">
        <v>384</v>
      </c>
      <c r="C768" s="2">
        <v>31571</v>
      </c>
      <c r="D768" s="1" t="s">
        <v>523</v>
      </c>
      <c r="E768" s="1" t="s">
        <v>281</v>
      </c>
      <c r="F768" s="1" t="s">
        <v>285</v>
      </c>
      <c r="G768" s="1" t="s">
        <v>286</v>
      </c>
      <c r="H768" s="6" t="str">
        <f>VLOOKUP(A768,WorldCups!$A$2:$B$23,2,FALSE)</f>
        <v>Mexico</v>
      </c>
      <c r="I768" s="1" t="s">
        <v>109</v>
      </c>
      <c r="J768" s="1">
        <v>1</v>
      </c>
      <c r="K768" s="1" t="s">
        <v>114</v>
      </c>
      <c r="L768" s="1">
        <v>2</v>
      </c>
      <c r="M768" s="1" t="s">
        <v>14</v>
      </c>
    </row>
    <row r="769" spans="1:13" hidden="1" x14ac:dyDescent="0.25">
      <c r="A769" s="1">
        <v>1986</v>
      </c>
      <c r="B769" s="1">
        <f>B768+1</f>
        <v>385</v>
      </c>
      <c r="C769" s="2">
        <v>31572</v>
      </c>
      <c r="D769" s="1" t="s">
        <v>523</v>
      </c>
      <c r="E769" s="1" t="s">
        <v>268</v>
      </c>
      <c r="F769" s="1" t="s">
        <v>182</v>
      </c>
      <c r="G769" s="1" t="s">
        <v>183</v>
      </c>
      <c r="H769" s="6" t="str">
        <f>VLOOKUP(A769,WorldCups!$A$2:$B$23,2,FALSE)</f>
        <v>Mexico</v>
      </c>
      <c r="I769" s="1" t="s">
        <v>40</v>
      </c>
      <c r="J769" s="1">
        <v>0</v>
      </c>
      <c r="K769" s="1" t="s">
        <v>12</v>
      </c>
      <c r="L769" s="1">
        <v>3</v>
      </c>
      <c r="M769" s="1" t="s">
        <v>14</v>
      </c>
    </row>
    <row r="770" spans="1:13" hidden="1" x14ac:dyDescent="0.25">
      <c r="A770" s="1">
        <v>1986</v>
      </c>
      <c r="B770" s="1">
        <v>385</v>
      </c>
      <c r="C770" s="2">
        <v>31572</v>
      </c>
      <c r="D770" s="1" t="s">
        <v>523</v>
      </c>
      <c r="E770" s="1" t="s">
        <v>268</v>
      </c>
      <c r="F770" s="1" t="s">
        <v>182</v>
      </c>
      <c r="G770" s="1" t="s">
        <v>183</v>
      </c>
      <c r="H770" s="6" t="str">
        <f>VLOOKUP(A770,WorldCups!$A$2:$B$23,2,FALSE)</f>
        <v>Mexico</v>
      </c>
      <c r="I770" s="1" t="s">
        <v>12</v>
      </c>
      <c r="J770" s="1">
        <v>3</v>
      </c>
      <c r="K770" s="1" t="s">
        <v>40</v>
      </c>
      <c r="L770" s="1">
        <v>0</v>
      </c>
      <c r="M770" s="1" t="s">
        <v>14</v>
      </c>
    </row>
    <row r="771" spans="1:13" hidden="1" x14ac:dyDescent="0.25">
      <c r="A771" s="1">
        <v>1986</v>
      </c>
      <c r="B771" s="1">
        <f>B770+1</f>
        <v>386</v>
      </c>
      <c r="C771" s="2">
        <v>31572</v>
      </c>
      <c r="D771" s="1" t="s">
        <v>523</v>
      </c>
      <c r="E771" s="1" t="s">
        <v>268</v>
      </c>
      <c r="F771" s="1" t="s">
        <v>271</v>
      </c>
      <c r="G771" s="1" t="s">
        <v>272</v>
      </c>
      <c r="H771" s="6" t="str">
        <f>VLOOKUP(A771,WorldCups!$A$2:$B$23,2,FALSE)</f>
        <v>Mexico</v>
      </c>
      <c r="I771" s="1" t="s">
        <v>126</v>
      </c>
      <c r="J771" s="1">
        <v>2</v>
      </c>
      <c r="K771" s="1" t="s">
        <v>269</v>
      </c>
      <c r="L771" s="1">
        <v>0</v>
      </c>
      <c r="M771" s="1" t="s">
        <v>14</v>
      </c>
    </row>
    <row r="772" spans="1:13" hidden="1" x14ac:dyDescent="0.25">
      <c r="A772" s="1">
        <v>1986</v>
      </c>
      <c r="B772" s="1">
        <v>386</v>
      </c>
      <c r="C772" s="2">
        <v>31572</v>
      </c>
      <c r="D772" s="1" t="s">
        <v>523</v>
      </c>
      <c r="E772" s="1" t="s">
        <v>268</v>
      </c>
      <c r="F772" s="1" t="s">
        <v>271</v>
      </c>
      <c r="G772" s="1" t="s">
        <v>272</v>
      </c>
      <c r="H772" s="6" t="str">
        <f>VLOOKUP(A772,WorldCups!$A$2:$B$23,2,FALSE)</f>
        <v>Mexico</v>
      </c>
      <c r="I772" s="1" t="s">
        <v>269</v>
      </c>
      <c r="J772" s="1">
        <v>0</v>
      </c>
      <c r="K772" s="1" t="s">
        <v>126</v>
      </c>
      <c r="L772" s="1">
        <v>2</v>
      </c>
      <c r="M772" s="1" t="s">
        <v>14</v>
      </c>
    </row>
    <row r="773" spans="1:13" hidden="1" x14ac:dyDescent="0.25">
      <c r="A773" s="1">
        <v>1986</v>
      </c>
      <c r="B773" s="1">
        <f>B772+1</f>
        <v>387</v>
      </c>
      <c r="C773" s="2">
        <v>31573</v>
      </c>
      <c r="D773" s="1" t="s">
        <v>523</v>
      </c>
      <c r="E773" s="1" t="s">
        <v>214</v>
      </c>
      <c r="F773" s="1" t="s">
        <v>179</v>
      </c>
      <c r="G773" s="1" t="s">
        <v>180</v>
      </c>
      <c r="H773" s="6" t="str">
        <f>VLOOKUP(A773,WorldCups!$A$2:$B$23,2,FALSE)</f>
        <v>Mexico</v>
      </c>
      <c r="I773" s="1" t="s">
        <v>116</v>
      </c>
      <c r="J773" s="1">
        <v>2</v>
      </c>
      <c r="K773" s="1" t="s">
        <v>57</v>
      </c>
      <c r="L773" s="1">
        <v>3</v>
      </c>
      <c r="M773" s="1" t="s">
        <v>14</v>
      </c>
    </row>
    <row r="774" spans="1:13" hidden="1" x14ac:dyDescent="0.25">
      <c r="A774" s="1">
        <v>1986</v>
      </c>
      <c r="B774" s="1">
        <v>387</v>
      </c>
      <c r="C774" s="2">
        <v>31573</v>
      </c>
      <c r="D774" s="1" t="s">
        <v>523</v>
      </c>
      <c r="E774" s="1" t="s">
        <v>214</v>
      </c>
      <c r="F774" s="1" t="s">
        <v>179</v>
      </c>
      <c r="G774" s="1" t="s">
        <v>180</v>
      </c>
      <c r="H774" s="6" t="str">
        <f>VLOOKUP(A774,WorldCups!$A$2:$B$23,2,FALSE)</f>
        <v>Mexico</v>
      </c>
      <c r="I774" s="1" t="s">
        <v>57</v>
      </c>
      <c r="J774" s="1">
        <v>3</v>
      </c>
      <c r="K774" s="1" t="s">
        <v>116</v>
      </c>
      <c r="L774" s="1">
        <v>2</v>
      </c>
      <c r="M774" s="1" t="s">
        <v>14</v>
      </c>
    </row>
    <row r="775" spans="1:13" hidden="1" x14ac:dyDescent="0.25">
      <c r="A775" s="1">
        <v>1986</v>
      </c>
      <c r="B775" s="1">
        <f>B774+1</f>
        <v>388</v>
      </c>
      <c r="C775" s="2">
        <v>31573</v>
      </c>
      <c r="D775" s="1" t="s">
        <v>523</v>
      </c>
      <c r="E775" s="1" t="s">
        <v>214</v>
      </c>
      <c r="F775" s="1" t="s">
        <v>273</v>
      </c>
      <c r="G775" s="1" t="s">
        <v>178</v>
      </c>
      <c r="H775" s="6" t="str">
        <f>VLOOKUP(A775,WorldCups!$A$2:$B$23,2,FALSE)</f>
        <v>Mexico</v>
      </c>
      <c r="I775" s="1" t="s">
        <v>25</v>
      </c>
      <c r="J775" s="1">
        <v>2</v>
      </c>
      <c r="K775" s="1" t="s">
        <v>156</v>
      </c>
      <c r="L775" s="1">
        <v>0</v>
      </c>
      <c r="M775" s="1" t="s">
        <v>14</v>
      </c>
    </row>
    <row r="776" spans="1:13" hidden="1" x14ac:dyDescent="0.25">
      <c r="A776" s="1">
        <v>1986</v>
      </c>
      <c r="B776" s="1">
        <v>388</v>
      </c>
      <c r="C776" s="2">
        <v>31573</v>
      </c>
      <c r="D776" s="1" t="s">
        <v>523</v>
      </c>
      <c r="E776" s="1" t="s">
        <v>214</v>
      </c>
      <c r="F776" s="1" t="s">
        <v>273</v>
      </c>
      <c r="G776" s="1" t="s">
        <v>178</v>
      </c>
      <c r="H776" s="6" t="str">
        <f>VLOOKUP(A776,WorldCups!$A$2:$B$23,2,FALSE)</f>
        <v>Mexico</v>
      </c>
      <c r="I776" s="1" t="s">
        <v>156</v>
      </c>
      <c r="J776" s="1">
        <v>0</v>
      </c>
      <c r="K776" s="1" t="s">
        <v>25</v>
      </c>
      <c r="L776" s="1">
        <v>2</v>
      </c>
      <c r="M776" s="1" t="s">
        <v>14</v>
      </c>
    </row>
    <row r="777" spans="1:13" hidden="1" x14ac:dyDescent="0.25">
      <c r="A777" s="1">
        <v>1986</v>
      </c>
      <c r="B777" s="1">
        <f>B776+1</f>
        <v>389</v>
      </c>
      <c r="C777" s="2">
        <v>31574</v>
      </c>
      <c r="D777" s="1" t="s">
        <v>523</v>
      </c>
      <c r="E777" s="1" t="s">
        <v>213</v>
      </c>
      <c r="F777" s="1" t="s">
        <v>279</v>
      </c>
      <c r="G777" s="1" t="s">
        <v>187</v>
      </c>
      <c r="H777" s="6" t="str">
        <f>VLOOKUP(A777,WorldCups!$A$2:$B$23,2,FALSE)</f>
        <v>Mexico</v>
      </c>
      <c r="I777" s="1" t="s">
        <v>28</v>
      </c>
      <c r="J777" s="1">
        <v>2</v>
      </c>
      <c r="K777" s="1" t="s">
        <v>18</v>
      </c>
      <c r="L777" s="1">
        <v>2</v>
      </c>
      <c r="M777" s="1" t="s">
        <v>14</v>
      </c>
    </row>
    <row r="778" spans="1:13" hidden="1" x14ac:dyDescent="0.25">
      <c r="A778" s="1">
        <v>1986</v>
      </c>
      <c r="B778" s="1">
        <v>389</v>
      </c>
      <c r="C778" s="2">
        <v>31574</v>
      </c>
      <c r="D778" s="1" t="s">
        <v>523</v>
      </c>
      <c r="E778" s="1" t="s">
        <v>213</v>
      </c>
      <c r="F778" s="1" t="s">
        <v>279</v>
      </c>
      <c r="G778" s="1" t="s">
        <v>187</v>
      </c>
      <c r="H778" s="6" t="str">
        <f>VLOOKUP(A778,WorldCups!$A$2:$B$23,2,FALSE)</f>
        <v>Mexico</v>
      </c>
      <c r="I778" s="1" t="s">
        <v>18</v>
      </c>
      <c r="J778" s="1">
        <v>2</v>
      </c>
      <c r="K778" s="1" t="s">
        <v>28</v>
      </c>
      <c r="L778" s="1">
        <v>2</v>
      </c>
      <c r="M778" s="1" t="s">
        <v>14</v>
      </c>
    </row>
    <row r="779" spans="1:13" hidden="1" x14ac:dyDescent="0.25">
      <c r="A779" s="1">
        <v>1986</v>
      </c>
      <c r="B779" s="1">
        <f>B778+1</f>
        <v>390</v>
      </c>
      <c r="C779" s="2">
        <v>31574</v>
      </c>
      <c r="D779" s="1" t="s">
        <v>523</v>
      </c>
      <c r="E779" s="1" t="s">
        <v>213</v>
      </c>
      <c r="F779" s="1" t="s">
        <v>177</v>
      </c>
      <c r="G779" s="1" t="s">
        <v>178</v>
      </c>
      <c r="H779" s="6" t="str">
        <f>VLOOKUP(A779,WorldCups!$A$2:$B$23,2,FALSE)</f>
        <v>Mexico</v>
      </c>
      <c r="I779" s="1" t="s">
        <v>280</v>
      </c>
      <c r="J779" s="1">
        <v>0</v>
      </c>
      <c r="K779" s="1" t="s">
        <v>13</v>
      </c>
      <c r="L779" s="1">
        <v>1</v>
      </c>
      <c r="M779" s="1" t="s">
        <v>14</v>
      </c>
    </row>
    <row r="780" spans="1:13" hidden="1" x14ac:dyDescent="0.25">
      <c r="A780" s="1">
        <v>1986</v>
      </c>
      <c r="B780" s="1">
        <v>390</v>
      </c>
      <c r="C780" s="2">
        <v>31574</v>
      </c>
      <c r="D780" s="1" t="s">
        <v>523</v>
      </c>
      <c r="E780" s="1" t="s">
        <v>213</v>
      </c>
      <c r="F780" s="1" t="s">
        <v>177</v>
      </c>
      <c r="G780" s="1" t="s">
        <v>178</v>
      </c>
      <c r="H780" s="6" t="str">
        <f>VLOOKUP(A780,WorldCups!$A$2:$B$23,2,FALSE)</f>
        <v>Mexico</v>
      </c>
      <c r="I780" s="1" t="s">
        <v>13</v>
      </c>
      <c r="J780" s="1">
        <v>1</v>
      </c>
      <c r="K780" s="1" t="s">
        <v>280</v>
      </c>
      <c r="L780" s="1">
        <v>0</v>
      </c>
      <c r="M780" s="1" t="s">
        <v>14</v>
      </c>
    </row>
    <row r="781" spans="1:13" hidden="1" x14ac:dyDescent="0.25">
      <c r="A781" s="1">
        <v>1986</v>
      </c>
      <c r="B781" s="1">
        <f>B780+1</f>
        <v>391</v>
      </c>
      <c r="C781" s="2">
        <v>31574</v>
      </c>
      <c r="D781" s="1" t="s">
        <v>503</v>
      </c>
      <c r="E781" s="1" t="s">
        <v>274</v>
      </c>
      <c r="F781" s="1" t="s">
        <v>277</v>
      </c>
      <c r="G781" s="1" t="s">
        <v>185</v>
      </c>
      <c r="H781" s="6" t="str">
        <f>VLOOKUP(A781,WorldCups!$A$2:$B$23,2,FALSE)</f>
        <v>Mexico</v>
      </c>
      <c r="I781" s="1" t="s">
        <v>170</v>
      </c>
      <c r="J781" s="1">
        <v>1</v>
      </c>
      <c r="K781" s="1" t="s">
        <v>188</v>
      </c>
      <c r="L781" s="1">
        <v>3</v>
      </c>
      <c r="M781" s="1" t="s">
        <v>14</v>
      </c>
    </row>
    <row r="782" spans="1:13" hidden="1" x14ac:dyDescent="0.25">
      <c r="A782" s="1">
        <v>1986</v>
      </c>
      <c r="B782" s="1">
        <v>391</v>
      </c>
      <c r="C782" s="2">
        <v>31574</v>
      </c>
      <c r="D782" s="1" t="s">
        <v>503</v>
      </c>
      <c r="E782" s="1" t="s">
        <v>274</v>
      </c>
      <c r="F782" s="1" t="s">
        <v>277</v>
      </c>
      <c r="G782" s="1" t="s">
        <v>185</v>
      </c>
      <c r="H782" s="6" t="str">
        <f>VLOOKUP(A782,WorldCups!$A$2:$B$23,2,FALSE)</f>
        <v>Mexico</v>
      </c>
      <c r="I782" s="1" t="s">
        <v>188</v>
      </c>
      <c r="J782" s="1">
        <v>3</v>
      </c>
      <c r="K782" s="1" t="s">
        <v>170</v>
      </c>
      <c r="L782" s="1">
        <v>1</v>
      </c>
      <c r="M782" s="1" t="s">
        <v>14</v>
      </c>
    </row>
    <row r="783" spans="1:13" hidden="1" x14ac:dyDescent="0.25">
      <c r="A783" s="1">
        <v>1986</v>
      </c>
      <c r="B783" s="1">
        <f>B782+1</f>
        <v>392</v>
      </c>
      <c r="C783" s="2">
        <v>31574</v>
      </c>
      <c r="D783" s="1" t="s">
        <v>503</v>
      </c>
      <c r="E783" s="1" t="s">
        <v>274</v>
      </c>
      <c r="F783" s="1" t="s">
        <v>278</v>
      </c>
      <c r="G783" s="1" t="s">
        <v>276</v>
      </c>
      <c r="H783" s="6" t="str">
        <f>VLOOKUP(A783,WorldCups!$A$2:$B$23,2,FALSE)</f>
        <v>Mexico</v>
      </c>
      <c r="I783" s="1" t="s">
        <v>93</v>
      </c>
      <c r="J783" s="1">
        <v>3</v>
      </c>
      <c r="K783" s="1" t="s">
        <v>80</v>
      </c>
      <c r="L783" s="1">
        <v>0</v>
      </c>
      <c r="M783" s="1" t="s">
        <v>14</v>
      </c>
    </row>
    <row r="784" spans="1:13" hidden="1" x14ac:dyDescent="0.25">
      <c r="A784" s="1">
        <v>1986</v>
      </c>
      <c r="B784" s="1">
        <v>392</v>
      </c>
      <c r="C784" s="2">
        <v>31574</v>
      </c>
      <c r="D784" s="1" t="s">
        <v>503</v>
      </c>
      <c r="E784" s="1" t="s">
        <v>274</v>
      </c>
      <c r="F784" s="1" t="s">
        <v>278</v>
      </c>
      <c r="G784" s="1" t="s">
        <v>276</v>
      </c>
      <c r="H784" s="6" t="str">
        <f>VLOOKUP(A784,WorldCups!$A$2:$B$23,2,FALSE)</f>
        <v>Mexico</v>
      </c>
      <c r="I784" s="1" t="s">
        <v>80</v>
      </c>
      <c r="J784" s="1">
        <v>0</v>
      </c>
      <c r="K784" s="1" t="s">
        <v>93</v>
      </c>
      <c r="L784" s="1">
        <v>3</v>
      </c>
      <c r="M784" s="1" t="s">
        <v>14</v>
      </c>
    </row>
    <row r="785" spans="1:13" hidden="1" x14ac:dyDescent="0.25">
      <c r="A785" s="1">
        <v>1986</v>
      </c>
      <c r="B785" s="1">
        <f>B784+1</f>
        <v>393</v>
      </c>
      <c r="C785" s="2">
        <v>31575</v>
      </c>
      <c r="D785" s="1" t="s">
        <v>523</v>
      </c>
      <c r="E785" s="1" t="s">
        <v>270</v>
      </c>
      <c r="F785" s="1" t="s">
        <v>184</v>
      </c>
      <c r="G785" s="1" t="s">
        <v>185</v>
      </c>
      <c r="H785" s="6" t="str">
        <f>VLOOKUP(A785,WorldCups!$A$2:$B$23,2,FALSE)</f>
        <v>Mexico</v>
      </c>
      <c r="I785" s="1" t="s">
        <v>537</v>
      </c>
      <c r="J785" s="1">
        <v>0</v>
      </c>
      <c r="K785" s="1" t="s">
        <v>21</v>
      </c>
      <c r="L785" s="1">
        <v>3</v>
      </c>
      <c r="M785" s="1" t="s">
        <v>14</v>
      </c>
    </row>
    <row r="786" spans="1:13" hidden="1" x14ac:dyDescent="0.25">
      <c r="A786" s="1">
        <v>1986</v>
      </c>
      <c r="B786" s="1">
        <v>393</v>
      </c>
      <c r="C786" s="2">
        <v>31575</v>
      </c>
      <c r="D786" s="1" t="s">
        <v>523</v>
      </c>
      <c r="E786" s="1" t="s">
        <v>270</v>
      </c>
      <c r="F786" s="1" t="s">
        <v>184</v>
      </c>
      <c r="G786" s="1" t="s">
        <v>185</v>
      </c>
      <c r="H786" s="6" t="str">
        <f>VLOOKUP(A786,WorldCups!$A$2:$B$23,2,FALSE)</f>
        <v>Mexico</v>
      </c>
      <c r="I786" s="1" t="s">
        <v>21</v>
      </c>
      <c r="J786" s="1">
        <v>3</v>
      </c>
      <c r="K786" s="1" t="s">
        <v>537</v>
      </c>
      <c r="L786" s="1">
        <v>0</v>
      </c>
      <c r="M786" s="1" t="s">
        <v>14</v>
      </c>
    </row>
    <row r="787" spans="1:13" hidden="1" x14ac:dyDescent="0.25">
      <c r="A787" s="1">
        <v>1986</v>
      </c>
      <c r="B787" s="1">
        <f>B786+1</f>
        <v>394</v>
      </c>
      <c r="C787" s="2">
        <v>31575</v>
      </c>
      <c r="D787" s="1" t="s">
        <v>523</v>
      </c>
      <c r="E787" s="1" t="s">
        <v>270</v>
      </c>
      <c r="F787" s="1" t="s">
        <v>278</v>
      </c>
      <c r="G787" s="1" t="s">
        <v>276</v>
      </c>
      <c r="H787" s="6" t="str">
        <f>VLOOKUP(A787,WorldCups!$A$2:$B$23,2,FALSE)</f>
        <v>Mexico</v>
      </c>
      <c r="I787" s="1" t="s">
        <v>246</v>
      </c>
      <c r="J787" s="1">
        <v>0</v>
      </c>
      <c r="K787" s="1" t="s">
        <v>54</v>
      </c>
      <c r="L787" s="1">
        <v>3</v>
      </c>
      <c r="M787" s="1" t="s">
        <v>14</v>
      </c>
    </row>
    <row r="788" spans="1:13" hidden="1" x14ac:dyDescent="0.25">
      <c r="A788" s="1">
        <v>1986</v>
      </c>
      <c r="B788" s="1">
        <v>394</v>
      </c>
      <c r="C788" s="2">
        <v>31575</v>
      </c>
      <c r="D788" s="1" t="s">
        <v>523</v>
      </c>
      <c r="E788" s="1" t="s">
        <v>270</v>
      </c>
      <c r="F788" s="1" t="s">
        <v>278</v>
      </c>
      <c r="G788" s="1" t="s">
        <v>276</v>
      </c>
      <c r="H788" s="6" t="str">
        <f>VLOOKUP(A788,WorldCups!$A$2:$B$23,2,FALSE)</f>
        <v>Mexico</v>
      </c>
      <c r="I788" s="1" t="s">
        <v>54</v>
      </c>
      <c r="J788" s="1">
        <v>3</v>
      </c>
      <c r="K788" s="1" t="s">
        <v>246</v>
      </c>
      <c r="L788" s="1">
        <v>0</v>
      </c>
      <c r="M788" s="1" t="s">
        <v>14</v>
      </c>
    </row>
    <row r="789" spans="1:13" hidden="1" x14ac:dyDescent="0.25">
      <c r="A789" s="1">
        <v>1986</v>
      </c>
      <c r="B789" s="1">
        <f>B788+1</f>
        <v>395</v>
      </c>
      <c r="C789" s="2">
        <v>31576</v>
      </c>
      <c r="D789" s="1" t="s">
        <v>523</v>
      </c>
      <c r="E789" s="1" t="s">
        <v>281</v>
      </c>
      <c r="F789" s="1" t="s">
        <v>282</v>
      </c>
      <c r="G789" s="1" t="s">
        <v>283</v>
      </c>
      <c r="H789" s="6" t="str">
        <f>VLOOKUP(A789,WorldCups!$A$2:$B$23,2,FALSE)</f>
        <v>Mexico</v>
      </c>
      <c r="I789" s="1" t="s">
        <v>109</v>
      </c>
      <c r="J789" s="1">
        <v>0</v>
      </c>
      <c r="K789" s="1" t="s">
        <v>30</v>
      </c>
      <c r="L789" s="1">
        <v>0</v>
      </c>
      <c r="M789" s="1" t="s">
        <v>14</v>
      </c>
    </row>
    <row r="790" spans="1:13" hidden="1" x14ac:dyDescent="0.25">
      <c r="A790" s="1">
        <v>1986</v>
      </c>
      <c r="B790" s="1">
        <v>395</v>
      </c>
      <c r="C790" s="2">
        <v>31576</v>
      </c>
      <c r="D790" s="1" t="s">
        <v>523</v>
      </c>
      <c r="E790" s="1" t="s">
        <v>281</v>
      </c>
      <c r="F790" s="1" t="s">
        <v>282</v>
      </c>
      <c r="G790" s="1" t="s">
        <v>283</v>
      </c>
      <c r="H790" s="6" t="str">
        <f>VLOOKUP(A790,WorldCups!$A$2:$B$23,2,FALSE)</f>
        <v>Mexico</v>
      </c>
      <c r="I790" s="1" t="s">
        <v>30</v>
      </c>
      <c r="J790" s="1">
        <v>0</v>
      </c>
      <c r="K790" s="1" t="s">
        <v>109</v>
      </c>
      <c r="L790" s="1">
        <v>0</v>
      </c>
      <c r="M790" s="1" t="s">
        <v>14</v>
      </c>
    </row>
    <row r="791" spans="1:13" hidden="1" x14ac:dyDescent="0.25">
      <c r="A791" s="1">
        <v>1986</v>
      </c>
      <c r="B791" s="1">
        <f>B790+1</f>
        <v>396</v>
      </c>
      <c r="C791" s="2">
        <v>31576</v>
      </c>
      <c r="D791" s="1" t="s">
        <v>523</v>
      </c>
      <c r="E791" s="1" t="s">
        <v>281</v>
      </c>
      <c r="F791" s="1" t="s">
        <v>285</v>
      </c>
      <c r="G791" s="1" t="s">
        <v>286</v>
      </c>
      <c r="H791" s="6" t="str">
        <f>VLOOKUP(A791,WorldCups!$A$2:$B$23,2,FALSE)</f>
        <v>Mexico</v>
      </c>
      <c r="I791" s="1" t="s">
        <v>284</v>
      </c>
      <c r="J791" s="1">
        <v>2</v>
      </c>
      <c r="K791" s="1" t="s">
        <v>114</v>
      </c>
      <c r="L791" s="1">
        <v>0</v>
      </c>
      <c r="M791" s="1" t="s">
        <v>14</v>
      </c>
    </row>
    <row r="792" spans="1:13" hidden="1" x14ac:dyDescent="0.25">
      <c r="A792" s="1">
        <v>1986</v>
      </c>
      <c r="B792" s="1">
        <v>396</v>
      </c>
      <c r="C792" s="2">
        <v>31576</v>
      </c>
      <c r="D792" s="1" t="s">
        <v>523</v>
      </c>
      <c r="E792" s="1" t="s">
        <v>281</v>
      </c>
      <c r="F792" s="1" t="s">
        <v>285</v>
      </c>
      <c r="G792" s="1" t="s">
        <v>286</v>
      </c>
      <c r="H792" s="6" t="str">
        <f>VLOOKUP(A792,WorldCups!$A$2:$B$23,2,FALSE)</f>
        <v>Mexico</v>
      </c>
      <c r="I792" s="1" t="s">
        <v>114</v>
      </c>
      <c r="J792" s="1">
        <v>0</v>
      </c>
      <c r="K792" s="1" t="s">
        <v>284</v>
      </c>
      <c r="L792" s="1">
        <v>2</v>
      </c>
      <c r="M792" s="1" t="s">
        <v>14</v>
      </c>
    </row>
    <row r="793" spans="1:13" hidden="1" x14ac:dyDescent="0.25">
      <c r="A793" s="1">
        <v>1986</v>
      </c>
      <c r="B793" s="1">
        <f>B792+1</f>
        <v>397</v>
      </c>
      <c r="C793" s="2">
        <v>31578</v>
      </c>
      <c r="D793" s="1" t="s">
        <v>503</v>
      </c>
      <c r="E793" s="1" t="s">
        <v>287</v>
      </c>
      <c r="F793" s="1" t="s">
        <v>182</v>
      </c>
      <c r="G793" s="1" t="s">
        <v>183</v>
      </c>
      <c r="H793" s="6" t="str">
        <f>VLOOKUP(A793,WorldCups!$A$2:$B$23,2,FALSE)</f>
        <v>Mexico</v>
      </c>
      <c r="I793" s="1" t="s">
        <v>126</v>
      </c>
      <c r="J793" s="1">
        <v>3</v>
      </c>
      <c r="K793" s="1" t="s">
        <v>18</v>
      </c>
      <c r="L793" s="1">
        <v>4</v>
      </c>
      <c r="M793" s="1" t="s">
        <v>288</v>
      </c>
    </row>
    <row r="794" spans="1:13" hidden="1" x14ac:dyDescent="0.25">
      <c r="A794" s="1">
        <v>1986</v>
      </c>
      <c r="B794" s="1">
        <v>397</v>
      </c>
      <c r="C794" s="2">
        <v>31578</v>
      </c>
      <c r="D794" s="1" t="s">
        <v>503</v>
      </c>
      <c r="E794" s="1" t="s">
        <v>287</v>
      </c>
      <c r="F794" s="1" t="s">
        <v>182</v>
      </c>
      <c r="G794" s="1" t="s">
        <v>183</v>
      </c>
      <c r="H794" s="6" t="str">
        <f>VLOOKUP(A794,WorldCups!$A$2:$B$23,2,FALSE)</f>
        <v>Mexico</v>
      </c>
      <c r="I794" s="1" t="s">
        <v>18</v>
      </c>
      <c r="J794" s="1">
        <v>4</v>
      </c>
      <c r="K794" s="1" t="s">
        <v>126</v>
      </c>
      <c r="L794" s="1">
        <v>3</v>
      </c>
      <c r="M794" s="1" t="s">
        <v>288</v>
      </c>
    </row>
    <row r="795" spans="1:13" hidden="1" x14ac:dyDescent="0.25">
      <c r="A795" s="1">
        <v>1986</v>
      </c>
      <c r="B795" s="1">
        <f>B794+1</f>
        <v>398</v>
      </c>
      <c r="C795" s="2">
        <v>31578</v>
      </c>
      <c r="D795" s="1" t="s">
        <v>523</v>
      </c>
      <c r="E795" s="1" t="s">
        <v>287</v>
      </c>
      <c r="F795" s="1" t="s">
        <v>177</v>
      </c>
      <c r="G795" s="1" t="s">
        <v>178</v>
      </c>
      <c r="H795" s="6" t="str">
        <f>VLOOKUP(A795,WorldCups!$A$2:$B$23,2,FALSE)</f>
        <v>Mexico</v>
      </c>
      <c r="I795" s="1" t="s">
        <v>13</v>
      </c>
      <c r="J795" s="1">
        <v>2</v>
      </c>
      <c r="K795" s="1" t="s">
        <v>156</v>
      </c>
      <c r="L795" s="1">
        <v>0</v>
      </c>
      <c r="M795" s="1" t="s">
        <v>14</v>
      </c>
    </row>
    <row r="796" spans="1:13" hidden="1" x14ac:dyDescent="0.25">
      <c r="A796" s="1">
        <v>1986</v>
      </c>
      <c r="B796" s="1">
        <v>398</v>
      </c>
      <c r="C796" s="2">
        <v>31578</v>
      </c>
      <c r="D796" s="1" t="s">
        <v>523</v>
      </c>
      <c r="E796" s="1" t="s">
        <v>287</v>
      </c>
      <c r="F796" s="1" t="s">
        <v>177</v>
      </c>
      <c r="G796" s="1" t="s">
        <v>178</v>
      </c>
      <c r="H796" s="6" t="str">
        <f>VLOOKUP(A796,WorldCups!$A$2:$B$23,2,FALSE)</f>
        <v>Mexico</v>
      </c>
      <c r="I796" s="1" t="s">
        <v>156</v>
      </c>
      <c r="J796" s="1">
        <v>0</v>
      </c>
      <c r="K796" s="1" t="s">
        <v>13</v>
      </c>
      <c r="L796" s="1">
        <v>2</v>
      </c>
      <c r="M796" s="1" t="s">
        <v>14</v>
      </c>
    </row>
    <row r="797" spans="1:13" hidden="1" x14ac:dyDescent="0.25">
      <c r="A797" s="1">
        <v>1986</v>
      </c>
      <c r="B797" s="1">
        <f>B796+1</f>
        <v>399</v>
      </c>
      <c r="C797" s="2">
        <v>31579</v>
      </c>
      <c r="D797" s="1" t="s">
        <v>503</v>
      </c>
      <c r="E797" s="1" t="s">
        <v>287</v>
      </c>
      <c r="F797" s="1" t="s">
        <v>179</v>
      </c>
      <c r="G797" s="1" t="s">
        <v>180</v>
      </c>
      <c r="H797" s="6" t="str">
        <f>VLOOKUP(A797,WorldCups!$A$2:$B$23,2,FALSE)</f>
        <v>Mexico</v>
      </c>
      <c r="I797" s="1" t="s">
        <v>25</v>
      </c>
      <c r="J797" s="1">
        <v>1</v>
      </c>
      <c r="K797" s="1" t="s">
        <v>30</v>
      </c>
      <c r="L797" s="1">
        <v>0</v>
      </c>
      <c r="M797" s="1" t="s">
        <v>14</v>
      </c>
    </row>
    <row r="798" spans="1:13" hidden="1" x14ac:dyDescent="0.25">
      <c r="A798" s="1">
        <v>1986</v>
      </c>
      <c r="B798" s="1">
        <v>399</v>
      </c>
      <c r="C798" s="2">
        <v>31579</v>
      </c>
      <c r="D798" s="1" t="s">
        <v>503</v>
      </c>
      <c r="E798" s="1" t="s">
        <v>287</v>
      </c>
      <c r="F798" s="1" t="s">
        <v>179</v>
      </c>
      <c r="G798" s="1" t="s">
        <v>180</v>
      </c>
      <c r="H798" s="6" t="str">
        <f>VLOOKUP(A798,WorldCups!$A$2:$B$23,2,FALSE)</f>
        <v>Mexico</v>
      </c>
      <c r="I798" s="1" t="s">
        <v>30</v>
      </c>
      <c r="J798" s="1">
        <v>0</v>
      </c>
      <c r="K798" s="1" t="s">
        <v>25</v>
      </c>
      <c r="L798" s="1">
        <v>1</v>
      </c>
      <c r="M798" s="1" t="s">
        <v>14</v>
      </c>
    </row>
    <row r="799" spans="1:13" hidden="1" x14ac:dyDescent="0.25">
      <c r="A799" s="1">
        <v>1986</v>
      </c>
      <c r="B799" s="1">
        <f>B798+1</f>
        <v>400</v>
      </c>
      <c r="C799" s="2">
        <v>31579</v>
      </c>
      <c r="D799" s="1" t="s">
        <v>523</v>
      </c>
      <c r="E799" s="1" t="s">
        <v>287</v>
      </c>
      <c r="F799" s="1" t="s">
        <v>184</v>
      </c>
      <c r="G799" s="1" t="s">
        <v>185</v>
      </c>
      <c r="H799" s="6" t="str">
        <f>VLOOKUP(A799,WorldCups!$A$2:$B$23,2,FALSE)</f>
        <v>Mexico</v>
      </c>
      <c r="I799" s="1" t="s">
        <v>21</v>
      </c>
      <c r="J799" s="1">
        <v>4</v>
      </c>
      <c r="K799" s="1" t="s">
        <v>80</v>
      </c>
      <c r="L799" s="1">
        <v>0</v>
      </c>
      <c r="M799" s="1" t="s">
        <v>14</v>
      </c>
    </row>
    <row r="800" spans="1:13" hidden="1" x14ac:dyDescent="0.25">
      <c r="A800" s="1">
        <v>1986</v>
      </c>
      <c r="B800" s="1">
        <v>400</v>
      </c>
      <c r="C800" s="2">
        <v>31579</v>
      </c>
      <c r="D800" s="1" t="s">
        <v>523</v>
      </c>
      <c r="E800" s="1" t="s">
        <v>287</v>
      </c>
      <c r="F800" s="1" t="s">
        <v>184</v>
      </c>
      <c r="G800" s="1" t="s">
        <v>185</v>
      </c>
      <c r="H800" s="6" t="str">
        <f>VLOOKUP(A800,WorldCups!$A$2:$B$23,2,FALSE)</f>
        <v>Mexico</v>
      </c>
      <c r="I800" s="1" t="s">
        <v>80</v>
      </c>
      <c r="J800" s="1">
        <v>0</v>
      </c>
      <c r="K800" s="1" t="s">
        <v>21</v>
      </c>
      <c r="L800" s="1">
        <v>4</v>
      </c>
      <c r="M800" s="1" t="s">
        <v>14</v>
      </c>
    </row>
    <row r="801" spans="1:13" hidden="1" x14ac:dyDescent="0.25">
      <c r="A801" s="1">
        <v>1986</v>
      </c>
      <c r="B801" s="1">
        <f>B800+1</f>
        <v>401</v>
      </c>
      <c r="C801" s="2">
        <v>31580</v>
      </c>
      <c r="D801" s="1" t="s">
        <v>523</v>
      </c>
      <c r="E801" s="1" t="s">
        <v>287</v>
      </c>
      <c r="F801" s="1" t="s">
        <v>273</v>
      </c>
      <c r="G801" s="1" t="s">
        <v>178</v>
      </c>
      <c r="H801" s="6" t="str">
        <f>VLOOKUP(A801,WorldCups!$A$2:$B$23,2,FALSE)</f>
        <v>Mexico</v>
      </c>
      <c r="I801" s="1" t="s">
        <v>57</v>
      </c>
      <c r="J801" s="1">
        <v>0</v>
      </c>
      <c r="K801" s="1" t="s">
        <v>12</v>
      </c>
      <c r="L801" s="1">
        <v>2</v>
      </c>
      <c r="M801" s="1" t="s">
        <v>14</v>
      </c>
    </row>
    <row r="802" spans="1:13" hidden="1" x14ac:dyDescent="0.25">
      <c r="A802" s="1">
        <v>1986</v>
      </c>
      <c r="B802" s="1">
        <v>401</v>
      </c>
      <c r="C802" s="2">
        <v>31580</v>
      </c>
      <c r="D802" s="1" t="s">
        <v>523</v>
      </c>
      <c r="E802" s="1" t="s">
        <v>287</v>
      </c>
      <c r="F802" s="1" t="s">
        <v>273</v>
      </c>
      <c r="G802" s="1" t="s">
        <v>178</v>
      </c>
      <c r="H802" s="6" t="str">
        <f>VLOOKUP(A802,WorldCups!$A$2:$B$23,2,FALSE)</f>
        <v>Mexico</v>
      </c>
      <c r="I802" s="1" t="s">
        <v>12</v>
      </c>
      <c r="J802" s="1">
        <v>2</v>
      </c>
      <c r="K802" s="1" t="s">
        <v>57</v>
      </c>
      <c r="L802" s="1">
        <v>0</v>
      </c>
      <c r="M802" s="1" t="s">
        <v>14</v>
      </c>
    </row>
    <row r="803" spans="1:13" hidden="1" x14ac:dyDescent="0.25">
      <c r="A803" s="1">
        <v>1986</v>
      </c>
      <c r="B803" s="1">
        <f>B802+1</f>
        <v>402</v>
      </c>
      <c r="C803" s="2">
        <v>31580</v>
      </c>
      <c r="D803" s="1" t="s">
        <v>503</v>
      </c>
      <c r="E803" s="1" t="s">
        <v>287</v>
      </c>
      <c r="F803" s="1" t="s">
        <v>275</v>
      </c>
      <c r="G803" s="1" t="s">
        <v>276</v>
      </c>
      <c r="H803" s="6" t="str">
        <f>VLOOKUP(A803,WorldCups!$A$2:$B$23,2,FALSE)</f>
        <v>Mexico</v>
      </c>
      <c r="I803" s="1" t="s">
        <v>188</v>
      </c>
      <c r="J803" s="1">
        <v>0</v>
      </c>
      <c r="K803" s="1" t="s">
        <v>114</v>
      </c>
      <c r="L803" s="1">
        <v>1</v>
      </c>
      <c r="M803" s="1" t="s">
        <v>14</v>
      </c>
    </row>
    <row r="804" spans="1:13" hidden="1" x14ac:dyDescent="0.25">
      <c r="A804" s="1">
        <v>1986</v>
      </c>
      <c r="B804" s="1">
        <v>402</v>
      </c>
      <c r="C804" s="2">
        <v>31580</v>
      </c>
      <c r="D804" s="1" t="s">
        <v>503</v>
      </c>
      <c r="E804" s="1" t="s">
        <v>287</v>
      </c>
      <c r="F804" s="1" t="s">
        <v>275</v>
      </c>
      <c r="G804" s="1" t="s">
        <v>276</v>
      </c>
      <c r="H804" s="6" t="str">
        <f>VLOOKUP(A804,WorldCups!$A$2:$B$23,2,FALSE)</f>
        <v>Mexico</v>
      </c>
      <c r="I804" s="1" t="s">
        <v>114</v>
      </c>
      <c r="J804" s="1">
        <v>1</v>
      </c>
      <c r="K804" s="1" t="s">
        <v>188</v>
      </c>
      <c r="L804" s="1">
        <v>0</v>
      </c>
      <c r="M804" s="1" t="s">
        <v>14</v>
      </c>
    </row>
    <row r="805" spans="1:13" hidden="1" x14ac:dyDescent="0.25">
      <c r="A805" s="1">
        <v>1986</v>
      </c>
      <c r="B805" s="1">
        <f>B804+1</f>
        <v>403</v>
      </c>
      <c r="C805" s="2">
        <v>31581</v>
      </c>
      <c r="D805" s="1" t="s">
        <v>523</v>
      </c>
      <c r="E805" s="1" t="s">
        <v>287</v>
      </c>
      <c r="F805" s="1" t="s">
        <v>177</v>
      </c>
      <c r="G805" s="1" t="s">
        <v>178</v>
      </c>
      <c r="H805" s="6" t="str">
        <f>VLOOKUP(A805,WorldCups!$A$2:$B$23,2,FALSE)</f>
        <v>Mexico</v>
      </c>
      <c r="I805" s="1" t="s">
        <v>93</v>
      </c>
      <c r="J805" s="1">
        <v>3</v>
      </c>
      <c r="K805" s="1" t="s">
        <v>28</v>
      </c>
      <c r="L805" s="1">
        <v>0</v>
      </c>
      <c r="M805" s="1" t="s">
        <v>14</v>
      </c>
    </row>
    <row r="806" spans="1:13" hidden="1" x14ac:dyDescent="0.25">
      <c r="A806" s="1">
        <v>1986</v>
      </c>
      <c r="B806" s="1">
        <v>403</v>
      </c>
      <c r="C806" s="2">
        <v>31581</v>
      </c>
      <c r="D806" s="1" t="s">
        <v>523</v>
      </c>
      <c r="E806" s="1" t="s">
        <v>287</v>
      </c>
      <c r="F806" s="1" t="s">
        <v>177</v>
      </c>
      <c r="G806" s="1" t="s">
        <v>178</v>
      </c>
      <c r="H806" s="6" t="str">
        <f>VLOOKUP(A806,WorldCups!$A$2:$B$23,2,FALSE)</f>
        <v>Mexico</v>
      </c>
      <c r="I806" s="1" t="s">
        <v>28</v>
      </c>
      <c r="J806" s="1">
        <v>0</v>
      </c>
      <c r="K806" s="1" t="s">
        <v>93</v>
      </c>
      <c r="L806" s="1">
        <v>3</v>
      </c>
      <c r="M806" s="1" t="s">
        <v>14</v>
      </c>
    </row>
    <row r="807" spans="1:13" hidden="1" x14ac:dyDescent="0.25">
      <c r="A807" s="1">
        <v>1986</v>
      </c>
      <c r="B807" s="1">
        <f>B806+1</f>
        <v>404</v>
      </c>
      <c r="C807" s="2">
        <v>31581</v>
      </c>
      <c r="D807" s="1" t="s">
        <v>503</v>
      </c>
      <c r="E807" s="1" t="s">
        <v>287</v>
      </c>
      <c r="F807" s="1" t="s">
        <v>285</v>
      </c>
      <c r="G807" s="1" t="s">
        <v>286</v>
      </c>
      <c r="H807" s="6" t="str">
        <f>VLOOKUP(A807,WorldCups!$A$2:$B$23,2,FALSE)</f>
        <v>Mexico</v>
      </c>
      <c r="I807" s="1" t="s">
        <v>284</v>
      </c>
      <c r="J807" s="1">
        <v>1</v>
      </c>
      <c r="K807" s="1" t="s">
        <v>54</v>
      </c>
      <c r="L807" s="1">
        <v>5</v>
      </c>
      <c r="M807" s="1" t="s">
        <v>14</v>
      </c>
    </row>
    <row r="808" spans="1:13" hidden="1" x14ac:dyDescent="0.25">
      <c r="A808" s="1">
        <v>1986</v>
      </c>
      <c r="B808" s="1">
        <v>404</v>
      </c>
      <c r="C808" s="2">
        <v>31581</v>
      </c>
      <c r="D808" s="1" t="s">
        <v>503</v>
      </c>
      <c r="E808" s="1" t="s">
        <v>287</v>
      </c>
      <c r="F808" s="1" t="s">
        <v>285</v>
      </c>
      <c r="G808" s="1" t="s">
        <v>286</v>
      </c>
      <c r="H808" s="6" t="str">
        <f>VLOOKUP(A808,WorldCups!$A$2:$B$23,2,FALSE)</f>
        <v>Mexico</v>
      </c>
      <c r="I808" s="1" t="s">
        <v>54</v>
      </c>
      <c r="J808" s="1">
        <v>5</v>
      </c>
      <c r="K808" s="1" t="s">
        <v>284</v>
      </c>
      <c r="L808" s="1">
        <v>1</v>
      </c>
      <c r="M808" s="1" t="s">
        <v>14</v>
      </c>
    </row>
    <row r="809" spans="1:13" hidden="1" x14ac:dyDescent="0.25">
      <c r="A809" s="1">
        <v>1986</v>
      </c>
      <c r="B809" s="1">
        <f>B808+1</f>
        <v>405</v>
      </c>
      <c r="C809" s="2">
        <v>31584</v>
      </c>
      <c r="D809" s="1" t="s">
        <v>523</v>
      </c>
      <c r="E809" s="1" t="s">
        <v>61</v>
      </c>
      <c r="F809" s="1" t="s">
        <v>184</v>
      </c>
      <c r="G809" s="1" t="s">
        <v>185</v>
      </c>
      <c r="H809" s="6" t="str">
        <f>VLOOKUP(A809,WorldCups!$A$2:$B$23,2,FALSE)</f>
        <v>Mexico</v>
      </c>
      <c r="I809" s="1" t="s">
        <v>21</v>
      </c>
      <c r="J809" s="1">
        <v>1</v>
      </c>
      <c r="K809" s="1" t="s">
        <v>12</v>
      </c>
      <c r="L809" s="1">
        <v>1</v>
      </c>
      <c r="M809" s="1" t="s">
        <v>289</v>
      </c>
    </row>
    <row r="810" spans="1:13" hidden="1" x14ac:dyDescent="0.25">
      <c r="A810" s="1">
        <v>1986</v>
      </c>
      <c r="B810" s="1">
        <v>405</v>
      </c>
      <c r="C810" s="2">
        <v>31584</v>
      </c>
      <c r="D810" s="1" t="s">
        <v>523</v>
      </c>
      <c r="E810" s="1" t="s">
        <v>61</v>
      </c>
      <c r="F810" s="1" t="s">
        <v>184</v>
      </c>
      <c r="G810" s="1" t="s">
        <v>185</v>
      </c>
      <c r="H810" s="6" t="str">
        <f>VLOOKUP(A810,WorldCups!$A$2:$B$23,2,FALSE)</f>
        <v>Mexico</v>
      </c>
      <c r="I810" s="1" t="s">
        <v>12</v>
      </c>
      <c r="J810" s="1">
        <v>1</v>
      </c>
      <c r="K810" s="1" t="s">
        <v>21</v>
      </c>
      <c r="L810" s="1">
        <v>1</v>
      </c>
      <c r="M810" s="1" t="s">
        <v>289</v>
      </c>
    </row>
    <row r="811" spans="1:13" hidden="1" x14ac:dyDescent="0.25">
      <c r="A811" s="1">
        <v>1986</v>
      </c>
      <c r="B811" s="1">
        <f>B810+1</f>
        <v>406</v>
      </c>
      <c r="C811" s="2">
        <v>31584</v>
      </c>
      <c r="D811" s="1" t="s">
        <v>503</v>
      </c>
      <c r="E811" s="1" t="s">
        <v>61</v>
      </c>
      <c r="F811" s="1" t="s">
        <v>275</v>
      </c>
      <c r="G811" s="1" t="s">
        <v>276</v>
      </c>
      <c r="H811" s="6" t="str">
        <f>VLOOKUP(A811,WorldCups!$A$2:$B$23,2,FALSE)</f>
        <v>Mexico</v>
      </c>
      <c r="I811" s="1" t="s">
        <v>114</v>
      </c>
      <c r="J811" s="1">
        <v>0</v>
      </c>
      <c r="K811" s="1" t="s">
        <v>13</v>
      </c>
      <c r="L811" s="1">
        <v>0</v>
      </c>
      <c r="M811" s="1" t="s">
        <v>290</v>
      </c>
    </row>
    <row r="812" spans="1:13" hidden="1" x14ac:dyDescent="0.25">
      <c r="A812" s="1">
        <v>1986</v>
      </c>
      <c r="B812" s="1">
        <v>406</v>
      </c>
      <c r="C812" s="2">
        <v>31584</v>
      </c>
      <c r="D812" s="1" t="s">
        <v>503</v>
      </c>
      <c r="E812" s="1" t="s">
        <v>61</v>
      </c>
      <c r="F812" s="1" t="s">
        <v>275</v>
      </c>
      <c r="G812" s="1" t="s">
        <v>276</v>
      </c>
      <c r="H812" s="6" t="str">
        <f>VLOOKUP(A812,WorldCups!$A$2:$B$23,2,FALSE)</f>
        <v>Mexico</v>
      </c>
      <c r="I812" s="1" t="s">
        <v>13</v>
      </c>
      <c r="J812" s="1">
        <v>0</v>
      </c>
      <c r="K812" s="1" t="s">
        <v>114</v>
      </c>
      <c r="L812" s="1">
        <v>0</v>
      </c>
      <c r="M812" s="1" t="s">
        <v>290</v>
      </c>
    </row>
    <row r="813" spans="1:13" hidden="1" x14ac:dyDescent="0.25">
      <c r="A813" s="1">
        <v>1986</v>
      </c>
      <c r="B813" s="1">
        <f>B812+1</f>
        <v>407</v>
      </c>
      <c r="C813" s="2">
        <v>31585</v>
      </c>
      <c r="D813" s="1" t="s">
        <v>503</v>
      </c>
      <c r="E813" s="1" t="s">
        <v>61</v>
      </c>
      <c r="F813" s="1" t="s">
        <v>179</v>
      </c>
      <c r="G813" s="1" t="s">
        <v>180</v>
      </c>
      <c r="H813" s="6" t="str">
        <f>VLOOKUP(A813,WorldCups!$A$2:$B$23,2,FALSE)</f>
        <v>Mexico</v>
      </c>
      <c r="I813" s="1" t="s">
        <v>54</v>
      </c>
      <c r="J813" s="1">
        <v>1</v>
      </c>
      <c r="K813" s="1" t="s">
        <v>18</v>
      </c>
      <c r="L813" s="1">
        <v>1</v>
      </c>
      <c r="M813" s="1" t="s">
        <v>291</v>
      </c>
    </row>
    <row r="814" spans="1:13" hidden="1" x14ac:dyDescent="0.25">
      <c r="A814" s="1">
        <v>1986</v>
      </c>
      <c r="B814" s="1">
        <v>407</v>
      </c>
      <c r="C814" s="2">
        <v>31585</v>
      </c>
      <c r="D814" s="1" t="s">
        <v>503</v>
      </c>
      <c r="E814" s="1" t="s">
        <v>61</v>
      </c>
      <c r="F814" s="1" t="s">
        <v>179</v>
      </c>
      <c r="G814" s="1" t="s">
        <v>180</v>
      </c>
      <c r="H814" s="6" t="str">
        <f>VLOOKUP(A814,WorldCups!$A$2:$B$23,2,FALSE)</f>
        <v>Mexico</v>
      </c>
      <c r="I814" s="1" t="s">
        <v>18</v>
      </c>
      <c r="J814" s="1">
        <v>1</v>
      </c>
      <c r="K814" s="1" t="s">
        <v>54</v>
      </c>
      <c r="L814" s="1">
        <v>1</v>
      </c>
      <c r="M814" s="1" t="s">
        <v>291</v>
      </c>
    </row>
    <row r="815" spans="1:13" hidden="1" x14ac:dyDescent="0.25">
      <c r="A815" s="1">
        <v>1986</v>
      </c>
      <c r="B815" s="1">
        <f>B814+1</f>
        <v>408</v>
      </c>
      <c r="C815" s="2">
        <v>31585</v>
      </c>
      <c r="D815" s="1" t="s">
        <v>523</v>
      </c>
      <c r="E815" s="1" t="s">
        <v>61</v>
      </c>
      <c r="F815" s="1" t="s">
        <v>177</v>
      </c>
      <c r="G815" s="1" t="s">
        <v>178</v>
      </c>
      <c r="H815" s="6" t="str">
        <f>VLOOKUP(A815,WorldCups!$A$2:$B$23,2,FALSE)</f>
        <v>Mexico</v>
      </c>
      <c r="I815" s="1" t="s">
        <v>25</v>
      </c>
      <c r="J815" s="1">
        <v>2</v>
      </c>
      <c r="K815" s="1" t="s">
        <v>93</v>
      </c>
      <c r="L815" s="1">
        <v>1</v>
      </c>
      <c r="M815" s="1" t="s">
        <v>14</v>
      </c>
    </row>
    <row r="816" spans="1:13" hidden="1" x14ac:dyDescent="0.25">
      <c r="A816" s="1">
        <v>1986</v>
      </c>
      <c r="B816" s="1">
        <v>408</v>
      </c>
      <c r="C816" s="2">
        <v>31585</v>
      </c>
      <c r="D816" s="1" t="s">
        <v>523</v>
      </c>
      <c r="E816" s="1" t="s">
        <v>61</v>
      </c>
      <c r="F816" s="1" t="s">
        <v>177</v>
      </c>
      <c r="G816" s="1" t="s">
        <v>178</v>
      </c>
      <c r="H816" s="6" t="str">
        <f>VLOOKUP(A816,WorldCups!$A$2:$B$23,2,FALSE)</f>
        <v>Mexico</v>
      </c>
      <c r="I816" s="1" t="s">
        <v>93</v>
      </c>
      <c r="J816" s="1">
        <v>1</v>
      </c>
      <c r="K816" s="1" t="s">
        <v>25</v>
      </c>
      <c r="L816" s="1">
        <v>2</v>
      </c>
      <c r="M816" s="1" t="s">
        <v>14</v>
      </c>
    </row>
    <row r="817" spans="1:13" hidden="1" x14ac:dyDescent="0.25">
      <c r="A817" s="1">
        <v>1986</v>
      </c>
      <c r="B817" s="1">
        <f>B816+1</f>
        <v>409</v>
      </c>
      <c r="C817" s="2">
        <v>31588</v>
      </c>
      <c r="D817" s="1" t="s">
        <v>523</v>
      </c>
      <c r="E817" s="1" t="s">
        <v>31</v>
      </c>
      <c r="F817" s="1" t="s">
        <v>184</v>
      </c>
      <c r="G817" s="1" t="s">
        <v>185</v>
      </c>
      <c r="H817" s="6" t="str">
        <f>VLOOKUP(A817,WorldCups!$A$2:$B$23,2,FALSE)</f>
        <v>Mexico</v>
      </c>
      <c r="I817" s="1" t="s">
        <v>12</v>
      </c>
      <c r="J817" s="1">
        <v>0</v>
      </c>
      <c r="K817" s="1" t="s">
        <v>114</v>
      </c>
      <c r="L817" s="1">
        <v>2</v>
      </c>
      <c r="M817" s="1" t="s">
        <v>14</v>
      </c>
    </row>
    <row r="818" spans="1:13" hidden="1" x14ac:dyDescent="0.25">
      <c r="A818" s="1">
        <v>1986</v>
      </c>
      <c r="B818" s="1">
        <v>409</v>
      </c>
      <c r="C818" s="2">
        <v>31588</v>
      </c>
      <c r="D818" s="1" t="s">
        <v>523</v>
      </c>
      <c r="E818" s="1" t="s">
        <v>31</v>
      </c>
      <c r="F818" s="1" t="s">
        <v>184</v>
      </c>
      <c r="G818" s="1" t="s">
        <v>185</v>
      </c>
      <c r="H818" s="6" t="str">
        <f>VLOOKUP(A818,WorldCups!$A$2:$B$23,2,FALSE)</f>
        <v>Mexico</v>
      </c>
      <c r="I818" s="1" t="s">
        <v>114</v>
      </c>
      <c r="J818" s="1">
        <v>2</v>
      </c>
      <c r="K818" s="1" t="s">
        <v>12</v>
      </c>
      <c r="L818" s="1">
        <v>0</v>
      </c>
      <c r="M818" s="1" t="s">
        <v>14</v>
      </c>
    </row>
    <row r="819" spans="1:13" hidden="1" x14ac:dyDescent="0.25">
      <c r="A819" s="1">
        <v>1986</v>
      </c>
      <c r="B819" s="1">
        <f>B818+1</f>
        <v>410</v>
      </c>
      <c r="C819" s="2">
        <v>31588</v>
      </c>
      <c r="D819" s="1" t="s">
        <v>503</v>
      </c>
      <c r="E819" s="1" t="s">
        <v>31</v>
      </c>
      <c r="F819" s="1" t="s">
        <v>177</v>
      </c>
      <c r="G819" s="1" t="s">
        <v>178</v>
      </c>
      <c r="H819" s="6" t="str">
        <f>VLOOKUP(A819,WorldCups!$A$2:$B$23,2,FALSE)</f>
        <v>Mexico</v>
      </c>
      <c r="I819" s="1" t="s">
        <v>25</v>
      </c>
      <c r="J819" s="1">
        <v>2</v>
      </c>
      <c r="K819" s="1" t="s">
        <v>18</v>
      </c>
      <c r="L819" s="1">
        <v>0</v>
      </c>
      <c r="M819" s="1" t="s">
        <v>14</v>
      </c>
    </row>
    <row r="820" spans="1:13" hidden="1" x14ac:dyDescent="0.25">
      <c r="A820" s="1">
        <v>1986</v>
      </c>
      <c r="B820" s="1">
        <v>410</v>
      </c>
      <c r="C820" s="2">
        <v>31588</v>
      </c>
      <c r="D820" s="1" t="s">
        <v>503</v>
      </c>
      <c r="E820" s="1" t="s">
        <v>31</v>
      </c>
      <c r="F820" s="1" t="s">
        <v>177</v>
      </c>
      <c r="G820" s="1" t="s">
        <v>178</v>
      </c>
      <c r="H820" s="6" t="str">
        <f>VLOOKUP(A820,WorldCups!$A$2:$B$23,2,FALSE)</f>
        <v>Mexico</v>
      </c>
      <c r="I820" s="1" t="s">
        <v>18</v>
      </c>
      <c r="J820" s="1">
        <v>0</v>
      </c>
      <c r="K820" s="1" t="s">
        <v>25</v>
      </c>
      <c r="L820" s="1">
        <v>2</v>
      </c>
      <c r="M820" s="1" t="s">
        <v>14</v>
      </c>
    </row>
    <row r="821" spans="1:13" hidden="1" x14ac:dyDescent="0.25">
      <c r="A821" s="1">
        <v>1986</v>
      </c>
      <c r="B821" s="1">
        <f>B820+1</f>
        <v>411</v>
      </c>
      <c r="C821" s="2">
        <v>31591</v>
      </c>
      <c r="D821" s="1" t="s">
        <v>523</v>
      </c>
      <c r="E821" s="1" t="s">
        <v>62</v>
      </c>
      <c r="F821" s="1" t="s">
        <v>179</v>
      </c>
      <c r="G821" s="1" t="s">
        <v>180</v>
      </c>
      <c r="H821" s="6" t="str">
        <f>VLOOKUP(A821,WorldCups!$A$2:$B$23,2,FALSE)</f>
        <v>Mexico</v>
      </c>
      <c r="I821" s="1" t="s">
        <v>12</v>
      </c>
      <c r="J821" s="1">
        <v>4</v>
      </c>
      <c r="K821" s="1" t="s">
        <v>18</v>
      </c>
      <c r="L821" s="1">
        <v>2</v>
      </c>
      <c r="M821" s="1" t="s">
        <v>292</v>
      </c>
    </row>
    <row r="822" spans="1:13" hidden="1" x14ac:dyDescent="0.25">
      <c r="A822" s="1">
        <v>1986</v>
      </c>
      <c r="B822" s="1">
        <v>411</v>
      </c>
      <c r="C822" s="2">
        <v>31591</v>
      </c>
      <c r="D822" s="1" t="s">
        <v>523</v>
      </c>
      <c r="E822" s="1" t="s">
        <v>62</v>
      </c>
      <c r="F822" s="1" t="s">
        <v>179</v>
      </c>
      <c r="G822" s="1" t="s">
        <v>180</v>
      </c>
      <c r="H822" s="6" t="str">
        <f>VLOOKUP(A822,WorldCups!$A$2:$B$23,2,FALSE)</f>
        <v>Mexico</v>
      </c>
      <c r="I822" s="1" t="s">
        <v>18</v>
      </c>
      <c r="J822" s="1">
        <v>2</v>
      </c>
      <c r="K822" s="1" t="s">
        <v>12</v>
      </c>
      <c r="L822" s="1">
        <v>4</v>
      </c>
      <c r="M822" s="1" t="s">
        <v>292</v>
      </c>
    </row>
    <row r="823" spans="1:13" hidden="1" x14ac:dyDescent="0.25">
      <c r="A823" s="1">
        <v>1986</v>
      </c>
      <c r="B823" s="1">
        <f>B822+1</f>
        <v>412</v>
      </c>
      <c r="C823" s="2">
        <v>31592</v>
      </c>
      <c r="D823" s="1" t="s">
        <v>523</v>
      </c>
      <c r="E823" s="1" t="s">
        <v>32</v>
      </c>
      <c r="F823" s="1" t="s">
        <v>177</v>
      </c>
      <c r="G823" s="1" t="s">
        <v>178</v>
      </c>
      <c r="H823" s="6" t="str">
        <f>VLOOKUP(A823,WorldCups!$A$2:$B$23,2,FALSE)</f>
        <v>Mexico</v>
      </c>
      <c r="I823" s="1" t="s">
        <v>25</v>
      </c>
      <c r="J823" s="1">
        <v>3</v>
      </c>
      <c r="K823" s="1" t="s">
        <v>114</v>
      </c>
      <c r="L823" s="1">
        <v>2</v>
      </c>
      <c r="M823" s="1" t="s">
        <v>14</v>
      </c>
    </row>
    <row r="824" spans="1:13" hidden="1" x14ac:dyDescent="0.25">
      <c r="A824" s="1">
        <v>1986</v>
      </c>
      <c r="B824" s="1">
        <v>412</v>
      </c>
      <c r="C824" s="2">
        <v>31592</v>
      </c>
      <c r="D824" s="1" t="s">
        <v>523</v>
      </c>
      <c r="E824" s="1" t="s">
        <v>32</v>
      </c>
      <c r="F824" s="1" t="s">
        <v>177</v>
      </c>
      <c r="G824" s="1" t="s">
        <v>178</v>
      </c>
      <c r="H824" s="6" t="str">
        <f>VLOOKUP(A824,WorldCups!$A$2:$B$23,2,FALSE)</f>
        <v>Mexico</v>
      </c>
      <c r="I824" s="1" t="s">
        <v>114</v>
      </c>
      <c r="J824" s="1">
        <v>2</v>
      </c>
      <c r="K824" s="1" t="s">
        <v>25</v>
      </c>
      <c r="L824" s="1">
        <v>3</v>
      </c>
      <c r="M824" s="1" t="s">
        <v>14</v>
      </c>
    </row>
    <row r="825" spans="1:13" hidden="1" x14ac:dyDescent="0.25">
      <c r="A825" s="1">
        <v>1990</v>
      </c>
      <c r="B825" s="1">
        <f>B824+1</f>
        <v>413</v>
      </c>
      <c r="C825" s="2">
        <v>33032</v>
      </c>
      <c r="D825" s="1" t="s">
        <v>510</v>
      </c>
      <c r="E825" s="1" t="s">
        <v>213</v>
      </c>
      <c r="F825" s="1" t="s">
        <v>293</v>
      </c>
      <c r="G825" s="1" t="s">
        <v>43</v>
      </c>
      <c r="H825" s="6" t="str">
        <f>VLOOKUP(A825,WorldCups!$A$2:$B$23,2,FALSE)</f>
        <v>Italy</v>
      </c>
      <c r="I825" s="1" t="s">
        <v>25</v>
      </c>
      <c r="J825" s="1">
        <v>0</v>
      </c>
      <c r="K825" s="1" t="s">
        <v>238</v>
      </c>
      <c r="L825" s="1">
        <v>1</v>
      </c>
      <c r="M825" s="1" t="s">
        <v>14</v>
      </c>
    </row>
    <row r="826" spans="1:13" hidden="1" x14ac:dyDescent="0.25">
      <c r="A826" s="1">
        <v>1990</v>
      </c>
      <c r="B826" s="1">
        <v>413</v>
      </c>
      <c r="C826" s="2">
        <v>33032</v>
      </c>
      <c r="D826" s="1" t="s">
        <v>510</v>
      </c>
      <c r="E826" s="1" t="s">
        <v>213</v>
      </c>
      <c r="F826" s="1" t="s">
        <v>293</v>
      </c>
      <c r="G826" s="1" t="s">
        <v>43</v>
      </c>
      <c r="H826" s="6" t="str">
        <f>VLOOKUP(A826,WorldCups!$A$2:$B$23,2,FALSE)</f>
        <v>Italy</v>
      </c>
      <c r="I826" s="1" t="s">
        <v>238</v>
      </c>
      <c r="J826" s="1">
        <v>1</v>
      </c>
      <c r="K826" s="1" t="s">
        <v>25</v>
      </c>
      <c r="L826" s="1">
        <v>0</v>
      </c>
      <c r="M826" s="1" t="s">
        <v>14</v>
      </c>
    </row>
    <row r="827" spans="1:13" hidden="1" x14ac:dyDescent="0.25">
      <c r="A827" s="1">
        <v>1990</v>
      </c>
      <c r="B827" s="1">
        <f>B826+1</f>
        <v>414</v>
      </c>
      <c r="C827" s="2">
        <v>33033</v>
      </c>
      <c r="D827" s="1" t="s">
        <v>512</v>
      </c>
      <c r="E827" s="1" t="s">
        <v>213</v>
      </c>
      <c r="F827" s="1" t="s">
        <v>294</v>
      </c>
      <c r="G827" s="1" t="s">
        <v>295</v>
      </c>
      <c r="H827" s="6" t="str">
        <f>VLOOKUP(A827,WorldCups!$A$2:$B$23,2,FALSE)</f>
        <v>Italy</v>
      </c>
      <c r="I827" s="1" t="s">
        <v>126</v>
      </c>
      <c r="J827" s="1">
        <v>0</v>
      </c>
      <c r="K827" s="1" t="s">
        <v>23</v>
      </c>
      <c r="L827" s="1">
        <v>2</v>
      </c>
      <c r="M827" s="1" t="s">
        <v>14</v>
      </c>
    </row>
    <row r="828" spans="1:13" hidden="1" x14ac:dyDescent="0.25">
      <c r="A828" s="1">
        <v>1990</v>
      </c>
      <c r="B828" s="1">
        <v>414</v>
      </c>
      <c r="C828" s="2">
        <v>33033</v>
      </c>
      <c r="D828" s="1" t="s">
        <v>512</v>
      </c>
      <c r="E828" s="1" t="s">
        <v>213</v>
      </c>
      <c r="F828" s="1" t="s">
        <v>294</v>
      </c>
      <c r="G828" s="1" t="s">
        <v>295</v>
      </c>
      <c r="H828" s="6" t="str">
        <f>VLOOKUP(A828,WorldCups!$A$2:$B$23,2,FALSE)</f>
        <v>Italy</v>
      </c>
      <c r="I828" s="1" t="s">
        <v>23</v>
      </c>
      <c r="J828" s="1">
        <v>2</v>
      </c>
      <c r="K828" s="1" t="s">
        <v>126</v>
      </c>
      <c r="L828" s="1">
        <v>0</v>
      </c>
      <c r="M828" s="1" t="s">
        <v>14</v>
      </c>
    </row>
    <row r="829" spans="1:13" hidden="1" x14ac:dyDescent="0.25">
      <c r="A829" s="1">
        <v>1990</v>
      </c>
      <c r="B829" s="1">
        <f>B828+1</f>
        <v>415</v>
      </c>
      <c r="C829" s="2">
        <v>33033</v>
      </c>
      <c r="D829" s="1" t="s">
        <v>512</v>
      </c>
      <c r="E829" s="1" t="s">
        <v>270</v>
      </c>
      <c r="F829" s="1" t="s">
        <v>296</v>
      </c>
      <c r="G829" s="1" t="s">
        <v>47</v>
      </c>
      <c r="H829" s="6" t="str">
        <f>VLOOKUP(A829,WorldCups!$A$2:$B$23,2,FALSE)</f>
        <v>Italy</v>
      </c>
      <c r="I829" s="1" t="s">
        <v>297</v>
      </c>
      <c r="J829" s="1">
        <v>0</v>
      </c>
      <c r="K829" s="1" t="s">
        <v>151</v>
      </c>
      <c r="L829" s="1">
        <v>2</v>
      </c>
      <c r="M829" s="1" t="s">
        <v>14</v>
      </c>
    </row>
    <row r="830" spans="1:13" hidden="1" x14ac:dyDescent="0.25">
      <c r="A830" s="1">
        <v>1990</v>
      </c>
      <c r="B830" s="1">
        <v>415</v>
      </c>
      <c r="C830" s="2">
        <v>33033</v>
      </c>
      <c r="D830" s="1" t="s">
        <v>512</v>
      </c>
      <c r="E830" s="1" t="s">
        <v>270</v>
      </c>
      <c r="F830" s="1" t="s">
        <v>296</v>
      </c>
      <c r="G830" s="1" t="s">
        <v>47</v>
      </c>
      <c r="H830" s="6" t="str">
        <f>VLOOKUP(A830,WorldCups!$A$2:$B$23,2,FALSE)</f>
        <v>Italy</v>
      </c>
      <c r="I830" s="1" t="s">
        <v>151</v>
      </c>
      <c r="J830" s="1">
        <v>2</v>
      </c>
      <c r="K830" s="1" t="s">
        <v>297</v>
      </c>
      <c r="L830" s="1">
        <v>0</v>
      </c>
      <c r="M830" s="1" t="s">
        <v>14</v>
      </c>
    </row>
    <row r="831" spans="1:13" hidden="1" x14ac:dyDescent="0.25">
      <c r="A831" s="1">
        <v>1990</v>
      </c>
      <c r="B831" s="1">
        <f>B830+1</f>
        <v>416</v>
      </c>
      <c r="C831" s="2">
        <v>33033</v>
      </c>
      <c r="D831" s="1" t="s">
        <v>530</v>
      </c>
      <c r="E831" s="1" t="s">
        <v>214</v>
      </c>
      <c r="F831" s="1" t="s">
        <v>298</v>
      </c>
      <c r="G831" s="1" t="s">
        <v>56</v>
      </c>
      <c r="H831" s="6" t="str">
        <f>VLOOKUP(A831,WorldCups!$A$2:$B$23,2,FALSE)</f>
        <v>Italy</v>
      </c>
      <c r="I831" s="1" t="s">
        <v>57</v>
      </c>
      <c r="J831" s="1">
        <v>1</v>
      </c>
      <c r="K831" s="1" t="s">
        <v>36</v>
      </c>
      <c r="L831" s="1">
        <v>0</v>
      </c>
      <c r="M831" s="1" t="s">
        <v>14</v>
      </c>
    </row>
    <row r="832" spans="1:13" hidden="1" x14ac:dyDescent="0.25">
      <c r="A832" s="1">
        <v>1990</v>
      </c>
      <c r="B832" s="1">
        <v>416</v>
      </c>
      <c r="C832" s="2">
        <v>33033</v>
      </c>
      <c r="D832" s="1" t="s">
        <v>530</v>
      </c>
      <c r="E832" s="1" t="s">
        <v>214</v>
      </c>
      <c r="F832" s="1" t="s">
        <v>298</v>
      </c>
      <c r="G832" s="1" t="s">
        <v>56</v>
      </c>
      <c r="H832" s="6" t="str">
        <f>VLOOKUP(A832,WorldCups!$A$2:$B$23,2,FALSE)</f>
        <v>Italy</v>
      </c>
      <c r="I832" s="1" t="s">
        <v>36</v>
      </c>
      <c r="J832" s="1">
        <v>0</v>
      </c>
      <c r="K832" s="1" t="s">
        <v>57</v>
      </c>
      <c r="L832" s="1">
        <v>1</v>
      </c>
      <c r="M832" s="1" t="s">
        <v>14</v>
      </c>
    </row>
    <row r="833" spans="1:13" hidden="1" x14ac:dyDescent="0.25">
      <c r="A833" s="1">
        <v>1990</v>
      </c>
      <c r="B833" s="1">
        <f>B832+1</f>
        <v>417</v>
      </c>
      <c r="C833" s="2">
        <v>33034</v>
      </c>
      <c r="D833" s="1" t="s">
        <v>512</v>
      </c>
      <c r="E833" s="1" t="s">
        <v>214</v>
      </c>
      <c r="F833" s="1" t="s">
        <v>299</v>
      </c>
      <c r="G833" s="1" t="s">
        <v>50</v>
      </c>
      <c r="H833" s="6" t="str">
        <f>VLOOKUP(A833,WorldCups!$A$2:$B$23,2,FALSE)</f>
        <v>Italy</v>
      </c>
      <c r="I833" s="1" t="s">
        <v>17</v>
      </c>
      <c r="J833" s="1">
        <v>1</v>
      </c>
      <c r="K833" s="1" t="s">
        <v>60</v>
      </c>
      <c r="L833" s="1">
        <v>5</v>
      </c>
      <c r="M833" s="1" t="s">
        <v>14</v>
      </c>
    </row>
    <row r="834" spans="1:13" hidden="1" x14ac:dyDescent="0.25">
      <c r="A834" s="1">
        <v>1990</v>
      </c>
      <c r="B834" s="1">
        <v>417</v>
      </c>
      <c r="C834" s="2">
        <v>33034</v>
      </c>
      <c r="D834" s="1" t="s">
        <v>512</v>
      </c>
      <c r="E834" s="1" t="s">
        <v>214</v>
      </c>
      <c r="F834" s="1" t="s">
        <v>299</v>
      </c>
      <c r="G834" s="1" t="s">
        <v>50</v>
      </c>
      <c r="H834" s="6" t="str">
        <f>VLOOKUP(A834,WorldCups!$A$2:$B$23,2,FALSE)</f>
        <v>Italy</v>
      </c>
      <c r="I834" s="1" t="s">
        <v>60</v>
      </c>
      <c r="J834" s="1">
        <v>5</v>
      </c>
      <c r="K834" s="1" t="s">
        <v>17</v>
      </c>
      <c r="L834" s="1">
        <v>1</v>
      </c>
      <c r="M834" s="1" t="s">
        <v>14</v>
      </c>
    </row>
    <row r="835" spans="1:13" hidden="1" x14ac:dyDescent="0.25">
      <c r="A835" s="1">
        <v>1990</v>
      </c>
      <c r="B835" s="1">
        <f>B834+1</f>
        <v>418</v>
      </c>
      <c r="C835" s="2">
        <v>33034</v>
      </c>
      <c r="D835" s="1" t="s">
        <v>530</v>
      </c>
      <c r="E835" s="1" t="s">
        <v>268</v>
      </c>
      <c r="F835" s="1" t="s">
        <v>300</v>
      </c>
      <c r="G835" s="1" t="s">
        <v>35</v>
      </c>
      <c r="H835" s="6" t="str">
        <f>VLOOKUP(A835,WorldCups!$A$2:$B$23,2,FALSE)</f>
        <v>Italy</v>
      </c>
      <c r="I835" s="1" t="s">
        <v>21</v>
      </c>
      <c r="J835" s="1">
        <v>2</v>
      </c>
      <c r="K835" s="1" t="s">
        <v>48</v>
      </c>
      <c r="L835" s="1">
        <v>1</v>
      </c>
      <c r="M835" s="1" t="s">
        <v>14</v>
      </c>
    </row>
    <row r="836" spans="1:13" hidden="1" x14ac:dyDescent="0.25">
      <c r="A836" s="1">
        <v>1990</v>
      </c>
      <c r="B836" s="1">
        <v>418</v>
      </c>
      <c r="C836" s="2">
        <v>33034</v>
      </c>
      <c r="D836" s="1" t="s">
        <v>530</v>
      </c>
      <c r="E836" s="1" t="s">
        <v>268</v>
      </c>
      <c r="F836" s="1" t="s">
        <v>300</v>
      </c>
      <c r="G836" s="1" t="s">
        <v>35</v>
      </c>
      <c r="H836" s="6" t="str">
        <f>VLOOKUP(A836,WorldCups!$A$2:$B$23,2,FALSE)</f>
        <v>Italy</v>
      </c>
      <c r="I836" s="1" t="s">
        <v>48</v>
      </c>
      <c r="J836" s="1">
        <v>1</v>
      </c>
      <c r="K836" s="1" t="s">
        <v>21</v>
      </c>
      <c r="L836" s="1">
        <v>2</v>
      </c>
      <c r="M836" s="1" t="s">
        <v>14</v>
      </c>
    </row>
    <row r="837" spans="1:13" hidden="1" x14ac:dyDescent="0.25">
      <c r="A837" s="1">
        <v>1990</v>
      </c>
      <c r="B837" s="1">
        <f>B836+1</f>
        <v>419</v>
      </c>
      <c r="C837" s="2">
        <v>33034</v>
      </c>
      <c r="D837" s="1" t="s">
        <v>530</v>
      </c>
      <c r="E837" s="1" t="s">
        <v>270</v>
      </c>
      <c r="F837" s="1" t="s">
        <v>293</v>
      </c>
      <c r="G837" s="1" t="s">
        <v>43</v>
      </c>
      <c r="H837" s="6" t="str">
        <f>VLOOKUP(A837,WorldCups!$A$2:$B$23,2,FALSE)</f>
        <v>Italy</v>
      </c>
      <c r="I837" s="1" t="s">
        <v>114</v>
      </c>
      <c r="J837" s="1">
        <v>4</v>
      </c>
      <c r="K837" s="1" t="s">
        <v>20</v>
      </c>
      <c r="L837" s="1">
        <v>1</v>
      </c>
      <c r="M837" s="1" t="s">
        <v>14</v>
      </c>
    </row>
    <row r="838" spans="1:13" hidden="1" x14ac:dyDescent="0.25">
      <c r="A838" s="1">
        <v>1990</v>
      </c>
      <c r="B838" s="1">
        <v>419</v>
      </c>
      <c r="C838" s="2">
        <v>33034</v>
      </c>
      <c r="D838" s="1" t="s">
        <v>530</v>
      </c>
      <c r="E838" s="1" t="s">
        <v>270</v>
      </c>
      <c r="F838" s="1" t="s">
        <v>293</v>
      </c>
      <c r="G838" s="1" t="s">
        <v>43</v>
      </c>
      <c r="H838" s="6" t="str">
        <f>VLOOKUP(A838,WorldCups!$A$2:$B$23,2,FALSE)</f>
        <v>Italy</v>
      </c>
      <c r="I838" s="1" t="s">
        <v>20</v>
      </c>
      <c r="J838" s="1">
        <v>1</v>
      </c>
      <c r="K838" s="1" t="s">
        <v>114</v>
      </c>
      <c r="L838" s="1">
        <v>4</v>
      </c>
      <c r="M838" s="1" t="s">
        <v>14</v>
      </c>
    </row>
    <row r="839" spans="1:13" hidden="1" x14ac:dyDescent="0.25">
      <c r="A839" s="1">
        <v>1990</v>
      </c>
      <c r="B839" s="1">
        <f>B838+1</f>
        <v>420</v>
      </c>
      <c r="C839" s="2">
        <v>33035</v>
      </c>
      <c r="D839" s="1" t="s">
        <v>512</v>
      </c>
      <c r="E839" s="1" t="s">
        <v>268</v>
      </c>
      <c r="F839" s="1" t="s">
        <v>52</v>
      </c>
      <c r="G839" s="1" t="s">
        <v>53</v>
      </c>
      <c r="H839" s="6" t="str">
        <f>VLOOKUP(A839,WorldCups!$A$2:$B$23,2,FALSE)</f>
        <v>Italy</v>
      </c>
      <c r="I839" s="1" t="s">
        <v>301</v>
      </c>
      <c r="J839" s="1">
        <v>1</v>
      </c>
      <c r="K839" s="1" t="s">
        <v>109</v>
      </c>
      <c r="L839" s="1">
        <v>0</v>
      </c>
      <c r="M839" s="1" t="s">
        <v>14</v>
      </c>
    </row>
    <row r="840" spans="1:13" hidden="1" x14ac:dyDescent="0.25">
      <c r="A840" s="1">
        <v>1990</v>
      </c>
      <c r="B840" s="1">
        <v>420</v>
      </c>
      <c r="C840" s="2">
        <v>33035</v>
      </c>
      <c r="D840" s="1" t="s">
        <v>512</v>
      </c>
      <c r="E840" s="1" t="s">
        <v>268</v>
      </c>
      <c r="F840" s="1" t="s">
        <v>52</v>
      </c>
      <c r="G840" s="1" t="s">
        <v>53</v>
      </c>
      <c r="H840" s="6" t="str">
        <f>VLOOKUP(A840,WorldCups!$A$2:$B$23,2,FALSE)</f>
        <v>Italy</v>
      </c>
      <c r="I840" s="1" t="s">
        <v>109</v>
      </c>
      <c r="J840" s="1">
        <v>0</v>
      </c>
      <c r="K840" s="1" t="s">
        <v>301</v>
      </c>
      <c r="L840" s="1">
        <v>1</v>
      </c>
      <c r="M840" s="1" t="s">
        <v>14</v>
      </c>
    </row>
    <row r="841" spans="1:13" hidden="1" x14ac:dyDescent="0.25">
      <c r="A841" s="1">
        <v>1990</v>
      </c>
      <c r="B841" s="1">
        <f>B840+1</f>
        <v>421</v>
      </c>
      <c r="C841" s="2">
        <v>33035</v>
      </c>
      <c r="D841" s="1" t="s">
        <v>530</v>
      </c>
      <c r="E841" s="1" t="s">
        <v>274</v>
      </c>
      <c r="F841" s="1" t="s">
        <v>302</v>
      </c>
      <c r="G841" s="1" t="s">
        <v>303</v>
      </c>
      <c r="H841" s="6" t="str">
        <f>VLOOKUP(A841,WorldCups!$A$2:$B$23,2,FALSE)</f>
        <v>Italy</v>
      </c>
      <c r="I841" s="1" t="s">
        <v>93</v>
      </c>
      <c r="J841" s="1">
        <v>1</v>
      </c>
      <c r="K841" s="1" t="s">
        <v>304</v>
      </c>
      <c r="L841" s="1">
        <v>1</v>
      </c>
      <c r="M841" s="1" t="s">
        <v>14</v>
      </c>
    </row>
    <row r="842" spans="1:13" hidden="1" x14ac:dyDescent="0.25">
      <c r="A842" s="1">
        <v>1990</v>
      </c>
      <c r="B842" s="1">
        <v>421</v>
      </c>
      <c r="C842" s="2">
        <v>33035</v>
      </c>
      <c r="D842" s="1" t="s">
        <v>530</v>
      </c>
      <c r="E842" s="1" t="s">
        <v>274</v>
      </c>
      <c r="F842" s="1" t="s">
        <v>302</v>
      </c>
      <c r="G842" s="1" t="s">
        <v>303</v>
      </c>
      <c r="H842" s="6" t="str">
        <f>VLOOKUP(A842,WorldCups!$A$2:$B$23,2,FALSE)</f>
        <v>Italy</v>
      </c>
      <c r="I842" s="1" t="s">
        <v>304</v>
      </c>
      <c r="J842" s="1">
        <v>1</v>
      </c>
      <c r="K842" s="1" t="s">
        <v>93</v>
      </c>
      <c r="L842" s="1">
        <v>1</v>
      </c>
      <c r="M842" s="1" t="s">
        <v>14</v>
      </c>
    </row>
    <row r="843" spans="1:13" hidden="1" x14ac:dyDescent="0.25">
      <c r="A843" s="1">
        <v>1990</v>
      </c>
      <c r="B843" s="1">
        <f>B842+1</f>
        <v>422</v>
      </c>
      <c r="C843" s="2">
        <v>33036</v>
      </c>
      <c r="D843" s="1" t="s">
        <v>512</v>
      </c>
      <c r="E843" s="1" t="s">
        <v>281</v>
      </c>
      <c r="F843" s="1" t="s">
        <v>305</v>
      </c>
      <c r="G843" s="1" t="s">
        <v>306</v>
      </c>
      <c r="H843" s="6" t="str">
        <f>VLOOKUP(A843,WorldCups!$A$2:$B$23,2,FALSE)</f>
        <v>Italy</v>
      </c>
      <c r="I843" s="1" t="s">
        <v>18</v>
      </c>
      <c r="J843" s="1">
        <v>2</v>
      </c>
      <c r="K843" s="1" t="s">
        <v>116</v>
      </c>
      <c r="L843" s="1">
        <v>0</v>
      </c>
      <c r="M843" s="1" t="s">
        <v>14</v>
      </c>
    </row>
    <row r="844" spans="1:13" hidden="1" x14ac:dyDescent="0.25">
      <c r="A844" s="1">
        <v>1990</v>
      </c>
      <c r="B844" s="1">
        <v>422</v>
      </c>
      <c r="C844" s="2">
        <v>33036</v>
      </c>
      <c r="D844" s="1" t="s">
        <v>512</v>
      </c>
      <c r="E844" s="1" t="s">
        <v>281</v>
      </c>
      <c r="F844" s="1" t="s">
        <v>305</v>
      </c>
      <c r="G844" s="1" t="s">
        <v>306</v>
      </c>
      <c r="H844" s="6" t="str">
        <f>VLOOKUP(A844,WorldCups!$A$2:$B$23,2,FALSE)</f>
        <v>Italy</v>
      </c>
      <c r="I844" s="1" t="s">
        <v>116</v>
      </c>
      <c r="J844" s="1">
        <v>0</v>
      </c>
      <c r="K844" s="1" t="s">
        <v>18</v>
      </c>
      <c r="L844" s="1">
        <v>2</v>
      </c>
      <c r="M844" s="1" t="s">
        <v>14</v>
      </c>
    </row>
    <row r="845" spans="1:13" hidden="1" x14ac:dyDescent="0.25">
      <c r="A845" s="1">
        <v>1990</v>
      </c>
      <c r="B845" s="1">
        <f>B844+1</f>
        <v>423</v>
      </c>
      <c r="C845" s="2">
        <v>33036</v>
      </c>
      <c r="D845" s="1" t="s">
        <v>530</v>
      </c>
      <c r="E845" s="1" t="s">
        <v>274</v>
      </c>
      <c r="F845" s="1" t="s">
        <v>307</v>
      </c>
      <c r="G845" s="1" t="s">
        <v>308</v>
      </c>
      <c r="H845" s="6" t="str">
        <f>VLOOKUP(A845,WorldCups!$A$2:$B$23,2,FALSE)</f>
        <v>Italy</v>
      </c>
      <c r="I845" s="1" t="s">
        <v>45</v>
      </c>
      <c r="J845" s="1">
        <v>1</v>
      </c>
      <c r="K845" s="1" t="s">
        <v>41</v>
      </c>
      <c r="L845" s="1">
        <v>1</v>
      </c>
      <c r="M845" s="1" t="s">
        <v>14</v>
      </c>
    </row>
    <row r="846" spans="1:13" hidden="1" x14ac:dyDescent="0.25">
      <c r="A846" s="1">
        <v>1990</v>
      </c>
      <c r="B846" s="1">
        <v>423</v>
      </c>
      <c r="C846" s="2">
        <v>33036</v>
      </c>
      <c r="D846" s="1" t="s">
        <v>530</v>
      </c>
      <c r="E846" s="1" t="s">
        <v>274</v>
      </c>
      <c r="F846" s="1" t="s">
        <v>307</v>
      </c>
      <c r="G846" s="1" t="s">
        <v>308</v>
      </c>
      <c r="H846" s="6" t="str">
        <f>VLOOKUP(A846,WorldCups!$A$2:$B$23,2,FALSE)</f>
        <v>Italy</v>
      </c>
      <c r="I846" s="1" t="s">
        <v>41</v>
      </c>
      <c r="J846" s="1">
        <v>1</v>
      </c>
      <c r="K846" s="1" t="s">
        <v>45</v>
      </c>
      <c r="L846" s="1">
        <v>1</v>
      </c>
      <c r="M846" s="1" t="s">
        <v>14</v>
      </c>
    </row>
    <row r="847" spans="1:13" hidden="1" x14ac:dyDescent="0.25">
      <c r="A847" s="1">
        <v>1990</v>
      </c>
      <c r="B847" s="1">
        <f>B846+1</f>
        <v>424</v>
      </c>
      <c r="C847" s="2">
        <v>33037</v>
      </c>
      <c r="D847" s="1" t="s">
        <v>512</v>
      </c>
      <c r="E847" s="1" t="s">
        <v>281</v>
      </c>
      <c r="F847" s="1" t="s">
        <v>309</v>
      </c>
      <c r="G847" s="1" t="s">
        <v>310</v>
      </c>
      <c r="H847" s="6" t="str">
        <f>VLOOKUP(A847,WorldCups!$A$2:$B$23,2,FALSE)</f>
        <v>Italy</v>
      </c>
      <c r="I847" s="1" t="s">
        <v>30</v>
      </c>
      <c r="J847" s="1">
        <v>0</v>
      </c>
      <c r="K847" s="1" t="s">
        <v>54</v>
      </c>
      <c r="L847" s="1">
        <v>0</v>
      </c>
      <c r="M847" s="1" t="s">
        <v>14</v>
      </c>
    </row>
    <row r="848" spans="1:13" hidden="1" x14ac:dyDescent="0.25">
      <c r="A848" s="1">
        <v>1990</v>
      </c>
      <c r="B848" s="1">
        <v>424</v>
      </c>
      <c r="C848" s="2">
        <v>33037</v>
      </c>
      <c r="D848" s="1" t="s">
        <v>512</v>
      </c>
      <c r="E848" s="1" t="s">
        <v>281</v>
      </c>
      <c r="F848" s="1" t="s">
        <v>309</v>
      </c>
      <c r="G848" s="1" t="s">
        <v>310</v>
      </c>
      <c r="H848" s="6" t="str">
        <f>VLOOKUP(A848,WorldCups!$A$2:$B$23,2,FALSE)</f>
        <v>Italy</v>
      </c>
      <c r="I848" s="1" t="s">
        <v>54</v>
      </c>
      <c r="J848" s="1">
        <v>0</v>
      </c>
      <c r="K848" s="1" t="s">
        <v>30</v>
      </c>
      <c r="L848" s="1">
        <v>0</v>
      </c>
      <c r="M848" s="1" t="s">
        <v>14</v>
      </c>
    </row>
    <row r="849" spans="1:13" hidden="1" x14ac:dyDescent="0.25">
      <c r="A849" s="1">
        <v>1990</v>
      </c>
      <c r="B849" s="1">
        <f>B848+1</f>
        <v>425</v>
      </c>
      <c r="C849" s="2">
        <v>33037</v>
      </c>
      <c r="D849" s="1" t="s">
        <v>530</v>
      </c>
      <c r="E849" s="1" t="s">
        <v>213</v>
      </c>
      <c r="F849" s="1" t="s">
        <v>311</v>
      </c>
      <c r="G849" s="1" t="s">
        <v>39</v>
      </c>
      <c r="H849" s="6" t="str">
        <f>VLOOKUP(A849,WorldCups!$A$2:$B$23,2,FALSE)</f>
        <v>Italy</v>
      </c>
      <c r="I849" s="1" t="s">
        <v>25</v>
      </c>
      <c r="J849" s="1">
        <v>2</v>
      </c>
      <c r="K849" s="1" t="s">
        <v>126</v>
      </c>
      <c r="L849" s="1">
        <v>0</v>
      </c>
      <c r="M849" s="1" t="s">
        <v>14</v>
      </c>
    </row>
    <row r="850" spans="1:13" hidden="1" x14ac:dyDescent="0.25">
      <c r="A850" s="1">
        <v>1990</v>
      </c>
      <c r="B850" s="1">
        <v>425</v>
      </c>
      <c r="C850" s="2">
        <v>33037</v>
      </c>
      <c r="D850" s="1" t="s">
        <v>530</v>
      </c>
      <c r="E850" s="1" t="s">
        <v>213</v>
      </c>
      <c r="F850" s="1" t="s">
        <v>311</v>
      </c>
      <c r="G850" s="1" t="s">
        <v>39</v>
      </c>
      <c r="H850" s="6" t="str">
        <f>VLOOKUP(A850,WorldCups!$A$2:$B$23,2,FALSE)</f>
        <v>Italy</v>
      </c>
      <c r="I850" s="1" t="s">
        <v>126</v>
      </c>
      <c r="J850" s="1">
        <v>0</v>
      </c>
      <c r="K850" s="1" t="s">
        <v>25</v>
      </c>
      <c r="L850" s="1">
        <v>2</v>
      </c>
      <c r="M850" s="1" t="s">
        <v>14</v>
      </c>
    </row>
    <row r="851" spans="1:13" hidden="1" x14ac:dyDescent="0.25">
      <c r="A851" s="1">
        <v>1990</v>
      </c>
      <c r="B851" s="1">
        <f>B850+1</f>
        <v>426</v>
      </c>
      <c r="C851" s="2">
        <v>33038</v>
      </c>
      <c r="D851" s="1" t="s">
        <v>512</v>
      </c>
      <c r="E851" s="1" t="s">
        <v>213</v>
      </c>
      <c r="F851" s="1" t="s">
        <v>294</v>
      </c>
      <c r="G851" s="1" t="s">
        <v>295</v>
      </c>
      <c r="H851" s="6" t="str">
        <f>VLOOKUP(A851,WorldCups!$A$2:$B$23,2,FALSE)</f>
        <v>Italy</v>
      </c>
      <c r="I851" s="1" t="s">
        <v>238</v>
      </c>
      <c r="J851" s="1">
        <v>2</v>
      </c>
      <c r="K851" s="1" t="s">
        <v>23</v>
      </c>
      <c r="L851" s="1">
        <v>1</v>
      </c>
      <c r="M851" s="1" t="s">
        <v>14</v>
      </c>
    </row>
    <row r="852" spans="1:13" hidden="1" x14ac:dyDescent="0.25">
      <c r="A852" s="1">
        <v>1990</v>
      </c>
      <c r="B852" s="1">
        <v>426</v>
      </c>
      <c r="C852" s="2">
        <v>33038</v>
      </c>
      <c r="D852" s="1" t="s">
        <v>512</v>
      </c>
      <c r="E852" s="1" t="s">
        <v>213</v>
      </c>
      <c r="F852" s="1" t="s">
        <v>294</v>
      </c>
      <c r="G852" s="1" t="s">
        <v>295</v>
      </c>
      <c r="H852" s="6" t="str">
        <f>VLOOKUP(A852,WorldCups!$A$2:$B$23,2,FALSE)</f>
        <v>Italy</v>
      </c>
      <c r="I852" s="1" t="s">
        <v>23</v>
      </c>
      <c r="J852" s="1">
        <v>1</v>
      </c>
      <c r="K852" s="1" t="s">
        <v>238</v>
      </c>
      <c r="L852" s="1">
        <v>2</v>
      </c>
      <c r="M852" s="1" t="s">
        <v>14</v>
      </c>
    </row>
    <row r="853" spans="1:13" hidden="1" x14ac:dyDescent="0.25">
      <c r="A853" s="1">
        <v>1990</v>
      </c>
      <c r="B853" s="1">
        <f>B852+1</f>
        <v>427</v>
      </c>
      <c r="C853" s="2">
        <v>33038</v>
      </c>
      <c r="D853" s="1" t="s">
        <v>512</v>
      </c>
      <c r="E853" s="1" t="s">
        <v>270</v>
      </c>
      <c r="F853" s="1" t="s">
        <v>296</v>
      </c>
      <c r="G853" s="1" t="s">
        <v>47</v>
      </c>
      <c r="H853" s="6" t="str">
        <f>VLOOKUP(A853,WorldCups!$A$2:$B$23,2,FALSE)</f>
        <v>Italy</v>
      </c>
      <c r="I853" s="1" t="s">
        <v>20</v>
      </c>
      <c r="J853" s="1">
        <v>1</v>
      </c>
      <c r="K853" s="1" t="s">
        <v>151</v>
      </c>
      <c r="L853" s="1">
        <v>0</v>
      </c>
      <c r="M853" s="1" t="s">
        <v>14</v>
      </c>
    </row>
    <row r="854" spans="1:13" hidden="1" x14ac:dyDescent="0.25">
      <c r="A854" s="1">
        <v>1990</v>
      </c>
      <c r="B854" s="1">
        <v>427</v>
      </c>
      <c r="C854" s="2">
        <v>33038</v>
      </c>
      <c r="D854" s="1" t="s">
        <v>512</v>
      </c>
      <c r="E854" s="1" t="s">
        <v>270</v>
      </c>
      <c r="F854" s="1" t="s">
        <v>296</v>
      </c>
      <c r="G854" s="1" t="s">
        <v>47</v>
      </c>
      <c r="H854" s="6" t="str">
        <f>VLOOKUP(A854,WorldCups!$A$2:$B$23,2,FALSE)</f>
        <v>Italy</v>
      </c>
      <c r="I854" s="1" t="s">
        <v>151</v>
      </c>
      <c r="J854" s="1">
        <v>0</v>
      </c>
      <c r="K854" s="1" t="s">
        <v>20</v>
      </c>
      <c r="L854" s="1">
        <v>1</v>
      </c>
      <c r="M854" s="1" t="s">
        <v>14</v>
      </c>
    </row>
    <row r="855" spans="1:13" hidden="1" x14ac:dyDescent="0.25">
      <c r="A855" s="1">
        <v>1990</v>
      </c>
      <c r="B855" s="1">
        <f>B854+1</f>
        <v>428</v>
      </c>
      <c r="C855" s="2">
        <v>33038</v>
      </c>
      <c r="D855" s="1" t="s">
        <v>530</v>
      </c>
      <c r="E855" s="1" t="s">
        <v>214</v>
      </c>
      <c r="F855" s="1" t="s">
        <v>298</v>
      </c>
      <c r="G855" s="1" t="s">
        <v>56</v>
      </c>
      <c r="H855" s="6" t="str">
        <f>VLOOKUP(A855,WorldCups!$A$2:$B$23,2,FALSE)</f>
        <v>Italy</v>
      </c>
      <c r="I855" s="1" t="s">
        <v>57</v>
      </c>
      <c r="J855" s="1">
        <v>1</v>
      </c>
      <c r="K855" s="1" t="s">
        <v>17</v>
      </c>
      <c r="L855" s="1">
        <v>0</v>
      </c>
      <c r="M855" s="1" t="s">
        <v>14</v>
      </c>
    </row>
    <row r="856" spans="1:13" hidden="1" x14ac:dyDescent="0.25">
      <c r="A856" s="1">
        <v>1990</v>
      </c>
      <c r="B856" s="1">
        <v>428</v>
      </c>
      <c r="C856" s="2">
        <v>33038</v>
      </c>
      <c r="D856" s="1" t="s">
        <v>530</v>
      </c>
      <c r="E856" s="1" t="s">
        <v>214</v>
      </c>
      <c r="F856" s="1" t="s">
        <v>298</v>
      </c>
      <c r="G856" s="1" t="s">
        <v>56</v>
      </c>
      <c r="H856" s="6" t="str">
        <f>VLOOKUP(A856,WorldCups!$A$2:$B$23,2,FALSE)</f>
        <v>Italy</v>
      </c>
      <c r="I856" s="1" t="s">
        <v>17</v>
      </c>
      <c r="J856" s="1">
        <v>0</v>
      </c>
      <c r="K856" s="1" t="s">
        <v>57</v>
      </c>
      <c r="L856" s="1">
        <v>1</v>
      </c>
      <c r="M856" s="1" t="s">
        <v>14</v>
      </c>
    </row>
    <row r="857" spans="1:13" hidden="1" x14ac:dyDescent="0.25">
      <c r="A857" s="1">
        <v>1990</v>
      </c>
      <c r="B857" s="1">
        <f>B856+1</f>
        <v>429</v>
      </c>
      <c r="C857" s="2">
        <v>33039</v>
      </c>
      <c r="D857" s="1" t="s">
        <v>512</v>
      </c>
      <c r="E857" s="1" t="s">
        <v>214</v>
      </c>
      <c r="F857" s="1" t="s">
        <v>299</v>
      </c>
      <c r="G857" s="1" t="s">
        <v>50</v>
      </c>
      <c r="H857" s="6" t="str">
        <f>VLOOKUP(A857,WorldCups!$A$2:$B$23,2,FALSE)</f>
        <v>Italy</v>
      </c>
      <c r="I857" s="1" t="s">
        <v>36</v>
      </c>
      <c r="J857" s="1">
        <v>0</v>
      </c>
      <c r="K857" s="1" t="s">
        <v>60</v>
      </c>
      <c r="L857" s="1">
        <v>1</v>
      </c>
      <c r="M857" s="1" t="s">
        <v>14</v>
      </c>
    </row>
    <row r="858" spans="1:13" hidden="1" x14ac:dyDescent="0.25">
      <c r="A858" s="1">
        <v>1990</v>
      </c>
      <c r="B858" s="1">
        <v>429</v>
      </c>
      <c r="C858" s="2">
        <v>33039</v>
      </c>
      <c r="D858" s="1" t="s">
        <v>512</v>
      </c>
      <c r="E858" s="1" t="s">
        <v>214</v>
      </c>
      <c r="F858" s="1" t="s">
        <v>299</v>
      </c>
      <c r="G858" s="1" t="s">
        <v>50</v>
      </c>
      <c r="H858" s="6" t="str">
        <f>VLOOKUP(A858,WorldCups!$A$2:$B$23,2,FALSE)</f>
        <v>Italy</v>
      </c>
      <c r="I858" s="1" t="s">
        <v>60</v>
      </c>
      <c r="J858" s="1">
        <v>1</v>
      </c>
      <c r="K858" s="1" t="s">
        <v>36</v>
      </c>
      <c r="L858" s="1">
        <v>0</v>
      </c>
      <c r="M858" s="1" t="s">
        <v>14</v>
      </c>
    </row>
    <row r="859" spans="1:13" hidden="1" x14ac:dyDescent="0.25">
      <c r="A859" s="1">
        <v>1990</v>
      </c>
      <c r="B859" s="1">
        <f>B858+1</f>
        <v>430</v>
      </c>
      <c r="C859" s="2">
        <v>33039</v>
      </c>
      <c r="D859" s="1" t="s">
        <v>530</v>
      </c>
      <c r="E859" s="1" t="s">
        <v>270</v>
      </c>
      <c r="F859" s="1" t="s">
        <v>293</v>
      </c>
      <c r="G859" s="1" t="s">
        <v>43</v>
      </c>
      <c r="H859" s="6" t="str">
        <f>VLOOKUP(A859,WorldCups!$A$2:$B$23,2,FALSE)</f>
        <v>Italy</v>
      </c>
      <c r="I859" s="1" t="s">
        <v>114</v>
      </c>
      <c r="J859" s="1">
        <v>5</v>
      </c>
      <c r="K859" s="1" t="s">
        <v>297</v>
      </c>
      <c r="L859" s="1">
        <v>1</v>
      </c>
      <c r="M859" s="1" t="s">
        <v>14</v>
      </c>
    </row>
    <row r="860" spans="1:13" hidden="1" x14ac:dyDescent="0.25">
      <c r="A860" s="1">
        <v>1990</v>
      </c>
      <c r="B860" s="1">
        <v>430</v>
      </c>
      <c r="C860" s="2">
        <v>33039</v>
      </c>
      <c r="D860" s="1" t="s">
        <v>530</v>
      </c>
      <c r="E860" s="1" t="s">
        <v>270</v>
      </c>
      <c r="F860" s="1" t="s">
        <v>293</v>
      </c>
      <c r="G860" s="1" t="s">
        <v>43</v>
      </c>
      <c r="H860" s="6" t="str">
        <f>VLOOKUP(A860,WorldCups!$A$2:$B$23,2,FALSE)</f>
        <v>Italy</v>
      </c>
      <c r="I860" s="1" t="s">
        <v>297</v>
      </c>
      <c r="J860" s="1">
        <v>1</v>
      </c>
      <c r="K860" s="1" t="s">
        <v>114</v>
      </c>
      <c r="L860" s="1">
        <v>5</v>
      </c>
      <c r="M860" s="1" t="s">
        <v>14</v>
      </c>
    </row>
    <row r="861" spans="1:13" hidden="1" x14ac:dyDescent="0.25">
      <c r="A861" s="1">
        <v>1990</v>
      </c>
      <c r="B861" s="1">
        <f>B860+1</f>
        <v>431</v>
      </c>
      <c r="C861" s="2">
        <v>33040</v>
      </c>
      <c r="D861" s="1" t="s">
        <v>512</v>
      </c>
      <c r="E861" s="1" t="s">
        <v>268</v>
      </c>
      <c r="F861" s="1" t="s">
        <v>300</v>
      </c>
      <c r="G861" s="1" t="s">
        <v>35</v>
      </c>
      <c r="H861" s="6" t="str">
        <f>VLOOKUP(A861,WorldCups!$A$2:$B$23,2,FALSE)</f>
        <v>Italy</v>
      </c>
      <c r="I861" s="1" t="s">
        <v>21</v>
      </c>
      <c r="J861" s="1">
        <v>1</v>
      </c>
      <c r="K861" s="1" t="s">
        <v>301</v>
      </c>
      <c r="L861" s="1">
        <v>0</v>
      </c>
      <c r="M861" s="1" t="s">
        <v>14</v>
      </c>
    </row>
    <row r="862" spans="1:13" hidden="1" x14ac:dyDescent="0.25">
      <c r="A862" s="1">
        <v>1990</v>
      </c>
      <c r="B862" s="1">
        <v>431</v>
      </c>
      <c r="C862" s="2">
        <v>33040</v>
      </c>
      <c r="D862" s="1" t="s">
        <v>512</v>
      </c>
      <c r="E862" s="1" t="s">
        <v>268</v>
      </c>
      <c r="F862" s="1" t="s">
        <v>300</v>
      </c>
      <c r="G862" s="1" t="s">
        <v>35</v>
      </c>
      <c r="H862" s="6" t="str">
        <f>VLOOKUP(A862,WorldCups!$A$2:$B$23,2,FALSE)</f>
        <v>Italy</v>
      </c>
      <c r="I862" s="1" t="s">
        <v>301</v>
      </c>
      <c r="J862" s="1">
        <v>0</v>
      </c>
      <c r="K862" s="1" t="s">
        <v>21</v>
      </c>
      <c r="L862" s="1">
        <v>1</v>
      </c>
      <c r="M862" s="1" t="s">
        <v>14</v>
      </c>
    </row>
    <row r="863" spans="1:13" hidden="1" x14ac:dyDescent="0.25">
      <c r="A863" s="1">
        <v>1990</v>
      </c>
      <c r="B863" s="1">
        <f>B862+1</f>
        <v>432</v>
      </c>
      <c r="C863" s="2">
        <v>33040</v>
      </c>
      <c r="D863" s="1" t="s">
        <v>530</v>
      </c>
      <c r="E863" s="1" t="s">
        <v>268</v>
      </c>
      <c r="F863" s="1" t="s">
        <v>52</v>
      </c>
      <c r="G863" s="1" t="s">
        <v>53</v>
      </c>
      <c r="H863" s="6" t="str">
        <f>VLOOKUP(A863,WorldCups!$A$2:$B$23,2,FALSE)</f>
        <v>Italy</v>
      </c>
      <c r="I863" s="1" t="s">
        <v>48</v>
      </c>
      <c r="J863" s="1">
        <v>1</v>
      </c>
      <c r="K863" s="1" t="s">
        <v>109</v>
      </c>
      <c r="L863" s="1">
        <v>2</v>
      </c>
      <c r="M863" s="1" t="s">
        <v>14</v>
      </c>
    </row>
    <row r="864" spans="1:13" hidden="1" x14ac:dyDescent="0.25">
      <c r="A864" s="1">
        <v>1990</v>
      </c>
      <c r="B864" s="1">
        <v>432</v>
      </c>
      <c r="C864" s="2">
        <v>33040</v>
      </c>
      <c r="D864" s="1" t="s">
        <v>530</v>
      </c>
      <c r="E864" s="1" t="s">
        <v>268</v>
      </c>
      <c r="F864" s="1" t="s">
        <v>52</v>
      </c>
      <c r="G864" s="1" t="s">
        <v>53</v>
      </c>
      <c r="H864" s="6" t="str">
        <f>VLOOKUP(A864,WorldCups!$A$2:$B$23,2,FALSE)</f>
        <v>Italy</v>
      </c>
      <c r="I864" s="1" t="s">
        <v>109</v>
      </c>
      <c r="J864" s="1">
        <v>2</v>
      </c>
      <c r="K864" s="1" t="s">
        <v>48</v>
      </c>
      <c r="L864" s="1">
        <v>1</v>
      </c>
      <c r="M864" s="1" t="s">
        <v>14</v>
      </c>
    </row>
    <row r="865" spans="1:13" hidden="1" x14ac:dyDescent="0.25">
      <c r="A865" s="1">
        <v>1990</v>
      </c>
      <c r="B865" s="1">
        <f>B864+1</f>
        <v>433</v>
      </c>
      <c r="C865" s="2">
        <v>33040</v>
      </c>
      <c r="D865" s="1" t="s">
        <v>530</v>
      </c>
      <c r="E865" s="1" t="s">
        <v>274</v>
      </c>
      <c r="F865" s="1" t="s">
        <v>302</v>
      </c>
      <c r="G865" s="1" t="s">
        <v>303</v>
      </c>
      <c r="H865" s="6" t="str">
        <f>VLOOKUP(A865,WorldCups!$A$2:$B$23,2,FALSE)</f>
        <v>Italy</v>
      </c>
      <c r="I865" s="1" t="s">
        <v>93</v>
      </c>
      <c r="J865" s="1">
        <v>0</v>
      </c>
      <c r="K865" s="1" t="s">
        <v>45</v>
      </c>
      <c r="L865" s="1">
        <v>0</v>
      </c>
      <c r="M865" s="1" t="s">
        <v>14</v>
      </c>
    </row>
    <row r="866" spans="1:13" hidden="1" x14ac:dyDescent="0.25">
      <c r="A866" s="1">
        <v>1990</v>
      </c>
      <c r="B866" s="1">
        <v>433</v>
      </c>
      <c r="C866" s="2">
        <v>33040</v>
      </c>
      <c r="D866" s="1" t="s">
        <v>530</v>
      </c>
      <c r="E866" s="1" t="s">
        <v>274</v>
      </c>
      <c r="F866" s="1" t="s">
        <v>302</v>
      </c>
      <c r="G866" s="1" t="s">
        <v>303</v>
      </c>
      <c r="H866" s="6" t="str">
        <f>VLOOKUP(A866,WorldCups!$A$2:$B$23,2,FALSE)</f>
        <v>Italy</v>
      </c>
      <c r="I866" s="1" t="s">
        <v>45</v>
      </c>
      <c r="J866" s="1">
        <v>0</v>
      </c>
      <c r="K866" s="1" t="s">
        <v>93</v>
      </c>
      <c r="L866" s="1">
        <v>0</v>
      </c>
      <c r="M866" s="1" t="s">
        <v>14</v>
      </c>
    </row>
    <row r="867" spans="1:13" hidden="1" x14ac:dyDescent="0.25">
      <c r="A867" s="1">
        <v>1990</v>
      </c>
      <c r="B867" s="1">
        <f>B866+1</f>
        <v>434</v>
      </c>
      <c r="C867" s="2">
        <v>33041</v>
      </c>
      <c r="D867" s="1" t="s">
        <v>512</v>
      </c>
      <c r="E867" s="1" t="s">
        <v>274</v>
      </c>
      <c r="F867" s="1" t="s">
        <v>307</v>
      </c>
      <c r="G867" s="1" t="s">
        <v>308</v>
      </c>
      <c r="H867" s="6" t="str">
        <f>VLOOKUP(A867,WorldCups!$A$2:$B$23,2,FALSE)</f>
        <v>Italy</v>
      </c>
      <c r="I867" s="1" t="s">
        <v>304</v>
      </c>
      <c r="J867" s="1">
        <v>0</v>
      </c>
      <c r="K867" s="1" t="s">
        <v>41</v>
      </c>
      <c r="L867" s="1">
        <v>0</v>
      </c>
      <c r="M867" s="1" t="s">
        <v>14</v>
      </c>
    </row>
    <row r="868" spans="1:13" hidden="1" x14ac:dyDescent="0.25">
      <c r="A868" s="1">
        <v>1990</v>
      </c>
      <c r="B868" s="1">
        <v>434</v>
      </c>
      <c r="C868" s="2">
        <v>33041</v>
      </c>
      <c r="D868" s="1" t="s">
        <v>512</v>
      </c>
      <c r="E868" s="1" t="s">
        <v>274</v>
      </c>
      <c r="F868" s="1" t="s">
        <v>307</v>
      </c>
      <c r="G868" s="1" t="s">
        <v>308</v>
      </c>
      <c r="H868" s="6" t="str">
        <f>VLOOKUP(A868,WorldCups!$A$2:$B$23,2,FALSE)</f>
        <v>Italy</v>
      </c>
      <c r="I868" s="1" t="s">
        <v>41</v>
      </c>
      <c r="J868" s="1">
        <v>0</v>
      </c>
      <c r="K868" s="1" t="s">
        <v>304</v>
      </c>
      <c r="L868" s="1">
        <v>0</v>
      </c>
      <c r="M868" s="1" t="s">
        <v>14</v>
      </c>
    </row>
    <row r="869" spans="1:13" hidden="1" x14ac:dyDescent="0.25">
      <c r="A869" s="1">
        <v>1990</v>
      </c>
      <c r="B869" s="1">
        <f>B868+1</f>
        <v>435</v>
      </c>
      <c r="C869" s="2">
        <v>33041</v>
      </c>
      <c r="D869" s="1" t="s">
        <v>530</v>
      </c>
      <c r="E869" s="1" t="s">
        <v>281</v>
      </c>
      <c r="F869" s="1" t="s">
        <v>309</v>
      </c>
      <c r="G869" s="1" t="s">
        <v>310</v>
      </c>
      <c r="H869" s="6" t="str">
        <f>VLOOKUP(A869,WorldCups!$A$2:$B$23,2,FALSE)</f>
        <v>Italy</v>
      </c>
      <c r="I869" s="1" t="s">
        <v>116</v>
      </c>
      <c r="J869" s="1">
        <v>1</v>
      </c>
      <c r="K869" s="1" t="s">
        <v>54</v>
      </c>
      <c r="L869" s="1">
        <v>3</v>
      </c>
      <c r="M869" s="1" t="s">
        <v>14</v>
      </c>
    </row>
    <row r="870" spans="1:13" hidden="1" x14ac:dyDescent="0.25">
      <c r="A870" s="1">
        <v>1990</v>
      </c>
      <c r="B870" s="1">
        <v>435</v>
      </c>
      <c r="C870" s="2">
        <v>33041</v>
      </c>
      <c r="D870" s="1" t="s">
        <v>530</v>
      </c>
      <c r="E870" s="1" t="s">
        <v>281</v>
      </c>
      <c r="F870" s="1" t="s">
        <v>309</v>
      </c>
      <c r="G870" s="1" t="s">
        <v>310</v>
      </c>
      <c r="H870" s="6" t="str">
        <f>VLOOKUP(A870,WorldCups!$A$2:$B$23,2,FALSE)</f>
        <v>Italy</v>
      </c>
      <c r="I870" s="1" t="s">
        <v>54</v>
      </c>
      <c r="J870" s="1">
        <v>3</v>
      </c>
      <c r="K870" s="1" t="s">
        <v>116</v>
      </c>
      <c r="L870" s="1">
        <v>1</v>
      </c>
      <c r="M870" s="1" t="s">
        <v>14</v>
      </c>
    </row>
    <row r="871" spans="1:13" hidden="1" x14ac:dyDescent="0.25">
      <c r="A871" s="1">
        <v>1990</v>
      </c>
      <c r="B871" s="1">
        <f>B870+1</f>
        <v>436</v>
      </c>
      <c r="C871" s="2">
        <v>33041</v>
      </c>
      <c r="D871" s="1" t="s">
        <v>530</v>
      </c>
      <c r="E871" s="1" t="s">
        <v>281</v>
      </c>
      <c r="F871" s="1" t="s">
        <v>305</v>
      </c>
      <c r="G871" s="1" t="s">
        <v>306</v>
      </c>
      <c r="H871" s="6" t="str">
        <f>VLOOKUP(A871,WorldCups!$A$2:$B$23,2,FALSE)</f>
        <v>Italy</v>
      </c>
      <c r="I871" s="1" t="s">
        <v>18</v>
      </c>
      <c r="J871" s="1">
        <v>3</v>
      </c>
      <c r="K871" s="1" t="s">
        <v>30</v>
      </c>
      <c r="L871" s="1">
        <v>1</v>
      </c>
      <c r="M871" s="1" t="s">
        <v>14</v>
      </c>
    </row>
    <row r="872" spans="1:13" hidden="1" x14ac:dyDescent="0.25">
      <c r="A872" s="1">
        <v>1990</v>
      </c>
      <c r="B872" s="1">
        <v>436</v>
      </c>
      <c r="C872" s="2">
        <v>33041</v>
      </c>
      <c r="D872" s="1" t="s">
        <v>530</v>
      </c>
      <c r="E872" s="1" t="s">
        <v>281</v>
      </c>
      <c r="F872" s="1" t="s">
        <v>305</v>
      </c>
      <c r="G872" s="1" t="s">
        <v>306</v>
      </c>
      <c r="H872" s="6" t="str">
        <f>VLOOKUP(A872,WorldCups!$A$2:$B$23,2,FALSE)</f>
        <v>Italy</v>
      </c>
      <c r="I872" s="1" t="s">
        <v>30</v>
      </c>
      <c r="J872" s="1">
        <v>1</v>
      </c>
      <c r="K872" s="1" t="s">
        <v>18</v>
      </c>
      <c r="L872" s="1">
        <v>3</v>
      </c>
      <c r="M872" s="1" t="s">
        <v>14</v>
      </c>
    </row>
    <row r="873" spans="1:13" hidden="1" x14ac:dyDescent="0.25">
      <c r="A873" s="1">
        <v>1990</v>
      </c>
      <c r="B873" s="1">
        <f>B872+1</f>
        <v>437</v>
      </c>
      <c r="C873" s="2">
        <v>33042</v>
      </c>
      <c r="D873" s="1" t="s">
        <v>530</v>
      </c>
      <c r="E873" s="1" t="s">
        <v>213</v>
      </c>
      <c r="F873" s="1" t="s">
        <v>311</v>
      </c>
      <c r="G873" s="1" t="s">
        <v>39</v>
      </c>
      <c r="H873" s="6" t="str">
        <f>VLOOKUP(A873,WorldCups!$A$2:$B$23,2,FALSE)</f>
        <v>Italy</v>
      </c>
      <c r="I873" s="1" t="s">
        <v>25</v>
      </c>
      <c r="J873" s="1">
        <v>1</v>
      </c>
      <c r="K873" s="1" t="s">
        <v>23</v>
      </c>
      <c r="L873" s="1">
        <v>1</v>
      </c>
      <c r="M873" s="1" t="s">
        <v>14</v>
      </c>
    </row>
    <row r="874" spans="1:13" hidden="1" x14ac:dyDescent="0.25">
      <c r="A874" s="1">
        <v>1990</v>
      </c>
      <c r="B874" s="1">
        <v>437</v>
      </c>
      <c r="C874" s="2">
        <v>33042</v>
      </c>
      <c r="D874" s="1" t="s">
        <v>530</v>
      </c>
      <c r="E874" s="1" t="s">
        <v>213</v>
      </c>
      <c r="F874" s="1" t="s">
        <v>311</v>
      </c>
      <c r="G874" s="1" t="s">
        <v>39</v>
      </c>
      <c r="H874" s="6" t="str">
        <f>VLOOKUP(A874,WorldCups!$A$2:$B$23,2,FALSE)</f>
        <v>Italy</v>
      </c>
      <c r="I874" s="1" t="s">
        <v>23</v>
      </c>
      <c r="J874" s="1">
        <v>1</v>
      </c>
      <c r="K874" s="1" t="s">
        <v>25</v>
      </c>
      <c r="L874" s="1">
        <v>1</v>
      </c>
      <c r="M874" s="1" t="s">
        <v>14</v>
      </c>
    </row>
    <row r="875" spans="1:13" hidden="1" x14ac:dyDescent="0.25">
      <c r="A875" s="1">
        <v>1990</v>
      </c>
      <c r="B875" s="1">
        <f>B874+1</f>
        <v>438</v>
      </c>
      <c r="C875" s="2">
        <v>33042</v>
      </c>
      <c r="D875" s="1" t="s">
        <v>530</v>
      </c>
      <c r="E875" s="1" t="s">
        <v>213</v>
      </c>
      <c r="F875" s="1" t="s">
        <v>294</v>
      </c>
      <c r="G875" s="1" t="s">
        <v>295</v>
      </c>
      <c r="H875" s="6" t="str">
        <f>VLOOKUP(A875,WorldCups!$A$2:$B$23,2,FALSE)</f>
        <v>Italy</v>
      </c>
      <c r="I875" s="1" t="s">
        <v>238</v>
      </c>
      <c r="J875" s="1">
        <v>0</v>
      </c>
      <c r="K875" s="1" t="s">
        <v>126</v>
      </c>
      <c r="L875" s="1">
        <v>4</v>
      </c>
      <c r="M875" s="1" t="s">
        <v>14</v>
      </c>
    </row>
    <row r="876" spans="1:13" hidden="1" x14ac:dyDescent="0.25">
      <c r="A876" s="1">
        <v>1990</v>
      </c>
      <c r="B876" s="1">
        <v>438</v>
      </c>
      <c r="C876" s="2">
        <v>33042</v>
      </c>
      <c r="D876" s="1" t="s">
        <v>530</v>
      </c>
      <c r="E876" s="1" t="s">
        <v>213</v>
      </c>
      <c r="F876" s="1" t="s">
        <v>294</v>
      </c>
      <c r="G876" s="1" t="s">
        <v>295</v>
      </c>
      <c r="H876" s="6" t="str">
        <f>VLOOKUP(A876,WorldCups!$A$2:$B$23,2,FALSE)</f>
        <v>Italy</v>
      </c>
      <c r="I876" s="1" t="s">
        <v>126</v>
      </c>
      <c r="J876" s="1">
        <v>4</v>
      </c>
      <c r="K876" s="1" t="s">
        <v>238</v>
      </c>
      <c r="L876" s="1">
        <v>0</v>
      </c>
      <c r="M876" s="1" t="s">
        <v>14</v>
      </c>
    </row>
    <row r="877" spans="1:13" hidden="1" x14ac:dyDescent="0.25">
      <c r="A877" s="1">
        <v>1990</v>
      </c>
      <c r="B877" s="1">
        <f>B876+1</f>
        <v>439</v>
      </c>
      <c r="C877" s="2">
        <v>33043</v>
      </c>
      <c r="D877" s="1" t="s">
        <v>512</v>
      </c>
      <c r="E877" s="1" t="s">
        <v>270</v>
      </c>
      <c r="F877" s="1" t="s">
        <v>293</v>
      </c>
      <c r="G877" s="1" t="s">
        <v>43</v>
      </c>
      <c r="H877" s="6" t="str">
        <f>VLOOKUP(A877,WorldCups!$A$2:$B$23,2,FALSE)</f>
        <v>Italy</v>
      </c>
      <c r="I877" s="1" t="s">
        <v>114</v>
      </c>
      <c r="J877" s="1">
        <v>1</v>
      </c>
      <c r="K877" s="1" t="s">
        <v>151</v>
      </c>
      <c r="L877" s="1">
        <v>1</v>
      </c>
      <c r="M877" s="1" t="s">
        <v>14</v>
      </c>
    </row>
    <row r="878" spans="1:13" hidden="1" x14ac:dyDescent="0.25">
      <c r="A878" s="1">
        <v>1990</v>
      </c>
      <c r="B878" s="1">
        <v>439</v>
      </c>
      <c r="C878" s="2">
        <v>33043</v>
      </c>
      <c r="D878" s="1" t="s">
        <v>512</v>
      </c>
      <c r="E878" s="1" t="s">
        <v>270</v>
      </c>
      <c r="F878" s="1" t="s">
        <v>293</v>
      </c>
      <c r="G878" s="1" t="s">
        <v>43</v>
      </c>
      <c r="H878" s="6" t="str">
        <f>VLOOKUP(A878,WorldCups!$A$2:$B$23,2,FALSE)</f>
        <v>Italy</v>
      </c>
      <c r="I878" s="1" t="s">
        <v>151</v>
      </c>
      <c r="J878" s="1">
        <v>1</v>
      </c>
      <c r="K878" s="1" t="s">
        <v>114</v>
      </c>
      <c r="L878" s="1">
        <v>1</v>
      </c>
      <c r="M878" s="1" t="s">
        <v>14</v>
      </c>
    </row>
    <row r="879" spans="1:13" hidden="1" x14ac:dyDescent="0.25">
      <c r="A879" s="1">
        <v>1990</v>
      </c>
      <c r="B879" s="1">
        <f>B878+1</f>
        <v>440</v>
      </c>
      <c r="C879" s="2">
        <v>33043</v>
      </c>
      <c r="D879" s="1" t="s">
        <v>512</v>
      </c>
      <c r="E879" s="1" t="s">
        <v>270</v>
      </c>
      <c r="F879" s="1" t="s">
        <v>296</v>
      </c>
      <c r="G879" s="1" t="s">
        <v>47</v>
      </c>
      <c r="H879" s="6" t="str">
        <f>VLOOKUP(A879,WorldCups!$A$2:$B$23,2,FALSE)</f>
        <v>Italy</v>
      </c>
      <c r="I879" s="1" t="s">
        <v>20</v>
      </c>
      <c r="J879" s="1">
        <v>4</v>
      </c>
      <c r="K879" s="1" t="s">
        <v>297</v>
      </c>
      <c r="L879" s="1">
        <v>1</v>
      </c>
      <c r="M879" s="1" t="s">
        <v>14</v>
      </c>
    </row>
    <row r="880" spans="1:13" hidden="1" x14ac:dyDescent="0.25">
      <c r="A880" s="1">
        <v>1990</v>
      </c>
      <c r="B880" s="1">
        <v>440</v>
      </c>
      <c r="C880" s="2">
        <v>33043</v>
      </c>
      <c r="D880" s="1" t="s">
        <v>512</v>
      </c>
      <c r="E880" s="1" t="s">
        <v>270</v>
      </c>
      <c r="F880" s="1" t="s">
        <v>296</v>
      </c>
      <c r="G880" s="1" t="s">
        <v>47</v>
      </c>
      <c r="H880" s="6" t="str">
        <f>VLOOKUP(A880,WorldCups!$A$2:$B$23,2,FALSE)</f>
        <v>Italy</v>
      </c>
      <c r="I880" s="1" t="s">
        <v>297</v>
      </c>
      <c r="J880" s="1">
        <v>1</v>
      </c>
      <c r="K880" s="1" t="s">
        <v>20</v>
      </c>
      <c r="L880" s="1">
        <v>4</v>
      </c>
      <c r="M880" s="1" t="s">
        <v>14</v>
      </c>
    </row>
    <row r="881" spans="1:13" hidden="1" x14ac:dyDescent="0.25">
      <c r="A881" s="1">
        <v>1990</v>
      </c>
      <c r="B881" s="1">
        <f>B880+1</f>
        <v>441</v>
      </c>
      <c r="C881" s="2">
        <v>33043</v>
      </c>
      <c r="D881" s="1" t="s">
        <v>530</v>
      </c>
      <c r="E881" s="1" t="s">
        <v>214</v>
      </c>
      <c r="F881" s="1" t="s">
        <v>298</v>
      </c>
      <c r="G881" s="1" t="s">
        <v>56</v>
      </c>
      <c r="H881" s="6" t="str">
        <f>VLOOKUP(A881,WorldCups!$A$2:$B$23,2,FALSE)</f>
        <v>Italy</v>
      </c>
      <c r="I881" s="1" t="s">
        <v>57</v>
      </c>
      <c r="J881" s="1">
        <v>2</v>
      </c>
      <c r="K881" s="1" t="s">
        <v>60</v>
      </c>
      <c r="L881" s="1">
        <v>0</v>
      </c>
      <c r="M881" s="1" t="s">
        <v>14</v>
      </c>
    </row>
    <row r="882" spans="1:13" hidden="1" x14ac:dyDescent="0.25">
      <c r="A882" s="1">
        <v>1990</v>
      </c>
      <c r="B882" s="1">
        <v>441</v>
      </c>
      <c r="C882" s="2">
        <v>33043</v>
      </c>
      <c r="D882" s="1" t="s">
        <v>530</v>
      </c>
      <c r="E882" s="1" t="s">
        <v>214</v>
      </c>
      <c r="F882" s="1" t="s">
        <v>298</v>
      </c>
      <c r="G882" s="1" t="s">
        <v>56</v>
      </c>
      <c r="H882" s="6" t="str">
        <f>VLOOKUP(A882,WorldCups!$A$2:$B$23,2,FALSE)</f>
        <v>Italy</v>
      </c>
      <c r="I882" s="1" t="s">
        <v>60</v>
      </c>
      <c r="J882" s="1">
        <v>0</v>
      </c>
      <c r="K882" s="1" t="s">
        <v>57</v>
      </c>
      <c r="L882" s="1">
        <v>2</v>
      </c>
      <c r="M882" s="1" t="s">
        <v>14</v>
      </c>
    </row>
    <row r="883" spans="1:13" hidden="1" x14ac:dyDescent="0.25">
      <c r="A883" s="1">
        <v>1990</v>
      </c>
      <c r="B883" s="1">
        <f>B882+1</f>
        <v>442</v>
      </c>
      <c r="C883" s="2">
        <v>33043</v>
      </c>
      <c r="D883" s="1" t="s">
        <v>530</v>
      </c>
      <c r="E883" s="1" t="s">
        <v>214</v>
      </c>
      <c r="F883" s="1" t="s">
        <v>299</v>
      </c>
      <c r="G883" s="1" t="s">
        <v>50</v>
      </c>
      <c r="H883" s="6" t="str">
        <f>VLOOKUP(A883,WorldCups!$A$2:$B$23,2,FALSE)</f>
        <v>Italy</v>
      </c>
      <c r="I883" s="1" t="s">
        <v>36</v>
      </c>
      <c r="J883" s="1">
        <v>2</v>
      </c>
      <c r="K883" s="1" t="s">
        <v>17</v>
      </c>
      <c r="L883" s="1">
        <v>1</v>
      </c>
      <c r="M883" s="1" t="s">
        <v>14</v>
      </c>
    </row>
    <row r="884" spans="1:13" hidden="1" x14ac:dyDescent="0.25">
      <c r="A884" s="1">
        <v>1990</v>
      </c>
      <c r="B884" s="1">
        <v>442</v>
      </c>
      <c r="C884" s="2">
        <v>33043</v>
      </c>
      <c r="D884" s="1" t="s">
        <v>530</v>
      </c>
      <c r="E884" s="1" t="s">
        <v>214</v>
      </c>
      <c r="F884" s="1" t="s">
        <v>299</v>
      </c>
      <c r="G884" s="1" t="s">
        <v>50</v>
      </c>
      <c r="H884" s="6" t="str">
        <f>VLOOKUP(A884,WorldCups!$A$2:$B$23,2,FALSE)</f>
        <v>Italy</v>
      </c>
      <c r="I884" s="1" t="s">
        <v>17</v>
      </c>
      <c r="J884" s="1">
        <v>1</v>
      </c>
      <c r="K884" s="1" t="s">
        <v>36</v>
      </c>
      <c r="L884" s="1">
        <v>2</v>
      </c>
      <c r="M884" s="1" t="s">
        <v>14</v>
      </c>
    </row>
    <row r="885" spans="1:13" hidden="1" x14ac:dyDescent="0.25">
      <c r="A885" s="1">
        <v>1990</v>
      </c>
      <c r="B885" s="1">
        <f>B884+1</f>
        <v>443</v>
      </c>
      <c r="C885" s="2">
        <v>33044</v>
      </c>
      <c r="D885" s="1" t="s">
        <v>530</v>
      </c>
      <c r="E885" s="1" t="s">
        <v>268</v>
      </c>
      <c r="F885" s="1" t="s">
        <v>300</v>
      </c>
      <c r="G885" s="1" t="s">
        <v>35</v>
      </c>
      <c r="H885" s="6" t="str">
        <f>VLOOKUP(A885,WorldCups!$A$2:$B$23,2,FALSE)</f>
        <v>Italy</v>
      </c>
      <c r="I885" s="1" t="s">
        <v>21</v>
      </c>
      <c r="J885" s="1">
        <v>1</v>
      </c>
      <c r="K885" s="1" t="s">
        <v>109</v>
      </c>
      <c r="L885" s="1">
        <v>0</v>
      </c>
      <c r="M885" s="1" t="s">
        <v>14</v>
      </c>
    </row>
    <row r="886" spans="1:13" hidden="1" x14ac:dyDescent="0.25">
      <c r="A886" s="1">
        <v>1990</v>
      </c>
      <c r="B886" s="1">
        <v>443</v>
      </c>
      <c r="C886" s="2">
        <v>33044</v>
      </c>
      <c r="D886" s="1" t="s">
        <v>530</v>
      </c>
      <c r="E886" s="1" t="s">
        <v>268</v>
      </c>
      <c r="F886" s="1" t="s">
        <v>300</v>
      </c>
      <c r="G886" s="1" t="s">
        <v>35</v>
      </c>
      <c r="H886" s="6" t="str">
        <f>VLOOKUP(A886,WorldCups!$A$2:$B$23,2,FALSE)</f>
        <v>Italy</v>
      </c>
      <c r="I886" s="1" t="s">
        <v>109</v>
      </c>
      <c r="J886" s="1">
        <v>0</v>
      </c>
      <c r="K886" s="1" t="s">
        <v>21</v>
      </c>
      <c r="L886" s="1">
        <v>1</v>
      </c>
      <c r="M886" s="1" t="s">
        <v>14</v>
      </c>
    </row>
    <row r="887" spans="1:13" hidden="1" x14ac:dyDescent="0.25">
      <c r="A887" s="1">
        <v>1990</v>
      </c>
      <c r="B887" s="1">
        <f>B886+1</f>
        <v>444</v>
      </c>
      <c r="C887" s="2">
        <v>33044</v>
      </c>
      <c r="D887" s="1" t="s">
        <v>530</v>
      </c>
      <c r="E887" s="1" t="s">
        <v>268</v>
      </c>
      <c r="F887" s="1" t="s">
        <v>52</v>
      </c>
      <c r="G887" s="1" t="s">
        <v>53</v>
      </c>
      <c r="H887" s="6" t="str">
        <f>VLOOKUP(A887,WorldCups!$A$2:$B$23,2,FALSE)</f>
        <v>Italy</v>
      </c>
      <c r="I887" s="1" t="s">
        <v>48</v>
      </c>
      <c r="J887" s="1">
        <v>1</v>
      </c>
      <c r="K887" s="1" t="s">
        <v>301</v>
      </c>
      <c r="L887" s="1">
        <v>2</v>
      </c>
      <c r="M887" s="1" t="s">
        <v>14</v>
      </c>
    </row>
    <row r="888" spans="1:13" hidden="1" x14ac:dyDescent="0.25">
      <c r="A888" s="1">
        <v>1990</v>
      </c>
      <c r="B888" s="1">
        <v>444</v>
      </c>
      <c r="C888" s="2">
        <v>33044</v>
      </c>
      <c r="D888" s="1" t="s">
        <v>530</v>
      </c>
      <c r="E888" s="1" t="s">
        <v>268</v>
      </c>
      <c r="F888" s="1" t="s">
        <v>52</v>
      </c>
      <c r="G888" s="1" t="s">
        <v>53</v>
      </c>
      <c r="H888" s="6" t="str">
        <f>VLOOKUP(A888,WorldCups!$A$2:$B$23,2,FALSE)</f>
        <v>Italy</v>
      </c>
      <c r="I888" s="1" t="s">
        <v>301</v>
      </c>
      <c r="J888" s="1">
        <v>2</v>
      </c>
      <c r="K888" s="1" t="s">
        <v>48</v>
      </c>
      <c r="L888" s="1">
        <v>1</v>
      </c>
      <c r="M888" s="1" t="s">
        <v>14</v>
      </c>
    </row>
    <row r="889" spans="1:13" hidden="1" x14ac:dyDescent="0.25">
      <c r="A889" s="1">
        <v>1990</v>
      </c>
      <c r="B889" s="1">
        <f>B888+1</f>
        <v>445</v>
      </c>
      <c r="C889" s="2">
        <v>33045</v>
      </c>
      <c r="D889" s="1" t="s">
        <v>512</v>
      </c>
      <c r="E889" s="1" t="s">
        <v>281</v>
      </c>
      <c r="F889" s="1" t="s">
        <v>312</v>
      </c>
      <c r="G889" s="1" t="s">
        <v>310</v>
      </c>
      <c r="H889" s="6" t="str">
        <f>VLOOKUP(A889,WorldCups!$A$2:$B$23,2,FALSE)</f>
        <v>Italy</v>
      </c>
      <c r="I889" s="1" t="s">
        <v>116</v>
      </c>
      <c r="J889" s="1">
        <v>0</v>
      </c>
      <c r="K889" s="1" t="s">
        <v>30</v>
      </c>
      <c r="L889" s="1">
        <v>1</v>
      </c>
      <c r="M889" s="1" t="s">
        <v>14</v>
      </c>
    </row>
    <row r="890" spans="1:13" hidden="1" x14ac:dyDescent="0.25">
      <c r="A890" s="1">
        <v>1990</v>
      </c>
      <c r="B890" s="1">
        <v>445</v>
      </c>
      <c r="C890" s="2">
        <v>33045</v>
      </c>
      <c r="D890" s="1" t="s">
        <v>512</v>
      </c>
      <c r="E890" s="1" t="s">
        <v>281</v>
      </c>
      <c r="F890" s="1" t="s">
        <v>312</v>
      </c>
      <c r="G890" s="1" t="s">
        <v>310</v>
      </c>
      <c r="H890" s="6" t="str">
        <f>VLOOKUP(A890,WorldCups!$A$2:$B$23,2,FALSE)</f>
        <v>Italy</v>
      </c>
      <c r="I890" s="1" t="s">
        <v>30</v>
      </c>
      <c r="J890" s="1">
        <v>1</v>
      </c>
      <c r="K890" s="1" t="s">
        <v>116</v>
      </c>
      <c r="L890" s="1">
        <v>0</v>
      </c>
      <c r="M890" s="1" t="s">
        <v>14</v>
      </c>
    </row>
    <row r="891" spans="1:13" hidden="1" x14ac:dyDescent="0.25">
      <c r="A891" s="1">
        <v>1990</v>
      </c>
      <c r="B891" s="1">
        <f>B890+1</f>
        <v>446</v>
      </c>
      <c r="C891" s="2">
        <v>33045</v>
      </c>
      <c r="D891" s="1" t="s">
        <v>512</v>
      </c>
      <c r="E891" s="1" t="s">
        <v>281</v>
      </c>
      <c r="F891" s="1" t="s">
        <v>305</v>
      </c>
      <c r="G891" s="1" t="s">
        <v>306</v>
      </c>
      <c r="H891" s="6" t="str">
        <f>VLOOKUP(A891,WorldCups!$A$2:$B$23,2,FALSE)</f>
        <v>Italy</v>
      </c>
      <c r="I891" s="1" t="s">
        <v>18</v>
      </c>
      <c r="J891" s="1">
        <v>1</v>
      </c>
      <c r="K891" s="1" t="s">
        <v>54</v>
      </c>
      <c r="L891" s="1">
        <v>2</v>
      </c>
      <c r="M891" s="1" t="s">
        <v>14</v>
      </c>
    </row>
    <row r="892" spans="1:13" hidden="1" x14ac:dyDescent="0.25">
      <c r="A892" s="1">
        <v>1990</v>
      </c>
      <c r="B892" s="1">
        <v>446</v>
      </c>
      <c r="C892" s="2">
        <v>33045</v>
      </c>
      <c r="D892" s="1" t="s">
        <v>512</v>
      </c>
      <c r="E892" s="1" t="s">
        <v>281</v>
      </c>
      <c r="F892" s="1" t="s">
        <v>305</v>
      </c>
      <c r="G892" s="1" t="s">
        <v>306</v>
      </c>
      <c r="H892" s="6" t="str">
        <f>VLOOKUP(A892,WorldCups!$A$2:$B$23,2,FALSE)</f>
        <v>Italy</v>
      </c>
      <c r="I892" s="1" t="s">
        <v>54</v>
      </c>
      <c r="J892" s="1">
        <v>2</v>
      </c>
      <c r="K892" s="1" t="s">
        <v>18</v>
      </c>
      <c r="L892" s="1">
        <v>1</v>
      </c>
      <c r="M892" s="1" t="s">
        <v>14</v>
      </c>
    </row>
    <row r="893" spans="1:13" hidden="1" x14ac:dyDescent="0.25">
      <c r="A893" s="1">
        <v>1990</v>
      </c>
      <c r="B893" s="1">
        <f>B892+1</f>
        <v>447</v>
      </c>
      <c r="C893" s="2">
        <v>33045</v>
      </c>
      <c r="D893" s="1" t="s">
        <v>530</v>
      </c>
      <c r="E893" s="1" t="s">
        <v>274</v>
      </c>
      <c r="F893" s="1" t="s">
        <v>307</v>
      </c>
      <c r="G893" s="1" t="s">
        <v>308</v>
      </c>
      <c r="H893" s="6" t="str">
        <f>VLOOKUP(A893,WorldCups!$A$2:$B$23,2,FALSE)</f>
        <v>Italy</v>
      </c>
      <c r="I893" s="1" t="s">
        <v>304</v>
      </c>
      <c r="J893" s="1">
        <v>1</v>
      </c>
      <c r="K893" s="1" t="s">
        <v>45</v>
      </c>
      <c r="L893" s="1">
        <v>1</v>
      </c>
      <c r="M893" s="1" t="s">
        <v>14</v>
      </c>
    </row>
    <row r="894" spans="1:13" hidden="1" x14ac:dyDescent="0.25">
      <c r="A894" s="1">
        <v>1990</v>
      </c>
      <c r="B894" s="1">
        <v>447</v>
      </c>
      <c r="C894" s="2">
        <v>33045</v>
      </c>
      <c r="D894" s="1" t="s">
        <v>530</v>
      </c>
      <c r="E894" s="1" t="s">
        <v>274</v>
      </c>
      <c r="F894" s="1" t="s">
        <v>307</v>
      </c>
      <c r="G894" s="1" t="s">
        <v>308</v>
      </c>
      <c r="H894" s="6" t="str">
        <f>VLOOKUP(A894,WorldCups!$A$2:$B$23,2,FALSE)</f>
        <v>Italy</v>
      </c>
      <c r="I894" s="1" t="s">
        <v>45</v>
      </c>
      <c r="J894" s="1">
        <v>1</v>
      </c>
      <c r="K894" s="1" t="s">
        <v>304</v>
      </c>
      <c r="L894" s="1">
        <v>1</v>
      </c>
      <c r="M894" s="1" t="s">
        <v>14</v>
      </c>
    </row>
    <row r="895" spans="1:13" hidden="1" x14ac:dyDescent="0.25">
      <c r="A895" s="1">
        <v>1990</v>
      </c>
      <c r="B895" s="1">
        <f>B894+1</f>
        <v>448</v>
      </c>
      <c r="C895" s="2">
        <v>33045</v>
      </c>
      <c r="D895" s="1" t="s">
        <v>530</v>
      </c>
      <c r="E895" s="1" t="s">
        <v>274</v>
      </c>
      <c r="F895" s="1" t="s">
        <v>302</v>
      </c>
      <c r="G895" s="1" t="s">
        <v>303</v>
      </c>
      <c r="H895" s="6" t="str">
        <f>VLOOKUP(A895,WorldCups!$A$2:$B$23,2,FALSE)</f>
        <v>Italy</v>
      </c>
      <c r="I895" s="1" t="s">
        <v>93</v>
      </c>
      <c r="J895" s="1">
        <v>1</v>
      </c>
      <c r="K895" s="1" t="s">
        <v>41</v>
      </c>
      <c r="L895" s="1">
        <v>0</v>
      </c>
      <c r="M895" s="1" t="s">
        <v>14</v>
      </c>
    </row>
    <row r="896" spans="1:13" hidden="1" x14ac:dyDescent="0.25">
      <c r="A896" s="1">
        <v>1990</v>
      </c>
      <c r="B896" s="1">
        <v>448</v>
      </c>
      <c r="C896" s="2">
        <v>33045</v>
      </c>
      <c r="D896" s="1" t="s">
        <v>530</v>
      </c>
      <c r="E896" s="1" t="s">
        <v>274</v>
      </c>
      <c r="F896" s="1" t="s">
        <v>302</v>
      </c>
      <c r="G896" s="1" t="s">
        <v>303</v>
      </c>
      <c r="H896" s="6" t="str">
        <f>VLOOKUP(A896,WorldCups!$A$2:$B$23,2,FALSE)</f>
        <v>Italy</v>
      </c>
      <c r="I896" s="1" t="s">
        <v>41</v>
      </c>
      <c r="J896" s="1">
        <v>0</v>
      </c>
      <c r="K896" s="1" t="s">
        <v>93</v>
      </c>
      <c r="L896" s="1">
        <v>1</v>
      </c>
      <c r="M896" s="1" t="s">
        <v>14</v>
      </c>
    </row>
    <row r="897" spans="1:13" hidden="1" x14ac:dyDescent="0.25">
      <c r="A897" s="1">
        <v>1990</v>
      </c>
      <c r="B897" s="1">
        <f>B896+1</f>
        <v>449</v>
      </c>
      <c r="C897" s="2">
        <v>33047</v>
      </c>
      <c r="D897" s="1" t="s">
        <v>512</v>
      </c>
      <c r="E897" s="1" t="s">
        <v>287</v>
      </c>
      <c r="F897" s="1" t="s">
        <v>311</v>
      </c>
      <c r="G897" s="1" t="s">
        <v>39</v>
      </c>
      <c r="H897" s="6" t="str">
        <f>VLOOKUP(A897,WorldCups!$A$2:$B$23,2,FALSE)</f>
        <v>Italy</v>
      </c>
      <c r="I897" s="1" t="s">
        <v>238</v>
      </c>
      <c r="J897" s="1">
        <v>2</v>
      </c>
      <c r="K897" s="1" t="s">
        <v>151</v>
      </c>
      <c r="L897" s="1">
        <v>1</v>
      </c>
      <c r="M897" s="1" t="s">
        <v>313</v>
      </c>
    </row>
    <row r="898" spans="1:13" hidden="1" x14ac:dyDescent="0.25">
      <c r="A898" s="1">
        <v>1990</v>
      </c>
      <c r="B898" s="1">
        <v>449</v>
      </c>
      <c r="C898" s="2">
        <v>33047</v>
      </c>
      <c r="D898" s="1" t="s">
        <v>512</v>
      </c>
      <c r="E898" s="1" t="s">
        <v>287</v>
      </c>
      <c r="F898" s="1" t="s">
        <v>311</v>
      </c>
      <c r="G898" s="1" t="s">
        <v>39</v>
      </c>
      <c r="H898" s="6" t="str">
        <f>VLOOKUP(A898,WorldCups!$A$2:$B$23,2,FALSE)</f>
        <v>Italy</v>
      </c>
      <c r="I898" s="1" t="s">
        <v>151</v>
      </c>
      <c r="J898" s="1">
        <v>1</v>
      </c>
      <c r="K898" s="1" t="s">
        <v>238</v>
      </c>
      <c r="L898" s="1">
        <v>2</v>
      </c>
      <c r="M898" s="1" t="s">
        <v>313</v>
      </c>
    </row>
    <row r="899" spans="1:13" hidden="1" x14ac:dyDescent="0.25">
      <c r="A899" s="1">
        <v>1990</v>
      </c>
      <c r="B899" s="1">
        <f>B898+1</f>
        <v>450</v>
      </c>
      <c r="C899" s="2">
        <v>33047</v>
      </c>
      <c r="D899" s="1" t="s">
        <v>530</v>
      </c>
      <c r="E899" s="1" t="s">
        <v>287</v>
      </c>
      <c r="F899" s="1" t="s">
        <v>294</v>
      </c>
      <c r="G899" s="1" t="s">
        <v>295</v>
      </c>
      <c r="H899" s="6" t="str">
        <f>VLOOKUP(A899,WorldCups!$A$2:$B$23,2,FALSE)</f>
        <v>Italy</v>
      </c>
      <c r="I899" s="1" t="s">
        <v>60</v>
      </c>
      <c r="J899" s="1">
        <v>4</v>
      </c>
      <c r="K899" s="1" t="s">
        <v>301</v>
      </c>
      <c r="L899" s="1">
        <v>1</v>
      </c>
      <c r="M899" s="1" t="s">
        <v>14</v>
      </c>
    </row>
    <row r="900" spans="1:13" hidden="1" x14ac:dyDescent="0.25">
      <c r="A900" s="1">
        <v>1990</v>
      </c>
      <c r="B900" s="1">
        <v>450</v>
      </c>
      <c r="C900" s="2">
        <v>33047</v>
      </c>
      <c r="D900" s="1" t="s">
        <v>530</v>
      </c>
      <c r="E900" s="1" t="s">
        <v>287</v>
      </c>
      <c r="F900" s="1" t="s">
        <v>294</v>
      </c>
      <c r="G900" s="1" t="s">
        <v>295</v>
      </c>
      <c r="H900" s="6" t="str">
        <f>VLOOKUP(A900,WorldCups!$A$2:$B$23,2,FALSE)</f>
        <v>Italy</v>
      </c>
      <c r="I900" s="1" t="s">
        <v>301</v>
      </c>
      <c r="J900" s="1">
        <v>1</v>
      </c>
      <c r="K900" s="1" t="s">
        <v>60</v>
      </c>
      <c r="L900" s="1">
        <v>4</v>
      </c>
      <c r="M900" s="1" t="s">
        <v>14</v>
      </c>
    </row>
    <row r="901" spans="1:13" hidden="1" x14ac:dyDescent="0.25">
      <c r="A901" s="1">
        <v>1990</v>
      </c>
      <c r="B901" s="1">
        <f>B900+1</f>
        <v>451</v>
      </c>
      <c r="C901" s="2">
        <v>33048</v>
      </c>
      <c r="D901" s="1" t="s">
        <v>512</v>
      </c>
      <c r="E901" s="1" t="s">
        <v>287</v>
      </c>
      <c r="F901" s="1" t="s">
        <v>300</v>
      </c>
      <c r="G901" s="1" t="s">
        <v>35</v>
      </c>
      <c r="H901" s="6" t="str">
        <f>VLOOKUP(A901,WorldCups!$A$2:$B$23,2,FALSE)</f>
        <v>Italy</v>
      </c>
      <c r="I901" s="1" t="s">
        <v>21</v>
      </c>
      <c r="J901" s="1">
        <v>0</v>
      </c>
      <c r="K901" s="1" t="s">
        <v>25</v>
      </c>
      <c r="L901" s="1">
        <v>1</v>
      </c>
      <c r="M901" s="1" t="s">
        <v>14</v>
      </c>
    </row>
    <row r="902" spans="1:13" hidden="1" x14ac:dyDescent="0.25">
      <c r="A902" s="1">
        <v>1990</v>
      </c>
      <c r="B902" s="1">
        <v>451</v>
      </c>
      <c r="C902" s="2">
        <v>33048</v>
      </c>
      <c r="D902" s="1" t="s">
        <v>512</v>
      </c>
      <c r="E902" s="1" t="s">
        <v>287</v>
      </c>
      <c r="F902" s="1" t="s">
        <v>300</v>
      </c>
      <c r="G902" s="1" t="s">
        <v>35</v>
      </c>
      <c r="H902" s="6" t="str">
        <f>VLOOKUP(A902,WorldCups!$A$2:$B$23,2,FALSE)</f>
        <v>Italy</v>
      </c>
      <c r="I902" s="1" t="s">
        <v>25</v>
      </c>
      <c r="J902" s="1">
        <v>1</v>
      </c>
      <c r="K902" s="1" t="s">
        <v>21</v>
      </c>
      <c r="L902" s="1">
        <v>0</v>
      </c>
      <c r="M902" s="1" t="s">
        <v>14</v>
      </c>
    </row>
    <row r="903" spans="1:13" hidden="1" x14ac:dyDescent="0.25">
      <c r="A903" s="1">
        <v>1990</v>
      </c>
      <c r="B903" s="1">
        <f>B902+1</f>
        <v>452</v>
      </c>
      <c r="C903" s="2">
        <v>33048</v>
      </c>
      <c r="D903" s="1" t="s">
        <v>530</v>
      </c>
      <c r="E903" s="1" t="s">
        <v>287</v>
      </c>
      <c r="F903" s="1" t="s">
        <v>293</v>
      </c>
      <c r="G903" s="1" t="s">
        <v>43</v>
      </c>
      <c r="H903" s="6" t="str">
        <f>VLOOKUP(A903,WorldCups!$A$2:$B$23,2,FALSE)</f>
        <v>Italy</v>
      </c>
      <c r="I903" s="1" t="s">
        <v>114</v>
      </c>
      <c r="J903" s="1">
        <v>2</v>
      </c>
      <c r="K903" s="1" t="s">
        <v>45</v>
      </c>
      <c r="L903" s="1">
        <v>1</v>
      </c>
      <c r="M903" s="1" t="s">
        <v>14</v>
      </c>
    </row>
    <row r="904" spans="1:13" hidden="1" x14ac:dyDescent="0.25">
      <c r="A904" s="1">
        <v>1990</v>
      </c>
      <c r="B904" s="1">
        <v>452</v>
      </c>
      <c r="C904" s="2">
        <v>33048</v>
      </c>
      <c r="D904" s="1" t="s">
        <v>530</v>
      </c>
      <c r="E904" s="1" t="s">
        <v>287</v>
      </c>
      <c r="F904" s="1" t="s">
        <v>293</v>
      </c>
      <c r="G904" s="1" t="s">
        <v>43</v>
      </c>
      <c r="H904" s="6" t="str">
        <f>VLOOKUP(A904,WorldCups!$A$2:$B$23,2,FALSE)</f>
        <v>Italy</v>
      </c>
      <c r="I904" s="1" t="s">
        <v>45</v>
      </c>
      <c r="J904" s="1">
        <v>1</v>
      </c>
      <c r="K904" s="1" t="s">
        <v>114</v>
      </c>
      <c r="L904" s="1">
        <v>2</v>
      </c>
      <c r="M904" s="1" t="s">
        <v>14</v>
      </c>
    </row>
    <row r="905" spans="1:13" hidden="1" x14ac:dyDescent="0.25">
      <c r="A905" s="1">
        <v>1990</v>
      </c>
      <c r="B905" s="1">
        <f>B904+1</f>
        <v>453</v>
      </c>
      <c r="C905" s="2">
        <v>33049</v>
      </c>
      <c r="D905" s="1" t="s">
        <v>512</v>
      </c>
      <c r="E905" s="1" t="s">
        <v>287</v>
      </c>
      <c r="F905" s="1" t="s">
        <v>52</v>
      </c>
      <c r="G905" s="1" t="s">
        <v>53</v>
      </c>
      <c r="H905" s="6" t="str">
        <f>VLOOKUP(A905,WorldCups!$A$2:$B$23,2,FALSE)</f>
        <v>Italy</v>
      </c>
      <c r="I905" s="1" t="s">
        <v>304</v>
      </c>
      <c r="J905" s="1">
        <v>0</v>
      </c>
      <c r="K905" s="1" t="s">
        <v>23</v>
      </c>
      <c r="L905" s="1">
        <v>0</v>
      </c>
      <c r="M905" s="1" t="s">
        <v>314</v>
      </c>
    </row>
    <row r="906" spans="1:13" hidden="1" x14ac:dyDescent="0.25">
      <c r="A906" s="1">
        <v>1990</v>
      </c>
      <c r="B906" s="1">
        <v>453</v>
      </c>
      <c r="C906" s="2">
        <v>33049</v>
      </c>
      <c r="D906" s="1" t="s">
        <v>512</v>
      </c>
      <c r="E906" s="1" t="s">
        <v>287</v>
      </c>
      <c r="F906" s="1" t="s">
        <v>52</v>
      </c>
      <c r="G906" s="1" t="s">
        <v>53</v>
      </c>
      <c r="H906" s="6" t="str">
        <f>VLOOKUP(A906,WorldCups!$A$2:$B$23,2,FALSE)</f>
        <v>Italy</v>
      </c>
      <c r="I906" s="1" t="s">
        <v>23</v>
      </c>
      <c r="J906" s="1">
        <v>0</v>
      </c>
      <c r="K906" s="1" t="s">
        <v>304</v>
      </c>
      <c r="L906" s="1">
        <v>0</v>
      </c>
      <c r="M906" s="1" t="s">
        <v>314</v>
      </c>
    </row>
    <row r="907" spans="1:13" hidden="1" x14ac:dyDescent="0.25">
      <c r="A907" s="1">
        <v>1990</v>
      </c>
      <c r="B907" s="1">
        <f>B906+1</f>
        <v>454</v>
      </c>
      <c r="C907" s="2">
        <v>33049</v>
      </c>
      <c r="D907" s="1" t="s">
        <v>530</v>
      </c>
      <c r="E907" s="1" t="s">
        <v>287</v>
      </c>
      <c r="F907" s="1" t="s">
        <v>298</v>
      </c>
      <c r="G907" s="1" t="s">
        <v>56</v>
      </c>
      <c r="H907" s="6" t="str">
        <f>VLOOKUP(A907,WorldCups!$A$2:$B$23,2,FALSE)</f>
        <v>Italy</v>
      </c>
      <c r="I907" s="1" t="s">
        <v>57</v>
      </c>
      <c r="J907" s="1">
        <v>2</v>
      </c>
      <c r="K907" s="1" t="s">
        <v>30</v>
      </c>
      <c r="L907" s="1">
        <v>0</v>
      </c>
      <c r="M907" s="1" t="s">
        <v>14</v>
      </c>
    </row>
    <row r="908" spans="1:13" hidden="1" x14ac:dyDescent="0.25">
      <c r="A908" s="1">
        <v>1990</v>
      </c>
      <c r="B908" s="1">
        <v>454</v>
      </c>
      <c r="C908" s="2">
        <v>33049</v>
      </c>
      <c r="D908" s="1" t="s">
        <v>530</v>
      </c>
      <c r="E908" s="1" t="s">
        <v>287</v>
      </c>
      <c r="F908" s="1" t="s">
        <v>298</v>
      </c>
      <c r="G908" s="1" t="s">
        <v>56</v>
      </c>
      <c r="H908" s="6" t="str">
        <f>VLOOKUP(A908,WorldCups!$A$2:$B$23,2,FALSE)</f>
        <v>Italy</v>
      </c>
      <c r="I908" s="1" t="s">
        <v>30</v>
      </c>
      <c r="J908" s="1">
        <v>0</v>
      </c>
      <c r="K908" s="1" t="s">
        <v>57</v>
      </c>
      <c r="L908" s="1">
        <v>2</v>
      </c>
      <c r="M908" s="1" t="s">
        <v>14</v>
      </c>
    </row>
    <row r="909" spans="1:13" hidden="1" x14ac:dyDescent="0.25">
      <c r="A909" s="1">
        <v>1990</v>
      </c>
      <c r="B909" s="1">
        <f>B908+1</f>
        <v>455</v>
      </c>
      <c r="C909" s="2">
        <v>33050</v>
      </c>
      <c r="D909" s="1" t="s">
        <v>512</v>
      </c>
      <c r="E909" s="1" t="s">
        <v>287</v>
      </c>
      <c r="F909" s="1" t="s">
        <v>305</v>
      </c>
      <c r="G909" s="1" t="s">
        <v>306</v>
      </c>
      <c r="H909" s="6" t="str">
        <f>VLOOKUP(A909,WorldCups!$A$2:$B$23,2,FALSE)</f>
        <v>Italy</v>
      </c>
      <c r="I909" s="1" t="s">
        <v>54</v>
      </c>
      <c r="J909" s="1">
        <v>1</v>
      </c>
      <c r="K909" s="1" t="s">
        <v>20</v>
      </c>
      <c r="L909" s="1">
        <v>2</v>
      </c>
      <c r="M909" s="1" t="s">
        <v>315</v>
      </c>
    </row>
    <row r="910" spans="1:13" hidden="1" x14ac:dyDescent="0.25">
      <c r="A910" s="1">
        <v>1990</v>
      </c>
      <c r="B910" s="1">
        <v>455</v>
      </c>
      <c r="C910" s="2">
        <v>33050</v>
      </c>
      <c r="D910" s="1" t="s">
        <v>512</v>
      </c>
      <c r="E910" s="1" t="s">
        <v>287</v>
      </c>
      <c r="F910" s="1" t="s">
        <v>305</v>
      </c>
      <c r="G910" s="1" t="s">
        <v>306</v>
      </c>
      <c r="H910" s="6" t="str">
        <f>VLOOKUP(A910,WorldCups!$A$2:$B$23,2,FALSE)</f>
        <v>Italy</v>
      </c>
      <c r="I910" s="1" t="s">
        <v>20</v>
      </c>
      <c r="J910" s="1">
        <v>2</v>
      </c>
      <c r="K910" s="1" t="s">
        <v>54</v>
      </c>
      <c r="L910" s="1">
        <v>1</v>
      </c>
      <c r="M910" s="1" t="s">
        <v>315</v>
      </c>
    </row>
    <row r="911" spans="1:13" hidden="1" x14ac:dyDescent="0.25">
      <c r="A911" s="1">
        <v>1990</v>
      </c>
      <c r="B911" s="1">
        <f>B910+1</f>
        <v>456</v>
      </c>
      <c r="C911" s="2">
        <v>33050</v>
      </c>
      <c r="D911" s="1" t="s">
        <v>530</v>
      </c>
      <c r="E911" s="1" t="s">
        <v>287</v>
      </c>
      <c r="F911" s="1" t="s">
        <v>296</v>
      </c>
      <c r="G911" s="1" t="s">
        <v>47</v>
      </c>
      <c r="H911" s="6" t="str">
        <f>VLOOKUP(A911,WorldCups!$A$2:$B$23,2,FALSE)</f>
        <v>Italy</v>
      </c>
      <c r="I911" s="1" t="s">
        <v>93</v>
      </c>
      <c r="J911" s="1">
        <v>1</v>
      </c>
      <c r="K911" s="1" t="s">
        <v>18</v>
      </c>
      <c r="L911" s="1">
        <v>0</v>
      </c>
      <c r="M911" s="1" t="s">
        <v>176</v>
      </c>
    </row>
    <row r="912" spans="1:13" hidden="1" x14ac:dyDescent="0.25">
      <c r="A912" s="1">
        <v>1990</v>
      </c>
      <c r="B912" s="1">
        <v>456</v>
      </c>
      <c r="C912" s="2">
        <v>33050</v>
      </c>
      <c r="D912" s="1" t="s">
        <v>530</v>
      </c>
      <c r="E912" s="1" t="s">
        <v>287</v>
      </c>
      <c r="F912" s="1" t="s">
        <v>296</v>
      </c>
      <c r="G912" s="1" t="s">
        <v>47</v>
      </c>
      <c r="H912" s="6" t="str">
        <f>VLOOKUP(A912,WorldCups!$A$2:$B$23,2,FALSE)</f>
        <v>Italy</v>
      </c>
      <c r="I912" s="1" t="s">
        <v>18</v>
      </c>
      <c r="J912" s="1">
        <v>0</v>
      </c>
      <c r="K912" s="1" t="s">
        <v>93</v>
      </c>
      <c r="L912" s="1">
        <v>1</v>
      </c>
      <c r="M912" s="1" t="s">
        <v>176</v>
      </c>
    </row>
    <row r="913" spans="1:13" hidden="1" x14ac:dyDescent="0.25">
      <c r="A913" s="1">
        <v>1990</v>
      </c>
      <c r="B913" s="1">
        <f>B912+1</f>
        <v>457</v>
      </c>
      <c r="C913" s="2">
        <v>33054</v>
      </c>
      <c r="D913" s="1" t="s">
        <v>512</v>
      </c>
      <c r="E913" s="1" t="s">
        <v>61</v>
      </c>
      <c r="F913" s="1" t="s">
        <v>299</v>
      </c>
      <c r="G913" s="1" t="s">
        <v>50</v>
      </c>
      <c r="H913" s="6" t="str">
        <f>VLOOKUP(A913,WorldCups!$A$2:$B$23,2,FALSE)</f>
        <v>Italy</v>
      </c>
      <c r="I913" s="1" t="s">
        <v>20</v>
      </c>
      <c r="J913" s="1">
        <v>0</v>
      </c>
      <c r="K913" s="1" t="s">
        <v>25</v>
      </c>
      <c r="L913" s="1">
        <v>0</v>
      </c>
      <c r="M913" s="1" t="s">
        <v>316</v>
      </c>
    </row>
    <row r="914" spans="1:13" hidden="1" x14ac:dyDescent="0.25">
      <c r="A914" s="1">
        <v>1990</v>
      </c>
      <c r="B914" s="1">
        <v>457</v>
      </c>
      <c r="C914" s="2">
        <v>33054</v>
      </c>
      <c r="D914" s="1" t="s">
        <v>512</v>
      </c>
      <c r="E914" s="1" t="s">
        <v>61</v>
      </c>
      <c r="F914" s="1" t="s">
        <v>299</v>
      </c>
      <c r="G914" s="1" t="s">
        <v>50</v>
      </c>
      <c r="H914" s="6" t="str">
        <f>VLOOKUP(A914,WorldCups!$A$2:$B$23,2,FALSE)</f>
        <v>Italy</v>
      </c>
      <c r="I914" s="1" t="s">
        <v>25</v>
      </c>
      <c r="J914" s="1">
        <v>0</v>
      </c>
      <c r="K914" s="1" t="s">
        <v>20</v>
      </c>
      <c r="L914" s="1">
        <v>0</v>
      </c>
      <c r="M914" s="1" t="s">
        <v>316</v>
      </c>
    </row>
    <row r="915" spans="1:13" hidden="1" x14ac:dyDescent="0.25">
      <c r="A915" s="1">
        <v>1990</v>
      </c>
      <c r="B915" s="1">
        <f>B914+1</f>
        <v>458</v>
      </c>
      <c r="C915" s="2">
        <v>33054</v>
      </c>
      <c r="D915" s="1" t="s">
        <v>530</v>
      </c>
      <c r="E915" s="1" t="s">
        <v>61</v>
      </c>
      <c r="F915" s="1" t="s">
        <v>298</v>
      </c>
      <c r="G915" s="1" t="s">
        <v>56</v>
      </c>
      <c r="H915" s="6" t="str">
        <f>VLOOKUP(A915,WorldCups!$A$2:$B$23,2,FALSE)</f>
        <v>Italy</v>
      </c>
      <c r="I915" s="1" t="s">
        <v>57</v>
      </c>
      <c r="J915" s="1">
        <v>1</v>
      </c>
      <c r="K915" s="1" t="s">
        <v>304</v>
      </c>
      <c r="L915" s="1">
        <v>0</v>
      </c>
      <c r="M915" s="1" t="s">
        <v>14</v>
      </c>
    </row>
    <row r="916" spans="1:13" hidden="1" x14ac:dyDescent="0.25">
      <c r="A916" s="1">
        <v>1990</v>
      </c>
      <c r="B916" s="1">
        <v>458</v>
      </c>
      <c r="C916" s="2">
        <v>33054</v>
      </c>
      <c r="D916" s="1" t="s">
        <v>530</v>
      </c>
      <c r="E916" s="1" t="s">
        <v>61</v>
      </c>
      <c r="F916" s="1" t="s">
        <v>298</v>
      </c>
      <c r="G916" s="1" t="s">
        <v>56</v>
      </c>
      <c r="H916" s="6" t="str">
        <f>VLOOKUP(A916,WorldCups!$A$2:$B$23,2,FALSE)</f>
        <v>Italy</v>
      </c>
      <c r="I916" s="1" t="s">
        <v>304</v>
      </c>
      <c r="J916" s="1">
        <v>0</v>
      </c>
      <c r="K916" s="1" t="s">
        <v>57</v>
      </c>
      <c r="L916" s="1">
        <v>1</v>
      </c>
      <c r="M916" s="1" t="s">
        <v>14</v>
      </c>
    </row>
    <row r="917" spans="1:13" hidden="1" x14ac:dyDescent="0.25">
      <c r="A917" s="1">
        <v>1990</v>
      </c>
      <c r="B917" s="1">
        <f>B916+1</f>
        <v>459</v>
      </c>
      <c r="C917" s="2">
        <v>33055</v>
      </c>
      <c r="D917" s="1" t="s">
        <v>512</v>
      </c>
      <c r="E917" s="1" t="s">
        <v>61</v>
      </c>
      <c r="F917" s="1" t="s">
        <v>293</v>
      </c>
      <c r="G917" s="1" t="s">
        <v>43</v>
      </c>
      <c r="H917" s="6" t="str">
        <f>VLOOKUP(A917,WorldCups!$A$2:$B$23,2,FALSE)</f>
        <v>Italy</v>
      </c>
      <c r="I917" s="1" t="s">
        <v>114</v>
      </c>
      <c r="J917" s="1">
        <v>1</v>
      </c>
      <c r="K917" s="1" t="s">
        <v>60</v>
      </c>
      <c r="L917" s="1">
        <v>0</v>
      </c>
      <c r="M917" s="1" t="s">
        <v>14</v>
      </c>
    </row>
    <row r="918" spans="1:13" hidden="1" x14ac:dyDescent="0.25">
      <c r="A918" s="1">
        <v>1990</v>
      </c>
      <c r="B918" s="1">
        <v>459</v>
      </c>
      <c r="C918" s="2">
        <v>33055</v>
      </c>
      <c r="D918" s="1" t="s">
        <v>512</v>
      </c>
      <c r="E918" s="1" t="s">
        <v>61</v>
      </c>
      <c r="F918" s="1" t="s">
        <v>293</v>
      </c>
      <c r="G918" s="1" t="s">
        <v>43</v>
      </c>
      <c r="H918" s="6" t="str">
        <f>VLOOKUP(A918,WorldCups!$A$2:$B$23,2,FALSE)</f>
        <v>Italy</v>
      </c>
      <c r="I918" s="1" t="s">
        <v>60</v>
      </c>
      <c r="J918" s="1">
        <v>0</v>
      </c>
      <c r="K918" s="1" t="s">
        <v>114</v>
      </c>
      <c r="L918" s="1">
        <v>1</v>
      </c>
      <c r="M918" s="1" t="s">
        <v>14</v>
      </c>
    </row>
    <row r="919" spans="1:13" hidden="1" x14ac:dyDescent="0.25">
      <c r="A919" s="1">
        <v>1990</v>
      </c>
      <c r="B919" s="1">
        <f>B918+1</f>
        <v>460</v>
      </c>
      <c r="C919" s="2">
        <v>33055</v>
      </c>
      <c r="D919" s="1" t="s">
        <v>530</v>
      </c>
      <c r="E919" s="1" t="s">
        <v>61</v>
      </c>
      <c r="F919" s="1" t="s">
        <v>311</v>
      </c>
      <c r="G919" s="1" t="s">
        <v>39</v>
      </c>
      <c r="H919" s="6" t="str">
        <f>VLOOKUP(A919,WorldCups!$A$2:$B$23,2,FALSE)</f>
        <v>Italy</v>
      </c>
      <c r="I919" s="1" t="s">
        <v>93</v>
      </c>
      <c r="J919" s="1">
        <v>3</v>
      </c>
      <c r="K919" s="1" t="s">
        <v>238</v>
      </c>
      <c r="L919" s="1">
        <v>2</v>
      </c>
      <c r="M919" s="1" t="s">
        <v>176</v>
      </c>
    </row>
    <row r="920" spans="1:13" hidden="1" x14ac:dyDescent="0.25">
      <c r="A920" s="1">
        <v>1990</v>
      </c>
      <c r="B920" s="1">
        <v>460</v>
      </c>
      <c r="C920" s="2">
        <v>33055</v>
      </c>
      <c r="D920" s="1" t="s">
        <v>530</v>
      </c>
      <c r="E920" s="1" t="s">
        <v>61</v>
      </c>
      <c r="F920" s="1" t="s">
        <v>311</v>
      </c>
      <c r="G920" s="1" t="s">
        <v>39</v>
      </c>
      <c r="H920" s="6" t="str">
        <f>VLOOKUP(A920,WorldCups!$A$2:$B$23,2,FALSE)</f>
        <v>Italy</v>
      </c>
      <c r="I920" s="1" t="s">
        <v>238</v>
      </c>
      <c r="J920" s="1">
        <v>2</v>
      </c>
      <c r="K920" s="1" t="s">
        <v>93</v>
      </c>
      <c r="L920" s="1">
        <v>3</v>
      </c>
      <c r="M920" s="1" t="s">
        <v>176</v>
      </c>
    </row>
    <row r="921" spans="1:13" hidden="1" x14ac:dyDescent="0.25">
      <c r="A921" s="1">
        <v>1990</v>
      </c>
      <c r="B921" s="1">
        <f>B920+1</f>
        <v>461</v>
      </c>
      <c r="C921" s="2">
        <v>33057</v>
      </c>
      <c r="D921" s="1" t="s">
        <v>528</v>
      </c>
      <c r="E921" s="1" t="s">
        <v>31</v>
      </c>
      <c r="F921" s="1" t="s">
        <v>311</v>
      </c>
      <c r="G921" s="1" t="s">
        <v>39</v>
      </c>
      <c r="H921" s="6" t="str">
        <f>VLOOKUP(A921,WorldCups!$A$2:$B$23,2,FALSE)</f>
        <v>Italy</v>
      </c>
      <c r="I921" s="1" t="s">
        <v>57</v>
      </c>
      <c r="J921" s="1">
        <v>1</v>
      </c>
      <c r="K921" s="1" t="s">
        <v>25</v>
      </c>
      <c r="L921" s="1">
        <v>1</v>
      </c>
      <c r="M921" s="1" t="s">
        <v>317</v>
      </c>
    </row>
    <row r="922" spans="1:13" hidden="1" x14ac:dyDescent="0.25">
      <c r="A922" s="1">
        <v>1990</v>
      </c>
      <c r="B922" s="1">
        <v>461</v>
      </c>
      <c r="C922" s="2">
        <v>33057</v>
      </c>
      <c r="D922" s="1" t="s">
        <v>528</v>
      </c>
      <c r="E922" s="1" t="s">
        <v>31</v>
      </c>
      <c r="F922" s="1" t="s">
        <v>311</v>
      </c>
      <c r="G922" s="1" t="s">
        <v>39</v>
      </c>
      <c r="H922" s="6" t="str">
        <f>VLOOKUP(A922,WorldCups!$A$2:$B$23,2,FALSE)</f>
        <v>Italy</v>
      </c>
      <c r="I922" s="1" t="s">
        <v>25</v>
      </c>
      <c r="J922" s="1">
        <v>1</v>
      </c>
      <c r="K922" s="1" t="s">
        <v>57</v>
      </c>
      <c r="L922" s="1">
        <v>1</v>
      </c>
      <c r="M922" s="1" t="s">
        <v>317</v>
      </c>
    </row>
    <row r="923" spans="1:13" hidden="1" x14ac:dyDescent="0.25">
      <c r="A923" s="1">
        <v>1990</v>
      </c>
      <c r="B923" s="1">
        <f>B922+1</f>
        <v>462</v>
      </c>
      <c r="C923" s="2">
        <v>33058</v>
      </c>
      <c r="D923" s="1" t="s">
        <v>528</v>
      </c>
      <c r="E923" s="1" t="s">
        <v>31</v>
      </c>
      <c r="F923" s="1" t="s">
        <v>300</v>
      </c>
      <c r="G923" s="1" t="s">
        <v>35</v>
      </c>
      <c r="H923" s="6" t="str">
        <f>VLOOKUP(A923,WorldCups!$A$2:$B$23,2,FALSE)</f>
        <v>Italy</v>
      </c>
      <c r="I923" s="1" t="s">
        <v>114</v>
      </c>
      <c r="J923" s="1">
        <v>1</v>
      </c>
      <c r="K923" s="1" t="s">
        <v>93</v>
      </c>
      <c r="L923" s="1">
        <v>1</v>
      </c>
      <c r="M923" s="1" t="s">
        <v>318</v>
      </c>
    </row>
    <row r="924" spans="1:13" hidden="1" x14ac:dyDescent="0.25">
      <c r="A924" s="1">
        <v>1990</v>
      </c>
      <c r="B924" s="1">
        <v>462</v>
      </c>
      <c r="C924" s="2">
        <v>33058</v>
      </c>
      <c r="D924" s="1" t="s">
        <v>528</v>
      </c>
      <c r="E924" s="1" t="s">
        <v>31</v>
      </c>
      <c r="F924" s="1" t="s">
        <v>300</v>
      </c>
      <c r="G924" s="1" t="s">
        <v>35</v>
      </c>
      <c r="H924" s="6" t="str">
        <f>VLOOKUP(A924,WorldCups!$A$2:$B$23,2,FALSE)</f>
        <v>Italy</v>
      </c>
      <c r="I924" s="1" t="s">
        <v>93</v>
      </c>
      <c r="J924" s="1">
        <v>1</v>
      </c>
      <c r="K924" s="1" t="s">
        <v>114</v>
      </c>
      <c r="L924" s="1">
        <v>1</v>
      </c>
      <c r="M924" s="1" t="s">
        <v>318</v>
      </c>
    </row>
    <row r="925" spans="1:13" hidden="1" x14ac:dyDescent="0.25">
      <c r="A925" s="1">
        <v>1990</v>
      </c>
      <c r="B925" s="1">
        <f>B924+1</f>
        <v>463</v>
      </c>
      <c r="C925" s="2">
        <v>33061</v>
      </c>
      <c r="D925" s="1" t="s">
        <v>528</v>
      </c>
      <c r="E925" s="1" t="s">
        <v>62</v>
      </c>
      <c r="F925" s="1" t="s">
        <v>294</v>
      </c>
      <c r="G925" s="1" t="s">
        <v>295</v>
      </c>
      <c r="H925" s="6" t="str">
        <f>VLOOKUP(A925,WorldCups!$A$2:$B$23,2,FALSE)</f>
        <v>Italy</v>
      </c>
      <c r="I925" s="1" t="s">
        <v>57</v>
      </c>
      <c r="J925" s="1">
        <v>2</v>
      </c>
      <c r="K925" s="1" t="s">
        <v>93</v>
      </c>
      <c r="L925" s="1">
        <v>1</v>
      </c>
      <c r="M925" s="1" t="s">
        <v>14</v>
      </c>
    </row>
    <row r="926" spans="1:13" hidden="1" x14ac:dyDescent="0.25">
      <c r="A926" s="1">
        <v>1990</v>
      </c>
      <c r="B926" s="1">
        <v>463</v>
      </c>
      <c r="C926" s="2">
        <v>33061</v>
      </c>
      <c r="D926" s="1" t="s">
        <v>528</v>
      </c>
      <c r="E926" s="1" t="s">
        <v>62</v>
      </c>
      <c r="F926" s="1" t="s">
        <v>294</v>
      </c>
      <c r="G926" s="1" t="s">
        <v>295</v>
      </c>
      <c r="H926" s="6" t="str">
        <f>VLOOKUP(A926,WorldCups!$A$2:$B$23,2,FALSE)</f>
        <v>Italy</v>
      </c>
      <c r="I926" s="1" t="s">
        <v>93</v>
      </c>
      <c r="J926" s="1">
        <v>1</v>
      </c>
      <c r="K926" s="1" t="s">
        <v>57</v>
      </c>
      <c r="L926" s="1">
        <v>2</v>
      </c>
      <c r="M926" s="1" t="s">
        <v>14</v>
      </c>
    </row>
    <row r="927" spans="1:13" hidden="1" x14ac:dyDescent="0.25">
      <c r="A927" s="1">
        <v>1990</v>
      </c>
      <c r="B927" s="1">
        <f>B926+1</f>
        <v>464</v>
      </c>
      <c r="C927" s="2">
        <v>33062</v>
      </c>
      <c r="D927" s="1" t="s">
        <v>528</v>
      </c>
      <c r="E927" s="1" t="s">
        <v>32</v>
      </c>
      <c r="F927" s="1" t="s">
        <v>298</v>
      </c>
      <c r="G927" s="1" t="s">
        <v>56</v>
      </c>
      <c r="H927" s="6" t="str">
        <f>VLOOKUP(A927,WorldCups!$A$2:$B$23,2,FALSE)</f>
        <v>Italy</v>
      </c>
      <c r="I927" s="1" t="s">
        <v>114</v>
      </c>
      <c r="J927" s="1">
        <v>1</v>
      </c>
      <c r="K927" s="1" t="s">
        <v>25</v>
      </c>
      <c r="L927" s="1">
        <v>0</v>
      </c>
      <c r="M927" s="1" t="s">
        <v>14</v>
      </c>
    </row>
    <row r="928" spans="1:13" hidden="1" x14ac:dyDescent="0.25">
      <c r="A928" s="1">
        <v>1990</v>
      </c>
      <c r="B928" s="1">
        <v>464</v>
      </c>
      <c r="C928" s="2">
        <v>33062</v>
      </c>
      <c r="D928" s="1" t="s">
        <v>528</v>
      </c>
      <c r="E928" s="1" t="s">
        <v>32</v>
      </c>
      <c r="F928" s="1" t="s">
        <v>298</v>
      </c>
      <c r="G928" s="1" t="s">
        <v>56</v>
      </c>
      <c r="H928" s="6" t="str">
        <f>VLOOKUP(A928,WorldCups!$A$2:$B$23,2,FALSE)</f>
        <v>Italy</v>
      </c>
      <c r="I928" s="1" t="s">
        <v>25</v>
      </c>
      <c r="J928" s="1">
        <v>0</v>
      </c>
      <c r="K928" s="1" t="s">
        <v>114</v>
      </c>
      <c r="L928" s="1">
        <v>1</v>
      </c>
      <c r="M928" s="1" t="s">
        <v>14</v>
      </c>
    </row>
    <row r="929" spans="1:13" hidden="1" x14ac:dyDescent="0.25">
      <c r="A929" s="1">
        <v>1994</v>
      </c>
      <c r="B929" s="1">
        <f>B928+1</f>
        <v>465</v>
      </c>
      <c r="C929" s="2">
        <v>34502</v>
      </c>
      <c r="D929" s="1" t="s">
        <v>522</v>
      </c>
      <c r="E929" s="1" t="s">
        <v>268</v>
      </c>
      <c r="F929" s="1" t="s">
        <v>319</v>
      </c>
      <c r="G929" s="1" t="s">
        <v>320</v>
      </c>
      <c r="H929" s="6" t="str">
        <f>VLOOKUP(A929,WorldCups!$A$2:$B$23,2,FALSE)</f>
        <v>USA</v>
      </c>
      <c r="I929" s="1" t="s">
        <v>54</v>
      </c>
      <c r="J929" s="1">
        <v>2</v>
      </c>
      <c r="K929" s="1" t="s">
        <v>116</v>
      </c>
      <c r="L929" s="1">
        <v>2</v>
      </c>
      <c r="M929" s="1" t="s">
        <v>14</v>
      </c>
    </row>
    <row r="930" spans="1:13" hidden="1" x14ac:dyDescent="0.25">
      <c r="A930" s="1">
        <v>1994</v>
      </c>
      <c r="B930" s="1">
        <v>465</v>
      </c>
      <c r="C930" s="2">
        <v>34502</v>
      </c>
      <c r="D930" s="1" t="s">
        <v>522</v>
      </c>
      <c r="E930" s="1" t="s">
        <v>268</v>
      </c>
      <c r="F930" s="1" t="s">
        <v>319</v>
      </c>
      <c r="G930" s="1" t="s">
        <v>320</v>
      </c>
      <c r="H930" s="6" t="str">
        <f>VLOOKUP(A930,WorldCups!$A$2:$B$23,2,FALSE)</f>
        <v>USA</v>
      </c>
      <c r="I930" s="1" t="s">
        <v>116</v>
      </c>
      <c r="J930" s="1">
        <v>2</v>
      </c>
      <c r="K930" s="1" t="s">
        <v>54</v>
      </c>
      <c r="L930" s="1">
        <v>2</v>
      </c>
      <c r="M930" s="1" t="s">
        <v>14</v>
      </c>
    </row>
    <row r="931" spans="1:13" hidden="1" x14ac:dyDescent="0.25">
      <c r="A931" s="1">
        <v>1994</v>
      </c>
      <c r="B931" s="1">
        <f>B930+1</f>
        <v>466</v>
      </c>
      <c r="C931" s="2">
        <v>34502</v>
      </c>
      <c r="D931" s="1" t="s">
        <v>500</v>
      </c>
      <c r="E931" s="1" t="s">
        <v>268</v>
      </c>
      <c r="F931" s="1" t="s">
        <v>321</v>
      </c>
      <c r="G931" s="1" t="s">
        <v>322</v>
      </c>
      <c r="H931" s="6" t="str">
        <f>VLOOKUP(A931,WorldCups!$A$2:$B$23,2,FALSE)</f>
        <v>USA</v>
      </c>
      <c r="I931" s="1" t="s">
        <v>51</v>
      </c>
      <c r="J931" s="1">
        <v>1</v>
      </c>
      <c r="K931" s="1" t="s">
        <v>27</v>
      </c>
      <c r="L931" s="1">
        <v>0</v>
      </c>
      <c r="M931" s="1" t="s">
        <v>14</v>
      </c>
    </row>
    <row r="932" spans="1:13" hidden="1" x14ac:dyDescent="0.25">
      <c r="A932" s="1">
        <v>1994</v>
      </c>
      <c r="B932" s="1">
        <v>466</v>
      </c>
      <c r="C932" s="2">
        <v>34502</v>
      </c>
      <c r="D932" s="1" t="s">
        <v>500</v>
      </c>
      <c r="E932" s="1" t="s">
        <v>268</v>
      </c>
      <c r="F932" s="1" t="s">
        <v>321</v>
      </c>
      <c r="G932" s="1" t="s">
        <v>322</v>
      </c>
      <c r="H932" s="6" t="str">
        <f>VLOOKUP(A932,WorldCups!$A$2:$B$23,2,FALSE)</f>
        <v>USA</v>
      </c>
      <c r="I932" s="1" t="s">
        <v>27</v>
      </c>
      <c r="J932" s="1">
        <v>0</v>
      </c>
      <c r="K932" s="1" t="s">
        <v>51</v>
      </c>
      <c r="L932" s="1">
        <v>1</v>
      </c>
      <c r="M932" s="1" t="s">
        <v>14</v>
      </c>
    </row>
    <row r="933" spans="1:13" hidden="1" x14ac:dyDescent="0.25">
      <c r="A933" s="1">
        <v>1994</v>
      </c>
      <c r="B933" s="1">
        <f>B932+1</f>
        <v>467</v>
      </c>
      <c r="C933" s="2">
        <v>34503</v>
      </c>
      <c r="D933" s="1" t="s">
        <v>532</v>
      </c>
      <c r="E933" s="1" t="s">
        <v>214</v>
      </c>
      <c r="F933" s="1" t="s">
        <v>323</v>
      </c>
      <c r="G933" s="1" t="s">
        <v>324</v>
      </c>
      <c r="H933" s="6" t="str">
        <f>VLOOKUP(A933,WorldCups!$A$2:$B$23,2,FALSE)</f>
        <v>USA</v>
      </c>
      <c r="I933" s="1" t="s">
        <v>17</v>
      </c>
      <c r="J933" s="1">
        <v>1</v>
      </c>
      <c r="K933" s="1" t="s">
        <v>44</v>
      </c>
      <c r="L933" s="1">
        <v>1</v>
      </c>
      <c r="M933" s="1" t="s">
        <v>14</v>
      </c>
    </row>
    <row r="934" spans="1:13" hidden="1" x14ac:dyDescent="0.25">
      <c r="A934" s="1">
        <v>1994</v>
      </c>
      <c r="B934" s="1">
        <v>467</v>
      </c>
      <c r="C934" s="2">
        <v>34503</v>
      </c>
      <c r="D934" s="1" t="s">
        <v>532</v>
      </c>
      <c r="E934" s="1" t="s">
        <v>214</v>
      </c>
      <c r="F934" s="1" t="s">
        <v>323</v>
      </c>
      <c r="G934" s="1" t="s">
        <v>324</v>
      </c>
      <c r="H934" s="6" t="str">
        <f>VLOOKUP(A934,WorldCups!$A$2:$B$23,2,FALSE)</f>
        <v>USA</v>
      </c>
      <c r="I934" s="1" t="s">
        <v>44</v>
      </c>
      <c r="J934" s="1">
        <v>1</v>
      </c>
      <c r="K934" s="1" t="s">
        <v>17</v>
      </c>
      <c r="L934" s="1">
        <v>1</v>
      </c>
      <c r="M934" s="1" t="s">
        <v>14</v>
      </c>
    </row>
    <row r="935" spans="1:13" hidden="1" x14ac:dyDescent="0.25">
      <c r="A935" s="1">
        <v>1994</v>
      </c>
      <c r="B935" s="1">
        <f>B934+1</f>
        <v>468</v>
      </c>
      <c r="C935" s="2">
        <v>34503</v>
      </c>
      <c r="D935" s="1" t="s">
        <v>503</v>
      </c>
      <c r="E935" s="1" t="s">
        <v>281</v>
      </c>
      <c r="F935" s="1" t="s">
        <v>325</v>
      </c>
      <c r="G935" s="1" t="s">
        <v>326</v>
      </c>
      <c r="H935" s="6" t="str">
        <f>VLOOKUP(A935,WorldCups!$A$2:$B$23,2,FALSE)</f>
        <v>USA</v>
      </c>
      <c r="I935" s="1" t="s">
        <v>57</v>
      </c>
      <c r="J935" s="1">
        <v>0</v>
      </c>
      <c r="K935" s="1" t="s">
        <v>304</v>
      </c>
      <c r="L935" s="1">
        <v>1</v>
      </c>
      <c r="M935" s="1" t="s">
        <v>14</v>
      </c>
    </row>
    <row r="936" spans="1:13" hidden="1" x14ac:dyDescent="0.25">
      <c r="A936" s="1">
        <v>1994</v>
      </c>
      <c r="B936" s="1">
        <v>468</v>
      </c>
      <c r="C936" s="2">
        <v>34503</v>
      </c>
      <c r="D936" s="1" t="s">
        <v>503</v>
      </c>
      <c r="E936" s="1" t="s">
        <v>281</v>
      </c>
      <c r="F936" s="1" t="s">
        <v>325</v>
      </c>
      <c r="G936" s="1" t="s">
        <v>326</v>
      </c>
      <c r="H936" s="6" t="str">
        <f>VLOOKUP(A936,WorldCups!$A$2:$B$23,2,FALSE)</f>
        <v>USA</v>
      </c>
      <c r="I936" s="1" t="s">
        <v>304</v>
      </c>
      <c r="J936" s="1">
        <v>1</v>
      </c>
      <c r="K936" s="1" t="s">
        <v>57</v>
      </c>
      <c r="L936" s="1">
        <v>0</v>
      </c>
      <c r="M936" s="1" t="s">
        <v>14</v>
      </c>
    </row>
    <row r="937" spans="1:13" hidden="1" x14ac:dyDescent="0.25">
      <c r="A937" s="1">
        <v>1994</v>
      </c>
      <c r="B937" s="1">
        <f>B936+1</f>
        <v>469</v>
      </c>
      <c r="C937" s="2">
        <v>34503</v>
      </c>
      <c r="D937" s="1" t="s">
        <v>522</v>
      </c>
      <c r="E937" s="1" t="s">
        <v>214</v>
      </c>
      <c r="F937" s="1" t="s">
        <v>327</v>
      </c>
      <c r="G937" s="1" t="s">
        <v>328</v>
      </c>
      <c r="H937" s="6" t="str">
        <f>VLOOKUP(A937,WorldCups!$A$2:$B$23,2,FALSE)</f>
        <v>USA</v>
      </c>
      <c r="I937" s="1" t="s">
        <v>151</v>
      </c>
      <c r="J937" s="1">
        <v>1</v>
      </c>
      <c r="K937" s="1" t="s">
        <v>23</v>
      </c>
      <c r="L937" s="1">
        <v>3</v>
      </c>
      <c r="M937" s="1" t="s">
        <v>14</v>
      </c>
    </row>
    <row r="938" spans="1:13" hidden="1" x14ac:dyDescent="0.25">
      <c r="A938" s="1">
        <v>1994</v>
      </c>
      <c r="B938" s="1">
        <v>469</v>
      </c>
      <c r="C938" s="2">
        <v>34503</v>
      </c>
      <c r="D938" s="1" t="s">
        <v>522</v>
      </c>
      <c r="E938" s="1" t="s">
        <v>214</v>
      </c>
      <c r="F938" s="1" t="s">
        <v>327</v>
      </c>
      <c r="G938" s="1" t="s">
        <v>328</v>
      </c>
      <c r="H938" s="6" t="str">
        <f>VLOOKUP(A938,WorldCups!$A$2:$B$23,2,FALSE)</f>
        <v>USA</v>
      </c>
      <c r="I938" s="1" t="s">
        <v>23</v>
      </c>
      <c r="J938" s="1">
        <v>3</v>
      </c>
      <c r="K938" s="1" t="s">
        <v>151</v>
      </c>
      <c r="L938" s="1">
        <v>1</v>
      </c>
      <c r="M938" s="1" t="s">
        <v>14</v>
      </c>
    </row>
    <row r="939" spans="1:13" hidden="1" x14ac:dyDescent="0.25">
      <c r="A939" s="1">
        <v>1994</v>
      </c>
      <c r="B939" s="1">
        <f>B938+1</f>
        <v>470</v>
      </c>
      <c r="C939" s="2">
        <v>34504</v>
      </c>
      <c r="D939" s="1" t="s">
        <v>533</v>
      </c>
      <c r="E939" s="1" t="s">
        <v>274</v>
      </c>
      <c r="F939" s="1" t="s">
        <v>329</v>
      </c>
      <c r="G939" s="1" t="s">
        <v>330</v>
      </c>
      <c r="H939" s="6" t="str">
        <f>VLOOKUP(A939,WorldCups!$A$2:$B$23,2,FALSE)</f>
        <v>USA</v>
      </c>
      <c r="I939" s="1" t="s">
        <v>18</v>
      </c>
      <c r="J939" s="1">
        <v>1</v>
      </c>
      <c r="K939" s="1" t="s">
        <v>188</v>
      </c>
      <c r="L939" s="1">
        <v>0</v>
      </c>
      <c r="M939" s="1" t="s">
        <v>14</v>
      </c>
    </row>
    <row r="940" spans="1:13" hidden="1" x14ac:dyDescent="0.25">
      <c r="A940" s="1">
        <v>1994</v>
      </c>
      <c r="B940" s="1">
        <v>470</v>
      </c>
      <c r="C940" s="2">
        <v>34504</v>
      </c>
      <c r="D940" s="1" t="s">
        <v>533</v>
      </c>
      <c r="E940" s="1" t="s">
        <v>274</v>
      </c>
      <c r="F940" s="1" t="s">
        <v>329</v>
      </c>
      <c r="G940" s="1" t="s">
        <v>330</v>
      </c>
      <c r="H940" s="6" t="str">
        <f>VLOOKUP(A940,WorldCups!$A$2:$B$23,2,FALSE)</f>
        <v>USA</v>
      </c>
      <c r="I940" s="1" t="s">
        <v>188</v>
      </c>
      <c r="J940" s="1">
        <v>0</v>
      </c>
      <c r="K940" s="1" t="s">
        <v>18</v>
      </c>
      <c r="L940" s="1">
        <v>1</v>
      </c>
      <c r="M940" s="1" t="s">
        <v>14</v>
      </c>
    </row>
    <row r="941" spans="1:13" hidden="1" x14ac:dyDescent="0.25">
      <c r="A941" s="1">
        <v>1994</v>
      </c>
      <c r="B941" s="1">
        <f>B940+1</f>
        <v>471</v>
      </c>
      <c r="C941" s="2">
        <v>34504</v>
      </c>
      <c r="D941" s="1" t="s">
        <v>503</v>
      </c>
      <c r="E941" s="1" t="s">
        <v>281</v>
      </c>
      <c r="F941" s="1" t="s">
        <v>331</v>
      </c>
      <c r="G941" s="1" t="s">
        <v>332</v>
      </c>
      <c r="H941" s="6" t="str">
        <f>VLOOKUP(A941,WorldCups!$A$2:$B$23,2,FALSE)</f>
        <v>USA</v>
      </c>
      <c r="I941" s="1" t="s">
        <v>77</v>
      </c>
      <c r="J941" s="1">
        <v>1</v>
      </c>
      <c r="K941" s="1" t="s">
        <v>13</v>
      </c>
      <c r="L941" s="1">
        <v>0</v>
      </c>
      <c r="M941" s="1" t="s">
        <v>14</v>
      </c>
    </row>
    <row r="942" spans="1:13" hidden="1" x14ac:dyDescent="0.25">
      <c r="A942" s="1">
        <v>1994</v>
      </c>
      <c r="B942" s="1">
        <v>471</v>
      </c>
      <c r="C942" s="2">
        <v>34504</v>
      </c>
      <c r="D942" s="1" t="s">
        <v>503</v>
      </c>
      <c r="E942" s="1" t="s">
        <v>281</v>
      </c>
      <c r="F942" s="1" t="s">
        <v>331</v>
      </c>
      <c r="G942" s="1" t="s">
        <v>332</v>
      </c>
      <c r="H942" s="6" t="str">
        <f>VLOOKUP(A942,WorldCups!$A$2:$B$23,2,FALSE)</f>
        <v>USA</v>
      </c>
      <c r="I942" s="1" t="s">
        <v>13</v>
      </c>
      <c r="J942" s="1">
        <v>0</v>
      </c>
      <c r="K942" s="1" t="s">
        <v>77</v>
      </c>
      <c r="L942" s="1">
        <v>1</v>
      </c>
      <c r="M942" s="1" t="s">
        <v>14</v>
      </c>
    </row>
    <row r="943" spans="1:13" hidden="1" x14ac:dyDescent="0.25">
      <c r="A943" s="1">
        <v>1994</v>
      </c>
      <c r="B943" s="1">
        <f>B942+1</f>
        <v>472</v>
      </c>
      <c r="C943" s="2">
        <v>34504</v>
      </c>
      <c r="D943" s="1" t="s">
        <v>522</v>
      </c>
      <c r="E943" s="1" t="s">
        <v>213</v>
      </c>
      <c r="F943" s="1" t="s">
        <v>327</v>
      </c>
      <c r="G943" s="1" t="s">
        <v>328</v>
      </c>
      <c r="H943" s="6" t="str">
        <f>VLOOKUP(A943,WorldCups!$A$2:$B$23,2,FALSE)</f>
        <v>USA</v>
      </c>
      <c r="I943" s="1" t="s">
        <v>238</v>
      </c>
      <c r="J943" s="1">
        <v>2</v>
      </c>
      <c r="K943" s="1" t="s">
        <v>48</v>
      </c>
      <c r="L943" s="1">
        <v>2</v>
      </c>
      <c r="M943" s="1" t="s">
        <v>14</v>
      </c>
    </row>
    <row r="944" spans="1:13" hidden="1" x14ac:dyDescent="0.25">
      <c r="A944" s="1">
        <v>1994</v>
      </c>
      <c r="B944" s="1">
        <v>472</v>
      </c>
      <c r="C944" s="2">
        <v>34504</v>
      </c>
      <c r="D944" s="1" t="s">
        <v>522</v>
      </c>
      <c r="E944" s="1" t="s">
        <v>213</v>
      </c>
      <c r="F944" s="1" t="s">
        <v>327</v>
      </c>
      <c r="G944" s="1" t="s">
        <v>328</v>
      </c>
      <c r="H944" s="6" t="str">
        <f>VLOOKUP(A944,WorldCups!$A$2:$B$23,2,FALSE)</f>
        <v>USA</v>
      </c>
      <c r="I944" s="1" t="s">
        <v>48</v>
      </c>
      <c r="J944" s="1">
        <v>2</v>
      </c>
      <c r="K944" s="1" t="s">
        <v>238</v>
      </c>
      <c r="L944" s="1">
        <v>2</v>
      </c>
      <c r="M944" s="1" t="s">
        <v>14</v>
      </c>
    </row>
    <row r="945" spans="1:13" hidden="1" x14ac:dyDescent="0.25">
      <c r="A945" s="1">
        <v>1994</v>
      </c>
      <c r="B945" s="1">
        <f>B944+1</f>
        <v>473</v>
      </c>
      <c r="C945" s="2">
        <v>34505</v>
      </c>
      <c r="D945" s="1" t="s">
        <v>522</v>
      </c>
      <c r="E945" s="1" t="s">
        <v>274</v>
      </c>
      <c r="F945" s="1" t="s">
        <v>331</v>
      </c>
      <c r="G945" s="1" t="s">
        <v>332</v>
      </c>
      <c r="H945" s="6" t="str">
        <f>VLOOKUP(A945,WorldCups!$A$2:$B$23,2,FALSE)</f>
        <v>USA</v>
      </c>
      <c r="I945" s="1" t="s">
        <v>45</v>
      </c>
      <c r="J945" s="1">
        <v>2</v>
      </c>
      <c r="K945" s="1" t="s">
        <v>333</v>
      </c>
      <c r="L945" s="1">
        <v>1</v>
      </c>
      <c r="M945" s="1" t="s">
        <v>14</v>
      </c>
    </row>
    <row r="946" spans="1:13" hidden="1" x14ac:dyDescent="0.25">
      <c r="A946" s="1">
        <v>1994</v>
      </c>
      <c r="B946" s="1">
        <v>473</v>
      </c>
      <c r="C946" s="2">
        <v>34505</v>
      </c>
      <c r="D946" s="1" t="s">
        <v>522</v>
      </c>
      <c r="E946" s="1" t="s">
        <v>274</v>
      </c>
      <c r="F946" s="1" t="s">
        <v>331</v>
      </c>
      <c r="G946" s="1" t="s">
        <v>332</v>
      </c>
      <c r="H946" s="6" t="str">
        <f>VLOOKUP(A946,WorldCups!$A$2:$B$23,2,FALSE)</f>
        <v>USA</v>
      </c>
      <c r="I946" s="1" t="s">
        <v>333</v>
      </c>
      <c r="J946" s="1">
        <v>1</v>
      </c>
      <c r="K946" s="1" t="s">
        <v>45</v>
      </c>
      <c r="L946" s="1">
        <v>2</v>
      </c>
      <c r="M946" s="1" t="s">
        <v>14</v>
      </c>
    </row>
    <row r="947" spans="1:13" hidden="1" x14ac:dyDescent="0.25">
      <c r="A947" s="1">
        <v>1994</v>
      </c>
      <c r="B947" s="1">
        <f>B946+1</f>
        <v>474</v>
      </c>
      <c r="C947" s="2">
        <v>34505</v>
      </c>
      <c r="D947" s="1" t="s">
        <v>503</v>
      </c>
      <c r="E947" s="1" t="s">
        <v>213</v>
      </c>
      <c r="F947" s="1" t="s">
        <v>334</v>
      </c>
      <c r="G947" s="1" t="s">
        <v>335</v>
      </c>
      <c r="H947" s="6" t="str">
        <f>VLOOKUP(A947,WorldCups!$A$2:$B$23,2,FALSE)</f>
        <v>USA</v>
      </c>
      <c r="I947" s="1" t="s">
        <v>21</v>
      </c>
      <c r="J947" s="1">
        <v>2</v>
      </c>
      <c r="K947" s="1" t="s">
        <v>336</v>
      </c>
      <c r="L947" s="1">
        <v>0</v>
      </c>
      <c r="M947" s="1" t="s">
        <v>14</v>
      </c>
    </row>
    <row r="948" spans="1:13" hidden="1" x14ac:dyDescent="0.25">
      <c r="A948" s="1">
        <v>1994</v>
      </c>
      <c r="B948" s="1">
        <v>474</v>
      </c>
      <c r="C948" s="2">
        <v>34505</v>
      </c>
      <c r="D948" s="1" t="s">
        <v>503</v>
      </c>
      <c r="E948" s="1" t="s">
        <v>213</v>
      </c>
      <c r="F948" s="1" t="s">
        <v>334</v>
      </c>
      <c r="G948" s="1" t="s">
        <v>335</v>
      </c>
      <c r="H948" s="6" t="str">
        <f>VLOOKUP(A948,WorldCups!$A$2:$B$23,2,FALSE)</f>
        <v>USA</v>
      </c>
      <c r="I948" s="1" t="s">
        <v>336</v>
      </c>
      <c r="J948" s="1">
        <v>0</v>
      </c>
      <c r="K948" s="1" t="s">
        <v>21</v>
      </c>
      <c r="L948" s="1">
        <v>2</v>
      </c>
      <c r="M948" s="1" t="s">
        <v>14</v>
      </c>
    </row>
    <row r="949" spans="1:13" hidden="1" x14ac:dyDescent="0.25">
      <c r="A949" s="1">
        <v>1994</v>
      </c>
      <c r="B949" s="1">
        <f>B948+1</f>
        <v>475</v>
      </c>
      <c r="C949" s="2">
        <v>34506</v>
      </c>
      <c r="D949" s="1" t="s">
        <v>533</v>
      </c>
      <c r="E949" s="1" t="s">
        <v>270</v>
      </c>
      <c r="F949" s="1" t="s">
        <v>337</v>
      </c>
      <c r="G949" s="1" t="s">
        <v>338</v>
      </c>
      <c r="H949" s="6" t="str">
        <f>VLOOKUP(A949,WorldCups!$A$2:$B$23,2,FALSE)</f>
        <v>USA</v>
      </c>
      <c r="I949" s="1" t="s">
        <v>25</v>
      </c>
      <c r="J949" s="1">
        <v>4</v>
      </c>
      <c r="K949" s="1" t="s">
        <v>339</v>
      </c>
      <c r="L949" s="1">
        <v>0</v>
      </c>
      <c r="M949" s="1" t="s">
        <v>14</v>
      </c>
    </row>
    <row r="950" spans="1:13" hidden="1" x14ac:dyDescent="0.25">
      <c r="A950" s="1">
        <v>1994</v>
      </c>
      <c r="B950" s="1">
        <v>475</v>
      </c>
      <c r="C950" s="2">
        <v>34506</v>
      </c>
      <c r="D950" s="1" t="s">
        <v>533</v>
      </c>
      <c r="E950" s="1" t="s">
        <v>270</v>
      </c>
      <c r="F950" s="1" t="s">
        <v>337</v>
      </c>
      <c r="G950" s="1" t="s">
        <v>338</v>
      </c>
      <c r="H950" s="6" t="str">
        <f>VLOOKUP(A950,WorldCups!$A$2:$B$23,2,FALSE)</f>
        <v>USA</v>
      </c>
      <c r="I950" s="1" t="s">
        <v>339</v>
      </c>
      <c r="J950" s="1">
        <v>0</v>
      </c>
      <c r="K950" s="1" t="s">
        <v>25</v>
      </c>
      <c r="L950" s="1">
        <v>4</v>
      </c>
      <c r="M950" s="1" t="s">
        <v>14</v>
      </c>
    </row>
    <row r="951" spans="1:13" hidden="1" x14ac:dyDescent="0.25">
      <c r="A951" s="1">
        <v>1994</v>
      </c>
      <c r="B951" s="1">
        <f>B950+1</f>
        <v>476</v>
      </c>
      <c r="C951" s="2">
        <v>34506</v>
      </c>
      <c r="D951" s="1" t="s">
        <v>522</v>
      </c>
      <c r="E951" s="1" t="s">
        <v>270</v>
      </c>
      <c r="F951" s="1" t="s">
        <v>319</v>
      </c>
      <c r="G951" s="1" t="s">
        <v>320</v>
      </c>
      <c r="H951" s="6" t="str">
        <f>VLOOKUP(A951,WorldCups!$A$2:$B$23,2,FALSE)</f>
        <v>USA</v>
      </c>
      <c r="I951" s="1" t="s">
        <v>340</v>
      </c>
      <c r="J951" s="1">
        <v>3</v>
      </c>
      <c r="K951" s="1" t="s">
        <v>156</v>
      </c>
      <c r="L951" s="1">
        <v>0</v>
      </c>
      <c r="M951" s="1" t="s">
        <v>14</v>
      </c>
    </row>
    <row r="952" spans="1:13" hidden="1" x14ac:dyDescent="0.25">
      <c r="A952" s="1">
        <v>1994</v>
      </c>
      <c r="B952" s="1">
        <v>476</v>
      </c>
      <c r="C952" s="2">
        <v>34506</v>
      </c>
      <c r="D952" s="1" t="s">
        <v>522</v>
      </c>
      <c r="E952" s="1" t="s">
        <v>270</v>
      </c>
      <c r="F952" s="1" t="s">
        <v>319</v>
      </c>
      <c r="G952" s="1" t="s">
        <v>320</v>
      </c>
      <c r="H952" s="6" t="str">
        <f>VLOOKUP(A952,WorldCups!$A$2:$B$23,2,FALSE)</f>
        <v>USA</v>
      </c>
      <c r="I952" s="1" t="s">
        <v>156</v>
      </c>
      <c r="J952" s="1">
        <v>0</v>
      </c>
      <c r="K952" s="1" t="s">
        <v>340</v>
      </c>
      <c r="L952" s="1">
        <v>3</v>
      </c>
      <c r="M952" s="1" t="s">
        <v>14</v>
      </c>
    </row>
    <row r="953" spans="1:13" hidden="1" x14ac:dyDescent="0.25">
      <c r="A953" s="1">
        <v>1994</v>
      </c>
      <c r="B953" s="1">
        <f>B952+1</f>
        <v>477</v>
      </c>
      <c r="C953" s="2">
        <v>34506</v>
      </c>
      <c r="D953" s="1" t="s">
        <v>503</v>
      </c>
      <c r="E953" s="1" t="s">
        <v>268</v>
      </c>
      <c r="F953" s="1" t="s">
        <v>321</v>
      </c>
      <c r="G953" s="1" t="s">
        <v>322</v>
      </c>
      <c r="H953" s="6" t="str">
        <f>VLOOKUP(A953,WorldCups!$A$2:$B$23,2,FALSE)</f>
        <v>USA</v>
      </c>
      <c r="I953" s="1" t="s">
        <v>51</v>
      </c>
      <c r="J953" s="1">
        <v>1</v>
      </c>
      <c r="K953" s="1" t="s">
        <v>54</v>
      </c>
      <c r="L953" s="1">
        <v>1</v>
      </c>
      <c r="M953" s="1" t="s">
        <v>14</v>
      </c>
    </row>
    <row r="954" spans="1:13" hidden="1" x14ac:dyDescent="0.25">
      <c r="A954" s="1">
        <v>1994</v>
      </c>
      <c r="B954" s="1">
        <v>477</v>
      </c>
      <c r="C954" s="2">
        <v>34506</v>
      </c>
      <c r="D954" s="1" t="s">
        <v>503</v>
      </c>
      <c r="E954" s="1" t="s">
        <v>268</v>
      </c>
      <c r="F954" s="1" t="s">
        <v>321</v>
      </c>
      <c r="G954" s="1" t="s">
        <v>322</v>
      </c>
      <c r="H954" s="6" t="str">
        <f>VLOOKUP(A954,WorldCups!$A$2:$B$23,2,FALSE)</f>
        <v>USA</v>
      </c>
      <c r="I954" s="1" t="s">
        <v>54</v>
      </c>
      <c r="J954" s="1">
        <v>1</v>
      </c>
      <c r="K954" s="1" t="s">
        <v>51</v>
      </c>
      <c r="L954" s="1">
        <v>1</v>
      </c>
      <c r="M954" s="1" t="s">
        <v>14</v>
      </c>
    </row>
    <row r="955" spans="1:13" hidden="1" x14ac:dyDescent="0.25">
      <c r="A955" s="1">
        <v>1994</v>
      </c>
      <c r="B955" s="1">
        <f>B954+1</f>
        <v>478</v>
      </c>
      <c r="C955" s="2">
        <v>34507</v>
      </c>
      <c r="D955" s="1" t="s">
        <v>503</v>
      </c>
      <c r="E955" s="1" t="s">
        <v>214</v>
      </c>
      <c r="F955" s="1" t="s">
        <v>323</v>
      </c>
      <c r="G955" s="1" t="s">
        <v>324</v>
      </c>
      <c r="H955" s="6" t="str">
        <f>VLOOKUP(A955,WorldCups!$A$2:$B$23,2,FALSE)</f>
        <v>USA</v>
      </c>
      <c r="I955" s="1" t="s">
        <v>23</v>
      </c>
      <c r="J955" s="1">
        <v>1</v>
      </c>
      <c r="K955" s="1" t="s">
        <v>44</v>
      </c>
      <c r="L955" s="1">
        <v>4</v>
      </c>
      <c r="M955" s="1" t="s">
        <v>14</v>
      </c>
    </row>
    <row r="956" spans="1:13" hidden="1" x14ac:dyDescent="0.25">
      <c r="A956" s="1">
        <v>1994</v>
      </c>
      <c r="B956" s="1">
        <v>478</v>
      </c>
      <c r="C956" s="2">
        <v>34507</v>
      </c>
      <c r="D956" s="1" t="s">
        <v>503</v>
      </c>
      <c r="E956" s="1" t="s">
        <v>214</v>
      </c>
      <c r="F956" s="1" t="s">
        <v>323</v>
      </c>
      <c r="G956" s="1" t="s">
        <v>324</v>
      </c>
      <c r="H956" s="6" t="str">
        <f>VLOOKUP(A956,WorldCups!$A$2:$B$23,2,FALSE)</f>
        <v>USA</v>
      </c>
      <c r="I956" s="1" t="s">
        <v>44</v>
      </c>
      <c r="J956" s="1">
        <v>4</v>
      </c>
      <c r="K956" s="1" t="s">
        <v>23</v>
      </c>
      <c r="L956" s="1">
        <v>1</v>
      </c>
      <c r="M956" s="1" t="s">
        <v>14</v>
      </c>
    </row>
    <row r="957" spans="1:13" hidden="1" x14ac:dyDescent="0.25">
      <c r="A957" s="1">
        <v>1994</v>
      </c>
      <c r="B957" s="1">
        <f>B956+1</f>
        <v>479</v>
      </c>
      <c r="C957" s="2">
        <v>34507</v>
      </c>
      <c r="D957" s="1" t="s">
        <v>522</v>
      </c>
      <c r="E957" s="1" t="s">
        <v>214</v>
      </c>
      <c r="F957" s="1" t="s">
        <v>327</v>
      </c>
      <c r="G957" s="1" t="s">
        <v>328</v>
      </c>
      <c r="H957" s="6" t="str">
        <f>VLOOKUP(A957,WorldCups!$A$2:$B$23,2,FALSE)</f>
        <v>USA</v>
      </c>
      <c r="I957" s="1" t="s">
        <v>17</v>
      </c>
      <c r="J957" s="1">
        <v>2</v>
      </c>
      <c r="K957" s="1" t="s">
        <v>151</v>
      </c>
      <c r="L957" s="1">
        <v>1</v>
      </c>
      <c r="M957" s="1" t="s">
        <v>14</v>
      </c>
    </row>
    <row r="958" spans="1:13" hidden="1" x14ac:dyDescent="0.25">
      <c r="A958" s="1">
        <v>1994</v>
      </c>
      <c r="B958" s="1">
        <v>479</v>
      </c>
      <c r="C958" s="2">
        <v>34507</v>
      </c>
      <c r="D958" s="1" t="s">
        <v>522</v>
      </c>
      <c r="E958" s="1" t="s">
        <v>214</v>
      </c>
      <c r="F958" s="1" t="s">
        <v>327</v>
      </c>
      <c r="G958" s="1" t="s">
        <v>328</v>
      </c>
      <c r="H958" s="6" t="str">
        <f>VLOOKUP(A958,WorldCups!$A$2:$B$23,2,FALSE)</f>
        <v>USA</v>
      </c>
      <c r="I958" s="1" t="s">
        <v>151</v>
      </c>
      <c r="J958" s="1">
        <v>1</v>
      </c>
      <c r="K958" s="1" t="s">
        <v>17</v>
      </c>
      <c r="L958" s="1">
        <v>2</v>
      </c>
      <c r="M958" s="1" t="s">
        <v>14</v>
      </c>
    </row>
    <row r="959" spans="1:13" hidden="1" x14ac:dyDescent="0.25">
      <c r="A959" s="1">
        <v>1994</v>
      </c>
      <c r="B959" s="1">
        <f>B958+1</f>
        <v>480</v>
      </c>
      <c r="C959" s="2">
        <v>34508</v>
      </c>
      <c r="D959" s="1" t="s">
        <v>503</v>
      </c>
      <c r="E959" s="1" t="s">
        <v>281</v>
      </c>
      <c r="F959" s="1" t="s">
        <v>325</v>
      </c>
      <c r="G959" s="1" t="s">
        <v>326</v>
      </c>
      <c r="H959" s="6" t="str">
        <f>VLOOKUP(A959,WorldCups!$A$2:$B$23,2,FALSE)</f>
        <v>USA</v>
      </c>
      <c r="I959" s="1" t="s">
        <v>57</v>
      </c>
      <c r="J959" s="1">
        <v>1</v>
      </c>
      <c r="K959" s="1" t="s">
        <v>77</v>
      </c>
      <c r="L959" s="1">
        <v>0</v>
      </c>
      <c r="M959" s="1" t="s">
        <v>14</v>
      </c>
    </row>
    <row r="960" spans="1:13" hidden="1" x14ac:dyDescent="0.25">
      <c r="A960" s="1">
        <v>1994</v>
      </c>
      <c r="B960" s="1">
        <v>480</v>
      </c>
      <c r="C960" s="2">
        <v>34508</v>
      </c>
      <c r="D960" s="1" t="s">
        <v>503</v>
      </c>
      <c r="E960" s="1" t="s">
        <v>281</v>
      </c>
      <c r="F960" s="1" t="s">
        <v>325</v>
      </c>
      <c r="G960" s="1" t="s">
        <v>326</v>
      </c>
      <c r="H960" s="6" t="str">
        <f>VLOOKUP(A960,WorldCups!$A$2:$B$23,2,FALSE)</f>
        <v>USA</v>
      </c>
      <c r="I960" s="1" t="s">
        <v>77</v>
      </c>
      <c r="J960" s="1">
        <v>0</v>
      </c>
      <c r="K960" s="1" t="s">
        <v>57</v>
      </c>
      <c r="L960" s="1">
        <v>1</v>
      </c>
      <c r="M960" s="1" t="s">
        <v>14</v>
      </c>
    </row>
    <row r="961" spans="1:13" hidden="1" x14ac:dyDescent="0.25">
      <c r="A961" s="1">
        <v>1994</v>
      </c>
      <c r="B961" s="1">
        <f>B960+1</f>
        <v>481</v>
      </c>
      <c r="C961" s="2">
        <v>34508</v>
      </c>
      <c r="D961" s="1" t="s">
        <v>522</v>
      </c>
      <c r="E961" s="1" t="s">
        <v>268</v>
      </c>
      <c r="F961" s="1" t="s">
        <v>337</v>
      </c>
      <c r="G961" s="1" t="s">
        <v>338</v>
      </c>
      <c r="H961" s="6" t="str">
        <f>VLOOKUP(A961,WorldCups!$A$2:$B$23,2,FALSE)</f>
        <v>USA</v>
      </c>
      <c r="I961" s="1" t="s">
        <v>116</v>
      </c>
      <c r="J961" s="1">
        <v>0</v>
      </c>
      <c r="K961" s="1" t="s">
        <v>27</v>
      </c>
      <c r="L961" s="1">
        <v>0</v>
      </c>
      <c r="M961" s="1" t="s">
        <v>14</v>
      </c>
    </row>
    <row r="962" spans="1:13" hidden="1" x14ac:dyDescent="0.25">
      <c r="A962" s="1">
        <v>1994</v>
      </c>
      <c r="B962" s="1">
        <v>481</v>
      </c>
      <c r="C962" s="2">
        <v>34508</v>
      </c>
      <c r="D962" s="1" t="s">
        <v>522</v>
      </c>
      <c r="E962" s="1" t="s">
        <v>268</v>
      </c>
      <c r="F962" s="1" t="s">
        <v>337</v>
      </c>
      <c r="G962" s="1" t="s">
        <v>338</v>
      </c>
      <c r="H962" s="6" t="str">
        <f>VLOOKUP(A962,WorldCups!$A$2:$B$23,2,FALSE)</f>
        <v>USA</v>
      </c>
      <c r="I962" s="1" t="s">
        <v>27</v>
      </c>
      <c r="J962" s="1">
        <v>0</v>
      </c>
      <c r="K962" s="1" t="s">
        <v>116</v>
      </c>
      <c r="L962" s="1">
        <v>0</v>
      </c>
      <c r="M962" s="1" t="s">
        <v>14</v>
      </c>
    </row>
    <row r="963" spans="1:13" hidden="1" x14ac:dyDescent="0.25">
      <c r="A963" s="1">
        <v>1994</v>
      </c>
      <c r="B963" s="1">
        <f>B962+1</f>
        <v>482</v>
      </c>
      <c r="C963" s="2">
        <v>34509</v>
      </c>
      <c r="D963" s="1" t="s">
        <v>533</v>
      </c>
      <c r="E963" s="1" t="s">
        <v>281</v>
      </c>
      <c r="F963" s="1" t="s">
        <v>329</v>
      </c>
      <c r="G963" s="1" t="s">
        <v>330</v>
      </c>
      <c r="H963" s="6" t="str">
        <f>VLOOKUP(A963,WorldCups!$A$2:$B$23,2,FALSE)</f>
        <v>USA</v>
      </c>
      <c r="I963" s="1" t="s">
        <v>13</v>
      </c>
      <c r="J963" s="1">
        <v>2</v>
      </c>
      <c r="K963" s="1" t="s">
        <v>304</v>
      </c>
      <c r="L963" s="1">
        <v>1</v>
      </c>
      <c r="M963" s="1" t="s">
        <v>14</v>
      </c>
    </row>
    <row r="964" spans="1:13" hidden="1" x14ac:dyDescent="0.25">
      <c r="A964" s="1">
        <v>1994</v>
      </c>
      <c r="B964" s="1">
        <v>482</v>
      </c>
      <c r="C964" s="2">
        <v>34509</v>
      </c>
      <c r="D964" s="1" t="s">
        <v>533</v>
      </c>
      <c r="E964" s="1" t="s">
        <v>281</v>
      </c>
      <c r="F964" s="1" t="s">
        <v>329</v>
      </c>
      <c r="G964" s="1" t="s">
        <v>330</v>
      </c>
      <c r="H964" s="6" t="str">
        <f>VLOOKUP(A964,WorldCups!$A$2:$B$23,2,FALSE)</f>
        <v>USA</v>
      </c>
      <c r="I964" s="1" t="s">
        <v>304</v>
      </c>
      <c r="J964" s="1">
        <v>1</v>
      </c>
      <c r="K964" s="1" t="s">
        <v>13</v>
      </c>
      <c r="L964" s="1">
        <v>2</v>
      </c>
      <c r="M964" s="1" t="s">
        <v>14</v>
      </c>
    </row>
    <row r="965" spans="1:13" hidden="1" x14ac:dyDescent="0.25">
      <c r="A965" s="1">
        <v>1994</v>
      </c>
      <c r="B965" s="1">
        <f>B964+1</f>
        <v>483</v>
      </c>
      <c r="C965" s="2">
        <v>34509</v>
      </c>
      <c r="D965" s="1" t="s">
        <v>522</v>
      </c>
      <c r="E965" s="1" t="s">
        <v>213</v>
      </c>
      <c r="F965" s="1" t="s">
        <v>323</v>
      </c>
      <c r="G965" s="1" t="s">
        <v>324</v>
      </c>
      <c r="H965" s="6" t="str">
        <f>VLOOKUP(A965,WorldCups!$A$2:$B$23,2,FALSE)</f>
        <v>USA</v>
      </c>
      <c r="I965" s="1" t="s">
        <v>48</v>
      </c>
      <c r="J965" s="1">
        <v>3</v>
      </c>
      <c r="K965" s="1" t="s">
        <v>336</v>
      </c>
      <c r="L965" s="1">
        <v>1</v>
      </c>
      <c r="M965" s="1" t="s">
        <v>14</v>
      </c>
    </row>
    <row r="966" spans="1:13" hidden="1" x14ac:dyDescent="0.25">
      <c r="A966" s="1">
        <v>1994</v>
      </c>
      <c r="B966" s="1">
        <v>483</v>
      </c>
      <c r="C966" s="2">
        <v>34509</v>
      </c>
      <c r="D966" s="1" t="s">
        <v>522</v>
      </c>
      <c r="E966" s="1" t="s">
        <v>213</v>
      </c>
      <c r="F966" s="1" t="s">
        <v>323</v>
      </c>
      <c r="G966" s="1" t="s">
        <v>324</v>
      </c>
      <c r="H966" s="6" t="str">
        <f>VLOOKUP(A966,WorldCups!$A$2:$B$23,2,FALSE)</f>
        <v>USA</v>
      </c>
      <c r="I966" s="1" t="s">
        <v>336</v>
      </c>
      <c r="J966" s="1">
        <v>1</v>
      </c>
      <c r="K966" s="1" t="s">
        <v>48</v>
      </c>
      <c r="L966" s="1">
        <v>3</v>
      </c>
      <c r="M966" s="1" t="s">
        <v>14</v>
      </c>
    </row>
    <row r="967" spans="1:13" hidden="1" x14ac:dyDescent="0.25">
      <c r="A967" s="1">
        <v>1994</v>
      </c>
      <c r="B967" s="1">
        <f>B966+1</f>
        <v>484</v>
      </c>
      <c r="C967" s="2">
        <v>34509</v>
      </c>
      <c r="D967" s="1" t="s">
        <v>503</v>
      </c>
      <c r="E967" s="1" t="s">
        <v>213</v>
      </c>
      <c r="F967" s="1" t="s">
        <v>334</v>
      </c>
      <c r="G967" s="1" t="s">
        <v>335</v>
      </c>
      <c r="H967" s="6" t="str">
        <f>VLOOKUP(A967,WorldCups!$A$2:$B$23,2,FALSE)</f>
        <v>USA</v>
      </c>
      <c r="I967" s="1" t="s">
        <v>21</v>
      </c>
      <c r="J967" s="1">
        <v>3</v>
      </c>
      <c r="K967" s="1" t="s">
        <v>238</v>
      </c>
      <c r="L967" s="1">
        <v>0</v>
      </c>
      <c r="M967" s="1" t="s">
        <v>14</v>
      </c>
    </row>
    <row r="968" spans="1:13" hidden="1" x14ac:dyDescent="0.25">
      <c r="A968" s="1">
        <v>1994</v>
      </c>
      <c r="B968" s="1">
        <v>484</v>
      </c>
      <c r="C968" s="2">
        <v>34509</v>
      </c>
      <c r="D968" s="1" t="s">
        <v>503</v>
      </c>
      <c r="E968" s="1" t="s">
        <v>213</v>
      </c>
      <c r="F968" s="1" t="s">
        <v>334</v>
      </c>
      <c r="G968" s="1" t="s">
        <v>335</v>
      </c>
      <c r="H968" s="6" t="str">
        <f>VLOOKUP(A968,WorldCups!$A$2:$B$23,2,FALSE)</f>
        <v>USA</v>
      </c>
      <c r="I968" s="1" t="s">
        <v>238</v>
      </c>
      <c r="J968" s="1">
        <v>0</v>
      </c>
      <c r="K968" s="1" t="s">
        <v>21</v>
      </c>
      <c r="L968" s="1">
        <v>3</v>
      </c>
      <c r="M968" s="1" t="s">
        <v>14</v>
      </c>
    </row>
    <row r="969" spans="1:13" hidden="1" x14ac:dyDescent="0.25">
      <c r="A969" s="1">
        <v>1994</v>
      </c>
      <c r="B969" s="1">
        <f>B968+1</f>
        <v>485</v>
      </c>
      <c r="C969" s="2">
        <v>34510</v>
      </c>
      <c r="D969" s="1" t="s">
        <v>533</v>
      </c>
      <c r="E969" s="1" t="s">
        <v>274</v>
      </c>
      <c r="F969" s="1" t="s">
        <v>329</v>
      </c>
      <c r="G969" s="1" t="s">
        <v>330</v>
      </c>
      <c r="H969" s="6" t="str">
        <f>VLOOKUP(A969,WorldCups!$A$2:$B$23,2,FALSE)</f>
        <v>USA</v>
      </c>
      <c r="I969" s="1" t="s">
        <v>18</v>
      </c>
      <c r="J969" s="1">
        <v>1</v>
      </c>
      <c r="K969" s="1" t="s">
        <v>45</v>
      </c>
      <c r="L969" s="1">
        <v>0</v>
      </c>
      <c r="M969" s="1" t="s">
        <v>14</v>
      </c>
    </row>
    <row r="970" spans="1:13" hidden="1" x14ac:dyDescent="0.25">
      <c r="A970" s="1">
        <v>1994</v>
      </c>
      <c r="B970" s="1">
        <v>485</v>
      </c>
      <c r="C970" s="2">
        <v>34510</v>
      </c>
      <c r="D970" s="1" t="s">
        <v>533</v>
      </c>
      <c r="E970" s="1" t="s">
        <v>274</v>
      </c>
      <c r="F970" s="1" t="s">
        <v>329</v>
      </c>
      <c r="G970" s="1" t="s">
        <v>330</v>
      </c>
      <c r="H970" s="6" t="str">
        <f>VLOOKUP(A970,WorldCups!$A$2:$B$23,2,FALSE)</f>
        <v>USA</v>
      </c>
      <c r="I970" s="1" t="s">
        <v>45</v>
      </c>
      <c r="J970" s="1">
        <v>0</v>
      </c>
      <c r="K970" s="1" t="s">
        <v>18</v>
      </c>
      <c r="L970" s="1">
        <v>1</v>
      </c>
      <c r="M970" s="1" t="s">
        <v>14</v>
      </c>
    </row>
    <row r="971" spans="1:13" hidden="1" x14ac:dyDescent="0.25">
      <c r="A971" s="1">
        <v>1994</v>
      </c>
      <c r="B971" s="1">
        <f>B970+1</f>
        <v>486</v>
      </c>
      <c r="C971" s="2">
        <v>34510</v>
      </c>
      <c r="D971" s="1" t="s">
        <v>533</v>
      </c>
      <c r="E971" s="1" t="s">
        <v>274</v>
      </c>
      <c r="F971" s="1" t="s">
        <v>325</v>
      </c>
      <c r="G971" s="1" t="s">
        <v>326</v>
      </c>
      <c r="H971" s="6" t="str">
        <f>VLOOKUP(A971,WorldCups!$A$2:$B$23,2,FALSE)</f>
        <v>USA</v>
      </c>
      <c r="I971" s="1" t="s">
        <v>333</v>
      </c>
      <c r="J971" s="1">
        <v>2</v>
      </c>
      <c r="K971" s="1" t="s">
        <v>188</v>
      </c>
      <c r="L971" s="1">
        <v>1</v>
      </c>
      <c r="M971" s="1" t="s">
        <v>14</v>
      </c>
    </row>
    <row r="972" spans="1:13" hidden="1" x14ac:dyDescent="0.25">
      <c r="A972" s="1">
        <v>1994</v>
      </c>
      <c r="B972" s="1">
        <v>486</v>
      </c>
      <c r="C972" s="2">
        <v>34510</v>
      </c>
      <c r="D972" s="1" t="s">
        <v>533</v>
      </c>
      <c r="E972" s="1" t="s">
        <v>274</v>
      </c>
      <c r="F972" s="1" t="s">
        <v>325</v>
      </c>
      <c r="G972" s="1" t="s">
        <v>326</v>
      </c>
      <c r="H972" s="6" t="str">
        <f>VLOOKUP(A972,WorldCups!$A$2:$B$23,2,FALSE)</f>
        <v>USA</v>
      </c>
      <c r="I972" s="1" t="s">
        <v>188</v>
      </c>
      <c r="J972" s="1">
        <v>1</v>
      </c>
      <c r="K972" s="1" t="s">
        <v>333</v>
      </c>
      <c r="L972" s="1">
        <v>2</v>
      </c>
      <c r="M972" s="1" t="s">
        <v>14</v>
      </c>
    </row>
    <row r="973" spans="1:13" hidden="1" x14ac:dyDescent="0.25">
      <c r="A973" s="1">
        <v>1994</v>
      </c>
      <c r="B973" s="1">
        <f>B972+1</f>
        <v>487</v>
      </c>
      <c r="C973" s="2">
        <v>34510</v>
      </c>
      <c r="D973" s="1" t="s">
        <v>503</v>
      </c>
      <c r="E973" s="1" t="s">
        <v>270</v>
      </c>
      <c r="F973" s="1" t="s">
        <v>337</v>
      </c>
      <c r="G973" s="1" t="s">
        <v>338</v>
      </c>
      <c r="H973" s="6" t="str">
        <f>VLOOKUP(A973,WorldCups!$A$2:$B$23,2,FALSE)</f>
        <v>USA</v>
      </c>
      <c r="I973" s="1" t="s">
        <v>25</v>
      </c>
      <c r="J973" s="1">
        <v>2</v>
      </c>
      <c r="K973" s="1" t="s">
        <v>340</v>
      </c>
      <c r="L973" s="1">
        <v>1</v>
      </c>
      <c r="M973" s="1" t="s">
        <v>14</v>
      </c>
    </row>
    <row r="974" spans="1:13" hidden="1" x14ac:dyDescent="0.25">
      <c r="A974" s="1">
        <v>1994</v>
      </c>
      <c r="B974" s="1">
        <v>487</v>
      </c>
      <c r="C974" s="2">
        <v>34510</v>
      </c>
      <c r="D974" s="1" t="s">
        <v>503</v>
      </c>
      <c r="E974" s="1" t="s">
        <v>270</v>
      </c>
      <c r="F974" s="1" t="s">
        <v>337</v>
      </c>
      <c r="G974" s="1" t="s">
        <v>338</v>
      </c>
      <c r="H974" s="6" t="str">
        <f>VLOOKUP(A974,WorldCups!$A$2:$B$23,2,FALSE)</f>
        <v>USA</v>
      </c>
      <c r="I974" s="1" t="s">
        <v>340</v>
      </c>
      <c r="J974" s="1">
        <v>1</v>
      </c>
      <c r="K974" s="1" t="s">
        <v>25</v>
      </c>
      <c r="L974" s="1">
        <v>2</v>
      </c>
      <c r="M974" s="1" t="s">
        <v>14</v>
      </c>
    </row>
    <row r="975" spans="1:13" hidden="1" x14ac:dyDescent="0.25">
      <c r="A975" s="1">
        <v>1994</v>
      </c>
      <c r="B975" s="1">
        <f>B974+1</f>
        <v>488</v>
      </c>
      <c r="C975" s="2">
        <v>34511</v>
      </c>
      <c r="D975" s="1" t="s">
        <v>533</v>
      </c>
      <c r="E975" s="1" t="s">
        <v>270</v>
      </c>
      <c r="F975" s="1" t="s">
        <v>321</v>
      </c>
      <c r="G975" s="1" t="s">
        <v>322</v>
      </c>
      <c r="H975" s="6" t="str">
        <f>VLOOKUP(A975,WorldCups!$A$2:$B$23,2,FALSE)</f>
        <v>USA</v>
      </c>
      <c r="I975" s="1" t="s">
        <v>156</v>
      </c>
      <c r="J975" s="1">
        <v>4</v>
      </c>
      <c r="K975" s="1" t="s">
        <v>339</v>
      </c>
      <c r="L975" s="1">
        <v>0</v>
      </c>
      <c r="M975" s="1" t="s">
        <v>14</v>
      </c>
    </row>
    <row r="976" spans="1:13" hidden="1" x14ac:dyDescent="0.25">
      <c r="A976" s="1">
        <v>1994</v>
      </c>
      <c r="B976" s="1">
        <v>488</v>
      </c>
      <c r="C976" s="2">
        <v>34511</v>
      </c>
      <c r="D976" s="1" t="s">
        <v>533</v>
      </c>
      <c r="E976" s="1" t="s">
        <v>270</v>
      </c>
      <c r="F976" s="1" t="s">
        <v>321</v>
      </c>
      <c r="G976" s="1" t="s">
        <v>322</v>
      </c>
      <c r="H976" s="6" t="str">
        <f>VLOOKUP(A976,WorldCups!$A$2:$B$23,2,FALSE)</f>
        <v>USA</v>
      </c>
      <c r="I976" s="1" t="s">
        <v>339</v>
      </c>
      <c r="J976" s="1">
        <v>0</v>
      </c>
      <c r="K976" s="1" t="s">
        <v>156</v>
      </c>
      <c r="L976" s="1">
        <v>4</v>
      </c>
      <c r="M976" s="1" t="s">
        <v>14</v>
      </c>
    </row>
    <row r="977" spans="1:13" hidden="1" x14ac:dyDescent="0.25">
      <c r="A977" s="1">
        <v>1994</v>
      </c>
      <c r="B977" s="1">
        <f>B976+1</f>
        <v>489</v>
      </c>
      <c r="C977" s="2">
        <v>34511</v>
      </c>
      <c r="D977" s="1" t="s">
        <v>503</v>
      </c>
      <c r="E977" s="1" t="s">
        <v>214</v>
      </c>
      <c r="F977" s="1" t="s">
        <v>327</v>
      </c>
      <c r="G977" s="1" t="s">
        <v>328</v>
      </c>
      <c r="H977" s="6" t="str">
        <f>VLOOKUP(A977,WorldCups!$A$2:$B$23,2,FALSE)</f>
        <v>USA</v>
      </c>
      <c r="I977" s="1" t="s">
        <v>17</v>
      </c>
      <c r="J977" s="1">
        <v>0</v>
      </c>
      <c r="K977" s="1" t="s">
        <v>23</v>
      </c>
      <c r="L977" s="1">
        <v>1</v>
      </c>
      <c r="M977" s="1" t="s">
        <v>14</v>
      </c>
    </row>
    <row r="978" spans="1:13" hidden="1" x14ac:dyDescent="0.25">
      <c r="A978" s="1">
        <v>1994</v>
      </c>
      <c r="B978" s="1">
        <v>489</v>
      </c>
      <c r="C978" s="2">
        <v>34511</v>
      </c>
      <c r="D978" s="1" t="s">
        <v>503</v>
      </c>
      <c r="E978" s="1" t="s">
        <v>214</v>
      </c>
      <c r="F978" s="1" t="s">
        <v>327</v>
      </c>
      <c r="G978" s="1" t="s">
        <v>328</v>
      </c>
      <c r="H978" s="6" t="str">
        <f>VLOOKUP(A978,WorldCups!$A$2:$B$23,2,FALSE)</f>
        <v>USA</v>
      </c>
      <c r="I978" s="1" t="s">
        <v>23</v>
      </c>
      <c r="J978" s="1">
        <v>1</v>
      </c>
      <c r="K978" s="1" t="s">
        <v>17</v>
      </c>
      <c r="L978" s="1">
        <v>0</v>
      </c>
      <c r="M978" s="1" t="s">
        <v>14</v>
      </c>
    </row>
    <row r="979" spans="1:13" hidden="1" x14ac:dyDescent="0.25">
      <c r="A979" s="1">
        <v>1994</v>
      </c>
      <c r="B979" s="1">
        <f>B978+1</f>
        <v>490</v>
      </c>
      <c r="C979" s="2">
        <v>34511</v>
      </c>
      <c r="D979" s="1" t="s">
        <v>503</v>
      </c>
      <c r="E979" s="1" t="s">
        <v>214</v>
      </c>
      <c r="F979" s="1" t="s">
        <v>334</v>
      </c>
      <c r="G979" s="1" t="s">
        <v>335</v>
      </c>
      <c r="H979" s="6" t="str">
        <f>VLOOKUP(A979,WorldCups!$A$2:$B$23,2,FALSE)</f>
        <v>USA</v>
      </c>
      <c r="I979" s="1" t="s">
        <v>44</v>
      </c>
      <c r="J979" s="1">
        <v>0</v>
      </c>
      <c r="K979" s="1" t="s">
        <v>151</v>
      </c>
      <c r="L979" s="1">
        <v>2</v>
      </c>
      <c r="M979" s="1" t="s">
        <v>14</v>
      </c>
    </row>
    <row r="980" spans="1:13" hidden="1" x14ac:dyDescent="0.25">
      <c r="A980" s="1">
        <v>1994</v>
      </c>
      <c r="B980" s="1">
        <v>490</v>
      </c>
      <c r="C980" s="2">
        <v>34511</v>
      </c>
      <c r="D980" s="1" t="s">
        <v>503</v>
      </c>
      <c r="E980" s="1" t="s">
        <v>214</v>
      </c>
      <c r="F980" s="1" t="s">
        <v>334</v>
      </c>
      <c r="G980" s="1" t="s">
        <v>335</v>
      </c>
      <c r="H980" s="6" t="str">
        <f>VLOOKUP(A980,WorldCups!$A$2:$B$23,2,FALSE)</f>
        <v>USA</v>
      </c>
      <c r="I980" s="1" t="s">
        <v>151</v>
      </c>
      <c r="J980" s="1">
        <v>2</v>
      </c>
      <c r="K980" s="1" t="s">
        <v>44</v>
      </c>
      <c r="L980" s="1">
        <v>0</v>
      </c>
      <c r="M980" s="1" t="s">
        <v>14</v>
      </c>
    </row>
    <row r="981" spans="1:13" hidden="1" x14ac:dyDescent="0.25">
      <c r="A981" s="1">
        <v>1994</v>
      </c>
      <c r="B981" s="1">
        <f>B980+1</f>
        <v>491</v>
      </c>
      <c r="C981" s="2">
        <v>34512</v>
      </c>
      <c r="D981" s="1" t="s">
        <v>503</v>
      </c>
      <c r="E981" s="1" t="s">
        <v>268</v>
      </c>
      <c r="F981" s="1" t="s">
        <v>319</v>
      </c>
      <c r="G981" s="1" t="s">
        <v>320</v>
      </c>
      <c r="H981" s="6" t="str">
        <f>VLOOKUP(A981,WorldCups!$A$2:$B$23,2,FALSE)</f>
        <v>USA</v>
      </c>
      <c r="I981" s="1" t="s">
        <v>51</v>
      </c>
      <c r="J981" s="1">
        <v>3</v>
      </c>
      <c r="K981" s="1" t="s">
        <v>116</v>
      </c>
      <c r="L981" s="1">
        <v>2</v>
      </c>
      <c r="M981" s="1" t="s">
        <v>14</v>
      </c>
    </row>
    <row r="982" spans="1:13" hidden="1" x14ac:dyDescent="0.25">
      <c r="A982" s="1">
        <v>1994</v>
      </c>
      <c r="B982" s="1">
        <v>491</v>
      </c>
      <c r="C982" s="2">
        <v>34512</v>
      </c>
      <c r="D982" s="1" t="s">
        <v>503</v>
      </c>
      <c r="E982" s="1" t="s">
        <v>268</v>
      </c>
      <c r="F982" s="1" t="s">
        <v>319</v>
      </c>
      <c r="G982" s="1" t="s">
        <v>320</v>
      </c>
      <c r="H982" s="6" t="str">
        <f>VLOOKUP(A982,WorldCups!$A$2:$B$23,2,FALSE)</f>
        <v>USA</v>
      </c>
      <c r="I982" s="1" t="s">
        <v>116</v>
      </c>
      <c r="J982" s="1">
        <v>2</v>
      </c>
      <c r="K982" s="1" t="s">
        <v>51</v>
      </c>
      <c r="L982" s="1">
        <v>3</v>
      </c>
      <c r="M982" s="1" t="s">
        <v>14</v>
      </c>
    </row>
    <row r="983" spans="1:13" hidden="1" x14ac:dyDescent="0.25">
      <c r="A983" s="1">
        <v>1994</v>
      </c>
      <c r="B983" s="1">
        <f>B982+1</f>
        <v>492</v>
      </c>
      <c r="C983" s="2">
        <v>34512</v>
      </c>
      <c r="D983" s="1" t="s">
        <v>503</v>
      </c>
      <c r="E983" s="1" t="s">
        <v>268</v>
      </c>
      <c r="F983" s="1" t="s">
        <v>321</v>
      </c>
      <c r="G983" s="1" t="s">
        <v>322</v>
      </c>
      <c r="H983" s="6" t="str">
        <f>VLOOKUP(A983,WorldCups!$A$2:$B$23,2,FALSE)</f>
        <v>USA</v>
      </c>
      <c r="I983" s="1" t="s">
        <v>27</v>
      </c>
      <c r="J983" s="1">
        <v>1</v>
      </c>
      <c r="K983" s="1" t="s">
        <v>54</v>
      </c>
      <c r="L983" s="1">
        <v>3</v>
      </c>
      <c r="M983" s="1" t="s">
        <v>14</v>
      </c>
    </row>
    <row r="984" spans="1:13" hidden="1" x14ac:dyDescent="0.25">
      <c r="A984" s="1">
        <v>1994</v>
      </c>
      <c r="B984" s="1">
        <v>492</v>
      </c>
      <c r="C984" s="2">
        <v>34512</v>
      </c>
      <c r="D984" s="1" t="s">
        <v>503</v>
      </c>
      <c r="E984" s="1" t="s">
        <v>268</v>
      </c>
      <c r="F984" s="1" t="s">
        <v>321</v>
      </c>
      <c r="G984" s="1" t="s">
        <v>322</v>
      </c>
      <c r="H984" s="6" t="str">
        <f>VLOOKUP(A984,WorldCups!$A$2:$B$23,2,FALSE)</f>
        <v>USA</v>
      </c>
      <c r="I984" s="1" t="s">
        <v>54</v>
      </c>
      <c r="J984" s="1">
        <v>3</v>
      </c>
      <c r="K984" s="1" t="s">
        <v>27</v>
      </c>
      <c r="L984" s="1">
        <v>1</v>
      </c>
      <c r="M984" s="1" t="s">
        <v>14</v>
      </c>
    </row>
    <row r="985" spans="1:13" hidden="1" x14ac:dyDescent="0.25">
      <c r="A985" s="1">
        <v>1994</v>
      </c>
      <c r="B985" s="1">
        <f>B984+1</f>
        <v>493</v>
      </c>
      <c r="C985" s="2">
        <v>34513</v>
      </c>
      <c r="D985" s="1" t="s">
        <v>533</v>
      </c>
      <c r="E985" s="1" t="s">
        <v>281</v>
      </c>
      <c r="F985" s="1" t="s">
        <v>325</v>
      </c>
      <c r="G985" s="1" t="s">
        <v>326</v>
      </c>
      <c r="H985" s="6" t="str">
        <f>VLOOKUP(A985,WorldCups!$A$2:$B$23,2,FALSE)</f>
        <v>USA</v>
      </c>
      <c r="I985" s="1" t="s">
        <v>304</v>
      </c>
      <c r="J985" s="1">
        <v>0</v>
      </c>
      <c r="K985" s="1" t="s">
        <v>77</v>
      </c>
      <c r="L985" s="1">
        <v>0</v>
      </c>
      <c r="M985" s="1" t="s">
        <v>14</v>
      </c>
    </row>
    <row r="986" spans="1:13" hidden="1" x14ac:dyDescent="0.25">
      <c r="A986" s="1">
        <v>1994</v>
      </c>
      <c r="B986" s="1">
        <v>493</v>
      </c>
      <c r="C986" s="2">
        <v>34513</v>
      </c>
      <c r="D986" s="1" t="s">
        <v>533</v>
      </c>
      <c r="E986" s="1" t="s">
        <v>281</v>
      </c>
      <c r="F986" s="1" t="s">
        <v>325</v>
      </c>
      <c r="G986" s="1" t="s">
        <v>326</v>
      </c>
      <c r="H986" s="6" t="str">
        <f>VLOOKUP(A986,WorldCups!$A$2:$B$23,2,FALSE)</f>
        <v>USA</v>
      </c>
      <c r="I986" s="1" t="s">
        <v>77</v>
      </c>
      <c r="J986" s="1">
        <v>0</v>
      </c>
      <c r="K986" s="1" t="s">
        <v>304</v>
      </c>
      <c r="L986" s="1">
        <v>0</v>
      </c>
      <c r="M986" s="1" t="s">
        <v>14</v>
      </c>
    </row>
    <row r="987" spans="1:13" hidden="1" x14ac:dyDescent="0.25">
      <c r="A987" s="1">
        <v>1994</v>
      </c>
      <c r="B987" s="1">
        <f>B986+1</f>
        <v>494</v>
      </c>
      <c r="C987" s="2">
        <v>34513</v>
      </c>
      <c r="D987" s="1" t="s">
        <v>503</v>
      </c>
      <c r="E987" s="1" t="s">
        <v>213</v>
      </c>
      <c r="F987" s="1" t="s">
        <v>323</v>
      </c>
      <c r="G987" s="1" t="s">
        <v>324</v>
      </c>
      <c r="H987" s="6" t="str">
        <f>VLOOKUP(A987,WorldCups!$A$2:$B$23,2,FALSE)</f>
        <v>USA</v>
      </c>
      <c r="I987" s="1" t="s">
        <v>21</v>
      </c>
      <c r="J987" s="1">
        <v>1</v>
      </c>
      <c r="K987" s="1" t="s">
        <v>48</v>
      </c>
      <c r="L987" s="1">
        <v>1</v>
      </c>
      <c r="M987" s="1" t="s">
        <v>14</v>
      </c>
    </row>
    <row r="988" spans="1:13" hidden="1" x14ac:dyDescent="0.25">
      <c r="A988" s="1">
        <v>1994</v>
      </c>
      <c r="B988" s="1">
        <v>494</v>
      </c>
      <c r="C988" s="2">
        <v>34513</v>
      </c>
      <c r="D988" s="1" t="s">
        <v>503</v>
      </c>
      <c r="E988" s="1" t="s">
        <v>213</v>
      </c>
      <c r="F988" s="1" t="s">
        <v>323</v>
      </c>
      <c r="G988" s="1" t="s">
        <v>324</v>
      </c>
      <c r="H988" s="6" t="str">
        <f>VLOOKUP(A988,WorldCups!$A$2:$B$23,2,FALSE)</f>
        <v>USA</v>
      </c>
      <c r="I988" s="1" t="s">
        <v>48</v>
      </c>
      <c r="J988" s="1">
        <v>1</v>
      </c>
      <c r="K988" s="1" t="s">
        <v>21</v>
      </c>
      <c r="L988" s="1">
        <v>1</v>
      </c>
      <c r="M988" s="1" t="s">
        <v>14</v>
      </c>
    </row>
    <row r="989" spans="1:13" hidden="1" x14ac:dyDescent="0.25">
      <c r="A989" s="1">
        <v>1994</v>
      </c>
      <c r="B989" s="1">
        <f>B988+1</f>
        <v>495</v>
      </c>
      <c r="C989" s="2">
        <v>34513</v>
      </c>
      <c r="D989" s="1" t="s">
        <v>533</v>
      </c>
      <c r="E989" s="1" t="s">
        <v>281</v>
      </c>
      <c r="F989" s="1" t="s">
        <v>331</v>
      </c>
      <c r="G989" s="1" t="s">
        <v>332</v>
      </c>
      <c r="H989" s="6" t="str">
        <f>VLOOKUP(A989,WorldCups!$A$2:$B$23,2,FALSE)</f>
        <v>USA</v>
      </c>
      <c r="I989" s="1" t="s">
        <v>57</v>
      </c>
      <c r="J989" s="1">
        <v>1</v>
      </c>
      <c r="K989" s="1" t="s">
        <v>13</v>
      </c>
      <c r="L989" s="1">
        <v>1</v>
      </c>
      <c r="M989" s="1" t="s">
        <v>14</v>
      </c>
    </row>
    <row r="990" spans="1:13" hidden="1" x14ac:dyDescent="0.25">
      <c r="A990" s="1">
        <v>1994</v>
      </c>
      <c r="B990" s="1">
        <v>495</v>
      </c>
      <c r="C990" s="2">
        <v>34513</v>
      </c>
      <c r="D990" s="1" t="s">
        <v>533</v>
      </c>
      <c r="E990" s="1" t="s">
        <v>281</v>
      </c>
      <c r="F990" s="1" t="s">
        <v>331</v>
      </c>
      <c r="G990" s="1" t="s">
        <v>332</v>
      </c>
      <c r="H990" s="6" t="str">
        <f>VLOOKUP(A990,WorldCups!$A$2:$B$23,2,FALSE)</f>
        <v>USA</v>
      </c>
      <c r="I990" s="1" t="s">
        <v>13</v>
      </c>
      <c r="J990" s="1">
        <v>1</v>
      </c>
      <c r="K990" s="1" t="s">
        <v>57</v>
      </c>
      <c r="L990" s="1">
        <v>1</v>
      </c>
      <c r="M990" s="1" t="s">
        <v>14</v>
      </c>
    </row>
    <row r="991" spans="1:13" hidden="1" x14ac:dyDescent="0.25">
      <c r="A991" s="1">
        <v>1994</v>
      </c>
      <c r="B991" s="1">
        <f>B990+1</f>
        <v>496</v>
      </c>
      <c r="C991" s="2">
        <v>34513</v>
      </c>
      <c r="D991" s="1" t="s">
        <v>503</v>
      </c>
      <c r="E991" s="1" t="s">
        <v>213</v>
      </c>
      <c r="F991" s="1" t="s">
        <v>334</v>
      </c>
      <c r="G991" s="1" t="s">
        <v>335</v>
      </c>
      <c r="H991" s="6" t="str">
        <f>VLOOKUP(A991,WorldCups!$A$2:$B$23,2,FALSE)</f>
        <v>USA</v>
      </c>
      <c r="I991" s="1" t="s">
        <v>336</v>
      </c>
      <c r="J991" s="1">
        <v>6</v>
      </c>
      <c r="K991" s="1" t="s">
        <v>238</v>
      </c>
      <c r="L991" s="1">
        <v>1</v>
      </c>
      <c r="M991" s="1" t="s">
        <v>14</v>
      </c>
    </row>
    <row r="992" spans="1:13" hidden="1" x14ac:dyDescent="0.25">
      <c r="A992" s="1">
        <v>1994</v>
      </c>
      <c r="B992" s="1">
        <v>496</v>
      </c>
      <c r="C992" s="2">
        <v>34513</v>
      </c>
      <c r="D992" s="1" t="s">
        <v>503</v>
      </c>
      <c r="E992" s="1" t="s">
        <v>213</v>
      </c>
      <c r="F992" s="1" t="s">
        <v>334</v>
      </c>
      <c r="G992" s="1" t="s">
        <v>335</v>
      </c>
      <c r="H992" s="6" t="str">
        <f>VLOOKUP(A992,WorldCups!$A$2:$B$23,2,FALSE)</f>
        <v>USA</v>
      </c>
      <c r="I992" s="1" t="s">
        <v>238</v>
      </c>
      <c r="J992" s="1">
        <v>1</v>
      </c>
      <c r="K992" s="1" t="s">
        <v>336</v>
      </c>
      <c r="L992" s="1">
        <v>6</v>
      </c>
      <c r="M992" s="1" t="s">
        <v>14</v>
      </c>
    </row>
    <row r="993" spans="1:13" hidden="1" x14ac:dyDescent="0.25">
      <c r="A993" s="1">
        <v>1994</v>
      </c>
      <c r="B993" s="1">
        <f>B992+1</f>
        <v>497</v>
      </c>
      <c r="C993" s="2">
        <v>34514</v>
      </c>
      <c r="D993" s="1" t="s">
        <v>533</v>
      </c>
      <c r="E993" s="1" t="s">
        <v>274</v>
      </c>
      <c r="F993" s="1" t="s">
        <v>329</v>
      </c>
      <c r="G993" s="1" t="s">
        <v>330</v>
      </c>
      <c r="H993" s="6" t="str">
        <f>VLOOKUP(A993,WorldCups!$A$2:$B$23,2,FALSE)</f>
        <v>USA</v>
      </c>
      <c r="I993" s="1" t="s">
        <v>188</v>
      </c>
      <c r="J993" s="1">
        <v>1</v>
      </c>
      <c r="K993" s="1" t="s">
        <v>45</v>
      </c>
      <c r="L993" s="1">
        <v>2</v>
      </c>
      <c r="M993" s="1" t="s">
        <v>14</v>
      </c>
    </row>
    <row r="994" spans="1:13" hidden="1" x14ac:dyDescent="0.25">
      <c r="A994" s="1">
        <v>1994</v>
      </c>
      <c r="B994" s="1">
        <v>497</v>
      </c>
      <c r="C994" s="2">
        <v>34514</v>
      </c>
      <c r="D994" s="1" t="s">
        <v>533</v>
      </c>
      <c r="E994" s="1" t="s">
        <v>274</v>
      </c>
      <c r="F994" s="1" t="s">
        <v>329</v>
      </c>
      <c r="G994" s="1" t="s">
        <v>330</v>
      </c>
      <c r="H994" s="6" t="str">
        <f>VLOOKUP(A994,WorldCups!$A$2:$B$23,2,FALSE)</f>
        <v>USA</v>
      </c>
      <c r="I994" s="1" t="s">
        <v>45</v>
      </c>
      <c r="J994" s="1">
        <v>2</v>
      </c>
      <c r="K994" s="1" t="s">
        <v>188</v>
      </c>
      <c r="L994" s="1">
        <v>1</v>
      </c>
      <c r="M994" s="1" t="s">
        <v>14</v>
      </c>
    </row>
    <row r="995" spans="1:13" hidden="1" x14ac:dyDescent="0.25">
      <c r="A995" s="1">
        <v>1994</v>
      </c>
      <c r="B995" s="1">
        <f>B994+1</f>
        <v>498</v>
      </c>
      <c r="C995" s="2">
        <v>34514</v>
      </c>
      <c r="D995" s="1" t="s">
        <v>533</v>
      </c>
      <c r="E995" s="1" t="s">
        <v>274</v>
      </c>
      <c r="F995" s="1" t="s">
        <v>331</v>
      </c>
      <c r="G995" s="1" t="s">
        <v>332</v>
      </c>
      <c r="H995" s="6" t="str">
        <f>VLOOKUP(A995,WorldCups!$A$2:$B$23,2,FALSE)</f>
        <v>USA</v>
      </c>
      <c r="I995" s="1" t="s">
        <v>18</v>
      </c>
      <c r="J995" s="1">
        <v>0</v>
      </c>
      <c r="K995" s="1" t="s">
        <v>333</v>
      </c>
      <c r="L995" s="1">
        <v>1</v>
      </c>
      <c r="M995" s="1" t="s">
        <v>14</v>
      </c>
    </row>
    <row r="996" spans="1:13" hidden="1" x14ac:dyDescent="0.25">
      <c r="A996" s="1">
        <v>1994</v>
      </c>
      <c r="B996" s="1">
        <v>498</v>
      </c>
      <c r="C996" s="2">
        <v>34514</v>
      </c>
      <c r="D996" s="1" t="s">
        <v>533</v>
      </c>
      <c r="E996" s="1" t="s">
        <v>274</v>
      </c>
      <c r="F996" s="1" t="s">
        <v>331</v>
      </c>
      <c r="G996" s="1" t="s">
        <v>332</v>
      </c>
      <c r="H996" s="6" t="str">
        <f>VLOOKUP(A996,WorldCups!$A$2:$B$23,2,FALSE)</f>
        <v>USA</v>
      </c>
      <c r="I996" s="1" t="s">
        <v>333</v>
      </c>
      <c r="J996" s="1">
        <v>1</v>
      </c>
      <c r="K996" s="1" t="s">
        <v>18</v>
      </c>
      <c r="L996" s="1">
        <v>0</v>
      </c>
      <c r="M996" s="1" t="s">
        <v>14</v>
      </c>
    </row>
    <row r="997" spans="1:13" hidden="1" x14ac:dyDescent="0.25">
      <c r="A997" s="1">
        <v>1994</v>
      </c>
      <c r="B997" s="1">
        <f>B996+1</f>
        <v>499</v>
      </c>
      <c r="C997" s="2">
        <v>34515</v>
      </c>
      <c r="D997" s="1" t="s">
        <v>522</v>
      </c>
      <c r="E997" s="1" t="s">
        <v>270</v>
      </c>
      <c r="F997" s="1" t="s">
        <v>337</v>
      </c>
      <c r="G997" s="1" t="s">
        <v>338</v>
      </c>
      <c r="H997" s="6" t="str">
        <f>VLOOKUP(A997,WorldCups!$A$2:$B$23,2,FALSE)</f>
        <v>USA</v>
      </c>
      <c r="I997" s="1" t="s">
        <v>339</v>
      </c>
      <c r="J997" s="1">
        <v>0</v>
      </c>
      <c r="K997" s="1" t="s">
        <v>340</v>
      </c>
      <c r="L997" s="1">
        <v>2</v>
      </c>
      <c r="M997" s="1" t="s">
        <v>14</v>
      </c>
    </row>
    <row r="998" spans="1:13" hidden="1" x14ac:dyDescent="0.25">
      <c r="A998" s="1">
        <v>1994</v>
      </c>
      <c r="B998" s="1">
        <v>499</v>
      </c>
      <c r="C998" s="2">
        <v>34515</v>
      </c>
      <c r="D998" s="1" t="s">
        <v>522</v>
      </c>
      <c r="E998" s="1" t="s">
        <v>270</v>
      </c>
      <c r="F998" s="1" t="s">
        <v>337</v>
      </c>
      <c r="G998" s="1" t="s">
        <v>338</v>
      </c>
      <c r="H998" s="6" t="str">
        <f>VLOOKUP(A998,WorldCups!$A$2:$B$23,2,FALSE)</f>
        <v>USA</v>
      </c>
      <c r="I998" s="1" t="s">
        <v>340</v>
      </c>
      <c r="J998" s="1">
        <v>2</v>
      </c>
      <c r="K998" s="1" t="s">
        <v>339</v>
      </c>
      <c r="L998" s="1">
        <v>0</v>
      </c>
      <c r="M998" s="1" t="s">
        <v>14</v>
      </c>
    </row>
    <row r="999" spans="1:13" hidden="1" x14ac:dyDescent="0.25">
      <c r="A999" s="1">
        <v>1994</v>
      </c>
      <c r="B999" s="1">
        <f>B998+1</f>
        <v>500</v>
      </c>
      <c r="C999" s="2">
        <v>34515</v>
      </c>
      <c r="D999" s="1" t="s">
        <v>522</v>
      </c>
      <c r="E999" s="1" t="s">
        <v>270</v>
      </c>
      <c r="F999" s="1" t="s">
        <v>319</v>
      </c>
      <c r="G999" s="1" t="s">
        <v>320</v>
      </c>
      <c r="H999" s="6" t="str">
        <f>VLOOKUP(A999,WorldCups!$A$2:$B$23,2,FALSE)</f>
        <v>USA</v>
      </c>
      <c r="I999" s="1" t="s">
        <v>25</v>
      </c>
      <c r="J999" s="1">
        <v>0</v>
      </c>
      <c r="K999" s="1" t="s">
        <v>156</v>
      </c>
      <c r="L999" s="1">
        <v>2</v>
      </c>
      <c r="M999" s="1" t="s">
        <v>14</v>
      </c>
    </row>
    <row r="1000" spans="1:13" hidden="1" x14ac:dyDescent="0.25">
      <c r="A1000" s="1">
        <v>1994</v>
      </c>
      <c r="B1000" s="1">
        <v>500</v>
      </c>
      <c r="C1000" s="2">
        <v>34515</v>
      </c>
      <c r="D1000" s="1" t="s">
        <v>522</v>
      </c>
      <c r="E1000" s="1" t="s">
        <v>270</v>
      </c>
      <c r="F1000" s="1" t="s">
        <v>319</v>
      </c>
      <c r="G1000" s="1" t="s">
        <v>320</v>
      </c>
      <c r="H1000" s="6" t="str">
        <f>VLOOKUP(A1000,WorldCups!$A$2:$B$23,2,FALSE)</f>
        <v>USA</v>
      </c>
      <c r="I1000" s="1" t="s">
        <v>156</v>
      </c>
      <c r="J1000" s="1">
        <v>2</v>
      </c>
      <c r="K1000" s="1" t="s">
        <v>25</v>
      </c>
      <c r="L1000" s="1">
        <v>0</v>
      </c>
      <c r="M1000" s="1" t="s">
        <v>14</v>
      </c>
    </row>
    <row r="1001" spans="1:13" hidden="1" x14ac:dyDescent="0.25">
      <c r="A1001" s="1">
        <v>1994</v>
      </c>
      <c r="B1001" s="1">
        <f>B1000+1</f>
        <v>501</v>
      </c>
      <c r="C1001" s="2">
        <v>34517</v>
      </c>
      <c r="D1001" s="1" t="s">
        <v>523</v>
      </c>
      <c r="E1001" s="1" t="s">
        <v>287</v>
      </c>
      <c r="F1001" s="1" t="s">
        <v>321</v>
      </c>
      <c r="G1001" s="1" t="s">
        <v>322</v>
      </c>
      <c r="H1001" s="6" t="str">
        <f>VLOOKUP(A1001,WorldCups!$A$2:$B$23,2,FALSE)</f>
        <v>USA</v>
      </c>
      <c r="I1001" s="1" t="s">
        <v>51</v>
      </c>
      <c r="J1001" s="1">
        <v>3</v>
      </c>
      <c r="K1001" s="1" t="s">
        <v>18</v>
      </c>
      <c r="L1001" s="1">
        <v>2</v>
      </c>
      <c r="M1001" s="1" t="s">
        <v>14</v>
      </c>
    </row>
    <row r="1002" spans="1:13" hidden="1" x14ac:dyDescent="0.25">
      <c r="A1002" s="1">
        <v>1994</v>
      </c>
      <c r="B1002" s="1">
        <v>501</v>
      </c>
      <c r="C1002" s="2">
        <v>34517</v>
      </c>
      <c r="D1002" s="1" t="s">
        <v>523</v>
      </c>
      <c r="E1002" s="1" t="s">
        <v>287</v>
      </c>
      <c r="F1002" s="1" t="s">
        <v>321</v>
      </c>
      <c r="G1002" s="1" t="s">
        <v>322</v>
      </c>
      <c r="H1002" s="6" t="str">
        <f>VLOOKUP(A1002,WorldCups!$A$2:$B$23,2,FALSE)</f>
        <v>USA</v>
      </c>
      <c r="I1002" s="1" t="s">
        <v>18</v>
      </c>
      <c r="J1002" s="1">
        <v>2</v>
      </c>
      <c r="K1002" s="1" t="s">
        <v>51</v>
      </c>
      <c r="L1002" s="1">
        <v>3</v>
      </c>
      <c r="M1002" s="1" t="s">
        <v>14</v>
      </c>
    </row>
    <row r="1003" spans="1:13" hidden="1" x14ac:dyDescent="0.25">
      <c r="A1003" s="1">
        <v>1994</v>
      </c>
      <c r="B1003" s="1">
        <f>B1002+1</f>
        <v>502</v>
      </c>
      <c r="C1003" s="2">
        <v>34517</v>
      </c>
      <c r="D1003" s="1" t="s">
        <v>509</v>
      </c>
      <c r="E1003" s="1" t="s">
        <v>287</v>
      </c>
      <c r="F1003" s="1" t="s">
        <v>331</v>
      </c>
      <c r="G1003" s="1" t="s">
        <v>332</v>
      </c>
      <c r="H1003" s="6" t="str">
        <f>VLOOKUP(A1003,WorldCups!$A$2:$B$23,2,FALSE)</f>
        <v>USA</v>
      </c>
      <c r="I1003" s="1" t="s">
        <v>54</v>
      </c>
      <c r="J1003" s="1">
        <v>3</v>
      </c>
      <c r="K1003" s="1" t="s">
        <v>44</v>
      </c>
      <c r="L1003" s="1">
        <v>0</v>
      </c>
      <c r="M1003" s="1" t="s">
        <v>14</v>
      </c>
    </row>
    <row r="1004" spans="1:13" hidden="1" x14ac:dyDescent="0.25">
      <c r="A1004" s="1">
        <v>1994</v>
      </c>
      <c r="B1004" s="1">
        <v>502</v>
      </c>
      <c r="C1004" s="2">
        <v>34517</v>
      </c>
      <c r="D1004" s="1" t="s">
        <v>509</v>
      </c>
      <c r="E1004" s="1" t="s">
        <v>287</v>
      </c>
      <c r="F1004" s="1" t="s">
        <v>331</v>
      </c>
      <c r="G1004" s="1" t="s">
        <v>332</v>
      </c>
      <c r="H1004" s="6" t="str">
        <f>VLOOKUP(A1004,WorldCups!$A$2:$B$23,2,FALSE)</f>
        <v>USA</v>
      </c>
      <c r="I1004" s="1" t="s">
        <v>44</v>
      </c>
      <c r="J1004" s="1">
        <v>0</v>
      </c>
      <c r="K1004" s="1" t="s">
        <v>54</v>
      </c>
      <c r="L1004" s="1">
        <v>3</v>
      </c>
      <c r="M1004" s="1" t="s">
        <v>14</v>
      </c>
    </row>
    <row r="1005" spans="1:13" hidden="1" x14ac:dyDescent="0.25">
      <c r="A1005" s="1">
        <v>1994</v>
      </c>
      <c r="B1005" s="1">
        <f>B1004+1</f>
        <v>503</v>
      </c>
      <c r="C1005" s="2">
        <v>34518</v>
      </c>
      <c r="D1005" s="1" t="s">
        <v>523</v>
      </c>
      <c r="E1005" s="1" t="s">
        <v>287</v>
      </c>
      <c r="F1005" s="1" t="s">
        <v>319</v>
      </c>
      <c r="G1005" s="1" t="s">
        <v>320</v>
      </c>
      <c r="H1005" s="6" t="str">
        <f>VLOOKUP(A1005,WorldCups!$A$2:$B$23,2,FALSE)</f>
        <v>USA</v>
      </c>
      <c r="I1005" s="1" t="s">
        <v>333</v>
      </c>
      <c r="J1005" s="1">
        <v>1</v>
      </c>
      <c r="K1005" s="1" t="s">
        <v>48</v>
      </c>
      <c r="L1005" s="1">
        <v>3</v>
      </c>
      <c r="M1005" s="1" t="s">
        <v>14</v>
      </c>
    </row>
    <row r="1006" spans="1:13" hidden="1" x14ac:dyDescent="0.25">
      <c r="A1006" s="1">
        <v>1994</v>
      </c>
      <c r="B1006" s="1">
        <v>503</v>
      </c>
      <c r="C1006" s="2">
        <v>34518</v>
      </c>
      <c r="D1006" s="1" t="s">
        <v>523</v>
      </c>
      <c r="E1006" s="1" t="s">
        <v>287</v>
      </c>
      <c r="F1006" s="1" t="s">
        <v>319</v>
      </c>
      <c r="G1006" s="1" t="s">
        <v>320</v>
      </c>
      <c r="H1006" s="6" t="str">
        <f>VLOOKUP(A1006,WorldCups!$A$2:$B$23,2,FALSE)</f>
        <v>USA</v>
      </c>
      <c r="I1006" s="1" t="s">
        <v>48</v>
      </c>
      <c r="J1006" s="1">
        <v>3</v>
      </c>
      <c r="K1006" s="1" t="s">
        <v>333</v>
      </c>
      <c r="L1006" s="1">
        <v>1</v>
      </c>
      <c r="M1006" s="1" t="s">
        <v>14</v>
      </c>
    </row>
    <row r="1007" spans="1:13" hidden="1" x14ac:dyDescent="0.25">
      <c r="A1007" s="1">
        <v>1994</v>
      </c>
      <c r="B1007" s="1">
        <f>B1006+1</f>
        <v>504</v>
      </c>
      <c r="C1007" s="2">
        <v>34518</v>
      </c>
      <c r="D1007" s="1" t="s">
        <v>534</v>
      </c>
      <c r="E1007" s="1" t="s">
        <v>287</v>
      </c>
      <c r="F1007" s="1" t="s">
        <v>327</v>
      </c>
      <c r="G1007" s="1" t="s">
        <v>328</v>
      </c>
      <c r="H1007" s="6" t="str">
        <f>VLOOKUP(A1007,WorldCups!$A$2:$B$23,2,FALSE)</f>
        <v>USA</v>
      </c>
      <c r="I1007" s="1" t="s">
        <v>23</v>
      </c>
      <c r="J1007" s="1">
        <v>3</v>
      </c>
      <c r="K1007" s="1" t="s">
        <v>25</v>
      </c>
      <c r="L1007" s="1">
        <v>2</v>
      </c>
      <c r="M1007" s="1" t="s">
        <v>14</v>
      </c>
    </row>
    <row r="1008" spans="1:13" hidden="1" x14ac:dyDescent="0.25">
      <c r="A1008" s="1">
        <v>1994</v>
      </c>
      <c r="B1008" s="1">
        <v>504</v>
      </c>
      <c r="C1008" s="2">
        <v>34518</v>
      </c>
      <c r="D1008" s="1" t="s">
        <v>534</v>
      </c>
      <c r="E1008" s="1" t="s">
        <v>287</v>
      </c>
      <c r="F1008" s="1" t="s">
        <v>327</v>
      </c>
      <c r="G1008" s="1" t="s">
        <v>328</v>
      </c>
      <c r="H1008" s="6" t="str">
        <f>VLOOKUP(A1008,WorldCups!$A$2:$B$23,2,FALSE)</f>
        <v>USA</v>
      </c>
      <c r="I1008" s="1" t="s">
        <v>25</v>
      </c>
      <c r="J1008" s="1">
        <v>2</v>
      </c>
      <c r="K1008" s="1" t="s">
        <v>23</v>
      </c>
      <c r="L1008" s="1">
        <v>3</v>
      </c>
      <c r="M1008" s="1" t="s">
        <v>14</v>
      </c>
    </row>
    <row r="1009" spans="1:13" hidden="1" x14ac:dyDescent="0.25">
      <c r="A1009" s="1">
        <v>1994</v>
      </c>
      <c r="B1009" s="1">
        <f>B1008+1</f>
        <v>505</v>
      </c>
      <c r="C1009" s="2">
        <v>34519</v>
      </c>
      <c r="D1009" s="1" t="s">
        <v>523</v>
      </c>
      <c r="E1009" s="1" t="s">
        <v>287</v>
      </c>
      <c r="F1009" s="1" t="s">
        <v>329</v>
      </c>
      <c r="G1009" s="1" t="s">
        <v>330</v>
      </c>
      <c r="H1009" s="6" t="str">
        <f>VLOOKUP(A1009,WorldCups!$A$2:$B$23,2,FALSE)</f>
        <v>USA</v>
      </c>
      <c r="I1009" s="1" t="s">
        <v>45</v>
      </c>
      <c r="J1009" s="1">
        <v>2</v>
      </c>
      <c r="K1009" s="1" t="s">
        <v>304</v>
      </c>
      <c r="L1009" s="1">
        <v>0</v>
      </c>
      <c r="M1009" s="1" t="s">
        <v>14</v>
      </c>
    </row>
    <row r="1010" spans="1:13" hidden="1" x14ac:dyDescent="0.25">
      <c r="A1010" s="1">
        <v>1994</v>
      </c>
      <c r="B1010" s="1">
        <v>505</v>
      </c>
      <c r="C1010" s="2">
        <v>34519</v>
      </c>
      <c r="D1010" s="1" t="s">
        <v>523</v>
      </c>
      <c r="E1010" s="1" t="s">
        <v>287</v>
      </c>
      <c r="F1010" s="1" t="s">
        <v>329</v>
      </c>
      <c r="G1010" s="1" t="s">
        <v>330</v>
      </c>
      <c r="H1010" s="6" t="str">
        <f>VLOOKUP(A1010,WorldCups!$A$2:$B$23,2,FALSE)</f>
        <v>USA</v>
      </c>
      <c r="I1010" s="1" t="s">
        <v>304</v>
      </c>
      <c r="J1010" s="1">
        <v>0</v>
      </c>
      <c r="K1010" s="1" t="s">
        <v>45</v>
      </c>
      <c r="L1010" s="1">
        <v>2</v>
      </c>
      <c r="M1010" s="1" t="s">
        <v>14</v>
      </c>
    </row>
    <row r="1011" spans="1:13" hidden="1" x14ac:dyDescent="0.25">
      <c r="A1011" s="1">
        <v>1994</v>
      </c>
      <c r="B1011" s="1">
        <f>B1010+1</f>
        <v>506</v>
      </c>
      <c r="C1011" s="2">
        <v>34519</v>
      </c>
      <c r="D1011" s="1" t="s">
        <v>533</v>
      </c>
      <c r="E1011" s="1" t="s">
        <v>287</v>
      </c>
      <c r="F1011" s="1" t="s">
        <v>334</v>
      </c>
      <c r="G1011" s="1" t="s">
        <v>335</v>
      </c>
      <c r="H1011" s="6" t="str">
        <f>VLOOKUP(A1011,WorldCups!$A$2:$B$23,2,FALSE)</f>
        <v>USA</v>
      </c>
      <c r="I1011" s="1" t="s">
        <v>21</v>
      </c>
      <c r="J1011" s="1">
        <v>1</v>
      </c>
      <c r="K1011" s="1" t="s">
        <v>17</v>
      </c>
      <c r="L1011" s="1">
        <v>0</v>
      </c>
      <c r="M1011" s="1" t="s">
        <v>14</v>
      </c>
    </row>
    <row r="1012" spans="1:13" hidden="1" x14ac:dyDescent="0.25">
      <c r="A1012" s="1">
        <v>1994</v>
      </c>
      <c r="B1012" s="1">
        <v>506</v>
      </c>
      <c r="C1012" s="2">
        <v>34519</v>
      </c>
      <c r="D1012" s="1" t="s">
        <v>533</v>
      </c>
      <c r="E1012" s="1" t="s">
        <v>287</v>
      </c>
      <c r="F1012" s="1" t="s">
        <v>334</v>
      </c>
      <c r="G1012" s="1" t="s">
        <v>335</v>
      </c>
      <c r="H1012" s="6" t="str">
        <f>VLOOKUP(A1012,WorldCups!$A$2:$B$23,2,FALSE)</f>
        <v>USA</v>
      </c>
      <c r="I1012" s="1" t="s">
        <v>17</v>
      </c>
      <c r="J1012" s="1">
        <v>0</v>
      </c>
      <c r="K1012" s="1" t="s">
        <v>21</v>
      </c>
      <c r="L1012" s="1">
        <v>1</v>
      </c>
      <c r="M1012" s="1" t="s">
        <v>14</v>
      </c>
    </row>
    <row r="1013" spans="1:13" hidden="1" x14ac:dyDescent="0.25">
      <c r="A1013" s="1">
        <v>1994</v>
      </c>
      <c r="B1013" s="1">
        <f>B1012+1</f>
        <v>507</v>
      </c>
      <c r="C1013" s="2">
        <v>34520</v>
      </c>
      <c r="D1013" s="1" t="s">
        <v>507</v>
      </c>
      <c r="E1013" s="1" t="s">
        <v>287</v>
      </c>
      <c r="F1013" s="1" t="s">
        <v>337</v>
      </c>
      <c r="G1013" s="1" t="s">
        <v>338</v>
      </c>
      <c r="H1013" s="6" t="str">
        <f>VLOOKUP(A1013,WorldCups!$A$2:$B$23,2,FALSE)</f>
        <v>USA</v>
      </c>
      <c r="I1013" s="1" t="s">
        <v>340</v>
      </c>
      <c r="J1013" s="1">
        <v>1</v>
      </c>
      <c r="K1013" s="1" t="s">
        <v>57</v>
      </c>
      <c r="L1013" s="1">
        <v>2</v>
      </c>
      <c r="M1013" s="1" t="s">
        <v>63</v>
      </c>
    </row>
    <row r="1014" spans="1:13" hidden="1" x14ac:dyDescent="0.25">
      <c r="A1014" s="1">
        <v>1994</v>
      </c>
      <c r="B1014" s="1">
        <v>507</v>
      </c>
      <c r="C1014" s="2">
        <v>34520</v>
      </c>
      <c r="D1014" s="1" t="s">
        <v>507</v>
      </c>
      <c r="E1014" s="1" t="s">
        <v>287</v>
      </c>
      <c r="F1014" s="1" t="s">
        <v>337</v>
      </c>
      <c r="G1014" s="1" t="s">
        <v>338</v>
      </c>
      <c r="H1014" s="6" t="str">
        <f>VLOOKUP(A1014,WorldCups!$A$2:$B$23,2,FALSE)</f>
        <v>USA</v>
      </c>
      <c r="I1014" s="1" t="s">
        <v>57</v>
      </c>
      <c r="J1014" s="1">
        <v>2</v>
      </c>
      <c r="K1014" s="1" t="s">
        <v>340</v>
      </c>
      <c r="L1014" s="1">
        <v>1</v>
      </c>
      <c r="M1014" s="1" t="s">
        <v>63</v>
      </c>
    </row>
    <row r="1015" spans="1:13" hidden="1" x14ac:dyDescent="0.25">
      <c r="A1015" s="1">
        <v>1994</v>
      </c>
      <c r="B1015" s="1">
        <f>B1014+1</f>
        <v>508</v>
      </c>
      <c r="C1015" s="2">
        <v>34520</v>
      </c>
      <c r="D1015" s="1" t="s">
        <v>509</v>
      </c>
      <c r="E1015" s="1" t="s">
        <v>287</v>
      </c>
      <c r="F1015" s="1" t="s">
        <v>325</v>
      </c>
      <c r="G1015" s="1" t="s">
        <v>326</v>
      </c>
      <c r="H1015" s="6" t="str">
        <f>VLOOKUP(A1015,WorldCups!$A$2:$B$23,2,FALSE)</f>
        <v>USA</v>
      </c>
      <c r="I1015" s="1" t="s">
        <v>13</v>
      </c>
      <c r="J1015" s="1">
        <v>1</v>
      </c>
      <c r="K1015" s="1" t="s">
        <v>156</v>
      </c>
      <c r="L1015" s="1">
        <v>1</v>
      </c>
      <c r="M1015" s="1" t="s">
        <v>341</v>
      </c>
    </row>
    <row r="1016" spans="1:13" hidden="1" x14ac:dyDescent="0.25">
      <c r="A1016" s="1">
        <v>1994</v>
      </c>
      <c r="B1016" s="1">
        <v>508</v>
      </c>
      <c r="C1016" s="2">
        <v>34520</v>
      </c>
      <c r="D1016" s="1" t="s">
        <v>509</v>
      </c>
      <c r="E1016" s="1" t="s">
        <v>287</v>
      </c>
      <c r="F1016" s="1" t="s">
        <v>325</v>
      </c>
      <c r="G1016" s="1" t="s">
        <v>326</v>
      </c>
      <c r="H1016" s="6" t="str">
        <f>VLOOKUP(A1016,WorldCups!$A$2:$B$23,2,FALSE)</f>
        <v>USA</v>
      </c>
      <c r="I1016" s="1" t="s">
        <v>156</v>
      </c>
      <c r="J1016" s="1">
        <v>1</v>
      </c>
      <c r="K1016" s="1" t="s">
        <v>13</v>
      </c>
      <c r="L1016" s="1">
        <v>1</v>
      </c>
      <c r="M1016" s="1" t="s">
        <v>341</v>
      </c>
    </row>
    <row r="1017" spans="1:13" hidden="1" x14ac:dyDescent="0.25">
      <c r="A1017" s="1">
        <v>1994</v>
      </c>
      <c r="B1017" s="1">
        <f>B1016+1</f>
        <v>509</v>
      </c>
      <c r="C1017" s="2">
        <v>34524</v>
      </c>
      <c r="D1017" s="1" t="s">
        <v>523</v>
      </c>
      <c r="E1017" s="1" t="s">
        <v>61</v>
      </c>
      <c r="F1017" s="1" t="s">
        <v>337</v>
      </c>
      <c r="G1017" s="1" t="s">
        <v>338</v>
      </c>
      <c r="H1017" s="6" t="str">
        <f>VLOOKUP(A1017,WorldCups!$A$2:$B$23,2,FALSE)</f>
        <v>USA</v>
      </c>
      <c r="I1017" s="1" t="s">
        <v>57</v>
      </c>
      <c r="J1017" s="1">
        <v>2</v>
      </c>
      <c r="K1017" s="1" t="s">
        <v>54</v>
      </c>
      <c r="L1017" s="1">
        <v>1</v>
      </c>
      <c r="M1017" s="1" t="s">
        <v>14</v>
      </c>
    </row>
    <row r="1018" spans="1:13" hidden="1" x14ac:dyDescent="0.25">
      <c r="A1018" s="1">
        <v>1994</v>
      </c>
      <c r="B1018" s="1">
        <v>509</v>
      </c>
      <c r="C1018" s="2">
        <v>34524</v>
      </c>
      <c r="D1018" s="1" t="s">
        <v>523</v>
      </c>
      <c r="E1018" s="1" t="s">
        <v>61</v>
      </c>
      <c r="F1018" s="1" t="s">
        <v>337</v>
      </c>
      <c r="G1018" s="1" t="s">
        <v>338</v>
      </c>
      <c r="H1018" s="6" t="str">
        <f>VLOOKUP(A1018,WorldCups!$A$2:$B$23,2,FALSE)</f>
        <v>USA</v>
      </c>
      <c r="I1018" s="1" t="s">
        <v>54</v>
      </c>
      <c r="J1018" s="1">
        <v>1</v>
      </c>
      <c r="K1018" s="1" t="s">
        <v>57</v>
      </c>
      <c r="L1018" s="1">
        <v>2</v>
      </c>
      <c r="M1018" s="1" t="s">
        <v>14</v>
      </c>
    </row>
    <row r="1019" spans="1:13" hidden="1" x14ac:dyDescent="0.25">
      <c r="A1019" s="1">
        <v>1994</v>
      </c>
      <c r="B1019" s="1">
        <f>B1018+1</f>
        <v>510</v>
      </c>
      <c r="C1019" s="2">
        <v>34524</v>
      </c>
      <c r="D1019" s="1" t="s">
        <v>505</v>
      </c>
      <c r="E1019" s="1" t="s">
        <v>61</v>
      </c>
      <c r="F1019" s="1" t="s">
        <v>319</v>
      </c>
      <c r="G1019" s="1" t="s">
        <v>320</v>
      </c>
      <c r="H1019" s="6" t="str">
        <f>VLOOKUP(A1019,WorldCups!$A$2:$B$23,2,FALSE)</f>
        <v>USA</v>
      </c>
      <c r="I1019" s="1" t="s">
        <v>45</v>
      </c>
      <c r="J1019" s="1">
        <v>2</v>
      </c>
      <c r="K1019" s="1" t="s">
        <v>21</v>
      </c>
      <c r="L1019" s="1">
        <v>3</v>
      </c>
      <c r="M1019" s="1" t="s">
        <v>14</v>
      </c>
    </row>
    <row r="1020" spans="1:13" hidden="1" x14ac:dyDescent="0.25">
      <c r="A1020" s="1">
        <v>1994</v>
      </c>
      <c r="B1020" s="1">
        <v>510</v>
      </c>
      <c r="C1020" s="2">
        <v>34524</v>
      </c>
      <c r="D1020" s="1" t="s">
        <v>505</v>
      </c>
      <c r="E1020" s="1" t="s">
        <v>61</v>
      </c>
      <c r="F1020" s="1" t="s">
        <v>319</v>
      </c>
      <c r="G1020" s="1" t="s">
        <v>320</v>
      </c>
      <c r="H1020" s="6" t="str">
        <f>VLOOKUP(A1020,WorldCups!$A$2:$B$23,2,FALSE)</f>
        <v>USA</v>
      </c>
      <c r="I1020" s="1" t="s">
        <v>21</v>
      </c>
      <c r="J1020" s="1">
        <v>3</v>
      </c>
      <c r="K1020" s="1" t="s">
        <v>45</v>
      </c>
      <c r="L1020" s="1">
        <v>2</v>
      </c>
      <c r="M1020" s="1" t="s">
        <v>14</v>
      </c>
    </row>
    <row r="1021" spans="1:13" hidden="1" x14ac:dyDescent="0.25">
      <c r="A1021" s="1">
        <v>1994</v>
      </c>
      <c r="B1021" s="1">
        <f>B1020+1</f>
        <v>511</v>
      </c>
      <c r="C1021" s="2">
        <v>34525</v>
      </c>
      <c r="D1021" s="1" t="s">
        <v>523</v>
      </c>
      <c r="E1021" s="1" t="s">
        <v>61</v>
      </c>
      <c r="F1021" s="1" t="s">
        <v>325</v>
      </c>
      <c r="G1021" s="1" t="s">
        <v>326</v>
      </c>
      <c r="H1021" s="6" t="str">
        <f>VLOOKUP(A1021,WorldCups!$A$2:$B$23,2,FALSE)</f>
        <v>USA</v>
      </c>
      <c r="I1021" s="1" t="s">
        <v>156</v>
      </c>
      <c r="J1021" s="1">
        <v>2</v>
      </c>
      <c r="K1021" s="1" t="s">
        <v>51</v>
      </c>
      <c r="L1021" s="1">
        <v>1</v>
      </c>
      <c r="M1021" s="1" t="s">
        <v>14</v>
      </c>
    </row>
    <row r="1022" spans="1:13" hidden="1" x14ac:dyDescent="0.25">
      <c r="A1022" s="1">
        <v>1994</v>
      </c>
      <c r="B1022" s="1">
        <v>511</v>
      </c>
      <c r="C1022" s="2">
        <v>34525</v>
      </c>
      <c r="D1022" s="1" t="s">
        <v>523</v>
      </c>
      <c r="E1022" s="1" t="s">
        <v>61</v>
      </c>
      <c r="F1022" s="1" t="s">
        <v>325</v>
      </c>
      <c r="G1022" s="1" t="s">
        <v>326</v>
      </c>
      <c r="H1022" s="6" t="str">
        <f>VLOOKUP(A1022,WorldCups!$A$2:$B$23,2,FALSE)</f>
        <v>USA</v>
      </c>
      <c r="I1022" s="1" t="s">
        <v>51</v>
      </c>
      <c r="J1022" s="1">
        <v>1</v>
      </c>
      <c r="K1022" s="1" t="s">
        <v>156</v>
      </c>
      <c r="L1022" s="1">
        <v>2</v>
      </c>
      <c r="M1022" s="1" t="s">
        <v>14</v>
      </c>
    </row>
    <row r="1023" spans="1:13" hidden="1" x14ac:dyDescent="0.25">
      <c r="A1023" s="1">
        <v>1994</v>
      </c>
      <c r="B1023" s="1">
        <f>B1022+1</f>
        <v>512</v>
      </c>
      <c r="C1023" s="2">
        <v>34525</v>
      </c>
      <c r="D1023" s="1" t="s">
        <v>533</v>
      </c>
      <c r="E1023" s="1" t="s">
        <v>61</v>
      </c>
      <c r="F1023" s="1" t="s">
        <v>334</v>
      </c>
      <c r="G1023" s="1" t="s">
        <v>335</v>
      </c>
      <c r="H1023" s="6" t="str">
        <f>VLOOKUP(A1023,WorldCups!$A$2:$B$23,2,FALSE)</f>
        <v>USA</v>
      </c>
      <c r="I1023" s="1" t="s">
        <v>23</v>
      </c>
      <c r="J1023" s="1">
        <v>2</v>
      </c>
      <c r="K1023" s="1" t="s">
        <v>48</v>
      </c>
      <c r="L1023" s="1">
        <v>2</v>
      </c>
      <c r="M1023" s="1" t="s">
        <v>342</v>
      </c>
    </row>
    <row r="1024" spans="1:13" hidden="1" x14ac:dyDescent="0.25">
      <c r="A1024" s="1">
        <v>1994</v>
      </c>
      <c r="B1024" s="1">
        <v>512</v>
      </c>
      <c r="C1024" s="2">
        <v>34525</v>
      </c>
      <c r="D1024" s="1" t="s">
        <v>533</v>
      </c>
      <c r="E1024" s="1" t="s">
        <v>61</v>
      </c>
      <c r="F1024" s="1" t="s">
        <v>334</v>
      </c>
      <c r="G1024" s="1" t="s">
        <v>335</v>
      </c>
      <c r="H1024" s="6" t="str">
        <f>VLOOKUP(A1024,WorldCups!$A$2:$B$23,2,FALSE)</f>
        <v>USA</v>
      </c>
      <c r="I1024" s="1" t="s">
        <v>48</v>
      </c>
      <c r="J1024" s="1">
        <v>2</v>
      </c>
      <c r="K1024" s="1" t="s">
        <v>23</v>
      </c>
      <c r="L1024" s="1">
        <v>2</v>
      </c>
      <c r="M1024" s="1" t="s">
        <v>342</v>
      </c>
    </row>
    <row r="1025" spans="1:13" hidden="1" x14ac:dyDescent="0.25">
      <c r="A1025" s="1">
        <v>1994</v>
      </c>
      <c r="B1025" s="1">
        <f>B1024+1</f>
        <v>513</v>
      </c>
      <c r="C1025" s="2">
        <v>34528</v>
      </c>
      <c r="D1025" s="1" t="s">
        <v>503</v>
      </c>
      <c r="E1025" s="1" t="s">
        <v>31</v>
      </c>
      <c r="F1025" s="1" t="s">
        <v>325</v>
      </c>
      <c r="G1025" s="1" t="s">
        <v>326</v>
      </c>
      <c r="H1025" s="6" t="str">
        <f>VLOOKUP(A1025,WorldCups!$A$2:$B$23,2,FALSE)</f>
        <v>USA</v>
      </c>
      <c r="I1025" s="1" t="s">
        <v>156</v>
      </c>
      <c r="J1025" s="1">
        <v>1</v>
      </c>
      <c r="K1025" s="1" t="s">
        <v>57</v>
      </c>
      <c r="L1025" s="1">
        <v>2</v>
      </c>
      <c r="M1025" s="1" t="s">
        <v>14</v>
      </c>
    </row>
    <row r="1026" spans="1:13" hidden="1" x14ac:dyDescent="0.25">
      <c r="A1026" s="1">
        <v>1994</v>
      </c>
      <c r="B1026" s="1">
        <v>513</v>
      </c>
      <c r="C1026" s="2">
        <v>34528</v>
      </c>
      <c r="D1026" s="1" t="s">
        <v>503</v>
      </c>
      <c r="E1026" s="1" t="s">
        <v>31</v>
      </c>
      <c r="F1026" s="1" t="s">
        <v>325</v>
      </c>
      <c r="G1026" s="1" t="s">
        <v>326</v>
      </c>
      <c r="H1026" s="6" t="str">
        <f>VLOOKUP(A1026,WorldCups!$A$2:$B$23,2,FALSE)</f>
        <v>USA</v>
      </c>
      <c r="I1026" s="1" t="s">
        <v>57</v>
      </c>
      <c r="J1026" s="1">
        <v>2</v>
      </c>
      <c r="K1026" s="1" t="s">
        <v>156</v>
      </c>
      <c r="L1026" s="1">
        <v>1</v>
      </c>
      <c r="M1026" s="1" t="s">
        <v>14</v>
      </c>
    </row>
    <row r="1027" spans="1:13" hidden="1" x14ac:dyDescent="0.25">
      <c r="A1027" s="1">
        <v>1994</v>
      </c>
      <c r="B1027" s="1">
        <f>B1026+1</f>
        <v>514</v>
      </c>
      <c r="C1027" s="2">
        <v>34528</v>
      </c>
      <c r="D1027" s="1" t="s">
        <v>509</v>
      </c>
      <c r="E1027" s="1" t="s">
        <v>31</v>
      </c>
      <c r="F1027" s="1" t="s">
        <v>327</v>
      </c>
      <c r="G1027" s="1" t="s">
        <v>328</v>
      </c>
      <c r="H1027" s="6" t="str">
        <f>VLOOKUP(A1027,WorldCups!$A$2:$B$23,2,FALSE)</f>
        <v>USA</v>
      </c>
      <c r="I1027" s="1" t="s">
        <v>48</v>
      </c>
      <c r="J1027" s="1">
        <v>0</v>
      </c>
      <c r="K1027" s="1" t="s">
        <v>21</v>
      </c>
      <c r="L1027" s="1">
        <v>1</v>
      </c>
      <c r="M1027" s="1" t="s">
        <v>14</v>
      </c>
    </row>
    <row r="1028" spans="1:13" hidden="1" x14ac:dyDescent="0.25">
      <c r="A1028" s="1">
        <v>1994</v>
      </c>
      <c r="B1028" s="1">
        <v>514</v>
      </c>
      <c r="C1028" s="2">
        <v>34528</v>
      </c>
      <c r="D1028" s="1" t="s">
        <v>509</v>
      </c>
      <c r="E1028" s="1" t="s">
        <v>31</v>
      </c>
      <c r="F1028" s="1" t="s">
        <v>327</v>
      </c>
      <c r="G1028" s="1" t="s">
        <v>328</v>
      </c>
      <c r="H1028" s="6" t="str">
        <f>VLOOKUP(A1028,WorldCups!$A$2:$B$23,2,FALSE)</f>
        <v>USA</v>
      </c>
      <c r="I1028" s="1" t="s">
        <v>21</v>
      </c>
      <c r="J1028" s="1">
        <v>1</v>
      </c>
      <c r="K1028" s="1" t="s">
        <v>48</v>
      </c>
      <c r="L1028" s="1">
        <v>0</v>
      </c>
      <c r="M1028" s="1" t="s">
        <v>14</v>
      </c>
    </row>
    <row r="1029" spans="1:13" hidden="1" x14ac:dyDescent="0.25">
      <c r="A1029" s="1">
        <v>1994</v>
      </c>
      <c r="B1029" s="1">
        <f>B1028+1</f>
        <v>515</v>
      </c>
      <c r="C1029" s="2">
        <v>34531</v>
      </c>
      <c r="D1029" s="1" t="s">
        <v>533</v>
      </c>
      <c r="E1029" s="1" t="s">
        <v>62</v>
      </c>
      <c r="F1029" s="1" t="s">
        <v>327</v>
      </c>
      <c r="G1029" s="1" t="s">
        <v>328</v>
      </c>
      <c r="H1029" s="6" t="str">
        <f>VLOOKUP(A1029,WorldCups!$A$2:$B$23,2,FALSE)</f>
        <v>USA</v>
      </c>
      <c r="I1029" s="1" t="s">
        <v>48</v>
      </c>
      <c r="J1029" s="1">
        <v>4</v>
      </c>
      <c r="K1029" s="1" t="s">
        <v>156</v>
      </c>
      <c r="L1029" s="1">
        <v>0</v>
      </c>
      <c r="M1029" s="1" t="s">
        <v>14</v>
      </c>
    </row>
    <row r="1030" spans="1:13" hidden="1" x14ac:dyDescent="0.25">
      <c r="A1030" s="1">
        <v>1994</v>
      </c>
      <c r="B1030" s="1">
        <v>515</v>
      </c>
      <c r="C1030" s="2">
        <v>34531</v>
      </c>
      <c r="D1030" s="1" t="s">
        <v>533</v>
      </c>
      <c r="E1030" s="1" t="s">
        <v>62</v>
      </c>
      <c r="F1030" s="1" t="s">
        <v>327</v>
      </c>
      <c r="G1030" s="1" t="s">
        <v>328</v>
      </c>
      <c r="H1030" s="6" t="str">
        <f>VLOOKUP(A1030,WorldCups!$A$2:$B$23,2,FALSE)</f>
        <v>USA</v>
      </c>
      <c r="I1030" s="1" t="s">
        <v>156</v>
      </c>
      <c r="J1030" s="1">
        <v>0</v>
      </c>
      <c r="K1030" s="1" t="s">
        <v>48</v>
      </c>
      <c r="L1030" s="1">
        <v>4</v>
      </c>
      <c r="M1030" s="1" t="s">
        <v>14</v>
      </c>
    </row>
    <row r="1031" spans="1:13" hidden="1" x14ac:dyDescent="0.25">
      <c r="A1031" s="1">
        <v>1994</v>
      </c>
      <c r="B1031" s="1">
        <f>B1030+1</f>
        <v>516</v>
      </c>
      <c r="C1031" s="2">
        <v>34532</v>
      </c>
      <c r="D1031" s="1" t="s">
        <v>533</v>
      </c>
      <c r="E1031" s="1" t="s">
        <v>32</v>
      </c>
      <c r="F1031" s="1" t="s">
        <v>327</v>
      </c>
      <c r="G1031" s="1" t="s">
        <v>328</v>
      </c>
      <c r="H1031" s="6" t="str">
        <f>VLOOKUP(A1031,WorldCups!$A$2:$B$23,2,FALSE)</f>
        <v>USA</v>
      </c>
      <c r="I1031" s="1" t="s">
        <v>21</v>
      </c>
      <c r="J1031" s="1">
        <v>0</v>
      </c>
      <c r="K1031" s="1" t="s">
        <v>57</v>
      </c>
      <c r="L1031" s="1">
        <v>0</v>
      </c>
      <c r="M1031" s="1" t="s">
        <v>343</v>
      </c>
    </row>
    <row r="1032" spans="1:13" hidden="1" x14ac:dyDescent="0.25">
      <c r="A1032" s="1">
        <v>1994</v>
      </c>
      <c r="B1032" s="1">
        <v>516</v>
      </c>
      <c r="C1032" s="2">
        <v>34532</v>
      </c>
      <c r="D1032" s="1" t="s">
        <v>533</v>
      </c>
      <c r="E1032" s="1" t="s">
        <v>32</v>
      </c>
      <c r="F1032" s="1" t="s">
        <v>327</v>
      </c>
      <c r="G1032" s="1" t="s">
        <v>328</v>
      </c>
      <c r="H1032" s="6" t="str">
        <f>VLOOKUP(A1032,WorldCups!$A$2:$B$23,2,FALSE)</f>
        <v>USA</v>
      </c>
      <c r="I1032" s="1" t="s">
        <v>57</v>
      </c>
      <c r="J1032" s="1">
        <v>0</v>
      </c>
      <c r="K1032" s="1" t="s">
        <v>21</v>
      </c>
      <c r="L1032" s="1">
        <v>0</v>
      </c>
      <c r="M1032" s="1" t="s">
        <v>343</v>
      </c>
    </row>
    <row r="1033" spans="1:13" hidden="1" x14ac:dyDescent="0.25">
      <c r="A1033" s="1">
        <v>1998</v>
      </c>
      <c r="B1033" s="1">
        <f>B1032+1</f>
        <v>517</v>
      </c>
      <c r="C1033" s="2">
        <v>35956</v>
      </c>
      <c r="D1033" s="1" t="s">
        <v>511</v>
      </c>
      <c r="E1033" s="1" t="s">
        <v>214</v>
      </c>
      <c r="F1033" s="1" t="s">
        <v>344</v>
      </c>
      <c r="G1033" s="1" t="s">
        <v>345</v>
      </c>
      <c r="H1033" s="6" t="str">
        <f>VLOOKUP(A1033,WorldCups!$A$2:$B$23,2,FALSE)</f>
        <v>France</v>
      </c>
      <c r="I1033" s="1" t="s">
        <v>21</v>
      </c>
      <c r="J1033" s="1">
        <v>2</v>
      </c>
      <c r="K1033" s="1" t="s">
        <v>109</v>
      </c>
      <c r="L1033" s="1">
        <v>1</v>
      </c>
      <c r="M1033" s="1" t="s">
        <v>14</v>
      </c>
    </row>
    <row r="1034" spans="1:13" hidden="1" x14ac:dyDescent="0.25">
      <c r="A1034" s="1">
        <v>1998</v>
      </c>
      <c r="B1034" s="1">
        <v>517</v>
      </c>
      <c r="C1034" s="2">
        <v>35956</v>
      </c>
      <c r="D1034" s="1" t="s">
        <v>511</v>
      </c>
      <c r="E1034" s="1" t="s">
        <v>214</v>
      </c>
      <c r="F1034" s="1" t="s">
        <v>344</v>
      </c>
      <c r="G1034" s="1" t="s">
        <v>345</v>
      </c>
      <c r="H1034" s="6" t="str">
        <f>VLOOKUP(A1034,WorldCups!$A$2:$B$23,2,FALSE)</f>
        <v>France</v>
      </c>
      <c r="I1034" s="1" t="s">
        <v>109</v>
      </c>
      <c r="J1034" s="1">
        <v>1</v>
      </c>
      <c r="K1034" s="1" t="s">
        <v>21</v>
      </c>
      <c r="L1034" s="1">
        <v>2</v>
      </c>
      <c r="M1034" s="1" t="s">
        <v>14</v>
      </c>
    </row>
    <row r="1035" spans="1:13" hidden="1" x14ac:dyDescent="0.25">
      <c r="A1035" s="1">
        <v>1998</v>
      </c>
      <c r="B1035" s="1">
        <f>B1034+1</f>
        <v>518</v>
      </c>
      <c r="C1035" s="2">
        <v>35956</v>
      </c>
      <c r="D1035" s="1" t="s">
        <v>530</v>
      </c>
      <c r="E1035" s="1" t="s">
        <v>214</v>
      </c>
      <c r="F1035" s="1" t="s">
        <v>346</v>
      </c>
      <c r="G1035" s="1" t="s">
        <v>347</v>
      </c>
      <c r="H1035" s="6" t="str">
        <f>VLOOKUP(A1035,WorldCups!$A$2:$B$23,2,FALSE)</f>
        <v>France</v>
      </c>
      <c r="I1035" s="1" t="s">
        <v>188</v>
      </c>
      <c r="J1035" s="1">
        <v>2</v>
      </c>
      <c r="K1035" s="1" t="s">
        <v>77</v>
      </c>
      <c r="L1035" s="1">
        <v>2</v>
      </c>
      <c r="M1035" s="1" t="s">
        <v>14</v>
      </c>
    </row>
    <row r="1036" spans="1:13" hidden="1" x14ac:dyDescent="0.25">
      <c r="A1036" s="1">
        <v>1998</v>
      </c>
      <c r="B1036" s="1">
        <v>518</v>
      </c>
      <c r="C1036" s="2">
        <v>35956</v>
      </c>
      <c r="D1036" s="1" t="s">
        <v>530</v>
      </c>
      <c r="E1036" s="1" t="s">
        <v>214</v>
      </c>
      <c r="F1036" s="1" t="s">
        <v>346</v>
      </c>
      <c r="G1036" s="1" t="s">
        <v>347</v>
      </c>
      <c r="H1036" s="6" t="str">
        <f>VLOOKUP(A1036,WorldCups!$A$2:$B$23,2,FALSE)</f>
        <v>France</v>
      </c>
      <c r="I1036" s="1" t="s">
        <v>77</v>
      </c>
      <c r="J1036" s="1">
        <v>2</v>
      </c>
      <c r="K1036" s="1" t="s">
        <v>188</v>
      </c>
      <c r="L1036" s="1">
        <v>2</v>
      </c>
      <c r="M1036" s="1" t="s">
        <v>14</v>
      </c>
    </row>
    <row r="1037" spans="1:13" hidden="1" x14ac:dyDescent="0.25">
      <c r="A1037" s="1">
        <v>1998</v>
      </c>
      <c r="B1037" s="1">
        <f>B1036+1</f>
        <v>519</v>
      </c>
      <c r="C1037" s="2">
        <v>35957</v>
      </c>
      <c r="D1037" s="1" t="s">
        <v>511</v>
      </c>
      <c r="E1037" s="1" t="s">
        <v>213</v>
      </c>
      <c r="F1037" s="1" t="s">
        <v>85</v>
      </c>
      <c r="G1037" s="1" t="s">
        <v>86</v>
      </c>
      <c r="H1037" s="6" t="str">
        <f>VLOOKUP(A1037,WorldCups!$A$2:$B$23,2,FALSE)</f>
        <v>France</v>
      </c>
      <c r="I1037" s="1" t="s">
        <v>57</v>
      </c>
      <c r="J1037" s="1">
        <v>2</v>
      </c>
      <c r="K1037" s="1" t="s">
        <v>26</v>
      </c>
      <c r="L1037" s="1">
        <v>2</v>
      </c>
      <c r="M1037" s="1" t="s">
        <v>14</v>
      </c>
    </row>
    <row r="1038" spans="1:13" hidden="1" x14ac:dyDescent="0.25">
      <c r="A1038" s="1">
        <v>1998</v>
      </c>
      <c r="B1038" s="1">
        <v>519</v>
      </c>
      <c r="C1038" s="2">
        <v>35957</v>
      </c>
      <c r="D1038" s="1" t="s">
        <v>511</v>
      </c>
      <c r="E1038" s="1" t="s">
        <v>213</v>
      </c>
      <c r="F1038" s="1" t="s">
        <v>85</v>
      </c>
      <c r="G1038" s="1" t="s">
        <v>86</v>
      </c>
      <c r="H1038" s="6" t="str">
        <f>VLOOKUP(A1038,WorldCups!$A$2:$B$23,2,FALSE)</f>
        <v>France</v>
      </c>
      <c r="I1038" s="1" t="s">
        <v>26</v>
      </c>
      <c r="J1038" s="1">
        <v>2</v>
      </c>
      <c r="K1038" s="1" t="s">
        <v>57</v>
      </c>
      <c r="L1038" s="1">
        <v>2</v>
      </c>
      <c r="M1038" s="1" t="s">
        <v>14</v>
      </c>
    </row>
    <row r="1039" spans="1:13" hidden="1" x14ac:dyDescent="0.25">
      <c r="A1039" s="1">
        <v>1998</v>
      </c>
      <c r="B1039" s="1">
        <f>B1038+1</f>
        <v>520</v>
      </c>
      <c r="C1039" s="2">
        <v>35957</v>
      </c>
      <c r="D1039" s="1" t="s">
        <v>530</v>
      </c>
      <c r="E1039" s="1" t="s">
        <v>213</v>
      </c>
      <c r="F1039" s="1" t="s">
        <v>72</v>
      </c>
      <c r="G1039" s="1" t="s">
        <v>73</v>
      </c>
      <c r="H1039" s="6" t="str">
        <f>VLOOKUP(A1039,WorldCups!$A$2:$B$23,2,FALSE)</f>
        <v>France</v>
      </c>
      <c r="I1039" s="1" t="s">
        <v>238</v>
      </c>
      <c r="J1039" s="1">
        <v>1</v>
      </c>
      <c r="K1039" s="1" t="s">
        <v>36</v>
      </c>
      <c r="L1039" s="1">
        <v>1</v>
      </c>
      <c r="M1039" s="1" t="s">
        <v>14</v>
      </c>
    </row>
    <row r="1040" spans="1:13" hidden="1" x14ac:dyDescent="0.25">
      <c r="A1040" s="1">
        <v>1998</v>
      </c>
      <c r="B1040" s="1">
        <v>520</v>
      </c>
      <c r="C1040" s="2">
        <v>35957</v>
      </c>
      <c r="D1040" s="1" t="s">
        <v>530</v>
      </c>
      <c r="E1040" s="1" t="s">
        <v>213</v>
      </c>
      <c r="F1040" s="1" t="s">
        <v>72</v>
      </c>
      <c r="G1040" s="1" t="s">
        <v>73</v>
      </c>
      <c r="H1040" s="6" t="str">
        <f>VLOOKUP(A1040,WorldCups!$A$2:$B$23,2,FALSE)</f>
        <v>France</v>
      </c>
      <c r="I1040" s="1" t="s">
        <v>36</v>
      </c>
      <c r="J1040" s="1">
        <v>1</v>
      </c>
      <c r="K1040" s="1" t="s">
        <v>238</v>
      </c>
      <c r="L1040" s="1">
        <v>1</v>
      </c>
      <c r="M1040" s="1" t="s">
        <v>14</v>
      </c>
    </row>
    <row r="1041" spans="1:13" hidden="1" x14ac:dyDescent="0.25">
      <c r="A1041" s="1">
        <v>1998</v>
      </c>
      <c r="B1041" s="1">
        <f>B1040+1</f>
        <v>521</v>
      </c>
      <c r="C1041" s="2">
        <v>35958</v>
      </c>
      <c r="D1041" s="1" t="s">
        <v>505</v>
      </c>
      <c r="E1041" s="1" t="s">
        <v>270</v>
      </c>
      <c r="F1041" s="1" t="s">
        <v>346</v>
      </c>
      <c r="G1041" s="1" t="s">
        <v>347</v>
      </c>
      <c r="H1041" s="6" t="str">
        <f>VLOOKUP(A1041,WorldCups!$A$2:$B$23,2,FALSE)</f>
        <v>France</v>
      </c>
      <c r="I1041" s="1" t="s">
        <v>28</v>
      </c>
      <c r="J1041" s="1">
        <v>0</v>
      </c>
      <c r="K1041" s="1" t="s">
        <v>156</v>
      </c>
      <c r="L1041" s="1">
        <v>0</v>
      </c>
      <c r="M1041" s="1" t="s">
        <v>14</v>
      </c>
    </row>
    <row r="1042" spans="1:13" hidden="1" x14ac:dyDescent="0.25">
      <c r="A1042" s="1">
        <v>1998</v>
      </c>
      <c r="B1042" s="1">
        <v>521</v>
      </c>
      <c r="C1042" s="2">
        <v>35958</v>
      </c>
      <c r="D1042" s="1" t="s">
        <v>505</v>
      </c>
      <c r="E1042" s="1" t="s">
        <v>270</v>
      </c>
      <c r="F1042" s="1" t="s">
        <v>346</v>
      </c>
      <c r="G1042" s="1" t="s">
        <v>347</v>
      </c>
      <c r="H1042" s="6" t="str">
        <f>VLOOKUP(A1042,WorldCups!$A$2:$B$23,2,FALSE)</f>
        <v>France</v>
      </c>
      <c r="I1042" s="1" t="s">
        <v>156</v>
      </c>
      <c r="J1042" s="1">
        <v>0</v>
      </c>
      <c r="K1042" s="1" t="s">
        <v>28</v>
      </c>
      <c r="L1042" s="1">
        <v>0</v>
      </c>
      <c r="M1042" s="1" t="s">
        <v>14</v>
      </c>
    </row>
    <row r="1043" spans="1:13" hidden="1" x14ac:dyDescent="0.25">
      <c r="A1043" s="1">
        <v>1998</v>
      </c>
      <c r="B1043" s="1">
        <f>B1042+1</f>
        <v>522</v>
      </c>
      <c r="C1043" s="2">
        <v>35958</v>
      </c>
      <c r="D1043" s="1" t="s">
        <v>511</v>
      </c>
      <c r="E1043" s="1" t="s">
        <v>268</v>
      </c>
      <c r="F1043" s="1" t="s">
        <v>348</v>
      </c>
      <c r="G1043" s="1" t="s">
        <v>349</v>
      </c>
      <c r="H1043" s="6" t="str">
        <f>VLOOKUP(A1043,WorldCups!$A$2:$B$23,2,FALSE)</f>
        <v>France</v>
      </c>
      <c r="I1043" s="1" t="s">
        <v>333</v>
      </c>
      <c r="J1043" s="1">
        <v>0</v>
      </c>
      <c r="K1043" s="1" t="s">
        <v>284</v>
      </c>
      <c r="L1043" s="1">
        <v>1</v>
      </c>
      <c r="M1043" s="1" t="s">
        <v>14</v>
      </c>
    </row>
    <row r="1044" spans="1:13" hidden="1" x14ac:dyDescent="0.25">
      <c r="A1044" s="1">
        <v>1998</v>
      </c>
      <c r="B1044" s="1">
        <v>522</v>
      </c>
      <c r="C1044" s="2">
        <v>35958</v>
      </c>
      <c r="D1044" s="1" t="s">
        <v>511</v>
      </c>
      <c r="E1044" s="1" t="s">
        <v>268</v>
      </c>
      <c r="F1044" s="1" t="s">
        <v>348</v>
      </c>
      <c r="G1044" s="1" t="s">
        <v>349</v>
      </c>
      <c r="H1044" s="6" t="str">
        <f>VLOOKUP(A1044,WorldCups!$A$2:$B$23,2,FALSE)</f>
        <v>France</v>
      </c>
      <c r="I1044" s="1" t="s">
        <v>284</v>
      </c>
      <c r="J1044" s="1">
        <v>1</v>
      </c>
      <c r="K1044" s="1" t="s">
        <v>333</v>
      </c>
      <c r="L1044" s="1">
        <v>0</v>
      </c>
      <c r="M1044" s="1" t="s">
        <v>14</v>
      </c>
    </row>
    <row r="1045" spans="1:13" hidden="1" x14ac:dyDescent="0.25">
      <c r="A1045" s="1">
        <v>1998</v>
      </c>
      <c r="B1045" s="1">
        <f>B1044+1</f>
        <v>523</v>
      </c>
      <c r="C1045" s="2">
        <v>35958</v>
      </c>
      <c r="D1045" s="1" t="s">
        <v>530</v>
      </c>
      <c r="E1045" s="1" t="s">
        <v>268</v>
      </c>
      <c r="F1045" s="1" t="s">
        <v>75</v>
      </c>
      <c r="G1045" s="1" t="s">
        <v>76</v>
      </c>
      <c r="H1045" s="6" t="str">
        <f>VLOOKUP(A1045,WorldCups!$A$2:$B$23,2,FALSE)</f>
        <v>France</v>
      </c>
      <c r="I1045" s="1" t="s">
        <v>12</v>
      </c>
      <c r="J1045" s="1">
        <v>3</v>
      </c>
      <c r="K1045" s="1" t="s">
        <v>350</v>
      </c>
      <c r="L1045" s="1">
        <v>0</v>
      </c>
      <c r="M1045" s="1" t="s">
        <v>14</v>
      </c>
    </row>
    <row r="1046" spans="1:13" hidden="1" x14ac:dyDescent="0.25">
      <c r="A1046" s="1">
        <v>1998</v>
      </c>
      <c r="B1046" s="1">
        <v>523</v>
      </c>
      <c r="C1046" s="2">
        <v>35958</v>
      </c>
      <c r="D1046" s="1" t="s">
        <v>530</v>
      </c>
      <c r="E1046" s="1" t="s">
        <v>268</v>
      </c>
      <c r="F1046" s="1" t="s">
        <v>75</v>
      </c>
      <c r="G1046" s="1" t="s">
        <v>76</v>
      </c>
      <c r="H1046" s="6" t="str">
        <f>VLOOKUP(A1046,WorldCups!$A$2:$B$23,2,FALSE)</f>
        <v>France</v>
      </c>
      <c r="I1046" s="1" t="s">
        <v>350</v>
      </c>
      <c r="J1046" s="1">
        <v>0</v>
      </c>
      <c r="K1046" s="1" t="s">
        <v>12</v>
      </c>
      <c r="L1046" s="1">
        <v>3</v>
      </c>
      <c r="M1046" s="1" t="s">
        <v>14</v>
      </c>
    </row>
    <row r="1047" spans="1:13" hidden="1" x14ac:dyDescent="0.25">
      <c r="A1047" s="1">
        <v>1998</v>
      </c>
      <c r="B1047" s="1">
        <f>B1046+1</f>
        <v>524</v>
      </c>
      <c r="C1047" s="2">
        <v>35959</v>
      </c>
      <c r="D1047" s="1" t="s">
        <v>505</v>
      </c>
      <c r="E1047" s="1" t="s">
        <v>270</v>
      </c>
      <c r="F1047" s="1" t="s">
        <v>351</v>
      </c>
      <c r="G1047" s="1" t="s">
        <v>352</v>
      </c>
      <c r="H1047" s="6" t="str">
        <f>VLOOKUP(A1047,WorldCups!$A$2:$B$23,2,FALSE)</f>
        <v>France</v>
      </c>
      <c r="I1047" s="1" t="s">
        <v>54</v>
      </c>
      <c r="J1047" s="1">
        <v>2</v>
      </c>
      <c r="K1047" s="1" t="s">
        <v>340</v>
      </c>
      <c r="L1047" s="1">
        <v>3</v>
      </c>
      <c r="M1047" s="1" t="s">
        <v>14</v>
      </c>
    </row>
    <row r="1048" spans="1:13" hidden="1" x14ac:dyDescent="0.25">
      <c r="A1048" s="1">
        <v>1998</v>
      </c>
      <c r="B1048" s="1">
        <v>524</v>
      </c>
      <c r="C1048" s="2">
        <v>35959</v>
      </c>
      <c r="D1048" s="1" t="s">
        <v>505</v>
      </c>
      <c r="E1048" s="1" t="s">
        <v>270</v>
      </c>
      <c r="F1048" s="1" t="s">
        <v>351</v>
      </c>
      <c r="G1048" s="1" t="s">
        <v>352</v>
      </c>
      <c r="H1048" s="6" t="str">
        <f>VLOOKUP(A1048,WorldCups!$A$2:$B$23,2,FALSE)</f>
        <v>France</v>
      </c>
      <c r="I1048" s="1" t="s">
        <v>340</v>
      </c>
      <c r="J1048" s="1">
        <v>3</v>
      </c>
      <c r="K1048" s="1" t="s">
        <v>54</v>
      </c>
      <c r="L1048" s="1">
        <v>2</v>
      </c>
      <c r="M1048" s="1" t="s">
        <v>14</v>
      </c>
    </row>
    <row r="1049" spans="1:13" hidden="1" x14ac:dyDescent="0.25">
      <c r="A1049" s="1">
        <v>1998</v>
      </c>
      <c r="B1049" s="1">
        <f>B1048+1</f>
        <v>525</v>
      </c>
      <c r="C1049" s="2">
        <v>35959</v>
      </c>
      <c r="D1049" s="1" t="s">
        <v>511</v>
      </c>
      <c r="E1049" s="1" t="s">
        <v>281</v>
      </c>
      <c r="F1049" s="1" t="s">
        <v>353</v>
      </c>
      <c r="G1049" s="1" t="s">
        <v>354</v>
      </c>
      <c r="H1049" s="6" t="str">
        <f>VLOOKUP(A1049,WorldCups!$A$2:$B$23,2,FALSE)</f>
        <v>France</v>
      </c>
      <c r="I1049" s="1" t="s">
        <v>116</v>
      </c>
      <c r="J1049" s="1">
        <v>1</v>
      </c>
      <c r="K1049" s="1" t="s">
        <v>13</v>
      </c>
      <c r="L1049" s="1">
        <v>3</v>
      </c>
      <c r="M1049" s="1" t="s">
        <v>14</v>
      </c>
    </row>
    <row r="1050" spans="1:13" hidden="1" x14ac:dyDescent="0.25">
      <c r="A1050" s="1">
        <v>1998</v>
      </c>
      <c r="B1050" s="1">
        <v>525</v>
      </c>
      <c r="C1050" s="2">
        <v>35959</v>
      </c>
      <c r="D1050" s="1" t="s">
        <v>511</v>
      </c>
      <c r="E1050" s="1" t="s">
        <v>281</v>
      </c>
      <c r="F1050" s="1" t="s">
        <v>353</v>
      </c>
      <c r="G1050" s="1" t="s">
        <v>354</v>
      </c>
      <c r="H1050" s="6" t="str">
        <f>VLOOKUP(A1050,WorldCups!$A$2:$B$23,2,FALSE)</f>
        <v>France</v>
      </c>
      <c r="I1050" s="1" t="s">
        <v>13</v>
      </c>
      <c r="J1050" s="1">
        <v>3</v>
      </c>
      <c r="K1050" s="1" t="s">
        <v>116</v>
      </c>
      <c r="L1050" s="1">
        <v>1</v>
      </c>
      <c r="M1050" s="1" t="s">
        <v>14</v>
      </c>
    </row>
    <row r="1051" spans="1:13" hidden="1" x14ac:dyDescent="0.25">
      <c r="A1051" s="1">
        <v>1998</v>
      </c>
      <c r="B1051" s="1">
        <f>B1050+1</f>
        <v>526</v>
      </c>
      <c r="C1051" s="2">
        <v>35959</v>
      </c>
      <c r="D1051" s="1" t="s">
        <v>530</v>
      </c>
      <c r="E1051" s="1" t="s">
        <v>281</v>
      </c>
      <c r="F1051" s="1" t="s">
        <v>344</v>
      </c>
      <c r="G1051" s="1" t="s">
        <v>345</v>
      </c>
      <c r="H1051" s="6" t="str">
        <f>VLOOKUP(A1051,WorldCups!$A$2:$B$23,2,FALSE)</f>
        <v>France</v>
      </c>
      <c r="I1051" s="1" t="s">
        <v>45</v>
      </c>
      <c r="J1051" s="1">
        <v>0</v>
      </c>
      <c r="K1051" s="1" t="s">
        <v>18</v>
      </c>
      <c r="L1051" s="1">
        <v>0</v>
      </c>
      <c r="M1051" s="1" t="s">
        <v>14</v>
      </c>
    </row>
    <row r="1052" spans="1:13" hidden="1" x14ac:dyDescent="0.25">
      <c r="A1052" s="1">
        <v>1998</v>
      </c>
      <c r="B1052" s="1">
        <v>526</v>
      </c>
      <c r="C1052" s="2">
        <v>35959</v>
      </c>
      <c r="D1052" s="1" t="s">
        <v>530</v>
      </c>
      <c r="E1052" s="1" t="s">
        <v>281</v>
      </c>
      <c r="F1052" s="1" t="s">
        <v>344</v>
      </c>
      <c r="G1052" s="1" t="s">
        <v>345</v>
      </c>
      <c r="H1052" s="6" t="str">
        <f>VLOOKUP(A1052,WorldCups!$A$2:$B$23,2,FALSE)</f>
        <v>France</v>
      </c>
      <c r="I1052" s="1" t="s">
        <v>18</v>
      </c>
      <c r="J1052" s="1">
        <v>0</v>
      </c>
      <c r="K1052" s="1" t="s">
        <v>45</v>
      </c>
      <c r="L1052" s="1">
        <v>0</v>
      </c>
      <c r="M1052" s="1" t="s">
        <v>14</v>
      </c>
    </row>
    <row r="1053" spans="1:13" hidden="1" x14ac:dyDescent="0.25">
      <c r="A1053" s="1">
        <v>1998</v>
      </c>
      <c r="B1053" s="1">
        <f>B1052+1</f>
        <v>527</v>
      </c>
      <c r="C1053" s="2">
        <v>35960</v>
      </c>
      <c r="D1053" s="1" t="s">
        <v>505</v>
      </c>
      <c r="E1053" s="1" t="s">
        <v>355</v>
      </c>
      <c r="F1053" s="1" t="s">
        <v>72</v>
      </c>
      <c r="G1053" s="1" t="s">
        <v>73</v>
      </c>
      <c r="H1053" s="6" t="str">
        <f>VLOOKUP(A1053,WorldCups!$A$2:$B$23,2,FALSE)</f>
        <v>France</v>
      </c>
      <c r="I1053" s="1" t="s">
        <v>25</v>
      </c>
      <c r="J1053" s="1">
        <v>1</v>
      </c>
      <c r="K1053" s="1" t="s">
        <v>356</v>
      </c>
      <c r="L1053" s="1">
        <v>0</v>
      </c>
      <c r="M1053" s="1" t="s">
        <v>14</v>
      </c>
    </row>
    <row r="1054" spans="1:13" hidden="1" x14ac:dyDescent="0.25">
      <c r="A1054" s="1">
        <v>1998</v>
      </c>
      <c r="B1054" s="1">
        <v>527</v>
      </c>
      <c r="C1054" s="2">
        <v>35960</v>
      </c>
      <c r="D1054" s="1" t="s">
        <v>505</v>
      </c>
      <c r="E1054" s="1" t="s">
        <v>355</v>
      </c>
      <c r="F1054" s="1" t="s">
        <v>72</v>
      </c>
      <c r="G1054" s="1" t="s">
        <v>73</v>
      </c>
      <c r="H1054" s="6" t="str">
        <f>VLOOKUP(A1054,WorldCups!$A$2:$B$23,2,FALSE)</f>
        <v>France</v>
      </c>
      <c r="I1054" s="1" t="s">
        <v>356</v>
      </c>
      <c r="J1054" s="1">
        <v>0</v>
      </c>
      <c r="K1054" s="1" t="s">
        <v>25</v>
      </c>
      <c r="L1054" s="1">
        <v>1</v>
      </c>
      <c r="M1054" s="1" t="s">
        <v>14</v>
      </c>
    </row>
    <row r="1055" spans="1:13" hidden="1" x14ac:dyDescent="0.25">
      <c r="A1055" s="1">
        <v>1998</v>
      </c>
      <c r="B1055" s="1">
        <f>B1054+1</f>
        <v>528</v>
      </c>
      <c r="C1055" s="2">
        <v>35960</v>
      </c>
      <c r="D1055" s="1" t="s">
        <v>511</v>
      </c>
      <c r="E1055" s="1" t="s">
        <v>274</v>
      </c>
      <c r="F1055" s="1" t="s">
        <v>357</v>
      </c>
      <c r="G1055" s="1" t="s">
        <v>358</v>
      </c>
      <c r="H1055" s="6" t="str">
        <f>VLOOKUP(A1055,WorldCups!$A$2:$B$23,2,FALSE)</f>
        <v>France</v>
      </c>
      <c r="I1055" s="1" t="s">
        <v>20</v>
      </c>
      <c r="J1055" s="1">
        <v>1</v>
      </c>
      <c r="K1055" s="1" t="s">
        <v>228</v>
      </c>
      <c r="L1055" s="1">
        <v>0</v>
      </c>
      <c r="M1055" s="1" t="s">
        <v>14</v>
      </c>
    </row>
    <row r="1056" spans="1:13" hidden="1" x14ac:dyDescent="0.25">
      <c r="A1056" s="1">
        <v>1998</v>
      </c>
      <c r="B1056" s="1">
        <v>528</v>
      </c>
      <c r="C1056" s="2">
        <v>35960</v>
      </c>
      <c r="D1056" s="1" t="s">
        <v>511</v>
      </c>
      <c r="E1056" s="1" t="s">
        <v>274</v>
      </c>
      <c r="F1056" s="1" t="s">
        <v>357</v>
      </c>
      <c r="G1056" s="1" t="s">
        <v>358</v>
      </c>
      <c r="H1056" s="6" t="str">
        <f>VLOOKUP(A1056,WorldCups!$A$2:$B$23,2,FALSE)</f>
        <v>France</v>
      </c>
      <c r="I1056" s="1" t="s">
        <v>228</v>
      </c>
      <c r="J1056" s="1">
        <v>0</v>
      </c>
      <c r="K1056" s="1" t="s">
        <v>20</v>
      </c>
      <c r="L1056" s="1">
        <v>1</v>
      </c>
      <c r="M1056" s="1" t="s">
        <v>14</v>
      </c>
    </row>
    <row r="1057" spans="1:13" hidden="1" x14ac:dyDescent="0.25">
      <c r="A1057" s="1">
        <v>1998</v>
      </c>
      <c r="B1057" s="1">
        <f>B1056+1</f>
        <v>529</v>
      </c>
      <c r="C1057" s="2">
        <v>35960</v>
      </c>
      <c r="D1057" s="1" t="s">
        <v>530</v>
      </c>
      <c r="E1057" s="1" t="s">
        <v>355</v>
      </c>
      <c r="F1057" s="1" t="s">
        <v>348</v>
      </c>
      <c r="G1057" s="1" t="s">
        <v>349</v>
      </c>
      <c r="H1057" s="6" t="str">
        <f>VLOOKUP(A1057,WorldCups!$A$2:$B$23,2,FALSE)</f>
        <v>France</v>
      </c>
      <c r="I1057" s="1" t="s">
        <v>359</v>
      </c>
      <c r="J1057" s="1">
        <v>1</v>
      </c>
      <c r="K1057" s="1" t="s">
        <v>360</v>
      </c>
      <c r="L1057" s="1">
        <v>3</v>
      </c>
      <c r="M1057" s="1" t="s">
        <v>14</v>
      </c>
    </row>
    <row r="1058" spans="1:13" hidden="1" x14ac:dyDescent="0.25">
      <c r="A1058" s="1">
        <v>1998</v>
      </c>
      <c r="B1058" s="1">
        <v>529</v>
      </c>
      <c r="C1058" s="2">
        <v>35960</v>
      </c>
      <c r="D1058" s="1" t="s">
        <v>530</v>
      </c>
      <c r="E1058" s="1" t="s">
        <v>355</v>
      </c>
      <c r="F1058" s="1" t="s">
        <v>348</v>
      </c>
      <c r="G1058" s="1" t="s">
        <v>349</v>
      </c>
      <c r="H1058" s="6" t="str">
        <f>VLOOKUP(A1058,WorldCups!$A$2:$B$23,2,FALSE)</f>
        <v>France</v>
      </c>
      <c r="I1058" s="1" t="s">
        <v>360</v>
      </c>
      <c r="J1058" s="1">
        <v>3</v>
      </c>
      <c r="K1058" s="1" t="s">
        <v>359</v>
      </c>
      <c r="L1058" s="1">
        <v>1</v>
      </c>
      <c r="M1058" s="1" t="s">
        <v>14</v>
      </c>
    </row>
    <row r="1059" spans="1:13" hidden="1" x14ac:dyDescent="0.25">
      <c r="A1059" s="1">
        <v>1998</v>
      </c>
      <c r="B1059" s="1">
        <f>B1058+1</f>
        <v>530</v>
      </c>
      <c r="C1059" s="2">
        <v>35961</v>
      </c>
      <c r="D1059" s="1" t="s">
        <v>505</v>
      </c>
      <c r="E1059" s="1" t="s">
        <v>361</v>
      </c>
      <c r="F1059" s="1" t="s">
        <v>75</v>
      </c>
      <c r="G1059" s="1" t="s">
        <v>76</v>
      </c>
      <c r="H1059" s="6" t="str">
        <f>VLOOKUP(A1059,WorldCups!$A$2:$B$23,2,FALSE)</f>
        <v>France</v>
      </c>
      <c r="I1059" s="1" t="s">
        <v>93</v>
      </c>
      <c r="J1059" s="1">
        <v>2</v>
      </c>
      <c r="K1059" s="1" t="s">
        <v>221</v>
      </c>
      <c r="L1059" s="1">
        <v>0</v>
      </c>
      <c r="M1059" s="1" t="s">
        <v>14</v>
      </c>
    </row>
    <row r="1060" spans="1:13" hidden="1" x14ac:dyDescent="0.25">
      <c r="A1060" s="1">
        <v>1998</v>
      </c>
      <c r="B1060" s="1">
        <v>530</v>
      </c>
      <c r="C1060" s="2">
        <v>35961</v>
      </c>
      <c r="D1060" s="1" t="s">
        <v>505</v>
      </c>
      <c r="E1060" s="1" t="s">
        <v>361</v>
      </c>
      <c r="F1060" s="1" t="s">
        <v>75</v>
      </c>
      <c r="G1060" s="1" t="s">
        <v>76</v>
      </c>
      <c r="H1060" s="6" t="str">
        <f>VLOOKUP(A1060,WorldCups!$A$2:$B$23,2,FALSE)</f>
        <v>France</v>
      </c>
      <c r="I1060" s="1" t="s">
        <v>221</v>
      </c>
      <c r="J1060" s="1">
        <v>0</v>
      </c>
      <c r="K1060" s="1" t="s">
        <v>93</v>
      </c>
      <c r="L1060" s="1">
        <v>2</v>
      </c>
      <c r="M1060" s="1" t="s">
        <v>14</v>
      </c>
    </row>
    <row r="1061" spans="1:13" hidden="1" x14ac:dyDescent="0.25">
      <c r="A1061" s="1">
        <v>1998</v>
      </c>
      <c r="B1061" s="1">
        <f>B1060+1</f>
        <v>531</v>
      </c>
      <c r="C1061" s="2">
        <v>35961</v>
      </c>
      <c r="D1061" s="1" t="s">
        <v>511</v>
      </c>
      <c r="E1061" s="1" t="s">
        <v>361</v>
      </c>
      <c r="F1061" s="1" t="s">
        <v>353</v>
      </c>
      <c r="G1061" s="1" t="s">
        <v>354</v>
      </c>
      <c r="H1061" s="6" t="str">
        <f>VLOOKUP(A1061,WorldCups!$A$2:$B$23,2,FALSE)</f>
        <v>France</v>
      </c>
      <c r="I1061" s="1" t="s">
        <v>23</v>
      </c>
      <c r="J1061" s="1">
        <v>1</v>
      </c>
      <c r="K1061" s="1" t="s">
        <v>151</v>
      </c>
      <c r="L1061" s="1">
        <v>0</v>
      </c>
      <c r="M1061" s="1" t="s">
        <v>14</v>
      </c>
    </row>
    <row r="1062" spans="1:13" hidden="1" x14ac:dyDescent="0.25">
      <c r="A1062" s="1">
        <v>1998</v>
      </c>
      <c r="B1062" s="1">
        <v>531</v>
      </c>
      <c r="C1062" s="2">
        <v>35961</v>
      </c>
      <c r="D1062" s="1" t="s">
        <v>511</v>
      </c>
      <c r="E1062" s="1" t="s">
        <v>361</v>
      </c>
      <c r="F1062" s="1" t="s">
        <v>353</v>
      </c>
      <c r="G1062" s="1" t="s">
        <v>354</v>
      </c>
      <c r="H1062" s="6" t="str">
        <f>VLOOKUP(A1062,WorldCups!$A$2:$B$23,2,FALSE)</f>
        <v>France</v>
      </c>
      <c r="I1062" s="1" t="s">
        <v>151</v>
      </c>
      <c r="J1062" s="1">
        <v>0</v>
      </c>
      <c r="K1062" s="1" t="s">
        <v>23</v>
      </c>
      <c r="L1062" s="1">
        <v>1</v>
      </c>
      <c r="M1062" s="1" t="s">
        <v>14</v>
      </c>
    </row>
    <row r="1063" spans="1:13" hidden="1" x14ac:dyDescent="0.25">
      <c r="A1063" s="1">
        <v>1998</v>
      </c>
      <c r="B1063" s="1">
        <f>B1062+1</f>
        <v>532</v>
      </c>
      <c r="C1063" s="2">
        <v>35961</v>
      </c>
      <c r="D1063" s="1" t="s">
        <v>530</v>
      </c>
      <c r="E1063" s="1" t="s">
        <v>274</v>
      </c>
      <c r="F1063" s="1" t="s">
        <v>65</v>
      </c>
      <c r="G1063" s="1" t="s">
        <v>66</v>
      </c>
      <c r="H1063" s="6" t="str">
        <f>VLOOKUP(A1063,WorldCups!$A$2:$B$23,2,FALSE)</f>
        <v>France</v>
      </c>
      <c r="I1063" s="1" t="s">
        <v>51</v>
      </c>
      <c r="J1063" s="1">
        <v>2</v>
      </c>
      <c r="K1063" s="1" t="s">
        <v>17</v>
      </c>
      <c r="L1063" s="1">
        <v>0</v>
      </c>
      <c r="M1063" s="1" t="s">
        <v>14</v>
      </c>
    </row>
    <row r="1064" spans="1:13" hidden="1" x14ac:dyDescent="0.25">
      <c r="A1064" s="1">
        <v>1998</v>
      </c>
      <c r="B1064" s="1">
        <v>532</v>
      </c>
      <c r="C1064" s="2">
        <v>35961</v>
      </c>
      <c r="D1064" s="1" t="s">
        <v>530</v>
      </c>
      <c r="E1064" s="1" t="s">
        <v>274</v>
      </c>
      <c r="F1064" s="1" t="s">
        <v>65</v>
      </c>
      <c r="G1064" s="1" t="s">
        <v>66</v>
      </c>
      <c r="H1064" s="6" t="str">
        <f>VLOOKUP(A1064,WorldCups!$A$2:$B$23,2,FALSE)</f>
        <v>France</v>
      </c>
      <c r="I1064" s="1" t="s">
        <v>17</v>
      </c>
      <c r="J1064" s="1">
        <v>0</v>
      </c>
      <c r="K1064" s="1" t="s">
        <v>51</v>
      </c>
      <c r="L1064" s="1">
        <v>2</v>
      </c>
      <c r="M1064" s="1" t="s">
        <v>14</v>
      </c>
    </row>
    <row r="1065" spans="1:13" hidden="1" x14ac:dyDescent="0.25">
      <c r="A1065" s="1">
        <v>1998</v>
      </c>
      <c r="B1065" s="1">
        <f>B1064+1</f>
        <v>533</v>
      </c>
      <c r="C1065" s="2">
        <v>35962</v>
      </c>
      <c r="D1065" s="1" t="s">
        <v>511</v>
      </c>
      <c r="E1065" s="1" t="s">
        <v>214</v>
      </c>
      <c r="F1065" s="1" t="s">
        <v>85</v>
      </c>
      <c r="G1065" s="1" t="s">
        <v>86</v>
      </c>
      <c r="H1065" s="6" t="str">
        <f>VLOOKUP(A1065,WorldCups!$A$2:$B$23,2,FALSE)</f>
        <v>France</v>
      </c>
      <c r="I1065" s="1" t="s">
        <v>109</v>
      </c>
      <c r="J1065" s="1">
        <v>1</v>
      </c>
      <c r="K1065" s="1" t="s">
        <v>77</v>
      </c>
      <c r="L1065" s="1">
        <v>1</v>
      </c>
      <c r="M1065" s="1" t="s">
        <v>14</v>
      </c>
    </row>
    <row r="1066" spans="1:13" hidden="1" x14ac:dyDescent="0.25">
      <c r="A1066" s="1">
        <v>1998</v>
      </c>
      <c r="B1066" s="1">
        <v>533</v>
      </c>
      <c r="C1066" s="2">
        <v>35962</v>
      </c>
      <c r="D1066" s="1" t="s">
        <v>511</v>
      </c>
      <c r="E1066" s="1" t="s">
        <v>214</v>
      </c>
      <c r="F1066" s="1" t="s">
        <v>85</v>
      </c>
      <c r="G1066" s="1" t="s">
        <v>86</v>
      </c>
      <c r="H1066" s="6" t="str">
        <f>VLOOKUP(A1066,WorldCups!$A$2:$B$23,2,FALSE)</f>
        <v>France</v>
      </c>
      <c r="I1066" s="1" t="s">
        <v>77</v>
      </c>
      <c r="J1066" s="1">
        <v>1</v>
      </c>
      <c r="K1066" s="1" t="s">
        <v>109</v>
      </c>
      <c r="L1066" s="1">
        <v>1</v>
      </c>
      <c r="M1066" s="1" t="s">
        <v>14</v>
      </c>
    </row>
    <row r="1067" spans="1:13" hidden="1" x14ac:dyDescent="0.25">
      <c r="A1067" s="1">
        <v>1998</v>
      </c>
      <c r="B1067" s="1">
        <f>B1066+1</f>
        <v>534</v>
      </c>
      <c r="C1067" s="2">
        <v>35962</v>
      </c>
      <c r="D1067" s="1" t="s">
        <v>530</v>
      </c>
      <c r="E1067" s="1" t="s">
        <v>214</v>
      </c>
      <c r="F1067" s="1" t="s">
        <v>351</v>
      </c>
      <c r="G1067" s="1" t="s">
        <v>352</v>
      </c>
      <c r="H1067" s="6" t="str">
        <f>VLOOKUP(A1067,WorldCups!$A$2:$B$23,2,FALSE)</f>
        <v>France</v>
      </c>
      <c r="I1067" s="1" t="s">
        <v>21</v>
      </c>
      <c r="J1067" s="1">
        <v>3</v>
      </c>
      <c r="K1067" s="1" t="s">
        <v>188</v>
      </c>
      <c r="L1067" s="1">
        <v>0</v>
      </c>
      <c r="M1067" s="1" t="s">
        <v>14</v>
      </c>
    </row>
    <row r="1068" spans="1:13" hidden="1" x14ac:dyDescent="0.25">
      <c r="A1068" s="1">
        <v>1998</v>
      </c>
      <c r="B1068" s="1">
        <v>534</v>
      </c>
      <c r="C1068" s="2">
        <v>35962</v>
      </c>
      <c r="D1068" s="1" t="s">
        <v>530</v>
      </c>
      <c r="E1068" s="1" t="s">
        <v>214</v>
      </c>
      <c r="F1068" s="1" t="s">
        <v>351</v>
      </c>
      <c r="G1068" s="1" t="s">
        <v>352</v>
      </c>
      <c r="H1068" s="6" t="str">
        <f>VLOOKUP(A1068,WorldCups!$A$2:$B$23,2,FALSE)</f>
        <v>France</v>
      </c>
      <c r="I1068" s="1" t="s">
        <v>188</v>
      </c>
      <c r="J1068" s="1">
        <v>0</v>
      </c>
      <c r="K1068" s="1" t="s">
        <v>21</v>
      </c>
      <c r="L1068" s="1">
        <v>3</v>
      </c>
      <c r="M1068" s="1" t="s">
        <v>14</v>
      </c>
    </row>
    <row r="1069" spans="1:13" hidden="1" x14ac:dyDescent="0.25">
      <c r="A1069" s="1">
        <v>1998</v>
      </c>
      <c r="B1069" s="1">
        <f>B1068+1</f>
        <v>535</v>
      </c>
      <c r="C1069" s="2">
        <v>35963</v>
      </c>
      <c r="D1069" s="1" t="s">
        <v>511</v>
      </c>
      <c r="E1069" s="1" t="s">
        <v>213</v>
      </c>
      <c r="F1069" s="1" t="s">
        <v>357</v>
      </c>
      <c r="G1069" s="1" t="s">
        <v>358</v>
      </c>
      <c r="H1069" s="6" t="str">
        <f>VLOOKUP(A1069,WorldCups!$A$2:$B$23,2,FALSE)</f>
        <v>France</v>
      </c>
      <c r="I1069" s="1" t="s">
        <v>26</v>
      </c>
      <c r="J1069" s="1">
        <v>1</v>
      </c>
      <c r="K1069" s="1" t="s">
        <v>36</v>
      </c>
      <c r="L1069" s="1">
        <v>1</v>
      </c>
      <c r="M1069" s="1" t="s">
        <v>14</v>
      </c>
    </row>
    <row r="1070" spans="1:13" hidden="1" x14ac:dyDescent="0.25">
      <c r="A1070" s="1">
        <v>1998</v>
      </c>
      <c r="B1070" s="1">
        <v>535</v>
      </c>
      <c r="C1070" s="2">
        <v>35963</v>
      </c>
      <c r="D1070" s="1" t="s">
        <v>511</v>
      </c>
      <c r="E1070" s="1" t="s">
        <v>213</v>
      </c>
      <c r="F1070" s="1" t="s">
        <v>357</v>
      </c>
      <c r="G1070" s="1" t="s">
        <v>358</v>
      </c>
      <c r="H1070" s="6" t="str">
        <f>VLOOKUP(A1070,WorldCups!$A$2:$B$23,2,FALSE)</f>
        <v>France</v>
      </c>
      <c r="I1070" s="1" t="s">
        <v>36</v>
      </c>
      <c r="J1070" s="1">
        <v>1</v>
      </c>
      <c r="K1070" s="1" t="s">
        <v>26</v>
      </c>
      <c r="L1070" s="1">
        <v>1</v>
      </c>
      <c r="M1070" s="1" t="s">
        <v>14</v>
      </c>
    </row>
    <row r="1071" spans="1:13" hidden="1" x14ac:dyDescent="0.25">
      <c r="A1071" s="1">
        <v>1998</v>
      </c>
      <c r="B1071" s="1">
        <f>B1070+1</f>
        <v>536</v>
      </c>
      <c r="C1071" s="2">
        <v>35963</v>
      </c>
      <c r="D1071" s="1" t="s">
        <v>530</v>
      </c>
      <c r="E1071" s="1" t="s">
        <v>213</v>
      </c>
      <c r="F1071" s="1" t="s">
        <v>346</v>
      </c>
      <c r="G1071" s="1" t="s">
        <v>347</v>
      </c>
      <c r="H1071" s="6" t="str">
        <f>VLOOKUP(A1071,WorldCups!$A$2:$B$23,2,FALSE)</f>
        <v>France</v>
      </c>
      <c r="I1071" s="1" t="s">
        <v>57</v>
      </c>
      <c r="J1071" s="1">
        <v>3</v>
      </c>
      <c r="K1071" s="1" t="s">
        <v>238</v>
      </c>
      <c r="L1071" s="1">
        <v>0</v>
      </c>
      <c r="M1071" s="1" t="s">
        <v>14</v>
      </c>
    </row>
    <row r="1072" spans="1:13" hidden="1" x14ac:dyDescent="0.25">
      <c r="A1072" s="1">
        <v>1998</v>
      </c>
      <c r="B1072" s="1">
        <v>536</v>
      </c>
      <c r="C1072" s="2">
        <v>35963</v>
      </c>
      <c r="D1072" s="1" t="s">
        <v>530</v>
      </c>
      <c r="E1072" s="1" t="s">
        <v>213</v>
      </c>
      <c r="F1072" s="1" t="s">
        <v>346</v>
      </c>
      <c r="G1072" s="1" t="s">
        <v>347</v>
      </c>
      <c r="H1072" s="6" t="str">
        <f>VLOOKUP(A1072,WorldCups!$A$2:$B$23,2,FALSE)</f>
        <v>France</v>
      </c>
      <c r="I1072" s="1" t="s">
        <v>238</v>
      </c>
      <c r="J1072" s="1">
        <v>0</v>
      </c>
      <c r="K1072" s="1" t="s">
        <v>57</v>
      </c>
      <c r="L1072" s="1">
        <v>3</v>
      </c>
      <c r="M1072" s="1" t="s">
        <v>14</v>
      </c>
    </row>
    <row r="1073" spans="1:13" hidden="1" x14ac:dyDescent="0.25">
      <c r="A1073" s="1">
        <v>1998</v>
      </c>
      <c r="B1073" s="1">
        <f>B1072+1</f>
        <v>537</v>
      </c>
      <c r="C1073" s="2">
        <v>35964</v>
      </c>
      <c r="D1073" s="1" t="s">
        <v>511</v>
      </c>
      <c r="E1073" s="1" t="s">
        <v>268</v>
      </c>
      <c r="F1073" s="1" t="s">
        <v>72</v>
      </c>
      <c r="G1073" s="1" t="s">
        <v>73</v>
      </c>
      <c r="H1073" s="6" t="str">
        <f>VLOOKUP(A1073,WorldCups!$A$2:$B$23,2,FALSE)</f>
        <v>France</v>
      </c>
      <c r="I1073" s="1" t="s">
        <v>350</v>
      </c>
      <c r="J1073" s="1">
        <v>1</v>
      </c>
      <c r="K1073" s="1" t="s">
        <v>284</v>
      </c>
      <c r="L1073" s="1">
        <v>1</v>
      </c>
      <c r="M1073" s="1" t="s">
        <v>14</v>
      </c>
    </row>
    <row r="1074" spans="1:13" hidden="1" x14ac:dyDescent="0.25">
      <c r="A1074" s="1">
        <v>1998</v>
      </c>
      <c r="B1074" s="1">
        <v>537</v>
      </c>
      <c r="C1074" s="2">
        <v>35964</v>
      </c>
      <c r="D1074" s="1" t="s">
        <v>511</v>
      </c>
      <c r="E1074" s="1" t="s">
        <v>268</v>
      </c>
      <c r="F1074" s="1" t="s">
        <v>72</v>
      </c>
      <c r="G1074" s="1" t="s">
        <v>73</v>
      </c>
      <c r="H1074" s="6" t="str">
        <f>VLOOKUP(A1074,WorldCups!$A$2:$B$23,2,FALSE)</f>
        <v>France</v>
      </c>
      <c r="I1074" s="1" t="s">
        <v>284</v>
      </c>
      <c r="J1074" s="1">
        <v>1</v>
      </c>
      <c r="K1074" s="1" t="s">
        <v>350</v>
      </c>
      <c r="L1074" s="1">
        <v>1</v>
      </c>
      <c r="M1074" s="1" t="s">
        <v>14</v>
      </c>
    </row>
    <row r="1075" spans="1:13" hidden="1" x14ac:dyDescent="0.25">
      <c r="A1075" s="1">
        <v>1998</v>
      </c>
      <c r="B1075" s="1">
        <f>B1074+1</f>
        <v>538</v>
      </c>
      <c r="C1075" s="2">
        <v>35964</v>
      </c>
      <c r="D1075" s="1" t="s">
        <v>530</v>
      </c>
      <c r="E1075" s="1" t="s">
        <v>268</v>
      </c>
      <c r="F1075" s="1" t="s">
        <v>344</v>
      </c>
      <c r="G1075" s="1" t="s">
        <v>345</v>
      </c>
      <c r="H1075" s="6" t="str">
        <f>VLOOKUP(A1075,WorldCups!$A$2:$B$23,2,FALSE)</f>
        <v>France</v>
      </c>
      <c r="I1075" s="1" t="s">
        <v>12</v>
      </c>
      <c r="J1075" s="1">
        <v>4</v>
      </c>
      <c r="K1075" s="1" t="s">
        <v>333</v>
      </c>
      <c r="L1075" s="1">
        <v>0</v>
      </c>
      <c r="M1075" s="1" t="s">
        <v>14</v>
      </c>
    </row>
    <row r="1076" spans="1:13" hidden="1" x14ac:dyDescent="0.25">
      <c r="A1076" s="1">
        <v>1998</v>
      </c>
      <c r="B1076" s="1">
        <v>538</v>
      </c>
      <c r="C1076" s="2">
        <v>35964</v>
      </c>
      <c r="D1076" s="1" t="s">
        <v>530</v>
      </c>
      <c r="E1076" s="1" t="s">
        <v>268</v>
      </c>
      <c r="F1076" s="1" t="s">
        <v>344</v>
      </c>
      <c r="G1076" s="1" t="s">
        <v>345</v>
      </c>
      <c r="H1076" s="6" t="str">
        <f>VLOOKUP(A1076,WorldCups!$A$2:$B$23,2,FALSE)</f>
        <v>France</v>
      </c>
      <c r="I1076" s="1" t="s">
        <v>333</v>
      </c>
      <c r="J1076" s="1">
        <v>0</v>
      </c>
      <c r="K1076" s="1" t="s">
        <v>12</v>
      </c>
      <c r="L1076" s="1">
        <v>4</v>
      </c>
      <c r="M1076" s="1" t="s">
        <v>14</v>
      </c>
    </row>
    <row r="1077" spans="1:13" hidden="1" x14ac:dyDescent="0.25">
      <c r="A1077" s="1">
        <v>1998</v>
      </c>
      <c r="B1077" s="1">
        <f>B1076+1</f>
        <v>539</v>
      </c>
      <c r="C1077" s="2">
        <v>35965</v>
      </c>
      <c r="D1077" s="1" t="s">
        <v>511</v>
      </c>
      <c r="E1077" s="1" t="s">
        <v>270</v>
      </c>
      <c r="F1077" s="1" t="s">
        <v>65</v>
      </c>
      <c r="G1077" s="1" t="s">
        <v>66</v>
      </c>
      <c r="H1077" s="6" t="str">
        <f>VLOOKUP(A1077,WorldCups!$A$2:$B$23,2,FALSE)</f>
        <v>France</v>
      </c>
      <c r="I1077" s="1" t="s">
        <v>340</v>
      </c>
      <c r="J1077" s="1">
        <v>1</v>
      </c>
      <c r="K1077" s="1" t="s">
        <v>156</v>
      </c>
      <c r="L1077" s="1">
        <v>0</v>
      </c>
      <c r="M1077" s="1" t="s">
        <v>14</v>
      </c>
    </row>
    <row r="1078" spans="1:13" hidden="1" x14ac:dyDescent="0.25">
      <c r="A1078" s="1">
        <v>1998</v>
      </c>
      <c r="B1078" s="1">
        <v>539</v>
      </c>
      <c r="C1078" s="2">
        <v>35965</v>
      </c>
      <c r="D1078" s="1" t="s">
        <v>511</v>
      </c>
      <c r="E1078" s="1" t="s">
        <v>270</v>
      </c>
      <c r="F1078" s="1" t="s">
        <v>65</v>
      </c>
      <c r="G1078" s="1" t="s">
        <v>66</v>
      </c>
      <c r="H1078" s="6" t="str">
        <f>VLOOKUP(A1078,WorldCups!$A$2:$B$23,2,FALSE)</f>
        <v>France</v>
      </c>
      <c r="I1078" s="1" t="s">
        <v>156</v>
      </c>
      <c r="J1078" s="1">
        <v>0</v>
      </c>
      <c r="K1078" s="1" t="s">
        <v>340</v>
      </c>
      <c r="L1078" s="1">
        <v>1</v>
      </c>
      <c r="M1078" s="1" t="s">
        <v>14</v>
      </c>
    </row>
    <row r="1079" spans="1:13" hidden="1" x14ac:dyDescent="0.25">
      <c r="A1079" s="1">
        <v>1998</v>
      </c>
      <c r="B1079" s="1">
        <f>B1078+1</f>
        <v>540</v>
      </c>
      <c r="C1079" s="2">
        <v>35965</v>
      </c>
      <c r="D1079" s="1" t="s">
        <v>530</v>
      </c>
      <c r="E1079" s="1" t="s">
        <v>270</v>
      </c>
      <c r="F1079" s="1" t="s">
        <v>357</v>
      </c>
      <c r="G1079" s="1" t="s">
        <v>358</v>
      </c>
      <c r="H1079" s="6" t="str">
        <f>VLOOKUP(A1079,WorldCups!$A$2:$B$23,2,FALSE)</f>
        <v>France</v>
      </c>
      <c r="I1079" s="1" t="s">
        <v>54</v>
      </c>
      <c r="J1079" s="1">
        <v>0</v>
      </c>
      <c r="K1079" s="1" t="s">
        <v>28</v>
      </c>
      <c r="L1079" s="1">
        <v>0</v>
      </c>
      <c r="M1079" s="1" t="s">
        <v>14</v>
      </c>
    </row>
    <row r="1080" spans="1:13" hidden="1" x14ac:dyDescent="0.25">
      <c r="A1080" s="1">
        <v>1998</v>
      </c>
      <c r="B1080" s="1">
        <v>540</v>
      </c>
      <c r="C1080" s="2">
        <v>35965</v>
      </c>
      <c r="D1080" s="1" t="s">
        <v>530</v>
      </c>
      <c r="E1080" s="1" t="s">
        <v>270</v>
      </c>
      <c r="F1080" s="1" t="s">
        <v>357</v>
      </c>
      <c r="G1080" s="1" t="s">
        <v>358</v>
      </c>
      <c r="H1080" s="6" t="str">
        <f>VLOOKUP(A1080,WorldCups!$A$2:$B$23,2,FALSE)</f>
        <v>France</v>
      </c>
      <c r="I1080" s="1" t="s">
        <v>28</v>
      </c>
      <c r="J1080" s="1">
        <v>0</v>
      </c>
      <c r="K1080" s="1" t="s">
        <v>54</v>
      </c>
      <c r="L1080" s="1">
        <v>0</v>
      </c>
      <c r="M1080" s="1" t="s">
        <v>14</v>
      </c>
    </row>
    <row r="1081" spans="1:13" hidden="1" x14ac:dyDescent="0.25">
      <c r="A1081" s="1">
        <v>1998</v>
      </c>
      <c r="B1081" s="1">
        <f>B1080+1</f>
        <v>541</v>
      </c>
      <c r="C1081" s="2">
        <v>35966</v>
      </c>
      <c r="D1081" s="1" t="s">
        <v>505</v>
      </c>
      <c r="E1081" s="1" t="s">
        <v>355</v>
      </c>
      <c r="F1081" s="1" t="s">
        <v>351</v>
      </c>
      <c r="G1081" s="1" t="s">
        <v>352</v>
      </c>
      <c r="H1081" s="6" t="str">
        <f>VLOOKUP(A1081,WorldCups!$A$2:$B$23,2,FALSE)</f>
        <v>France</v>
      </c>
      <c r="I1081" s="1" t="s">
        <v>356</v>
      </c>
      <c r="J1081" s="1">
        <v>0</v>
      </c>
      <c r="K1081" s="1" t="s">
        <v>360</v>
      </c>
      <c r="L1081" s="1">
        <v>1</v>
      </c>
      <c r="M1081" s="1" t="s">
        <v>14</v>
      </c>
    </row>
    <row r="1082" spans="1:13" hidden="1" x14ac:dyDescent="0.25">
      <c r="A1082" s="1">
        <v>1998</v>
      </c>
      <c r="B1082" s="1">
        <v>541</v>
      </c>
      <c r="C1082" s="2">
        <v>35966</v>
      </c>
      <c r="D1082" s="1" t="s">
        <v>505</v>
      </c>
      <c r="E1082" s="1" t="s">
        <v>355</v>
      </c>
      <c r="F1082" s="1" t="s">
        <v>351</v>
      </c>
      <c r="G1082" s="1" t="s">
        <v>352</v>
      </c>
      <c r="H1082" s="6" t="str">
        <f>VLOOKUP(A1082,WorldCups!$A$2:$B$23,2,FALSE)</f>
        <v>France</v>
      </c>
      <c r="I1082" s="1" t="s">
        <v>360</v>
      </c>
      <c r="J1082" s="1">
        <v>1</v>
      </c>
      <c r="K1082" s="1" t="s">
        <v>356</v>
      </c>
      <c r="L1082" s="1">
        <v>0</v>
      </c>
      <c r="M1082" s="1" t="s">
        <v>14</v>
      </c>
    </row>
    <row r="1083" spans="1:13" hidden="1" x14ac:dyDescent="0.25">
      <c r="A1083" s="1">
        <v>1998</v>
      </c>
      <c r="B1083" s="1">
        <f>B1082+1</f>
        <v>542</v>
      </c>
      <c r="C1083" s="2">
        <v>35966</v>
      </c>
      <c r="D1083" s="1" t="s">
        <v>511</v>
      </c>
      <c r="E1083" s="1" t="s">
        <v>281</v>
      </c>
      <c r="F1083" s="1" t="s">
        <v>85</v>
      </c>
      <c r="G1083" s="1" t="s">
        <v>86</v>
      </c>
      <c r="H1083" s="6" t="str">
        <f>VLOOKUP(A1083,WorldCups!$A$2:$B$23,2,FALSE)</f>
        <v>France</v>
      </c>
      <c r="I1083" s="1" t="s">
        <v>18</v>
      </c>
      <c r="J1083" s="1">
        <v>2</v>
      </c>
      <c r="K1083" s="1" t="s">
        <v>13</v>
      </c>
      <c r="L1083" s="1">
        <v>2</v>
      </c>
      <c r="M1083" s="1" t="s">
        <v>14</v>
      </c>
    </row>
    <row r="1084" spans="1:13" hidden="1" x14ac:dyDescent="0.25">
      <c r="A1084" s="1">
        <v>1998</v>
      </c>
      <c r="B1084" s="1">
        <v>542</v>
      </c>
      <c r="C1084" s="2">
        <v>35966</v>
      </c>
      <c r="D1084" s="1" t="s">
        <v>511</v>
      </c>
      <c r="E1084" s="1" t="s">
        <v>281</v>
      </c>
      <c r="F1084" s="1" t="s">
        <v>85</v>
      </c>
      <c r="G1084" s="1" t="s">
        <v>86</v>
      </c>
      <c r="H1084" s="6" t="str">
        <f>VLOOKUP(A1084,WorldCups!$A$2:$B$23,2,FALSE)</f>
        <v>France</v>
      </c>
      <c r="I1084" s="1" t="s">
        <v>13</v>
      </c>
      <c r="J1084" s="1">
        <v>2</v>
      </c>
      <c r="K1084" s="1" t="s">
        <v>18</v>
      </c>
      <c r="L1084" s="1">
        <v>2</v>
      </c>
      <c r="M1084" s="1" t="s">
        <v>14</v>
      </c>
    </row>
    <row r="1085" spans="1:13" hidden="1" x14ac:dyDescent="0.25">
      <c r="A1085" s="1">
        <v>1998</v>
      </c>
      <c r="B1085" s="1">
        <f>B1084+1</f>
        <v>543</v>
      </c>
      <c r="C1085" s="2">
        <v>35966</v>
      </c>
      <c r="D1085" s="1" t="s">
        <v>530</v>
      </c>
      <c r="E1085" s="1" t="s">
        <v>281</v>
      </c>
      <c r="F1085" s="1" t="s">
        <v>75</v>
      </c>
      <c r="G1085" s="1" t="s">
        <v>76</v>
      </c>
      <c r="H1085" s="6" t="str">
        <f>VLOOKUP(A1085,WorldCups!$A$2:$B$23,2,FALSE)</f>
        <v>France</v>
      </c>
      <c r="I1085" s="1" t="s">
        <v>45</v>
      </c>
      <c r="J1085" s="1">
        <v>5</v>
      </c>
      <c r="K1085" s="1" t="s">
        <v>116</v>
      </c>
      <c r="L1085" s="1">
        <v>0</v>
      </c>
      <c r="M1085" s="1" t="s">
        <v>14</v>
      </c>
    </row>
    <row r="1086" spans="1:13" hidden="1" x14ac:dyDescent="0.25">
      <c r="A1086" s="1">
        <v>1998</v>
      </c>
      <c r="B1086" s="1">
        <v>543</v>
      </c>
      <c r="C1086" s="2">
        <v>35966</v>
      </c>
      <c r="D1086" s="1" t="s">
        <v>530</v>
      </c>
      <c r="E1086" s="1" t="s">
        <v>281</v>
      </c>
      <c r="F1086" s="1" t="s">
        <v>75</v>
      </c>
      <c r="G1086" s="1" t="s">
        <v>76</v>
      </c>
      <c r="H1086" s="6" t="str">
        <f>VLOOKUP(A1086,WorldCups!$A$2:$B$23,2,FALSE)</f>
        <v>France</v>
      </c>
      <c r="I1086" s="1" t="s">
        <v>116</v>
      </c>
      <c r="J1086" s="1">
        <v>0</v>
      </c>
      <c r="K1086" s="1" t="s">
        <v>45</v>
      </c>
      <c r="L1086" s="1">
        <v>5</v>
      </c>
      <c r="M1086" s="1" t="s">
        <v>14</v>
      </c>
    </row>
    <row r="1087" spans="1:13" hidden="1" x14ac:dyDescent="0.25">
      <c r="A1087" s="1">
        <v>1998</v>
      </c>
      <c r="B1087" s="1">
        <f>B1086+1</f>
        <v>544</v>
      </c>
      <c r="C1087" s="2">
        <v>35967</v>
      </c>
      <c r="D1087" s="1" t="s">
        <v>505</v>
      </c>
      <c r="E1087" s="1" t="s">
        <v>274</v>
      </c>
      <c r="F1087" s="1" t="s">
        <v>348</v>
      </c>
      <c r="G1087" s="1" t="s">
        <v>349</v>
      </c>
      <c r="H1087" s="6" t="str">
        <f>VLOOKUP(A1087,WorldCups!$A$2:$B$23,2,FALSE)</f>
        <v>France</v>
      </c>
      <c r="I1087" s="1" t="s">
        <v>51</v>
      </c>
      <c r="J1087" s="1">
        <v>2</v>
      </c>
      <c r="K1087" s="1" t="s">
        <v>20</v>
      </c>
      <c r="L1087" s="1">
        <v>2</v>
      </c>
      <c r="M1087" s="1" t="s">
        <v>14</v>
      </c>
    </row>
    <row r="1088" spans="1:13" hidden="1" x14ac:dyDescent="0.25">
      <c r="A1088" s="1">
        <v>1998</v>
      </c>
      <c r="B1088" s="1">
        <v>544</v>
      </c>
      <c r="C1088" s="2">
        <v>35967</v>
      </c>
      <c r="D1088" s="1" t="s">
        <v>505</v>
      </c>
      <c r="E1088" s="1" t="s">
        <v>274</v>
      </c>
      <c r="F1088" s="1" t="s">
        <v>348</v>
      </c>
      <c r="G1088" s="1" t="s">
        <v>349</v>
      </c>
      <c r="H1088" s="6" t="str">
        <f>VLOOKUP(A1088,WorldCups!$A$2:$B$23,2,FALSE)</f>
        <v>France</v>
      </c>
      <c r="I1088" s="1" t="s">
        <v>20</v>
      </c>
      <c r="J1088" s="1">
        <v>2</v>
      </c>
      <c r="K1088" s="1" t="s">
        <v>51</v>
      </c>
      <c r="L1088" s="1">
        <v>2</v>
      </c>
      <c r="M1088" s="1" t="s">
        <v>14</v>
      </c>
    </row>
    <row r="1089" spans="1:13" hidden="1" x14ac:dyDescent="0.25">
      <c r="A1089" s="1">
        <v>1998</v>
      </c>
      <c r="B1089" s="1">
        <f>B1088+1</f>
        <v>545</v>
      </c>
      <c r="C1089" s="2">
        <v>35967</v>
      </c>
      <c r="D1089" s="1" t="s">
        <v>511</v>
      </c>
      <c r="E1089" s="1" t="s">
        <v>355</v>
      </c>
      <c r="F1089" s="1" t="s">
        <v>65</v>
      </c>
      <c r="G1089" s="1" t="s">
        <v>66</v>
      </c>
      <c r="H1089" s="6" t="str">
        <f>VLOOKUP(A1089,WorldCups!$A$2:$B$23,2,FALSE)</f>
        <v>France</v>
      </c>
      <c r="I1089" s="1" t="s">
        <v>25</v>
      </c>
      <c r="J1089" s="1">
        <v>5</v>
      </c>
      <c r="K1089" s="1" t="s">
        <v>359</v>
      </c>
      <c r="L1089" s="1">
        <v>0</v>
      </c>
      <c r="M1089" s="1" t="s">
        <v>14</v>
      </c>
    </row>
    <row r="1090" spans="1:13" hidden="1" x14ac:dyDescent="0.25">
      <c r="A1090" s="1">
        <v>1998</v>
      </c>
      <c r="B1090" s="1">
        <v>545</v>
      </c>
      <c r="C1090" s="2">
        <v>35967</v>
      </c>
      <c r="D1090" s="1" t="s">
        <v>511</v>
      </c>
      <c r="E1090" s="1" t="s">
        <v>355</v>
      </c>
      <c r="F1090" s="1" t="s">
        <v>65</v>
      </c>
      <c r="G1090" s="1" t="s">
        <v>66</v>
      </c>
      <c r="H1090" s="6" t="str">
        <f>VLOOKUP(A1090,WorldCups!$A$2:$B$23,2,FALSE)</f>
        <v>France</v>
      </c>
      <c r="I1090" s="1" t="s">
        <v>359</v>
      </c>
      <c r="J1090" s="1">
        <v>0</v>
      </c>
      <c r="K1090" s="1" t="s">
        <v>25</v>
      </c>
      <c r="L1090" s="1">
        <v>5</v>
      </c>
      <c r="M1090" s="1" t="s">
        <v>14</v>
      </c>
    </row>
    <row r="1091" spans="1:13" hidden="1" x14ac:dyDescent="0.25">
      <c r="A1091" s="1">
        <v>1998</v>
      </c>
      <c r="B1091" s="1">
        <f>B1090+1</f>
        <v>546</v>
      </c>
      <c r="C1091" s="2">
        <v>35967</v>
      </c>
      <c r="D1091" s="1" t="s">
        <v>530</v>
      </c>
      <c r="E1091" s="1" t="s">
        <v>274</v>
      </c>
      <c r="F1091" s="1" t="s">
        <v>353</v>
      </c>
      <c r="G1091" s="1" t="s">
        <v>354</v>
      </c>
      <c r="H1091" s="6" t="str">
        <f>VLOOKUP(A1091,WorldCups!$A$2:$B$23,2,FALSE)</f>
        <v>France</v>
      </c>
      <c r="I1091" s="1" t="s">
        <v>17</v>
      </c>
      <c r="J1091" s="1">
        <v>1</v>
      </c>
      <c r="K1091" s="1" t="s">
        <v>228</v>
      </c>
      <c r="L1091" s="1">
        <v>2</v>
      </c>
      <c r="M1091" s="1" t="s">
        <v>14</v>
      </c>
    </row>
    <row r="1092" spans="1:13" hidden="1" x14ac:dyDescent="0.25">
      <c r="A1092" s="1">
        <v>1998</v>
      </c>
      <c r="B1092" s="1">
        <v>546</v>
      </c>
      <c r="C1092" s="2">
        <v>35967</v>
      </c>
      <c r="D1092" s="1" t="s">
        <v>530</v>
      </c>
      <c r="E1092" s="1" t="s">
        <v>274</v>
      </c>
      <c r="F1092" s="1" t="s">
        <v>353</v>
      </c>
      <c r="G1092" s="1" t="s">
        <v>354</v>
      </c>
      <c r="H1092" s="6" t="str">
        <f>VLOOKUP(A1092,WorldCups!$A$2:$B$23,2,FALSE)</f>
        <v>France</v>
      </c>
      <c r="I1092" s="1" t="s">
        <v>228</v>
      </c>
      <c r="J1092" s="1">
        <v>2</v>
      </c>
      <c r="K1092" s="1" t="s">
        <v>17</v>
      </c>
      <c r="L1092" s="1">
        <v>1</v>
      </c>
      <c r="M1092" s="1" t="s">
        <v>14</v>
      </c>
    </row>
    <row r="1093" spans="1:13" hidden="1" x14ac:dyDescent="0.25">
      <c r="A1093" s="1">
        <v>1998</v>
      </c>
      <c r="B1093" s="1">
        <f>B1092+1</f>
        <v>547</v>
      </c>
      <c r="C1093" s="2">
        <v>35968</v>
      </c>
      <c r="D1093" s="1" t="s">
        <v>511</v>
      </c>
      <c r="E1093" s="1" t="s">
        <v>361</v>
      </c>
      <c r="F1093" s="1" t="s">
        <v>346</v>
      </c>
      <c r="G1093" s="1" t="s">
        <v>347</v>
      </c>
      <c r="H1093" s="6" t="str">
        <f>VLOOKUP(A1093,WorldCups!$A$2:$B$23,2,FALSE)</f>
        <v>France</v>
      </c>
      <c r="I1093" s="1" t="s">
        <v>151</v>
      </c>
      <c r="J1093" s="1">
        <v>1</v>
      </c>
      <c r="K1093" s="1" t="s">
        <v>221</v>
      </c>
      <c r="L1093" s="1">
        <v>0</v>
      </c>
      <c r="M1093" s="1" t="s">
        <v>14</v>
      </c>
    </row>
    <row r="1094" spans="1:13" hidden="1" x14ac:dyDescent="0.25">
      <c r="A1094" s="1">
        <v>1998</v>
      </c>
      <c r="B1094" s="1">
        <v>547</v>
      </c>
      <c r="C1094" s="2">
        <v>35968</v>
      </c>
      <c r="D1094" s="1" t="s">
        <v>511</v>
      </c>
      <c r="E1094" s="1" t="s">
        <v>361</v>
      </c>
      <c r="F1094" s="1" t="s">
        <v>346</v>
      </c>
      <c r="G1094" s="1" t="s">
        <v>347</v>
      </c>
      <c r="H1094" s="6" t="str">
        <f>VLOOKUP(A1094,WorldCups!$A$2:$B$23,2,FALSE)</f>
        <v>France</v>
      </c>
      <c r="I1094" s="1" t="s">
        <v>221</v>
      </c>
      <c r="J1094" s="1">
        <v>0</v>
      </c>
      <c r="K1094" s="1" t="s">
        <v>151</v>
      </c>
      <c r="L1094" s="1">
        <v>1</v>
      </c>
      <c r="M1094" s="1" t="s">
        <v>14</v>
      </c>
    </row>
    <row r="1095" spans="1:13" hidden="1" x14ac:dyDescent="0.25">
      <c r="A1095" s="1">
        <v>1998</v>
      </c>
      <c r="B1095" s="1">
        <f>B1094+1</f>
        <v>548</v>
      </c>
      <c r="C1095" s="2">
        <v>35968</v>
      </c>
      <c r="D1095" s="1" t="s">
        <v>530</v>
      </c>
      <c r="E1095" s="1" t="s">
        <v>361</v>
      </c>
      <c r="F1095" s="1" t="s">
        <v>72</v>
      </c>
      <c r="G1095" s="1" t="s">
        <v>73</v>
      </c>
      <c r="H1095" s="6" t="str">
        <f>VLOOKUP(A1095,WorldCups!$A$2:$B$23,2,FALSE)</f>
        <v>France</v>
      </c>
      <c r="I1095" s="1" t="s">
        <v>23</v>
      </c>
      <c r="J1095" s="1">
        <v>2</v>
      </c>
      <c r="K1095" s="1" t="s">
        <v>93</v>
      </c>
      <c r="L1095" s="1">
        <v>1</v>
      </c>
      <c r="M1095" s="1" t="s">
        <v>14</v>
      </c>
    </row>
    <row r="1096" spans="1:13" hidden="1" x14ac:dyDescent="0.25">
      <c r="A1096" s="1">
        <v>1998</v>
      </c>
      <c r="B1096" s="1">
        <v>548</v>
      </c>
      <c r="C1096" s="2">
        <v>35968</v>
      </c>
      <c r="D1096" s="1" t="s">
        <v>530</v>
      </c>
      <c r="E1096" s="1" t="s">
        <v>361</v>
      </c>
      <c r="F1096" s="1" t="s">
        <v>72</v>
      </c>
      <c r="G1096" s="1" t="s">
        <v>73</v>
      </c>
      <c r="H1096" s="6" t="str">
        <f>VLOOKUP(A1096,WorldCups!$A$2:$B$23,2,FALSE)</f>
        <v>France</v>
      </c>
      <c r="I1096" s="1" t="s">
        <v>93</v>
      </c>
      <c r="J1096" s="1">
        <v>1</v>
      </c>
      <c r="K1096" s="1" t="s">
        <v>23</v>
      </c>
      <c r="L1096" s="1">
        <v>2</v>
      </c>
      <c r="M1096" s="1" t="s">
        <v>14</v>
      </c>
    </row>
    <row r="1097" spans="1:13" hidden="1" x14ac:dyDescent="0.25">
      <c r="A1097" s="1">
        <v>1998</v>
      </c>
      <c r="B1097" s="1">
        <f>B1096+1</f>
        <v>549</v>
      </c>
      <c r="C1097" s="2">
        <v>35969</v>
      </c>
      <c r="D1097" s="1" t="s">
        <v>503</v>
      </c>
      <c r="E1097" s="1" t="s">
        <v>213</v>
      </c>
      <c r="F1097" s="1" t="s">
        <v>344</v>
      </c>
      <c r="G1097" s="1" t="s">
        <v>345</v>
      </c>
      <c r="H1097" s="6" t="str">
        <f>VLOOKUP(A1097,WorldCups!$A$2:$B$23,2,FALSE)</f>
        <v>France</v>
      </c>
      <c r="I1097" s="1" t="s">
        <v>57</v>
      </c>
      <c r="J1097" s="1">
        <v>2</v>
      </c>
      <c r="K1097" s="1" t="s">
        <v>36</v>
      </c>
      <c r="L1097" s="1">
        <v>1</v>
      </c>
      <c r="M1097" s="1" t="s">
        <v>14</v>
      </c>
    </row>
    <row r="1098" spans="1:13" hidden="1" x14ac:dyDescent="0.25">
      <c r="A1098" s="1">
        <v>1998</v>
      </c>
      <c r="B1098" s="1">
        <v>549</v>
      </c>
      <c r="C1098" s="2">
        <v>35969</v>
      </c>
      <c r="D1098" s="1" t="s">
        <v>503</v>
      </c>
      <c r="E1098" s="1" t="s">
        <v>213</v>
      </c>
      <c r="F1098" s="1" t="s">
        <v>344</v>
      </c>
      <c r="G1098" s="1" t="s">
        <v>345</v>
      </c>
      <c r="H1098" s="6" t="str">
        <f>VLOOKUP(A1098,WorldCups!$A$2:$B$23,2,FALSE)</f>
        <v>France</v>
      </c>
      <c r="I1098" s="1" t="s">
        <v>36</v>
      </c>
      <c r="J1098" s="1">
        <v>1</v>
      </c>
      <c r="K1098" s="1" t="s">
        <v>57</v>
      </c>
      <c r="L1098" s="1">
        <v>2</v>
      </c>
      <c r="M1098" s="1" t="s">
        <v>14</v>
      </c>
    </row>
    <row r="1099" spans="1:13" hidden="1" x14ac:dyDescent="0.25">
      <c r="A1099" s="1">
        <v>1998</v>
      </c>
      <c r="B1099" s="1">
        <f>B1098+1</f>
        <v>550</v>
      </c>
      <c r="C1099" s="2">
        <v>35969</v>
      </c>
      <c r="D1099" s="1" t="s">
        <v>503</v>
      </c>
      <c r="E1099" s="1" t="s">
        <v>213</v>
      </c>
      <c r="F1099" s="1" t="s">
        <v>351</v>
      </c>
      <c r="G1099" s="1" t="s">
        <v>352</v>
      </c>
      <c r="H1099" s="6" t="str">
        <f>VLOOKUP(A1099,WorldCups!$A$2:$B$23,2,FALSE)</f>
        <v>France</v>
      </c>
      <c r="I1099" s="1" t="s">
        <v>26</v>
      </c>
      <c r="J1099" s="1">
        <v>1</v>
      </c>
      <c r="K1099" s="1" t="s">
        <v>238</v>
      </c>
      <c r="L1099" s="1">
        <v>1</v>
      </c>
      <c r="M1099" s="1" t="s">
        <v>14</v>
      </c>
    </row>
    <row r="1100" spans="1:13" hidden="1" x14ac:dyDescent="0.25">
      <c r="A1100" s="1">
        <v>1998</v>
      </c>
      <c r="B1100" s="1">
        <v>550</v>
      </c>
      <c r="C1100" s="2">
        <v>35969</v>
      </c>
      <c r="D1100" s="1" t="s">
        <v>503</v>
      </c>
      <c r="E1100" s="1" t="s">
        <v>213</v>
      </c>
      <c r="F1100" s="1" t="s">
        <v>351</v>
      </c>
      <c r="G1100" s="1" t="s">
        <v>352</v>
      </c>
      <c r="H1100" s="6" t="str">
        <f>VLOOKUP(A1100,WorldCups!$A$2:$B$23,2,FALSE)</f>
        <v>France</v>
      </c>
      <c r="I1100" s="1" t="s">
        <v>238</v>
      </c>
      <c r="J1100" s="1">
        <v>1</v>
      </c>
      <c r="K1100" s="1" t="s">
        <v>26</v>
      </c>
      <c r="L1100" s="1">
        <v>1</v>
      </c>
      <c r="M1100" s="1" t="s">
        <v>14</v>
      </c>
    </row>
    <row r="1101" spans="1:13" hidden="1" x14ac:dyDescent="0.25">
      <c r="A1101" s="1">
        <v>1998</v>
      </c>
      <c r="B1101" s="1">
        <f>B1100+1</f>
        <v>551</v>
      </c>
      <c r="C1101" s="2">
        <v>35969</v>
      </c>
      <c r="D1101" s="1" t="s">
        <v>530</v>
      </c>
      <c r="E1101" s="1" t="s">
        <v>214</v>
      </c>
      <c r="F1101" s="1" t="s">
        <v>357</v>
      </c>
      <c r="G1101" s="1" t="s">
        <v>358</v>
      </c>
      <c r="H1101" s="6" t="str">
        <f>VLOOKUP(A1101,WorldCups!$A$2:$B$23,2,FALSE)</f>
        <v>France</v>
      </c>
      <c r="I1101" s="1" t="s">
        <v>109</v>
      </c>
      <c r="J1101" s="1">
        <v>0</v>
      </c>
      <c r="K1101" s="1" t="s">
        <v>188</v>
      </c>
      <c r="L1101" s="1">
        <v>3</v>
      </c>
      <c r="M1101" s="1" t="s">
        <v>14</v>
      </c>
    </row>
    <row r="1102" spans="1:13" hidden="1" x14ac:dyDescent="0.25">
      <c r="A1102" s="1">
        <v>1998</v>
      </c>
      <c r="B1102" s="1">
        <v>551</v>
      </c>
      <c r="C1102" s="2">
        <v>35969</v>
      </c>
      <c r="D1102" s="1" t="s">
        <v>530</v>
      </c>
      <c r="E1102" s="1" t="s">
        <v>214</v>
      </c>
      <c r="F1102" s="1" t="s">
        <v>357</v>
      </c>
      <c r="G1102" s="1" t="s">
        <v>358</v>
      </c>
      <c r="H1102" s="6" t="str">
        <f>VLOOKUP(A1102,WorldCups!$A$2:$B$23,2,FALSE)</f>
        <v>France</v>
      </c>
      <c r="I1102" s="1" t="s">
        <v>188</v>
      </c>
      <c r="J1102" s="1">
        <v>3</v>
      </c>
      <c r="K1102" s="1" t="s">
        <v>109</v>
      </c>
      <c r="L1102" s="1">
        <v>0</v>
      </c>
      <c r="M1102" s="1" t="s">
        <v>14</v>
      </c>
    </row>
    <row r="1103" spans="1:13" hidden="1" x14ac:dyDescent="0.25">
      <c r="A1103" s="1">
        <v>1998</v>
      </c>
      <c r="B1103" s="1">
        <f>B1102+1</f>
        <v>552</v>
      </c>
      <c r="C1103" s="2">
        <v>35969</v>
      </c>
      <c r="D1103" s="1" t="s">
        <v>530</v>
      </c>
      <c r="E1103" s="1" t="s">
        <v>214</v>
      </c>
      <c r="F1103" s="1" t="s">
        <v>75</v>
      </c>
      <c r="G1103" s="1" t="s">
        <v>76</v>
      </c>
      <c r="H1103" s="6" t="str">
        <f>VLOOKUP(A1103,WorldCups!$A$2:$B$23,2,FALSE)</f>
        <v>France</v>
      </c>
      <c r="I1103" s="1" t="s">
        <v>21</v>
      </c>
      <c r="J1103" s="1">
        <v>1</v>
      </c>
      <c r="K1103" s="1" t="s">
        <v>77</v>
      </c>
      <c r="L1103" s="1">
        <v>2</v>
      </c>
      <c r="M1103" s="1" t="s">
        <v>14</v>
      </c>
    </row>
    <row r="1104" spans="1:13" hidden="1" x14ac:dyDescent="0.25">
      <c r="A1104" s="1">
        <v>1998</v>
      </c>
      <c r="B1104" s="1">
        <v>552</v>
      </c>
      <c r="C1104" s="2">
        <v>35969</v>
      </c>
      <c r="D1104" s="1" t="s">
        <v>530</v>
      </c>
      <c r="E1104" s="1" t="s">
        <v>214</v>
      </c>
      <c r="F1104" s="1" t="s">
        <v>75</v>
      </c>
      <c r="G1104" s="1" t="s">
        <v>76</v>
      </c>
      <c r="H1104" s="6" t="str">
        <f>VLOOKUP(A1104,WorldCups!$A$2:$B$23,2,FALSE)</f>
        <v>France</v>
      </c>
      <c r="I1104" s="1" t="s">
        <v>77</v>
      </c>
      <c r="J1104" s="1">
        <v>2</v>
      </c>
      <c r="K1104" s="1" t="s">
        <v>21</v>
      </c>
      <c r="L1104" s="1">
        <v>1</v>
      </c>
      <c r="M1104" s="1" t="s">
        <v>14</v>
      </c>
    </row>
    <row r="1105" spans="1:13" hidden="1" x14ac:dyDescent="0.25">
      <c r="A1105" s="1">
        <v>1998</v>
      </c>
      <c r="B1105" s="1">
        <f>B1104+1</f>
        <v>553</v>
      </c>
      <c r="C1105" s="2">
        <v>35970</v>
      </c>
      <c r="D1105" s="1" t="s">
        <v>503</v>
      </c>
      <c r="E1105" s="1" t="s">
        <v>268</v>
      </c>
      <c r="F1105" s="1" t="s">
        <v>353</v>
      </c>
      <c r="G1105" s="1" t="s">
        <v>354</v>
      </c>
      <c r="H1105" s="6" t="str">
        <f>VLOOKUP(A1105,WorldCups!$A$2:$B$23,2,FALSE)</f>
        <v>France</v>
      </c>
      <c r="I1105" s="1" t="s">
        <v>12</v>
      </c>
      <c r="J1105" s="1">
        <v>2</v>
      </c>
      <c r="K1105" s="1" t="s">
        <v>284</v>
      </c>
      <c r="L1105" s="1">
        <v>1</v>
      </c>
      <c r="M1105" s="1" t="s">
        <v>14</v>
      </c>
    </row>
    <row r="1106" spans="1:13" hidden="1" x14ac:dyDescent="0.25">
      <c r="A1106" s="1">
        <v>1998</v>
      </c>
      <c r="B1106" s="1">
        <v>553</v>
      </c>
      <c r="C1106" s="2">
        <v>35970</v>
      </c>
      <c r="D1106" s="1" t="s">
        <v>503</v>
      </c>
      <c r="E1106" s="1" t="s">
        <v>268</v>
      </c>
      <c r="F1106" s="1" t="s">
        <v>353</v>
      </c>
      <c r="G1106" s="1" t="s">
        <v>354</v>
      </c>
      <c r="H1106" s="6" t="str">
        <f>VLOOKUP(A1106,WorldCups!$A$2:$B$23,2,FALSE)</f>
        <v>France</v>
      </c>
      <c r="I1106" s="1" t="s">
        <v>284</v>
      </c>
      <c r="J1106" s="1">
        <v>1</v>
      </c>
      <c r="K1106" s="1" t="s">
        <v>12</v>
      </c>
      <c r="L1106" s="1">
        <v>2</v>
      </c>
      <c r="M1106" s="1" t="s">
        <v>14</v>
      </c>
    </row>
    <row r="1107" spans="1:13" hidden="1" x14ac:dyDescent="0.25">
      <c r="A1107" s="1">
        <v>1998</v>
      </c>
      <c r="B1107" s="1">
        <f>B1106+1</f>
        <v>554</v>
      </c>
      <c r="C1107" s="2">
        <v>35970</v>
      </c>
      <c r="D1107" s="1" t="s">
        <v>503</v>
      </c>
      <c r="E1107" s="1" t="s">
        <v>268</v>
      </c>
      <c r="F1107" s="1" t="s">
        <v>85</v>
      </c>
      <c r="G1107" s="1" t="s">
        <v>86</v>
      </c>
      <c r="H1107" s="6" t="str">
        <f>VLOOKUP(A1107,WorldCups!$A$2:$B$23,2,FALSE)</f>
        <v>France</v>
      </c>
      <c r="I1107" s="1" t="s">
        <v>350</v>
      </c>
      <c r="J1107" s="1">
        <v>2</v>
      </c>
      <c r="K1107" s="1" t="s">
        <v>333</v>
      </c>
      <c r="L1107" s="1">
        <v>2</v>
      </c>
      <c r="M1107" s="1" t="s">
        <v>14</v>
      </c>
    </row>
    <row r="1108" spans="1:13" hidden="1" x14ac:dyDescent="0.25">
      <c r="A1108" s="1">
        <v>1998</v>
      </c>
      <c r="B1108" s="1">
        <v>554</v>
      </c>
      <c r="C1108" s="2">
        <v>35970</v>
      </c>
      <c r="D1108" s="1" t="s">
        <v>503</v>
      </c>
      <c r="E1108" s="1" t="s">
        <v>268</v>
      </c>
      <c r="F1108" s="1" t="s">
        <v>85</v>
      </c>
      <c r="G1108" s="1" t="s">
        <v>86</v>
      </c>
      <c r="H1108" s="6" t="str">
        <f>VLOOKUP(A1108,WorldCups!$A$2:$B$23,2,FALSE)</f>
        <v>France</v>
      </c>
      <c r="I1108" s="1" t="s">
        <v>333</v>
      </c>
      <c r="J1108" s="1">
        <v>2</v>
      </c>
      <c r="K1108" s="1" t="s">
        <v>350</v>
      </c>
      <c r="L1108" s="1">
        <v>2</v>
      </c>
      <c r="M1108" s="1" t="s">
        <v>14</v>
      </c>
    </row>
    <row r="1109" spans="1:13" hidden="1" x14ac:dyDescent="0.25">
      <c r="A1109" s="1">
        <v>1998</v>
      </c>
      <c r="B1109" s="1">
        <f>B1108+1</f>
        <v>555</v>
      </c>
      <c r="C1109" s="2">
        <v>35970</v>
      </c>
      <c r="D1109" s="1" t="s">
        <v>530</v>
      </c>
      <c r="E1109" s="1" t="s">
        <v>270</v>
      </c>
      <c r="F1109" s="1" t="s">
        <v>348</v>
      </c>
      <c r="G1109" s="1" t="s">
        <v>349</v>
      </c>
      <c r="H1109" s="6" t="str">
        <f>VLOOKUP(A1109,WorldCups!$A$2:$B$23,2,FALSE)</f>
        <v>France</v>
      </c>
      <c r="I1109" s="1" t="s">
        <v>54</v>
      </c>
      <c r="J1109" s="1">
        <v>6</v>
      </c>
      <c r="K1109" s="1" t="s">
        <v>156</v>
      </c>
      <c r="L1109" s="1">
        <v>1</v>
      </c>
      <c r="M1109" s="1" t="s">
        <v>14</v>
      </c>
    </row>
    <row r="1110" spans="1:13" hidden="1" x14ac:dyDescent="0.25">
      <c r="A1110" s="1">
        <v>1998</v>
      </c>
      <c r="B1110" s="1">
        <v>555</v>
      </c>
      <c r="C1110" s="2">
        <v>35970</v>
      </c>
      <c r="D1110" s="1" t="s">
        <v>530</v>
      </c>
      <c r="E1110" s="1" t="s">
        <v>270</v>
      </c>
      <c r="F1110" s="1" t="s">
        <v>348</v>
      </c>
      <c r="G1110" s="1" t="s">
        <v>349</v>
      </c>
      <c r="H1110" s="6" t="str">
        <f>VLOOKUP(A1110,WorldCups!$A$2:$B$23,2,FALSE)</f>
        <v>France</v>
      </c>
      <c r="I1110" s="1" t="s">
        <v>156</v>
      </c>
      <c r="J1110" s="1">
        <v>1</v>
      </c>
      <c r="K1110" s="1" t="s">
        <v>54</v>
      </c>
      <c r="L1110" s="1">
        <v>6</v>
      </c>
      <c r="M1110" s="1" t="s">
        <v>14</v>
      </c>
    </row>
    <row r="1111" spans="1:13" hidden="1" x14ac:dyDescent="0.25">
      <c r="A1111" s="1">
        <v>1998</v>
      </c>
      <c r="B1111" s="1">
        <f>B1110+1</f>
        <v>556</v>
      </c>
      <c r="C1111" s="2">
        <v>35970</v>
      </c>
      <c r="D1111" s="1" t="s">
        <v>530</v>
      </c>
      <c r="E1111" s="1" t="s">
        <v>270</v>
      </c>
      <c r="F1111" s="1" t="s">
        <v>72</v>
      </c>
      <c r="G1111" s="1" t="s">
        <v>73</v>
      </c>
      <c r="H1111" s="6" t="str">
        <f>VLOOKUP(A1111,WorldCups!$A$2:$B$23,2,FALSE)</f>
        <v>France</v>
      </c>
      <c r="I1111" s="1" t="s">
        <v>340</v>
      </c>
      <c r="J1111" s="1">
        <v>1</v>
      </c>
      <c r="K1111" s="1" t="s">
        <v>28</v>
      </c>
      <c r="L1111" s="1">
        <v>3</v>
      </c>
      <c r="M1111" s="1" t="s">
        <v>14</v>
      </c>
    </row>
    <row r="1112" spans="1:13" hidden="1" x14ac:dyDescent="0.25">
      <c r="A1112" s="1">
        <v>1998</v>
      </c>
      <c r="B1112" s="1">
        <v>556</v>
      </c>
      <c r="C1112" s="2">
        <v>35970</v>
      </c>
      <c r="D1112" s="1" t="s">
        <v>530</v>
      </c>
      <c r="E1112" s="1" t="s">
        <v>270</v>
      </c>
      <c r="F1112" s="1" t="s">
        <v>72</v>
      </c>
      <c r="G1112" s="1" t="s">
        <v>73</v>
      </c>
      <c r="H1112" s="6" t="str">
        <f>VLOOKUP(A1112,WorldCups!$A$2:$B$23,2,FALSE)</f>
        <v>France</v>
      </c>
      <c r="I1112" s="1" t="s">
        <v>28</v>
      </c>
      <c r="J1112" s="1">
        <v>3</v>
      </c>
      <c r="K1112" s="1" t="s">
        <v>340</v>
      </c>
      <c r="L1112" s="1">
        <v>1</v>
      </c>
      <c r="M1112" s="1" t="s">
        <v>14</v>
      </c>
    </row>
    <row r="1113" spans="1:13" hidden="1" x14ac:dyDescent="0.25">
      <c r="A1113" s="1">
        <v>1998</v>
      </c>
      <c r="B1113" s="1">
        <f>B1112+1</f>
        <v>557</v>
      </c>
      <c r="C1113" s="2">
        <v>35971</v>
      </c>
      <c r="D1113" s="1" t="s">
        <v>503</v>
      </c>
      <c r="E1113" s="1" t="s">
        <v>281</v>
      </c>
      <c r="F1113" s="1" t="s">
        <v>65</v>
      </c>
      <c r="G1113" s="1" t="s">
        <v>66</v>
      </c>
      <c r="H1113" s="6" t="str">
        <f>VLOOKUP(A1113,WorldCups!$A$2:$B$23,2,FALSE)</f>
        <v>France</v>
      </c>
      <c r="I1113" s="1" t="s">
        <v>18</v>
      </c>
      <c r="J1113" s="1">
        <v>1</v>
      </c>
      <c r="K1113" s="1" t="s">
        <v>116</v>
      </c>
      <c r="L1113" s="1">
        <v>1</v>
      </c>
      <c r="M1113" s="1" t="s">
        <v>14</v>
      </c>
    </row>
    <row r="1114" spans="1:13" hidden="1" x14ac:dyDescent="0.25">
      <c r="A1114" s="1">
        <v>1998</v>
      </c>
      <c r="B1114" s="1">
        <v>557</v>
      </c>
      <c r="C1114" s="2">
        <v>35971</v>
      </c>
      <c r="D1114" s="1" t="s">
        <v>503</v>
      </c>
      <c r="E1114" s="1" t="s">
        <v>281</v>
      </c>
      <c r="F1114" s="1" t="s">
        <v>65</v>
      </c>
      <c r="G1114" s="1" t="s">
        <v>66</v>
      </c>
      <c r="H1114" s="6" t="str">
        <f>VLOOKUP(A1114,WorldCups!$A$2:$B$23,2,FALSE)</f>
        <v>France</v>
      </c>
      <c r="I1114" s="1" t="s">
        <v>116</v>
      </c>
      <c r="J1114" s="1">
        <v>1</v>
      </c>
      <c r="K1114" s="1" t="s">
        <v>18</v>
      </c>
      <c r="L1114" s="1">
        <v>1</v>
      </c>
      <c r="M1114" s="1" t="s">
        <v>14</v>
      </c>
    </row>
    <row r="1115" spans="1:13" hidden="1" x14ac:dyDescent="0.25">
      <c r="A1115" s="1">
        <v>1998</v>
      </c>
      <c r="B1115" s="1">
        <f>B1114+1</f>
        <v>558</v>
      </c>
      <c r="C1115" s="2">
        <v>35971</v>
      </c>
      <c r="D1115" s="1" t="s">
        <v>503</v>
      </c>
      <c r="E1115" s="1" t="s">
        <v>281</v>
      </c>
      <c r="F1115" s="1" t="s">
        <v>357</v>
      </c>
      <c r="G1115" s="1" t="s">
        <v>358</v>
      </c>
      <c r="H1115" s="6" t="str">
        <f>VLOOKUP(A1115,WorldCups!$A$2:$B$23,2,FALSE)</f>
        <v>France</v>
      </c>
      <c r="I1115" s="1" t="s">
        <v>45</v>
      </c>
      <c r="J1115" s="1">
        <v>2</v>
      </c>
      <c r="K1115" s="1" t="s">
        <v>13</v>
      </c>
      <c r="L1115" s="1">
        <v>2</v>
      </c>
      <c r="M1115" s="1" t="s">
        <v>14</v>
      </c>
    </row>
    <row r="1116" spans="1:13" hidden="1" x14ac:dyDescent="0.25">
      <c r="A1116" s="1">
        <v>1998</v>
      </c>
      <c r="B1116" s="1">
        <v>558</v>
      </c>
      <c r="C1116" s="2">
        <v>35971</v>
      </c>
      <c r="D1116" s="1" t="s">
        <v>503</v>
      </c>
      <c r="E1116" s="1" t="s">
        <v>281</v>
      </c>
      <c r="F1116" s="1" t="s">
        <v>357</v>
      </c>
      <c r="G1116" s="1" t="s">
        <v>358</v>
      </c>
      <c r="H1116" s="6" t="str">
        <f>VLOOKUP(A1116,WorldCups!$A$2:$B$23,2,FALSE)</f>
        <v>France</v>
      </c>
      <c r="I1116" s="1" t="s">
        <v>13</v>
      </c>
      <c r="J1116" s="1">
        <v>2</v>
      </c>
      <c r="K1116" s="1" t="s">
        <v>45</v>
      </c>
      <c r="L1116" s="1">
        <v>2</v>
      </c>
      <c r="M1116" s="1" t="s">
        <v>14</v>
      </c>
    </row>
    <row r="1117" spans="1:13" hidden="1" x14ac:dyDescent="0.25">
      <c r="A1117" s="1">
        <v>1998</v>
      </c>
      <c r="B1117" s="1">
        <f>B1116+1</f>
        <v>559</v>
      </c>
      <c r="C1117" s="2">
        <v>35971</v>
      </c>
      <c r="D1117" s="1" t="s">
        <v>530</v>
      </c>
      <c r="E1117" s="1" t="s">
        <v>274</v>
      </c>
      <c r="F1117" s="1" t="s">
        <v>346</v>
      </c>
      <c r="G1117" s="1" t="s">
        <v>347</v>
      </c>
      <c r="H1117" s="6" t="str">
        <f>VLOOKUP(A1117,WorldCups!$A$2:$B$23,2,FALSE)</f>
        <v>France</v>
      </c>
      <c r="I1117" s="1" t="s">
        <v>51</v>
      </c>
      <c r="J1117" s="1">
        <v>2</v>
      </c>
      <c r="K1117" s="1" t="s">
        <v>228</v>
      </c>
      <c r="L1117" s="1">
        <v>0</v>
      </c>
      <c r="M1117" s="1" t="s">
        <v>14</v>
      </c>
    </row>
    <row r="1118" spans="1:13" hidden="1" x14ac:dyDescent="0.25">
      <c r="A1118" s="1">
        <v>1998</v>
      </c>
      <c r="B1118" s="1">
        <v>559</v>
      </c>
      <c r="C1118" s="2">
        <v>35971</v>
      </c>
      <c r="D1118" s="1" t="s">
        <v>530</v>
      </c>
      <c r="E1118" s="1" t="s">
        <v>274</v>
      </c>
      <c r="F1118" s="1" t="s">
        <v>346</v>
      </c>
      <c r="G1118" s="1" t="s">
        <v>347</v>
      </c>
      <c r="H1118" s="6" t="str">
        <f>VLOOKUP(A1118,WorldCups!$A$2:$B$23,2,FALSE)</f>
        <v>France</v>
      </c>
      <c r="I1118" s="1" t="s">
        <v>228</v>
      </c>
      <c r="J1118" s="1">
        <v>0</v>
      </c>
      <c r="K1118" s="1" t="s">
        <v>51</v>
      </c>
      <c r="L1118" s="1">
        <v>2</v>
      </c>
      <c r="M1118" s="1" t="s">
        <v>14</v>
      </c>
    </row>
    <row r="1119" spans="1:13" hidden="1" x14ac:dyDescent="0.25">
      <c r="A1119" s="1">
        <v>1998</v>
      </c>
      <c r="B1119" s="1">
        <f>B1118+1</f>
        <v>560</v>
      </c>
      <c r="C1119" s="2">
        <v>35971</v>
      </c>
      <c r="D1119" s="1" t="s">
        <v>530</v>
      </c>
      <c r="E1119" s="1" t="s">
        <v>274</v>
      </c>
      <c r="F1119" s="1" t="s">
        <v>351</v>
      </c>
      <c r="G1119" s="1" t="s">
        <v>352</v>
      </c>
      <c r="H1119" s="6" t="str">
        <f>VLOOKUP(A1119,WorldCups!$A$2:$B$23,2,FALSE)</f>
        <v>France</v>
      </c>
      <c r="I1119" s="1" t="s">
        <v>17</v>
      </c>
      <c r="J1119" s="1">
        <v>0</v>
      </c>
      <c r="K1119" s="1" t="s">
        <v>20</v>
      </c>
      <c r="L1119" s="1">
        <v>1</v>
      </c>
      <c r="M1119" s="1" t="s">
        <v>14</v>
      </c>
    </row>
    <row r="1120" spans="1:13" hidden="1" x14ac:dyDescent="0.25">
      <c r="A1120" s="1">
        <v>1998</v>
      </c>
      <c r="B1120" s="1">
        <v>560</v>
      </c>
      <c r="C1120" s="2">
        <v>35971</v>
      </c>
      <c r="D1120" s="1" t="s">
        <v>530</v>
      </c>
      <c r="E1120" s="1" t="s">
        <v>274</v>
      </c>
      <c r="F1120" s="1" t="s">
        <v>351</v>
      </c>
      <c r="G1120" s="1" t="s">
        <v>352</v>
      </c>
      <c r="H1120" s="6" t="str">
        <f>VLOOKUP(A1120,WorldCups!$A$2:$B$23,2,FALSE)</f>
        <v>France</v>
      </c>
      <c r="I1120" s="1" t="s">
        <v>20</v>
      </c>
      <c r="J1120" s="1">
        <v>1</v>
      </c>
      <c r="K1120" s="1" t="s">
        <v>17</v>
      </c>
      <c r="L1120" s="1">
        <v>0</v>
      </c>
      <c r="M1120" s="1" t="s">
        <v>14</v>
      </c>
    </row>
    <row r="1121" spans="1:13" hidden="1" x14ac:dyDescent="0.25">
      <c r="A1121" s="1">
        <v>1998</v>
      </c>
      <c r="B1121" s="1">
        <f>B1120+1</f>
        <v>561</v>
      </c>
      <c r="C1121" s="2">
        <v>35972</v>
      </c>
      <c r="D1121" s="1" t="s">
        <v>503</v>
      </c>
      <c r="E1121" s="1" t="s">
        <v>355</v>
      </c>
      <c r="F1121" s="1" t="s">
        <v>353</v>
      </c>
      <c r="G1121" s="1" t="s">
        <v>354</v>
      </c>
      <c r="H1121" s="6" t="str">
        <f>VLOOKUP(A1121,WorldCups!$A$2:$B$23,2,FALSE)</f>
        <v>France</v>
      </c>
      <c r="I1121" s="1" t="s">
        <v>356</v>
      </c>
      <c r="J1121" s="1">
        <v>1</v>
      </c>
      <c r="K1121" s="1" t="s">
        <v>359</v>
      </c>
      <c r="L1121" s="1">
        <v>2</v>
      </c>
      <c r="M1121" s="1" t="s">
        <v>14</v>
      </c>
    </row>
    <row r="1122" spans="1:13" hidden="1" x14ac:dyDescent="0.25">
      <c r="A1122" s="1">
        <v>1998</v>
      </c>
      <c r="B1122" s="1">
        <v>561</v>
      </c>
      <c r="C1122" s="2">
        <v>35972</v>
      </c>
      <c r="D1122" s="1" t="s">
        <v>503</v>
      </c>
      <c r="E1122" s="1" t="s">
        <v>355</v>
      </c>
      <c r="F1122" s="1" t="s">
        <v>353</v>
      </c>
      <c r="G1122" s="1" t="s">
        <v>354</v>
      </c>
      <c r="H1122" s="6" t="str">
        <f>VLOOKUP(A1122,WorldCups!$A$2:$B$23,2,FALSE)</f>
        <v>France</v>
      </c>
      <c r="I1122" s="1" t="s">
        <v>359</v>
      </c>
      <c r="J1122" s="1">
        <v>2</v>
      </c>
      <c r="K1122" s="1" t="s">
        <v>356</v>
      </c>
      <c r="L1122" s="1">
        <v>1</v>
      </c>
      <c r="M1122" s="1" t="s">
        <v>14</v>
      </c>
    </row>
    <row r="1123" spans="1:13" hidden="1" x14ac:dyDescent="0.25">
      <c r="A1123" s="1">
        <v>1998</v>
      </c>
      <c r="B1123" s="1">
        <f>B1122+1</f>
        <v>562</v>
      </c>
      <c r="C1123" s="2">
        <v>35972</v>
      </c>
      <c r="D1123" s="1" t="s">
        <v>503</v>
      </c>
      <c r="E1123" s="1" t="s">
        <v>355</v>
      </c>
      <c r="F1123" s="1" t="s">
        <v>85</v>
      </c>
      <c r="G1123" s="1" t="s">
        <v>86</v>
      </c>
      <c r="H1123" s="6" t="str">
        <f>VLOOKUP(A1123,WorldCups!$A$2:$B$23,2,FALSE)</f>
        <v>France</v>
      </c>
      <c r="I1123" s="1" t="s">
        <v>25</v>
      </c>
      <c r="J1123" s="1">
        <v>1</v>
      </c>
      <c r="K1123" s="1" t="s">
        <v>360</v>
      </c>
      <c r="L1123" s="1">
        <v>0</v>
      </c>
      <c r="M1123" s="1" t="s">
        <v>14</v>
      </c>
    </row>
    <row r="1124" spans="1:13" hidden="1" x14ac:dyDescent="0.25">
      <c r="A1124" s="1">
        <v>1998</v>
      </c>
      <c r="B1124" s="1">
        <v>562</v>
      </c>
      <c r="C1124" s="2">
        <v>35972</v>
      </c>
      <c r="D1124" s="1" t="s">
        <v>503</v>
      </c>
      <c r="E1124" s="1" t="s">
        <v>355</v>
      </c>
      <c r="F1124" s="1" t="s">
        <v>85</v>
      </c>
      <c r="G1124" s="1" t="s">
        <v>86</v>
      </c>
      <c r="H1124" s="6" t="str">
        <f>VLOOKUP(A1124,WorldCups!$A$2:$B$23,2,FALSE)</f>
        <v>France</v>
      </c>
      <c r="I1124" s="1" t="s">
        <v>360</v>
      </c>
      <c r="J1124" s="1">
        <v>0</v>
      </c>
      <c r="K1124" s="1" t="s">
        <v>25</v>
      </c>
      <c r="L1124" s="1">
        <v>1</v>
      </c>
      <c r="M1124" s="1" t="s">
        <v>14</v>
      </c>
    </row>
    <row r="1125" spans="1:13" hidden="1" x14ac:dyDescent="0.25">
      <c r="A1125" s="1">
        <v>1998</v>
      </c>
      <c r="B1125" s="1">
        <f>B1124+1</f>
        <v>563</v>
      </c>
      <c r="C1125" s="2">
        <v>35972</v>
      </c>
      <c r="D1125" s="1" t="s">
        <v>530</v>
      </c>
      <c r="E1125" s="1" t="s">
        <v>361</v>
      </c>
      <c r="F1125" s="1" t="s">
        <v>344</v>
      </c>
      <c r="G1125" s="1" t="s">
        <v>345</v>
      </c>
      <c r="H1125" s="6" t="str">
        <f>VLOOKUP(A1125,WorldCups!$A$2:$B$23,2,FALSE)</f>
        <v>France</v>
      </c>
      <c r="I1125" s="1" t="s">
        <v>23</v>
      </c>
      <c r="J1125" s="1">
        <v>1</v>
      </c>
      <c r="K1125" s="1" t="s">
        <v>221</v>
      </c>
      <c r="L1125" s="1">
        <v>1</v>
      </c>
      <c r="M1125" s="1" t="s">
        <v>14</v>
      </c>
    </row>
    <row r="1126" spans="1:13" hidden="1" x14ac:dyDescent="0.25">
      <c r="A1126" s="1">
        <v>1998</v>
      </c>
      <c r="B1126" s="1">
        <v>563</v>
      </c>
      <c r="C1126" s="2">
        <v>35972</v>
      </c>
      <c r="D1126" s="1" t="s">
        <v>530</v>
      </c>
      <c r="E1126" s="1" t="s">
        <v>361</v>
      </c>
      <c r="F1126" s="1" t="s">
        <v>344</v>
      </c>
      <c r="G1126" s="1" t="s">
        <v>345</v>
      </c>
      <c r="H1126" s="6" t="str">
        <f>VLOOKUP(A1126,WorldCups!$A$2:$B$23,2,FALSE)</f>
        <v>France</v>
      </c>
      <c r="I1126" s="1" t="s">
        <v>221</v>
      </c>
      <c r="J1126" s="1">
        <v>1</v>
      </c>
      <c r="K1126" s="1" t="s">
        <v>23</v>
      </c>
      <c r="L1126" s="1">
        <v>1</v>
      </c>
      <c r="M1126" s="1" t="s">
        <v>14</v>
      </c>
    </row>
    <row r="1127" spans="1:13" hidden="1" x14ac:dyDescent="0.25">
      <c r="A1127" s="1">
        <v>1998</v>
      </c>
      <c r="B1127" s="1">
        <f>B1126+1</f>
        <v>564</v>
      </c>
      <c r="C1127" s="2">
        <v>35972</v>
      </c>
      <c r="D1127" s="1" t="s">
        <v>530</v>
      </c>
      <c r="E1127" s="1" t="s">
        <v>361</v>
      </c>
      <c r="F1127" s="1" t="s">
        <v>348</v>
      </c>
      <c r="G1127" s="1" t="s">
        <v>349</v>
      </c>
      <c r="H1127" s="6" t="str">
        <f>VLOOKUP(A1127,WorldCups!$A$2:$B$23,2,FALSE)</f>
        <v>France</v>
      </c>
      <c r="I1127" s="1" t="s">
        <v>151</v>
      </c>
      <c r="J1127" s="1">
        <v>0</v>
      </c>
      <c r="K1127" s="1" t="s">
        <v>93</v>
      </c>
      <c r="L1127" s="1">
        <v>2</v>
      </c>
      <c r="M1127" s="1" t="s">
        <v>14</v>
      </c>
    </row>
    <row r="1128" spans="1:13" hidden="1" x14ac:dyDescent="0.25">
      <c r="A1128" s="1">
        <v>1998</v>
      </c>
      <c r="B1128" s="1">
        <v>564</v>
      </c>
      <c r="C1128" s="2">
        <v>35972</v>
      </c>
      <c r="D1128" s="1" t="s">
        <v>530</v>
      </c>
      <c r="E1128" s="1" t="s">
        <v>361</v>
      </c>
      <c r="F1128" s="1" t="s">
        <v>348</v>
      </c>
      <c r="G1128" s="1" t="s">
        <v>349</v>
      </c>
      <c r="H1128" s="6" t="str">
        <f>VLOOKUP(A1128,WorldCups!$A$2:$B$23,2,FALSE)</f>
        <v>France</v>
      </c>
      <c r="I1128" s="1" t="s">
        <v>93</v>
      </c>
      <c r="J1128" s="1">
        <v>2</v>
      </c>
      <c r="K1128" s="1" t="s">
        <v>151</v>
      </c>
      <c r="L1128" s="1">
        <v>0</v>
      </c>
      <c r="M1128" s="1" t="s">
        <v>14</v>
      </c>
    </row>
    <row r="1129" spans="1:13" hidden="1" x14ac:dyDescent="0.25">
      <c r="A1129" s="1">
        <v>1998</v>
      </c>
      <c r="B1129" s="1">
        <f>B1128+1</f>
        <v>565</v>
      </c>
      <c r="C1129" s="2">
        <v>35973</v>
      </c>
      <c r="D1129" s="1" t="s">
        <v>509</v>
      </c>
      <c r="E1129" s="1" t="s">
        <v>287</v>
      </c>
      <c r="F1129" s="1" t="s">
        <v>75</v>
      </c>
      <c r="G1129" s="1" t="s">
        <v>76</v>
      </c>
      <c r="H1129" s="6" t="str">
        <f>VLOOKUP(A1129,WorldCups!$A$2:$B$23,2,FALSE)</f>
        <v>France</v>
      </c>
      <c r="I1129" s="1" t="s">
        <v>57</v>
      </c>
      <c r="J1129" s="1">
        <v>1</v>
      </c>
      <c r="K1129" s="1" t="s">
        <v>77</v>
      </c>
      <c r="L1129" s="1">
        <v>0</v>
      </c>
      <c r="M1129" s="1" t="s">
        <v>14</v>
      </c>
    </row>
    <row r="1130" spans="1:13" hidden="1" x14ac:dyDescent="0.25">
      <c r="A1130" s="1">
        <v>1998</v>
      </c>
      <c r="B1130" s="1">
        <v>565</v>
      </c>
      <c r="C1130" s="2">
        <v>35973</v>
      </c>
      <c r="D1130" s="1" t="s">
        <v>509</v>
      </c>
      <c r="E1130" s="1" t="s">
        <v>287</v>
      </c>
      <c r="F1130" s="1" t="s">
        <v>75</v>
      </c>
      <c r="G1130" s="1" t="s">
        <v>76</v>
      </c>
      <c r="H1130" s="6" t="str">
        <f>VLOOKUP(A1130,WorldCups!$A$2:$B$23,2,FALSE)</f>
        <v>France</v>
      </c>
      <c r="I1130" s="1" t="s">
        <v>77</v>
      </c>
      <c r="J1130" s="1">
        <v>0</v>
      </c>
      <c r="K1130" s="1" t="s">
        <v>57</v>
      </c>
      <c r="L1130" s="1">
        <v>1</v>
      </c>
      <c r="M1130" s="1" t="s">
        <v>14</v>
      </c>
    </row>
    <row r="1131" spans="1:13" hidden="1" x14ac:dyDescent="0.25">
      <c r="A1131" s="1">
        <v>1998</v>
      </c>
      <c r="B1131" s="1">
        <f>B1130+1</f>
        <v>566</v>
      </c>
      <c r="C1131" s="2">
        <v>35973</v>
      </c>
      <c r="D1131" s="1" t="s">
        <v>530</v>
      </c>
      <c r="E1131" s="1" t="s">
        <v>287</v>
      </c>
      <c r="F1131" s="1" t="s">
        <v>65</v>
      </c>
      <c r="G1131" s="1" t="s">
        <v>66</v>
      </c>
      <c r="H1131" s="6" t="str">
        <f>VLOOKUP(A1131,WorldCups!$A$2:$B$23,2,FALSE)</f>
        <v>France</v>
      </c>
      <c r="I1131" s="1" t="s">
        <v>21</v>
      </c>
      <c r="J1131" s="1">
        <v>4</v>
      </c>
      <c r="K1131" s="1" t="s">
        <v>26</v>
      </c>
      <c r="L1131" s="1">
        <v>1</v>
      </c>
      <c r="M1131" s="1" t="s">
        <v>14</v>
      </c>
    </row>
    <row r="1132" spans="1:13" hidden="1" x14ac:dyDescent="0.25">
      <c r="A1132" s="1">
        <v>1998</v>
      </c>
      <c r="B1132" s="1">
        <v>566</v>
      </c>
      <c r="C1132" s="2">
        <v>35973</v>
      </c>
      <c r="D1132" s="1" t="s">
        <v>530</v>
      </c>
      <c r="E1132" s="1" t="s">
        <v>287</v>
      </c>
      <c r="F1132" s="1" t="s">
        <v>65</v>
      </c>
      <c r="G1132" s="1" t="s">
        <v>66</v>
      </c>
      <c r="H1132" s="6" t="str">
        <f>VLOOKUP(A1132,WorldCups!$A$2:$B$23,2,FALSE)</f>
        <v>France</v>
      </c>
      <c r="I1132" s="1" t="s">
        <v>26</v>
      </c>
      <c r="J1132" s="1">
        <v>1</v>
      </c>
      <c r="K1132" s="1" t="s">
        <v>21</v>
      </c>
      <c r="L1132" s="1">
        <v>4</v>
      </c>
      <c r="M1132" s="1" t="s">
        <v>14</v>
      </c>
    </row>
    <row r="1133" spans="1:13" hidden="1" x14ac:dyDescent="0.25">
      <c r="A1133" s="1">
        <v>1998</v>
      </c>
      <c r="B1133" s="1">
        <f>B1132+1</f>
        <v>567</v>
      </c>
      <c r="C1133" s="2">
        <v>35974</v>
      </c>
      <c r="D1133" s="1" t="s">
        <v>509</v>
      </c>
      <c r="E1133" s="1" t="s">
        <v>287</v>
      </c>
      <c r="F1133" s="1" t="s">
        <v>348</v>
      </c>
      <c r="G1133" s="1" t="s">
        <v>349</v>
      </c>
      <c r="H1133" s="6" t="str">
        <f>VLOOKUP(A1133,WorldCups!$A$2:$B$23,2,FALSE)</f>
        <v>France</v>
      </c>
      <c r="I1133" s="1" t="s">
        <v>12</v>
      </c>
      <c r="J1133" s="1">
        <v>1</v>
      </c>
      <c r="K1133" s="1" t="s">
        <v>28</v>
      </c>
      <c r="L1133" s="1">
        <v>0</v>
      </c>
      <c r="M1133" s="1" t="s">
        <v>292</v>
      </c>
    </row>
    <row r="1134" spans="1:13" hidden="1" x14ac:dyDescent="0.25">
      <c r="A1134" s="1">
        <v>1998</v>
      </c>
      <c r="B1134" s="1">
        <v>567</v>
      </c>
      <c r="C1134" s="2">
        <v>35974</v>
      </c>
      <c r="D1134" s="1" t="s">
        <v>509</v>
      </c>
      <c r="E1134" s="1" t="s">
        <v>287</v>
      </c>
      <c r="F1134" s="1" t="s">
        <v>348</v>
      </c>
      <c r="G1134" s="1" t="s">
        <v>349</v>
      </c>
      <c r="H1134" s="6" t="str">
        <f>VLOOKUP(A1134,WorldCups!$A$2:$B$23,2,FALSE)</f>
        <v>France</v>
      </c>
      <c r="I1134" s="1" t="s">
        <v>28</v>
      </c>
      <c r="J1134" s="1">
        <v>0</v>
      </c>
      <c r="K1134" s="1" t="s">
        <v>12</v>
      </c>
      <c r="L1134" s="1">
        <v>1</v>
      </c>
      <c r="M1134" s="1" t="s">
        <v>292</v>
      </c>
    </row>
    <row r="1135" spans="1:13" hidden="1" x14ac:dyDescent="0.25">
      <c r="A1135" s="1">
        <v>1998</v>
      </c>
      <c r="B1135" s="1">
        <f>B1134+1</f>
        <v>568</v>
      </c>
      <c r="C1135" s="2">
        <v>35974</v>
      </c>
      <c r="D1135" s="1" t="s">
        <v>530</v>
      </c>
      <c r="E1135" s="1" t="s">
        <v>287</v>
      </c>
      <c r="F1135" s="1" t="s">
        <v>344</v>
      </c>
      <c r="G1135" s="1" t="s">
        <v>345</v>
      </c>
      <c r="H1135" s="6" t="str">
        <f>VLOOKUP(A1135,WorldCups!$A$2:$B$23,2,FALSE)</f>
        <v>France</v>
      </c>
      <c r="I1135" s="1" t="s">
        <v>340</v>
      </c>
      <c r="J1135" s="1">
        <v>1</v>
      </c>
      <c r="K1135" s="1" t="s">
        <v>284</v>
      </c>
      <c r="L1135" s="1">
        <v>4</v>
      </c>
      <c r="M1135" s="1" t="s">
        <v>14</v>
      </c>
    </row>
    <row r="1136" spans="1:13" hidden="1" x14ac:dyDescent="0.25">
      <c r="A1136" s="1">
        <v>1998</v>
      </c>
      <c r="B1136" s="1">
        <v>568</v>
      </c>
      <c r="C1136" s="2">
        <v>35974</v>
      </c>
      <c r="D1136" s="1" t="s">
        <v>530</v>
      </c>
      <c r="E1136" s="1" t="s">
        <v>287</v>
      </c>
      <c r="F1136" s="1" t="s">
        <v>344</v>
      </c>
      <c r="G1136" s="1" t="s">
        <v>345</v>
      </c>
      <c r="H1136" s="6" t="str">
        <f>VLOOKUP(A1136,WorldCups!$A$2:$B$23,2,FALSE)</f>
        <v>France</v>
      </c>
      <c r="I1136" s="1" t="s">
        <v>284</v>
      </c>
      <c r="J1136" s="1">
        <v>4</v>
      </c>
      <c r="K1136" s="1" t="s">
        <v>340</v>
      </c>
      <c r="L1136" s="1">
        <v>1</v>
      </c>
      <c r="M1136" s="1" t="s">
        <v>14</v>
      </c>
    </row>
    <row r="1137" spans="1:13" hidden="1" x14ac:dyDescent="0.25">
      <c r="A1137" s="1">
        <v>1998</v>
      </c>
      <c r="B1137" s="1">
        <f>B1136+1</f>
        <v>569</v>
      </c>
      <c r="C1137" s="2">
        <v>35975</v>
      </c>
      <c r="D1137" s="1" t="s">
        <v>509</v>
      </c>
      <c r="E1137" s="1" t="s">
        <v>287</v>
      </c>
      <c r="F1137" s="1" t="s">
        <v>346</v>
      </c>
      <c r="G1137" s="1" t="s">
        <v>347</v>
      </c>
      <c r="H1137" s="6" t="str">
        <f>VLOOKUP(A1137,WorldCups!$A$2:$B$23,2,FALSE)</f>
        <v>France</v>
      </c>
      <c r="I1137" s="1" t="s">
        <v>51</v>
      </c>
      <c r="J1137" s="1">
        <v>2</v>
      </c>
      <c r="K1137" s="1" t="s">
        <v>13</v>
      </c>
      <c r="L1137" s="1">
        <v>1</v>
      </c>
      <c r="M1137" s="1" t="s">
        <v>14</v>
      </c>
    </row>
    <row r="1138" spans="1:13" hidden="1" x14ac:dyDescent="0.25">
      <c r="A1138" s="1">
        <v>1998</v>
      </c>
      <c r="B1138" s="1">
        <v>569</v>
      </c>
      <c r="C1138" s="2">
        <v>35975</v>
      </c>
      <c r="D1138" s="1" t="s">
        <v>509</v>
      </c>
      <c r="E1138" s="1" t="s">
        <v>287</v>
      </c>
      <c r="F1138" s="1" t="s">
        <v>346</v>
      </c>
      <c r="G1138" s="1" t="s">
        <v>347</v>
      </c>
      <c r="H1138" s="6" t="str">
        <f>VLOOKUP(A1138,WorldCups!$A$2:$B$23,2,FALSE)</f>
        <v>France</v>
      </c>
      <c r="I1138" s="1" t="s">
        <v>13</v>
      </c>
      <c r="J1138" s="1">
        <v>1</v>
      </c>
      <c r="K1138" s="1" t="s">
        <v>51</v>
      </c>
      <c r="L1138" s="1">
        <v>2</v>
      </c>
      <c r="M1138" s="1" t="s">
        <v>14</v>
      </c>
    </row>
    <row r="1139" spans="1:13" hidden="1" x14ac:dyDescent="0.25">
      <c r="A1139" s="1">
        <v>1998</v>
      </c>
      <c r="B1139" s="1">
        <f>B1138+1</f>
        <v>570</v>
      </c>
      <c r="C1139" s="2">
        <v>35975</v>
      </c>
      <c r="D1139" s="1" t="s">
        <v>530</v>
      </c>
      <c r="E1139" s="1" t="s">
        <v>287</v>
      </c>
      <c r="F1139" s="1" t="s">
        <v>72</v>
      </c>
      <c r="G1139" s="1" t="s">
        <v>73</v>
      </c>
      <c r="H1139" s="6" t="str">
        <f>VLOOKUP(A1139,WorldCups!$A$2:$B$23,2,FALSE)</f>
        <v>France</v>
      </c>
      <c r="I1139" s="1" t="s">
        <v>45</v>
      </c>
      <c r="J1139" s="1">
        <v>2</v>
      </c>
      <c r="K1139" s="1" t="s">
        <v>20</v>
      </c>
      <c r="L1139" s="1">
        <v>1</v>
      </c>
      <c r="M1139" s="1" t="s">
        <v>14</v>
      </c>
    </row>
    <row r="1140" spans="1:13" hidden="1" x14ac:dyDescent="0.25">
      <c r="A1140" s="1">
        <v>1998</v>
      </c>
      <c r="B1140" s="1">
        <v>570</v>
      </c>
      <c r="C1140" s="2">
        <v>35975</v>
      </c>
      <c r="D1140" s="1" t="s">
        <v>530</v>
      </c>
      <c r="E1140" s="1" t="s">
        <v>287</v>
      </c>
      <c r="F1140" s="1" t="s">
        <v>72</v>
      </c>
      <c r="G1140" s="1" t="s">
        <v>73</v>
      </c>
      <c r="H1140" s="6" t="str">
        <f>VLOOKUP(A1140,WorldCups!$A$2:$B$23,2,FALSE)</f>
        <v>France</v>
      </c>
      <c r="I1140" s="1" t="s">
        <v>20</v>
      </c>
      <c r="J1140" s="1">
        <v>1</v>
      </c>
      <c r="K1140" s="1" t="s">
        <v>45</v>
      </c>
      <c r="L1140" s="1">
        <v>2</v>
      </c>
      <c r="M1140" s="1" t="s">
        <v>14</v>
      </c>
    </row>
    <row r="1141" spans="1:13" hidden="1" x14ac:dyDescent="0.25">
      <c r="A1141" s="1">
        <v>1998</v>
      </c>
      <c r="B1141" s="1">
        <f>B1140+1</f>
        <v>571</v>
      </c>
      <c r="C1141" s="2">
        <v>35976</v>
      </c>
      <c r="D1141" s="1" t="s">
        <v>509</v>
      </c>
      <c r="E1141" s="1" t="s">
        <v>287</v>
      </c>
      <c r="F1141" s="1" t="s">
        <v>85</v>
      </c>
      <c r="G1141" s="1" t="s">
        <v>86</v>
      </c>
      <c r="H1141" s="6" t="str">
        <f>VLOOKUP(A1141,WorldCups!$A$2:$B$23,2,FALSE)</f>
        <v>France</v>
      </c>
      <c r="I1141" s="1" t="s">
        <v>23</v>
      </c>
      <c r="J1141" s="1">
        <v>0</v>
      </c>
      <c r="K1141" s="1" t="s">
        <v>360</v>
      </c>
      <c r="L1141" s="1">
        <v>1</v>
      </c>
      <c r="M1141" s="1" t="s">
        <v>14</v>
      </c>
    </row>
    <row r="1142" spans="1:13" hidden="1" x14ac:dyDescent="0.25">
      <c r="A1142" s="1">
        <v>1998</v>
      </c>
      <c r="B1142" s="1">
        <v>571</v>
      </c>
      <c r="C1142" s="2">
        <v>35976</v>
      </c>
      <c r="D1142" s="1" t="s">
        <v>509</v>
      </c>
      <c r="E1142" s="1" t="s">
        <v>287</v>
      </c>
      <c r="F1142" s="1" t="s">
        <v>85</v>
      </c>
      <c r="G1142" s="1" t="s">
        <v>86</v>
      </c>
      <c r="H1142" s="6" t="str">
        <f>VLOOKUP(A1142,WorldCups!$A$2:$B$23,2,FALSE)</f>
        <v>France</v>
      </c>
      <c r="I1142" s="1" t="s">
        <v>360</v>
      </c>
      <c r="J1142" s="1">
        <v>1</v>
      </c>
      <c r="K1142" s="1" t="s">
        <v>23</v>
      </c>
      <c r="L1142" s="1">
        <v>0</v>
      </c>
      <c r="M1142" s="1" t="s">
        <v>14</v>
      </c>
    </row>
    <row r="1143" spans="1:13" hidden="1" x14ac:dyDescent="0.25">
      <c r="A1143" s="1">
        <v>1998</v>
      </c>
      <c r="B1143" s="1">
        <f>B1142+1</f>
        <v>572</v>
      </c>
      <c r="C1143" s="2">
        <v>35976</v>
      </c>
      <c r="D1143" s="1" t="s">
        <v>530</v>
      </c>
      <c r="E1143" s="1" t="s">
        <v>287</v>
      </c>
      <c r="F1143" s="1" t="s">
        <v>357</v>
      </c>
      <c r="G1143" s="1" t="s">
        <v>358</v>
      </c>
      <c r="H1143" s="6" t="str">
        <f>VLOOKUP(A1143,WorldCups!$A$2:$B$23,2,FALSE)</f>
        <v>France</v>
      </c>
      <c r="I1143" s="1" t="s">
        <v>25</v>
      </c>
      <c r="J1143" s="1">
        <v>2</v>
      </c>
      <c r="K1143" s="1" t="s">
        <v>93</v>
      </c>
      <c r="L1143" s="1">
        <v>2</v>
      </c>
      <c r="M1143" s="1" t="s">
        <v>362</v>
      </c>
    </row>
    <row r="1144" spans="1:13" hidden="1" x14ac:dyDescent="0.25">
      <c r="A1144" s="1">
        <v>1998</v>
      </c>
      <c r="B1144" s="1">
        <v>572</v>
      </c>
      <c r="C1144" s="2">
        <v>35976</v>
      </c>
      <c r="D1144" s="1" t="s">
        <v>530</v>
      </c>
      <c r="E1144" s="1" t="s">
        <v>287</v>
      </c>
      <c r="F1144" s="1" t="s">
        <v>357</v>
      </c>
      <c r="G1144" s="1" t="s">
        <v>358</v>
      </c>
      <c r="H1144" s="6" t="str">
        <f>VLOOKUP(A1144,WorldCups!$A$2:$B$23,2,FALSE)</f>
        <v>France</v>
      </c>
      <c r="I1144" s="1" t="s">
        <v>93</v>
      </c>
      <c r="J1144" s="1">
        <v>2</v>
      </c>
      <c r="K1144" s="1" t="s">
        <v>25</v>
      </c>
      <c r="L1144" s="1">
        <v>2</v>
      </c>
      <c r="M1144" s="1" t="s">
        <v>362</v>
      </c>
    </row>
    <row r="1145" spans="1:13" hidden="1" x14ac:dyDescent="0.25">
      <c r="A1145" s="1">
        <v>1998</v>
      </c>
      <c r="B1145" s="1">
        <f>B1144+1</f>
        <v>573</v>
      </c>
      <c r="C1145" s="2">
        <v>35979</v>
      </c>
      <c r="D1145" s="1" t="s">
        <v>509</v>
      </c>
      <c r="E1145" s="1" t="s">
        <v>61</v>
      </c>
      <c r="F1145" s="1" t="s">
        <v>344</v>
      </c>
      <c r="G1145" s="1" t="s">
        <v>345</v>
      </c>
      <c r="H1145" s="6" t="str">
        <f>VLOOKUP(A1145,WorldCups!$A$2:$B$23,2,FALSE)</f>
        <v>France</v>
      </c>
      <c r="I1145" s="1" t="s">
        <v>57</v>
      </c>
      <c r="J1145" s="1">
        <v>0</v>
      </c>
      <c r="K1145" s="1" t="s">
        <v>12</v>
      </c>
      <c r="L1145" s="1">
        <v>0</v>
      </c>
      <c r="M1145" s="1" t="s">
        <v>289</v>
      </c>
    </row>
    <row r="1146" spans="1:13" hidden="1" x14ac:dyDescent="0.25">
      <c r="A1146" s="1">
        <v>1998</v>
      </c>
      <c r="B1146" s="1">
        <v>573</v>
      </c>
      <c r="C1146" s="2">
        <v>35979</v>
      </c>
      <c r="D1146" s="1" t="s">
        <v>509</v>
      </c>
      <c r="E1146" s="1" t="s">
        <v>61</v>
      </c>
      <c r="F1146" s="1" t="s">
        <v>344</v>
      </c>
      <c r="G1146" s="1" t="s">
        <v>345</v>
      </c>
      <c r="H1146" s="6" t="str">
        <f>VLOOKUP(A1146,WorldCups!$A$2:$B$23,2,FALSE)</f>
        <v>France</v>
      </c>
      <c r="I1146" s="1" t="s">
        <v>12</v>
      </c>
      <c r="J1146" s="1">
        <v>0</v>
      </c>
      <c r="K1146" s="1" t="s">
        <v>57</v>
      </c>
      <c r="L1146" s="1">
        <v>0</v>
      </c>
      <c r="M1146" s="1" t="s">
        <v>289</v>
      </c>
    </row>
    <row r="1147" spans="1:13" hidden="1" x14ac:dyDescent="0.25">
      <c r="A1147" s="1">
        <v>1998</v>
      </c>
      <c r="B1147" s="1">
        <f>B1146+1</f>
        <v>574</v>
      </c>
      <c r="C1147" s="2">
        <v>35979</v>
      </c>
      <c r="D1147" s="1" t="s">
        <v>530</v>
      </c>
      <c r="E1147" s="1" t="s">
        <v>61</v>
      </c>
      <c r="F1147" s="1" t="s">
        <v>351</v>
      </c>
      <c r="G1147" s="1" t="s">
        <v>352</v>
      </c>
      <c r="H1147" s="6" t="str">
        <f>VLOOKUP(A1147,WorldCups!$A$2:$B$23,2,FALSE)</f>
        <v>France</v>
      </c>
      <c r="I1147" s="1" t="s">
        <v>21</v>
      </c>
      <c r="J1147" s="1">
        <v>3</v>
      </c>
      <c r="K1147" s="1" t="s">
        <v>284</v>
      </c>
      <c r="L1147" s="1">
        <v>2</v>
      </c>
      <c r="M1147" s="1" t="s">
        <v>14</v>
      </c>
    </row>
    <row r="1148" spans="1:13" hidden="1" x14ac:dyDescent="0.25">
      <c r="A1148" s="1">
        <v>1998</v>
      </c>
      <c r="B1148" s="1">
        <v>574</v>
      </c>
      <c r="C1148" s="2">
        <v>35979</v>
      </c>
      <c r="D1148" s="1" t="s">
        <v>530</v>
      </c>
      <c r="E1148" s="1" t="s">
        <v>61</v>
      </c>
      <c r="F1148" s="1" t="s">
        <v>351</v>
      </c>
      <c r="G1148" s="1" t="s">
        <v>352</v>
      </c>
      <c r="H1148" s="6" t="str">
        <f>VLOOKUP(A1148,WorldCups!$A$2:$B$23,2,FALSE)</f>
        <v>France</v>
      </c>
      <c r="I1148" s="1" t="s">
        <v>284</v>
      </c>
      <c r="J1148" s="1">
        <v>2</v>
      </c>
      <c r="K1148" s="1" t="s">
        <v>21</v>
      </c>
      <c r="L1148" s="1">
        <v>3</v>
      </c>
      <c r="M1148" s="1" t="s">
        <v>14</v>
      </c>
    </row>
    <row r="1149" spans="1:13" hidden="1" x14ac:dyDescent="0.25">
      <c r="A1149" s="1">
        <v>1998</v>
      </c>
      <c r="B1149" s="1">
        <f>B1148+1</f>
        <v>575</v>
      </c>
      <c r="C1149" s="2">
        <v>35980</v>
      </c>
      <c r="D1149" s="1" t="s">
        <v>509</v>
      </c>
      <c r="E1149" s="1" t="s">
        <v>61</v>
      </c>
      <c r="F1149" s="1" t="s">
        <v>75</v>
      </c>
      <c r="G1149" s="1" t="s">
        <v>76</v>
      </c>
      <c r="H1149" s="6" t="str">
        <f>VLOOKUP(A1149,WorldCups!$A$2:$B$23,2,FALSE)</f>
        <v>France</v>
      </c>
      <c r="I1149" s="1" t="s">
        <v>45</v>
      </c>
      <c r="J1149" s="1">
        <v>2</v>
      </c>
      <c r="K1149" s="1" t="s">
        <v>25</v>
      </c>
      <c r="L1149" s="1">
        <v>1</v>
      </c>
      <c r="M1149" s="1" t="s">
        <v>14</v>
      </c>
    </row>
    <row r="1150" spans="1:13" hidden="1" x14ac:dyDescent="0.25">
      <c r="A1150" s="1">
        <v>1998</v>
      </c>
      <c r="B1150" s="1">
        <v>575</v>
      </c>
      <c r="C1150" s="2">
        <v>35980</v>
      </c>
      <c r="D1150" s="1" t="s">
        <v>509</v>
      </c>
      <c r="E1150" s="1" t="s">
        <v>61</v>
      </c>
      <c r="F1150" s="1" t="s">
        <v>75</v>
      </c>
      <c r="G1150" s="1" t="s">
        <v>76</v>
      </c>
      <c r="H1150" s="6" t="str">
        <f>VLOOKUP(A1150,WorldCups!$A$2:$B$23,2,FALSE)</f>
        <v>France</v>
      </c>
      <c r="I1150" s="1" t="s">
        <v>25</v>
      </c>
      <c r="J1150" s="1">
        <v>1</v>
      </c>
      <c r="K1150" s="1" t="s">
        <v>45</v>
      </c>
      <c r="L1150" s="1">
        <v>2</v>
      </c>
      <c r="M1150" s="1" t="s">
        <v>14</v>
      </c>
    </row>
    <row r="1151" spans="1:13" hidden="1" x14ac:dyDescent="0.25">
      <c r="A1151" s="1">
        <v>1998</v>
      </c>
      <c r="B1151" s="1">
        <f>B1150+1</f>
        <v>576</v>
      </c>
      <c r="C1151" s="2">
        <v>35980</v>
      </c>
      <c r="D1151" s="1" t="s">
        <v>530</v>
      </c>
      <c r="E1151" s="1" t="s">
        <v>61</v>
      </c>
      <c r="F1151" s="1" t="s">
        <v>353</v>
      </c>
      <c r="G1151" s="1" t="s">
        <v>354</v>
      </c>
      <c r="H1151" s="6" t="str">
        <f>VLOOKUP(A1151,WorldCups!$A$2:$B$23,2,FALSE)</f>
        <v>France</v>
      </c>
      <c r="I1151" s="1" t="s">
        <v>51</v>
      </c>
      <c r="J1151" s="1">
        <v>0</v>
      </c>
      <c r="K1151" s="1" t="s">
        <v>360</v>
      </c>
      <c r="L1151" s="1">
        <v>3</v>
      </c>
      <c r="M1151" s="1" t="s">
        <v>14</v>
      </c>
    </row>
    <row r="1152" spans="1:13" hidden="1" x14ac:dyDescent="0.25">
      <c r="A1152" s="1">
        <v>1998</v>
      </c>
      <c r="B1152" s="1">
        <v>576</v>
      </c>
      <c r="C1152" s="2">
        <v>35980</v>
      </c>
      <c r="D1152" s="1" t="s">
        <v>530</v>
      </c>
      <c r="E1152" s="1" t="s">
        <v>61</v>
      </c>
      <c r="F1152" s="1" t="s">
        <v>353</v>
      </c>
      <c r="G1152" s="1" t="s">
        <v>354</v>
      </c>
      <c r="H1152" s="6" t="str">
        <f>VLOOKUP(A1152,WorldCups!$A$2:$B$23,2,FALSE)</f>
        <v>France</v>
      </c>
      <c r="I1152" s="1" t="s">
        <v>360</v>
      </c>
      <c r="J1152" s="1">
        <v>3</v>
      </c>
      <c r="K1152" s="1" t="s">
        <v>51</v>
      </c>
      <c r="L1152" s="1">
        <v>0</v>
      </c>
      <c r="M1152" s="1" t="s">
        <v>14</v>
      </c>
    </row>
    <row r="1153" spans="1:13" hidden="1" x14ac:dyDescent="0.25">
      <c r="A1153" s="1">
        <v>1998</v>
      </c>
      <c r="B1153" s="1">
        <f>B1152+1</f>
        <v>577</v>
      </c>
      <c r="C1153" s="2">
        <v>35983</v>
      </c>
      <c r="D1153" s="1" t="s">
        <v>530</v>
      </c>
      <c r="E1153" s="1" t="s">
        <v>31</v>
      </c>
      <c r="F1153" s="1" t="s">
        <v>75</v>
      </c>
      <c r="G1153" s="1" t="s">
        <v>76</v>
      </c>
      <c r="H1153" s="6" t="str">
        <f>VLOOKUP(A1153,WorldCups!$A$2:$B$23,2,FALSE)</f>
        <v>France</v>
      </c>
      <c r="I1153" s="1" t="s">
        <v>21</v>
      </c>
      <c r="J1153" s="1">
        <v>1</v>
      </c>
      <c r="K1153" s="1" t="s">
        <v>45</v>
      </c>
      <c r="L1153" s="1">
        <v>1</v>
      </c>
      <c r="M1153" s="1" t="s">
        <v>363</v>
      </c>
    </row>
    <row r="1154" spans="1:13" hidden="1" x14ac:dyDescent="0.25">
      <c r="A1154" s="1">
        <v>1998</v>
      </c>
      <c r="B1154" s="1">
        <v>577</v>
      </c>
      <c r="C1154" s="2">
        <v>35983</v>
      </c>
      <c r="D1154" s="1" t="s">
        <v>530</v>
      </c>
      <c r="E1154" s="1" t="s">
        <v>31</v>
      </c>
      <c r="F1154" s="1" t="s">
        <v>75</v>
      </c>
      <c r="G1154" s="1" t="s">
        <v>76</v>
      </c>
      <c r="H1154" s="6" t="str">
        <f>VLOOKUP(A1154,WorldCups!$A$2:$B$23,2,FALSE)</f>
        <v>France</v>
      </c>
      <c r="I1154" s="1" t="s">
        <v>45</v>
      </c>
      <c r="J1154" s="1">
        <v>1</v>
      </c>
      <c r="K1154" s="1" t="s">
        <v>21</v>
      </c>
      <c r="L1154" s="1">
        <v>1</v>
      </c>
      <c r="M1154" s="1" t="s">
        <v>363</v>
      </c>
    </row>
    <row r="1155" spans="1:13" hidden="1" x14ac:dyDescent="0.25">
      <c r="A1155" s="1">
        <v>1998</v>
      </c>
      <c r="B1155" s="1">
        <f>B1154+1</f>
        <v>578</v>
      </c>
      <c r="C1155" s="2">
        <v>35984</v>
      </c>
      <c r="D1155" s="1" t="s">
        <v>530</v>
      </c>
      <c r="E1155" s="1" t="s">
        <v>31</v>
      </c>
      <c r="F1155" s="1" t="s">
        <v>344</v>
      </c>
      <c r="G1155" s="1" t="s">
        <v>345</v>
      </c>
      <c r="H1155" s="6" t="str">
        <f>VLOOKUP(A1155,WorldCups!$A$2:$B$23,2,FALSE)</f>
        <v>France</v>
      </c>
      <c r="I1155" s="1" t="s">
        <v>12</v>
      </c>
      <c r="J1155" s="1">
        <v>2</v>
      </c>
      <c r="K1155" s="1" t="s">
        <v>360</v>
      </c>
      <c r="L1155" s="1">
        <v>1</v>
      </c>
      <c r="M1155" s="1" t="s">
        <v>14</v>
      </c>
    </row>
    <row r="1156" spans="1:13" hidden="1" x14ac:dyDescent="0.25">
      <c r="A1156" s="1">
        <v>1998</v>
      </c>
      <c r="B1156" s="1">
        <v>578</v>
      </c>
      <c r="C1156" s="2">
        <v>35984</v>
      </c>
      <c r="D1156" s="1" t="s">
        <v>530</v>
      </c>
      <c r="E1156" s="1" t="s">
        <v>31</v>
      </c>
      <c r="F1156" s="1" t="s">
        <v>344</v>
      </c>
      <c r="G1156" s="1" t="s">
        <v>345</v>
      </c>
      <c r="H1156" s="6" t="str">
        <f>VLOOKUP(A1156,WorldCups!$A$2:$B$23,2,FALSE)</f>
        <v>France</v>
      </c>
      <c r="I1156" s="1" t="s">
        <v>360</v>
      </c>
      <c r="J1156" s="1">
        <v>1</v>
      </c>
      <c r="K1156" s="1" t="s">
        <v>12</v>
      </c>
      <c r="L1156" s="1">
        <v>2</v>
      </c>
      <c r="M1156" s="1" t="s">
        <v>14</v>
      </c>
    </row>
    <row r="1157" spans="1:13" hidden="1" x14ac:dyDescent="0.25">
      <c r="A1157" s="1">
        <v>1998</v>
      </c>
      <c r="B1157" s="1">
        <f>B1156+1</f>
        <v>579</v>
      </c>
      <c r="C1157" s="2">
        <v>35987</v>
      </c>
      <c r="D1157" s="1" t="s">
        <v>530</v>
      </c>
      <c r="E1157" s="1" t="s">
        <v>62</v>
      </c>
      <c r="F1157" s="1" t="s">
        <v>65</v>
      </c>
      <c r="G1157" s="1" t="s">
        <v>66</v>
      </c>
      <c r="H1157" s="6" t="str">
        <f>VLOOKUP(A1157,WorldCups!$A$2:$B$23,2,FALSE)</f>
        <v>France</v>
      </c>
      <c r="I1157" s="1" t="s">
        <v>45</v>
      </c>
      <c r="J1157" s="1">
        <v>1</v>
      </c>
      <c r="K1157" s="1" t="s">
        <v>360</v>
      </c>
      <c r="L1157" s="1">
        <v>2</v>
      </c>
      <c r="M1157" s="1" t="s">
        <v>14</v>
      </c>
    </row>
    <row r="1158" spans="1:13" hidden="1" x14ac:dyDescent="0.25">
      <c r="A1158" s="1">
        <v>1998</v>
      </c>
      <c r="B1158" s="1">
        <v>579</v>
      </c>
      <c r="C1158" s="2">
        <v>35987</v>
      </c>
      <c r="D1158" s="1" t="s">
        <v>530</v>
      </c>
      <c r="E1158" s="1" t="s">
        <v>62</v>
      </c>
      <c r="F1158" s="1" t="s">
        <v>65</v>
      </c>
      <c r="G1158" s="1" t="s">
        <v>66</v>
      </c>
      <c r="H1158" s="6" t="str">
        <f>VLOOKUP(A1158,WorldCups!$A$2:$B$23,2,FALSE)</f>
        <v>France</v>
      </c>
      <c r="I1158" s="1" t="s">
        <v>360</v>
      </c>
      <c r="J1158" s="1">
        <v>2</v>
      </c>
      <c r="K1158" s="1" t="s">
        <v>45</v>
      </c>
      <c r="L1158" s="1">
        <v>1</v>
      </c>
      <c r="M1158" s="1" t="s">
        <v>14</v>
      </c>
    </row>
    <row r="1159" spans="1:13" hidden="1" x14ac:dyDescent="0.25">
      <c r="A1159" s="1">
        <v>1998</v>
      </c>
      <c r="B1159" s="1">
        <f>B1158+1</f>
        <v>580</v>
      </c>
      <c r="C1159" s="2">
        <v>35988</v>
      </c>
      <c r="D1159" s="1" t="s">
        <v>530</v>
      </c>
      <c r="E1159" s="1" t="s">
        <v>32</v>
      </c>
      <c r="F1159" s="1" t="s">
        <v>344</v>
      </c>
      <c r="G1159" s="1" t="s">
        <v>345</v>
      </c>
      <c r="H1159" s="6" t="str">
        <f>VLOOKUP(A1159,WorldCups!$A$2:$B$23,2,FALSE)</f>
        <v>France</v>
      </c>
      <c r="I1159" s="1" t="s">
        <v>21</v>
      </c>
      <c r="J1159" s="1">
        <v>0</v>
      </c>
      <c r="K1159" s="1" t="s">
        <v>12</v>
      </c>
      <c r="L1159" s="1">
        <v>3</v>
      </c>
      <c r="M1159" s="1" t="s">
        <v>14</v>
      </c>
    </row>
    <row r="1160" spans="1:13" hidden="1" x14ac:dyDescent="0.25">
      <c r="A1160" s="1">
        <v>1998</v>
      </c>
      <c r="B1160" s="1">
        <v>580</v>
      </c>
      <c r="C1160" s="2">
        <v>35988</v>
      </c>
      <c r="D1160" s="1" t="s">
        <v>530</v>
      </c>
      <c r="E1160" s="1" t="s">
        <v>32</v>
      </c>
      <c r="F1160" s="1" t="s">
        <v>344</v>
      </c>
      <c r="G1160" s="1" t="s">
        <v>345</v>
      </c>
      <c r="H1160" s="6" t="str">
        <f>VLOOKUP(A1160,WorldCups!$A$2:$B$23,2,FALSE)</f>
        <v>France</v>
      </c>
      <c r="I1160" s="1" t="s">
        <v>12</v>
      </c>
      <c r="J1160" s="1">
        <v>3</v>
      </c>
      <c r="K1160" s="1" t="s">
        <v>21</v>
      </c>
      <c r="L1160" s="1">
        <v>0</v>
      </c>
      <c r="M1160" s="1" t="s">
        <v>14</v>
      </c>
    </row>
    <row r="1161" spans="1:13" hidden="1" x14ac:dyDescent="0.25">
      <c r="A1161" s="1">
        <v>2002</v>
      </c>
      <c r="B1161" s="1">
        <f>B1160+1</f>
        <v>581</v>
      </c>
      <c r="C1161" s="2">
        <v>37407</v>
      </c>
      <c r="D1161" s="1" t="s">
        <v>535</v>
      </c>
      <c r="E1161" s="1" t="s">
        <v>214</v>
      </c>
      <c r="F1161" s="1" t="s">
        <v>364</v>
      </c>
      <c r="G1161" s="1" t="s">
        <v>365</v>
      </c>
      <c r="H1161" s="6" t="str">
        <f>VLOOKUP(A1161,WorldCups!$A$2:$B$23,2,FALSE)</f>
        <v>Korea/Japan</v>
      </c>
      <c r="I1161" s="1" t="s">
        <v>12</v>
      </c>
      <c r="J1161" s="1">
        <v>0</v>
      </c>
      <c r="K1161" s="1" t="s">
        <v>366</v>
      </c>
      <c r="L1161" s="1">
        <v>1</v>
      </c>
      <c r="M1161" s="1" t="s">
        <v>14</v>
      </c>
    </row>
    <row r="1162" spans="1:13" hidden="1" x14ac:dyDescent="0.25">
      <c r="A1162" s="1">
        <v>2002</v>
      </c>
      <c r="B1162" s="1">
        <v>581</v>
      </c>
      <c r="C1162" s="2">
        <v>37407</v>
      </c>
      <c r="D1162" s="1" t="s">
        <v>535</v>
      </c>
      <c r="E1162" s="1" t="s">
        <v>214</v>
      </c>
      <c r="F1162" s="1" t="s">
        <v>364</v>
      </c>
      <c r="G1162" s="1" t="s">
        <v>365</v>
      </c>
      <c r="H1162" s="6" t="str">
        <f>VLOOKUP(A1162,WorldCups!$A$2:$B$23,2,FALSE)</f>
        <v>Korea/Japan</v>
      </c>
      <c r="I1162" s="1" t="s">
        <v>366</v>
      </c>
      <c r="J1162" s="1">
        <v>1</v>
      </c>
      <c r="K1162" s="1" t="s">
        <v>12</v>
      </c>
      <c r="L1162" s="1">
        <v>0</v>
      </c>
      <c r="M1162" s="1" t="s">
        <v>14</v>
      </c>
    </row>
    <row r="1163" spans="1:13" hidden="1" x14ac:dyDescent="0.25">
      <c r="A1163" s="1">
        <v>2002</v>
      </c>
      <c r="B1163" s="1">
        <f>B1162+1</f>
        <v>582</v>
      </c>
      <c r="C1163" s="2">
        <v>37408</v>
      </c>
      <c r="D1163" s="1" t="s">
        <v>510</v>
      </c>
      <c r="E1163" s="1" t="s">
        <v>214</v>
      </c>
      <c r="F1163" s="1" t="s">
        <v>367</v>
      </c>
      <c r="G1163" s="1" t="s">
        <v>368</v>
      </c>
      <c r="H1163" s="6" t="str">
        <f>VLOOKUP(A1163,WorldCups!$A$2:$B$23,2,FALSE)</f>
        <v>Korea/Japan</v>
      </c>
      <c r="I1163" s="1" t="s">
        <v>30</v>
      </c>
      <c r="J1163" s="1">
        <v>1</v>
      </c>
      <c r="K1163" s="1" t="s">
        <v>284</v>
      </c>
      <c r="L1163" s="1">
        <v>2</v>
      </c>
      <c r="M1163" s="1" t="s">
        <v>14</v>
      </c>
    </row>
    <row r="1164" spans="1:13" hidden="1" x14ac:dyDescent="0.25">
      <c r="A1164" s="1">
        <v>2002</v>
      </c>
      <c r="B1164" s="1">
        <v>582</v>
      </c>
      <c r="C1164" s="2">
        <v>37408</v>
      </c>
      <c r="D1164" s="1" t="s">
        <v>510</v>
      </c>
      <c r="E1164" s="1" t="s">
        <v>214</v>
      </c>
      <c r="F1164" s="1" t="s">
        <v>367</v>
      </c>
      <c r="G1164" s="1" t="s">
        <v>368</v>
      </c>
      <c r="H1164" s="6" t="str">
        <f>VLOOKUP(A1164,WorldCups!$A$2:$B$23,2,FALSE)</f>
        <v>Korea/Japan</v>
      </c>
      <c r="I1164" s="1" t="s">
        <v>284</v>
      </c>
      <c r="J1164" s="1">
        <v>2</v>
      </c>
      <c r="K1164" s="1" t="s">
        <v>30</v>
      </c>
      <c r="L1164" s="1">
        <v>1</v>
      </c>
      <c r="M1164" s="1" t="s">
        <v>14</v>
      </c>
    </row>
    <row r="1165" spans="1:13" hidden="1" x14ac:dyDescent="0.25">
      <c r="A1165" s="1">
        <v>2002</v>
      </c>
      <c r="B1165" s="1">
        <f>B1164+1</f>
        <v>583</v>
      </c>
      <c r="C1165" s="2">
        <v>37408</v>
      </c>
      <c r="D1165" s="1" t="s">
        <v>514</v>
      </c>
      <c r="E1165" s="1" t="s">
        <v>281</v>
      </c>
      <c r="F1165" s="1" t="s">
        <v>369</v>
      </c>
      <c r="G1165" s="1" t="s">
        <v>370</v>
      </c>
      <c r="H1165" s="6" t="str">
        <f>VLOOKUP(A1165,WorldCups!$A$2:$B$23,2,FALSE)</f>
        <v>Korea/Japan</v>
      </c>
      <c r="I1165" s="1" t="s">
        <v>304</v>
      </c>
      <c r="J1165" s="1">
        <v>1</v>
      </c>
      <c r="K1165" s="1" t="s">
        <v>238</v>
      </c>
      <c r="L1165" s="1">
        <v>1</v>
      </c>
      <c r="M1165" s="1" t="s">
        <v>14</v>
      </c>
    </row>
    <row r="1166" spans="1:13" hidden="1" x14ac:dyDescent="0.25">
      <c r="A1166" s="1">
        <v>2002</v>
      </c>
      <c r="B1166" s="1">
        <v>583</v>
      </c>
      <c r="C1166" s="2">
        <v>37408</v>
      </c>
      <c r="D1166" s="1" t="s">
        <v>514</v>
      </c>
      <c r="E1166" s="1" t="s">
        <v>281</v>
      </c>
      <c r="F1166" s="1" t="s">
        <v>369</v>
      </c>
      <c r="G1166" s="1" t="s">
        <v>370</v>
      </c>
      <c r="H1166" s="6" t="str">
        <f>VLOOKUP(A1166,WorldCups!$A$2:$B$23,2,FALSE)</f>
        <v>Korea/Japan</v>
      </c>
      <c r="I1166" s="1" t="s">
        <v>238</v>
      </c>
      <c r="J1166" s="1">
        <v>1</v>
      </c>
      <c r="K1166" s="1" t="s">
        <v>304</v>
      </c>
      <c r="L1166" s="1">
        <v>1</v>
      </c>
      <c r="M1166" s="1" t="s">
        <v>14</v>
      </c>
    </row>
    <row r="1167" spans="1:13" hidden="1" x14ac:dyDescent="0.25">
      <c r="A1167" s="1">
        <v>2002</v>
      </c>
      <c r="B1167" s="1">
        <f>B1166+1</f>
        <v>584</v>
      </c>
      <c r="C1167" s="2">
        <v>37408</v>
      </c>
      <c r="D1167" s="1" t="s">
        <v>535</v>
      </c>
      <c r="E1167" s="1" t="s">
        <v>281</v>
      </c>
      <c r="F1167" s="1" t="s">
        <v>371</v>
      </c>
      <c r="G1167" s="1" t="s">
        <v>372</v>
      </c>
      <c r="H1167" s="6" t="str">
        <f>VLOOKUP(A1167,WorldCups!$A$2:$B$23,2,FALSE)</f>
        <v>Korea/Japan</v>
      </c>
      <c r="I1167" s="1" t="s">
        <v>51</v>
      </c>
      <c r="J1167" s="1">
        <v>8</v>
      </c>
      <c r="K1167" s="1" t="s">
        <v>333</v>
      </c>
      <c r="L1167" s="1">
        <v>0</v>
      </c>
      <c r="M1167" s="1" t="s">
        <v>14</v>
      </c>
    </row>
    <row r="1168" spans="1:13" hidden="1" x14ac:dyDescent="0.25">
      <c r="A1168" s="1">
        <v>2002</v>
      </c>
      <c r="B1168" s="1">
        <v>584</v>
      </c>
      <c r="C1168" s="2">
        <v>37408</v>
      </c>
      <c r="D1168" s="1" t="s">
        <v>535</v>
      </c>
      <c r="E1168" s="1" t="s">
        <v>281</v>
      </c>
      <c r="F1168" s="1" t="s">
        <v>371</v>
      </c>
      <c r="G1168" s="1" t="s">
        <v>372</v>
      </c>
      <c r="H1168" s="6" t="str">
        <f>VLOOKUP(A1168,WorldCups!$A$2:$B$23,2,FALSE)</f>
        <v>Korea/Japan</v>
      </c>
      <c r="I1168" s="1" t="s">
        <v>333</v>
      </c>
      <c r="J1168" s="1">
        <v>0</v>
      </c>
      <c r="K1168" s="1" t="s">
        <v>51</v>
      </c>
      <c r="L1168" s="1">
        <v>8</v>
      </c>
      <c r="M1168" s="1" t="s">
        <v>14</v>
      </c>
    </row>
    <row r="1169" spans="1:13" hidden="1" x14ac:dyDescent="0.25">
      <c r="A1169" s="1">
        <v>2002</v>
      </c>
      <c r="B1169" s="1">
        <f>B1168+1</f>
        <v>585</v>
      </c>
      <c r="C1169" s="2">
        <v>37409</v>
      </c>
      <c r="D1169" s="1" t="s">
        <v>505</v>
      </c>
      <c r="E1169" s="1" t="s">
        <v>274</v>
      </c>
      <c r="F1169" s="1" t="s">
        <v>373</v>
      </c>
      <c r="G1169" s="1" t="s">
        <v>374</v>
      </c>
      <c r="H1169" s="6" t="str">
        <f>VLOOKUP(A1169,WorldCups!$A$2:$B$23,2,FALSE)</f>
        <v>Korea/Japan</v>
      </c>
      <c r="I1169" s="1" t="s">
        <v>25</v>
      </c>
      <c r="J1169" s="1">
        <v>1</v>
      </c>
      <c r="K1169" s="1" t="s">
        <v>340</v>
      </c>
      <c r="L1169" s="1">
        <v>0</v>
      </c>
      <c r="M1169" s="1" t="s">
        <v>14</v>
      </c>
    </row>
    <row r="1170" spans="1:13" hidden="1" x14ac:dyDescent="0.25">
      <c r="A1170" s="1">
        <v>2002</v>
      </c>
      <c r="B1170" s="1">
        <v>585</v>
      </c>
      <c r="C1170" s="2">
        <v>37409</v>
      </c>
      <c r="D1170" s="1" t="s">
        <v>505</v>
      </c>
      <c r="E1170" s="1" t="s">
        <v>274</v>
      </c>
      <c r="F1170" s="1" t="s">
        <v>373</v>
      </c>
      <c r="G1170" s="1" t="s">
        <v>374</v>
      </c>
      <c r="H1170" s="6" t="str">
        <f>VLOOKUP(A1170,WorldCups!$A$2:$B$23,2,FALSE)</f>
        <v>Korea/Japan</v>
      </c>
      <c r="I1170" s="1" t="s">
        <v>340</v>
      </c>
      <c r="J1170" s="1">
        <v>0</v>
      </c>
      <c r="K1170" s="1" t="s">
        <v>25</v>
      </c>
      <c r="L1170" s="1">
        <v>1</v>
      </c>
      <c r="M1170" s="1" t="s">
        <v>14</v>
      </c>
    </row>
    <row r="1171" spans="1:13" hidden="1" x14ac:dyDescent="0.25">
      <c r="A1171" s="1">
        <v>2002</v>
      </c>
      <c r="B1171" s="1">
        <f>B1170+1</f>
        <v>586</v>
      </c>
      <c r="C1171" s="2">
        <v>37409</v>
      </c>
      <c r="D1171" s="1" t="s">
        <v>509</v>
      </c>
      <c r="E1171" s="1" t="s">
        <v>213</v>
      </c>
      <c r="F1171" s="1" t="s">
        <v>375</v>
      </c>
      <c r="G1171" s="1" t="s">
        <v>376</v>
      </c>
      <c r="H1171" s="6" t="str">
        <f>VLOOKUP(A1171,WorldCups!$A$2:$B$23,2,FALSE)</f>
        <v>Korea/Japan</v>
      </c>
      <c r="I1171" s="1" t="s">
        <v>28</v>
      </c>
      <c r="J1171" s="1">
        <v>2</v>
      </c>
      <c r="K1171" s="1" t="s">
        <v>350</v>
      </c>
      <c r="L1171" s="1">
        <v>2</v>
      </c>
      <c r="M1171" s="1" t="s">
        <v>14</v>
      </c>
    </row>
    <row r="1172" spans="1:13" hidden="1" x14ac:dyDescent="0.25">
      <c r="A1172" s="1">
        <v>2002</v>
      </c>
      <c r="B1172" s="1">
        <v>586</v>
      </c>
      <c r="C1172" s="2">
        <v>37409</v>
      </c>
      <c r="D1172" s="1" t="s">
        <v>509</v>
      </c>
      <c r="E1172" s="1" t="s">
        <v>213</v>
      </c>
      <c r="F1172" s="1" t="s">
        <v>375</v>
      </c>
      <c r="G1172" s="1" t="s">
        <v>376</v>
      </c>
      <c r="H1172" s="6" t="str">
        <f>VLOOKUP(A1172,WorldCups!$A$2:$B$23,2,FALSE)</f>
        <v>Korea/Japan</v>
      </c>
      <c r="I1172" s="1" t="s">
        <v>350</v>
      </c>
      <c r="J1172" s="1">
        <v>2</v>
      </c>
      <c r="K1172" s="1" t="s">
        <v>28</v>
      </c>
      <c r="L1172" s="1">
        <v>2</v>
      </c>
      <c r="M1172" s="1" t="s">
        <v>14</v>
      </c>
    </row>
    <row r="1173" spans="1:13" hidden="1" x14ac:dyDescent="0.25">
      <c r="A1173" s="1">
        <v>2002</v>
      </c>
      <c r="B1173" s="1">
        <f>B1172+1</f>
        <v>587</v>
      </c>
      <c r="C1173" s="2">
        <v>37409</v>
      </c>
      <c r="D1173" s="1" t="s">
        <v>513</v>
      </c>
      <c r="E1173" s="1" t="s">
        <v>274</v>
      </c>
      <c r="F1173" s="1" t="s">
        <v>377</v>
      </c>
      <c r="G1173" s="1" t="s">
        <v>378</v>
      </c>
      <c r="H1173" s="6" t="str">
        <f>VLOOKUP(A1173,WorldCups!$A$2:$B$23,2,FALSE)</f>
        <v>Korea/Japan</v>
      </c>
      <c r="I1173" s="1" t="s">
        <v>93</v>
      </c>
      <c r="J1173" s="1">
        <v>1</v>
      </c>
      <c r="K1173" s="1" t="s">
        <v>48</v>
      </c>
      <c r="L1173" s="1">
        <v>1</v>
      </c>
      <c r="M1173" s="1" t="s">
        <v>14</v>
      </c>
    </row>
    <row r="1174" spans="1:13" hidden="1" x14ac:dyDescent="0.25">
      <c r="A1174" s="1">
        <v>2002</v>
      </c>
      <c r="B1174" s="1">
        <v>587</v>
      </c>
      <c r="C1174" s="2">
        <v>37409</v>
      </c>
      <c r="D1174" s="1" t="s">
        <v>513</v>
      </c>
      <c r="E1174" s="1" t="s">
        <v>274</v>
      </c>
      <c r="F1174" s="1" t="s">
        <v>377</v>
      </c>
      <c r="G1174" s="1" t="s">
        <v>378</v>
      </c>
      <c r="H1174" s="6" t="str">
        <f>VLOOKUP(A1174,WorldCups!$A$2:$B$23,2,FALSE)</f>
        <v>Korea/Japan</v>
      </c>
      <c r="I1174" s="1" t="s">
        <v>48</v>
      </c>
      <c r="J1174" s="1">
        <v>1</v>
      </c>
      <c r="K1174" s="1" t="s">
        <v>93</v>
      </c>
      <c r="L1174" s="1">
        <v>1</v>
      </c>
      <c r="M1174" s="1" t="s">
        <v>14</v>
      </c>
    </row>
    <row r="1175" spans="1:13" hidden="1" x14ac:dyDescent="0.25">
      <c r="A1175" s="1">
        <v>2002</v>
      </c>
      <c r="B1175" s="1">
        <f>B1174+1</f>
        <v>588</v>
      </c>
      <c r="C1175" s="2">
        <v>37409</v>
      </c>
      <c r="D1175" s="1" t="s">
        <v>535</v>
      </c>
      <c r="E1175" s="1" t="s">
        <v>213</v>
      </c>
      <c r="F1175" s="1" t="s">
        <v>379</v>
      </c>
      <c r="G1175" s="1" t="s">
        <v>380</v>
      </c>
      <c r="H1175" s="6" t="str">
        <f>VLOOKUP(A1175,WorldCups!$A$2:$B$23,2,FALSE)</f>
        <v>Korea/Japan</v>
      </c>
      <c r="I1175" s="1" t="s">
        <v>54</v>
      </c>
      <c r="J1175" s="1">
        <v>3</v>
      </c>
      <c r="K1175" s="1" t="s">
        <v>381</v>
      </c>
      <c r="L1175" s="1">
        <v>1</v>
      </c>
      <c r="M1175" s="1" t="s">
        <v>14</v>
      </c>
    </row>
    <row r="1176" spans="1:13" hidden="1" x14ac:dyDescent="0.25">
      <c r="A1176" s="1">
        <v>2002</v>
      </c>
      <c r="B1176" s="1">
        <v>588</v>
      </c>
      <c r="C1176" s="2">
        <v>37409</v>
      </c>
      <c r="D1176" s="1" t="s">
        <v>535</v>
      </c>
      <c r="E1176" s="1" t="s">
        <v>213</v>
      </c>
      <c r="F1176" s="1" t="s">
        <v>379</v>
      </c>
      <c r="G1176" s="1" t="s">
        <v>380</v>
      </c>
      <c r="H1176" s="6" t="str">
        <f>VLOOKUP(A1176,WorldCups!$A$2:$B$23,2,FALSE)</f>
        <v>Korea/Japan</v>
      </c>
      <c r="I1176" s="1" t="s">
        <v>381</v>
      </c>
      <c r="J1176" s="1">
        <v>1</v>
      </c>
      <c r="K1176" s="1" t="s">
        <v>54</v>
      </c>
      <c r="L1176" s="1">
        <v>3</v>
      </c>
      <c r="M1176" s="1" t="s">
        <v>14</v>
      </c>
    </row>
    <row r="1177" spans="1:13" hidden="1" x14ac:dyDescent="0.25">
      <c r="A1177" s="1">
        <v>2002</v>
      </c>
      <c r="B1177" s="1">
        <f>B1176+1</f>
        <v>589</v>
      </c>
      <c r="C1177" s="2">
        <v>37410</v>
      </c>
      <c r="D1177" s="1" t="s">
        <v>510</v>
      </c>
      <c r="E1177" s="1" t="s">
        <v>268</v>
      </c>
      <c r="F1177" s="1" t="s">
        <v>367</v>
      </c>
      <c r="G1177" s="1" t="s">
        <v>368</v>
      </c>
      <c r="H1177" s="6" t="str">
        <f>VLOOKUP(A1177,WorldCups!$A$2:$B$23,2,FALSE)</f>
        <v>Korea/Japan</v>
      </c>
      <c r="I1177" s="1" t="s">
        <v>21</v>
      </c>
      <c r="J1177" s="1">
        <v>2</v>
      </c>
      <c r="K1177" s="1" t="s">
        <v>115</v>
      </c>
      <c r="L1177" s="1">
        <v>1</v>
      </c>
      <c r="M1177" s="1" t="s">
        <v>14</v>
      </c>
    </row>
    <row r="1178" spans="1:13" hidden="1" x14ac:dyDescent="0.25">
      <c r="A1178" s="1">
        <v>2002</v>
      </c>
      <c r="B1178" s="1">
        <v>589</v>
      </c>
      <c r="C1178" s="2">
        <v>37410</v>
      </c>
      <c r="D1178" s="1" t="s">
        <v>510</v>
      </c>
      <c r="E1178" s="1" t="s">
        <v>268</v>
      </c>
      <c r="F1178" s="1" t="s">
        <v>367</v>
      </c>
      <c r="G1178" s="1" t="s">
        <v>368</v>
      </c>
      <c r="H1178" s="6" t="str">
        <f>VLOOKUP(A1178,WorldCups!$A$2:$B$23,2,FALSE)</f>
        <v>Korea/Japan</v>
      </c>
      <c r="I1178" s="1" t="s">
        <v>115</v>
      </c>
      <c r="J1178" s="1">
        <v>1</v>
      </c>
      <c r="K1178" s="1" t="s">
        <v>21</v>
      </c>
      <c r="L1178" s="1">
        <v>2</v>
      </c>
      <c r="M1178" s="1" t="s">
        <v>14</v>
      </c>
    </row>
    <row r="1179" spans="1:13" hidden="1" x14ac:dyDescent="0.25">
      <c r="A1179" s="1">
        <v>2002</v>
      </c>
      <c r="B1179" s="1">
        <f>B1178+1</f>
        <v>590</v>
      </c>
      <c r="C1179" s="2">
        <v>37410</v>
      </c>
      <c r="D1179" s="1" t="s">
        <v>535</v>
      </c>
      <c r="E1179" s="1" t="s">
        <v>361</v>
      </c>
      <c r="F1179" s="1" t="s">
        <v>371</v>
      </c>
      <c r="G1179" s="1" t="s">
        <v>372</v>
      </c>
      <c r="H1179" s="6" t="str">
        <f>VLOOKUP(A1179,WorldCups!$A$2:$B$23,2,FALSE)</f>
        <v>Korea/Japan</v>
      </c>
      <c r="I1179" s="1" t="s">
        <v>57</v>
      </c>
      <c r="J1179" s="1">
        <v>2</v>
      </c>
      <c r="K1179" s="1" t="s">
        <v>382</v>
      </c>
      <c r="L1179" s="1">
        <v>0</v>
      </c>
      <c r="M1179" s="1" t="s">
        <v>14</v>
      </c>
    </row>
    <row r="1180" spans="1:13" hidden="1" x14ac:dyDescent="0.25">
      <c r="A1180" s="1">
        <v>2002</v>
      </c>
      <c r="B1180" s="1">
        <v>590</v>
      </c>
      <c r="C1180" s="2">
        <v>37410</v>
      </c>
      <c r="D1180" s="1" t="s">
        <v>535</v>
      </c>
      <c r="E1180" s="1" t="s">
        <v>361</v>
      </c>
      <c r="F1180" s="1" t="s">
        <v>371</v>
      </c>
      <c r="G1180" s="1" t="s">
        <v>372</v>
      </c>
      <c r="H1180" s="6" t="str">
        <f>VLOOKUP(A1180,WorldCups!$A$2:$B$23,2,FALSE)</f>
        <v>Korea/Japan</v>
      </c>
      <c r="I1180" s="1" t="s">
        <v>382</v>
      </c>
      <c r="J1180" s="1">
        <v>0</v>
      </c>
      <c r="K1180" s="1" t="s">
        <v>57</v>
      </c>
      <c r="L1180" s="1">
        <v>2</v>
      </c>
      <c r="M1180" s="1" t="s">
        <v>14</v>
      </c>
    </row>
    <row r="1181" spans="1:13" hidden="1" x14ac:dyDescent="0.25">
      <c r="A1181" s="1">
        <v>2002</v>
      </c>
      <c r="B1181" s="1">
        <f>B1180+1</f>
        <v>591</v>
      </c>
      <c r="C1181" s="2">
        <v>37410</v>
      </c>
      <c r="D1181" s="1" t="s">
        <v>514</v>
      </c>
      <c r="E1181" s="1" t="s">
        <v>361</v>
      </c>
      <c r="F1181" s="1" t="s">
        <v>369</v>
      </c>
      <c r="G1181" s="1" t="s">
        <v>370</v>
      </c>
      <c r="H1181" s="6" t="str">
        <f>VLOOKUP(A1181,WorldCups!$A$2:$B$23,2,FALSE)</f>
        <v>Korea/Japan</v>
      </c>
      <c r="I1181" s="1" t="s">
        <v>360</v>
      </c>
      <c r="J1181" s="1">
        <v>0</v>
      </c>
      <c r="K1181" s="1" t="s">
        <v>13</v>
      </c>
      <c r="L1181" s="1">
        <v>1</v>
      </c>
      <c r="M1181" s="1" t="s">
        <v>14</v>
      </c>
    </row>
    <row r="1182" spans="1:13" hidden="1" x14ac:dyDescent="0.25">
      <c r="A1182" s="1">
        <v>2002</v>
      </c>
      <c r="B1182" s="1">
        <v>591</v>
      </c>
      <c r="C1182" s="2">
        <v>37410</v>
      </c>
      <c r="D1182" s="1" t="s">
        <v>514</v>
      </c>
      <c r="E1182" s="1" t="s">
        <v>361</v>
      </c>
      <c r="F1182" s="1" t="s">
        <v>369</v>
      </c>
      <c r="G1182" s="1" t="s">
        <v>370</v>
      </c>
      <c r="H1182" s="6" t="str">
        <f>VLOOKUP(A1182,WorldCups!$A$2:$B$23,2,FALSE)</f>
        <v>Korea/Japan</v>
      </c>
      <c r="I1182" s="1" t="s">
        <v>13</v>
      </c>
      <c r="J1182" s="1">
        <v>1</v>
      </c>
      <c r="K1182" s="1" t="s">
        <v>360</v>
      </c>
      <c r="L1182" s="1">
        <v>0</v>
      </c>
      <c r="M1182" s="1" t="s">
        <v>14</v>
      </c>
    </row>
    <row r="1183" spans="1:13" hidden="1" x14ac:dyDescent="0.25">
      <c r="A1183" s="1">
        <v>2002</v>
      </c>
      <c r="B1183" s="1">
        <f>B1182+1</f>
        <v>592</v>
      </c>
      <c r="C1183" s="2">
        <v>37411</v>
      </c>
      <c r="D1183" s="1" t="s">
        <v>514</v>
      </c>
      <c r="E1183" s="1" t="s">
        <v>268</v>
      </c>
      <c r="F1183" s="1" t="s">
        <v>379</v>
      </c>
      <c r="G1183" s="1" t="s">
        <v>380</v>
      </c>
      <c r="H1183" s="6" t="str">
        <f>VLOOKUP(A1183,WorldCups!$A$2:$B$23,2,FALSE)</f>
        <v>Korea/Japan</v>
      </c>
      <c r="I1183" s="1" t="s">
        <v>383</v>
      </c>
      <c r="J1183" s="1">
        <v>0</v>
      </c>
      <c r="K1183" s="1" t="s">
        <v>301</v>
      </c>
      <c r="L1183" s="1">
        <v>2</v>
      </c>
      <c r="M1183" s="1" t="s">
        <v>14</v>
      </c>
    </row>
    <row r="1184" spans="1:13" hidden="1" x14ac:dyDescent="0.25">
      <c r="A1184" s="1">
        <v>2002</v>
      </c>
      <c r="B1184" s="1">
        <v>592</v>
      </c>
      <c r="C1184" s="2">
        <v>37411</v>
      </c>
      <c r="D1184" s="1" t="s">
        <v>514</v>
      </c>
      <c r="E1184" s="1" t="s">
        <v>268</v>
      </c>
      <c r="F1184" s="1" t="s">
        <v>379</v>
      </c>
      <c r="G1184" s="1" t="s">
        <v>380</v>
      </c>
      <c r="H1184" s="6" t="str">
        <f>VLOOKUP(A1184,WorldCups!$A$2:$B$23,2,FALSE)</f>
        <v>Korea/Japan</v>
      </c>
      <c r="I1184" s="1" t="s">
        <v>301</v>
      </c>
      <c r="J1184" s="1">
        <v>2</v>
      </c>
      <c r="K1184" s="1" t="s">
        <v>383</v>
      </c>
      <c r="L1184" s="1">
        <v>0</v>
      </c>
      <c r="M1184" s="1" t="s">
        <v>14</v>
      </c>
    </row>
    <row r="1185" spans="1:13" hidden="1" x14ac:dyDescent="0.25">
      <c r="A1185" s="1">
        <v>2002</v>
      </c>
      <c r="B1185" s="1">
        <f>B1184+1</f>
        <v>593</v>
      </c>
      <c r="C1185" s="2">
        <v>37411</v>
      </c>
      <c r="D1185" s="1" t="s">
        <v>510</v>
      </c>
      <c r="E1185" s="1" t="s">
        <v>355</v>
      </c>
      <c r="F1185" s="1" t="s">
        <v>377</v>
      </c>
      <c r="G1185" s="1" t="s">
        <v>378</v>
      </c>
      <c r="H1185" s="6" t="str">
        <f>VLOOKUP(A1185,WorldCups!$A$2:$B$23,2,FALSE)</f>
        <v>Korea/Japan</v>
      </c>
      <c r="I1185" s="1" t="s">
        <v>356</v>
      </c>
      <c r="J1185" s="1">
        <v>2</v>
      </c>
      <c r="K1185" s="1" t="s">
        <v>18</v>
      </c>
      <c r="L1185" s="1">
        <v>2</v>
      </c>
      <c r="M1185" s="1" t="s">
        <v>14</v>
      </c>
    </row>
    <row r="1186" spans="1:13" hidden="1" x14ac:dyDescent="0.25">
      <c r="A1186" s="1">
        <v>2002</v>
      </c>
      <c r="B1186" s="1">
        <v>593</v>
      </c>
      <c r="C1186" s="2">
        <v>37411</v>
      </c>
      <c r="D1186" s="1" t="s">
        <v>510</v>
      </c>
      <c r="E1186" s="1" t="s">
        <v>355</v>
      </c>
      <c r="F1186" s="1" t="s">
        <v>377</v>
      </c>
      <c r="G1186" s="1" t="s">
        <v>378</v>
      </c>
      <c r="H1186" s="6" t="str">
        <f>VLOOKUP(A1186,WorldCups!$A$2:$B$23,2,FALSE)</f>
        <v>Korea/Japan</v>
      </c>
      <c r="I1186" s="1" t="s">
        <v>18</v>
      </c>
      <c r="J1186" s="1">
        <v>2</v>
      </c>
      <c r="K1186" s="1" t="s">
        <v>356</v>
      </c>
      <c r="L1186" s="1">
        <v>2</v>
      </c>
      <c r="M1186" s="1" t="s">
        <v>14</v>
      </c>
    </row>
    <row r="1187" spans="1:13" hidden="1" x14ac:dyDescent="0.25">
      <c r="A1187" s="1">
        <v>2002</v>
      </c>
      <c r="B1187" s="1">
        <f>B1186+1</f>
        <v>594</v>
      </c>
      <c r="C1187" s="2">
        <v>37411</v>
      </c>
      <c r="D1187" s="1" t="s">
        <v>535</v>
      </c>
      <c r="E1187" s="1" t="s">
        <v>270</v>
      </c>
      <c r="F1187" s="1" t="s">
        <v>375</v>
      </c>
      <c r="G1187" s="1" t="s">
        <v>376</v>
      </c>
      <c r="H1187" s="6" t="str">
        <f>VLOOKUP(A1187,WorldCups!$A$2:$B$23,2,FALSE)</f>
        <v>Korea/Japan</v>
      </c>
      <c r="I1187" s="1" t="s">
        <v>116</v>
      </c>
      <c r="J1187" s="1">
        <v>2</v>
      </c>
      <c r="K1187" s="1" t="s">
        <v>80</v>
      </c>
      <c r="L1187" s="1">
        <v>0</v>
      </c>
      <c r="M1187" s="1" t="s">
        <v>14</v>
      </c>
    </row>
    <row r="1188" spans="1:13" hidden="1" x14ac:dyDescent="0.25">
      <c r="A1188" s="1">
        <v>2002</v>
      </c>
      <c r="B1188" s="1">
        <v>594</v>
      </c>
      <c r="C1188" s="2">
        <v>37411</v>
      </c>
      <c r="D1188" s="1" t="s">
        <v>535</v>
      </c>
      <c r="E1188" s="1" t="s">
        <v>270</v>
      </c>
      <c r="F1188" s="1" t="s">
        <v>375</v>
      </c>
      <c r="G1188" s="1" t="s">
        <v>376</v>
      </c>
      <c r="H1188" s="6" t="str">
        <f>VLOOKUP(A1188,WorldCups!$A$2:$B$23,2,FALSE)</f>
        <v>Korea/Japan</v>
      </c>
      <c r="I1188" s="1" t="s">
        <v>80</v>
      </c>
      <c r="J1188" s="1">
        <v>0</v>
      </c>
      <c r="K1188" s="1" t="s">
        <v>116</v>
      </c>
      <c r="L1188" s="1">
        <v>2</v>
      </c>
      <c r="M1188" s="1" t="s">
        <v>14</v>
      </c>
    </row>
    <row r="1189" spans="1:13" hidden="1" x14ac:dyDescent="0.25">
      <c r="A1189" s="1">
        <v>2002</v>
      </c>
      <c r="B1189" s="1">
        <f>B1188+1</f>
        <v>595</v>
      </c>
      <c r="C1189" s="2">
        <v>37412</v>
      </c>
      <c r="D1189" s="1" t="s">
        <v>514</v>
      </c>
      <c r="E1189" s="1" t="s">
        <v>355</v>
      </c>
      <c r="F1189" s="1" t="s">
        <v>384</v>
      </c>
      <c r="G1189" s="1" t="s">
        <v>385</v>
      </c>
      <c r="H1189" s="6" t="str">
        <f>VLOOKUP(A1189,WorldCups!$A$2:$B$23,2,FALSE)</f>
        <v>Korea/Japan</v>
      </c>
      <c r="I1189" s="1" t="s">
        <v>336</v>
      </c>
      <c r="J1189" s="1">
        <v>2</v>
      </c>
      <c r="K1189" s="1" t="s">
        <v>221</v>
      </c>
      <c r="L1189" s="1">
        <v>0</v>
      </c>
      <c r="M1189" s="1" t="s">
        <v>14</v>
      </c>
    </row>
    <row r="1190" spans="1:13" hidden="1" x14ac:dyDescent="0.25">
      <c r="A1190" s="1">
        <v>2002</v>
      </c>
      <c r="B1190" s="1">
        <v>595</v>
      </c>
      <c r="C1190" s="2">
        <v>37412</v>
      </c>
      <c r="D1190" s="1" t="s">
        <v>514</v>
      </c>
      <c r="E1190" s="1" t="s">
        <v>355</v>
      </c>
      <c r="F1190" s="1" t="s">
        <v>384</v>
      </c>
      <c r="G1190" s="1" t="s">
        <v>385</v>
      </c>
      <c r="H1190" s="6" t="str">
        <f>VLOOKUP(A1190,WorldCups!$A$2:$B$23,2,FALSE)</f>
        <v>Korea/Japan</v>
      </c>
      <c r="I1190" s="1" t="s">
        <v>221</v>
      </c>
      <c r="J1190" s="1">
        <v>0</v>
      </c>
      <c r="K1190" s="1" t="s">
        <v>336</v>
      </c>
      <c r="L1190" s="1">
        <v>2</v>
      </c>
      <c r="M1190" s="1" t="s">
        <v>14</v>
      </c>
    </row>
    <row r="1191" spans="1:13" hidden="1" x14ac:dyDescent="0.25">
      <c r="A1191" s="1">
        <v>2002</v>
      </c>
      <c r="B1191" s="1">
        <f>B1190+1</f>
        <v>596</v>
      </c>
      <c r="C1191" s="2">
        <v>37412</v>
      </c>
      <c r="D1191" s="1" t="s">
        <v>510</v>
      </c>
      <c r="E1191" s="1" t="s">
        <v>270</v>
      </c>
      <c r="F1191" s="1" t="s">
        <v>386</v>
      </c>
      <c r="G1191" s="1" t="s">
        <v>387</v>
      </c>
      <c r="H1191" s="6" t="str">
        <f>VLOOKUP(A1191,WorldCups!$A$2:$B$23,2,FALSE)</f>
        <v>Korea/Japan</v>
      </c>
      <c r="I1191" s="1" t="s">
        <v>17</v>
      </c>
      <c r="J1191" s="1">
        <v>3</v>
      </c>
      <c r="K1191" s="1" t="s">
        <v>170</v>
      </c>
      <c r="L1191" s="1">
        <v>2</v>
      </c>
      <c r="M1191" s="1" t="s">
        <v>14</v>
      </c>
    </row>
    <row r="1192" spans="1:13" hidden="1" x14ac:dyDescent="0.25">
      <c r="A1192" s="1">
        <v>2002</v>
      </c>
      <c r="B1192" s="1">
        <v>596</v>
      </c>
      <c r="C1192" s="2">
        <v>37412</v>
      </c>
      <c r="D1192" s="1" t="s">
        <v>510</v>
      </c>
      <c r="E1192" s="1" t="s">
        <v>270</v>
      </c>
      <c r="F1192" s="1" t="s">
        <v>386</v>
      </c>
      <c r="G1192" s="1" t="s">
        <v>387</v>
      </c>
      <c r="H1192" s="6" t="str">
        <f>VLOOKUP(A1192,WorldCups!$A$2:$B$23,2,FALSE)</f>
        <v>Korea/Japan</v>
      </c>
      <c r="I1192" s="1" t="s">
        <v>170</v>
      </c>
      <c r="J1192" s="1">
        <v>2</v>
      </c>
      <c r="K1192" s="1" t="s">
        <v>17</v>
      </c>
      <c r="L1192" s="1">
        <v>3</v>
      </c>
      <c r="M1192" s="1" t="s">
        <v>14</v>
      </c>
    </row>
    <row r="1193" spans="1:13" hidden="1" x14ac:dyDescent="0.25">
      <c r="A1193" s="1">
        <v>2002</v>
      </c>
      <c r="B1193" s="1">
        <f>B1192+1</f>
        <v>597</v>
      </c>
      <c r="C1193" s="2">
        <v>37412</v>
      </c>
      <c r="D1193" s="1" t="s">
        <v>535</v>
      </c>
      <c r="E1193" s="1" t="s">
        <v>281</v>
      </c>
      <c r="F1193" s="1" t="s">
        <v>373</v>
      </c>
      <c r="G1193" s="1" t="s">
        <v>374</v>
      </c>
      <c r="H1193" s="6" t="str">
        <f>VLOOKUP(A1193,WorldCups!$A$2:$B$23,2,FALSE)</f>
        <v>Korea/Japan</v>
      </c>
      <c r="I1193" s="1" t="s">
        <v>51</v>
      </c>
      <c r="J1193" s="1">
        <v>1</v>
      </c>
      <c r="K1193" s="1" t="s">
        <v>304</v>
      </c>
      <c r="L1193" s="1">
        <v>1</v>
      </c>
      <c r="M1193" s="1" t="s">
        <v>14</v>
      </c>
    </row>
    <row r="1194" spans="1:13" hidden="1" x14ac:dyDescent="0.25">
      <c r="A1194" s="1">
        <v>2002</v>
      </c>
      <c r="B1194" s="1">
        <v>597</v>
      </c>
      <c r="C1194" s="2">
        <v>37412</v>
      </c>
      <c r="D1194" s="1" t="s">
        <v>535</v>
      </c>
      <c r="E1194" s="1" t="s">
        <v>281</v>
      </c>
      <c r="F1194" s="1" t="s">
        <v>373</v>
      </c>
      <c r="G1194" s="1" t="s">
        <v>374</v>
      </c>
      <c r="H1194" s="6" t="str">
        <f>VLOOKUP(A1194,WorldCups!$A$2:$B$23,2,FALSE)</f>
        <v>Korea/Japan</v>
      </c>
      <c r="I1194" s="1" t="s">
        <v>304</v>
      </c>
      <c r="J1194" s="1">
        <v>1</v>
      </c>
      <c r="K1194" s="1" t="s">
        <v>51</v>
      </c>
      <c r="L1194" s="1">
        <v>1</v>
      </c>
      <c r="M1194" s="1" t="s">
        <v>14</v>
      </c>
    </row>
    <row r="1195" spans="1:13" hidden="1" x14ac:dyDescent="0.25">
      <c r="A1195" s="1">
        <v>2002</v>
      </c>
      <c r="B1195" s="1">
        <f>B1194+1</f>
        <v>598</v>
      </c>
      <c r="C1195" s="2">
        <v>37413</v>
      </c>
      <c r="D1195" s="1" t="s">
        <v>514</v>
      </c>
      <c r="E1195" s="1" t="s">
        <v>214</v>
      </c>
      <c r="F1195" s="1" t="s">
        <v>388</v>
      </c>
      <c r="G1195" s="1" t="s">
        <v>389</v>
      </c>
      <c r="H1195" s="6" t="str">
        <f>VLOOKUP(A1195,WorldCups!$A$2:$B$23,2,FALSE)</f>
        <v>Korea/Japan</v>
      </c>
      <c r="I1195" s="1" t="s">
        <v>284</v>
      </c>
      <c r="J1195" s="1">
        <v>1</v>
      </c>
      <c r="K1195" s="1" t="s">
        <v>366</v>
      </c>
      <c r="L1195" s="1">
        <v>1</v>
      </c>
      <c r="M1195" s="1" t="s">
        <v>14</v>
      </c>
    </row>
    <row r="1196" spans="1:13" hidden="1" x14ac:dyDescent="0.25">
      <c r="A1196" s="1">
        <v>2002</v>
      </c>
      <c r="B1196" s="1">
        <v>598</v>
      </c>
      <c r="C1196" s="2">
        <v>37413</v>
      </c>
      <c r="D1196" s="1" t="s">
        <v>514</v>
      </c>
      <c r="E1196" s="1" t="s">
        <v>214</v>
      </c>
      <c r="F1196" s="1" t="s">
        <v>388</v>
      </c>
      <c r="G1196" s="1" t="s">
        <v>389</v>
      </c>
      <c r="H1196" s="6" t="str">
        <f>VLOOKUP(A1196,WorldCups!$A$2:$B$23,2,FALSE)</f>
        <v>Korea/Japan</v>
      </c>
      <c r="I1196" s="1" t="s">
        <v>366</v>
      </c>
      <c r="J1196" s="1">
        <v>1</v>
      </c>
      <c r="K1196" s="1" t="s">
        <v>284</v>
      </c>
      <c r="L1196" s="1">
        <v>1</v>
      </c>
      <c r="M1196" s="1" t="s">
        <v>14</v>
      </c>
    </row>
    <row r="1197" spans="1:13" hidden="1" x14ac:dyDescent="0.25">
      <c r="A1197" s="1">
        <v>2002</v>
      </c>
      <c r="B1197" s="1">
        <f>B1196+1</f>
        <v>599</v>
      </c>
      <c r="C1197" s="2">
        <v>37413</v>
      </c>
      <c r="D1197" s="1" t="s">
        <v>510</v>
      </c>
      <c r="E1197" s="1" t="s">
        <v>281</v>
      </c>
      <c r="F1197" s="1" t="s">
        <v>377</v>
      </c>
      <c r="G1197" s="1" t="s">
        <v>378</v>
      </c>
      <c r="H1197" s="6" t="str">
        <f>VLOOKUP(A1197,WorldCups!$A$2:$B$23,2,FALSE)</f>
        <v>Korea/Japan</v>
      </c>
      <c r="I1197" s="1" t="s">
        <v>238</v>
      </c>
      <c r="J1197" s="1">
        <v>1</v>
      </c>
      <c r="K1197" s="1" t="s">
        <v>333</v>
      </c>
      <c r="L1197" s="1">
        <v>0</v>
      </c>
      <c r="M1197" s="1" t="s">
        <v>14</v>
      </c>
    </row>
    <row r="1198" spans="1:13" hidden="1" x14ac:dyDescent="0.25">
      <c r="A1198" s="1">
        <v>2002</v>
      </c>
      <c r="B1198" s="1">
        <v>599</v>
      </c>
      <c r="C1198" s="2">
        <v>37413</v>
      </c>
      <c r="D1198" s="1" t="s">
        <v>510</v>
      </c>
      <c r="E1198" s="1" t="s">
        <v>281</v>
      </c>
      <c r="F1198" s="1" t="s">
        <v>377</v>
      </c>
      <c r="G1198" s="1" t="s">
        <v>378</v>
      </c>
      <c r="H1198" s="6" t="str">
        <f>VLOOKUP(A1198,WorldCups!$A$2:$B$23,2,FALSE)</f>
        <v>Korea/Japan</v>
      </c>
      <c r="I1198" s="1" t="s">
        <v>333</v>
      </c>
      <c r="J1198" s="1">
        <v>0</v>
      </c>
      <c r="K1198" s="1" t="s">
        <v>238</v>
      </c>
      <c r="L1198" s="1">
        <v>1</v>
      </c>
      <c r="M1198" s="1" t="s">
        <v>14</v>
      </c>
    </row>
    <row r="1199" spans="1:13" hidden="1" x14ac:dyDescent="0.25">
      <c r="A1199" s="1">
        <v>2002</v>
      </c>
      <c r="B1199" s="1">
        <f>B1198+1</f>
        <v>600</v>
      </c>
      <c r="C1199" s="2">
        <v>37413</v>
      </c>
      <c r="D1199" s="1" t="s">
        <v>535</v>
      </c>
      <c r="E1199" s="1" t="s">
        <v>214</v>
      </c>
      <c r="F1199" s="1" t="s">
        <v>375</v>
      </c>
      <c r="G1199" s="1" t="s">
        <v>376</v>
      </c>
      <c r="H1199" s="6" t="str">
        <f>VLOOKUP(A1199,WorldCups!$A$2:$B$23,2,FALSE)</f>
        <v>Korea/Japan</v>
      </c>
      <c r="I1199" s="1" t="s">
        <v>12</v>
      </c>
      <c r="J1199" s="1">
        <v>0</v>
      </c>
      <c r="K1199" s="1" t="s">
        <v>30</v>
      </c>
      <c r="L1199" s="1">
        <v>0</v>
      </c>
      <c r="M1199" s="1" t="s">
        <v>14</v>
      </c>
    </row>
    <row r="1200" spans="1:13" hidden="1" x14ac:dyDescent="0.25">
      <c r="A1200" s="1">
        <v>2002</v>
      </c>
      <c r="B1200" s="1">
        <v>600</v>
      </c>
      <c r="C1200" s="2">
        <v>37413</v>
      </c>
      <c r="D1200" s="1" t="s">
        <v>535</v>
      </c>
      <c r="E1200" s="1" t="s">
        <v>214</v>
      </c>
      <c r="F1200" s="1" t="s">
        <v>375</v>
      </c>
      <c r="G1200" s="1" t="s">
        <v>376</v>
      </c>
      <c r="H1200" s="6" t="str">
        <f>VLOOKUP(A1200,WorldCups!$A$2:$B$23,2,FALSE)</f>
        <v>Korea/Japan</v>
      </c>
      <c r="I1200" s="1" t="s">
        <v>30</v>
      </c>
      <c r="J1200" s="1">
        <v>0</v>
      </c>
      <c r="K1200" s="1" t="s">
        <v>12</v>
      </c>
      <c r="L1200" s="1">
        <v>0</v>
      </c>
      <c r="M1200" s="1" t="s">
        <v>14</v>
      </c>
    </row>
    <row r="1201" spans="1:13" hidden="1" x14ac:dyDescent="0.25">
      <c r="A1201" s="1">
        <v>2002</v>
      </c>
      <c r="B1201" s="1">
        <f>B1200+1</f>
        <v>601</v>
      </c>
      <c r="C1201" s="2">
        <v>37414</v>
      </c>
      <c r="D1201" s="1" t="s">
        <v>514</v>
      </c>
      <c r="E1201" s="1" t="s">
        <v>274</v>
      </c>
      <c r="F1201" s="1" t="s">
        <v>384</v>
      </c>
      <c r="G1201" s="1" t="s">
        <v>385</v>
      </c>
      <c r="H1201" s="6" t="str">
        <f>VLOOKUP(A1201,WorldCups!$A$2:$B$23,2,FALSE)</f>
        <v>Korea/Japan</v>
      </c>
      <c r="I1201" s="1" t="s">
        <v>48</v>
      </c>
      <c r="J1201" s="1">
        <v>2</v>
      </c>
      <c r="K1201" s="1" t="s">
        <v>340</v>
      </c>
      <c r="L1201" s="1">
        <v>1</v>
      </c>
      <c r="M1201" s="1" t="s">
        <v>14</v>
      </c>
    </row>
    <row r="1202" spans="1:13" hidden="1" x14ac:dyDescent="0.25">
      <c r="A1202" s="1">
        <v>2002</v>
      </c>
      <c r="B1202" s="1">
        <v>601</v>
      </c>
      <c r="C1202" s="2">
        <v>37414</v>
      </c>
      <c r="D1202" s="1" t="s">
        <v>514</v>
      </c>
      <c r="E1202" s="1" t="s">
        <v>274</v>
      </c>
      <c r="F1202" s="1" t="s">
        <v>384</v>
      </c>
      <c r="G1202" s="1" t="s">
        <v>385</v>
      </c>
      <c r="H1202" s="6" t="str">
        <f>VLOOKUP(A1202,WorldCups!$A$2:$B$23,2,FALSE)</f>
        <v>Korea/Japan</v>
      </c>
      <c r="I1202" s="1" t="s">
        <v>340</v>
      </c>
      <c r="J1202" s="1">
        <v>1</v>
      </c>
      <c r="K1202" s="1" t="s">
        <v>48</v>
      </c>
      <c r="L1202" s="1">
        <v>2</v>
      </c>
      <c r="M1202" s="1" t="s">
        <v>14</v>
      </c>
    </row>
    <row r="1203" spans="1:13" hidden="1" x14ac:dyDescent="0.25">
      <c r="A1203" s="1">
        <v>2002</v>
      </c>
      <c r="B1203" s="1">
        <f>B1202+1</f>
        <v>602</v>
      </c>
      <c r="C1203" s="2">
        <v>37414</v>
      </c>
      <c r="D1203" s="1" t="s">
        <v>535</v>
      </c>
      <c r="E1203" s="1" t="s">
        <v>274</v>
      </c>
      <c r="F1203" s="1" t="s">
        <v>371</v>
      </c>
      <c r="G1203" s="1" t="s">
        <v>372</v>
      </c>
      <c r="H1203" s="6" t="str">
        <f>VLOOKUP(A1203,WorldCups!$A$2:$B$23,2,FALSE)</f>
        <v>Korea/Japan</v>
      </c>
      <c r="I1203" s="1" t="s">
        <v>25</v>
      </c>
      <c r="J1203" s="1">
        <v>0</v>
      </c>
      <c r="K1203" s="1" t="s">
        <v>93</v>
      </c>
      <c r="L1203" s="1">
        <v>1</v>
      </c>
      <c r="M1203" s="1" t="s">
        <v>14</v>
      </c>
    </row>
    <row r="1204" spans="1:13" hidden="1" x14ac:dyDescent="0.25">
      <c r="A1204" s="1">
        <v>2002</v>
      </c>
      <c r="B1204" s="1">
        <v>602</v>
      </c>
      <c r="C1204" s="2">
        <v>37414</v>
      </c>
      <c r="D1204" s="1" t="s">
        <v>535</v>
      </c>
      <c r="E1204" s="1" t="s">
        <v>274</v>
      </c>
      <c r="F1204" s="1" t="s">
        <v>371</v>
      </c>
      <c r="G1204" s="1" t="s">
        <v>372</v>
      </c>
      <c r="H1204" s="6" t="str">
        <f>VLOOKUP(A1204,WorldCups!$A$2:$B$23,2,FALSE)</f>
        <v>Korea/Japan</v>
      </c>
      <c r="I1204" s="1" t="s">
        <v>93</v>
      </c>
      <c r="J1204" s="1">
        <v>1</v>
      </c>
      <c r="K1204" s="1" t="s">
        <v>25</v>
      </c>
      <c r="L1204" s="1">
        <v>0</v>
      </c>
      <c r="M1204" s="1" t="s">
        <v>14</v>
      </c>
    </row>
    <row r="1205" spans="1:13" hidden="1" x14ac:dyDescent="0.25">
      <c r="A1205" s="1">
        <v>2002</v>
      </c>
      <c r="B1205" s="1">
        <f>B1204+1</f>
        <v>603</v>
      </c>
      <c r="C1205" s="2">
        <v>37414</v>
      </c>
      <c r="D1205" s="1" t="s">
        <v>510</v>
      </c>
      <c r="E1205" s="1" t="s">
        <v>213</v>
      </c>
      <c r="F1205" s="1" t="s">
        <v>390</v>
      </c>
      <c r="G1205" s="1" t="s">
        <v>391</v>
      </c>
      <c r="H1205" s="6" t="str">
        <f>VLOOKUP(A1205,WorldCups!$A$2:$B$23,2,FALSE)</f>
        <v>Korea/Japan</v>
      </c>
      <c r="I1205" s="1" t="s">
        <v>54</v>
      </c>
      <c r="J1205" s="1">
        <v>3</v>
      </c>
      <c r="K1205" s="1" t="s">
        <v>28</v>
      </c>
      <c r="L1205" s="1">
        <v>1</v>
      </c>
      <c r="M1205" s="1" t="s">
        <v>14</v>
      </c>
    </row>
    <row r="1206" spans="1:13" hidden="1" x14ac:dyDescent="0.25">
      <c r="A1206" s="1">
        <v>2002</v>
      </c>
      <c r="B1206" s="1">
        <v>603</v>
      </c>
      <c r="C1206" s="2">
        <v>37414</v>
      </c>
      <c r="D1206" s="1" t="s">
        <v>510</v>
      </c>
      <c r="E1206" s="1" t="s">
        <v>213</v>
      </c>
      <c r="F1206" s="1" t="s">
        <v>390</v>
      </c>
      <c r="G1206" s="1" t="s">
        <v>391</v>
      </c>
      <c r="H1206" s="6" t="str">
        <f>VLOOKUP(A1206,WorldCups!$A$2:$B$23,2,FALSE)</f>
        <v>Korea/Japan</v>
      </c>
      <c r="I1206" s="1" t="s">
        <v>28</v>
      </c>
      <c r="J1206" s="1">
        <v>1</v>
      </c>
      <c r="K1206" s="1" t="s">
        <v>54</v>
      </c>
      <c r="L1206" s="1">
        <v>3</v>
      </c>
      <c r="M1206" s="1" t="s">
        <v>14</v>
      </c>
    </row>
    <row r="1207" spans="1:13" hidden="1" x14ac:dyDescent="0.25">
      <c r="A1207" s="1">
        <v>2002</v>
      </c>
      <c r="B1207" s="1">
        <f>B1206+1</f>
        <v>604</v>
      </c>
      <c r="C1207" s="2">
        <v>37415</v>
      </c>
      <c r="D1207" s="1" t="s">
        <v>514</v>
      </c>
      <c r="E1207" s="1" t="s">
        <v>213</v>
      </c>
      <c r="F1207" s="1" t="s">
        <v>388</v>
      </c>
      <c r="G1207" s="1" t="s">
        <v>389</v>
      </c>
      <c r="H1207" s="6" t="str">
        <f>VLOOKUP(A1207,WorldCups!$A$2:$B$23,2,FALSE)</f>
        <v>Korea/Japan</v>
      </c>
      <c r="I1207" s="1" t="s">
        <v>350</v>
      </c>
      <c r="J1207" s="1">
        <v>1</v>
      </c>
      <c r="K1207" s="1" t="s">
        <v>381</v>
      </c>
      <c r="L1207" s="1">
        <v>0</v>
      </c>
      <c r="M1207" s="1" t="s">
        <v>14</v>
      </c>
    </row>
    <row r="1208" spans="1:13" hidden="1" x14ac:dyDescent="0.25">
      <c r="A1208" s="1">
        <v>2002</v>
      </c>
      <c r="B1208" s="1">
        <v>604</v>
      </c>
      <c r="C1208" s="2">
        <v>37415</v>
      </c>
      <c r="D1208" s="1" t="s">
        <v>514</v>
      </c>
      <c r="E1208" s="1" t="s">
        <v>213</v>
      </c>
      <c r="F1208" s="1" t="s">
        <v>388</v>
      </c>
      <c r="G1208" s="1" t="s">
        <v>389</v>
      </c>
      <c r="H1208" s="6" t="str">
        <f>VLOOKUP(A1208,WorldCups!$A$2:$B$23,2,FALSE)</f>
        <v>Korea/Japan</v>
      </c>
      <c r="I1208" s="1" t="s">
        <v>381</v>
      </c>
      <c r="J1208" s="1">
        <v>0</v>
      </c>
      <c r="K1208" s="1" t="s">
        <v>350</v>
      </c>
      <c r="L1208" s="1">
        <v>1</v>
      </c>
      <c r="M1208" s="1" t="s">
        <v>14</v>
      </c>
    </row>
    <row r="1209" spans="1:13" hidden="1" x14ac:dyDescent="0.25">
      <c r="A1209" s="1">
        <v>2002</v>
      </c>
      <c r="B1209" s="1">
        <f>B1208+1</f>
        <v>605</v>
      </c>
      <c r="C1209" s="2">
        <v>37415</v>
      </c>
      <c r="D1209" s="1" t="s">
        <v>535</v>
      </c>
      <c r="E1209" s="1" t="s">
        <v>268</v>
      </c>
      <c r="F1209" s="1" t="s">
        <v>392</v>
      </c>
      <c r="G1209" s="1" t="s">
        <v>393</v>
      </c>
      <c r="H1209" s="6" t="str">
        <f>VLOOKUP(A1209,WorldCups!$A$2:$B$23,2,FALSE)</f>
        <v>Korea/Japan</v>
      </c>
      <c r="I1209" s="1" t="s">
        <v>21</v>
      </c>
      <c r="J1209" s="1">
        <v>4</v>
      </c>
      <c r="K1209" s="1" t="s">
        <v>383</v>
      </c>
      <c r="L1209" s="1">
        <v>0</v>
      </c>
      <c r="M1209" s="1" t="s">
        <v>14</v>
      </c>
    </row>
    <row r="1210" spans="1:13" hidden="1" x14ac:dyDescent="0.25">
      <c r="A1210" s="1">
        <v>2002</v>
      </c>
      <c r="B1210" s="1">
        <v>605</v>
      </c>
      <c r="C1210" s="2">
        <v>37415</v>
      </c>
      <c r="D1210" s="1" t="s">
        <v>535</v>
      </c>
      <c r="E1210" s="1" t="s">
        <v>268</v>
      </c>
      <c r="F1210" s="1" t="s">
        <v>392</v>
      </c>
      <c r="G1210" s="1" t="s">
        <v>393</v>
      </c>
      <c r="H1210" s="6" t="str">
        <f>VLOOKUP(A1210,WorldCups!$A$2:$B$23,2,FALSE)</f>
        <v>Korea/Japan</v>
      </c>
      <c r="I1210" s="1" t="s">
        <v>383</v>
      </c>
      <c r="J1210" s="1">
        <v>0</v>
      </c>
      <c r="K1210" s="1" t="s">
        <v>21</v>
      </c>
      <c r="L1210" s="1">
        <v>4</v>
      </c>
      <c r="M1210" s="1" t="s">
        <v>14</v>
      </c>
    </row>
    <row r="1211" spans="1:13" hidden="1" x14ac:dyDescent="0.25">
      <c r="A1211" s="1">
        <v>2002</v>
      </c>
      <c r="B1211" s="1">
        <f>B1210+1</f>
        <v>606</v>
      </c>
      <c r="C1211" s="2">
        <v>37415</v>
      </c>
      <c r="D1211" s="1" t="s">
        <v>510</v>
      </c>
      <c r="E1211" s="1" t="s">
        <v>361</v>
      </c>
      <c r="F1211" s="1" t="s">
        <v>373</v>
      </c>
      <c r="G1211" s="1" t="s">
        <v>374</v>
      </c>
      <c r="H1211" s="6" t="str">
        <f>VLOOKUP(A1211,WorldCups!$A$2:$B$23,2,FALSE)</f>
        <v>Korea/Japan</v>
      </c>
      <c r="I1211" s="1" t="s">
        <v>57</v>
      </c>
      <c r="J1211" s="1">
        <v>1</v>
      </c>
      <c r="K1211" s="1" t="s">
        <v>360</v>
      </c>
      <c r="L1211" s="1">
        <v>2</v>
      </c>
      <c r="M1211" s="1" t="s">
        <v>14</v>
      </c>
    </row>
    <row r="1212" spans="1:13" hidden="1" x14ac:dyDescent="0.25">
      <c r="A1212" s="1">
        <v>2002</v>
      </c>
      <c r="B1212" s="1">
        <v>606</v>
      </c>
      <c r="C1212" s="2">
        <v>37415</v>
      </c>
      <c r="D1212" s="1" t="s">
        <v>510</v>
      </c>
      <c r="E1212" s="1" t="s">
        <v>361</v>
      </c>
      <c r="F1212" s="1" t="s">
        <v>373</v>
      </c>
      <c r="G1212" s="1" t="s">
        <v>374</v>
      </c>
      <c r="H1212" s="6" t="str">
        <f>VLOOKUP(A1212,WorldCups!$A$2:$B$23,2,FALSE)</f>
        <v>Korea/Japan</v>
      </c>
      <c r="I1212" s="1" t="s">
        <v>360</v>
      </c>
      <c r="J1212" s="1">
        <v>2</v>
      </c>
      <c r="K1212" s="1" t="s">
        <v>57</v>
      </c>
      <c r="L1212" s="1">
        <v>1</v>
      </c>
      <c r="M1212" s="1" t="s">
        <v>14</v>
      </c>
    </row>
    <row r="1213" spans="1:13" hidden="1" x14ac:dyDescent="0.25">
      <c r="A1213" s="1">
        <v>2002</v>
      </c>
      <c r="B1213" s="1">
        <f>B1212+1</f>
        <v>607</v>
      </c>
      <c r="C1213" s="2">
        <v>37416</v>
      </c>
      <c r="D1213" s="1" t="s">
        <v>510</v>
      </c>
      <c r="E1213" s="1" t="s">
        <v>268</v>
      </c>
      <c r="F1213" s="1" t="s">
        <v>394</v>
      </c>
      <c r="G1213" s="1" t="s">
        <v>395</v>
      </c>
      <c r="H1213" s="6" t="str">
        <f>VLOOKUP(A1213,WorldCups!$A$2:$B$23,2,FALSE)</f>
        <v>Korea/Japan</v>
      </c>
      <c r="I1213" s="1" t="s">
        <v>301</v>
      </c>
      <c r="J1213" s="1">
        <v>1</v>
      </c>
      <c r="K1213" s="1" t="s">
        <v>115</v>
      </c>
      <c r="L1213" s="1">
        <v>1</v>
      </c>
      <c r="M1213" s="1" t="s">
        <v>14</v>
      </c>
    </row>
    <row r="1214" spans="1:13" hidden="1" x14ac:dyDescent="0.25">
      <c r="A1214" s="1">
        <v>2002</v>
      </c>
      <c r="B1214" s="1">
        <v>607</v>
      </c>
      <c r="C1214" s="2">
        <v>37416</v>
      </c>
      <c r="D1214" s="1" t="s">
        <v>510</v>
      </c>
      <c r="E1214" s="1" t="s">
        <v>268</v>
      </c>
      <c r="F1214" s="1" t="s">
        <v>394</v>
      </c>
      <c r="G1214" s="1" t="s">
        <v>395</v>
      </c>
      <c r="H1214" s="6" t="str">
        <f>VLOOKUP(A1214,WorldCups!$A$2:$B$23,2,FALSE)</f>
        <v>Korea/Japan</v>
      </c>
      <c r="I1214" s="1" t="s">
        <v>115</v>
      </c>
      <c r="J1214" s="1">
        <v>1</v>
      </c>
      <c r="K1214" s="1" t="s">
        <v>301</v>
      </c>
      <c r="L1214" s="1">
        <v>1</v>
      </c>
      <c r="M1214" s="1" t="s">
        <v>14</v>
      </c>
    </row>
    <row r="1215" spans="1:13" hidden="1" x14ac:dyDescent="0.25">
      <c r="A1215" s="1">
        <v>2002</v>
      </c>
      <c r="B1215" s="1">
        <f>B1214+1</f>
        <v>608</v>
      </c>
      <c r="C1215" s="2">
        <v>37416</v>
      </c>
      <c r="D1215" s="1" t="s">
        <v>535</v>
      </c>
      <c r="E1215" s="1" t="s">
        <v>355</v>
      </c>
      <c r="F1215" s="1" t="s">
        <v>396</v>
      </c>
      <c r="G1215" s="1" t="s">
        <v>397</v>
      </c>
      <c r="H1215" s="6" t="str">
        <f>VLOOKUP(A1215,WorldCups!$A$2:$B$23,2,FALSE)</f>
        <v>Korea/Japan</v>
      </c>
      <c r="I1215" s="1" t="s">
        <v>356</v>
      </c>
      <c r="J1215" s="1">
        <v>1</v>
      </c>
      <c r="K1215" s="1" t="s">
        <v>336</v>
      </c>
      <c r="L1215" s="1">
        <v>0</v>
      </c>
      <c r="M1215" s="1" t="s">
        <v>14</v>
      </c>
    </row>
    <row r="1216" spans="1:13" hidden="1" x14ac:dyDescent="0.25">
      <c r="A1216" s="1">
        <v>2002</v>
      </c>
      <c r="B1216" s="1">
        <v>608</v>
      </c>
      <c r="C1216" s="2">
        <v>37416</v>
      </c>
      <c r="D1216" s="1" t="s">
        <v>535</v>
      </c>
      <c r="E1216" s="1" t="s">
        <v>355</v>
      </c>
      <c r="F1216" s="1" t="s">
        <v>396</v>
      </c>
      <c r="G1216" s="1" t="s">
        <v>397</v>
      </c>
      <c r="H1216" s="6" t="str">
        <f>VLOOKUP(A1216,WorldCups!$A$2:$B$23,2,FALSE)</f>
        <v>Korea/Japan</v>
      </c>
      <c r="I1216" s="1" t="s">
        <v>336</v>
      </c>
      <c r="J1216" s="1">
        <v>0</v>
      </c>
      <c r="K1216" s="1" t="s">
        <v>356</v>
      </c>
      <c r="L1216" s="1">
        <v>1</v>
      </c>
      <c r="M1216" s="1" t="s">
        <v>14</v>
      </c>
    </row>
    <row r="1217" spans="1:13" hidden="1" x14ac:dyDescent="0.25">
      <c r="A1217" s="1">
        <v>2002</v>
      </c>
      <c r="B1217" s="1">
        <f>B1216+1</f>
        <v>609</v>
      </c>
      <c r="C1217" s="2">
        <v>37416</v>
      </c>
      <c r="D1217" s="1" t="s">
        <v>514</v>
      </c>
      <c r="E1217" s="1" t="s">
        <v>361</v>
      </c>
      <c r="F1217" s="1" t="s">
        <v>398</v>
      </c>
      <c r="G1217" s="1" t="s">
        <v>399</v>
      </c>
      <c r="H1217" s="6" t="str">
        <f>VLOOKUP(A1217,WorldCups!$A$2:$B$23,2,FALSE)</f>
        <v>Korea/Japan</v>
      </c>
      <c r="I1217" s="1" t="s">
        <v>13</v>
      </c>
      <c r="J1217" s="1">
        <v>2</v>
      </c>
      <c r="K1217" s="1" t="s">
        <v>382</v>
      </c>
      <c r="L1217" s="1">
        <v>1</v>
      </c>
      <c r="M1217" s="1" t="s">
        <v>14</v>
      </c>
    </row>
    <row r="1218" spans="1:13" hidden="1" x14ac:dyDescent="0.25">
      <c r="A1218" s="1">
        <v>2002</v>
      </c>
      <c r="B1218" s="1">
        <v>609</v>
      </c>
      <c r="C1218" s="2">
        <v>37416</v>
      </c>
      <c r="D1218" s="1" t="s">
        <v>514</v>
      </c>
      <c r="E1218" s="1" t="s">
        <v>361</v>
      </c>
      <c r="F1218" s="1" t="s">
        <v>398</v>
      </c>
      <c r="G1218" s="1" t="s">
        <v>399</v>
      </c>
      <c r="H1218" s="6" t="str">
        <f>VLOOKUP(A1218,WorldCups!$A$2:$B$23,2,FALSE)</f>
        <v>Korea/Japan</v>
      </c>
      <c r="I1218" s="1" t="s">
        <v>382</v>
      </c>
      <c r="J1218" s="1">
        <v>1</v>
      </c>
      <c r="K1218" s="1" t="s">
        <v>13</v>
      </c>
      <c r="L1218" s="1">
        <v>2</v>
      </c>
      <c r="M1218" s="1" t="s">
        <v>14</v>
      </c>
    </row>
    <row r="1219" spans="1:13" hidden="1" x14ac:dyDescent="0.25">
      <c r="A1219" s="1">
        <v>2002</v>
      </c>
      <c r="B1219" s="1">
        <f>B1218+1</f>
        <v>610</v>
      </c>
      <c r="C1219" s="2">
        <v>37417</v>
      </c>
      <c r="D1219" s="1" t="s">
        <v>514</v>
      </c>
      <c r="E1219" s="1" t="s">
        <v>270</v>
      </c>
      <c r="F1219" s="1" t="s">
        <v>388</v>
      </c>
      <c r="G1219" s="1" t="s">
        <v>389</v>
      </c>
      <c r="H1219" s="6" t="str">
        <f>VLOOKUP(A1219,WorldCups!$A$2:$B$23,2,FALSE)</f>
        <v>Korea/Japan</v>
      </c>
      <c r="I1219" s="1" t="s">
        <v>116</v>
      </c>
      <c r="J1219" s="1">
        <v>1</v>
      </c>
      <c r="K1219" s="1" t="s">
        <v>17</v>
      </c>
      <c r="L1219" s="1">
        <v>1</v>
      </c>
      <c r="M1219" s="1" t="s">
        <v>14</v>
      </c>
    </row>
    <row r="1220" spans="1:13" hidden="1" x14ac:dyDescent="0.25">
      <c r="A1220" s="1">
        <v>2002</v>
      </c>
      <c r="B1220" s="1">
        <v>610</v>
      </c>
      <c r="C1220" s="2">
        <v>37417</v>
      </c>
      <c r="D1220" s="1" t="s">
        <v>514</v>
      </c>
      <c r="E1220" s="1" t="s">
        <v>270</v>
      </c>
      <c r="F1220" s="1" t="s">
        <v>388</v>
      </c>
      <c r="G1220" s="1" t="s">
        <v>389</v>
      </c>
      <c r="H1220" s="6" t="str">
        <f>VLOOKUP(A1220,WorldCups!$A$2:$B$23,2,FALSE)</f>
        <v>Korea/Japan</v>
      </c>
      <c r="I1220" s="1" t="s">
        <v>17</v>
      </c>
      <c r="J1220" s="1">
        <v>1</v>
      </c>
      <c r="K1220" s="1" t="s">
        <v>116</v>
      </c>
      <c r="L1220" s="1">
        <v>1</v>
      </c>
      <c r="M1220" s="1" t="s">
        <v>14</v>
      </c>
    </row>
    <row r="1221" spans="1:13" hidden="1" x14ac:dyDescent="0.25">
      <c r="A1221" s="1">
        <v>2002</v>
      </c>
      <c r="B1221" s="1">
        <f>B1220+1</f>
        <v>611</v>
      </c>
      <c r="C1221" s="2">
        <v>37417</v>
      </c>
      <c r="D1221" s="1" t="s">
        <v>535</v>
      </c>
      <c r="E1221" s="1" t="s">
        <v>270</v>
      </c>
      <c r="F1221" s="1" t="s">
        <v>390</v>
      </c>
      <c r="G1221" s="1" t="s">
        <v>391</v>
      </c>
      <c r="H1221" s="6" t="str">
        <f>VLOOKUP(A1221,WorldCups!$A$2:$B$23,2,FALSE)</f>
        <v>Korea/Japan</v>
      </c>
      <c r="I1221" s="1" t="s">
        <v>170</v>
      </c>
      <c r="J1221" s="1">
        <v>4</v>
      </c>
      <c r="K1221" s="1" t="s">
        <v>80</v>
      </c>
      <c r="L1221" s="1">
        <v>0</v>
      </c>
      <c r="M1221" s="1" t="s">
        <v>14</v>
      </c>
    </row>
    <row r="1222" spans="1:13" hidden="1" x14ac:dyDescent="0.25">
      <c r="A1222" s="1">
        <v>2002</v>
      </c>
      <c r="B1222" s="1">
        <v>611</v>
      </c>
      <c r="C1222" s="2">
        <v>37417</v>
      </c>
      <c r="D1222" s="1" t="s">
        <v>535</v>
      </c>
      <c r="E1222" s="1" t="s">
        <v>270</v>
      </c>
      <c r="F1222" s="1" t="s">
        <v>390</v>
      </c>
      <c r="G1222" s="1" t="s">
        <v>391</v>
      </c>
      <c r="H1222" s="6" t="str">
        <f>VLOOKUP(A1222,WorldCups!$A$2:$B$23,2,FALSE)</f>
        <v>Korea/Japan</v>
      </c>
      <c r="I1222" s="1" t="s">
        <v>80</v>
      </c>
      <c r="J1222" s="1">
        <v>0</v>
      </c>
      <c r="K1222" s="1" t="s">
        <v>170</v>
      </c>
      <c r="L1222" s="1">
        <v>4</v>
      </c>
      <c r="M1222" s="1" t="s">
        <v>14</v>
      </c>
    </row>
    <row r="1223" spans="1:13" hidden="1" x14ac:dyDescent="0.25">
      <c r="A1223" s="1">
        <v>2002</v>
      </c>
      <c r="B1223" s="1">
        <f>B1222+1</f>
        <v>612</v>
      </c>
      <c r="C1223" s="2">
        <v>37417</v>
      </c>
      <c r="D1223" s="1" t="s">
        <v>510</v>
      </c>
      <c r="E1223" s="1" t="s">
        <v>355</v>
      </c>
      <c r="F1223" s="1" t="s">
        <v>400</v>
      </c>
      <c r="G1223" s="1" t="s">
        <v>401</v>
      </c>
      <c r="H1223" s="6" t="str">
        <f>VLOOKUP(A1223,WorldCups!$A$2:$B$23,2,FALSE)</f>
        <v>Korea/Japan</v>
      </c>
      <c r="I1223" s="1" t="s">
        <v>221</v>
      </c>
      <c r="J1223" s="1">
        <v>1</v>
      </c>
      <c r="K1223" s="1" t="s">
        <v>18</v>
      </c>
      <c r="L1223" s="1">
        <v>1</v>
      </c>
      <c r="M1223" s="1" t="s">
        <v>14</v>
      </c>
    </row>
    <row r="1224" spans="1:13" hidden="1" x14ac:dyDescent="0.25">
      <c r="A1224" s="1">
        <v>2002</v>
      </c>
      <c r="B1224" s="1">
        <v>612</v>
      </c>
      <c r="C1224" s="2">
        <v>37417</v>
      </c>
      <c r="D1224" s="1" t="s">
        <v>510</v>
      </c>
      <c r="E1224" s="1" t="s">
        <v>355</v>
      </c>
      <c r="F1224" s="1" t="s">
        <v>400</v>
      </c>
      <c r="G1224" s="1" t="s">
        <v>401</v>
      </c>
      <c r="H1224" s="6" t="str">
        <f>VLOOKUP(A1224,WorldCups!$A$2:$B$23,2,FALSE)</f>
        <v>Korea/Japan</v>
      </c>
      <c r="I1224" s="1" t="s">
        <v>18</v>
      </c>
      <c r="J1224" s="1">
        <v>1</v>
      </c>
      <c r="K1224" s="1" t="s">
        <v>221</v>
      </c>
      <c r="L1224" s="1">
        <v>1</v>
      </c>
      <c r="M1224" s="1" t="s">
        <v>14</v>
      </c>
    </row>
    <row r="1225" spans="1:13" hidden="1" x14ac:dyDescent="0.25">
      <c r="A1225" s="1">
        <v>2002</v>
      </c>
      <c r="B1225" s="1">
        <f>B1224+1</f>
        <v>613</v>
      </c>
      <c r="C1225" s="2">
        <v>37418</v>
      </c>
      <c r="D1225" s="1" t="s">
        <v>514</v>
      </c>
      <c r="E1225" s="1" t="s">
        <v>214</v>
      </c>
      <c r="F1225" s="1" t="s">
        <v>394</v>
      </c>
      <c r="G1225" s="1" t="s">
        <v>395</v>
      </c>
      <c r="H1225" s="6" t="str">
        <f>VLOOKUP(A1225,WorldCups!$A$2:$B$23,2,FALSE)</f>
        <v>Korea/Japan</v>
      </c>
      <c r="I1225" s="1" t="s">
        <v>284</v>
      </c>
      <c r="J1225" s="1">
        <v>2</v>
      </c>
      <c r="K1225" s="1" t="s">
        <v>12</v>
      </c>
      <c r="L1225" s="1">
        <v>0</v>
      </c>
      <c r="M1225" s="1" t="s">
        <v>14</v>
      </c>
    </row>
    <row r="1226" spans="1:13" hidden="1" x14ac:dyDescent="0.25">
      <c r="A1226" s="1">
        <v>2002</v>
      </c>
      <c r="B1226" s="1">
        <v>613</v>
      </c>
      <c r="C1226" s="2">
        <v>37418</v>
      </c>
      <c r="D1226" s="1" t="s">
        <v>514</v>
      </c>
      <c r="E1226" s="1" t="s">
        <v>214</v>
      </c>
      <c r="F1226" s="1" t="s">
        <v>394</v>
      </c>
      <c r="G1226" s="1" t="s">
        <v>395</v>
      </c>
      <c r="H1226" s="6" t="str">
        <f>VLOOKUP(A1226,WorldCups!$A$2:$B$23,2,FALSE)</f>
        <v>Korea/Japan</v>
      </c>
      <c r="I1226" s="1" t="s">
        <v>12</v>
      </c>
      <c r="J1226" s="1">
        <v>0</v>
      </c>
      <c r="K1226" s="1" t="s">
        <v>284</v>
      </c>
      <c r="L1226" s="1">
        <v>2</v>
      </c>
      <c r="M1226" s="1" t="s">
        <v>14</v>
      </c>
    </row>
    <row r="1227" spans="1:13" hidden="1" x14ac:dyDescent="0.25">
      <c r="A1227" s="1">
        <v>2002</v>
      </c>
      <c r="B1227" s="1">
        <f>B1226+1</f>
        <v>614</v>
      </c>
      <c r="C1227" s="2">
        <v>37418</v>
      </c>
      <c r="D1227" s="1" t="s">
        <v>514</v>
      </c>
      <c r="E1227" s="1" t="s">
        <v>214</v>
      </c>
      <c r="F1227" s="1" t="s">
        <v>386</v>
      </c>
      <c r="G1227" s="1" t="s">
        <v>387</v>
      </c>
      <c r="H1227" s="6" t="str">
        <f>VLOOKUP(A1227,WorldCups!$A$2:$B$23,2,FALSE)</f>
        <v>Korea/Japan</v>
      </c>
      <c r="I1227" s="1" t="s">
        <v>366</v>
      </c>
      <c r="J1227" s="1">
        <v>3</v>
      </c>
      <c r="K1227" s="1" t="s">
        <v>30</v>
      </c>
      <c r="L1227" s="1">
        <v>3</v>
      </c>
      <c r="M1227" s="1" t="s">
        <v>14</v>
      </c>
    </row>
    <row r="1228" spans="1:13" hidden="1" x14ac:dyDescent="0.25">
      <c r="A1228" s="1">
        <v>2002</v>
      </c>
      <c r="B1228" s="1">
        <v>614</v>
      </c>
      <c r="C1228" s="2">
        <v>37418</v>
      </c>
      <c r="D1228" s="1" t="s">
        <v>514</v>
      </c>
      <c r="E1228" s="1" t="s">
        <v>214</v>
      </c>
      <c r="F1228" s="1" t="s">
        <v>386</v>
      </c>
      <c r="G1228" s="1" t="s">
        <v>387</v>
      </c>
      <c r="H1228" s="6" t="str">
        <f>VLOOKUP(A1228,WorldCups!$A$2:$B$23,2,FALSE)</f>
        <v>Korea/Japan</v>
      </c>
      <c r="I1228" s="1" t="s">
        <v>30</v>
      </c>
      <c r="J1228" s="1">
        <v>3</v>
      </c>
      <c r="K1228" s="1" t="s">
        <v>366</v>
      </c>
      <c r="L1228" s="1">
        <v>3</v>
      </c>
      <c r="M1228" s="1" t="s">
        <v>14</v>
      </c>
    </row>
    <row r="1229" spans="1:13" hidden="1" x14ac:dyDescent="0.25">
      <c r="A1229" s="1">
        <v>2002</v>
      </c>
      <c r="B1229" s="1">
        <f>B1228+1</f>
        <v>615</v>
      </c>
      <c r="C1229" s="2">
        <v>37418</v>
      </c>
      <c r="D1229" s="1" t="s">
        <v>535</v>
      </c>
      <c r="E1229" s="1" t="s">
        <v>281</v>
      </c>
      <c r="F1229" s="1" t="s">
        <v>396</v>
      </c>
      <c r="G1229" s="1" t="s">
        <v>397</v>
      </c>
      <c r="H1229" s="6" t="str">
        <f>VLOOKUP(A1229,WorldCups!$A$2:$B$23,2,FALSE)</f>
        <v>Korea/Japan</v>
      </c>
      <c r="I1229" s="1" t="s">
        <v>333</v>
      </c>
      <c r="J1229" s="1">
        <v>0</v>
      </c>
      <c r="K1229" s="1" t="s">
        <v>304</v>
      </c>
      <c r="L1229" s="1">
        <v>3</v>
      </c>
      <c r="M1229" s="1" t="s">
        <v>14</v>
      </c>
    </row>
    <row r="1230" spans="1:13" hidden="1" x14ac:dyDescent="0.25">
      <c r="A1230" s="1">
        <v>2002</v>
      </c>
      <c r="B1230" s="1">
        <v>615</v>
      </c>
      <c r="C1230" s="2">
        <v>37418</v>
      </c>
      <c r="D1230" s="1" t="s">
        <v>535</v>
      </c>
      <c r="E1230" s="1" t="s">
        <v>281</v>
      </c>
      <c r="F1230" s="1" t="s">
        <v>396</v>
      </c>
      <c r="G1230" s="1" t="s">
        <v>397</v>
      </c>
      <c r="H1230" s="6" t="str">
        <f>VLOOKUP(A1230,WorldCups!$A$2:$B$23,2,FALSE)</f>
        <v>Korea/Japan</v>
      </c>
      <c r="I1230" s="1" t="s">
        <v>304</v>
      </c>
      <c r="J1230" s="1">
        <v>3</v>
      </c>
      <c r="K1230" s="1" t="s">
        <v>333</v>
      </c>
      <c r="L1230" s="1">
        <v>0</v>
      </c>
      <c r="M1230" s="1" t="s">
        <v>14</v>
      </c>
    </row>
    <row r="1231" spans="1:13" hidden="1" x14ac:dyDescent="0.25">
      <c r="A1231" s="1">
        <v>2002</v>
      </c>
      <c r="B1231" s="1">
        <f>B1230+1</f>
        <v>616</v>
      </c>
      <c r="C1231" s="2">
        <v>37418</v>
      </c>
      <c r="D1231" s="1" t="s">
        <v>535</v>
      </c>
      <c r="E1231" s="1" t="s">
        <v>281</v>
      </c>
      <c r="F1231" s="1" t="s">
        <v>402</v>
      </c>
      <c r="G1231" s="1" t="s">
        <v>403</v>
      </c>
      <c r="H1231" s="6" t="str">
        <f>VLOOKUP(A1231,WorldCups!$A$2:$B$23,2,FALSE)</f>
        <v>Korea/Japan</v>
      </c>
      <c r="I1231" s="1" t="s">
        <v>238</v>
      </c>
      <c r="J1231" s="1">
        <v>0</v>
      </c>
      <c r="K1231" s="1" t="s">
        <v>51</v>
      </c>
      <c r="L1231" s="1">
        <v>2</v>
      </c>
      <c r="M1231" s="1" t="s">
        <v>14</v>
      </c>
    </row>
    <row r="1232" spans="1:13" hidden="1" x14ac:dyDescent="0.25">
      <c r="A1232" s="1">
        <v>2002</v>
      </c>
      <c r="B1232" s="1">
        <v>616</v>
      </c>
      <c r="C1232" s="2">
        <v>37418</v>
      </c>
      <c r="D1232" s="1" t="s">
        <v>535</v>
      </c>
      <c r="E1232" s="1" t="s">
        <v>281</v>
      </c>
      <c r="F1232" s="1" t="s">
        <v>402</v>
      </c>
      <c r="G1232" s="1" t="s">
        <v>403</v>
      </c>
      <c r="H1232" s="6" t="str">
        <f>VLOOKUP(A1232,WorldCups!$A$2:$B$23,2,FALSE)</f>
        <v>Korea/Japan</v>
      </c>
      <c r="I1232" s="1" t="s">
        <v>51</v>
      </c>
      <c r="J1232" s="1">
        <v>2</v>
      </c>
      <c r="K1232" s="1" t="s">
        <v>238</v>
      </c>
      <c r="L1232" s="1">
        <v>0</v>
      </c>
      <c r="M1232" s="1" t="s">
        <v>14</v>
      </c>
    </row>
    <row r="1233" spans="1:13" hidden="1" x14ac:dyDescent="0.25">
      <c r="A1233" s="1">
        <v>2002</v>
      </c>
      <c r="B1233" s="1">
        <f>B1232+1</f>
        <v>617</v>
      </c>
      <c r="C1233" s="2">
        <v>37419</v>
      </c>
      <c r="D1233" s="1" t="s">
        <v>514</v>
      </c>
      <c r="E1233" s="1" t="s">
        <v>274</v>
      </c>
      <c r="F1233" s="1" t="s">
        <v>398</v>
      </c>
      <c r="G1233" s="1" t="s">
        <v>399</v>
      </c>
      <c r="H1233" s="6" t="str">
        <f>VLOOKUP(A1233,WorldCups!$A$2:$B$23,2,FALSE)</f>
        <v>Korea/Japan</v>
      </c>
      <c r="I1233" s="1" t="s">
        <v>48</v>
      </c>
      <c r="J1233" s="1">
        <v>1</v>
      </c>
      <c r="K1233" s="1" t="s">
        <v>25</v>
      </c>
      <c r="L1233" s="1">
        <v>1</v>
      </c>
      <c r="M1233" s="1" t="s">
        <v>14</v>
      </c>
    </row>
    <row r="1234" spans="1:13" hidden="1" x14ac:dyDescent="0.25">
      <c r="A1234" s="1">
        <v>2002</v>
      </c>
      <c r="B1234" s="1">
        <v>617</v>
      </c>
      <c r="C1234" s="2">
        <v>37419</v>
      </c>
      <c r="D1234" s="1" t="s">
        <v>514</v>
      </c>
      <c r="E1234" s="1" t="s">
        <v>274</v>
      </c>
      <c r="F1234" s="1" t="s">
        <v>398</v>
      </c>
      <c r="G1234" s="1" t="s">
        <v>399</v>
      </c>
      <c r="H1234" s="6" t="str">
        <f>VLOOKUP(A1234,WorldCups!$A$2:$B$23,2,FALSE)</f>
        <v>Korea/Japan</v>
      </c>
      <c r="I1234" s="1" t="s">
        <v>25</v>
      </c>
      <c r="J1234" s="1">
        <v>1</v>
      </c>
      <c r="K1234" s="1" t="s">
        <v>48</v>
      </c>
      <c r="L1234" s="1">
        <v>1</v>
      </c>
      <c r="M1234" s="1" t="s">
        <v>14</v>
      </c>
    </row>
    <row r="1235" spans="1:13" hidden="1" x14ac:dyDescent="0.25">
      <c r="A1235" s="1">
        <v>2002</v>
      </c>
      <c r="B1235" s="1">
        <f>B1234+1</f>
        <v>618</v>
      </c>
      <c r="C1235" s="2">
        <v>37419</v>
      </c>
      <c r="D1235" s="1" t="s">
        <v>514</v>
      </c>
      <c r="E1235" s="1" t="s">
        <v>274</v>
      </c>
      <c r="F1235" s="1" t="s">
        <v>404</v>
      </c>
      <c r="G1235" s="1" t="s">
        <v>405</v>
      </c>
      <c r="H1235" s="6" t="str">
        <f>VLOOKUP(A1235,WorldCups!$A$2:$B$23,2,FALSE)</f>
        <v>Korea/Japan</v>
      </c>
      <c r="I1235" s="1" t="s">
        <v>340</v>
      </c>
      <c r="J1235" s="1">
        <v>0</v>
      </c>
      <c r="K1235" s="1" t="s">
        <v>93</v>
      </c>
      <c r="L1235" s="1">
        <v>0</v>
      </c>
      <c r="M1235" s="1" t="s">
        <v>14</v>
      </c>
    </row>
    <row r="1236" spans="1:13" hidden="1" x14ac:dyDescent="0.25">
      <c r="A1236" s="1">
        <v>2002</v>
      </c>
      <c r="B1236" s="1">
        <v>618</v>
      </c>
      <c r="C1236" s="2">
        <v>37419</v>
      </c>
      <c r="D1236" s="1" t="s">
        <v>514</v>
      </c>
      <c r="E1236" s="1" t="s">
        <v>274</v>
      </c>
      <c r="F1236" s="1" t="s">
        <v>404</v>
      </c>
      <c r="G1236" s="1" t="s">
        <v>405</v>
      </c>
      <c r="H1236" s="6" t="str">
        <f>VLOOKUP(A1236,WorldCups!$A$2:$B$23,2,FALSE)</f>
        <v>Korea/Japan</v>
      </c>
      <c r="I1236" s="1" t="s">
        <v>93</v>
      </c>
      <c r="J1236" s="1">
        <v>0</v>
      </c>
      <c r="K1236" s="1" t="s">
        <v>340</v>
      </c>
      <c r="L1236" s="1">
        <v>0</v>
      </c>
      <c r="M1236" s="1" t="s">
        <v>14</v>
      </c>
    </row>
    <row r="1237" spans="1:13" hidden="1" x14ac:dyDescent="0.25">
      <c r="A1237" s="1">
        <v>2002</v>
      </c>
      <c r="B1237" s="1">
        <f>B1236+1</f>
        <v>619</v>
      </c>
      <c r="C1237" s="2">
        <v>37419</v>
      </c>
      <c r="D1237" s="1" t="s">
        <v>535</v>
      </c>
      <c r="E1237" s="1" t="s">
        <v>213</v>
      </c>
      <c r="F1237" s="1" t="s">
        <v>392</v>
      </c>
      <c r="G1237" s="1" t="s">
        <v>393</v>
      </c>
      <c r="H1237" s="6" t="str">
        <f>VLOOKUP(A1237,WorldCups!$A$2:$B$23,2,FALSE)</f>
        <v>Korea/Japan</v>
      </c>
      <c r="I1237" s="1" t="s">
        <v>381</v>
      </c>
      <c r="J1237" s="1">
        <v>1</v>
      </c>
      <c r="K1237" s="1" t="s">
        <v>28</v>
      </c>
      <c r="L1237" s="1">
        <v>3</v>
      </c>
      <c r="M1237" s="1" t="s">
        <v>14</v>
      </c>
    </row>
    <row r="1238" spans="1:13" hidden="1" x14ac:dyDescent="0.25">
      <c r="A1238" s="1">
        <v>2002</v>
      </c>
      <c r="B1238" s="1">
        <v>619</v>
      </c>
      <c r="C1238" s="2">
        <v>37419</v>
      </c>
      <c r="D1238" s="1" t="s">
        <v>535</v>
      </c>
      <c r="E1238" s="1" t="s">
        <v>213</v>
      </c>
      <c r="F1238" s="1" t="s">
        <v>392</v>
      </c>
      <c r="G1238" s="1" t="s">
        <v>393</v>
      </c>
      <c r="H1238" s="6" t="str">
        <f>VLOOKUP(A1238,WorldCups!$A$2:$B$23,2,FALSE)</f>
        <v>Korea/Japan</v>
      </c>
      <c r="I1238" s="1" t="s">
        <v>28</v>
      </c>
      <c r="J1238" s="1">
        <v>3</v>
      </c>
      <c r="K1238" s="1" t="s">
        <v>381</v>
      </c>
      <c r="L1238" s="1">
        <v>1</v>
      </c>
      <c r="M1238" s="1" t="s">
        <v>14</v>
      </c>
    </row>
    <row r="1239" spans="1:13" hidden="1" x14ac:dyDescent="0.25">
      <c r="A1239" s="1">
        <v>2002</v>
      </c>
      <c r="B1239" s="1">
        <f>B1238+1</f>
        <v>620</v>
      </c>
      <c r="C1239" s="2">
        <v>37419</v>
      </c>
      <c r="D1239" s="1" t="s">
        <v>535</v>
      </c>
      <c r="E1239" s="1" t="s">
        <v>213</v>
      </c>
      <c r="F1239" s="1" t="s">
        <v>406</v>
      </c>
      <c r="G1239" s="1" t="s">
        <v>407</v>
      </c>
      <c r="H1239" s="6" t="str">
        <f>VLOOKUP(A1239,WorldCups!$A$2:$B$23,2,FALSE)</f>
        <v>Korea/Japan</v>
      </c>
      <c r="I1239" s="1" t="s">
        <v>350</v>
      </c>
      <c r="J1239" s="1">
        <v>2</v>
      </c>
      <c r="K1239" s="1" t="s">
        <v>54</v>
      </c>
      <c r="L1239" s="1">
        <v>3</v>
      </c>
      <c r="M1239" s="1" t="s">
        <v>14</v>
      </c>
    </row>
    <row r="1240" spans="1:13" hidden="1" x14ac:dyDescent="0.25">
      <c r="A1240" s="1">
        <v>2002</v>
      </c>
      <c r="B1240" s="1">
        <v>620</v>
      </c>
      <c r="C1240" s="2">
        <v>37419</v>
      </c>
      <c r="D1240" s="1" t="s">
        <v>535</v>
      </c>
      <c r="E1240" s="1" t="s">
        <v>213</v>
      </c>
      <c r="F1240" s="1" t="s">
        <v>406</v>
      </c>
      <c r="G1240" s="1" t="s">
        <v>407</v>
      </c>
      <c r="H1240" s="6" t="str">
        <f>VLOOKUP(A1240,WorldCups!$A$2:$B$23,2,FALSE)</f>
        <v>Korea/Japan</v>
      </c>
      <c r="I1240" s="1" t="s">
        <v>54</v>
      </c>
      <c r="J1240" s="1">
        <v>3</v>
      </c>
      <c r="K1240" s="1" t="s">
        <v>350</v>
      </c>
      <c r="L1240" s="1">
        <v>2</v>
      </c>
      <c r="M1240" s="1" t="s">
        <v>14</v>
      </c>
    </row>
    <row r="1241" spans="1:13" hidden="1" x14ac:dyDescent="0.25">
      <c r="A1241" s="1">
        <v>2002</v>
      </c>
      <c r="B1241" s="1">
        <f>B1240+1</f>
        <v>621</v>
      </c>
      <c r="C1241" s="2">
        <v>37420</v>
      </c>
      <c r="D1241" s="1" t="s">
        <v>514</v>
      </c>
      <c r="E1241" s="1" t="s">
        <v>268</v>
      </c>
      <c r="F1241" s="1" t="s">
        <v>386</v>
      </c>
      <c r="G1241" s="1" t="s">
        <v>387</v>
      </c>
      <c r="H1241" s="6" t="str">
        <f>VLOOKUP(A1241,WorldCups!$A$2:$B$23,2,FALSE)</f>
        <v>Korea/Japan</v>
      </c>
      <c r="I1241" s="1" t="s">
        <v>301</v>
      </c>
      <c r="J1241" s="1">
        <v>2</v>
      </c>
      <c r="K1241" s="1" t="s">
        <v>21</v>
      </c>
      <c r="L1241" s="1">
        <v>5</v>
      </c>
      <c r="M1241" s="1" t="s">
        <v>14</v>
      </c>
    </row>
    <row r="1242" spans="1:13" hidden="1" x14ac:dyDescent="0.25">
      <c r="A1242" s="1">
        <v>2002</v>
      </c>
      <c r="B1242" s="1">
        <v>621</v>
      </c>
      <c r="C1242" s="2">
        <v>37420</v>
      </c>
      <c r="D1242" s="1" t="s">
        <v>514</v>
      </c>
      <c r="E1242" s="1" t="s">
        <v>268</v>
      </c>
      <c r="F1242" s="1" t="s">
        <v>386</v>
      </c>
      <c r="G1242" s="1" t="s">
        <v>387</v>
      </c>
      <c r="H1242" s="6" t="str">
        <f>VLOOKUP(A1242,WorldCups!$A$2:$B$23,2,FALSE)</f>
        <v>Korea/Japan</v>
      </c>
      <c r="I1242" s="1" t="s">
        <v>21</v>
      </c>
      <c r="J1242" s="1">
        <v>5</v>
      </c>
      <c r="K1242" s="1" t="s">
        <v>301</v>
      </c>
      <c r="L1242" s="1">
        <v>2</v>
      </c>
      <c r="M1242" s="1" t="s">
        <v>14</v>
      </c>
    </row>
    <row r="1243" spans="1:13" hidden="1" x14ac:dyDescent="0.25">
      <c r="A1243" s="1">
        <v>2002</v>
      </c>
      <c r="B1243" s="1">
        <f>B1242+1</f>
        <v>622</v>
      </c>
      <c r="C1243" s="2">
        <v>37420</v>
      </c>
      <c r="D1243" s="1" t="s">
        <v>514</v>
      </c>
      <c r="E1243" s="1" t="s">
        <v>268</v>
      </c>
      <c r="F1243" s="1" t="s">
        <v>364</v>
      </c>
      <c r="G1243" s="1" t="s">
        <v>365</v>
      </c>
      <c r="H1243" s="6" t="str">
        <f>VLOOKUP(A1243,WorldCups!$A$2:$B$23,2,FALSE)</f>
        <v>Korea/Japan</v>
      </c>
      <c r="I1243" s="1" t="s">
        <v>115</v>
      </c>
      <c r="J1243" s="1">
        <v>3</v>
      </c>
      <c r="K1243" s="1" t="s">
        <v>383</v>
      </c>
      <c r="L1243" s="1">
        <v>0</v>
      </c>
      <c r="M1243" s="1" t="s">
        <v>14</v>
      </c>
    </row>
    <row r="1244" spans="1:13" hidden="1" x14ac:dyDescent="0.25">
      <c r="A1244" s="1">
        <v>2002</v>
      </c>
      <c r="B1244" s="1">
        <v>622</v>
      </c>
      <c r="C1244" s="2">
        <v>37420</v>
      </c>
      <c r="D1244" s="1" t="s">
        <v>514</v>
      </c>
      <c r="E1244" s="1" t="s">
        <v>268</v>
      </c>
      <c r="F1244" s="1" t="s">
        <v>364</v>
      </c>
      <c r="G1244" s="1" t="s">
        <v>365</v>
      </c>
      <c r="H1244" s="6" t="str">
        <f>VLOOKUP(A1244,WorldCups!$A$2:$B$23,2,FALSE)</f>
        <v>Korea/Japan</v>
      </c>
      <c r="I1244" s="1" t="s">
        <v>383</v>
      </c>
      <c r="J1244" s="1">
        <v>0</v>
      </c>
      <c r="K1244" s="1" t="s">
        <v>115</v>
      </c>
      <c r="L1244" s="1">
        <v>3</v>
      </c>
      <c r="M1244" s="1" t="s">
        <v>14</v>
      </c>
    </row>
    <row r="1245" spans="1:13" hidden="1" x14ac:dyDescent="0.25">
      <c r="A1245" s="1">
        <v>2002</v>
      </c>
      <c r="B1245" s="1">
        <f>B1244+1</f>
        <v>623</v>
      </c>
      <c r="C1245" s="2">
        <v>37420</v>
      </c>
      <c r="D1245" s="1" t="s">
        <v>535</v>
      </c>
      <c r="E1245" s="1" t="s">
        <v>361</v>
      </c>
      <c r="F1245" s="1" t="s">
        <v>396</v>
      </c>
      <c r="G1245" s="1" t="s">
        <v>397</v>
      </c>
      <c r="H1245" s="6" t="str">
        <f>VLOOKUP(A1245,WorldCups!$A$2:$B$23,2,FALSE)</f>
        <v>Korea/Japan</v>
      </c>
      <c r="I1245" s="1" t="s">
        <v>382</v>
      </c>
      <c r="J1245" s="1">
        <v>1</v>
      </c>
      <c r="K1245" s="1" t="s">
        <v>360</v>
      </c>
      <c r="L1245" s="1">
        <v>0</v>
      </c>
      <c r="M1245" s="1" t="s">
        <v>14</v>
      </c>
    </row>
    <row r="1246" spans="1:13" hidden="1" x14ac:dyDescent="0.25">
      <c r="A1246" s="1">
        <v>2002</v>
      </c>
      <c r="B1246" s="1">
        <v>623</v>
      </c>
      <c r="C1246" s="2">
        <v>37420</v>
      </c>
      <c r="D1246" s="1" t="s">
        <v>535</v>
      </c>
      <c r="E1246" s="1" t="s">
        <v>361</v>
      </c>
      <c r="F1246" s="1" t="s">
        <v>396</v>
      </c>
      <c r="G1246" s="1" t="s">
        <v>397</v>
      </c>
      <c r="H1246" s="6" t="str">
        <f>VLOOKUP(A1246,WorldCups!$A$2:$B$23,2,FALSE)</f>
        <v>Korea/Japan</v>
      </c>
      <c r="I1246" s="1" t="s">
        <v>360</v>
      </c>
      <c r="J1246" s="1">
        <v>0</v>
      </c>
      <c r="K1246" s="1" t="s">
        <v>382</v>
      </c>
      <c r="L1246" s="1">
        <v>1</v>
      </c>
      <c r="M1246" s="1" t="s">
        <v>14</v>
      </c>
    </row>
    <row r="1247" spans="1:13" hidden="1" x14ac:dyDescent="0.25">
      <c r="A1247" s="1">
        <v>2002</v>
      </c>
      <c r="B1247" s="1">
        <f>B1246+1</f>
        <v>624</v>
      </c>
      <c r="C1247" s="2">
        <v>37420</v>
      </c>
      <c r="D1247" s="1" t="s">
        <v>535</v>
      </c>
      <c r="E1247" s="1" t="s">
        <v>361</v>
      </c>
      <c r="F1247" s="1" t="s">
        <v>400</v>
      </c>
      <c r="G1247" s="1" t="s">
        <v>401</v>
      </c>
      <c r="H1247" s="6" t="str">
        <f>VLOOKUP(A1247,WorldCups!$A$2:$B$23,2,FALSE)</f>
        <v>Korea/Japan</v>
      </c>
      <c r="I1247" s="1" t="s">
        <v>13</v>
      </c>
      <c r="J1247" s="1">
        <v>1</v>
      </c>
      <c r="K1247" s="1" t="s">
        <v>57</v>
      </c>
      <c r="L1247" s="1">
        <v>1</v>
      </c>
      <c r="M1247" s="1" t="s">
        <v>14</v>
      </c>
    </row>
    <row r="1248" spans="1:13" hidden="1" x14ac:dyDescent="0.25">
      <c r="A1248" s="1">
        <v>2002</v>
      </c>
      <c r="B1248" s="1">
        <v>624</v>
      </c>
      <c r="C1248" s="2">
        <v>37420</v>
      </c>
      <c r="D1248" s="1" t="s">
        <v>535</v>
      </c>
      <c r="E1248" s="1" t="s">
        <v>361</v>
      </c>
      <c r="F1248" s="1" t="s">
        <v>400</v>
      </c>
      <c r="G1248" s="1" t="s">
        <v>401</v>
      </c>
      <c r="H1248" s="6" t="str">
        <f>VLOOKUP(A1248,WorldCups!$A$2:$B$23,2,FALSE)</f>
        <v>Korea/Japan</v>
      </c>
      <c r="I1248" s="1" t="s">
        <v>57</v>
      </c>
      <c r="J1248" s="1">
        <v>1</v>
      </c>
      <c r="K1248" s="1" t="s">
        <v>13</v>
      </c>
      <c r="L1248" s="1">
        <v>1</v>
      </c>
      <c r="M1248" s="1" t="s">
        <v>14</v>
      </c>
    </row>
    <row r="1249" spans="1:13" hidden="1" x14ac:dyDescent="0.25">
      <c r="A1249" s="1">
        <v>2002</v>
      </c>
      <c r="B1249" s="1">
        <f>B1248+1</f>
        <v>625</v>
      </c>
      <c r="C1249" s="2">
        <v>37421</v>
      </c>
      <c r="D1249" s="1" t="s">
        <v>514</v>
      </c>
      <c r="E1249" s="1" t="s">
        <v>355</v>
      </c>
      <c r="F1249" s="1" t="s">
        <v>404</v>
      </c>
      <c r="G1249" s="1" t="s">
        <v>405</v>
      </c>
      <c r="H1249" s="6" t="str">
        <f>VLOOKUP(A1249,WorldCups!$A$2:$B$23,2,FALSE)</f>
        <v>Korea/Japan</v>
      </c>
      <c r="I1249" s="1" t="s">
        <v>221</v>
      </c>
      <c r="J1249" s="1">
        <v>0</v>
      </c>
      <c r="K1249" s="1" t="s">
        <v>356</v>
      </c>
      <c r="L1249" s="1">
        <v>2</v>
      </c>
      <c r="M1249" s="1" t="s">
        <v>14</v>
      </c>
    </row>
    <row r="1250" spans="1:13" hidden="1" x14ac:dyDescent="0.25">
      <c r="A1250" s="1">
        <v>2002</v>
      </c>
      <c r="B1250" s="1">
        <v>625</v>
      </c>
      <c r="C1250" s="2">
        <v>37421</v>
      </c>
      <c r="D1250" s="1" t="s">
        <v>514</v>
      </c>
      <c r="E1250" s="1" t="s">
        <v>355</v>
      </c>
      <c r="F1250" s="1" t="s">
        <v>404</v>
      </c>
      <c r="G1250" s="1" t="s">
        <v>405</v>
      </c>
      <c r="H1250" s="6" t="str">
        <f>VLOOKUP(A1250,WorldCups!$A$2:$B$23,2,FALSE)</f>
        <v>Korea/Japan</v>
      </c>
      <c r="I1250" s="1" t="s">
        <v>356</v>
      </c>
      <c r="J1250" s="1">
        <v>2</v>
      </c>
      <c r="K1250" s="1" t="s">
        <v>221</v>
      </c>
      <c r="L1250" s="1">
        <v>0</v>
      </c>
      <c r="M1250" s="1" t="s">
        <v>14</v>
      </c>
    </row>
    <row r="1251" spans="1:13" hidden="1" x14ac:dyDescent="0.25">
      <c r="A1251" s="1">
        <v>2002</v>
      </c>
      <c r="B1251" s="1">
        <f>B1250+1</f>
        <v>626</v>
      </c>
      <c r="C1251" s="2">
        <v>37421</v>
      </c>
      <c r="D1251" s="1" t="s">
        <v>535</v>
      </c>
      <c r="E1251" s="1" t="s">
        <v>270</v>
      </c>
      <c r="F1251" s="1" t="s">
        <v>394</v>
      </c>
      <c r="G1251" s="1" t="s">
        <v>395</v>
      </c>
      <c r="H1251" s="6" t="str">
        <f>VLOOKUP(A1251,WorldCups!$A$2:$B$23,2,FALSE)</f>
        <v>Korea/Japan</v>
      </c>
      <c r="I1251" s="1" t="s">
        <v>170</v>
      </c>
      <c r="J1251" s="1">
        <v>0</v>
      </c>
      <c r="K1251" s="1" t="s">
        <v>116</v>
      </c>
      <c r="L1251" s="1">
        <v>1</v>
      </c>
      <c r="M1251" s="1" t="s">
        <v>14</v>
      </c>
    </row>
    <row r="1252" spans="1:13" hidden="1" x14ac:dyDescent="0.25">
      <c r="A1252" s="1">
        <v>2002</v>
      </c>
      <c r="B1252" s="1">
        <v>626</v>
      </c>
      <c r="C1252" s="2">
        <v>37421</v>
      </c>
      <c r="D1252" s="1" t="s">
        <v>535</v>
      </c>
      <c r="E1252" s="1" t="s">
        <v>270</v>
      </c>
      <c r="F1252" s="1" t="s">
        <v>394</v>
      </c>
      <c r="G1252" s="1" t="s">
        <v>395</v>
      </c>
      <c r="H1252" s="6" t="str">
        <f>VLOOKUP(A1252,WorldCups!$A$2:$B$23,2,FALSE)</f>
        <v>Korea/Japan</v>
      </c>
      <c r="I1252" s="1" t="s">
        <v>116</v>
      </c>
      <c r="J1252" s="1">
        <v>1</v>
      </c>
      <c r="K1252" s="1" t="s">
        <v>170</v>
      </c>
      <c r="L1252" s="1">
        <v>0</v>
      </c>
      <c r="M1252" s="1" t="s">
        <v>14</v>
      </c>
    </row>
    <row r="1253" spans="1:13" hidden="1" x14ac:dyDescent="0.25">
      <c r="A1253" s="1">
        <v>2002</v>
      </c>
      <c r="B1253" s="1">
        <f>B1252+1</f>
        <v>627</v>
      </c>
      <c r="C1253" s="2">
        <v>37421</v>
      </c>
      <c r="D1253" s="1" t="s">
        <v>535</v>
      </c>
      <c r="E1253" s="1" t="s">
        <v>270</v>
      </c>
      <c r="F1253" s="1" t="s">
        <v>406</v>
      </c>
      <c r="G1253" s="1" t="s">
        <v>407</v>
      </c>
      <c r="H1253" s="6" t="str">
        <f>VLOOKUP(A1253,WorldCups!$A$2:$B$23,2,FALSE)</f>
        <v>Korea/Japan</v>
      </c>
      <c r="I1253" s="1" t="s">
        <v>80</v>
      </c>
      <c r="J1253" s="1">
        <v>3</v>
      </c>
      <c r="K1253" s="1" t="s">
        <v>17</v>
      </c>
      <c r="L1253" s="1">
        <v>1</v>
      </c>
      <c r="M1253" s="1" t="s">
        <v>14</v>
      </c>
    </row>
    <row r="1254" spans="1:13" hidden="1" x14ac:dyDescent="0.25">
      <c r="A1254" s="1">
        <v>2002</v>
      </c>
      <c r="B1254" s="1">
        <v>627</v>
      </c>
      <c r="C1254" s="2">
        <v>37421</v>
      </c>
      <c r="D1254" s="1" t="s">
        <v>535</v>
      </c>
      <c r="E1254" s="1" t="s">
        <v>270</v>
      </c>
      <c r="F1254" s="1" t="s">
        <v>406</v>
      </c>
      <c r="G1254" s="1" t="s">
        <v>407</v>
      </c>
      <c r="H1254" s="6" t="str">
        <f>VLOOKUP(A1254,WorldCups!$A$2:$B$23,2,FALSE)</f>
        <v>Korea/Japan</v>
      </c>
      <c r="I1254" s="1" t="s">
        <v>17</v>
      </c>
      <c r="J1254" s="1">
        <v>1</v>
      </c>
      <c r="K1254" s="1" t="s">
        <v>80</v>
      </c>
      <c r="L1254" s="1">
        <v>3</v>
      </c>
      <c r="M1254" s="1" t="s">
        <v>14</v>
      </c>
    </row>
    <row r="1255" spans="1:13" hidden="1" x14ac:dyDescent="0.25">
      <c r="A1255" s="1">
        <v>2002</v>
      </c>
      <c r="B1255" s="1">
        <f>B1254+1</f>
        <v>628</v>
      </c>
      <c r="C1255" s="2">
        <v>37421</v>
      </c>
      <c r="D1255" s="1" t="s">
        <v>514</v>
      </c>
      <c r="E1255" s="1" t="s">
        <v>355</v>
      </c>
      <c r="F1255" s="1" t="s">
        <v>402</v>
      </c>
      <c r="G1255" s="1" t="s">
        <v>403</v>
      </c>
      <c r="H1255" s="6" t="str">
        <f>VLOOKUP(A1255,WorldCups!$A$2:$B$23,2,FALSE)</f>
        <v>Korea/Japan</v>
      </c>
      <c r="I1255" s="1" t="s">
        <v>18</v>
      </c>
      <c r="J1255" s="1">
        <v>3</v>
      </c>
      <c r="K1255" s="1" t="s">
        <v>336</v>
      </c>
      <c r="L1255" s="1">
        <v>2</v>
      </c>
      <c r="M1255" s="1" t="s">
        <v>14</v>
      </c>
    </row>
    <row r="1256" spans="1:13" hidden="1" x14ac:dyDescent="0.25">
      <c r="A1256" s="1">
        <v>2002</v>
      </c>
      <c r="B1256" s="1">
        <v>628</v>
      </c>
      <c r="C1256" s="2">
        <v>37421</v>
      </c>
      <c r="D1256" s="1" t="s">
        <v>514</v>
      </c>
      <c r="E1256" s="1" t="s">
        <v>355</v>
      </c>
      <c r="F1256" s="1" t="s">
        <v>402</v>
      </c>
      <c r="G1256" s="1" t="s">
        <v>403</v>
      </c>
      <c r="H1256" s="6" t="str">
        <f>VLOOKUP(A1256,WorldCups!$A$2:$B$23,2,FALSE)</f>
        <v>Korea/Japan</v>
      </c>
      <c r="I1256" s="1" t="s">
        <v>336</v>
      </c>
      <c r="J1256" s="1">
        <v>2</v>
      </c>
      <c r="K1256" s="1" t="s">
        <v>18</v>
      </c>
      <c r="L1256" s="1">
        <v>3</v>
      </c>
      <c r="M1256" s="1" t="s">
        <v>14</v>
      </c>
    </row>
    <row r="1257" spans="1:13" hidden="1" x14ac:dyDescent="0.25">
      <c r="A1257" s="1">
        <v>2002</v>
      </c>
      <c r="B1257" s="1">
        <f>B1256+1</f>
        <v>629</v>
      </c>
      <c r="C1257" s="2">
        <v>37422</v>
      </c>
      <c r="D1257" s="1" t="s">
        <v>535</v>
      </c>
      <c r="E1257" s="1" t="s">
        <v>287</v>
      </c>
      <c r="F1257" s="1" t="s">
        <v>369</v>
      </c>
      <c r="G1257" s="1" t="s">
        <v>370</v>
      </c>
      <c r="H1257" s="6" t="str">
        <f>VLOOKUP(A1257,WorldCups!$A$2:$B$23,2,FALSE)</f>
        <v>Korea/Japan</v>
      </c>
      <c r="I1257" s="1" t="s">
        <v>284</v>
      </c>
      <c r="J1257" s="1">
        <v>0</v>
      </c>
      <c r="K1257" s="1" t="s">
        <v>93</v>
      </c>
      <c r="L1257" s="1">
        <v>3</v>
      </c>
      <c r="M1257" s="1" t="s">
        <v>14</v>
      </c>
    </row>
    <row r="1258" spans="1:13" hidden="1" x14ac:dyDescent="0.25">
      <c r="A1258" s="1">
        <v>2002</v>
      </c>
      <c r="B1258" s="1">
        <v>629</v>
      </c>
      <c r="C1258" s="2">
        <v>37422</v>
      </c>
      <c r="D1258" s="1" t="s">
        <v>535</v>
      </c>
      <c r="E1258" s="1" t="s">
        <v>287</v>
      </c>
      <c r="F1258" s="1" t="s">
        <v>369</v>
      </c>
      <c r="G1258" s="1" t="s">
        <v>370</v>
      </c>
      <c r="H1258" s="6" t="str">
        <f>VLOOKUP(A1258,WorldCups!$A$2:$B$23,2,FALSE)</f>
        <v>Korea/Japan</v>
      </c>
      <c r="I1258" s="1" t="s">
        <v>93</v>
      </c>
      <c r="J1258" s="1">
        <v>3</v>
      </c>
      <c r="K1258" s="1" t="s">
        <v>284</v>
      </c>
      <c r="L1258" s="1">
        <v>0</v>
      </c>
      <c r="M1258" s="1" t="s">
        <v>14</v>
      </c>
    </row>
    <row r="1259" spans="1:13" hidden="1" x14ac:dyDescent="0.25">
      <c r="A1259" s="1">
        <v>2002</v>
      </c>
      <c r="B1259" s="1">
        <f>B1258+1</f>
        <v>630</v>
      </c>
      <c r="C1259" s="2">
        <v>37422</v>
      </c>
      <c r="D1259" s="1" t="s">
        <v>514</v>
      </c>
      <c r="E1259" s="1" t="s">
        <v>287</v>
      </c>
      <c r="F1259" s="1" t="s">
        <v>392</v>
      </c>
      <c r="G1259" s="1" t="s">
        <v>393</v>
      </c>
      <c r="H1259" s="6" t="str">
        <f>VLOOKUP(A1259,WorldCups!$A$2:$B$23,2,FALSE)</f>
        <v>Korea/Japan</v>
      </c>
      <c r="I1259" s="1" t="s">
        <v>51</v>
      </c>
      <c r="J1259" s="1">
        <v>1</v>
      </c>
      <c r="K1259" s="1" t="s">
        <v>28</v>
      </c>
      <c r="L1259" s="1">
        <v>0</v>
      </c>
      <c r="M1259" s="1" t="s">
        <v>14</v>
      </c>
    </row>
    <row r="1260" spans="1:13" hidden="1" x14ac:dyDescent="0.25">
      <c r="A1260" s="1">
        <v>2002</v>
      </c>
      <c r="B1260" s="1">
        <v>630</v>
      </c>
      <c r="C1260" s="2">
        <v>37422</v>
      </c>
      <c r="D1260" s="1" t="s">
        <v>514</v>
      </c>
      <c r="E1260" s="1" t="s">
        <v>287</v>
      </c>
      <c r="F1260" s="1" t="s">
        <v>392</v>
      </c>
      <c r="G1260" s="1" t="s">
        <v>393</v>
      </c>
      <c r="H1260" s="6" t="str">
        <f>VLOOKUP(A1260,WorldCups!$A$2:$B$23,2,FALSE)</f>
        <v>Korea/Japan</v>
      </c>
      <c r="I1260" s="1" t="s">
        <v>28</v>
      </c>
      <c r="J1260" s="1">
        <v>0</v>
      </c>
      <c r="K1260" s="1" t="s">
        <v>51</v>
      </c>
      <c r="L1260" s="1">
        <v>1</v>
      </c>
      <c r="M1260" s="1" t="s">
        <v>14</v>
      </c>
    </row>
    <row r="1261" spans="1:13" hidden="1" x14ac:dyDescent="0.25">
      <c r="A1261" s="1">
        <v>2002</v>
      </c>
      <c r="B1261" s="1">
        <f>B1260+1</f>
        <v>631</v>
      </c>
      <c r="C1261" s="2">
        <v>37423</v>
      </c>
      <c r="D1261" s="1" t="s">
        <v>535</v>
      </c>
      <c r="E1261" s="1" t="s">
        <v>287</v>
      </c>
      <c r="F1261" s="1" t="s">
        <v>386</v>
      </c>
      <c r="G1261" s="1" t="s">
        <v>387</v>
      </c>
      <c r="H1261" s="6" t="str">
        <f>VLOOKUP(A1261,WorldCups!$A$2:$B$23,2,FALSE)</f>
        <v>Korea/Japan</v>
      </c>
      <c r="I1261" s="1" t="s">
        <v>54</v>
      </c>
      <c r="J1261" s="1">
        <v>1</v>
      </c>
      <c r="K1261" s="1" t="s">
        <v>304</v>
      </c>
      <c r="L1261" s="1">
        <v>1</v>
      </c>
      <c r="M1261" s="1" t="s">
        <v>408</v>
      </c>
    </row>
    <row r="1262" spans="1:13" hidden="1" x14ac:dyDescent="0.25">
      <c r="A1262" s="1">
        <v>2002</v>
      </c>
      <c r="B1262" s="1">
        <v>631</v>
      </c>
      <c r="C1262" s="2">
        <v>37423</v>
      </c>
      <c r="D1262" s="1" t="s">
        <v>535</v>
      </c>
      <c r="E1262" s="1" t="s">
        <v>287</v>
      </c>
      <c r="F1262" s="1" t="s">
        <v>386</v>
      </c>
      <c r="G1262" s="1" t="s">
        <v>387</v>
      </c>
      <c r="H1262" s="6" t="str">
        <f>VLOOKUP(A1262,WorldCups!$A$2:$B$23,2,FALSE)</f>
        <v>Korea/Japan</v>
      </c>
      <c r="I1262" s="1" t="s">
        <v>304</v>
      </c>
      <c r="J1262" s="1">
        <v>1</v>
      </c>
      <c r="K1262" s="1" t="s">
        <v>54</v>
      </c>
      <c r="L1262" s="1">
        <v>1</v>
      </c>
      <c r="M1262" s="1" t="s">
        <v>408</v>
      </c>
    </row>
    <row r="1263" spans="1:13" hidden="1" x14ac:dyDescent="0.25">
      <c r="A1263" s="1">
        <v>2002</v>
      </c>
      <c r="B1263" s="1">
        <f>B1262+1</f>
        <v>632</v>
      </c>
      <c r="C1263" s="2">
        <v>37423</v>
      </c>
      <c r="D1263" s="1" t="s">
        <v>514</v>
      </c>
      <c r="E1263" s="1" t="s">
        <v>287</v>
      </c>
      <c r="F1263" s="1" t="s">
        <v>400</v>
      </c>
      <c r="G1263" s="1" t="s">
        <v>401</v>
      </c>
      <c r="H1263" s="6" t="str">
        <f>VLOOKUP(A1263,WorldCups!$A$2:$B$23,2,FALSE)</f>
        <v>Korea/Japan</v>
      </c>
      <c r="I1263" s="1" t="s">
        <v>48</v>
      </c>
      <c r="J1263" s="1">
        <v>1</v>
      </c>
      <c r="K1263" s="1" t="s">
        <v>366</v>
      </c>
      <c r="L1263" s="1">
        <v>2</v>
      </c>
      <c r="M1263" s="1" t="s">
        <v>409</v>
      </c>
    </row>
    <row r="1264" spans="1:13" hidden="1" x14ac:dyDescent="0.25">
      <c r="A1264" s="1">
        <v>2002</v>
      </c>
      <c r="B1264" s="1">
        <v>632</v>
      </c>
      <c r="C1264" s="2">
        <v>37423</v>
      </c>
      <c r="D1264" s="1" t="s">
        <v>514</v>
      </c>
      <c r="E1264" s="1" t="s">
        <v>287</v>
      </c>
      <c r="F1264" s="1" t="s">
        <v>400</v>
      </c>
      <c r="G1264" s="1" t="s">
        <v>401</v>
      </c>
      <c r="H1264" s="6" t="str">
        <f>VLOOKUP(A1264,WorldCups!$A$2:$B$23,2,FALSE)</f>
        <v>Korea/Japan</v>
      </c>
      <c r="I1264" s="1" t="s">
        <v>366</v>
      </c>
      <c r="J1264" s="1">
        <v>2</v>
      </c>
      <c r="K1264" s="1" t="s">
        <v>48</v>
      </c>
      <c r="L1264" s="1">
        <v>1</v>
      </c>
      <c r="M1264" s="1" t="s">
        <v>409</v>
      </c>
    </row>
    <row r="1265" spans="1:13" hidden="1" x14ac:dyDescent="0.25">
      <c r="A1265" s="1">
        <v>2002</v>
      </c>
      <c r="B1265" s="1">
        <f>B1264+1</f>
        <v>633</v>
      </c>
      <c r="C1265" s="2">
        <v>37424</v>
      </c>
      <c r="D1265" s="1" t="s">
        <v>535</v>
      </c>
      <c r="E1265" s="1" t="s">
        <v>287</v>
      </c>
      <c r="F1265" s="1" t="s">
        <v>384</v>
      </c>
      <c r="G1265" s="1" t="s">
        <v>385</v>
      </c>
      <c r="H1265" s="6" t="str">
        <f>VLOOKUP(A1265,WorldCups!$A$2:$B$23,2,FALSE)</f>
        <v>Korea/Japan</v>
      </c>
      <c r="I1265" s="1" t="s">
        <v>21</v>
      </c>
      <c r="J1265" s="1">
        <v>2</v>
      </c>
      <c r="K1265" s="1" t="s">
        <v>18</v>
      </c>
      <c r="L1265" s="1">
        <v>0</v>
      </c>
      <c r="M1265" s="1" t="s">
        <v>14</v>
      </c>
    </row>
    <row r="1266" spans="1:13" hidden="1" x14ac:dyDescent="0.25">
      <c r="A1266" s="1">
        <v>2002</v>
      </c>
      <c r="B1266" s="1">
        <v>633</v>
      </c>
      <c r="C1266" s="2">
        <v>37424</v>
      </c>
      <c r="D1266" s="1" t="s">
        <v>535</v>
      </c>
      <c r="E1266" s="1" t="s">
        <v>287</v>
      </c>
      <c r="F1266" s="1" t="s">
        <v>384</v>
      </c>
      <c r="G1266" s="1" t="s">
        <v>385</v>
      </c>
      <c r="H1266" s="6" t="str">
        <f>VLOOKUP(A1266,WorldCups!$A$2:$B$23,2,FALSE)</f>
        <v>Korea/Japan</v>
      </c>
      <c r="I1266" s="1" t="s">
        <v>18</v>
      </c>
      <c r="J1266" s="1">
        <v>0</v>
      </c>
      <c r="K1266" s="1" t="s">
        <v>21</v>
      </c>
      <c r="L1266" s="1">
        <v>2</v>
      </c>
      <c r="M1266" s="1" t="s">
        <v>14</v>
      </c>
    </row>
    <row r="1267" spans="1:13" hidden="1" x14ac:dyDescent="0.25">
      <c r="A1267" s="1">
        <v>2002</v>
      </c>
      <c r="B1267" s="1">
        <f>B1266+1</f>
        <v>634</v>
      </c>
      <c r="C1267" s="2">
        <v>37424</v>
      </c>
      <c r="D1267" s="1" t="s">
        <v>514</v>
      </c>
      <c r="E1267" s="1" t="s">
        <v>287</v>
      </c>
      <c r="F1267" s="1" t="s">
        <v>390</v>
      </c>
      <c r="G1267" s="1" t="s">
        <v>391</v>
      </c>
      <c r="H1267" s="6" t="str">
        <f>VLOOKUP(A1267,WorldCups!$A$2:$B$23,2,FALSE)</f>
        <v>Korea/Japan</v>
      </c>
      <c r="I1267" s="1" t="s">
        <v>13</v>
      </c>
      <c r="J1267" s="1">
        <v>0</v>
      </c>
      <c r="K1267" s="1" t="s">
        <v>17</v>
      </c>
      <c r="L1267" s="1">
        <v>2</v>
      </c>
      <c r="M1267" s="1" t="s">
        <v>14</v>
      </c>
    </row>
    <row r="1268" spans="1:13" hidden="1" x14ac:dyDescent="0.25">
      <c r="A1268" s="1">
        <v>2002</v>
      </c>
      <c r="B1268" s="1">
        <v>634</v>
      </c>
      <c r="C1268" s="2">
        <v>37424</v>
      </c>
      <c r="D1268" s="1" t="s">
        <v>514</v>
      </c>
      <c r="E1268" s="1" t="s">
        <v>287</v>
      </c>
      <c r="F1268" s="1" t="s">
        <v>390</v>
      </c>
      <c r="G1268" s="1" t="s">
        <v>391</v>
      </c>
      <c r="H1268" s="6" t="str">
        <f>VLOOKUP(A1268,WorldCups!$A$2:$B$23,2,FALSE)</f>
        <v>Korea/Japan</v>
      </c>
      <c r="I1268" s="1" t="s">
        <v>17</v>
      </c>
      <c r="J1268" s="1">
        <v>2</v>
      </c>
      <c r="K1268" s="1" t="s">
        <v>13</v>
      </c>
      <c r="L1268" s="1">
        <v>0</v>
      </c>
      <c r="M1268" s="1" t="s">
        <v>14</v>
      </c>
    </row>
    <row r="1269" spans="1:13" hidden="1" x14ac:dyDescent="0.25">
      <c r="A1269" s="1">
        <v>2002</v>
      </c>
      <c r="B1269" s="1">
        <f>B1268+1</f>
        <v>635</v>
      </c>
      <c r="C1269" s="2">
        <v>37425</v>
      </c>
      <c r="D1269" s="1" t="s">
        <v>514</v>
      </c>
      <c r="E1269" s="1" t="s">
        <v>287</v>
      </c>
      <c r="F1269" s="1" t="s">
        <v>398</v>
      </c>
      <c r="G1269" s="1" t="s">
        <v>399</v>
      </c>
      <c r="H1269" s="6" t="str">
        <f>VLOOKUP(A1269,WorldCups!$A$2:$B$23,2,FALSE)</f>
        <v>Korea/Japan</v>
      </c>
      <c r="I1269" s="1" t="s">
        <v>356</v>
      </c>
      <c r="J1269" s="1">
        <v>0</v>
      </c>
      <c r="K1269" s="1" t="s">
        <v>115</v>
      </c>
      <c r="L1269" s="1">
        <v>1</v>
      </c>
      <c r="M1269" s="1" t="s">
        <v>14</v>
      </c>
    </row>
    <row r="1270" spans="1:13" hidden="1" x14ac:dyDescent="0.25">
      <c r="A1270" s="1">
        <v>2002</v>
      </c>
      <c r="B1270" s="1">
        <v>635</v>
      </c>
      <c r="C1270" s="2">
        <v>37425</v>
      </c>
      <c r="D1270" s="1" t="s">
        <v>514</v>
      </c>
      <c r="E1270" s="1" t="s">
        <v>287</v>
      </c>
      <c r="F1270" s="1" t="s">
        <v>398</v>
      </c>
      <c r="G1270" s="1" t="s">
        <v>399</v>
      </c>
      <c r="H1270" s="6" t="str">
        <f>VLOOKUP(A1270,WorldCups!$A$2:$B$23,2,FALSE)</f>
        <v>Korea/Japan</v>
      </c>
      <c r="I1270" s="1" t="s">
        <v>115</v>
      </c>
      <c r="J1270" s="1">
        <v>1</v>
      </c>
      <c r="K1270" s="1" t="s">
        <v>356</v>
      </c>
      <c r="L1270" s="1">
        <v>0</v>
      </c>
      <c r="M1270" s="1" t="s">
        <v>14</v>
      </c>
    </row>
    <row r="1271" spans="1:13" hidden="1" x14ac:dyDescent="0.25">
      <c r="A1271" s="1">
        <v>2002</v>
      </c>
      <c r="B1271" s="1">
        <f>B1270+1</f>
        <v>636</v>
      </c>
      <c r="C1271" s="2">
        <v>37425</v>
      </c>
      <c r="D1271" s="1" t="s">
        <v>535</v>
      </c>
      <c r="E1271" s="1" t="s">
        <v>287</v>
      </c>
      <c r="F1271" s="1" t="s">
        <v>406</v>
      </c>
      <c r="G1271" s="1" t="s">
        <v>407</v>
      </c>
      <c r="H1271" s="6" t="str">
        <f>VLOOKUP(A1271,WorldCups!$A$2:$B$23,2,FALSE)</f>
        <v>Korea/Japan</v>
      </c>
      <c r="I1271" s="1" t="s">
        <v>116</v>
      </c>
      <c r="J1271" s="1">
        <v>2</v>
      </c>
      <c r="K1271" s="1" t="s">
        <v>57</v>
      </c>
      <c r="L1271" s="1">
        <v>1</v>
      </c>
      <c r="M1271" s="1" t="s">
        <v>409</v>
      </c>
    </row>
    <row r="1272" spans="1:13" hidden="1" x14ac:dyDescent="0.25">
      <c r="A1272" s="1">
        <v>2002</v>
      </c>
      <c r="B1272" s="1">
        <v>636</v>
      </c>
      <c r="C1272" s="2">
        <v>37425</v>
      </c>
      <c r="D1272" s="1" t="s">
        <v>535</v>
      </c>
      <c r="E1272" s="1" t="s">
        <v>287</v>
      </c>
      <c r="F1272" s="1" t="s">
        <v>406</v>
      </c>
      <c r="G1272" s="1" t="s">
        <v>407</v>
      </c>
      <c r="H1272" s="6" t="str">
        <f>VLOOKUP(A1272,WorldCups!$A$2:$B$23,2,FALSE)</f>
        <v>Korea/Japan</v>
      </c>
      <c r="I1272" s="1" t="s">
        <v>57</v>
      </c>
      <c r="J1272" s="1">
        <v>1</v>
      </c>
      <c r="K1272" s="1" t="s">
        <v>116</v>
      </c>
      <c r="L1272" s="1">
        <v>2</v>
      </c>
      <c r="M1272" s="1" t="s">
        <v>409</v>
      </c>
    </row>
    <row r="1273" spans="1:13" hidden="1" x14ac:dyDescent="0.25">
      <c r="A1273" s="1">
        <v>2002</v>
      </c>
      <c r="B1273" s="1">
        <f>B1272+1</f>
        <v>637</v>
      </c>
      <c r="C1273" s="2">
        <v>37428</v>
      </c>
      <c r="D1273" s="1" t="s">
        <v>514</v>
      </c>
      <c r="E1273" s="1" t="s">
        <v>61</v>
      </c>
      <c r="F1273" s="1" t="s">
        <v>402</v>
      </c>
      <c r="G1273" s="1" t="s">
        <v>403</v>
      </c>
      <c r="H1273" s="6" t="str">
        <f>VLOOKUP(A1273,WorldCups!$A$2:$B$23,2,FALSE)</f>
        <v>Korea/Japan</v>
      </c>
      <c r="I1273" s="1" t="s">
        <v>93</v>
      </c>
      <c r="J1273" s="1">
        <v>1</v>
      </c>
      <c r="K1273" s="1" t="s">
        <v>21</v>
      </c>
      <c r="L1273" s="1">
        <v>2</v>
      </c>
      <c r="M1273" s="1" t="s">
        <v>14</v>
      </c>
    </row>
    <row r="1274" spans="1:13" hidden="1" x14ac:dyDescent="0.25">
      <c r="A1274" s="1">
        <v>2002</v>
      </c>
      <c r="B1274" s="1">
        <v>637</v>
      </c>
      <c r="C1274" s="2">
        <v>37428</v>
      </c>
      <c r="D1274" s="1" t="s">
        <v>514</v>
      </c>
      <c r="E1274" s="1" t="s">
        <v>61</v>
      </c>
      <c r="F1274" s="1" t="s">
        <v>402</v>
      </c>
      <c r="G1274" s="1" t="s">
        <v>403</v>
      </c>
      <c r="H1274" s="6" t="str">
        <f>VLOOKUP(A1274,WorldCups!$A$2:$B$23,2,FALSE)</f>
        <v>Korea/Japan</v>
      </c>
      <c r="I1274" s="1" t="s">
        <v>21</v>
      </c>
      <c r="J1274" s="1">
        <v>2</v>
      </c>
      <c r="K1274" s="1" t="s">
        <v>93</v>
      </c>
      <c r="L1274" s="1">
        <v>1</v>
      </c>
      <c r="M1274" s="1" t="s">
        <v>14</v>
      </c>
    </row>
    <row r="1275" spans="1:13" hidden="1" x14ac:dyDescent="0.25">
      <c r="A1275" s="1">
        <v>2002</v>
      </c>
      <c r="B1275" s="1">
        <f>B1274+1</f>
        <v>638</v>
      </c>
      <c r="C1275" s="2">
        <v>37428</v>
      </c>
      <c r="D1275" s="1" t="s">
        <v>535</v>
      </c>
      <c r="E1275" s="1" t="s">
        <v>61</v>
      </c>
      <c r="F1275" s="1" t="s">
        <v>367</v>
      </c>
      <c r="G1275" s="1" t="s">
        <v>368</v>
      </c>
      <c r="H1275" s="6" t="str">
        <f>VLOOKUP(A1275,WorldCups!$A$2:$B$23,2,FALSE)</f>
        <v>Korea/Japan</v>
      </c>
      <c r="I1275" s="1" t="s">
        <v>51</v>
      </c>
      <c r="J1275" s="1">
        <v>1</v>
      </c>
      <c r="K1275" s="1" t="s">
        <v>17</v>
      </c>
      <c r="L1275" s="1">
        <v>0</v>
      </c>
      <c r="M1275" s="1" t="s">
        <v>14</v>
      </c>
    </row>
    <row r="1276" spans="1:13" hidden="1" x14ac:dyDescent="0.25">
      <c r="A1276" s="1">
        <v>2002</v>
      </c>
      <c r="B1276" s="1">
        <v>638</v>
      </c>
      <c r="C1276" s="2">
        <v>37428</v>
      </c>
      <c r="D1276" s="1" t="s">
        <v>535</v>
      </c>
      <c r="E1276" s="1" t="s">
        <v>61</v>
      </c>
      <c r="F1276" s="1" t="s">
        <v>367</v>
      </c>
      <c r="G1276" s="1" t="s">
        <v>368</v>
      </c>
      <c r="H1276" s="6" t="str">
        <f>VLOOKUP(A1276,WorldCups!$A$2:$B$23,2,FALSE)</f>
        <v>Korea/Japan</v>
      </c>
      <c r="I1276" s="1" t="s">
        <v>17</v>
      </c>
      <c r="J1276" s="1">
        <v>0</v>
      </c>
      <c r="K1276" s="1" t="s">
        <v>51</v>
      </c>
      <c r="L1276" s="1">
        <v>1</v>
      </c>
      <c r="M1276" s="1" t="s">
        <v>14</v>
      </c>
    </row>
    <row r="1277" spans="1:13" hidden="1" x14ac:dyDescent="0.25">
      <c r="A1277" s="1">
        <v>2002</v>
      </c>
      <c r="B1277" s="1">
        <f>B1276+1</f>
        <v>639</v>
      </c>
      <c r="C1277" s="2">
        <v>37429</v>
      </c>
      <c r="D1277" s="1" t="s">
        <v>535</v>
      </c>
      <c r="E1277" s="1" t="s">
        <v>61</v>
      </c>
      <c r="F1277" s="1" t="s">
        <v>404</v>
      </c>
      <c r="G1277" s="1" t="s">
        <v>405</v>
      </c>
      <c r="H1277" s="6" t="str">
        <f>VLOOKUP(A1277,WorldCups!$A$2:$B$23,2,FALSE)</f>
        <v>Korea/Japan</v>
      </c>
      <c r="I1277" s="1" t="s">
        <v>366</v>
      </c>
      <c r="J1277" s="1">
        <v>0</v>
      </c>
      <c r="K1277" s="1" t="s">
        <v>115</v>
      </c>
      <c r="L1277" s="1">
        <v>1</v>
      </c>
      <c r="M1277" s="1" t="s">
        <v>409</v>
      </c>
    </row>
    <row r="1278" spans="1:13" hidden="1" x14ac:dyDescent="0.25">
      <c r="A1278" s="1">
        <v>2002</v>
      </c>
      <c r="B1278" s="1">
        <v>639</v>
      </c>
      <c r="C1278" s="2">
        <v>37429</v>
      </c>
      <c r="D1278" s="1" t="s">
        <v>535</v>
      </c>
      <c r="E1278" s="1" t="s">
        <v>61</v>
      </c>
      <c r="F1278" s="1" t="s">
        <v>404</v>
      </c>
      <c r="G1278" s="1" t="s">
        <v>405</v>
      </c>
      <c r="H1278" s="6" t="str">
        <f>VLOOKUP(A1278,WorldCups!$A$2:$B$23,2,FALSE)</f>
        <v>Korea/Japan</v>
      </c>
      <c r="I1278" s="1" t="s">
        <v>115</v>
      </c>
      <c r="J1278" s="1">
        <v>1</v>
      </c>
      <c r="K1278" s="1" t="s">
        <v>366</v>
      </c>
      <c r="L1278" s="1">
        <v>0</v>
      </c>
      <c r="M1278" s="1" t="s">
        <v>409</v>
      </c>
    </row>
    <row r="1279" spans="1:13" hidden="1" x14ac:dyDescent="0.25">
      <c r="A1279" s="1">
        <v>2002</v>
      </c>
      <c r="B1279" s="1">
        <f>B1278+1</f>
        <v>640</v>
      </c>
      <c r="C1279" s="2">
        <v>37429</v>
      </c>
      <c r="D1279" s="1" t="s">
        <v>514</v>
      </c>
      <c r="E1279" s="1" t="s">
        <v>61</v>
      </c>
      <c r="F1279" s="1" t="s">
        <v>379</v>
      </c>
      <c r="G1279" s="1" t="s">
        <v>380</v>
      </c>
      <c r="H1279" s="6" t="str">
        <f>VLOOKUP(A1279,WorldCups!$A$2:$B$23,2,FALSE)</f>
        <v>Korea/Japan</v>
      </c>
      <c r="I1279" s="1" t="s">
        <v>54</v>
      </c>
      <c r="J1279" s="1">
        <v>0</v>
      </c>
      <c r="K1279" s="1" t="s">
        <v>116</v>
      </c>
      <c r="L1279" s="1">
        <v>0</v>
      </c>
      <c r="M1279" s="1" t="s">
        <v>410</v>
      </c>
    </row>
    <row r="1280" spans="1:13" hidden="1" x14ac:dyDescent="0.25">
      <c r="A1280" s="1">
        <v>2002</v>
      </c>
      <c r="B1280" s="1">
        <v>640</v>
      </c>
      <c r="C1280" s="2">
        <v>37429</v>
      </c>
      <c r="D1280" s="1" t="s">
        <v>514</v>
      </c>
      <c r="E1280" s="1" t="s">
        <v>61</v>
      </c>
      <c r="F1280" s="1" t="s">
        <v>379</v>
      </c>
      <c r="G1280" s="1" t="s">
        <v>380</v>
      </c>
      <c r="H1280" s="6" t="str">
        <f>VLOOKUP(A1280,WorldCups!$A$2:$B$23,2,FALSE)</f>
        <v>Korea/Japan</v>
      </c>
      <c r="I1280" s="1" t="s">
        <v>116</v>
      </c>
      <c r="J1280" s="1">
        <v>0</v>
      </c>
      <c r="K1280" s="1" t="s">
        <v>54</v>
      </c>
      <c r="L1280" s="1">
        <v>0</v>
      </c>
      <c r="M1280" s="1" t="s">
        <v>410</v>
      </c>
    </row>
    <row r="1281" spans="1:13" hidden="1" x14ac:dyDescent="0.25">
      <c r="A1281" s="1">
        <v>2002</v>
      </c>
      <c r="B1281" s="1">
        <f>B1280+1</f>
        <v>641</v>
      </c>
      <c r="C1281" s="2">
        <v>37432</v>
      </c>
      <c r="D1281" s="1" t="s">
        <v>535</v>
      </c>
      <c r="E1281" s="1" t="s">
        <v>31</v>
      </c>
      <c r="F1281" s="1" t="s">
        <v>364</v>
      </c>
      <c r="G1281" s="1" t="s">
        <v>365</v>
      </c>
      <c r="H1281" s="6" t="str">
        <f>VLOOKUP(A1281,WorldCups!$A$2:$B$23,2,FALSE)</f>
        <v>Korea/Japan</v>
      </c>
      <c r="I1281" s="1" t="s">
        <v>51</v>
      </c>
      <c r="J1281" s="1">
        <v>1</v>
      </c>
      <c r="K1281" s="1" t="s">
        <v>116</v>
      </c>
      <c r="L1281" s="1">
        <v>0</v>
      </c>
      <c r="M1281" s="1" t="s">
        <v>14</v>
      </c>
    </row>
    <row r="1282" spans="1:13" hidden="1" x14ac:dyDescent="0.25">
      <c r="A1282" s="1">
        <v>2002</v>
      </c>
      <c r="B1282" s="1">
        <v>641</v>
      </c>
      <c r="C1282" s="2">
        <v>37432</v>
      </c>
      <c r="D1282" s="1" t="s">
        <v>535</v>
      </c>
      <c r="E1282" s="1" t="s">
        <v>31</v>
      </c>
      <c r="F1282" s="1" t="s">
        <v>364</v>
      </c>
      <c r="G1282" s="1" t="s">
        <v>365</v>
      </c>
      <c r="H1282" s="6" t="str">
        <f>VLOOKUP(A1282,WorldCups!$A$2:$B$23,2,FALSE)</f>
        <v>Korea/Japan</v>
      </c>
      <c r="I1282" s="1" t="s">
        <v>116</v>
      </c>
      <c r="J1282" s="1">
        <v>0</v>
      </c>
      <c r="K1282" s="1" t="s">
        <v>51</v>
      </c>
      <c r="L1282" s="1">
        <v>1</v>
      </c>
      <c r="M1282" s="1" t="s">
        <v>14</v>
      </c>
    </row>
    <row r="1283" spans="1:13" hidden="1" x14ac:dyDescent="0.25">
      <c r="A1283" s="1">
        <v>2002</v>
      </c>
      <c r="B1283" s="1">
        <f>B1282+1</f>
        <v>642</v>
      </c>
      <c r="C1283" s="2">
        <v>37433</v>
      </c>
      <c r="D1283" s="1" t="s">
        <v>535</v>
      </c>
      <c r="E1283" s="1" t="s">
        <v>31</v>
      </c>
      <c r="F1283" s="1" t="s">
        <v>377</v>
      </c>
      <c r="G1283" s="1" t="s">
        <v>378</v>
      </c>
      <c r="H1283" s="6" t="str">
        <f>VLOOKUP(A1283,WorldCups!$A$2:$B$23,2,FALSE)</f>
        <v>Korea/Japan</v>
      </c>
      <c r="I1283" s="1" t="s">
        <v>21</v>
      </c>
      <c r="J1283" s="1">
        <v>1</v>
      </c>
      <c r="K1283" s="1" t="s">
        <v>115</v>
      </c>
      <c r="L1283" s="1">
        <v>0</v>
      </c>
      <c r="M1283" s="1" t="s">
        <v>14</v>
      </c>
    </row>
    <row r="1284" spans="1:13" hidden="1" x14ac:dyDescent="0.25">
      <c r="A1284" s="1">
        <v>2002</v>
      </c>
      <c r="B1284" s="1">
        <v>642</v>
      </c>
      <c r="C1284" s="2">
        <v>37433</v>
      </c>
      <c r="D1284" s="1" t="s">
        <v>535</v>
      </c>
      <c r="E1284" s="1" t="s">
        <v>31</v>
      </c>
      <c r="F1284" s="1" t="s">
        <v>377</v>
      </c>
      <c r="G1284" s="1" t="s">
        <v>378</v>
      </c>
      <c r="H1284" s="6" t="str">
        <f>VLOOKUP(A1284,WorldCups!$A$2:$B$23,2,FALSE)</f>
        <v>Korea/Japan</v>
      </c>
      <c r="I1284" s="1" t="s">
        <v>115</v>
      </c>
      <c r="J1284" s="1">
        <v>0</v>
      </c>
      <c r="K1284" s="1" t="s">
        <v>21</v>
      </c>
      <c r="L1284" s="1">
        <v>1</v>
      </c>
      <c r="M1284" s="1" t="s">
        <v>14</v>
      </c>
    </row>
    <row r="1285" spans="1:13" hidden="1" x14ac:dyDescent="0.25">
      <c r="A1285" s="1">
        <v>2002</v>
      </c>
      <c r="B1285" s="1">
        <f>B1284+1</f>
        <v>643</v>
      </c>
      <c r="C1285" s="2">
        <v>37436</v>
      </c>
      <c r="D1285" s="1" t="s">
        <v>528</v>
      </c>
      <c r="E1285" s="1" t="s">
        <v>411</v>
      </c>
      <c r="F1285" s="1" t="s">
        <v>388</v>
      </c>
      <c r="G1285" s="1" t="s">
        <v>389</v>
      </c>
      <c r="H1285" s="6" t="str">
        <f>VLOOKUP(A1285,WorldCups!$A$2:$B$23,2,FALSE)</f>
        <v>Korea/Japan</v>
      </c>
      <c r="I1285" s="1" t="s">
        <v>116</v>
      </c>
      <c r="J1285" s="1">
        <v>2</v>
      </c>
      <c r="K1285" s="1" t="s">
        <v>115</v>
      </c>
      <c r="L1285" s="1">
        <v>3</v>
      </c>
      <c r="M1285" s="1" t="s">
        <v>14</v>
      </c>
    </row>
    <row r="1286" spans="1:13" hidden="1" x14ac:dyDescent="0.25">
      <c r="A1286" s="1">
        <v>2002</v>
      </c>
      <c r="B1286" s="1">
        <v>643</v>
      </c>
      <c r="C1286" s="2">
        <v>37436</v>
      </c>
      <c r="D1286" s="1" t="s">
        <v>528</v>
      </c>
      <c r="E1286" s="1" t="s">
        <v>411</v>
      </c>
      <c r="F1286" s="1" t="s">
        <v>388</v>
      </c>
      <c r="G1286" s="1" t="s">
        <v>389</v>
      </c>
      <c r="H1286" s="6" t="str">
        <f>VLOOKUP(A1286,WorldCups!$A$2:$B$23,2,FALSE)</f>
        <v>Korea/Japan</v>
      </c>
      <c r="I1286" s="1" t="s">
        <v>115</v>
      </c>
      <c r="J1286" s="1">
        <v>3</v>
      </c>
      <c r="K1286" s="1" t="s">
        <v>116</v>
      </c>
      <c r="L1286" s="1">
        <v>2</v>
      </c>
      <c r="M1286" s="1" t="s">
        <v>14</v>
      </c>
    </row>
    <row r="1287" spans="1:13" hidden="1" x14ac:dyDescent="0.25">
      <c r="A1287" s="1">
        <v>2002</v>
      </c>
      <c r="B1287" s="1">
        <f>B1286+1</f>
        <v>644</v>
      </c>
      <c r="C1287" s="2">
        <v>37437</v>
      </c>
      <c r="D1287" s="1" t="s">
        <v>528</v>
      </c>
      <c r="E1287" s="1" t="s">
        <v>32</v>
      </c>
      <c r="F1287" s="1" t="s">
        <v>396</v>
      </c>
      <c r="G1287" s="1" t="s">
        <v>397</v>
      </c>
      <c r="H1287" s="6" t="str">
        <f>VLOOKUP(A1287,WorldCups!$A$2:$B$23,2,FALSE)</f>
        <v>Korea/Japan</v>
      </c>
      <c r="I1287" s="1" t="s">
        <v>51</v>
      </c>
      <c r="J1287" s="1">
        <v>0</v>
      </c>
      <c r="K1287" s="1" t="s">
        <v>21</v>
      </c>
      <c r="L1287" s="1">
        <v>2</v>
      </c>
      <c r="M1287" s="1" t="s">
        <v>14</v>
      </c>
    </row>
    <row r="1288" spans="1:13" hidden="1" x14ac:dyDescent="0.25">
      <c r="A1288" s="1">
        <v>2002</v>
      </c>
      <c r="B1288" s="1">
        <v>644</v>
      </c>
      <c r="C1288" s="2">
        <v>37437</v>
      </c>
      <c r="D1288" s="1" t="s">
        <v>528</v>
      </c>
      <c r="E1288" s="1" t="s">
        <v>32</v>
      </c>
      <c r="F1288" s="1" t="s">
        <v>396</v>
      </c>
      <c r="G1288" s="1" t="s">
        <v>397</v>
      </c>
      <c r="H1288" s="6" t="str">
        <f>VLOOKUP(A1288,WorldCups!$A$2:$B$23,2,FALSE)</f>
        <v>Korea/Japan</v>
      </c>
      <c r="I1288" s="1" t="s">
        <v>21</v>
      </c>
      <c r="J1288" s="1">
        <v>2</v>
      </c>
      <c r="K1288" s="1" t="s">
        <v>51</v>
      </c>
      <c r="L1288" s="1">
        <v>0</v>
      </c>
      <c r="M1288" s="1" t="s">
        <v>14</v>
      </c>
    </row>
    <row r="1289" spans="1:13" hidden="1" x14ac:dyDescent="0.25">
      <c r="A1289" s="1">
        <v>2006</v>
      </c>
      <c r="B1289" s="1">
        <f>B1288+1</f>
        <v>645</v>
      </c>
      <c r="C1289" s="2">
        <v>38877</v>
      </c>
      <c r="D1289" s="1" t="s">
        <v>510</v>
      </c>
      <c r="E1289" s="1" t="s">
        <v>214</v>
      </c>
      <c r="F1289" s="1" t="s">
        <v>412</v>
      </c>
      <c r="G1289" s="1" t="s">
        <v>207</v>
      </c>
      <c r="H1289" s="6" t="str">
        <f>VLOOKUP(A1289,WorldCups!$A$2:$B$23,2,FALSE)</f>
        <v>Germany</v>
      </c>
      <c r="I1289" s="1" t="s">
        <v>51</v>
      </c>
      <c r="J1289" s="1">
        <v>4</v>
      </c>
      <c r="K1289" s="1" t="s">
        <v>301</v>
      </c>
      <c r="L1289" s="1">
        <v>2</v>
      </c>
      <c r="M1289" s="1" t="s">
        <v>14</v>
      </c>
    </row>
    <row r="1290" spans="1:13" hidden="1" x14ac:dyDescent="0.25">
      <c r="A1290" s="1">
        <v>2006</v>
      </c>
      <c r="B1290" s="1">
        <v>645</v>
      </c>
      <c r="C1290" s="2">
        <v>38877</v>
      </c>
      <c r="D1290" s="1" t="s">
        <v>510</v>
      </c>
      <c r="E1290" s="1" t="s">
        <v>214</v>
      </c>
      <c r="F1290" s="1" t="s">
        <v>412</v>
      </c>
      <c r="G1290" s="1" t="s">
        <v>207</v>
      </c>
      <c r="H1290" s="6" t="str">
        <f>VLOOKUP(A1290,WorldCups!$A$2:$B$23,2,FALSE)</f>
        <v>Germany</v>
      </c>
      <c r="I1290" s="1" t="s">
        <v>301</v>
      </c>
      <c r="J1290" s="1">
        <v>2</v>
      </c>
      <c r="K1290" s="1" t="s">
        <v>51</v>
      </c>
      <c r="L1290" s="1">
        <v>4</v>
      </c>
      <c r="M1290" s="1" t="s">
        <v>14</v>
      </c>
    </row>
    <row r="1291" spans="1:13" hidden="1" x14ac:dyDescent="0.25">
      <c r="A1291" s="1">
        <v>2006</v>
      </c>
      <c r="B1291" s="1">
        <f>B1290+1</f>
        <v>646</v>
      </c>
      <c r="C1291" s="2">
        <v>38877</v>
      </c>
      <c r="D1291" s="1" t="s">
        <v>530</v>
      </c>
      <c r="E1291" s="1" t="s">
        <v>214</v>
      </c>
      <c r="F1291" s="1" t="s">
        <v>413</v>
      </c>
      <c r="G1291" s="1" t="s">
        <v>212</v>
      </c>
      <c r="H1291" s="6" t="str">
        <f>VLOOKUP(A1291,WorldCups!$A$2:$B$23,2,FALSE)</f>
        <v>Germany</v>
      </c>
      <c r="I1291" s="1" t="s">
        <v>80</v>
      </c>
      <c r="J1291" s="1">
        <v>0</v>
      </c>
      <c r="K1291" s="1" t="s">
        <v>382</v>
      </c>
      <c r="L1291" s="1">
        <v>2</v>
      </c>
      <c r="M1291" s="1" t="s">
        <v>14</v>
      </c>
    </row>
    <row r="1292" spans="1:13" hidden="1" x14ac:dyDescent="0.25">
      <c r="A1292" s="1">
        <v>2006</v>
      </c>
      <c r="B1292" s="1">
        <v>646</v>
      </c>
      <c r="C1292" s="2">
        <v>38877</v>
      </c>
      <c r="D1292" s="1" t="s">
        <v>530</v>
      </c>
      <c r="E1292" s="1" t="s">
        <v>214</v>
      </c>
      <c r="F1292" s="1" t="s">
        <v>413</v>
      </c>
      <c r="G1292" s="1" t="s">
        <v>212</v>
      </c>
      <c r="H1292" s="6" t="str">
        <f>VLOOKUP(A1292,WorldCups!$A$2:$B$23,2,FALSE)</f>
        <v>Germany</v>
      </c>
      <c r="I1292" s="1" t="s">
        <v>382</v>
      </c>
      <c r="J1292" s="1">
        <v>2</v>
      </c>
      <c r="K1292" s="1" t="s">
        <v>80</v>
      </c>
      <c r="L1292" s="1">
        <v>0</v>
      </c>
      <c r="M1292" s="1" t="s">
        <v>14</v>
      </c>
    </row>
    <row r="1293" spans="1:13" hidden="1" x14ac:dyDescent="0.25">
      <c r="A1293" s="1">
        <v>2006</v>
      </c>
      <c r="B1293" s="1">
        <f>B1292+1</f>
        <v>647</v>
      </c>
      <c r="C1293" s="2">
        <v>38878</v>
      </c>
      <c r="D1293" s="1" t="s">
        <v>500</v>
      </c>
      <c r="E1293" s="1" t="s">
        <v>213</v>
      </c>
      <c r="F1293" s="1" t="s">
        <v>414</v>
      </c>
      <c r="G1293" s="1" t="s">
        <v>193</v>
      </c>
      <c r="H1293" s="6" t="str">
        <f>VLOOKUP(A1293,WorldCups!$A$2:$B$23,2,FALSE)</f>
        <v>Germany</v>
      </c>
      <c r="I1293" s="1" t="s">
        <v>93</v>
      </c>
      <c r="J1293" s="1">
        <v>1</v>
      </c>
      <c r="K1293" s="1" t="s">
        <v>28</v>
      </c>
      <c r="L1293" s="1">
        <v>0</v>
      </c>
      <c r="M1293" s="1" t="s">
        <v>14</v>
      </c>
    </row>
    <row r="1294" spans="1:13" hidden="1" x14ac:dyDescent="0.25">
      <c r="A1294" s="1">
        <v>2006</v>
      </c>
      <c r="B1294" s="1">
        <v>647</v>
      </c>
      <c r="C1294" s="2">
        <v>38878</v>
      </c>
      <c r="D1294" s="1" t="s">
        <v>500</v>
      </c>
      <c r="E1294" s="1" t="s">
        <v>213</v>
      </c>
      <c r="F1294" s="1" t="s">
        <v>414</v>
      </c>
      <c r="G1294" s="1" t="s">
        <v>193</v>
      </c>
      <c r="H1294" s="6" t="str">
        <f>VLOOKUP(A1294,WorldCups!$A$2:$B$23,2,FALSE)</f>
        <v>Germany</v>
      </c>
      <c r="I1294" s="1" t="s">
        <v>28</v>
      </c>
      <c r="J1294" s="1">
        <v>0</v>
      </c>
      <c r="K1294" s="1" t="s">
        <v>93</v>
      </c>
      <c r="L1294" s="1">
        <v>1</v>
      </c>
      <c r="M1294" s="1" t="s">
        <v>14</v>
      </c>
    </row>
    <row r="1295" spans="1:13" hidden="1" x14ac:dyDescent="0.25">
      <c r="A1295" s="1">
        <v>2006</v>
      </c>
      <c r="B1295" s="1">
        <f>B1294+1</f>
        <v>648</v>
      </c>
      <c r="C1295" s="2">
        <v>38878</v>
      </c>
      <c r="D1295" s="1" t="s">
        <v>510</v>
      </c>
      <c r="E1295" s="1" t="s">
        <v>213</v>
      </c>
      <c r="F1295" s="1" t="s">
        <v>415</v>
      </c>
      <c r="G1295" s="1" t="s">
        <v>201</v>
      </c>
      <c r="H1295" s="6" t="str">
        <f>VLOOKUP(A1295,WorldCups!$A$2:$B$23,2,FALSE)</f>
        <v>Germany</v>
      </c>
      <c r="I1295" s="1" t="s">
        <v>416</v>
      </c>
      <c r="J1295" s="1">
        <v>0</v>
      </c>
      <c r="K1295" s="1" t="s">
        <v>48</v>
      </c>
      <c r="L1295" s="1">
        <v>0</v>
      </c>
      <c r="M1295" s="1" t="s">
        <v>14</v>
      </c>
    </row>
    <row r="1296" spans="1:13" hidden="1" x14ac:dyDescent="0.25">
      <c r="A1296" s="1">
        <v>2006</v>
      </c>
      <c r="B1296" s="1">
        <v>648</v>
      </c>
      <c r="C1296" s="2">
        <v>38878</v>
      </c>
      <c r="D1296" s="1" t="s">
        <v>510</v>
      </c>
      <c r="E1296" s="1" t="s">
        <v>213</v>
      </c>
      <c r="F1296" s="1" t="s">
        <v>415</v>
      </c>
      <c r="G1296" s="1" t="s">
        <v>201</v>
      </c>
      <c r="H1296" s="6" t="str">
        <f>VLOOKUP(A1296,WorldCups!$A$2:$B$23,2,FALSE)</f>
        <v>Germany</v>
      </c>
      <c r="I1296" s="1" t="s">
        <v>48</v>
      </c>
      <c r="J1296" s="1">
        <v>0</v>
      </c>
      <c r="K1296" s="1" t="s">
        <v>416</v>
      </c>
      <c r="L1296" s="1">
        <v>0</v>
      </c>
      <c r="M1296" s="1" t="s">
        <v>14</v>
      </c>
    </row>
    <row r="1297" spans="1:13" hidden="1" x14ac:dyDescent="0.25">
      <c r="A1297" s="1">
        <v>2006</v>
      </c>
      <c r="B1297" s="1">
        <f>B1296+1</f>
        <v>649</v>
      </c>
      <c r="C1297" s="2">
        <v>38878</v>
      </c>
      <c r="D1297" s="1" t="s">
        <v>530</v>
      </c>
      <c r="E1297" s="1" t="s">
        <v>268</v>
      </c>
      <c r="F1297" s="1" t="s">
        <v>417</v>
      </c>
      <c r="G1297" s="1" t="s">
        <v>197</v>
      </c>
      <c r="H1297" s="6" t="str">
        <f>VLOOKUP(A1297,WorldCups!$A$2:$B$23,2,FALSE)</f>
        <v>Germany</v>
      </c>
      <c r="I1297" s="1" t="s">
        <v>25</v>
      </c>
      <c r="J1297" s="1">
        <v>2</v>
      </c>
      <c r="K1297" s="1" t="s">
        <v>418</v>
      </c>
      <c r="L1297" s="1">
        <v>1</v>
      </c>
      <c r="M1297" s="1" t="s">
        <v>14</v>
      </c>
    </row>
    <row r="1298" spans="1:13" hidden="1" x14ac:dyDescent="0.25">
      <c r="A1298" s="1">
        <v>2006</v>
      </c>
      <c r="B1298" s="1">
        <v>649</v>
      </c>
      <c r="C1298" s="2">
        <v>38878</v>
      </c>
      <c r="D1298" s="1" t="s">
        <v>530</v>
      </c>
      <c r="E1298" s="1" t="s">
        <v>268</v>
      </c>
      <c r="F1298" s="1" t="s">
        <v>417</v>
      </c>
      <c r="G1298" s="1" t="s">
        <v>197</v>
      </c>
      <c r="H1298" s="6" t="str">
        <f>VLOOKUP(A1298,WorldCups!$A$2:$B$23,2,FALSE)</f>
        <v>Germany</v>
      </c>
      <c r="I1298" s="1" t="s">
        <v>418</v>
      </c>
      <c r="J1298" s="1">
        <v>1</v>
      </c>
      <c r="K1298" s="1" t="s">
        <v>25</v>
      </c>
      <c r="L1298" s="1">
        <v>2</v>
      </c>
      <c r="M1298" s="1" t="s">
        <v>14</v>
      </c>
    </row>
    <row r="1299" spans="1:13" hidden="1" x14ac:dyDescent="0.25">
      <c r="A1299" s="1">
        <v>2006</v>
      </c>
      <c r="B1299" s="1">
        <f>B1298+1</f>
        <v>650</v>
      </c>
      <c r="C1299" s="2">
        <v>38879</v>
      </c>
      <c r="D1299" s="1" t="s">
        <v>500</v>
      </c>
      <c r="E1299" s="1" t="s">
        <v>268</v>
      </c>
      <c r="F1299" s="1" t="s">
        <v>419</v>
      </c>
      <c r="G1299" s="1" t="s">
        <v>420</v>
      </c>
      <c r="H1299" s="6" t="str">
        <f>VLOOKUP(A1299,WorldCups!$A$2:$B$23,2,FALSE)</f>
        <v>Germany</v>
      </c>
      <c r="I1299" s="1" t="s">
        <v>421</v>
      </c>
      <c r="J1299" s="1">
        <v>0</v>
      </c>
      <c r="K1299" s="1" t="s">
        <v>45</v>
      </c>
      <c r="L1299" s="1">
        <v>1</v>
      </c>
      <c r="M1299" s="1" t="s">
        <v>14</v>
      </c>
    </row>
    <row r="1300" spans="1:13" hidden="1" x14ac:dyDescent="0.25">
      <c r="A1300" s="1">
        <v>2006</v>
      </c>
      <c r="B1300" s="1">
        <v>650</v>
      </c>
      <c r="C1300" s="2">
        <v>38879</v>
      </c>
      <c r="D1300" s="1" t="s">
        <v>500</v>
      </c>
      <c r="E1300" s="1" t="s">
        <v>268</v>
      </c>
      <c r="F1300" s="1" t="s">
        <v>419</v>
      </c>
      <c r="G1300" s="1" t="s">
        <v>420</v>
      </c>
      <c r="H1300" s="6" t="str">
        <f>VLOOKUP(A1300,WorldCups!$A$2:$B$23,2,FALSE)</f>
        <v>Germany</v>
      </c>
      <c r="I1300" s="1" t="s">
        <v>45</v>
      </c>
      <c r="J1300" s="1">
        <v>1</v>
      </c>
      <c r="K1300" s="1" t="s">
        <v>421</v>
      </c>
      <c r="L1300" s="1">
        <v>0</v>
      </c>
      <c r="M1300" s="1" t="s">
        <v>14</v>
      </c>
    </row>
    <row r="1301" spans="1:13" hidden="1" x14ac:dyDescent="0.25">
      <c r="A1301" s="1">
        <v>2006</v>
      </c>
      <c r="B1301" s="1">
        <f>B1300+1</f>
        <v>651</v>
      </c>
      <c r="C1301" s="2">
        <v>38879</v>
      </c>
      <c r="D1301" s="1" t="s">
        <v>510</v>
      </c>
      <c r="E1301" s="1" t="s">
        <v>270</v>
      </c>
      <c r="F1301" s="1" t="s">
        <v>422</v>
      </c>
      <c r="G1301" s="1" t="s">
        <v>423</v>
      </c>
      <c r="H1301" s="6" t="str">
        <f>VLOOKUP(A1301,WorldCups!$A$2:$B$23,2,FALSE)</f>
        <v>Germany</v>
      </c>
      <c r="I1301" s="1" t="s">
        <v>13</v>
      </c>
      <c r="J1301" s="1">
        <v>3</v>
      </c>
      <c r="K1301" s="1" t="s">
        <v>228</v>
      </c>
      <c r="L1301" s="1">
        <v>1</v>
      </c>
      <c r="M1301" s="1" t="s">
        <v>14</v>
      </c>
    </row>
    <row r="1302" spans="1:13" hidden="1" x14ac:dyDescent="0.25">
      <c r="A1302" s="1">
        <v>2006</v>
      </c>
      <c r="B1302" s="1">
        <v>651</v>
      </c>
      <c r="C1302" s="2">
        <v>38879</v>
      </c>
      <c r="D1302" s="1" t="s">
        <v>510</v>
      </c>
      <c r="E1302" s="1" t="s">
        <v>270</v>
      </c>
      <c r="F1302" s="1" t="s">
        <v>422</v>
      </c>
      <c r="G1302" s="1" t="s">
        <v>423</v>
      </c>
      <c r="H1302" s="6" t="str">
        <f>VLOOKUP(A1302,WorldCups!$A$2:$B$23,2,FALSE)</f>
        <v>Germany</v>
      </c>
      <c r="I1302" s="1" t="s">
        <v>228</v>
      </c>
      <c r="J1302" s="1">
        <v>1</v>
      </c>
      <c r="K1302" s="1" t="s">
        <v>13</v>
      </c>
      <c r="L1302" s="1">
        <v>3</v>
      </c>
      <c r="M1302" s="1" t="s">
        <v>14</v>
      </c>
    </row>
    <row r="1303" spans="1:13" hidden="1" x14ac:dyDescent="0.25">
      <c r="A1303" s="1">
        <v>2006</v>
      </c>
      <c r="B1303" s="1">
        <f>B1302+1</f>
        <v>652</v>
      </c>
      <c r="C1303" s="2">
        <v>38879</v>
      </c>
      <c r="D1303" s="1" t="s">
        <v>530</v>
      </c>
      <c r="E1303" s="1" t="s">
        <v>270</v>
      </c>
      <c r="F1303" s="1" t="s">
        <v>424</v>
      </c>
      <c r="G1303" s="1" t="s">
        <v>425</v>
      </c>
      <c r="H1303" s="6" t="str">
        <f>VLOOKUP(A1303,WorldCups!$A$2:$B$23,2,FALSE)</f>
        <v>Germany</v>
      </c>
      <c r="I1303" s="1" t="s">
        <v>426</v>
      </c>
      <c r="J1303" s="1">
        <v>0</v>
      </c>
      <c r="K1303" s="1" t="s">
        <v>170</v>
      </c>
      <c r="L1303" s="1">
        <v>1</v>
      </c>
      <c r="M1303" s="1" t="s">
        <v>14</v>
      </c>
    </row>
    <row r="1304" spans="1:13" hidden="1" x14ac:dyDescent="0.25">
      <c r="A1304" s="1">
        <v>2006</v>
      </c>
      <c r="B1304" s="1">
        <v>652</v>
      </c>
      <c r="C1304" s="2">
        <v>38879</v>
      </c>
      <c r="D1304" s="1" t="s">
        <v>530</v>
      </c>
      <c r="E1304" s="1" t="s">
        <v>270</v>
      </c>
      <c r="F1304" s="1" t="s">
        <v>424</v>
      </c>
      <c r="G1304" s="1" t="s">
        <v>425</v>
      </c>
      <c r="H1304" s="6" t="str">
        <f>VLOOKUP(A1304,WorldCups!$A$2:$B$23,2,FALSE)</f>
        <v>Germany</v>
      </c>
      <c r="I1304" s="1" t="s">
        <v>170</v>
      </c>
      <c r="J1304" s="1">
        <v>1</v>
      </c>
      <c r="K1304" s="1" t="s">
        <v>426</v>
      </c>
      <c r="L1304" s="1">
        <v>0</v>
      </c>
      <c r="M1304" s="1" t="s">
        <v>14</v>
      </c>
    </row>
    <row r="1305" spans="1:13" hidden="1" x14ac:dyDescent="0.25">
      <c r="A1305" s="1">
        <v>2006</v>
      </c>
      <c r="B1305" s="1">
        <f>B1304+1</f>
        <v>653</v>
      </c>
      <c r="C1305" s="2">
        <v>38880</v>
      </c>
      <c r="D1305" s="1" t="s">
        <v>500</v>
      </c>
      <c r="E1305" s="1" t="s">
        <v>274</v>
      </c>
      <c r="F1305" s="1" t="s">
        <v>427</v>
      </c>
      <c r="G1305" s="1" t="s">
        <v>428</v>
      </c>
      <c r="H1305" s="6" t="str">
        <f>VLOOKUP(A1305,WorldCups!$A$2:$B$23,2,FALSE)</f>
        <v>Germany</v>
      </c>
      <c r="I1305" s="1" t="s">
        <v>199</v>
      </c>
      <c r="J1305" s="1">
        <v>3</v>
      </c>
      <c r="K1305" s="1" t="s">
        <v>356</v>
      </c>
      <c r="L1305" s="1">
        <v>1</v>
      </c>
      <c r="M1305" s="1" t="s">
        <v>14</v>
      </c>
    </row>
    <row r="1306" spans="1:13" hidden="1" x14ac:dyDescent="0.25">
      <c r="A1306" s="1">
        <v>2006</v>
      </c>
      <c r="B1306" s="1">
        <v>653</v>
      </c>
      <c r="C1306" s="2">
        <v>38880</v>
      </c>
      <c r="D1306" s="1" t="s">
        <v>500</v>
      </c>
      <c r="E1306" s="1" t="s">
        <v>274</v>
      </c>
      <c r="F1306" s="1" t="s">
        <v>427</v>
      </c>
      <c r="G1306" s="1" t="s">
        <v>428</v>
      </c>
      <c r="H1306" s="6" t="str">
        <f>VLOOKUP(A1306,WorldCups!$A$2:$B$23,2,FALSE)</f>
        <v>Germany</v>
      </c>
      <c r="I1306" s="1" t="s">
        <v>356</v>
      </c>
      <c r="J1306" s="1">
        <v>1</v>
      </c>
      <c r="K1306" s="1" t="s">
        <v>199</v>
      </c>
      <c r="L1306" s="1">
        <v>3</v>
      </c>
      <c r="M1306" s="1" t="s">
        <v>14</v>
      </c>
    </row>
    <row r="1307" spans="1:13" hidden="1" x14ac:dyDescent="0.25">
      <c r="A1307" s="1">
        <v>2006</v>
      </c>
      <c r="B1307" s="1">
        <f>B1306+1</f>
        <v>654</v>
      </c>
      <c r="C1307" s="2">
        <v>38880</v>
      </c>
      <c r="D1307" s="1" t="s">
        <v>510</v>
      </c>
      <c r="E1307" s="1" t="s">
        <v>281</v>
      </c>
      <c r="F1307" s="1" t="s">
        <v>413</v>
      </c>
      <c r="G1307" s="1" t="s">
        <v>212</v>
      </c>
      <c r="H1307" s="6" t="str">
        <f>VLOOKUP(A1307,WorldCups!$A$2:$B$23,2,FALSE)</f>
        <v>Germany</v>
      </c>
      <c r="I1307" s="1" t="s">
        <v>17</v>
      </c>
      <c r="J1307" s="1">
        <v>0</v>
      </c>
      <c r="K1307" s="1" t="s">
        <v>429</v>
      </c>
      <c r="L1307" s="1">
        <v>3</v>
      </c>
      <c r="M1307" s="1" t="s">
        <v>14</v>
      </c>
    </row>
    <row r="1308" spans="1:13" hidden="1" x14ac:dyDescent="0.25">
      <c r="A1308" s="1">
        <v>2006</v>
      </c>
      <c r="B1308" s="1">
        <v>654</v>
      </c>
      <c r="C1308" s="2">
        <v>38880</v>
      </c>
      <c r="D1308" s="1" t="s">
        <v>510</v>
      </c>
      <c r="E1308" s="1" t="s">
        <v>281</v>
      </c>
      <c r="F1308" s="1" t="s">
        <v>413</v>
      </c>
      <c r="G1308" s="1" t="s">
        <v>212</v>
      </c>
      <c r="H1308" s="6" t="str">
        <f>VLOOKUP(A1308,WorldCups!$A$2:$B$23,2,FALSE)</f>
        <v>Germany</v>
      </c>
      <c r="I1308" s="1" t="s">
        <v>429</v>
      </c>
      <c r="J1308" s="1">
        <v>3</v>
      </c>
      <c r="K1308" s="1" t="s">
        <v>17</v>
      </c>
      <c r="L1308" s="1">
        <v>0</v>
      </c>
      <c r="M1308" s="1" t="s">
        <v>14</v>
      </c>
    </row>
    <row r="1309" spans="1:13" hidden="1" x14ac:dyDescent="0.25">
      <c r="A1309" s="1">
        <v>2006</v>
      </c>
      <c r="B1309" s="1">
        <f>B1308+1</f>
        <v>655</v>
      </c>
      <c r="C1309" s="2">
        <v>38880</v>
      </c>
      <c r="D1309" s="1" t="s">
        <v>530</v>
      </c>
      <c r="E1309" s="1" t="s">
        <v>281</v>
      </c>
      <c r="F1309" s="1" t="s">
        <v>430</v>
      </c>
      <c r="G1309" s="1" t="s">
        <v>204</v>
      </c>
      <c r="H1309" s="6" t="str">
        <f>VLOOKUP(A1309,WorldCups!$A$2:$B$23,2,FALSE)</f>
        <v>Germany</v>
      </c>
      <c r="I1309" s="1" t="s">
        <v>57</v>
      </c>
      <c r="J1309" s="1">
        <v>2</v>
      </c>
      <c r="K1309" s="1" t="s">
        <v>431</v>
      </c>
      <c r="L1309" s="1">
        <v>0</v>
      </c>
      <c r="M1309" s="1" t="s">
        <v>14</v>
      </c>
    </row>
    <row r="1310" spans="1:13" hidden="1" x14ac:dyDescent="0.25">
      <c r="A1310" s="1">
        <v>2006</v>
      </c>
      <c r="B1310" s="1">
        <v>655</v>
      </c>
      <c r="C1310" s="2">
        <v>38880</v>
      </c>
      <c r="D1310" s="1" t="s">
        <v>530</v>
      </c>
      <c r="E1310" s="1" t="s">
        <v>281</v>
      </c>
      <c r="F1310" s="1" t="s">
        <v>430</v>
      </c>
      <c r="G1310" s="1" t="s">
        <v>204</v>
      </c>
      <c r="H1310" s="6" t="str">
        <f>VLOOKUP(A1310,WorldCups!$A$2:$B$23,2,FALSE)</f>
        <v>Germany</v>
      </c>
      <c r="I1310" s="1" t="s">
        <v>431</v>
      </c>
      <c r="J1310" s="1">
        <v>0</v>
      </c>
      <c r="K1310" s="1" t="s">
        <v>57</v>
      </c>
      <c r="L1310" s="1">
        <v>2</v>
      </c>
      <c r="M1310" s="1" t="s">
        <v>14</v>
      </c>
    </row>
    <row r="1311" spans="1:13" hidden="1" x14ac:dyDescent="0.25">
      <c r="A1311" s="1">
        <v>2006</v>
      </c>
      <c r="B1311" s="1">
        <f>B1310+1</f>
        <v>656</v>
      </c>
      <c r="C1311" s="2">
        <v>38881</v>
      </c>
      <c r="D1311" s="1" t="s">
        <v>500</v>
      </c>
      <c r="E1311" s="1" t="s">
        <v>361</v>
      </c>
      <c r="F1311" s="1" t="s">
        <v>414</v>
      </c>
      <c r="G1311" s="1" t="s">
        <v>193</v>
      </c>
      <c r="H1311" s="6" t="str">
        <f>VLOOKUP(A1311,WorldCups!$A$2:$B$23,2,FALSE)</f>
        <v>Germany</v>
      </c>
      <c r="I1311" s="1" t="s">
        <v>116</v>
      </c>
      <c r="J1311" s="1">
        <v>2</v>
      </c>
      <c r="K1311" s="1" t="s">
        <v>432</v>
      </c>
      <c r="L1311" s="1">
        <v>1</v>
      </c>
      <c r="M1311" s="1" t="s">
        <v>14</v>
      </c>
    </row>
    <row r="1312" spans="1:13" hidden="1" x14ac:dyDescent="0.25">
      <c r="A1312" s="1">
        <v>2006</v>
      </c>
      <c r="B1312" s="1">
        <v>656</v>
      </c>
      <c r="C1312" s="2">
        <v>38881</v>
      </c>
      <c r="D1312" s="1" t="s">
        <v>500</v>
      </c>
      <c r="E1312" s="1" t="s">
        <v>361</v>
      </c>
      <c r="F1312" s="1" t="s">
        <v>414</v>
      </c>
      <c r="G1312" s="1" t="s">
        <v>193</v>
      </c>
      <c r="H1312" s="6" t="str">
        <f>VLOOKUP(A1312,WorldCups!$A$2:$B$23,2,FALSE)</f>
        <v>Germany</v>
      </c>
      <c r="I1312" s="1" t="s">
        <v>432</v>
      </c>
      <c r="J1312" s="1">
        <v>1</v>
      </c>
      <c r="K1312" s="1" t="s">
        <v>116</v>
      </c>
      <c r="L1312" s="1">
        <v>2</v>
      </c>
      <c r="M1312" s="1" t="s">
        <v>14</v>
      </c>
    </row>
    <row r="1313" spans="1:13" hidden="1" x14ac:dyDescent="0.25">
      <c r="A1313" s="1">
        <v>2006</v>
      </c>
      <c r="B1313" s="1">
        <f>B1312+1</f>
        <v>657</v>
      </c>
      <c r="C1313" s="2">
        <v>38881</v>
      </c>
      <c r="D1313" s="1" t="s">
        <v>510</v>
      </c>
      <c r="E1313" s="1" t="s">
        <v>361</v>
      </c>
      <c r="F1313" s="1" t="s">
        <v>433</v>
      </c>
      <c r="G1313" s="1" t="s">
        <v>210</v>
      </c>
      <c r="H1313" s="6" t="str">
        <f>VLOOKUP(A1313,WorldCups!$A$2:$B$23,2,FALSE)</f>
        <v>Germany</v>
      </c>
      <c r="I1313" s="1" t="s">
        <v>12</v>
      </c>
      <c r="J1313" s="1">
        <v>0</v>
      </c>
      <c r="K1313" s="1" t="s">
        <v>44</v>
      </c>
      <c r="L1313" s="1">
        <v>0</v>
      </c>
      <c r="M1313" s="1" t="s">
        <v>14</v>
      </c>
    </row>
    <row r="1314" spans="1:13" hidden="1" x14ac:dyDescent="0.25">
      <c r="A1314" s="1">
        <v>2006</v>
      </c>
      <c r="B1314" s="1">
        <v>657</v>
      </c>
      <c r="C1314" s="2">
        <v>38881</v>
      </c>
      <c r="D1314" s="1" t="s">
        <v>510</v>
      </c>
      <c r="E1314" s="1" t="s">
        <v>361</v>
      </c>
      <c r="F1314" s="1" t="s">
        <v>433</v>
      </c>
      <c r="G1314" s="1" t="s">
        <v>210</v>
      </c>
      <c r="H1314" s="6" t="str">
        <f>VLOOKUP(A1314,WorldCups!$A$2:$B$23,2,FALSE)</f>
        <v>Germany</v>
      </c>
      <c r="I1314" s="1" t="s">
        <v>44</v>
      </c>
      <c r="J1314" s="1">
        <v>0</v>
      </c>
      <c r="K1314" s="1" t="s">
        <v>12</v>
      </c>
      <c r="L1314" s="1">
        <v>0</v>
      </c>
      <c r="M1314" s="1" t="s">
        <v>14</v>
      </c>
    </row>
    <row r="1315" spans="1:13" hidden="1" x14ac:dyDescent="0.25">
      <c r="A1315" s="1">
        <v>2006</v>
      </c>
      <c r="B1315" s="1">
        <f>B1314+1</f>
        <v>658</v>
      </c>
      <c r="C1315" s="2">
        <v>38881</v>
      </c>
      <c r="D1315" s="1" t="s">
        <v>530</v>
      </c>
      <c r="E1315" s="1" t="s">
        <v>274</v>
      </c>
      <c r="F1315" s="1" t="s">
        <v>194</v>
      </c>
      <c r="G1315" s="1" t="s">
        <v>434</v>
      </c>
      <c r="H1315" s="6" t="str">
        <f>VLOOKUP(A1315,WorldCups!$A$2:$B$23,2,FALSE)</f>
        <v>Germany</v>
      </c>
      <c r="I1315" s="1" t="s">
        <v>21</v>
      </c>
      <c r="J1315" s="1">
        <v>1</v>
      </c>
      <c r="K1315" s="1" t="s">
        <v>360</v>
      </c>
      <c r="L1315" s="1">
        <v>0</v>
      </c>
      <c r="M1315" s="1" t="s">
        <v>14</v>
      </c>
    </row>
    <row r="1316" spans="1:13" hidden="1" x14ac:dyDescent="0.25">
      <c r="A1316" s="1">
        <v>2006</v>
      </c>
      <c r="B1316" s="1">
        <v>658</v>
      </c>
      <c r="C1316" s="2">
        <v>38881</v>
      </c>
      <c r="D1316" s="1" t="s">
        <v>530</v>
      </c>
      <c r="E1316" s="1" t="s">
        <v>274</v>
      </c>
      <c r="F1316" s="1" t="s">
        <v>194</v>
      </c>
      <c r="G1316" s="1" t="s">
        <v>434</v>
      </c>
      <c r="H1316" s="6" t="str">
        <f>VLOOKUP(A1316,WorldCups!$A$2:$B$23,2,FALSE)</f>
        <v>Germany</v>
      </c>
      <c r="I1316" s="1" t="s">
        <v>360</v>
      </c>
      <c r="J1316" s="1">
        <v>0</v>
      </c>
      <c r="K1316" s="1" t="s">
        <v>21</v>
      </c>
      <c r="L1316" s="1">
        <v>1</v>
      </c>
      <c r="M1316" s="1" t="s">
        <v>14</v>
      </c>
    </row>
    <row r="1317" spans="1:13" hidden="1" x14ac:dyDescent="0.25">
      <c r="A1317" s="1">
        <v>2006</v>
      </c>
      <c r="B1317" s="1">
        <f>B1316+1</f>
        <v>659</v>
      </c>
      <c r="C1317" s="2">
        <v>38882</v>
      </c>
      <c r="D1317" s="1" t="s">
        <v>500</v>
      </c>
      <c r="E1317" s="1" t="s">
        <v>355</v>
      </c>
      <c r="F1317" s="1" t="s">
        <v>419</v>
      </c>
      <c r="G1317" s="1" t="s">
        <v>420</v>
      </c>
      <c r="H1317" s="6" t="str">
        <f>VLOOKUP(A1317,WorldCups!$A$2:$B$23,2,FALSE)</f>
        <v>Germany</v>
      </c>
      <c r="I1317" s="1" t="s">
        <v>54</v>
      </c>
      <c r="J1317" s="1">
        <v>4</v>
      </c>
      <c r="K1317" s="1" t="s">
        <v>435</v>
      </c>
      <c r="L1317" s="1">
        <v>0</v>
      </c>
      <c r="M1317" s="1" t="s">
        <v>14</v>
      </c>
    </row>
    <row r="1318" spans="1:13" hidden="1" x14ac:dyDescent="0.25">
      <c r="A1318" s="1">
        <v>2006</v>
      </c>
      <c r="B1318" s="1">
        <v>659</v>
      </c>
      <c r="C1318" s="2">
        <v>38882</v>
      </c>
      <c r="D1318" s="1" t="s">
        <v>500</v>
      </c>
      <c r="E1318" s="1" t="s">
        <v>355</v>
      </c>
      <c r="F1318" s="1" t="s">
        <v>419</v>
      </c>
      <c r="G1318" s="1" t="s">
        <v>420</v>
      </c>
      <c r="H1318" s="6" t="str">
        <f>VLOOKUP(A1318,WorldCups!$A$2:$B$23,2,FALSE)</f>
        <v>Germany</v>
      </c>
      <c r="I1318" s="1" t="s">
        <v>435</v>
      </c>
      <c r="J1318" s="1">
        <v>0</v>
      </c>
      <c r="K1318" s="1" t="s">
        <v>54</v>
      </c>
      <c r="L1318" s="1">
        <v>4</v>
      </c>
      <c r="M1318" s="1" t="s">
        <v>14</v>
      </c>
    </row>
    <row r="1319" spans="1:13" hidden="1" x14ac:dyDescent="0.25">
      <c r="A1319" s="1">
        <v>2006</v>
      </c>
      <c r="B1319" s="1">
        <f>B1318+1</f>
        <v>660</v>
      </c>
      <c r="C1319" s="2">
        <v>38882</v>
      </c>
      <c r="D1319" s="1" t="s">
        <v>510</v>
      </c>
      <c r="E1319" s="1" t="s">
        <v>355</v>
      </c>
      <c r="F1319" s="1" t="s">
        <v>412</v>
      </c>
      <c r="G1319" s="1" t="s">
        <v>207</v>
      </c>
      <c r="H1319" s="6" t="str">
        <f>VLOOKUP(A1319,WorldCups!$A$2:$B$23,2,FALSE)</f>
        <v>Germany</v>
      </c>
      <c r="I1319" s="1" t="s">
        <v>221</v>
      </c>
      <c r="J1319" s="1">
        <v>2</v>
      </c>
      <c r="K1319" s="1" t="s">
        <v>333</v>
      </c>
      <c r="L1319" s="1">
        <v>2</v>
      </c>
      <c r="M1319" s="1" t="s">
        <v>14</v>
      </c>
    </row>
    <row r="1320" spans="1:13" hidden="1" x14ac:dyDescent="0.25">
      <c r="A1320" s="1">
        <v>2006</v>
      </c>
      <c r="B1320" s="1">
        <v>660</v>
      </c>
      <c r="C1320" s="2">
        <v>38882</v>
      </c>
      <c r="D1320" s="1" t="s">
        <v>510</v>
      </c>
      <c r="E1320" s="1" t="s">
        <v>355</v>
      </c>
      <c r="F1320" s="1" t="s">
        <v>412</v>
      </c>
      <c r="G1320" s="1" t="s">
        <v>207</v>
      </c>
      <c r="H1320" s="6" t="str">
        <f>VLOOKUP(A1320,WorldCups!$A$2:$B$23,2,FALSE)</f>
        <v>Germany</v>
      </c>
      <c r="I1320" s="1" t="s">
        <v>333</v>
      </c>
      <c r="J1320" s="1">
        <v>2</v>
      </c>
      <c r="K1320" s="1" t="s">
        <v>221</v>
      </c>
      <c r="L1320" s="1">
        <v>2</v>
      </c>
      <c r="M1320" s="1" t="s">
        <v>14</v>
      </c>
    </row>
    <row r="1321" spans="1:13" hidden="1" x14ac:dyDescent="0.25">
      <c r="A1321" s="1">
        <v>2006</v>
      </c>
      <c r="B1321" s="1">
        <f>B1320+1</f>
        <v>661</v>
      </c>
      <c r="C1321" s="2">
        <v>38882</v>
      </c>
      <c r="D1321" s="1" t="s">
        <v>530</v>
      </c>
      <c r="E1321" s="1" t="s">
        <v>214</v>
      </c>
      <c r="F1321" s="1" t="s">
        <v>415</v>
      </c>
      <c r="G1321" s="1" t="s">
        <v>201</v>
      </c>
      <c r="H1321" s="6" t="str">
        <f>VLOOKUP(A1321,WorldCups!$A$2:$B$23,2,FALSE)</f>
        <v>Germany</v>
      </c>
      <c r="I1321" s="1" t="s">
        <v>51</v>
      </c>
      <c r="J1321" s="1">
        <v>1</v>
      </c>
      <c r="K1321" s="1" t="s">
        <v>80</v>
      </c>
      <c r="L1321" s="1">
        <v>0</v>
      </c>
      <c r="M1321" s="1" t="s">
        <v>14</v>
      </c>
    </row>
    <row r="1322" spans="1:13" hidden="1" x14ac:dyDescent="0.25">
      <c r="A1322" s="1">
        <v>2006</v>
      </c>
      <c r="B1322" s="1">
        <v>661</v>
      </c>
      <c r="C1322" s="2">
        <v>38882</v>
      </c>
      <c r="D1322" s="1" t="s">
        <v>530</v>
      </c>
      <c r="E1322" s="1" t="s">
        <v>214</v>
      </c>
      <c r="F1322" s="1" t="s">
        <v>415</v>
      </c>
      <c r="G1322" s="1" t="s">
        <v>201</v>
      </c>
      <c r="H1322" s="6" t="str">
        <f>VLOOKUP(A1322,WorldCups!$A$2:$B$23,2,FALSE)</f>
        <v>Germany</v>
      </c>
      <c r="I1322" s="1" t="s">
        <v>80</v>
      </c>
      <c r="J1322" s="1">
        <v>0</v>
      </c>
      <c r="K1322" s="1" t="s">
        <v>51</v>
      </c>
      <c r="L1322" s="1">
        <v>1</v>
      </c>
      <c r="M1322" s="1" t="s">
        <v>14</v>
      </c>
    </row>
    <row r="1323" spans="1:13" hidden="1" x14ac:dyDescent="0.25">
      <c r="A1323" s="1">
        <v>2006</v>
      </c>
      <c r="B1323" s="1">
        <f>B1322+1</f>
        <v>662</v>
      </c>
      <c r="C1323" s="2">
        <v>38883</v>
      </c>
      <c r="D1323" s="1" t="s">
        <v>500</v>
      </c>
      <c r="E1323" s="1" t="s">
        <v>214</v>
      </c>
      <c r="F1323" s="1" t="s">
        <v>417</v>
      </c>
      <c r="G1323" s="1" t="s">
        <v>197</v>
      </c>
      <c r="H1323" s="6" t="str">
        <f>VLOOKUP(A1323,WorldCups!$A$2:$B$23,2,FALSE)</f>
        <v>Germany</v>
      </c>
      <c r="I1323" s="1" t="s">
        <v>382</v>
      </c>
      <c r="J1323" s="1">
        <v>3</v>
      </c>
      <c r="K1323" s="1" t="s">
        <v>301</v>
      </c>
      <c r="L1323" s="1">
        <v>0</v>
      </c>
      <c r="M1323" s="1" t="s">
        <v>14</v>
      </c>
    </row>
    <row r="1324" spans="1:13" hidden="1" x14ac:dyDescent="0.25">
      <c r="A1324" s="1">
        <v>2006</v>
      </c>
      <c r="B1324" s="1">
        <v>662</v>
      </c>
      <c r="C1324" s="2">
        <v>38883</v>
      </c>
      <c r="D1324" s="1" t="s">
        <v>500</v>
      </c>
      <c r="E1324" s="1" t="s">
        <v>214</v>
      </c>
      <c r="F1324" s="1" t="s">
        <v>417</v>
      </c>
      <c r="G1324" s="1" t="s">
        <v>197</v>
      </c>
      <c r="H1324" s="6" t="str">
        <f>VLOOKUP(A1324,WorldCups!$A$2:$B$23,2,FALSE)</f>
        <v>Germany</v>
      </c>
      <c r="I1324" s="1" t="s">
        <v>301</v>
      </c>
      <c r="J1324" s="1">
        <v>0</v>
      </c>
      <c r="K1324" s="1" t="s">
        <v>382</v>
      </c>
      <c r="L1324" s="1">
        <v>3</v>
      </c>
      <c r="M1324" s="1" t="s">
        <v>14</v>
      </c>
    </row>
    <row r="1325" spans="1:13" hidden="1" x14ac:dyDescent="0.25">
      <c r="A1325" s="1">
        <v>2006</v>
      </c>
      <c r="B1325" s="1">
        <f>B1324+1</f>
        <v>663</v>
      </c>
      <c r="C1325" s="2">
        <v>38883</v>
      </c>
      <c r="D1325" s="1" t="s">
        <v>510</v>
      </c>
      <c r="E1325" s="1" t="s">
        <v>213</v>
      </c>
      <c r="F1325" s="1" t="s">
        <v>422</v>
      </c>
      <c r="G1325" s="1" t="s">
        <v>423</v>
      </c>
      <c r="H1325" s="6" t="str">
        <f>VLOOKUP(A1325,WorldCups!$A$2:$B$23,2,FALSE)</f>
        <v>Germany</v>
      </c>
      <c r="I1325" s="1" t="s">
        <v>93</v>
      </c>
      <c r="J1325" s="1">
        <v>2</v>
      </c>
      <c r="K1325" s="1" t="s">
        <v>416</v>
      </c>
      <c r="L1325" s="1">
        <v>0</v>
      </c>
      <c r="M1325" s="1" t="s">
        <v>14</v>
      </c>
    </row>
    <row r="1326" spans="1:13" hidden="1" x14ac:dyDescent="0.25">
      <c r="A1326" s="1">
        <v>2006</v>
      </c>
      <c r="B1326" s="1">
        <v>663</v>
      </c>
      <c r="C1326" s="2">
        <v>38883</v>
      </c>
      <c r="D1326" s="1" t="s">
        <v>510</v>
      </c>
      <c r="E1326" s="1" t="s">
        <v>213</v>
      </c>
      <c r="F1326" s="1" t="s">
        <v>422</v>
      </c>
      <c r="G1326" s="1" t="s">
        <v>423</v>
      </c>
      <c r="H1326" s="6" t="str">
        <f>VLOOKUP(A1326,WorldCups!$A$2:$B$23,2,FALSE)</f>
        <v>Germany</v>
      </c>
      <c r="I1326" s="1" t="s">
        <v>416</v>
      </c>
      <c r="J1326" s="1">
        <v>0</v>
      </c>
      <c r="K1326" s="1" t="s">
        <v>93</v>
      </c>
      <c r="L1326" s="1">
        <v>2</v>
      </c>
      <c r="M1326" s="1" t="s">
        <v>14</v>
      </c>
    </row>
    <row r="1327" spans="1:13" hidden="1" x14ac:dyDescent="0.25">
      <c r="A1327" s="1">
        <v>2006</v>
      </c>
      <c r="B1327" s="1">
        <f>B1326+1</f>
        <v>664</v>
      </c>
      <c r="C1327" s="2">
        <v>38883</v>
      </c>
      <c r="D1327" s="1" t="s">
        <v>530</v>
      </c>
      <c r="E1327" s="1" t="s">
        <v>213</v>
      </c>
      <c r="F1327" s="1" t="s">
        <v>194</v>
      </c>
      <c r="G1327" s="1" t="s">
        <v>434</v>
      </c>
      <c r="H1327" s="6" t="str">
        <f>VLOOKUP(A1327,WorldCups!$A$2:$B$23,2,FALSE)</f>
        <v>Germany</v>
      </c>
      <c r="I1327" s="1" t="s">
        <v>48</v>
      </c>
      <c r="J1327" s="1">
        <v>1</v>
      </c>
      <c r="K1327" s="1" t="s">
        <v>28</v>
      </c>
      <c r="L1327" s="1">
        <v>0</v>
      </c>
      <c r="M1327" s="1" t="s">
        <v>14</v>
      </c>
    </row>
    <row r="1328" spans="1:13" hidden="1" x14ac:dyDescent="0.25">
      <c r="A1328" s="1">
        <v>2006</v>
      </c>
      <c r="B1328" s="1">
        <v>664</v>
      </c>
      <c r="C1328" s="2">
        <v>38883</v>
      </c>
      <c r="D1328" s="1" t="s">
        <v>530</v>
      </c>
      <c r="E1328" s="1" t="s">
        <v>213</v>
      </c>
      <c r="F1328" s="1" t="s">
        <v>194</v>
      </c>
      <c r="G1328" s="1" t="s">
        <v>434</v>
      </c>
      <c r="H1328" s="6" t="str">
        <f>VLOOKUP(A1328,WorldCups!$A$2:$B$23,2,FALSE)</f>
        <v>Germany</v>
      </c>
      <c r="I1328" s="1" t="s">
        <v>28</v>
      </c>
      <c r="J1328" s="1">
        <v>0</v>
      </c>
      <c r="K1328" s="1" t="s">
        <v>48</v>
      </c>
      <c r="L1328" s="1">
        <v>1</v>
      </c>
      <c r="M1328" s="1" t="s">
        <v>14</v>
      </c>
    </row>
    <row r="1329" spans="1:13" hidden="1" x14ac:dyDescent="0.25">
      <c r="A1329" s="1">
        <v>2006</v>
      </c>
      <c r="B1329" s="1">
        <f>B1328+1</f>
        <v>665</v>
      </c>
      <c r="C1329" s="2">
        <v>38884</v>
      </c>
      <c r="D1329" s="1" t="s">
        <v>500</v>
      </c>
      <c r="E1329" s="1" t="s">
        <v>268</v>
      </c>
      <c r="F1329" s="1" t="s">
        <v>413</v>
      </c>
      <c r="G1329" s="1" t="s">
        <v>212</v>
      </c>
      <c r="H1329" s="6" t="str">
        <f>VLOOKUP(A1329,WorldCups!$A$2:$B$23,2,FALSE)</f>
        <v>Germany</v>
      </c>
      <c r="I1329" s="1" t="s">
        <v>25</v>
      </c>
      <c r="J1329" s="1">
        <v>6</v>
      </c>
      <c r="K1329" s="1" t="s">
        <v>421</v>
      </c>
      <c r="L1329" s="1">
        <v>0</v>
      </c>
      <c r="M1329" s="1" t="s">
        <v>14</v>
      </c>
    </row>
    <row r="1330" spans="1:13" hidden="1" x14ac:dyDescent="0.25">
      <c r="A1330" s="1">
        <v>2006</v>
      </c>
      <c r="B1330" s="1">
        <v>665</v>
      </c>
      <c r="C1330" s="2">
        <v>38884</v>
      </c>
      <c r="D1330" s="1" t="s">
        <v>500</v>
      </c>
      <c r="E1330" s="1" t="s">
        <v>268</v>
      </c>
      <c r="F1330" s="1" t="s">
        <v>413</v>
      </c>
      <c r="G1330" s="1" t="s">
        <v>212</v>
      </c>
      <c r="H1330" s="6" t="str">
        <f>VLOOKUP(A1330,WorldCups!$A$2:$B$23,2,FALSE)</f>
        <v>Germany</v>
      </c>
      <c r="I1330" s="1" t="s">
        <v>421</v>
      </c>
      <c r="J1330" s="1">
        <v>0</v>
      </c>
      <c r="K1330" s="1" t="s">
        <v>25</v>
      </c>
      <c r="L1330" s="1">
        <v>6</v>
      </c>
      <c r="M1330" s="1" t="s">
        <v>14</v>
      </c>
    </row>
    <row r="1331" spans="1:13" hidden="1" x14ac:dyDescent="0.25">
      <c r="A1331" s="1">
        <v>2006</v>
      </c>
      <c r="B1331" s="1">
        <f>B1330+1</f>
        <v>666</v>
      </c>
      <c r="C1331" s="2">
        <v>38884</v>
      </c>
      <c r="D1331" s="1" t="s">
        <v>510</v>
      </c>
      <c r="E1331" s="1" t="s">
        <v>268</v>
      </c>
      <c r="F1331" s="1" t="s">
        <v>433</v>
      </c>
      <c r="G1331" s="1" t="s">
        <v>210</v>
      </c>
      <c r="H1331" s="6" t="str">
        <f>VLOOKUP(A1331,WorldCups!$A$2:$B$23,2,FALSE)</f>
        <v>Germany</v>
      </c>
      <c r="I1331" s="1" t="s">
        <v>45</v>
      </c>
      <c r="J1331" s="1">
        <v>2</v>
      </c>
      <c r="K1331" s="1" t="s">
        <v>418</v>
      </c>
      <c r="L1331" s="1">
        <v>1</v>
      </c>
      <c r="M1331" s="1" t="s">
        <v>14</v>
      </c>
    </row>
    <row r="1332" spans="1:13" hidden="1" x14ac:dyDescent="0.25">
      <c r="A1332" s="1">
        <v>2006</v>
      </c>
      <c r="B1332" s="1">
        <v>666</v>
      </c>
      <c r="C1332" s="2">
        <v>38884</v>
      </c>
      <c r="D1332" s="1" t="s">
        <v>510</v>
      </c>
      <c r="E1332" s="1" t="s">
        <v>268</v>
      </c>
      <c r="F1332" s="1" t="s">
        <v>433</v>
      </c>
      <c r="G1332" s="1" t="s">
        <v>210</v>
      </c>
      <c r="H1332" s="6" t="str">
        <f>VLOOKUP(A1332,WorldCups!$A$2:$B$23,2,FALSE)</f>
        <v>Germany</v>
      </c>
      <c r="I1332" s="1" t="s">
        <v>418</v>
      </c>
      <c r="J1332" s="1">
        <v>1</v>
      </c>
      <c r="K1332" s="1" t="s">
        <v>45</v>
      </c>
      <c r="L1332" s="1">
        <v>2</v>
      </c>
      <c r="M1332" s="1" t="s">
        <v>14</v>
      </c>
    </row>
    <row r="1333" spans="1:13" hidden="1" x14ac:dyDescent="0.25">
      <c r="A1333" s="1">
        <v>2006</v>
      </c>
      <c r="B1333" s="1">
        <f>B1332+1</f>
        <v>667</v>
      </c>
      <c r="C1333" s="2">
        <v>38884</v>
      </c>
      <c r="D1333" s="1" t="s">
        <v>530</v>
      </c>
      <c r="E1333" s="1" t="s">
        <v>270</v>
      </c>
      <c r="F1333" s="1" t="s">
        <v>430</v>
      </c>
      <c r="G1333" s="1" t="s">
        <v>204</v>
      </c>
      <c r="H1333" s="6" t="str">
        <f>VLOOKUP(A1333,WorldCups!$A$2:$B$23,2,FALSE)</f>
        <v>Germany</v>
      </c>
      <c r="I1333" s="1" t="s">
        <v>13</v>
      </c>
      <c r="J1333" s="1">
        <v>0</v>
      </c>
      <c r="K1333" s="1" t="s">
        <v>426</v>
      </c>
      <c r="L1333" s="1">
        <v>0</v>
      </c>
      <c r="M1333" s="1" t="s">
        <v>14</v>
      </c>
    </row>
    <row r="1334" spans="1:13" hidden="1" x14ac:dyDescent="0.25">
      <c r="A1334" s="1">
        <v>2006</v>
      </c>
      <c r="B1334" s="1">
        <v>667</v>
      </c>
      <c r="C1334" s="2">
        <v>38884</v>
      </c>
      <c r="D1334" s="1" t="s">
        <v>530</v>
      </c>
      <c r="E1334" s="1" t="s">
        <v>270</v>
      </c>
      <c r="F1334" s="1" t="s">
        <v>430</v>
      </c>
      <c r="G1334" s="1" t="s">
        <v>204</v>
      </c>
      <c r="H1334" s="6" t="str">
        <f>VLOOKUP(A1334,WorldCups!$A$2:$B$23,2,FALSE)</f>
        <v>Germany</v>
      </c>
      <c r="I1334" s="1" t="s">
        <v>426</v>
      </c>
      <c r="J1334" s="1">
        <v>0</v>
      </c>
      <c r="K1334" s="1" t="s">
        <v>13</v>
      </c>
      <c r="L1334" s="1">
        <v>0</v>
      </c>
      <c r="M1334" s="1" t="s">
        <v>14</v>
      </c>
    </row>
    <row r="1335" spans="1:13" hidden="1" x14ac:dyDescent="0.25">
      <c r="A1335" s="1">
        <v>2006</v>
      </c>
      <c r="B1335" s="1">
        <f>B1334+1</f>
        <v>668</v>
      </c>
      <c r="C1335" s="2">
        <v>38885</v>
      </c>
      <c r="D1335" s="1" t="s">
        <v>500</v>
      </c>
      <c r="E1335" s="1" t="s">
        <v>270</v>
      </c>
      <c r="F1335" s="1" t="s">
        <v>414</v>
      </c>
      <c r="G1335" s="1" t="s">
        <v>193</v>
      </c>
      <c r="H1335" s="6" t="str">
        <f>VLOOKUP(A1335,WorldCups!$A$2:$B$23,2,FALSE)</f>
        <v>Germany</v>
      </c>
      <c r="I1335" s="1" t="s">
        <v>170</v>
      </c>
      <c r="J1335" s="1">
        <v>2</v>
      </c>
      <c r="K1335" s="1" t="s">
        <v>227</v>
      </c>
      <c r="L1335" s="1">
        <v>0</v>
      </c>
      <c r="M1335" s="1" t="s">
        <v>14</v>
      </c>
    </row>
    <row r="1336" spans="1:13" hidden="1" x14ac:dyDescent="0.25">
      <c r="A1336" s="1">
        <v>2006</v>
      </c>
      <c r="B1336" s="1">
        <v>668</v>
      </c>
      <c r="C1336" s="2">
        <v>38885</v>
      </c>
      <c r="D1336" s="1" t="s">
        <v>500</v>
      </c>
      <c r="E1336" s="1" t="s">
        <v>270</v>
      </c>
      <c r="F1336" s="1" t="s">
        <v>414</v>
      </c>
      <c r="G1336" s="1" t="s">
        <v>193</v>
      </c>
      <c r="H1336" s="6" t="str">
        <f>VLOOKUP(A1336,WorldCups!$A$2:$B$23,2,FALSE)</f>
        <v>Germany</v>
      </c>
      <c r="I1336" s="1" t="s">
        <v>227</v>
      </c>
      <c r="J1336" s="1">
        <v>0</v>
      </c>
      <c r="K1336" s="1" t="s">
        <v>170</v>
      </c>
      <c r="L1336" s="1">
        <v>2</v>
      </c>
      <c r="M1336" s="1" t="s">
        <v>14</v>
      </c>
    </row>
    <row r="1337" spans="1:13" hidden="1" x14ac:dyDescent="0.25">
      <c r="A1337" s="1">
        <v>2006</v>
      </c>
      <c r="B1337" s="1">
        <f>B1336+1</f>
        <v>669</v>
      </c>
      <c r="C1337" s="2">
        <v>38885</v>
      </c>
      <c r="D1337" s="1" t="s">
        <v>510</v>
      </c>
      <c r="E1337" s="1" t="s">
        <v>281</v>
      </c>
      <c r="F1337" s="1" t="s">
        <v>424</v>
      </c>
      <c r="G1337" s="1" t="s">
        <v>425</v>
      </c>
      <c r="H1337" s="6" t="str">
        <f>VLOOKUP(A1337,WorldCups!$A$2:$B$23,2,FALSE)</f>
        <v>Germany</v>
      </c>
      <c r="I1337" s="1" t="s">
        <v>429</v>
      </c>
      <c r="J1337" s="1">
        <v>0</v>
      </c>
      <c r="K1337" s="1" t="s">
        <v>431</v>
      </c>
      <c r="L1337" s="1">
        <v>2</v>
      </c>
      <c r="M1337" s="1" t="s">
        <v>14</v>
      </c>
    </row>
    <row r="1338" spans="1:13" hidden="1" x14ac:dyDescent="0.25">
      <c r="A1338" s="1">
        <v>2006</v>
      </c>
      <c r="B1338" s="1">
        <v>669</v>
      </c>
      <c r="C1338" s="2">
        <v>38885</v>
      </c>
      <c r="D1338" s="1" t="s">
        <v>510</v>
      </c>
      <c r="E1338" s="1" t="s">
        <v>281</v>
      </c>
      <c r="F1338" s="1" t="s">
        <v>424</v>
      </c>
      <c r="G1338" s="1" t="s">
        <v>425</v>
      </c>
      <c r="H1338" s="6" t="str">
        <f>VLOOKUP(A1338,WorldCups!$A$2:$B$23,2,FALSE)</f>
        <v>Germany</v>
      </c>
      <c r="I1338" s="1" t="s">
        <v>431</v>
      </c>
      <c r="J1338" s="1">
        <v>2</v>
      </c>
      <c r="K1338" s="1" t="s">
        <v>429</v>
      </c>
      <c r="L1338" s="1">
        <v>0</v>
      </c>
      <c r="M1338" s="1" t="s">
        <v>14</v>
      </c>
    </row>
    <row r="1339" spans="1:13" hidden="1" x14ac:dyDescent="0.25">
      <c r="A1339" s="1">
        <v>2006</v>
      </c>
      <c r="B1339" s="1">
        <f>B1338+1</f>
        <v>670</v>
      </c>
      <c r="C1339" s="2">
        <v>38885</v>
      </c>
      <c r="D1339" s="1" t="s">
        <v>530</v>
      </c>
      <c r="E1339" s="1" t="s">
        <v>281</v>
      </c>
      <c r="F1339" s="1" t="s">
        <v>427</v>
      </c>
      <c r="G1339" s="1" t="s">
        <v>428</v>
      </c>
      <c r="H1339" s="6" t="str">
        <f>VLOOKUP(A1339,WorldCups!$A$2:$B$23,2,FALSE)</f>
        <v>Germany</v>
      </c>
      <c r="I1339" s="1" t="s">
        <v>57</v>
      </c>
      <c r="J1339" s="1">
        <v>1</v>
      </c>
      <c r="K1339" s="1" t="s">
        <v>17</v>
      </c>
      <c r="L1339" s="1">
        <v>1</v>
      </c>
      <c r="M1339" s="1" t="s">
        <v>14</v>
      </c>
    </row>
    <row r="1340" spans="1:13" hidden="1" x14ac:dyDescent="0.25">
      <c r="A1340" s="1">
        <v>2006</v>
      </c>
      <c r="B1340" s="1">
        <v>670</v>
      </c>
      <c r="C1340" s="2">
        <v>38885</v>
      </c>
      <c r="D1340" s="1" t="s">
        <v>530</v>
      </c>
      <c r="E1340" s="1" t="s">
        <v>281</v>
      </c>
      <c r="F1340" s="1" t="s">
        <v>427</v>
      </c>
      <c r="G1340" s="1" t="s">
        <v>428</v>
      </c>
      <c r="H1340" s="6" t="str">
        <f>VLOOKUP(A1340,WorldCups!$A$2:$B$23,2,FALSE)</f>
        <v>Germany</v>
      </c>
      <c r="I1340" s="1" t="s">
        <v>17</v>
      </c>
      <c r="J1340" s="1">
        <v>1</v>
      </c>
      <c r="K1340" s="1" t="s">
        <v>57</v>
      </c>
      <c r="L1340" s="1">
        <v>1</v>
      </c>
      <c r="M1340" s="1" t="s">
        <v>14</v>
      </c>
    </row>
    <row r="1341" spans="1:13" hidden="1" x14ac:dyDescent="0.25">
      <c r="A1341" s="1">
        <v>2006</v>
      </c>
      <c r="B1341" s="1">
        <f>B1340+1</f>
        <v>671</v>
      </c>
      <c r="C1341" s="2">
        <v>38886</v>
      </c>
      <c r="D1341" s="1" t="s">
        <v>500</v>
      </c>
      <c r="E1341" s="1" t="s">
        <v>274</v>
      </c>
      <c r="F1341" s="1" t="s">
        <v>422</v>
      </c>
      <c r="G1341" s="1" t="s">
        <v>423</v>
      </c>
      <c r="H1341" s="6" t="str">
        <f>VLOOKUP(A1341,WorldCups!$A$2:$B$23,2,FALSE)</f>
        <v>Germany</v>
      </c>
      <c r="I1341" s="1" t="s">
        <v>356</v>
      </c>
      <c r="J1341" s="1">
        <v>0</v>
      </c>
      <c r="K1341" s="1" t="s">
        <v>360</v>
      </c>
      <c r="L1341" s="1">
        <v>0</v>
      </c>
      <c r="M1341" s="1" t="s">
        <v>14</v>
      </c>
    </row>
    <row r="1342" spans="1:13" hidden="1" x14ac:dyDescent="0.25">
      <c r="A1342" s="1">
        <v>2006</v>
      </c>
      <c r="B1342" s="1">
        <v>671</v>
      </c>
      <c r="C1342" s="2">
        <v>38886</v>
      </c>
      <c r="D1342" s="1" t="s">
        <v>500</v>
      </c>
      <c r="E1342" s="1" t="s">
        <v>274</v>
      </c>
      <c r="F1342" s="1" t="s">
        <v>422</v>
      </c>
      <c r="G1342" s="1" t="s">
        <v>423</v>
      </c>
      <c r="H1342" s="6" t="str">
        <f>VLOOKUP(A1342,WorldCups!$A$2:$B$23,2,FALSE)</f>
        <v>Germany</v>
      </c>
      <c r="I1342" s="1" t="s">
        <v>360</v>
      </c>
      <c r="J1342" s="1">
        <v>0</v>
      </c>
      <c r="K1342" s="1" t="s">
        <v>356</v>
      </c>
      <c r="L1342" s="1">
        <v>0</v>
      </c>
      <c r="M1342" s="1" t="s">
        <v>14</v>
      </c>
    </row>
    <row r="1343" spans="1:13" hidden="1" x14ac:dyDescent="0.25">
      <c r="A1343" s="1">
        <v>2006</v>
      </c>
      <c r="B1343" s="1">
        <f>B1342+1</f>
        <v>672</v>
      </c>
      <c r="C1343" s="2">
        <v>38886</v>
      </c>
      <c r="D1343" s="1" t="s">
        <v>510</v>
      </c>
      <c r="E1343" s="1" t="s">
        <v>274</v>
      </c>
      <c r="F1343" s="1" t="s">
        <v>412</v>
      </c>
      <c r="G1343" s="1" t="s">
        <v>207</v>
      </c>
      <c r="H1343" s="6" t="str">
        <f>VLOOKUP(A1343,WorldCups!$A$2:$B$23,2,FALSE)</f>
        <v>Germany</v>
      </c>
      <c r="I1343" s="1" t="s">
        <v>21</v>
      </c>
      <c r="J1343" s="1">
        <v>2</v>
      </c>
      <c r="K1343" s="1" t="s">
        <v>199</v>
      </c>
      <c r="L1343" s="1">
        <v>0</v>
      </c>
      <c r="M1343" s="1" t="s">
        <v>14</v>
      </c>
    </row>
    <row r="1344" spans="1:13" hidden="1" x14ac:dyDescent="0.25">
      <c r="A1344" s="1">
        <v>2006</v>
      </c>
      <c r="B1344" s="1">
        <v>672</v>
      </c>
      <c r="C1344" s="2">
        <v>38886</v>
      </c>
      <c r="D1344" s="1" t="s">
        <v>510</v>
      </c>
      <c r="E1344" s="1" t="s">
        <v>274</v>
      </c>
      <c r="F1344" s="1" t="s">
        <v>412</v>
      </c>
      <c r="G1344" s="1" t="s">
        <v>207</v>
      </c>
      <c r="H1344" s="6" t="str">
        <f>VLOOKUP(A1344,WorldCups!$A$2:$B$23,2,FALSE)</f>
        <v>Germany</v>
      </c>
      <c r="I1344" s="1" t="s">
        <v>199</v>
      </c>
      <c r="J1344" s="1">
        <v>0</v>
      </c>
      <c r="K1344" s="1" t="s">
        <v>21</v>
      </c>
      <c r="L1344" s="1">
        <v>2</v>
      </c>
      <c r="M1344" s="1" t="s">
        <v>14</v>
      </c>
    </row>
    <row r="1345" spans="1:13" hidden="1" x14ac:dyDescent="0.25">
      <c r="A1345" s="1">
        <v>2006</v>
      </c>
      <c r="B1345" s="1">
        <f>B1344+1</f>
        <v>673</v>
      </c>
      <c r="C1345" s="2">
        <v>38886</v>
      </c>
      <c r="D1345" s="1" t="s">
        <v>530</v>
      </c>
      <c r="E1345" s="1" t="s">
        <v>361</v>
      </c>
      <c r="F1345" s="1" t="s">
        <v>419</v>
      </c>
      <c r="G1345" s="1" t="s">
        <v>420</v>
      </c>
      <c r="H1345" s="6" t="str">
        <f>VLOOKUP(A1345,WorldCups!$A$2:$B$23,2,FALSE)</f>
        <v>Germany</v>
      </c>
      <c r="I1345" s="1" t="s">
        <v>12</v>
      </c>
      <c r="J1345" s="1">
        <v>1</v>
      </c>
      <c r="K1345" s="1" t="s">
        <v>116</v>
      </c>
      <c r="L1345" s="1">
        <v>1</v>
      </c>
      <c r="M1345" s="1" t="s">
        <v>14</v>
      </c>
    </row>
    <row r="1346" spans="1:13" hidden="1" x14ac:dyDescent="0.25">
      <c r="A1346" s="1">
        <v>2006</v>
      </c>
      <c r="B1346" s="1">
        <v>673</v>
      </c>
      <c r="C1346" s="2">
        <v>38886</v>
      </c>
      <c r="D1346" s="1" t="s">
        <v>530</v>
      </c>
      <c r="E1346" s="1" t="s">
        <v>361</v>
      </c>
      <c r="F1346" s="1" t="s">
        <v>419</v>
      </c>
      <c r="G1346" s="1" t="s">
        <v>420</v>
      </c>
      <c r="H1346" s="6" t="str">
        <f>VLOOKUP(A1346,WorldCups!$A$2:$B$23,2,FALSE)</f>
        <v>Germany</v>
      </c>
      <c r="I1346" s="1" t="s">
        <v>116</v>
      </c>
      <c r="J1346" s="1">
        <v>1</v>
      </c>
      <c r="K1346" s="1" t="s">
        <v>12</v>
      </c>
      <c r="L1346" s="1">
        <v>1</v>
      </c>
      <c r="M1346" s="1" t="s">
        <v>14</v>
      </c>
    </row>
    <row r="1347" spans="1:13" hidden="1" x14ac:dyDescent="0.25">
      <c r="A1347" s="1">
        <v>2006</v>
      </c>
      <c r="B1347" s="1">
        <f>B1346+1</f>
        <v>674</v>
      </c>
      <c r="C1347" s="2">
        <v>38887</v>
      </c>
      <c r="D1347" s="1" t="s">
        <v>500</v>
      </c>
      <c r="E1347" s="1" t="s">
        <v>361</v>
      </c>
      <c r="F1347" s="1" t="s">
        <v>415</v>
      </c>
      <c r="G1347" s="1" t="s">
        <v>201</v>
      </c>
      <c r="H1347" s="6" t="str">
        <f>VLOOKUP(A1347,WorldCups!$A$2:$B$23,2,FALSE)</f>
        <v>Germany</v>
      </c>
      <c r="I1347" s="1" t="s">
        <v>432</v>
      </c>
      <c r="J1347" s="1">
        <v>0</v>
      </c>
      <c r="K1347" s="1" t="s">
        <v>44</v>
      </c>
      <c r="L1347" s="1">
        <v>2</v>
      </c>
      <c r="M1347" s="1" t="s">
        <v>14</v>
      </c>
    </row>
    <row r="1348" spans="1:13" hidden="1" x14ac:dyDescent="0.25">
      <c r="A1348" s="1">
        <v>2006</v>
      </c>
      <c r="B1348" s="1">
        <v>674</v>
      </c>
      <c r="C1348" s="2">
        <v>38887</v>
      </c>
      <c r="D1348" s="1" t="s">
        <v>500</v>
      </c>
      <c r="E1348" s="1" t="s">
        <v>361</v>
      </c>
      <c r="F1348" s="1" t="s">
        <v>415</v>
      </c>
      <c r="G1348" s="1" t="s">
        <v>201</v>
      </c>
      <c r="H1348" s="6" t="str">
        <f>VLOOKUP(A1348,WorldCups!$A$2:$B$23,2,FALSE)</f>
        <v>Germany</v>
      </c>
      <c r="I1348" s="1" t="s">
        <v>44</v>
      </c>
      <c r="J1348" s="1">
        <v>2</v>
      </c>
      <c r="K1348" s="1" t="s">
        <v>432</v>
      </c>
      <c r="L1348" s="1">
        <v>0</v>
      </c>
      <c r="M1348" s="1" t="s">
        <v>14</v>
      </c>
    </row>
    <row r="1349" spans="1:13" hidden="1" x14ac:dyDescent="0.25">
      <c r="A1349" s="1">
        <v>2006</v>
      </c>
      <c r="B1349" s="1">
        <f>B1348+1</f>
        <v>675</v>
      </c>
      <c r="C1349" s="2">
        <v>38887</v>
      </c>
      <c r="D1349" s="1" t="s">
        <v>510</v>
      </c>
      <c r="E1349" s="1" t="s">
        <v>355</v>
      </c>
      <c r="F1349" s="1" t="s">
        <v>417</v>
      </c>
      <c r="G1349" s="1" t="s">
        <v>197</v>
      </c>
      <c r="H1349" s="6" t="str">
        <f>VLOOKUP(A1349,WorldCups!$A$2:$B$23,2,FALSE)</f>
        <v>Germany</v>
      </c>
      <c r="I1349" s="1" t="s">
        <v>333</v>
      </c>
      <c r="J1349" s="1">
        <v>0</v>
      </c>
      <c r="K1349" s="1" t="s">
        <v>435</v>
      </c>
      <c r="L1349" s="1">
        <v>4</v>
      </c>
      <c r="M1349" s="1" t="s">
        <v>14</v>
      </c>
    </row>
    <row r="1350" spans="1:13" hidden="1" x14ac:dyDescent="0.25">
      <c r="A1350" s="1">
        <v>2006</v>
      </c>
      <c r="B1350" s="1">
        <v>675</v>
      </c>
      <c r="C1350" s="2">
        <v>38887</v>
      </c>
      <c r="D1350" s="1" t="s">
        <v>510</v>
      </c>
      <c r="E1350" s="1" t="s">
        <v>355</v>
      </c>
      <c r="F1350" s="1" t="s">
        <v>417</v>
      </c>
      <c r="G1350" s="1" t="s">
        <v>197</v>
      </c>
      <c r="H1350" s="6" t="str">
        <f>VLOOKUP(A1350,WorldCups!$A$2:$B$23,2,FALSE)</f>
        <v>Germany</v>
      </c>
      <c r="I1350" s="1" t="s">
        <v>435</v>
      </c>
      <c r="J1350" s="1">
        <v>4</v>
      </c>
      <c r="K1350" s="1" t="s">
        <v>333</v>
      </c>
      <c r="L1350" s="1">
        <v>0</v>
      </c>
      <c r="M1350" s="1" t="s">
        <v>14</v>
      </c>
    </row>
    <row r="1351" spans="1:13" hidden="1" x14ac:dyDescent="0.25">
      <c r="A1351" s="1">
        <v>2006</v>
      </c>
      <c r="B1351" s="1">
        <f>B1350+1</f>
        <v>676</v>
      </c>
      <c r="C1351" s="2">
        <v>38887</v>
      </c>
      <c r="D1351" s="1" t="s">
        <v>530</v>
      </c>
      <c r="E1351" s="1" t="s">
        <v>355</v>
      </c>
      <c r="F1351" s="1" t="s">
        <v>433</v>
      </c>
      <c r="G1351" s="1" t="s">
        <v>210</v>
      </c>
      <c r="H1351" s="6" t="str">
        <f>VLOOKUP(A1351,WorldCups!$A$2:$B$23,2,FALSE)</f>
        <v>Germany</v>
      </c>
      <c r="I1351" s="1" t="s">
        <v>54</v>
      </c>
      <c r="J1351" s="1">
        <v>3</v>
      </c>
      <c r="K1351" s="1" t="s">
        <v>221</v>
      </c>
      <c r="L1351" s="1">
        <v>1</v>
      </c>
      <c r="M1351" s="1" t="s">
        <v>14</v>
      </c>
    </row>
    <row r="1352" spans="1:13" hidden="1" x14ac:dyDescent="0.25">
      <c r="A1352" s="1">
        <v>2006</v>
      </c>
      <c r="B1352" s="1">
        <v>676</v>
      </c>
      <c r="C1352" s="2">
        <v>38887</v>
      </c>
      <c r="D1352" s="1" t="s">
        <v>530</v>
      </c>
      <c r="E1352" s="1" t="s">
        <v>355</v>
      </c>
      <c r="F1352" s="1" t="s">
        <v>433</v>
      </c>
      <c r="G1352" s="1" t="s">
        <v>210</v>
      </c>
      <c r="H1352" s="6" t="str">
        <f>VLOOKUP(A1352,WorldCups!$A$2:$B$23,2,FALSE)</f>
        <v>Germany</v>
      </c>
      <c r="I1352" s="1" t="s">
        <v>221</v>
      </c>
      <c r="J1352" s="1">
        <v>1</v>
      </c>
      <c r="K1352" s="1" t="s">
        <v>54</v>
      </c>
      <c r="L1352" s="1">
        <v>3</v>
      </c>
      <c r="M1352" s="1" t="s">
        <v>14</v>
      </c>
    </row>
    <row r="1353" spans="1:13" hidden="1" x14ac:dyDescent="0.25">
      <c r="A1353" s="1">
        <v>2006</v>
      </c>
      <c r="B1353" s="1">
        <f>B1352+1</f>
        <v>677</v>
      </c>
      <c r="C1353" s="2">
        <v>38888</v>
      </c>
      <c r="D1353" s="1" t="s">
        <v>503</v>
      </c>
      <c r="E1353" s="1" t="s">
        <v>214</v>
      </c>
      <c r="F1353" s="1" t="s">
        <v>194</v>
      </c>
      <c r="G1353" s="1" t="s">
        <v>434</v>
      </c>
      <c r="H1353" s="6" t="str">
        <f>VLOOKUP(A1353,WorldCups!$A$2:$B$23,2,FALSE)</f>
        <v>Germany</v>
      </c>
      <c r="I1353" s="1" t="s">
        <v>382</v>
      </c>
      <c r="J1353" s="1">
        <v>0</v>
      </c>
      <c r="K1353" s="1" t="s">
        <v>51</v>
      </c>
      <c r="L1353" s="1">
        <v>3</v>
      </c>
      <c r="M1353" s="1" t="s">
        <v>14</v>
      </c>
    </row>
    <row r="1354" spans="1:13" hidden="1" x14ac:dyDescent="0.25">
      <c r="A1354" s="1">
        <v>2006</v>
      </c>
      <c r="B1354" s="1">
        <v>677</v>
      </c>
      <c r="C1354" s="2">
        <v>38888</v>
      </c>
      <c r="D1354" s="1" t="s">
        <v>503</v>
      </c>
      <c r="E1354" s="1" t="s">
        <v>214</v>
      </c>
      <c r="F1354" s="1" t="s">
        <v>194</v>
      </c>
      <c r="G1354" s="1" t="s">
        <v>434</v>
      </c>
      <c r="H1354" s="6" t="str">
        <f>VLOOKUP(A1354,WorldCups!$A$2:$B$23,2,FALSE)</f>
        <v>Germany</v>
      </c>
      <c r="I1354" s="1" t="s">
        <v>51</v>
      </c>
      <c r="J1354" s="1">
        <v>3</v>
      </c>
      <c r="K1354" s="1" t="s">
        <v>382</v>
      </c>
      <c r="L1354" s="1">
        <v>0</v>
      </c>
      <c r="M1354" s="1" t="s">
        <v>14</v>
      </c>
    </row>
    <row r="1355" spans="1:13" hidden="1" x14ac:dyDescent="0.25">
      <c r="A1355" s="1">
        <v>2006</v>
      </c>
      <c r="B1355" s="1">
        <f>B1354+1</f>
        <v>678</v>
      </c>
      <c r="C1355" s="2">
        <v>38888</v>
      </c>
      <c r="D1355" s="1" t="s">
        <v>503</v>
      </c>
      <c r="E1355" s="1" t="s">
        <v>214</v>
      </c>
      <c r="F1355" s="1" t="s">
        <v>430</v>
      </c>
      <c r="G1355" s="1" t="s">
        <v>204</v>
      </c>
      <c r="H1355" s="6" t="str">
        <f>VLOOKUP(A1355,WorldCups!$A$2:$B$23,2,FALSE)</f>
        <v>Germany</v>
      </c>
      <c r="I1355" s="1" t="s">
        <v>301</v>
      </c>
      <c r="J1355" s="1">
        <v>1</v>
      </c>
      <c r="K1355" s="1" t="s">
        <v>80</v>
      </c>
      <c r="L1355" s="1">
        <v>2</v>
      </c>
      <c r="M1355" s="1" t="s">
        <v>14</v>
      </c>
    </row>
    <row r="1356" spans="1:13" hidden="1" x14ac:dyDescent="0.25">
      <c r="A1356" s="1">
        <v>2006</v>
      </c>
      <c r="B1356" s="1">
        <v>678</v>
      </c>
      <c r="C1356" s="2">
        <v>38888</v>
      </c>
      <c r="D1356" s="1" t="s">
        <v>503</v>
      </c>
      <c r="E1356" s="1" t="s">
        <v>214</v>
      </c>
      <c r="F1356" s="1" t="s">
        <v>430</v>
      </c>
      <c r="G1356" s="1" t="s">
        <v>204</v>
      </c>
      <c r="H1356" s="6" t="str">
        <f>VLOOKUP(A1356,WorldCups!$A$2:$B$23,2,FALSE)</f>
        <v>Germany</v>
      </c>
      <c r="I1356" s="1" t="s">
        <v>80</v>
      </c>
      <c r="J1356" s="1">
        <v>2</v>
      </c>
      <c r="K1356" s="1" t="s">
        <v>301</v>
      </c>
      <c r="L1356" s="1">
        <v>1</v>
      </c>
      <c r="M1356" s="1" t="s">
        <v>14</v>
      </c>
    </row>
    <row r="1357" spans="1:13" hidden="1" x14ac:dyDescent="0.25">
      <c r="A1357" s="1">
        <v>2006</v>
      </c>
      <c r="B1357" s="1">
        <f>B1356+1</f>
        <v>679</v>
      </c>
      <c r="C1357" s="2">
        <v>38888</v>
      </c>
      <c r="D1357" s="1" t="s">
        <v>530</v>
      </c>
      <c r="E1357" s="1" t="s">
        <v>213</v>
      </c>
      <c r="F1357" s="1" t="s">
        <v>424</v>
      </c>
      <c r="G1357" s="1" t="s">
        <v>425</v>
      </c>
      <c r="H1357" s="6" t="str">
        <f>VLOOKUP(A1357,WorldCups!$A$2:$B$23,2,FALSE)</f>
        <v>Germany</v>
      </c>
      <c r="I1357" s="1" t="s">
        <v>48</v>
      </c>
      <c r="J1357" s="1">
        <v>2</v>
      </c>
      <c r="K1357" s="1" t="s">
        <v>93</v>
      </c>
      <c r="L1357" s="1">
        <v>2</v>
      </c>
      <c r="M1357" s="1" t="s">
        <v>14</v>
      </c>
    </row>
    <row r="1358" spans="1:13" hidden="1" x14ac:dyDescent="0.25">
      <c r="A1358" s="1">
        <v>2006</v>
      </c>
      <c r="B1358" s="1">
        <v>679</v>
      </c>
      <c r="C1358" s="2">
        <v>38888</v>
      </c>
      <c r="D1358" s="1" t="s">
        <v>530</v>
      </c>
      <c r="E1358" s="1" t="s">
        <v>213</v>
      </c>
      <c r="F1358" s="1" t="s">
        <v>424</v>
      </c>
      <c r="G1358" s="1" t="s">
        <v>425</v>
      </c>
      <c r="H1358" s="6" t="str">
        <f>VLOOKUP(A1358,WorldCups!$A$2:$B$23,2,FALSE)</f>
        <v>Germany</v>
      </c>
      <c r="I1358" s="1" t="s">
        <v>93</v>
      </c>
      <c r="J1358" s="1">
        <v>2</v>
      </c>
      <c r="K1358" s="1" t="s">
        <v>48</v>
      </c>
      <c r="L1358" s="1">
        <v>2</v>
      </c>
      <c r="M1358" s="1" t="s">
        <v>14</v>
      </c>
    </row>
    <row r="1359" spans="1:13" hidden="1" x14ac:dyDescent="0.25">
      <c r="A1359" s="1">
        <v>2006</v>
      </c>
      <c r="B1359" s="1">
        <f>B1358+1</f>
        <v>680</v>
      </c>
      <c r="C1359" s="2">
        <v>38888</v>
      </c>
      <c r="D1359" s="1" t="s">
        <v>530</v>
      </c>
      <c r="E1359" s="1" t="s">
        <v>213</v>
      </c>
      <c r="F1359" s="1" t="s">
        <v>427</v>
      </c>
      <c r="G1359" s="1" t="s">
        <v>428</v>
      </c>
      <c r="H1359" s="6" t="str">
        <f>VLOOKUP(A1359,WorldCups!$A$2:$B$23,2,FALSE)</f>
        <v>Germany</v>
      </c>
      <c r="I1359" s="1" t="s">
        <v>28</v>
      </c>
      <c r="J1359" s="1">
        <v>2</v>
      </c>
      <c r="K1359" s="1" t="s">
        <v>416</v>
      </c>
      <c r="L1359" s="1">
        <v>0</v>
      </c>
      <c r="M1359" s="1" t="s">
        <v>14</v>
      </c>
    </row>
    <row r="1360" spans="1:13" hidden="1" x14ac:dyDescent="0.25">
      <c r="A1360" s="1">
        <v>2006</v>
      </c>
      <c r="B1360" s="1">
        <v>680</v>
      </c>
      <c r="C1360" s="2">
        <v>38888</v>
      </c>
      <c r="D1360" s="1" t="s">
        <v>530</v>
      </c>
      <c r="E1360" s="1" t="s">
        <v>213</v>
      </c>
      <c r="F1360" s="1" t="s">
        <v>427</v>
      </c>
      <c r="G1360" s="1" t="s">
        <v>428</v>
      </c>
      <c r="H1360" s="6" t="str">
        <f>VLOOKUP(A1360,WorldCups!$A$2:$B$23,2,FALSE)</f>
        <v>Germany</v>
      </c>
      <c r="I1360" s="1" t="s">
        <v>416</v>
      </c>
      <c r="J1360" s="1">
        <v>0</v>
      </c>
      <c r="K1360" s="1" t="s">
        <v>28</v>
      </c>
      <c r="L1360" s="1">
        <v>2</v>
      </c>
      <c r="M1360" s="1" t="s">
        <v>14</v>
      </c>
    </row>
    <row r="1361" spans="1:13" hidden="1" x14ac:dyDescent="0.25">
      <c r="A1361" s="1">
        <v>2006</v>
      </c>
      <c r="B1361" s="1">
        <f>B1360+1</f>
        <v>681</v>
      </c>
      <c r="C1361" s="2">
        <v>38889</v>
      </c>
      <c r="D1361" s="1" t="s">
        <v>503</v>
      </c>
      <c r="E1361" s="1" t="s">
        <v>270</v>
      </c>
      <c r="F1361" s="1" t="s">
        <v>419</v>
      </c>
      <c r="G1361" s="1" t="s">
        <v>420</v>
      </c>
      <c r="H1361" s="6" t="str">
        <f>VLOOKUP(A1361,WorldCups!$A$2:$B$23,2,FALSE)</f>
        <v>Germany</v>
      </c>
      <c r="I1361" s="1" t="s">
        <v>228</v>
      </c>
      <c r="J1361" s="1">
        <v>1</v>
      </c>
      <c r="K1361" s="1" t="s">
        <v>426</v>
      </c>
      <c r="L1361" s="1">
        <v>1</v>
      </c>
      <c r="M1361" s="1" t="s">
        <v>14</v>
      </c>
    </row>
    <row r="1362" spans="1:13" hidden="1" x14ac:dyDescent="0.25">
      <c r="A1362" s="1">
        <v>2006</v>
      </c>
      <c r="B1362" s="1">
        <v>681</v>
      </c>
      <c r="C1362" s="2">
        <v>38889</v>
      </c>
      <c r="D1362" s="1" t="s">
        <v>503</v>
      </c>
      <c r="E1362" s="1" t="s">
        <v>270</v>
      </c>
      <c r="F1362" s="1" t="s">
        <v>419</v>
      </c>
      <c r="G1362" s="1" t="s">
        <v>420</v>
      </c>
      <c r="H1362" s="6" t="str">
        <f>VLOOKUP(A1362,WorldCups!$A$2:$B$23,2,FALSE)</f>
        <v>Germany</v>
      </c>
      <c r="I1362" s="1" t="s">
        <v>426</v>
      </c>
      <c r="J1362" s="1">
        <v>1</v>
      </c>
      <c r="K1362" s="1" t="s">
        <v>228</v>
      </c>
      <c r="L1362" s="1">
        <v>1</v>
      </c>
      <c r="M1362" s="1" t="s">
        <v>14</v>
      </c>
    </row>
    <row r="1363" spans="1:13" hidden="1" x14ac:dyDescent="0.25">
      <c r="A1363" s="1">
        <v>2006</v>
      </c>
      <c r="B1363" s="1">
        <f>B1362+1</f>
        <v>682</v>
      </c>
      <c r="C1363" s="2">
        <v>38889</v>
      </c>
      <c r="D1363" s="1" t="s">
        <v>503</v>
      </c>
      <c r="E1363" s="1" t="s">
        <v>270</v>
      </c>
      <c r="F1363" s="1" t="s">
        <v>413</v>
      </c>
      <c r="G1363" s="1" t="s">
        <v>212</v>
      </c>
      <c r="H1363" s="6" t="str">
        <f>VLOOKUP(A1363,WorldCups!$A$2:$B$23,2,FALSE)</f>
        <v>Germany</v>
      </c>
      <c r="I1363" s="1" t="s">
        <v>170</v>
      </c>
      <c r="J1363" s="1">
        <v>2</v>
      </c>
      <c r="K1363" s="1" t="s">
        <v>13</v>
      </c>
      <c r="L1363" s="1">
        <v>1</v>
      </c>
      <c r="M1363" s="1" t="s">
        <v>14</v>
      </c>
    </row>
    <row r="1364" spans="1:13" hidden="1" x14ac:dyDescent="0.25">
      <c r="A1364" s="1">
        <v>2006</v>
      </c>
      <c r="B1364" s="1">
        <v>682</v>
      </c>
      <c r="C1364" s="2">
        <v>38889</v>
      </c>
      <c r="D1364" s="1" t="s">
        <v>503</v>
      </c>
      <c r="E1364" s="1" t="s">
        <v>270</v>
      </c>
      <c r="F1364" s="1" t="s">
        <v>413</v>
      </c>
      <c r="G1364" s="1" t="s">
        <v>212</v>
      </c>
      <c r="H1364" s="6" t="str">
        <f>VLOOKUP(A1364,WorldCups!$A$2:$B$23,2,FALSE)</f>
        <v>Germany</v>
      </c>
      <c r="I1364" s="1" t="s">
        <v>13</v>
      </c>
      <c r="J1364" s="1">
        <v>1</v>
      </c>
      <c r="K1364" s="1" t="s">
        <v>170</v>
      </c>
      <c r="L1364" s="1">
        <v>2</v>
      </c>
      <c r="M1364" s="1" t="s">
        <v>14</v>
      </c>
    </row>
    <row r="1365" spans="1:13" hidden="1" x14ac:dyDescent="0.25">
      <c r="A1365" s="1">
        <v>2006</v>
      </c>
      <c r="B1365" s="1">
        <f>B1364+1</f>
        <v>683</v>
      </c>
      <c r="C1365" s="2">
        <v>38889</v>
      </c>
      <c r="D1365" s="1" t="s">
        <v>530</v>
      </c>
      <c r="E1365" s="1" t="s">
        <v>268</v>
      </c>
      <c r="F1365" s="1" t="s">
        <v>414</v>
      </c>
      <c r="G1365" s="1" t="s">
        <v>193</v>
      </c>
      <c r="H1365" s="6" t="str">
        <f>VLOOKUP(A1365,WorldCups!$A$2:$B$23,2,FALSE)</f>
        <v>Germany</v>
      </c>
      <c r="I1365" s="1" t="s">
        <v>45</v>
      </c>
      <c r="J1365" s="1">
        <v>0</v>
      </c>
      <c r="K1365" s="1" t="s">
        <v>25</v>
      </c>
      <c r="L1365" s="1">
        <v>0</v>
      </c>
      <c r="M1365" s="1" t="s">
        <v>14</v>
      </c>
    </row>
    <row r="1366" spans="1:13" hidden="1" x14ac:dyDescent="0.25">
      <c r="A1366" s="1">
        <v>2006</v>
      </c>
      <c r="B1366" s="1">
        <v>683</v>
      </c>
      <c r="C1366" s="2">
        <v>38889</v>
      </c>
      <c r="D1366" s="1" t="s">
        <v>530</v>
      </c>
      <c r="E1366" s="1" t="s">
        <v>268</v>
      </c>
      <c r="F1366" s="1" t="s">
        <v>414</v>
      </c>
      <c r="G1366" s="1" t="s">
        <v>193</v>
      </c>
      <c r="H1366" s="6" t="str">
        <f>VLOOKUP(A1366,WorldCups!$A$2:$B$23,2,FALSE)</f>
        <v>Germany</v>
      </c>
      <c r="I1366" s="1" t="s">
        <v>25</v>
      </c>
      <c r="J1366" s="1">
        <v>0</v>
      </c>
      <c r="K1366" s="1" t="s">
        <v>45</v>
      </c>
      <c r="L1366" s="1">
        <v>0</v>
      </c>
      <c r="M1366" s="1" t="s">
        <v>14</v>
      </c>
    </row>
    <row r="1367" spans="1:13" hidden="1" x14ac:dyDescent="0.25">
      <c r="A1367" s="1">
        <v>2006</v>
      </c>
      <c r="B1367" s="1">
        <f>B1366+1</f>
        <v>684</v>
      </c>
      <c r="C1367" s="2">
        <v>38889</v>
      </c>
      <c r="D1367" s="1" t="s">
        <v>530</v>
      </c>
      <c r="E1367" s="1" t="s">
        <v>268</v>
      </c>
      <c r="F1367" s="1" t="s">
        <v>412</v>
      </c>
      <c r="G1367" s="1" t="s">
        <v>207</v>
      </c>
      <c r="H1367" s="6" t="str">
        <f>VLOOKUP(A1367,WorldCups!$A$2:$B$23,2,FALSE)</f>
        <v>Germany</v>
      </c>
      <c r="I1367" s="1" t="s">
        <v>418</v>
      </c>
      <c r="J1367" s="1">
        <v>3</v>
      </c>
      <c r="K1367" s="1" t="s">
        <v>421</v>
      </c>
      <c r="L1367" s="1">
        <v>2</v>
      </c>
      <c r="M1367" s="1" t="s">
        <v>14</v>
      </c>
    </row>
    <row r="1368" spans="1:13" hidden="1" x14ac:dyDescent="0.25">
      <c r="A1368" s="1">
        <v>2006</v>
      </c>
      <c r="B1368" s="1">
        <v>684</v>
      </c>
      <c r="C1368" s="2">
        <v>38889</v>
      </c>
      <c r="D1368" s="1" t="s">
        <v>530</v>
      </c>
      <c r="E1368" s="1" t="s">
        <v>268</v>
      </c>
      <c r="F1368" s="1" t="s">
        <v>412</v>
      </c>
      <c r="G1368" s="1" t="s">
        <v>207</v>
      </c>
      <c r="H1368" s="6" t="str">
        <f>VLOOKUP(A1368,WorldCups!$A$2:$B$23,2,FALSE)</f>
        <v>Germany</v>
      </c>
      <c r="I1368" s="1" t="s">
        <v>421</v>
      </c>
      <c r="J1368" s="1">
        <v>2</v>
      </c>
      <c r="K1368" s="1" t="s">
        <v>418</v>
      </c>
      <c r="L1368" s="1">
        <v>3</v>
      </c>
      <c r="M1368" s="1" t="s">
        <v>14</v>
      </c>
    </row>
    <row r="1369" spans="1:13" hidden="1" x14ac:dyDescent="0.25">
      <c r="A1369" s="1">
        <v>2006</v>
      </c>
      <c r="B1369" s="1">
        <f>B1368+1</f>
        <v>685</v>
      </c>
      <c r="C1369" s="2">
        <v>38890</v>
      </c>
      <c r="D1369" s="1" t="s">
        <v>503</v>
      </c>
      <c r="E1369" s="1" t="s">
        <v>281</v>
      </c>
      <c r="F1369" s="1" t="s">
        <v>417</v>
      </c>
      <c r="G1369" s="1" t="s">
        <v>197</v>
      </c>
      <c r="H1369" s="6" t="str">
        <f>VLOOKUP(A1369,WorldCups!$A$2:$B$23,2,FALSE)</f>
        <v>Germany</v>
      </c>
      <c r="I1369" s="1" t="s">
        <v>429</v>
      </c>
      <c r="J1369" s="1">
        <v>0</v>
      </c>
      <c r="K1369" s="1" t="s">
        <v>57</v>
      </c>
      <c r="L1369" s="1">
        <v>2</v>
      </c>
      <c r="M1369" s="1" t="s">
        <v>14</v>
      </c>
    </row>
    <row r="1370" spans="1:13" hidden="1" x14ac:dyDescent="0.25">
      <c r="A1370" s="1">
        <v>2006</v>
      </c>
      <c r="B1370" s="1">
        <v>685</v>
      </c>
      <c r="C1370" s="2">
        <v>38890</v>
      </c>
      <c r="D1370" s="1" t="s">
        <v>503</v>
      </c>
      <c r="E1370" s="1" t="s">
        <v>281</v>
      </c>
      <c r="F1370" s="1" t="s">
        <v>417</v>
      </c>
      <c r="G1370" s="1" t="s">
        <v>197</v>
      </c>
      <c r="H1370" s="6" t="str">
        <f>VLOOKUP(A1370,WorldCups!$A$2:$B$23,2,FALSE)</f>
        <v>Germany</v>
      </c>
      <c r="I1370" s="1" t="s">
        <v>57</v>
      </c>
      <c r="J1370" s="1">
        <v>2</v>
      </c>
      <c r="K1370" s="1" t="s">
        <v>429</v>
      </c>
      <c r="L1370" s="1">
        <v>0</v>
      </c>
      <c r="M1370" s="1" t="s">
        <v>14</v>
      </c>
    </row>
    <row r="1371" spans="1:13" hidden="1" x14ac:dyDescent="0.25">
      <c r="A1371" s="1">
        <v>2006</v>
      </c>
      <c r="B1371" s="1">
        <f>B1370+1</f>
        <v>686</v>
      </c>
      <c r="C1371" s="2">
        <v>38890</v>
      </c>
      <c r="D1371" s="1" t="s">
        <v>503</v>
      </c>
      <c r="E1371" s="1" t="s">
        <v>281</v>
      </c>
      <c r="F1371" s="1" t="s">
        <v>422</v>
      </c>
      <c r="G1371" s="1" t="s">
        <v>423</v>
      </c>
      <c r="H1371" s="6" t="str">
        <f>VLOOKUP(A1371,WorldCups!$A$2:$B$23,2,FALSE)</f>
        <v>Germany</v>
      </c>
      <c r="I1371" s="1" t="s">
        <v>431</v>
      </c>
      <c r="J1371" s="1">
        <v>2</v>
      </c>
      <c r="K1371" s="1" t="s">
        <v>17</v>
      </c>
      <c r="L1371" s="1">
        <v>1</v>
      </c>
      <c r="M1371" s="1" t="s">
        <v>14</v>
      </c>
    </row>
    <row r="1372" spans="1:13" hidden="1" x14ac:dyDescent="0.25">
      <c r="A1372" s="1">
        <v>2006</v>
      </c>
      <c r="B1372" s="1">
        <v>686</v>
      </c>
      <c r="C1372" s="2">
        <v>38890</v>
      </c>
      <c r="D1372" s="1" t="s">
        <v>503</v>
      </c>
      <c r="E1372" s="1" t="s">
        <v>281</v>
      </c>
      <c r="F1372" s="1" t="s">
        <v>422</v>
      </c>
      <c r="G1372" s="1" t="s">
        <v>423</v>
      </c>
      <c r="H1372" s="6" t="str">
        <f>VLOOKUP(A1372,WorldCups!$A$2:$B$23,2,FALSE)</f>
        <v>Germany</v>
      </c>
      <c r="I1372" s="1" t="s">
        <v>17</v>
      </c>
      <c r="J1372" s="1">
        <v>1</v>
      </c>
      <c r="K1372" s="1" t="s">
        <v>431</v>
      </c>
      <c r="L1372" s="1">
        <v>2</v>
      </c>
      <c r="M1372" s="1" t="s">
        <v>14</v>
      </c>
    </row>
    <row r="1373" spans="1:13" hidden="1" x14ac:dyDescent="0.25">
      <c r="A1373" s="1">
        <v>2006</v>
      </c>
      <c r="B1373" s="1">
        <f>B1372+1</f>
        <v>687</v>
      </c>
      <c r="C1373" s="2">
        <v>38890</v>
      </c>
      <c r="D1373" s="1" t="s">
        <v>530</v>
      </c>
      <c r="E1373" s="1" t="s">
        <v>274</v>
      </c>
      <c r="F1373" s="1" t="s">
        <v>415</v>
      </c>
      <c r="G1373" s="1" t="s">
        <v>201</v>
      </c>
      <c r="H1373" s="6" t="str">
        <f>VLOOKUP(A1373,WorldCups!$A$2:$B$23,2,FALSE)</f>
        <v>Germany</v>
      </c>
      <c r="I1373" s="1" t="s">
        <v>356</v>
      </c>
      <c r="J1373" s="1">
        <v>1</v>
      </c>
      <c r="K1373" s="1" t="s">
        <v>21</v>
      </c>
      <c r="L1373" s="1">
        <v>4</v>
      </c>
      <c r="M1373" s="1" t="s">
        <v>14</v>
      </c>
    </row>
    <row r="1374" spans="1:13" hidden="1" x14ac:dyDescent="0.25">
      <c r="A1374" s="1">
        <v>2006</v>
      </c>
      <c r="B1374" s="1">
        <v>687</v>
      </c>
      <c r="C1374" s="2">
        <v>38890</v>
      </c>
      <c r="D1374" s="1" t="s">
        <v>530</v>
      </c>
      <c r="E1374" s="1" t="s">
        <v>274</v>
      </c>
      <c r="F1374" s="1" t="s">
        <v>415</v>
      </c>
      <c r="G1374" s="1" t="s">
        <v>201</v>
      </c>
      <c r="H1374" s="6" t="str">
        <f>VLOOKUP(A1374,WorldCups!$A$2:$B$23,2,FALSE)</f>
        <v>Germany</v>
      </c>
      <c r="I1374" s="1" t="s">
        <v>21</v>
      </c>
      <c r="J1374" s="1">
        <v>4</v>
      </c>
      <c r="K1374" s="1" t="s">
        <v>356</v>
      </c>
      <c r="L1374" s="1">
        <v>1</v>
      </c>
      <c r="M1374" s="1" t="s">
        <v>14</v>
      </c>
    </row>
    <row r="1375" spans="1:13" hidden="1" x14ac:dyDescent="0.25">
      <c r="A1375" s="1">
        <v>2006</v>
      </c>
      <c r="B1375" s="1">
        <f>B1374+1</f>
        <v>688</v>
      </c>
      <c r="C1375" s="2">
        <v>38890</v>
      </c>
      <c r="D1375" s="1" t="s">
        <v>530</v>
      </c>
      <c r="E1375" s="1" t="s">
        <v>274</v>
      </c>
      <c r="F1375" s="1" t="s">
        <v>433</v>
      </c>
      <c r="G1375" s="1" t="s">
        <v>210</v>
      </c>
      <c r="H1375" s="6" t="str">
        <f>VLOOKUP(A1375,WorldCups!$A$2:$B$23,2,FALSE)</f>
        <v>Germany</v>
      </c>
      <c r="I1375" s="1" t="s">
        <v>360</v>
      </c>
      <c r="J1375" s="1">
        <v>2</v>
      </c>
      <c r="K1375" s="1" t="s">
        <v>199</v>
      </c>
      <c r="L1375" s="1">
        <v>2</v>
      </c>
      <c r="M1375" s="1" t="s">
        <v>14</v>
      </c>
    </row>
    <row r="1376" spans="1:13" hidden="1" x14ac:dyDescent="0.25">
      <c r="A1376" s="1">
        <v>2006</v>
      </c>
      <c r="B1376" s="1">
        <v>688</v>
      </c>
      <c r="C1376" s="2">
        <v>38890</v>
      </c>
      <c r="D1376" s="1" t="s">
        <v>530</v>
      </c>
      <c r="E1376" s="1" t="s">
        <v>274</v>
      </c>
      <c r="F1376" s="1" t="s">
        <v>433</v>
      </c>
      <c r="G1376" s="1" t="s">
        <v>210</v>
      </c>
      <c r="H1376" s="6" t="str">
        <f>VLOOKUP(A1376,WorldCups!$A$2:$B$23,2,FALSE)</f>
        <v>Germany</v>
      </c>
      <c r="I1376" s="1" t="s">
        <v>199</v>
      </c>
      <c r="J1376" s="1">
        <v>2</v>
      </c>
      <c r="K1376" s="1" t="s">
        <v>360</v>
      </c>
      <c r="L1376" s="1">
        <v>2</v>
      </c>
      <c r="M1376" s="1" t="s">
        <v>14</v>
      </c>
    </row>
    <row r="1377" spans="1:13" hidden="1" x14ac:dyDescent="0.25">
      <c r="A1377" s="1">
        <v>2006</v>
      </c>
      <c r="B1377" s="1">
        <f>B1376+1</f>
        <v>689</v>
      </c>
      <c r="C1377" s="2">
        <v>38891</v>
      </c>
      <c r="D1377" s="1" t="s">
        <v>503</v>
      </c>
      <c r="E1377" s="1" t="s">
        <v>355</v>
      </c>
      <c r="F1377" s="1" t="s">
        <v>194</v>
      </c>
      <c r="G1377" s="1" t="s">
        <v>434</v>
      </c>
      <c r="H1377" s="6" t="str">
        <f>VLOOKUP(A1377,WorldCups!$A$2:$B$23,2,FALSE)</f>
        <v>Germany</v>
      </c>
      <c r="I1377" s="1" t="s">
        <v>435</v>
      </c>
      <c r="J1377" s="1">
        <v>1</v>
      </c>
      <c r="K1377" s="1" t="s">
        <v>221</v>
      </c>
      <c r="L1377" s="1">
        <v>0</v>
      </c>
      <c r="M1377" s="1" t="s">
        <v>14</v>
      </c>
    </row>
    <row r="1378" spans="1:13" hidden="1" x14ac:dyDescent="0.25">
      <c r="A1378" s="1">
        <v>2006</v>
      </c>
      <c r="B1378" s="1">
        <v>689</v>
      </c>
      <c r="C1378" s="2">
        <v>38891</v>
      </c>
      <c r="D1378" s="1" t="s">
        <v>503</v>
      </c>
      <c r="E1378" s="1" t="s">
        <v>355</v>
      </c>
      <c r="F1378" s="1" t="s">
        <v>194</v>
      </c>
      <c r="G1378" s="1" t="s">
        <v>434</v>
      </c>
      <c r="H1378" s="6" t="str">
        <f>VLOOKUP(A1378,WorldCups!$A$2:$B$23,2,FALSE)</f>
        <v>Germany</v>
      </c>
      <c r="I1378" s="1" t="s">
        <v>221</v>
      </c>
      <c r="J1378" s="1">
        <v>0</v>
      </c>
      <c r="K1378" s="1" t="s">
        <v>435</v>
      </c>
      <c r="L1378" s="1">
        <v>1</v>
      </c>
      <c r="M1378" s="1" t="s">
        <v>14</v>
      </c>
    </row>
    <row r="1379" spans="1:13" hidden="1" x14ac:dyDescent="0.25">
      <c r="A1379" s="1">
        <v>2006</v>
      </c>
      <c r="B1379" s="1">
        <f>B1378+1</f>
        <v>690</v>
      </c>
      <c r="C1379" s="2">
        <v>38891</v>
      </c>
      <c r="D1379" s="1" t="s">
        <v>503</v>
      </c>
      <c r="E1379" s="1" t="s">
        <v>355</v>
      </c>
      <c r="F1379" s="1" t="s">
        <v>427</v>
      </c>
      <c r="G1379" s="1" t="s">
        <v>428</v>
      </c>
      <c r="H1379" s="6" t="str">
        <f>VLOOKUP(A1379,WorldCups!$A$2:$B$23,2,FALSE)</f>
        <v>Germany</v>
      </c>
      <c r="I1379" s="1" t="s">
        <v>333</v>
      </c>
      <c r="J1379" s="1">
        <v>0</v>
      </c>
      <c r="K1379" s="1" t="s">
        <v>54</v>
      </c>
      <c r="L1379" s="1">
        <v>1</v>
      </c>
      <c r="M1379" s="1" t="s">
        <v>14</v>
      </c>
    </row>
    <row r="1380" spans="1:13" hidden="1" x14ac:dyDescent="0.25">
      <c r="A1380" s="1">
        <v>2006</v>
      </c>
      <c r="B1380" s="1">
        <v>690</v>
      </c>
      <c r="C1380" s="2">
        <v>38891</v>
      </c>
      <c r="D1380" s="1" t="s">
        <v>503</v>
      </c>
      <c r="E1380" s="1" t="s">
        <v>355</v>
      </c>
      <c r="F1380" s="1" t="s">
        <v>427</v>
      </c>
      <c r="G1380" s="1" t="s">
        <v>428</v>
      </c>
      <c r="H1380" s="6" t="str">
        <f>VLOOKUP(A1380,WorldCups!$A$2:$B$23,2,FALSE)</f>
        <v>Germany</v>
      </c>
      <c r="I1380" s="1" t="s">
        <v>54</v>
      </c>
      <c r="J1380" s="1">
        <v>1</v>
      </c>
      <c r="K1380" s="1" t="s">
        <v>333</v>
      </c>
      <c r="L1380" s="1">
        <v>0</v>
      </c>
      <c r="M1380" s="1" t="s">
        <v>14</v>
      </c>
    </row>
    <row r="1381" spans="1:13" hidden="1" x14ac:dyDescent="0.25">
      <c r="A1381" s="1">
        <v>2006</v>
      </c>
      <c r="B1381" s="1">
        <f>B1380+1</f>
        <v>691</v>
      </c>
      <c r="C1381" s="2">
        <v>38891</v>
      </c>
      <c r="D1381" s="1" t="s">
        <v>530</v>
      </c>
      <c r="E1381" s="1" t="s">
        <v>361</v>
      </c>
      <c r="F1381" s="1" t="s">
        <v>424</v>
      </c>
      <c r="G1381" s="1" t="s">
        <v>425</v>
      </c>
      <c r="H1381" s="6" t="str">
        <f>VLOOKUP(A1381,WorldCups!$A$2:$B$23,2,FALSE)</f>
        <v>Germany</v>
      </c>
      <c r="I1381" s="1" t="s">
        <v>432</v>
      </c>
      <c r="J1381" s="1">
        <v>0</v>
      </c>
      <c r="K1381" s="1" t="s">
        <v>12</v>
      </c>
      <c r="L1381" s="1">
        <v>2</v>
      </c>
      <c r="M1381" s="1" t="s">
        <v>14</v>
      </c>
    </row>
    <row r="1382" spans="1:13" hidden="1" x14ac:dyDescent="0.25">
      <c r="A1382" s="1">
        <v>2006</v>
      </c>
      <c r="B1382" s="1">
        <v>691</v>
      </c>
      <c r="C1382" s="2">
        <v>38891</v>
      </c>
      <c r="D1382" s="1" t="s">
        <v>530</v>
      </c>
      <c r="E1382" s="1" t="s">
        <v>361</v>
      </c>
      <c r="F1382" s="1" t="s">
        <v>424</v>
      </c>
      <c r="G1382" s="1" t="s">
        <v>425</v>
      </c>
      <c r="H1382" s="6" t="str">
        <f>VLOOKUP(A1382,WorldCups!$A$2:$B$23,2,FALSE)</f>
        <v>Germany</v>
      </c>
      <c r="I1382" s="1" t="s">
        <v>12</v>
      </c>
      <c r="J1382" s="1">
        <v>2</v>
      </c>
      <c r="K1382" s="1" t="s">
        <v>432</v>
      </c>
      <c r="L1382" s="1">
        <v>0</v>
      </c>
      <c r="M1382" s="1" t="s">
        <v>14</v>
      </c>
    </row>
    <row r="1383" spans="1:13" hidden="1" x14ac:dyDescent="0.25">
      <c r="A1383" s="1">
        <v>2006</v>
      </c>
      <c r="B1383" s="1">
        <f>B1382+1</f>
        <v>692</v>
      </c>
      <c r="C1383" s="2">
        <v>38891</v>
      </c>
      <c r="D1383" s="1" t="s">
        <v>530</v>
      </c>
      <c r="E1383" s="1" t="s">
        <v>361</v>
      </c>
      <c r="F1383" s="1" t="s">
        <v>430</v>
      </c>
      <c r="G1383" s="1" t="s">
        <v>204</v>
      </c>
      <c r="H1383" s="6" t="str">
        <f>VLOOKUP(A1383,WorldCups!$A$2:$B$23,2,FALSE)</f>
        <v>Germany</v>
      </c>
      <c r="I1383" s="1" t="s">
        <v>44</v>
      </c>
      <c r="J1383" s="1">
        <v>2</v>
      </c>
      <c r="K1383" s="1" t="s">
        <v>116</v>
      </c>
      <c r="L1383" s="1">
        <v>0</v>
      </c>
      <c r="M1383" s="1" t="s">
        <v>14</v>
      </c>
    </row>
    <row r="1384" spans="1:13" hidden="1" x14ac:dyDescent="0.25">
      <c r="A1384" s="1">
        <v>2006</v>
      </c>
      <c r="B1384" s="1">
        <v>692</v>
      </c>
      <c r="C1384" s="2">
        <v>38891</v>
      </c>
      <c r="D1384" s="1" t="s">
        <v>530</v>
      </c>
      <c r="E1384" s="1" t="s">
        <v>361</v>
      </c>
      <c r="F1384" s="1" t="s">
        <v>430</v>
      </c>
      <c r="G1384" s="1" t="s">
        <v>204</v>
      </c>
      <c r="H1384" s="6" t="str">
        <f>VLOOKUP(A1384,WorldCups!$A$2:$B$23,2,FALSE)</f>
        <v>Germany</v>
      </c>
      <c r="I1384" s="1" t="s">
        <v>116</v>
      </c>
      <c r="J1384" s="1">
        <v>0</v>
      </c>
      <c r="K1384" s="1" t="s">
        <v>44</v>
      </c>
      <c r="L1384" s="1">
        <v>2</v>
      </c>
      <c r="M1384" s="1" t="s">
        <v>14</v>
      </c>
    </row>
    <row r="1385" spans="1:13" hidden="1" x14ac:dyDescent="0.25">
      <c r="A1385" s="1">
        <v>2006</v>
      </c>
      <c r="B1385" s="1">
        <f>B1384+1</f>
        <v>693</v>
      </c>
      <c r="C1385" s="2">
        <v>38892</v>
      </c>
      <c r="D1385" s="1" t="s">
        <v>512</v>
      </c>
      <c r="E1385" s="1" t="s">
        <v>287</v>
      </c>
      <c r="F1385" s="1" t="s">
        <v>412</v>
      </c>
      <c r="G1385" s="1" t="s">
        <v>207</v>
      </c>
      <c r="H1385" s="6" t="str">
        <f>VLOOKUP(A1385,WorldCups!$A$2:$B$23,2,FALSE)</f>
        <v>Germany</v>
      </c>
      <c r="I1385" s="1" t="s">
        <v>51</v>
      </c>
      <c r="J1385" s="1">
        <v>2</v>
      </c>
      <c r="K1385" s="1" t="s">
        <v>48</v>
      </c>
      <c r="L1385" s="1">
        <v>0</v>
      </c>
      <c r="M1385" s="1" t="s">
        <v>14</v>
      </c>
    </row>
    <row r="1386" spans="1:13" hidden="1" x14ac:dyDescent="0.25">
      <c r="A1386" s="1">
        <v>2006</v>
      </c>
      <c r="B1386" s="1">
        <v>693</v>
      </c>
      <c r="C1386" s="2">
        <v>38892</v>
      </c>
      <c r="D1386" s="1" t="s">
        <v>512</v>
      </c>
      <c r="E1386" s="1" t="s">
        <v>287</v>
      </c>
      <c r="F1386" s="1" t="s">
        <v>412</v>
      </c>
      <c r="G1386" s="1" t="s">
        <v>207</v>
      </c>
      <c r="H1386" s="6" t="str">
        <f>VLOOKUP(A1386,WorldCups!$A$2:$B$23,2,FALSE)</f>
        <v>Germany</v>
      </c>
      <c r="I1386" s="1" t="s">
        <v>48</v>
      </c>
      <c r="J1386" s="1">
        <v>0</v>
      </c>
      <c r="K1386" s="1" t="s">
        <v>51</v>
      </c>
      <c r="L1386" s="1">
        <v>2</v>
      </c>
      <c r="M1386" s="1" t="s">
        <v>14</v>
      </c>
    </row>
    <row r="1387" spans="1:13" hidden="1" x14ac:dyDescent="0.25">
      <c r="A1387" s="1">
        <v>2006</v>
      </c>
      <c r="B1387" s="1">
        <f>B1386+1</f>
        <v>694</v>
      </c>
      <c r="C1387" s="2">
        <v>38892</v>
      </c>
      <c r="D1387" s="1" t="s">
        <v>530</v>
      </c>
      <c r="E1387" s="1" t="s">
        <v>287</v>
      </c>
      <c r="F1387" s="1" t="s">
        <v>419</v>
      </c>
      <c r="G1387" s="1" t="s">
        <v>420</v>
      </c>
      <c r="H1387" s="6" t="str">
        <f>VLOOKUP(A1387,WorldCups!$A$2:$B$23,2,FALSE)</f>
        <v>Germany</v>
      </c>
      <c r="I1387" s="1" t="s">
        <v>25</v>
      </c>
      <c r="J1387" s="1">
        <v>2</v>
      </c>
      <c r="K1387" s="1" t="s">
        <v>13</v>
      </c>
      <c r="L1387" s="1">
        <v>1</v>
      </c>
      <c r="M1387" s="1" t="s">
        <v>229</v>
      </c>
    </row>
    <row r="1388" spans="1:13" hidden="1" x14ac:dyDescent="0.25">
      <c r="A1388" s="1">
        <v>2006</v>
      </c>
      <c r="B1388" s="1">
        <v>694</v>
      </c>
      <c r="C1388" s="2">
        <v>38892</v>
      </c>
      <c r="D1388" s="1" t="s">
        <v>530</v>
      </c>
      <c r="E1388" s="1" t="s">
        <v>287</v>
      </c>
      <c r="F1388" s="1" t="s">
        <v>419</v>
      </c>
      <c r="G1388" s="1" t="s">
        <v>420</v>
      </c>
      <c r="H1388" s="6" t="str">
        <f>VLOOKUP(A1388,WorldCups!$A$2:$B$23,2,FALSE)</f>
        <v>Germany</v>
      </c>
      <c r="I1388" s="1" t="s">
        <v>13</v>
      </c>
      <c r="J1388" s="1">
        <v>1</v>
      </c>
      <c r="K1388" s="1" t="s">
        <v>25</v>
      </c>
      <c r="L1388" s="1">
        <v>2</v>
      </c>
      <c r="M1388" s="1" t="s">
        <v>229</v>
      </c>
    </row>
    <row r="1389" spans="1:13" hidden="1" x14ac:dyDescent="0.25">
      <c r="A1389" s="1">
        <v>2006</v>
      </c>
      <c r="B1389" s="1">
        <f>B1388+1</f>
        <v>695</v>
      </c>
      <c r="C1389" s="2">
        <v>38893</v>
      </c>
      <c r="D1389" s="1" t="s">
        <v>512</v>
      </c>
      <c r="E1389" s="1" t="s">
        <v>287</v>
      </c>
      <c r="F1389" s="1" t="s">
        <v>433</v>
      </c>
      <c r="G1389" s="1" t="s">
        <v>210</v>
      </c>
      <c r="H1389" s="6" t="str">
        <f>VLOOKUP(A1389,WorldCups!$A$2:$B$23,2,FALSE)</f>
        <v>Germany</v>
      </c>
      <c r="I1389" s="1" t="s">
        <v>93</v>
      </c>
      <c r="J1389" s="1">
        <v>1</v>
      </c>
      <c r="K1389" s="1" t="s">
        <v>382</v>
      </c>
      <c r="L1389" s="1">
        <v>0</v>
      </c>
      <c r="M1389" s="1" t="s">
        <v>14</v>
      </c>
    </row>
    <row r="1390" spans="1:13" hidden="1" x14ac:dyDescent="0.25">
      <c r="A1390" s="1">
        <v>2006</v>
      </c>
      <c r="B1390" s="1">
        <v>695</v>
      </c>
      <c r="C1390" s="2">
        <v>38893</v>
      </c>
      <c r="D1390" s="1" t="s">
        <v>512</v>
      </c>
      <c r="E1390" s="1" t="s">
        <v>287</v>
      </c>
      <c r="F1390" s="1" t="s">
        <v>433</v>
      </c>
      <c r="G1390" s="1" t="s">
        <v>210</v>
      </c>
      <c r="H1390" s="6" t="str">
        <f>VLOOKUP(A1390,WorldCups!$A$2:$B$23,2,FALSE)</f>
        <v>Germany</v>
      </c>
      <c r="I1390" s="1" t="s">
        <v>382</v>
      </c>
      <c r="J1390" s="1">
        <v>0</v>
      </c>
      <c r="K1390" s="1" t="s">
        <v>93</v>
      </c>
      <c r="L1390" s="1">
        <v>1</v>
      </c>
      <c r="M1390" s="1" t="s">
        <v>14</v>
      </c>
    </row>
    <row r="1391" spans="1:13" hidden="1" x14ac:dyDescent="0.25">
      <c r="A1391" s="1">
        <v>2006</v>
      </c>
      <c r="B1391" s="1">
        <f>B1390+1</f>
        <v>696</v>
      </c>
      <c r="C1391" s="2">
        <v>38893</v>
      </c>
      <c r="D1391" s="1" t="s">
        <v>530</v>
      </c>
      <c r="E1391" s="1" t="s">
        <v>287</v>
      </c>
      <c r="F1391" s="1" t="s">
        <v>422</v>
      </c>
      <c r="G1391" s="1" t="s">
        <v>423</v>
      </c>
      <c r="H1391" s="6" t="str">
        <f>VLOOKUP(A1391,WorldCups!$A$2:$B$23,2,FALSE)</f>
        <v>Germany</v>
      </c>
      <c r="I1391" s="1" t="s">
        <v>170</v>
      </c>
      <c r="J1391" s="1">
        <v>1</v>
      </c>
      <c r="K1391" s="1" t="s">
        <v>45</v>
      </c>
      <c r="L1391" s="1">
        <v>0</v>
      </c>
      <c r="M1391" s="1" t="s">
        <v>14</v>
      </c>
    </row>
    <row r="1392" spans="1:13" hidden="1" x14ac:dyDescent="0.25">
      <c r="A1392" s="1">
        <v>2006</v>
      </c>
      <c r="B1392" s="1">
        <v>696</v>
      </c>
      <c r="C1392" s="2">
        <v>38893</v>
      </c>
      <c r="D1392" s="1" t="s">
        <v>530</v>
      </c>
      <c r="E1392" s="1" t="s">
        <v>287</v>
      </c>
      <c r="F1392" s="1" t="s">
        <v>422</v>
      </c>
      <c r="G1392" s="1" t="s">
        <v>423</v>
      </c>
      <c r="H1392" s="6" t="str">
        <f>VLOOKUP(A1392,WorldCups!$A$2:$B$23,2,FALSE)</f>
        <v>Germany</v>
      </c>
      <c r="I1392" s="1" t="s">
        <v>45</v>
      </c>
      <c r="J1392" s="1">
        <v>0</v>
      </c>
      <c r="K1392" s="1" t="s">
        <v>170</v>
      </c>
      <c r="L1392" s="1">
        <v>1</v>
      </c>
      <c r="M1392" s="1" t="s">
        <v>14</v>
      </c>
    </row>
    <row r="1393" spans="1:13" hidden="1" x14ac:dyDescent="0.25">
      <c r="A1393" s="1">
        <v>2006</v>
      </c>
      <c r="B1393" s="1">
        <f>B1392+1</f>
        <v>697</v>
      </c>
      <c r="C1393" s="2">
        <v>38894</v>
      </c>
      <c r="D1393" s="1" t="s">
        <v>512</v>
      </c>
      <c r="E1393" s="1" t="s">
        <v>287</v>
      </c>
      <c r="F1393" s="1" t="s">
        <v>427</v>
      </c>
      <c r="G1393" s="1" t="s">
        <v>428</v>
      </c>
      <c r="H1393" s="6" t="str">
        <f>VLOOKUP(A1393,WorldCups!$A$2:$B$23,2,FALSE)</f>
        <v>Germany</v>
      </c>
      <c r="I1393" s="1" t="s">
        <v>57</v>
      </c>
      <c r="J1393" s="1">
        <v>1</v>
      </c>
      <c r="K1393" s="1" t="s">
        <v>199</v>
      </c>
      <c r="L1393" s="1">
        <v>0</v>
      </c>
      <c r="M1393" s="1" t="s">
        <v>14</v>
      </c>
    </row>
    <row r="1394" spans="1:13" hidden="1" x14ac:dyDescent="0.25">
      <c r="A1394" s="1">
        <v>2006</v>
      </c>
      <c r="B1394" s="1">
        <v>697</v>
      </c>
      <c r="C1394" s="2">
        <v>38894</v>
      </c>
      <c r="D1394" s="1" t="s">
        <v>512</v>
      </c>
      <c r="E1394" s="1" t="s">
        <v>287</v>
      </c>
      <c r="F1394" s="1" t="s">
        <v>427</v>
      </c>
      <c r="G1394" s="1" t="s">
        <v>428</v>
      </c>
      <c r="H1394" s="6" t="str">
        <f>VLOOKUP(A1394,WorldCups!$A$2:$B$23,2,FALSE)</f>
        <v>Germany</v>
      </c>
      <c r="I1394" s="1" t="s">
        <v>199</v>
      </c>
      <c r="J1394" s="1">
        <v>0</v>
      </c>
      <c r="K1394" s="1" t="s">
        <v>57</v>
      </c>
      <c r="L1394" s="1">
        <v>1</v>
      </c>
      <c r="M1394" s="1" t="s">
        <v>14</v>
      </c>
    </row>
    <row r="1395" spans="1:13" hidden="1" x14ac:dyDescent="0.25">
      <c r="A1395" s="1">
        <v>2006</v>
      </c>
      <c r="B1395" s="1">
        <f>B1394+1</f>
        <v>698</v>
      </c>
      <c r="C1395" s="2">
        <v>38894</v>
      </c>
      <c r="D1395" s="1" t="s">
        <v>530</v>
      </c>
      <c r="E1395" s="1" t="s">
        <v>287</v>
      </c>
      <c r="F1395" s="1" t="s">
        <v>424</v>
      </c>
      <c r="G1395" s="1" t="s">
        <v>425</v>
      </c>
      <c r="H1395" s="6" t="str">
        <f>VLOOKUP(A1395,WorldCups!$A$2:$B$23,2,FALSE)</f>
        <v>Germany</v>
      </c>
      <c r="I1395" s="1" t="s">
        <v>44</v>
      </c>
      <c r="J1395" s="1">
        <v>0</v>
      </c>
      <c r="K1395" s="1" t="s">
        <v>435</v>
      </c>
      <c r="L1395" s="1">
        <v>0</v>
      </c>
      <c r="M1395" s="1" t="s">
        <v>436</v>
      </c>
    </row>
    <row r="1396" spans="1:13" hidden="1" x14ac:dyDescent="0.25">
      <c r="A1396" s="1">
        <v>2006</v>
      </c>
      <c r="B1396" s="1">
        <v>698</v>
      </c>
      <c r="C1396" s="2">
        <v>38894</v>
      </c>
      <c r="D1396" s="1" t="s">
        <v>530</v>
      </c>
      <c r="E1396" s="1" t="s">
        <v>287</v>
      </c>
      <c r="F1396" s="1" t="s">
        <v>424</v>
      </c>
      <c r="G1396" s="1" t="s">
        <v>425</v>
      </c>
      <c r="H1396" s="6" t="str">
        <f>VLOOKUP(A1396,WorldCups!$A$2:$B$23,2,FALSE)</f>
        <v>Germany</v>
      </c>
      <c r="I1396" s="1" t="s">
        <v>435</v>
      </c>
      <c r="J1396" s="1">
        <v>0</v>
      </c>
      <c r="K1396" s="1" t="s">
        <v>44</v>
      </c>
      <c r="L1396" s="1">
        <v>0</v>
      </c>
      <c r="M1396" s="1" t="s">
        <v>436</v>
      </c>
    </row>
    <row r="1397" spans="1:13" hidden="1" x14ac:dyDescent="0.25">
      <c r="A1397" s="1">
        <v>2006</v>
      </c>
      <c r="B1397" s="1">
        <f>B1396+1</f>
        <v>699</v>
      </c>
      <c r="C1397" s="2">
        <v>38895</v>
      </c>
      <c r="D1397" s="1" t="s">
        <v>512</v>
      </c>
      <c r="E1397" s="1" t="s">
        <v>287</v>
      </c>
      <c r="F1397" s="1" t="s">
        <v>415</v>
      </c>
      <c r="G1397" s="1" t="s">
        <v>201</v>
      </c>
      <c r="H1397" s="6" t="str">
        <f>VLOOKUP(A1397,WorldCups!$A$2:$B$23,2,FALSE)</f>
        <v>Germany</v>
      </c>
      <c r="I1397" s="1" t="s">
        <v>21</v>
      </c>
      <c r="J1397" s="1">
        <v>3</v>
      </c>
      <c r="K1397" s="1" t="s">
        <v>431</v>
      </c>
      <c r="L1397" s="1">
        <v>0</v>
      </c>
      <c r="M1397" s="1" t="s">
        <v>14</v>
      </c>
    </row>
    <row r="1398" spans="1:13" hidden="1" x14ac:dyDescent="0.25">
      <c r="A1398" s="1">
        <v>2006</v>
      </c>
      <c r="B1398" s="1">
        <v>699</v>
      </c>
      <c r="C1398" s="2">
        <v>38895</v>
      </c>
      <c r="D1398" s="1" t="s">
        <v>512</v>
      </c>
      <c r="E1398" s="1" t="s">
        <v>287</v>
      </c>
      <c r="F1398" s="1" t="s">
        <v>415</v>
      </c>
      <c r="G1398" s="1" t="s">
        <v>201</v>
      </c>
      <c r="H1398" s="6" t="str">
        <f>VLOOKUP(A1398,WorldCups!$A$2:$B$23,2,FALSE)</f>
        <v>Germany</v>
      </c>
      <c r="I1398" s="1" t="s">
        <v>431</v>
      </c>
      <c r="J1398" s="1">
        <v>0</v>
      </c>
      <c r="K1398" s="1" t="s">
        <v>21</v>
      </c>
      <c r="L1398" s="1">
        <v>3</v>
      </c>
      <c r="M1398" s="1" t="s">
        <v>14</v>
      </c>
    </row>
    <row r="1399" spans="1:13" hidden="1" x14ac:dyDescent="0.25">
      <c r="A1399" s="1">
        <v>2006</v>
      </c>
      <c r="B1399" s="1">
        <f>B1398+1</f>
        <v>700</v>
      </c>
      <c r="C1399" s="2">
        <v>38895</v>
      </c>
      <c r="D1399" s="1" t="s">
        <v>530</v>
      </c>
      <c r="E1399" s="1" t="s">
        <v>287</v>
      </c>
      <c r="F1399" s="1" t="s">
        <v>430</v>
      </c>
      <c r="G1399" s="1" t="s">
        <v>204</v>
      </c>
      <c r="H1399" s="6" t="str">
        <f>VLOOKUP(A1399,WorldCups!$A$2:$B$23,2,FALSE)</f>
        <v>Germany</v>
      </c>
      <c r="I1399" s="1" t="s">
        <v>54</v>
      </c>
      <c r="J1399" s="1">
        <v>1</v>
      </c>
      <c r="K1399" s="1" t="s">
        <v>12</v>
      </c>
      <c r="L1399" s="1">
        <v>3</v>
      </c>
      <c r="M1399" s="1" t="s">
        <v>14</v>
      </c>
    </row>
    <row r="1400" spans="1:13" hidden="1" x14ac:dyDescent="0.25">
      <c r="A1400" s="1">
        <v>2006</v>
      </c>
      <c r="B1400" s="1">
        <v>700</v>
      </c>
      <c r="C1400" s="2">
        <v>38895</v>
      </c>
      <c r="D1400" s="1" t="s">
        <v>530</v>
      </c>
      <c r="E1400" s="1" t="s">
        <v>287</v>
      </c>
      <c r="F1400" s="1" t="s">
        <v>430</v>
      </c>
      <c r="G1400" s="1" t="s">
        <v>204</v>
      </c>
      <c r="H1400" s="6" t="str">
        <f>VLOOKUP(A1400,WorldCups!$A$2:$B$23,2,FALSE)</f>
        <v>Germany</v>
      </c>
      <c r="I1400" s="1" t="s">
        <v>12</v>
      </c>
      <c r="J1400" s="1">
        <v>3</v>
      </c>
      <c r="K1400" s="1" t="s">
        <v>54</v>
      </c>
      <c r="L1400" s="1">
        <v>1</v>
      </c>
      <c r="M1400" s="1" t="s">
        <v>14</v>
      </c>
    </row>
    <row r="1401" spans="1:13" hidden="1" x14ac:dyDescent="0.25">
      <c r="A1401" s="1">
        <v>2006</v>
      </c>
      <c r="B1401" s="1">
        <f>B1400+1</f>
        <v>701</v>
      </c>
      <c r="C1401" s="2">
        <v>38898</v>
      </c>
      <c r="D1401" s="1" t="s">
        <v>512</v>
      </c>
      <c r="E1401" s="1" t="s">
        <v>61</v>
      </c>
      <c r="F1401" s="1" t="s">
        <v>194</v>
      </c>
      <c r="G1401" s="1" t="s">
        <v>434</v>
      </c>
      <c r="H1401" s="6" t="str">
        <f>VLOOKUP(A1401,WorldCups!$A$2:$B$23,2,FALSE)</f>
        <v>Germany</v>
      </c>
      <c r="I1401" s="1" t="s">
        <v>51</v>
      </c>
      <c r="J1401" s="1">
        <v>1</v>
      </c>
      <c r="K1401" s="1" t="s">
        <v>25</v>
      </c>
      <c r="L1401" s="1">
        <v>1</v>
      </c>
      <c r="M1401" s="1" t="s">
        <v>437</v>
      </c>
    </row>
    <row r="1402" spans="1:13" hidden="1" x14ac:dyDescent="0.25">
      <c r="A1402" s="1">
        <v>2006</v>
      </c>
      <c r="B1402" s="1">
        <v>701</v>
      </c>
      <c r="C1402" s="2">
        <v>38898</v>
      </c>
      <c r="D1402" s="1" t="s">
        <v>512</v>
      </c>
      <c r="E1402" s="1" t="s">
        <v>61</v>
      </c>
      <c r="F1402" s="1" t="s">
        <v>194</v>
      </c>
      <c r="G1402" s="1" t="s">
        <v>434</v>
      </c>
      <c r="H1402" s="6" t="str">
        <f>VLOOKUP(A1402,WorldCups!$A$2:$B$23,2,FALSE)</f>
        <v>Germany</v>
      </c>
      <c r="I1402" s="1" t="s">
        <v>25</v>
      </c>
      <c r="J1402" s="1">
        <v>1</v>
      </c>
      <c r="K1402" s="1" t="s">
        <v>51</v>
      </c>
      <c r="L1402" s="1">
        <v>1</v>
      </c>
      <c r="M1402" s="1" t="s">
        <v>437</v>
      </c>
    </row>
    <row r="1403" spans="1:13" hidden="1" x14ac:dyDescent="0.25">
      <c r="A1403" s="1">
        <v>2006</v>
      </c>
      <c r="B1403" s="1">
        <f>B1402+1</f>
        <v>702</v>
      </c>
      <c r="C1403" s="2">
        <v>38898</v>
      </c>
      <c r="D1403" s="1" t="s">
        <v>530</v>
      </c>
      <c r="E1403" s="1" t="s">
        <v>61</v>
      </c>
      <c r="F1403" s="1" t="s">
        <v>417</v>
      </c>
      <c r="G1403" s="1" t="s">
        <v>197</v>
      </c>
      <c r="H1403" s="6" t="str">
        <f>VLOOKUP(A1403,WorldCups!$A$2:$B$23,2,FALSE)</f>
        <v>Germany</v>
      </c>
      <c r="I1403" s="1" t="s">
        <v>57</v>
      </c>
      <c r="J1403" s="1">
        <v>3</v>
      </c>
      <c r="K1403" s="1" t="s">
        <v>435</v>
      </c>
      <c r="L1403" s="1">
        <v>0</v>
      </c>
      <c r="M1403" s="1" t="s">
        <v>14</v>
      </c>
    </row>
    <row r="1404" spans="1:13" hidden="1" x14ac:dyDescent="0.25">
      <c r="A1404" s="1">
        <v>2006</v>
      </c>
      <c r="B1404" s="1">
        <v>702</v>
      </c>
      <c r="C1404" s="2">
        <v>38898</v>
      </c>
      <c r="D1404" s="1" t="s">
        <v>530</v>
      </c>
      <c r="E1404" s="1" t="s">
        <v>61</v>
      </c>
      <c r="F1404" s="1" t="s">
        <v>417</v>
      </c>
      <c r="G1404" s="1" t="s">
        <v>197</v>
      </c>
      <c r="H1404" s="6" t="str">
        <f>VLOOKUP(A1404,WorldCups!$A$2:$B$23,2,FALSE)</f>
        <v>Germany</v>
      </c>
      <c r="I1404" s="1" t="s">
        <v>435</v>
      </c>
      <c r="J1404" s="1">
        <v>0</v>
      </c>
      <c r="K1404" s="1" t="s">
        <v>57</v>
      </c>
      <c r="L1404" s="1">
        <v>3</v>
      </c>
      <c r="M1404" s="1" t="s">
        <v>14</v>
      </c>
    </row>
    <row r="1405" spans="1:13" hidden="1" x14ac:dyDescent="0.25">
      <c r="A1405" s="1">
        <v>2006</v>
      </c>
      <c r="B1405" s="1">
        <f>B1404+1</f>
        <v>703</v>
      </c>
      <c r="C1405" s="2">
        <v>38899</v>
      </c>
      <c r="D1405" s="1" t="s">
        <v>512</v>
      </c>
      <c r="E1405" s="1" t="s">
        <v>61</v>
      </c>
      <c r="F1405" s="1" t="s">
        <v>413</v>
      </c>
      <c r="G1405" s="1" t="s">
        <v>212</v>
      </c>
      <c r="H1405" s="6" t="str">
        <f>VLOOKUP(A1405,WorldCups!$A$2:$B$23,2,FALSE)</f>
        <v>Germany</v>
      </c>
      <c r="I1405" s="1" t="s">
        <v>93</v>
      </c>
      <c r="J1405" s="1">
        <v>0</v>
      </c>
      <c r="K1405" s="1" t="s">
        <v>170</v>
      </c>
      <c r="L1405" s="1">
        <v>0</v>
      </c>
      <c r="M1405" s="1" t="s">
        <v>438</v>
      </c>
    </row>
    <row r="1406" spans="1:13" hidden="1" x14ac:dyDescent="0.25">
      <c r="A1406" s="1">
        <v>2006</v>
      </c>
      <c r="B1406" s="1">
        <v>703</v>
      </c>
      <c r="C1406" s="2">
        <v>38899</v>
      </c>
      <c r="D1406" s="1" t="s">
        <v>512</v>
      </c>
      <c r="E1406" s="1" t="s">
        <v>61</v>
      </c>
      <c r="F1406" s="1" t="s">
        <v>413</v>
      </c>
      <c r="G1406" s="1" t="s">
        <v>212</v>
      </c>
      <c r="H1406" s="6" t="str">
        <f>VLOOKUP(A1406,WorldCups!$A$2:$B$23,2,FALSE)</f>
        <v>Germany</v>
      </c>
      <c r="I1406" s="1" t="s">
        <v>170</v>
      </c>
      <c r="J1406" s="1">
        <v>0</v>
      </c>
      <c r="K1406" s="1" t="s">
        <v>93</v>
      </c>
      <c r="L1406" s="1">
        <v>0</v>
      </c>
      <c r="M1406" s="1" t="s">
        <v>438</v>
      </c>
    </row>
    <row r="1407" spans="1:13" hidden="1" x14ac:dyDescent="0.25">
      <c r="A1407" s="1">
        <v>2006</v>
      </c>
      <c r="B1407" s="1">
        <f>B1406+1</f>
        <v>704</v>
      </c>
      <c r="C1407" s="2">
        <v>38899</v>
      </c>
      <c r="D1407" s="1" t="s">
        <v>530</v>
      </c>
      <c r="E1407" s="1" t="s">
        <v>61</v>
      </c>
      <c r="F1407" s="1" t="s">
        <v>414</v>
      </c>
      <c r="G1407" s="1" t="s">
        <v>193</v>
      </c>
      <c r="H1407" s="6" t="str">
        <f>VLOOKUP(A1407,WorldCups!$A$2:$B$23,2,FALSE)</f>
        <v>Germany</v>
      </c>
      <c r="I1407" s="1" t="s">
        <v>21</v>
      </c>
      <c r="J1407" s="1">
        <v>0</v>
      </c>
      <c r="K1407" s="1" t="s">
        <v>12</v>
      </c>
      <c r="L1407" s="1">
        <v>1</v>
      </c>
      <c r="M1407" s="1" t="s">
        <v>14</v>
      </c>
    </row>
    <row r="1408" spans="1:13" hidden="1" x14ac:dyDescent="0.25">
      <c r="A1408" s="1">
        <v>2006</v>
      </c>
      <c r="B1408" s="1">
        <v>704</v>
      </c>
      <c r="C1408" s="2">
        <v>38899</v>
      </c>
      <c r="D1408" s="1" t="s">
        <v>530</v>
      </c>
      <c r="E1408" s="1" t="s">
        <v>61</v>
      </c>
      <c r="F1408" s="1" t="s">
        <v>414</v>
      </c>
      <c r="G1408" s="1" t="s">
        <v>193</v>
      </c>
      <c r="H1408" s="6" t="str">
        <f>VLOOKUP(A1408,WorldCups!$A$2:$B$23,2,FALSE)</f>
        <v>Germany</v>
      </c>
      <c r="I1408" s="1" t="s">
        <v>12</v>
      </c>
      <c r="J1408" s="1">
        <v>1</v>
      </c>
      <c r="K1408" s="1" t="s">
        <v>21</v>
      </c>
      <c r="L1408" s="1">
        <v>0</v>
      </c>
      <c r="M1408" s="1" t="s">
        <v>14</v>
      </c>
    </row>
    <row r="1409" spans="1:13" hidden="1" x14ac:dyDescent="0.25">
      <c r="A1409" s="1">
        <v>2006</v>
      </c>
      <c r="B1409" s="1">
        <f>B1408+1</f>
        <v>705</v>
      </c>
      <c r="C1409" s="2">
        <v>38902</v>
      </c>
      <c r="D1409" s="1" t="s">
        <v>530</v>
      </c>
      <c r="E1409" s="1" t="s">
        <v>31</v>
      </c>
      <c r="F1409" s="1" t="s">
        <v>415</v>
      </c>
      <c r="G1409" s="1" t="s">
        <v>201</v>
      </c>
      <c r="H1409" s="6" t="str">
        <f>VLOOKUP(A1409,WorldCups!$A$2:$B$23,2,FALSE)</f>
        <v>Germany</v>
      </c>
      <c r="I1409" s="1" t="s">
        <v>51</v>
      </c>
      <c r="J1409" s="1">
        <v>0</v>
      </c>
      <c r="K1409" s="1" t="s">
        <v>57</v>
      </c>
      <c r="L1409" s="1">
        <v>2</v>
      </c>
      <c r="M1409" s="1" t="s">
        <v>63</v>
      </c>
    </row>
    <row r="1410" spans="1:13" hidden="1" x14ac:dyDescent="0.25">
      <c r="A1410" s="1">
        <v>2006</v>
      </c>
      <c r="B1410" s="1">
        <v>705</v>
      </c>
      <c r="C1410" s="2">
        <v>38902</v>
      </c>
      <c r="D1410" s="1" t="s">
        <v>530</v>
      </c>
      <c r="E1410" s="1" t="s">
        <v>31</v>
      </c>
      <c r="F1410" s="1" t="s">
        <v>415</v>
      </c>
      <c r="G1410" s="1" t="s">
        <v>201</v>
      </c>
      <c r="H1410" s="6" t="str">
        <f>VLOOKUP(A1410,WorldCups!$A$2:$B$23,2,FALSE)</f>
        <v>Germany</v>
      </c>
      <c r="I1410" s="1" t="s">
        <v>57</v>
      </c>
      <c r="J1410" s="1">
        <v>2</v>
      </c>
      <c r="K1410" s="1" t="s">
        <v>51</v>
      </c>
      <c r="L1410" s="1">
        <v>0</v>
      </c>
      <c r="M1410" s="1" t="s">
        <v>63</v>
      </c>
    </row>
    <row r="1411" spans="1:13" hidden="1" x14ac:dyDescent="0.25">
      <c r="A1411" s="1">
        <v>2006</v>
      </c>
      <c r="B1411" s="1">
        <f>B1410+1</f>
        <v>706</v>
      </c>
      <c r="C1411" s="2">
        <v>38903</v>
      </c>
      <c r="D1411" s="1" t="s">
        <v>530</v>
      </c>
      <c r="E1411" s="1" t="s">
        <v>31</v>
      </c>
      <c r="F1411" s="1" t="s">
        <v>412</v>
      </c>
      <c r="G1411" s="1" t="s">
        <v>207</v>
      </c>
      <c r="H1411" s="6" t="str">
        <f>VLOOKUP(A1411,WorldCups!$A$2:$B$23,2,FALSE)</f>
        <v>Germany</v>
      </c>
      <c r="I1411" s="1" t="s">
        <v>170</v>
      </c>
      <c r="J1411" s="1">
        <v>0</v>
      </c>
      <c r="K1411" s="1" t="s">
        <v>12</v>
      </c>
      <c r="L1411" s="1">
        <v>1</v>
      </c>
      <c r="M1411" s="1" t="s">
        <v>14</v>
      </c>
    </row>
    <row r="1412" spans="1:13" hidden="1" x14ac:dyDescent="0.25">
      <c r="A1412" s="1">
        <v>2006</v>
      </c>
      <c r="B1412" s="1">
        <v>706</v>
      </c>
      <c r="C1412" s="2">
        <v>38903</v>
      </c>
      <c r="D1412" s="1" t="s">
        <v>530</v>
      </c>
      <c r="E1412" s="1" t="s">
        <v>31</v>
      </c>
      <c r="F1412" s="1" t="s">
        <v>412</v>
      </c>
      <c r="G1412" s="1" t="s">
        <v>207</v>
      </c>
      <c r="H1412" s="6" t="str">
        <f>VLOOKUP(A1412,WorldCups!$A$2:$B$23,2,FALSE)</f>
        <v>Germany</v>
      </c>
      <c r="I1412" s="1" t="s">
        <v>12</v>
      </c>
      <c r="J1412" s="1">
        <v>1</v>
      </c>
      <c r="K1412" s="1" t="s">
        <v>170</v>
      </c>
      <c r="L1412" s="1">
        <v>0</v>
      </c>
      <c r="M1412" s="1" t="s">
        <v>14</v>
      </c>
    </row>
    <row r="1413" spans="1:13" hidden="1" x14ac:dyDescent="0.25">
      <c r="A1413" s="1">
        <v>2006</v>
      </c>
      <c r="B1413" s="1">
        <f>B1412+1</f>
        <v>707</v>
      </c>
      <c r="C1413" s="2">
        <v>38906</v>
      </c>
      <c r="D1413" s="1" t="s">
        <v>530</v>
      </c>
      <c r="E1413" s="1" t="s">
        <v>411</v>
      </c>
      <c r="F1413" s="1" t="s">
        <v>433</v>
      </c>
      <c r="G1413" s="1" t="s">
        <v>210</v>
      </c>
      <c r="H1413" s="6" t="str">
        <f>VLOOKUP(A1413,WorldCups!$A$2:$B$23,2,FALSE)</f>
        <v>Germany</v>
      </c>
      <c r="I1413" s="1" t="s">
        <v>51</v>
      </c>
      <c r="J1413" s="1">
        <v>3</v>
      </c>
      <c r="K1413" s="1" t="s">
        <v>170</v>
      </c>
      <c r="L1413" s="1">
        <v>1</v>
      </c>
      <c r="M1413" s="1" t="s">
        <v>14</v>
      </c>
    </row>
    <row r="1414" spans="1:13" hidden="1" x14ac:dyDescent="0.25">
      <c r="A1414" s="1">
        <v>2006</v>
      </c>
      <c r="B1414" s="1">
        <v>707</v>
      </c>
      <c r="C1414" s="2">
        <v>38906</v>
      </c>
      <c r="D1414" s="1" t="s">
        <v>530</v>
      </c>
      <c r="E1414" s="1" t="s">
        <v>411</v>
      </c>
      <c r="F1414" s="1" t="s">
        <v>433</v>
      </c>
      <c r="G1414" s="1" t="s">
        <v>210</v>
      </c>
      <c r="H1414" s="6" t="str">
        <f>VLOOKUP(A1414,WorldCups!$A$2:$B$23,2,FALSE)</f>
        <v>Germany</v>
      </c>
      <c r="I1414" s="1" t="s">
        <v>170</v>
      </c>
      <c r="J1414" s="1">
        <v>1</v>
      </c>
      <c r="K1414" s="1" t="s">
        <v>51</v>
      </c>
      <c r="L1414" s="1">
        <v>3</v>
      </c>
      <c r="M1414" s="1" t="s">
        <v>14</v>
      </c>
    </row>
    <row r="1415" spans="1:13" hidden="1" x14ac:dyDescent="0.25">
      <c r="A1415" s="1">
        <v>2006</v>
      </c>
      <c r="B1415" s="1">
        <f>B1414+1</f>
        <v>708</v>
      </c>
      <c r="C1415" s="2">
        <v>38907</v>
      </c>
      <c r="D1415" s="1" t="s">
        <v>528</v>
      </c>
      <c r="E1415" s="1" t="s">
        <v>32</v>
      </c>
      <c r="F1415" s="1" t="s">
        <v>194</v>
      </c>
      <c r="G1415" s="1" t="s">
        <v>434</v>
      </c>
      <c r="H1415" s="6" t="str">
        <f>VLOOKUP(A1415,WorldCups!$A$2:$B$23,2,FALSE)</f>
        <v>Germany</v>
      </c>
      <c r="I1415" s="1" t="s">
        <v>57</v>
      </c>
      <c r="J1415" s="1">
        <v>1</v>
      </c>
      <c r="K1415" s="1" t="s">
        <v>12</v>
      </c>
      <c r="L1415" s="1">
        <v>1</v>
      </c>
      <c r="M1415" s="1" t="s">
        <v>439</v>
      </c>
    </row>
    <row r="1416" spans="1:13" hidden="1" x14ac:dyDescent="0.25">
      <c r="A1416" s="1">
        <v>2006</v>
      </c>
      <c r="B1416" s="1">
        <v>708</v>
      </c>
      <c r="C1416" s="2">
        <v>38907</v>
      </c>
      <c r="D1416" s="1" t="s">
        <v>528</v>
      </c>
      <c r="E1416" s="1" t="s">
        <v>32</v>
      </c>
      <c r="F1416" s="1" t="s">
        <v>194</v>
      </c>
      <c r="G1416" s="1" t="s">
        <v>434</v>
      </c>
      <c r="H1416" s="6" t="str">
        <f>VLOOKUP(A1416,WorldCups!$A$2:$B$23,2,FALSE)</f>
        <v>Germany</v>
      </c>
      <c r="I1416" s="1" t="s">
        <v>12</v>
      </c>
      <c r="J1416" s="1">
        <v>1</v>
      </c>
      <c r="K1416" s="1" t="s">
        <v>57</v>
      </c>
      <c r="L1416" s="1">
        <v>1</v>
      </c>
      <c r="M1416" s="1" t="s">
        <v>439</v>
      </c>
    </row>
    <row r="1417" spans="1:13" hidden="1" x14ac:dyDescent="0.25">
      <c r="A1417" s="1">
        <v>2010</v>
      </c>
      <c r="B1417" s="1">
        <f>B1416+1</f>
        <v>709</v>
      </c>
      <c r="C1417" s="2">
        <v>40340</v>
      </c>
      <c r="D1417" s="1" t="s">
        <v>503</v>
      </c>
      <c r="E1417" s="1" t="s">
        <v>214</v>
      </c>
      <c r="F1417" s="1" t="s">
        <v>440</v>
      </c>
      <c r="G1417" s="1" t="s">
        <v>441</v>
      </c>
      <c r="H1417" s="6" t="str">
        <f>VLOOKUP(A1417,WorldCups!$A$2:$B$23,2,FALSE)</f>
        <v>South Africa</v>
      </c>
      <c r="I1417" s="1" t="s">
        <v>350</v>
      </c>
      <c r="J1417" s="1">
        <v>1</v>
      </c>
      <c r="K1417" s="1" t="s">
        <v>13</v>
      </c>
      <c r="L1417" s="1">
        <v>1</v>
      </c>
      <c r="M1417" s="1" t="s">
        <v>14</v>
      </c>
    </row>
    <row r="1418" spans="1:13" hidden="1" x14ac:dyDescent="0.25">
      <c r="A1418" s="1">
        <v>2010</v>
      </c>
      <c r="B1418" s="1">
        <v>709</v>
      </c>
      <c r="C1418" s="2">
        <v>40340</v>
      </c>
      <c r="D1418" s="1" t="s">
        <v>503</v>
      </c>
      <c r="E1418" s="1" t="s">
        <v>214</v>
      </c>
      <c r="F1418" s="1" t="s">
        <v>440</v>
      </c>
      <c r="G1418" s="1" t="s">
        <v>441</v>
      </c>
      <c r="H1418" s="6" t="str">
        <f>VLOOKUP(A1418,WorldCups!$A$2:$B$23,2,FALSE)</f>
        <v>South Africa</v>
      </c>
      <c r="I1418" s="1" t="s">
        <v>13</v>
      </c>
      <c r="J1418" s="1">
        <v>1</v>
      </c>
      <c r="K1418" s="1" t="s">
        <v>350</v>
      </c>
      <c r="L1418" s="1">
        <v>1</v>
      </c>
      <c r="M1418" s="1" t="s">
        <v>14</v>
      </c>
    </row>
    <row r="1419" spans="1:13" hidden="1" x14ac:dyDescent="0.25">
      <c r="A1419" s="1">
        <v>2010</v>
      </c>
      <c r="B1419" s="1">
        <f>B1418+1</f>
        <v>710</v>
      </c>
      <c r="C1419" s="2">
        <v>40340</v>
      </c>
      <c r="D1419" s="1" t="s">
        <v>535</v>
      </c>
      <c r="E1419" s="1" t="s">
        <v>214</v>
      </c>
      <c r="F1419" s="1" t="s">
        <v>442</v>
      </c>
      <c r="G1419" s="1" t="s">
        <v>443</v>
      </c>
      <c r="H1419" s="6" t="str">
        <f>VLOOKUP(A1419,WorldCups!$A$2:$B$23,2,FALSE)</f>
        <v>South Africa</v>
      </c>
      <c r="I1419" s="1" t="s">
        <v>30</v>
      </c>
      <c r="J1419" s="1">
        <v>0</v>
      </c>
      <c r="K1419" s="1" t="s">
        <v>12</v>
      </c>
      <c r="L1419" s="1">
        <v>0</v>
      </c>
      <c r="M1419" s="1" t="s">
        <v>14</v>
      </c>
    </row>
    <row r="1420" spans="1:13" hidden="1" x14ac:dyDescent="0.25">
      <c r="A1420" s="1">
        <v>2010</v>
      </c>
      <c r="B1420" s="1">
        <v>710</v>
      </c>
      <c r="C1420" s="2">
        <v>40340</v>
      </c>
      <c r="D1420" s="1" t="s">
        <v>535</v>
      </c>
      <c r="E1420" s="1" t="s">
        <v>214</v>
      </c>
      <c r="F1420" s="1" t="s">
        <v>442</v>
      </c>
      <c r="G1420" s="1" t="s">
        <v>443</v>
      </c>
      <c r="H1420" s="6" t="str">
        <f>VLOOKUP(A1420,WorldCups!$A$2:$B$23,2,FALSE)</f>
        <v>South Africa</v>
      </c>
      <c r="I1420" s="1" t="s">
        <v>12</v>
      </c>
      <c r="J1420" s="1">
        <v>0</v>
      </c>
      <c r="K1420" s="1" t="s">
        <v>30</v>
      </c>
      <c r="L1420" s="1">
        <v>0</v>
      </c>
      <c r="M1420" s="1" t="s">
        <v>14</v>
      </c>
    </row>
    <row r="1421" spans="1:13" hidden="1" x14ac:dyDescent="0.25">
      <c r="A1421" s="1">
        <v>2010</v>
      </c>
      <c r="B1421" s="1">
        <f>B1420+1</f>
        <v>711</v>
      </c>
      <c r="C1421" s="2">
        <v>40341</v>
      </c>
      <c r="D1421" s="1" t="s">
        <v>534</v>
      </c>
      <c r="E1421" s="1" t="s">
        <v>213</v>
      </c>
      <c r="F1421" s="1" t="s">
        <v>444</v>
      </c>
      <c r="G1421" s="1" t="s">
        <v>445</v>
      </c>
      <c r="H1421" s="6" t="str">
        <f>VLOOKUP(A1421,WorldCups!$A$2:$B$23,2,FALSE)</f>
        <v>South Africa</v>
      </c>
      <c r="I1421" s="1" t="s">
        <v>116</v>
      </c>
      <c r="J1421" s="1">
        <v>2</v>
      </c>
      <c r="K1421" s="1" t="s">
        <v>339</v>
      </c>
      <c r="L1421" s="1">
        <v>0</v>
      </c>
      <c r="M1421" s="1" t="s">
        <v>14</v>
      </c>
    </row>
    <row r="1422" spans="1:13" hidden="1" x14ac:dyDescent="0.25">
      <c r="A1422" s="1">
        <v>2010</v>
      </c>
      <c r="B1422" s="1">
        <v>711</v>
      </c>
      <c r="C1422" s="2">
        <v>40341</v>
      </c>
      <c r="D1422" s="1" t="s">
        <v>534</v>
      </c>
      <c r="E1422" s="1" t="s">
        <v>213</v>
      </c>
      <c r="F1422" s="1" t="s">
        <v>444</v>
      </c>
      <c r="G1422" s="1" t="s">
        <v>445</v>
      </c>
      <c r="H1422" s="6" t="str">
        <f>VLOOKUP(A1422,WorldCups!$A$2:$B$23,2,FALSE)</f>
        <v>South Africa</v>
      </c>
      <c r="I1422" s="1" t="s">
        <v>339</v>
      </c>
      <c r="J1422" s="1">
        <v>0</v>
      </c>
      <c r="K1422" s="1" t="s">
        <v>116</v>
      </c>
      <c r="L1422" s="1">
        <v>2</v>
      </c>
      <c r="M1422" s="1" t="s">
        <v>14</v>
      </c>
    </row>
    <row r="1423" spans="1:13" hidden="1" x14ac:dyDescent="0.25">
      <c r="A1423" s="1">
        <v>2010</v>
      </c>
      <c r="B1423" s="1">
        <f>B1422+1</f>
        <v>712</v>
      </c>
      <c r="C1423" s="2">
        <v>40341</v>
      </c>
      <c r="D1423" s="1" t="s">
        <v>503</v>
      </c>
      <c r="E1423" s="1" t="s">
        <v>213</v>
      </c>
      <c r="F1423" s="1" t="s">
        <v>446</v>
      </c>
      <c r="G1423" s="1" t="s">
        <v>441</v>
      </c>
      <c r="H1423" s="6" t="str">
        <f>VLOOKUP(A1423,WorldCups!$A$2:$B$23,2,FALSE)</f>
        <v>South Africa</v>
      </c>
      <c r="I1423" s="1" t="s">
        <v>25</v>
      </c>
      <c r="J1423" s="1">
        <v>1</v>
      </c>
      <c r="K1423" s="1" t="s">
        <v>340</v>
      </c>
      <c r="L1423" s="1">
        <v>0</v>
      </c>
      <c r="M1423" s="1" t="s">
        <v>14</v>
      </c>
    </row>
    <row r="1424" spans="1:13" hidden="1" x14ac:dyDescent="0.25">
      <c r="A1424" s="1">
        <v>2010</v>
      </c>
      <c r="B1424" s="1">
        <v>712</v>
      </c>
      <c r="C1424" s="2">
        <v>40341</v>
      </c>
      <c r="D1424" s="1" t="s">
        <v>503</v>
      </c>
      <c r="E1424" s="1" t="s">
        <v>213</v>
      </c>
      <c r="F1424" s="1" t="s">
        <v>446</v>
      </c>
      <c r="G1424" s="1" t="s">
        <v>441</v>
      </c>
      <c r="H1424" s="6" t="str">
        <f>VLOOKUP(A1424,WorldCups!$A$2:$B$23,2,FALSE)</f>
        <v>South Africa</v>
      </c>
      <c r="I1424" s="1" t="s">
        <v>340</v>
      </c>
      <c r="J1424" s="1">
        <v>0</v>
      </c>
      <c r="K1424" s="1" t="s">
        <v>25</v>
      </c>
      <c r="L1424" s="1">
        <v>1</v>
      </c>
      <c r="M1424" s="1" t="s">
        <v>14</v>
      </c>
    </row>
    <row r="1425" spans="1:13" hidden="1" x14ac:dyDescent="0.25">
      <c r="A1425" s="1">
        <v>2010</v>
      </c>
      <c r="B1425" s="1">
        <f>B1424+1</f>
        <v>713</v>
      </c>
      <c r="C1425" s="2">
        <v>40341</v>
      </c>
      <c r="D1425" s="1" t="s">
        <v>535</v>
      </c>
      <c r="E1425" s="1" t="s">
        <v>268</v>
      </c>
      <c r="F1425" s="1" t="s">
        <v>447</v>
      </c>
      <c r="G1425" s="1" t="s">
        <v>448</v>
      </c>
      <c r="H1425" s="6" t="str">
        <f>VLOOKUP(A1425,WorldCups!$A$2:$B$23,2,FALSE)</f>
        <v>South Africa</v>
      </c>
      <c r="I1425" s="1" t="s">
        <v>93</v>
      </c>
      <c r="J1425" s="1">
        <v>1</v>
      </c>
      <c r="K1425" s="1" t="s">
        <v>17</v>
      </c>
      <c r="L1425" s="1">
        <v>1</v>
      </c>
      <c r="M1425" s="1" t="s">
        <v>14</v>
      </c>
    </row>
    <row r="1426" spans="1:13" hidden="1" x14ac:dyDescent="0.25">
      <c r="A1426" s="1">
        <v>2010</v>
      </c>
      <c r="B1426" s="1">
        <v>713</v>
      </c>
      <c r="C1426" s="2">
        <v>40341</v>
      </c>
      <c r="D1426" s="1" t="s">
        <v>535</v>
      </c>
      <c r="E1426" s="1" t="s">
        <v>268</v>
      </c>
      <c r="F1426" s="1" t="s">
        <v>447</v>
      </c>
      <c r="G1426" s="1" t="s">
        <v>448</v>
      </c>
      <c r="H1426" s="6" t="str">
        <f>VLOOKUP(A1426,WorldCups!$A$2:$B$23,2,FALSE)</f>
        <v>South Africa</v>
      </c>
      <c r="I1426" s="1" t="s">
        <v>17</v>
      </c>
      <c r="J1426" s="1">
        <v>1</v>
      </c>
      <c r="K1426" s="1" t="s">
        <v>93</v>
      </c>
      <c r="L1426" s="1">
        <v>1</v>
      </c>
      <c r="M1426" s="1" t="s">
        <v>14</v>
      </c>
    </row>
    <row r="1427" spans="1:13" hidden="1" x14ac:dyDescent="0.25">
      <c r="A1427" s="1">
        <v>2010</v>
      </c>
      <c r="B1427" s="1">
        <f>B1426+1</f>
        <v>714</v>
      </c>
      <c r="C1427" s="2">
        <v>40342</v>
      </c>
      <c r="D1427" s="1" t="s">
        <v>534</v>
      </c>
      <c r="E1427" s="1" t="s">
        <v>268</v>
      </c>
      <c r="F1427" s="1" t="s">
        <v>449</v>
      </c>
      <c r="G1427" s="1" t="s">
        <v>450</v>
      </c>
      <c r="H1427" s="6" t="str">
        <f>VLOOKUP(A1427,WorldCups!$A$2:$B$23,2,FALSE)</f>
        <v>South Africa</v>
      </c>
      <c r="I1427" s="1" t="s">
        <v>246</v>
      </c>
      <c r="J1427" s="1">
        <v>0</v>
      </c>
      <c r="K1427" s="1" t="s">
        <v>381</v>
      </c>
      <c r="L1427" s="1">
        <v>1</v>
      </c>
      <c r="M1427" s="1" t="s">
        <v>14</v>
      </c>
    </row>
    <row r="1428" spans="1:13" hidden="1" x14ac:dyDescent="0.25">
      <c r="A1428" s="1">
        <v>2010</v>
      </c>
      <c r="B1428" s="1">
        <v>714</v>
      </c>
      <c r="C1428" s="2">
        <v>40342</v>
      </c>
      <c r="D1428" s="1" t="s">
        <v>534</v>
      </c>
      <c r="E1428" s="1" t="s">
        <v>268</v>
      </c>
      <c r="F1428" s="1" t="s">
        <v>449</v>
      </c>
      <c r="G1428" s="1" t="s">
        <v>450</v>
      </c>
      <c r="H1428" s="6" t="str">
        <f>VLOOKUP(A1428,WorldCups!$A$2:$B$23,2,FALSE)</f>
        <v>South Africa</v>
      </c>
      <c r="I1428" s="1" t="s">
        <v>381</v>
      </c>
      <c r="J1428" s="1">
        <v>1</v>
      </c>
      <c r="K1428" s="1" t="s">
        <v>246</v>
      </c>
      <c r="L1428" s="1">
        <v>0</v>
      </c>
      <c r="M1428" s="1" t="s">
        <v>14</v>
      </c>
    </row>
    <row r="1429" spans="1:13" hidden="1" x14ac:dyDescent="0.25">
      <c r="A1429" s="1">
        <v>2010</v>
      </c>
      <c r="B1429" s="1">
        <f>B1428+1</f>
        <v>715</v>
      </c>
      <c r="C1429" s="2">
        <v>40342</v>
      </c>
      <c r="D1429" s="1" t="s">
        <v>503</v>
      </c>
      <c r="E1429" s="1" t="s">
        <v>270</v>
      </c>
      <c r="F1429" s="1" t="s">
        <v>451</v>
      </c>
      <c r="G1429" s="1" t="s">
        <v>452</v>
      </c>
      <c r="H1429" s="6" t="str">
        <f>VLOOKUP(A1429,WorldCups!$A$2:$B$23,2,FALSE)</f>
        <v>South Africa</v>
      </c>
      <c r="I1429" s="1" t="s">
        <v>453</v>
      </c>
      <c r="J1429" s="1">
        <v>0</v>
      </c>
      <c r="K1429" s="1" t="s">
        <v>431</v>
      </c>
      <c r="L1429" s="1">
        <v>1</v>
      </c>
      <c r="M1429" s="1" t="s">
        <v>14</v>
      </c>
    </row>
    <row r="1430" spans="1:13" hidden="1" x14ac:dyDescent="0.25">
      <c r="A1430" s="1">
        <v>2010</v>
      </c>
      <c r="B1430" s="1">
        <v>715</v>
      </c>
      <c r="C1430" s="2">
        <v>40342</v>
      </c>
      <c r="D1430" s="1" t="s">
        <v>503</v>
      </c>
      <c r="E1430" s="1" t="s">
        <v>270</v>
      </c>
      <c r="F1430" s="1" t="s">
        <v>451</v>
      </c>
      <c r="G1430" s="1" t="s">
        <v>452</v>
      </c>
      <c r="H1430" s="6" t="str">
        <f>VLOOKUP(A1430,WorldCups!$A$2:$B$23,2,FALSE)</f>
        <v>South Africa</v>
      </c>
      <c r="I1430" s="1" t="s">
        <v>431</v>
      </c>
      <c r="J1430" s="1">
        <v>1</v>
      </c>
      <c r="K1430" s="1" t="s">
        <v>453</v>
      </c>
      <c r="L1430" s="1">
        <v>0</v>
      </c>
      <c r="M1430" s="1" t="s">
        <v>14</v>
      </c>
    </row>
    <row r="1431" spans="1:13" hidden="1" x14ac:dyDescent="0.25">
      <c r="A1431" s="1">
        <v>2010</v>
      </c>
      <c r="B1431" s="1">
        <f>B1430+1</f>
        <v>716</v>
      </c>
      <c r="C1431" s="2">
        <v>40342</v>
      </c>
      <c r="D1431" s="1" t="s">
        <v>535</v>
      </c>
      <c r="E1431" s="1" t="s">
        <v>270</v>
      </c>
      <c r="F1431" s="1" t="s">
        <v>454</v>
      </c>
      <c r="G1431" s="1" t="s">
        <v>455</v>
      </c>
      <c r="H1431" s="6" t="str">
        <f>VLOOKUP(A1431,WorldCups!$A$2:$B$23,2,FALSE)</f>
        <v>South Africa</v>
      </c>
      <c r="I1431" s="1" t="s">
        <v>51</v>
      </c>
      <c r="J1431" s="1">
        <v>4</v>
      </c>
      <c r="K1431" s="1" t="s">
        <v>199</v>
      </c>
      <c r="L1431" s="1">
        <v>0</v>
      </c>
      <c r="M1431" s="1" t="s">
        <v>14</v>
      </c>
    </row>
    <row r="1432" spans="1:13" hidden="1" x14ac:dyDescent="0.25">
      <c r="A1432" s="1">
        <v>2010</v>
      </c>
      <c r="B1432" s="1">
        <v>716</v>
      </c>
      <c r="C1432" s="2">
        <v>40342</v>
      </c>
      <c r="D1432" s="1" t="s">
        <v>535</v>
      </c>
      <c r="E1432" s="1" t="s">
        <v>270</v>
      </c>
      <c r="F1432" s="1" t="s">
        <v>454</v>
      </c>
      <c r="G1432" s="1" t="s">
        <v>455</v>
      </c>
      <c r="H1432" s="6" t="str">
        <f>VLOOKUP(A1432,WorldCups!$A$2:$B$23,2,FALSE)</f>
        <v>South Africa</v>
      </c>
      <c r="I1432" s="1" t="s">
        <v>199</v>
      </c>
      <c r="J1432" s="1">
        <v>0</v>
      </c>
      <c r="K1432" s="1" t="s">
        <v>51</v>
      </c>
      <c r="L1432" s="1">
        <v>4</v>
      </c>
      <c r="M1432" s="1" t="s">
        <v>14</v>
      </c>
    </row>
    <row r="1433" spans="1:13" hidden="1" x14ac:dyDescent="0.25">
      <c r="A1433" s="1">
        <v>2010</v>
      </c>
      <c r="B1433" s="1">
        <f>B1432+1</f>
        <v>717</v>
      </c>
      <c r="C1433" s="2">
        <v>40343</v>
      </c>
      <c r="D1433" s="1" t="s">
        <v>534</v>
      </c>
      <c r="E1433" s="1" t="s">
        <v>281</v>
      </c>
      <c r="F1433" s="1" t="s">
        <v>440</v>
      </c>
      <c r="G1433" s="1" t="s">
        <v>441</v>
      </c>
      <c r="H1433" s="6" t="str">
        <f>VLOOKUP(A1433,WorldCups!$A$2:$B$23,2,FALSE)</f>
        <v>South Africa</v>
      </c>
      <c r="I1433" s="1" t="s">
        <v>45</v>
      </c>
      <c r="J1433" s="1">
        <v>2</v>
      </c>
      <c r="K1433" s="1" t="s">
        <v>284</v>
      </c>
      <c r="L1433" s="1">
        <v>0</v>
      </c>
      <c r="M1433" s="1" t="s">
        <v>14</v>
      </c>
    </row>
    <row r="1434" spans="1:13" hidden="1" x14ac:dyDescent="0.25">
      <c r="A1434" s="1">
        <v>2010</v>
      </c>
      <c r="B1434" s="1">
        <v>717</v>
      </c>
      <c r="C1434" s="2">
        <v>40343</v>
      </c>
      <c r="D1434" s="1" t="s">
        <v>534</v>
      </c>
      <c r="E1434" s="1" t="s">
        <v>281</v>
      </c>
      <c r="F1434" s="1" t="s">
        <v>440</v>
      </c>
      <c r="G1434" s="1" t="s">
        <v>441</v>
      </c>
      <c r="H1434" s="6" t="str">
        <f>VLOOKUP(A1434,WorldCups!$A$2:$B$23,2,FALSE)</f>
        <v>South Africa</v>
      </c>
      <c r="I1434" s="1" t="s">
        <v>284</v>
      </c>
      <c r="J1434" s="1">
        <v>0</v>
      </c>
      <c r="K1434" s="1" t="s">
        <v>45</v>
      </c>
      <c r="L1434" s="1">
        <v>2</v>
      </c>
      <c r="M1434" s="1" t="s">
        <v>14</v>
      </c>
    </row>
    <row r="1435" spans="1:13" hidden="1" x14ac:dyDescent="0.25">
      <c r="A1435" s="1">
        <v>2010</v>
      </c>
      <c r="B1435" s="1">
        <f>B1434+1</f>
        <v>718</v>
      </c>
      <c r="C1435" s="2">
        <v>40343</v>
      </c>
      <c r="D1435" s="1" t="s">
        <v>503</v>
      </c>
      <c r="E1435" s="1" t="s">
        <v>281</v>
      </c>
      <c r="F1435" s="1" t="s">
        <v>456</v>
      </c>
      <c r="G1435" s="1" t="s">
        <v>457</v>
      </c>
      <c r="H1435" s="6" t="str">
        <f>VLOOKUP(A1435,WorldCups!$A$2:$B$23,2,FALSE)</f>
        <v>South Africa</v>
      </c>
      <c r="I1435" s="1" t="s">
        <v>356</v>
      </c>
      <c r="J1435" s="1">
        <v>1</v>
      </c>
      <c r="K1435" s="1" t="s">
        <v>238</v>
      </c>
      <c r="L1435" s="1">
        <v>0</v>
      </c>
      <c r="M1435" s="1" t="s">
        <v>14</v>
      </c>
    </row>
    <row r="1436" spans="1:13" hidden="1" x14ac:dyDescent="0.25">
      <c r="A1436" s="1">
        <v>2010</v>
      </c>
      <c r="B1436" s="1">
        <v>718</v>
      </c>
      <c r="C1436" s="2">
        <v>40343</v>
      </c>
      <c r="D1436" s="1" t="s">
        <v>503</v>
      </c>
      <c r="E1436" s="1" t="s">
        <v>281</v>
      </c>
      <c r="F1436" s="1" t="s">
        <v>456</v>
      </c>
      <c r="G1436" s="1" t="s">
        <v>457</v>
      </c>
      <c r="H1436" s="6" t="str">
        <f>VLOOKUP(A1436,WorldCups!$A$2:$B$23,2,FALSE)</f>
        <v>South Africa</v>
      </c>
      <c r="I1436" s="1" t="s">
        <v>238</v>
      </c>
      <c r="J1436" s="1">
        <v>0</v>
      </c>
      <c r="K1436" s="1" t="s">
        <v>356</v>
      </c>
      <c r="L1436" s="1">
        <v>1</v>
      </c>
      <c r="M1436" s="1" t="s">
        <v>14</v>
      </c>
    </row>
    <row r="1437" spans="1:13" hidden="1" x14ac:dyDescent="0.25">
      <c r="A1437" s="1">
        <v>2010</v>
      </c>
      <c r="B1437" s="1">
        <f>B1436+1</f>
        <v>719</v>
      </c>
      <c r="C1437" s="2">
        <v>40343</v>
      </c>
      <c r="D1437" s="1" t="s">
        <v>535</v>
      </c>
      <c r="E1437" s="1" t="s">
        <v>274</v>
      </c>
      <c r="F1437" s="1" t="s">
        <v>442</v>
      </c>
      <c r="G1437" s="1" t="s">
        <v>443</v>
      </c>
      <c r="H1437" s="6" t="str">
        <f>VLOOKUP(A1437,WorldCups!$A$2:$B$23,2,FALSE)</f>
        <v>South Africa</v>
      </c>
      <c r="I1437" s="1" t="s">
        <v>57</v>
      </c>
      <c r="J1437" s="1">
        <v>1</v>
      </c>
      <c r="K1437" s="1" t="s">
        <v>28</v>
      </c>
      <c r="L1437" s="1">
        <v>1</v>
      </c>
      <c r="M1437" s="1" t="s">
        <v>14</v>
      </c>
    </row>
    <row r="1438" spans="1:13" hidden="1" x14ac:dyDescent="0.25">
      <c r="A1438" s="1">
        <v>2010</v>
      </c>
      <c r="B1438" s="1">
        <v>719</v>
      </c>
      <c r="C1438" s="2">
        <v>40343</v>
      </c>
      <c r="D1438" s="1" t="s">
        <v>535</v>
      </c>
      <c r="E1438" s="1" t="s">
        <v>274</v>
      </c>
      <c r="F1438" s="1" t="s">
        <v>442</v>
      </c>
      <c r="G1438" s="1" t="s">
        <v>443</v>
      </c>
      <c r="H1438" s="6" t="str">
        <f>VLOOKUP(A1438,WorldCups!$A$2:$B$23,2,FALSE)</f>
        <v>South Africa</v>
      </c>
      <c r="I1438" s="1" t="s">
        <v>28</v>
      </c>
      <c r="J1438" s="1">
        <v>1</v>
      </c>
      <c r="K1438" s="1" t="s">
        <v>57</v>
      </c>
      <c r="L1438" s="1">
        <v>1</v>
      </c>
      <c r="M1438" s="1" t="s">
        <v>14</v>
      </c>
    </row>
    <row r="1439" spans="1:13" hidden="1" x14ac:dyDescent="0.25">
      <c r="A1439" s="1">
        <v>2010</v>
      </c>
      <c r="B1439" s="1">
        <f>B1438+1</f>
        <v>720</v>
      </c>
      <c r="C1439" s="2">
        <v>40344</v>
      </c>
      <c r="D1439" s="1" t="s">
        <v>534</v>
      </c>
      <c r="E1439" s="1" t="s">
        <v>274</v>
      </c>
      <c r="F1439" s="1" t="s">
        <v>447</v>
      </c>
      <c r="G1439" s="1" t="s">
        <v>448</v>
      </c>
      <c r="H1439" s="6" t="str">
        <f>VLOOKUP(A1439,WorldCups!$A$2:$B$23,2,FALSE)</f>
        <v>South Africa</v>
      </c>
      <c r="I1439" s="1" t="s">
        <v>243</v>
      </c>
      <c r="J1439" s="1">
        <v>1</v>
      </c>
      <c r="K1439" s="1" t="s">
        <v>458</v>
      </c>
      <c r="L1439" s="1">
        <v>1</v>
      </c>
      <c r="M1439" s="1" t="s">
        <v>14</v>
      </c>
    </row>
    <row r="1440" spans="1:13" hidden="1" x14ac:dyDescent="0.25">
      <c r="A1440" s="1">
        <v>2010</v>
      </c>
      <c r="B1440" s="1">
        <v>720</v>
      </c>
      <c r="C1440" s="2">
        <v>40344</v>
      </c>
      <c r="D1440" s="1" t="s">
        <v>534</v>
      </c>
      <c r="E1440" s="1" t="s">
        <v>274</v>
      </c>
      <c r="F1440" s="1" t="s">
        <v>447</v>
      </c>
      <c r="G1440" s="1" t="s">
        <v>448</v>
      </c>
      <c r="H1440" s="6" t="str">
        <f>VLOOKUP(A1440,WorldCups!$A$2:$B$23,2,FALSE)</f>
        <v>South Africa</v>
      </c>
      <c r="I1440" s="1" t="s">
        <v>458</v>
      </c>
      <c r="J1440" s="1">
        <v>1</v>
      </c>
      <c r="K1440" s="1" t="s">
        <v>243</v>
      </c>
      <c r="L1440" s="1">
        <v>1</v>
      </c>
      <c r="M1440" s="1" t="s">
        <v>14</v>
      </c>
    </row>
    <row r="1441" spans="1:13" hidden="1" x14ac:dyDescent="0.25">
      <c r="A1441" s="1">
        <v>2010</v>
      </c>
      <c r="B1441" s="1">
        <f>B1440+1</f>
        <v>721</v>
      </c>
      <c r="C1441" s="2">
        <v>40344</v>
      </c>
      <c r="D1441" s="1" t="s">
        <v>503</v>
      </c>
      <c r="E1441" s="1" t="s">
        <v>361</v>
      </c>
      <c r="F1441" s="1" t="s">
        <v>444</v>
      </c>
      <c r="G1441" s="1" t="s">
        <v>445</v>
      </c>
      <c r="H1441" s="6" t="str">
        <f>VLOOKUP(A1441,WorldCups!$A$2:$B$23,2,FALSE)</f>
        <v>South Africa</v>
      </c>
      <c r="I1441" s="1" t="s">
        <v>418</v>
      </c>
      <c r="J1441" s="1">
        <v>0</v>
      </c>
      <c r="K1441" s="1" t="s">
        <v>170</v>
      </c>
      <c r="L1441" s="1">
        <v>0</v>
      </c>
      <c r="M1441" s="1" t="s">
        <v>14</v>
      </c>
    </row>
    <row r="1442" spans="1:13" hidden="1" x14ac:dyDescent="0.25">
      <c r="A1442" s="1">
        <v>2010</v>
      </c>
      <c r="B1442" s="1">
        <v>721</v>
      </c>
      <c r="C1442" s="2">
        <v>40344</v>
      </c>
      <c r="D1442" s="1" t="s">
        <v>503</v>
      </c>
      <c r="E1442" s="1" t="s">
        <v>361</v>
      </c>
      <c r="F1442" s="1" t="s">
        <v>444</v>
      </c>
      <c r="G1442" s="1" t="s">
        <v>445</v>
      </c>
      <c r="H1442" s="6" t="str">
        <f>VLOOKUP(A1442,WorldCups!$A$2:$B$23,2,FALSE)</f>
        <v>South Africa</v>
      </c>
      <c r="I1442" s="1" t="s">
        <v>170</v>
      </c>
      <c r="J1442" s="1">
        <v>0</v>
      </c>
      <c r="K1442" s="1" t="s">
        <v>418</v>
      </c>
      <c r="L1442" s="1">
        <v>0</v>
      </c>
      <c r="M1442" s="1" t="s">
        <v>14</v>
      </c>
    </row>
    <row r="1443" spans="1:13" hidden="1" x14ac:dyDescent="0.25">
      <c r="A1443" s="1">
        <v>2010</v>
      </c>
      <c r="B1443" s="1">
        <f>B1442+1</f>
        <v>722</v>
      </c>
      <c r="C1443" s="2">
        <v>40344</v>
      </c>
      <c r="D1443" s="1" t="s">
        <v>535</v>
      </c>
      <c r="E1443" s="1" t="s">
        <v>361</v>
      </c>
      <c r="F1443" s="1" t="s">
        <v>446</v>
      </c>
      <c r="G1443" s="1" t="s">
        <v>441</v>
      </c>
      <c r="H1443" s="6" t="str">
        <f>VLOOKUP(A1443,WorldCups!$A$2:$B$23,2,FALSE)</f>
        <v>South Africa</v>
      </c>
      <c r="I1443" s="1" t="s">
        <v>21</v>
      </c>
      <c r="J1443" s="1">
        <v>2</v>
      </c>
      <c r="K1443" s="1" t="s">
        <v>167</v>
      </c>
      <c r="L1443" s="1">
        <v>1</v>
      </c>
      <c r="M1443" s="1" t="s">
        <v>14</v>
      </c>
    </row>
    <row r="1444" spans="1:13" hidden="1" x14ac:dyDescent="0.25">
      <c r="A1444" s="1">
        <v>2010</v>
      </c>
      <c r="B1444" s="1">
        <v>722</v>
      </c>
      <c r="C1444" s="2">
        <v>40344</v>
      </c>
      <c r="D1444" s="1" t="s">
        <v>535</v>
      </c>
      <c r="E1444" s="1" t="s">
        <v>361</v>
      </c>
      <c r="F1444" s="1" t="s">
        <v>446</v>
      </c>
      <c r="G1444" s="1" t="s">
        <v>441</v>
      </c>
      <c r="H1444" s="6" t="str">
        <f>VLOOKUP(A1444,WorldCups!$A$2:$B$23,2,FALSE)</f>
        <v>South Africa</v>
      </c>
      <c r="I1444" s="1" t="s">
        <v>167</v>
      </c>
      <c r="J1444" s="1">
        <v>1</v>
      </c>
      <c r="K1444" s="1" t="s">
        <v>21</v>
      </c>
      <c r="L1444" s="1">
        <v>2</v>
      </c>
      <c r="M1444" s="1" t="s">
        <v>14</v>
      </c>
    </row>
    <row r="1445" spans="1:13" hidden="1" x14ac:dyDescent="0.25">
      <c r="A1445" s="1">
        <v>2010</v>
      </c>
      <c r="B1445" s="1">
        <f>B1444+1</f>
        <v>723</v>
      </c>
      <c r="C1445" s="2">
        <v>40345</v>
      </c>
      <c r="D1445" s="1" t="s">
        <v>534</v>
      </c>
      <c r="E1445" s="1" t="s">
        <v>355</v>
      </c>
      <c r="F1445" s="1" t="s">
        <v>459</v>
      </c>
      <c r="G1445" s="1" t="s">
        <v>460</v>
      </c>
      <c r="H1445" s="6" t="str">
        <f>VLOOKUP(A1445,WorldCups!$A$2:$B$23,2,FALSE)</f>
        <v>South Africa</v>
      </c>
      <c r="I1445" s="1" t="s">
        <v>252</v>
      </c>
      <c r="J1445" s="1">
        <v>0</v>
      </c>
      <c r="K1445" s="1" t="s">
        <v>26</v>
      </c>
      <c r="L1445" s="1">
        <v>1</v>
      </c>
      <c r="M1445" s="1" t="s">
        <v>14</v>
      </c>
    </row>
    <row r="1446" spans="1:13" hidden="1" x14ac:dyDescent="0.25">
      <c r="A1446" s="1">
        <v>2010</v>
      </c>
      <c r="B1446" s="1">
        <v>723</v>
      </c>
      <c r="C1446" s="2">
        <v>40345</v>
      </c>
      <c r="D1446" s="1" t="s">
        <v>534</v>
      </c>
      <c r="E1446" s="1" t="s">
        <v>355</v>
      </c>
      <c r="F1446" s="1" t="s">
        <v>459</v>
      </c>
      <c r="G1446" s="1" t="s">
        <v>460</v>
      </c>
      <c r="H1446" s="6" t="str">
        <f>VLOOKUP(A1446,WorldCups!$A$2:$B$23,2,FALSE)</f>
        <v>South Africa</v>
      </c>
      <c r="I1446" s="1" t="s">
        <v>26</v>
      </c>
      <c r="J1446" s="1">
        <v>1</v>
      </c>
      <c r="K1446" s="1" t="s">
        <v>252</v>
      </c>
      <c r="L1446" s="1">
        <v>0</v>
      </c>
      <c r="M1446" s="1" t="s">
        <v>14</v>
      </c>
    </row>
    <row r="1447" spans="1:13" hidden="1" x14ac:dyDescent="0.25">
      <c r="A1447" s="1">
        <v>2010</v>
      </c>
      <c r="B1447" s="1">
        <f>B1446+1</f>
        <v>724</v>
      </c>
      <c r="C1447" s="2">
        <v>40345</v>
      </c>
      <c r="D1447" s="1" t="s">
        <v>503</v>
      </c>
      <c r="E1447" s="1" t="s">
        <v>355</v>
      </c>
      <c r="F1447" s="1" t="s">
        <v>454</v>
      </c>
      <c r="G1447" s="1" t="s">
        <v>455</v>
      </c>
      <c r="H1447" s="6" t="str">
        <f>VLOOKUP(A1447,WorldCups!$A$2:$B$23,2,FALSE)</f>
        <v>South Africa</v>
      </c>
      <c r="I1447" s="1" t="s">
        <v>54</v>
      </c>
      <c r="J1447" s="1">
        <v>0</v>
      </c>
      <c r="K1447" s="1" t="s">
        <v>44</v>
      </c>
      <c r="L1447" s="1">
        <v>1</v>
      </c>
      <c r="M1447" s="1" t="s">
        <v>14</v>
      </c>
    </row>
    <row r="1448" spans="1:13" hidden="1" x14ac:dyDescent="0.25">
      <c r="A1448" s="1">
        <v>2010</v>
      </c>
      <c r="B1448" s="1">
        <v>724</v>
      </c>
      <c r="C1448" s="2">
        <v>40345</v>
      </c>
      <c r="D1448" s="1" t="s">
        <v>503</v>
      </c>
      <c r="E1448" s="1" t="s">
        <v>355</v>
      </c>
      <c r="F1448" s="1" t="s">
        <v>454</v>
      </c>
      <c r="G1448" s="1" t="s">
        <v>455</v>
      </c>
      <c r="H1448" s="6" t="str">
        <f>VLOOKUP(A1448,WorldCups!$A$2:$B$23,2,FALSE)</f>
        <v>South Africa</v>
      </c>
      <c r="I1448" s="1" t="s">
        <v>44</v>
      </c>
      <c r="J1448" s="1">
        <v>1</v>
      </c>
      <c r="K1448" s="1" t="s">
        <v>54</v>
      </c>
      <c r="L1448" s="1">
        <v>0</v>
      </c>
      <c r="M1448" s="1" t="s">
        <v>14</v>
      </c>
    </row>
    <row r="1449" spans="1:13" hidden="1" x14ac:dyDescent="0.25">
      <c r="A1449" s="1">
        <v>2010</v>
      </c>
      <c r="B1449" s="1">
        <f>B1448+1</f>
        <v>725</v>
      </c>
      <c r="C1449" s="2">
        <v>40345</v>
      </c>
      <c r="D1449" s="1" t="s">
        <v>535</v>
      </c>
      <c r="E1449" s="1" t="s">
        <v>214</v>
      </c>
      <c r="F1449" s="1" t="s">
        <v>451</v>
      </c>
      <c r="G1449" s="1" t="s">
        <v>452</v>
      </c>
      <c r="H1449" s="6" t="str">
        <f>VLOOKUP(A1449,WorldCups!$A$2:$B$23,2,FALSE)</f>
        <v>South Africa</v>
      </c>
      <c r="I1449" s="1" t="s">
        <v>350</v>
      </c>
      <c r="J1449" s="1">
        <v>0</v>
      </c>
      <c r="K1449" s="1" t="s">
        <v>30</v>
      </c>
      <c r="L1449" s="1">
        <v>3</v>
      </c>
      <c r="M1449" s="1" t="s">
        <v>14</v>
      </c>
    </row>
    <row r="1450" spans="1:13" hidden="1" x14ac:dyDescent="0.25">
      <c r="A1450" s="1">
        <v>2010</v>
      </c>
      <c r="B1450" s="1">
        <v>725</v>
      </c>
      <c r="C1450" s="2">
        <v>40345</v>
      </c>
      <c r="D1450" s="1" t="s">
        <v>535</v>
      </c>
      <c r="E1450" s="1" t="s">
        <v>214</v>
      </c>
      <c r="F1450" s="1" t="s">
        <v>451</v>
      </c>
      <c r="G1450" s="1" t="s">
        <v>452</v>
      </c>
      <c r="H1450" s="6" t="str">
        <f>VLOOKUP(A1450,WorldCups!$A$2:$B$23,2,FALSE)</f>
        <v>South Africa</v>
      </c>
      <c r="I1450" s="1" t="s">
        <v>30</v>
      </c>
      <c r="J1450" s="1">
        <v>3</v>
      </c>
      <c r="K1450" s="1" t="s">
        <v>350</v>
      </c>
      <c r="L1450" s="1">
        <v>0</v>
      </c>
      <c r="M1450" s="1" t="s">
        <v>14</v>
      </c>
    </row>
    <row r="1451" spans="1:13" hidden="1" x14ac:dyDescent="0.25">
      <c r="A1451" s="1">
        <v>2010</v>
      </c>
      <c r="B1451" s="1">
        <f>B1450+1</f>
        <v>726</v>
      </c>
      <c r="C1451" s="2">
        <v>40346</v>
      </c>
      <c r="D1451" s="1" t="s">
        <v>534</v>
      </c>
      <c r="E1451" s="1" t="s">
        <v>213</v>
      </c>
      <c r="F1451" s="1" t="s">
        <v>440</v>
      </c>
      <c r="G1451" s="1" t="s">
        <v>441</v>
      </c>
      <c r="H1451" s="6" t="str">
        <f>VLOOKUP(A1451,WorldCups!$A$2:$B$23,2,FALSE)</f>
        <v>South Africa</v>
      </c>
      <c r="I1451" s="1" t="s">
        <v>25</v>
      </c>
      <c r="J1451" s="1">
        <v>4</v>
      </c>
      <c r="K1451" s="1" t="s">
        <v>116</v>
      </c>
      <c r="L1451" s="1">
        <v>1</v>
      </c>
      <c r="M1451" s="1" t="s">
        <v>14</v>
      </c>
    </row>
    <row r="1452" spans="1:13" hidden="1" x14ac:dyDescent="0.25">
      <c r="A1452" s="1">
        <v>2010</v>
      </c>
      <c r="B1452" s="1">
        <v>726</v>
      </c>
      <c r="C1452" s="2">
        <v>40346</v>
      </c>
      <c r="D1452" s="1" t="s">
        <v>534</v>
      </c>
      <c r="E1452" s="1" t="s">
        <v>213</v>
      </c>
      <c r="F1452" s="1" t="s">
        <v>440</v>
      </c>
      <c r="G1452" s="1" t="s">
        <v>441</v>
      </c>
      <c r="H1452" s="6" t="str">
        <f>VLOOKUP(A1452,WorldCups!$A$2:$B$23,2,FALSE)</f>
        <v>South Africa</v>
      </c>
      <c r="I1452" s="1" t="s">
        <v>116</v>
      </c>
      <c r="J1452" s="1">
        <v>1</v>
      </c>
      <c r="K1452" s="1" t="s">
        <v>25</v>
      </c>
      <c r="L1452" s="1">
        <v>4</v>
      </c>
      <c r="M1452" s="1" t="s">
        <v>14</v>
      </c>
    </row>
    <row r="1453" spans="1:13" hidden="1" x14ac:dyDescent="0.25">
      <c r="A1453" s="1">
        <v>2010</v>
      </c>
      <c r="B1453" s="1">
        <f>B1452+1</f>
        <v>727</v>
      </c>
      <c r="C1453" s="2">
        <v>40346</v>
      </c>
      <c r="D1453" s="1" t="s">
        <v>503</v>
      </c>
      <c r="E1453" s="1" t="s">
        <v>213</v>
      </c>
      <c r="F1453" s="1" t="s">
        <v>456</v>
      </c>
      <c r="G1453" s="1" t="s">
        <v>457</v>
      </c>
      <c r="H1453" s="6" t="str">
        <f>VLOOKUP(A1453,WorldCups!$A$2:$B$23,2,FALSE)</f>
        <v>South Africa</v>
      </c>
      <c r="I1453" s="1" t="s">
        <v>339</v>
      </c>
      <c r="J1453" s="1">
        <v>2</v>
      </c>
      <c r="K1453" s="1" t="s">
        <v>340</v>
      </c>
      <c r="L1453" s="1">
        <v>1</v>
      </c>
      <c r="M1453" s="1" t="s">
        <v>14</v>
      </c>
    </row>
    <row r="1454" spans="1:13" hidden="1" x14ac:dyDescent="0.25">
      <c r="A1454" s="1">
        <v>2010</v>
      </c>
      <c r="B1454" s="1">
        <v>727</v>
      </c>
      <c r="C1454" s="2">
        <v>40346</v>
      </c>
      <c r="D1454" s="1" t="s">
        <v>503</v>
      </c>
      <c r="E1454" s="1" t="s">
        <v>213</v>
      </c>
      <c r="F1454" s="1" t="s">
        <v>456</v>
      </c>
      <c r="G1454" s="1" t="s">
        <v>457</v>
      </c>
      <c r="H1454" s="6" t="str">
        <f>VLOOKUP(A1454,WorldCups!$A$2:$B$23,2,FALSE)</f>
        <v>South Africa</v>
      </c>
      <c r="I1454" s="1" t="s">
        <v>340</v>
      </c>
      <c r="J1454" s="1">
        <v>1</v>
      </c>
      <c r="K1454" s="1" t="s">
        <v>339</v>
      </c>
      <c r="L1454" s="1">
        <v>2</v>
      </c>
      <c r="M1454" s="1" t="s">
        <v>14</v>
      </c>
    </row>
    <row r="1455" spans="1:13" hidden="1" x14ac:dyDescent="0.25">
      <c r="A1455" s="1">
        <v>2010</v>
      </c>
      <c r="B1455" s="1">
        <f>B1454+1</f>
        <v>728</v>
      </c>
      <c r="C1455" s="2">
        <v>40346</v>
      </c>
      <c r="D1455" s="1" t="s">
        <v>535</v>
      </c>
      <c r="E1455" s="1" t="s">
        <v>214</v>
      </c>
      <c r="F1455" s="1" t="s">
        <v>449</v>
      </c>
      <c r="G1455" s="1" t="s">
        <v>450</v>
      </c>
      <c r="H1455" s="6" t="str">
        <f>VLOOKUP(A1455,WorldCups!$A$2:$B$23,2,FALSE)</f>
        <v>South Africa</v>
      </c>
      <c r="I1455" s="1" t="s">
        <v>12</v>
      </c>
      <c r="J1455" s="1">
        <v>0</v>
      </c>
      <c r="K1455" s="1" t="s">
        <v>13</v>
      </c>
      <c r="L1455" s="1">
        <v>2</v>
      </c>
      <c r="M1455" s="1" t="s">
        <v>14</v>
      </c>
    </row>
    <row r="1456" spans="1:13" hidden="1" x14ac:dyDescent="0.25">
      <c r="A1456" s="1">
        <v>2010</v>
      </c>
      <c r="B1456" s="1">
        <v>728</v>
      </c>
      <c r="C1456" s="2">
        <v>40346</v>
      </c>
      <c r="D1456" s="1" t="s">
        <v>535</v>
      </c>
      <c r="E1456" s="1" t="s">
        <v>214</v>
      </c>
      <c r="F1456" s="1" t="s">
        <v>449</v>
      </c>
      <c r="G1456" s="1" t="s">
        <v>450</v>
      </c>
      <c r="H1456" s="6" t="str">
        <f>VLOOKUP(A1456,WorldCups!$A$2:$B$23,2,FALSE)</f>
        <v>South Africa</v>
      </c>
      <c r="I1456" s="1" t="s">
        <v>13</v>
      </c>
      <c r="J1456" s="1">
        <v>2</v>
      </c>
      <c r="K1456" s="1" t="s">
        <v>12</v>
      </c>
      <c r="L1456" s="1">
        <v>0</v>
      </c>
      <c r="M1456" s="1" t="s">
        <v>14</v>
      </c>
    </row>
    <row r="1457" spans="1:13" hidden="1" x14ac:dyDescent="0.25">
      <c r="A1457" s="1">
        <v>2010</v>
      </c>
      <c r="B1457" s="1">
        <f>B1456+1</f>
        <v>729</v>
      </c>
      <c r="C1457" s="2">
        <v>40347</v>
      </c>
      <c r="D1457" s="1" t="s">
        <v>534</v>
      </c>
      <c r="E1457" s="1" t="s">
        <v>270</v>
      </c>
      <c r="F1457" s="1" t="s">
        <v>444</v>
      </c>
      <c r="G1457" s="1" t="s">
        <v>445</v>
      </c>
      <c r="H1457" s="6" t="str">
        <f>VLOOKUP(A1457,WorldCups!$A$2:$B$23,2,FALSE)</f>
        <v>South Africa</v>
      </c>
      <c r="I1457" s="1" t="s">
        <v>51</v>
      </c>
      <c r="J1457" s="1">
        <v>0</v>
      </c>
      <c r="K1457" s="1" t="s">
        <v>453</v>
      </c>
      <c r="L1457" s="1">
        <v>1</v>
      </c>
      <c r="M1457" s="1" t="s">
        <v>14</v>
      </c>
    </row>
    <row r="1458" spans="1:13" hidden="1" x14ac:dyDescent="0.25">
      <c r="A1458" s="1">
        <v>2010</v>
      </c>
      <c r="B1458" s="1">
        <v>729</v>
      </c>
      <c r="C1458" s="2">
        <v>40347</v>
      </c>
      <c r="D1458" s="1" t="s">
        <v>534</v>
      </c>
      <c r="E1458" s="1" t="s">
        <v>270</v>
      </c>
      <c r="F1458" s="1" t="s">
        <v>444</v>
      </c>
      <c r="G1458" s="1" t="s">
        <v>445</v>
      </c>
      <c r="H1458" s="6" t="str">
        <f>VLOOKUP(A1458,WorldCups!$A$2:$B$23,2,FALSE)</f>
        <v>South Africa</v>
      </c>
      <c r="I1458" s="1" t="s">
        <v>453</v>
      </c>
      <c r="J1458" s="1">
        <v>1</v>
      </c>
      <c r="K1458" s="1" t="s">
        <v>51</v>
      </c>
      <c r="L1458" s="1">
        <v>0</v>
      </c>
      <c r="M1458" s="1" t="s">
        <v>14</v>
      </c>
    </row>
    <row r="1459" spans="1:13" hidden="1" x14ac:dyDescent="0.25">
      <c r="A1459" s="1">
        <v>2010</v>
      </c>
      <c r="B1459" s="1">
        <f>B1458+1</f>
        <v>730</v>
      </c>
      <c r="C1459" s="2">
        <v>40347</v>
      </c>
      <c r="D1459" s="1" t="s">
        <v>503</v>
      </c>
      <c r="E1459" s="1" t="s">
        <v>268</v>
      </c>
      <c r="F1459" s="1" t="s">
        <v>446</v>
      </c>
      <c r="G1459" s="1" t="s">
        <v>441</v>
      </c>
      <c r="H1459" s="6" t="str">
        <f>VLOOKUP(A1459,WorldCups!$A$2:$B$23,2,FALSE)</f>
        <v>South Africa</v>
      </c>
      <c r="I1459" s="1" t="s">
        <v>381</v>
      </c>
      <c r="J1459" s="1">
        <v>2</v>
      </c>
      <c r="K1459" s="1" t="s">
        <v>17</v>
      </c>
      <c r="L1459" s="1">
        <v>2</v>
      </c>
      <c r="M1459" s="1" t="s">
        <v>14</v>
      </c>
    </row>
    <row r="1460" spans="1:13" hidden="1" x14ac:dyDescent="0.25">
      <c r="A1460" s="1">
        <v>2010</v>
      </c>
      <c r="B1460" s="1">
        <v>730</v>
      </c>
      <c r="C1460" s="2">
        <v>40347</v>
      </c>
      <c r="D1460" s="1" t="s">
        <v>503</v>
      </c>
      <c r="E1460" s="1" t="s">
        <v>268</v>
      </c>
      <c r="F1460" s="1" t="s">
        <v>446</v>
      </c>
      <c r="G1460" s="1" t="s">
        <v>441</v>
      </c>
      <c r="H1460" s="6" t="str">
        <f>VLOOKUP(A1460,WorldCups!$A$2:$B$23,2,FALSE)</f>
        <v>South Africa</v>
      </c>
      <c r="I1460" s="1" t="s">
        <v>17</v>
      </c>
      <c r="J1460" s="1">
        <v>2</v>
      </c>
      <c r="K1460" s="1" t="s">
        <v>381</v>
      </c>
      <c r="L1460" s="1">
        <v>2</v>
      </c>
      <c r="M1460" s="1" t="s">
        <v>14</v>
      </c>
    </row>
    <row r="1461" spans="1:13" hidden="1" x14ac:dyDescent="0.25">
      <c r="A1461" s="1">
        <v>2010</v>
      </c>
      <c r="B1461" s="1">
        <f>B1460+1</f>
        <v>731</v>
      </c>
      <c r="C1461" s="2">
        <v>40347</v>
      </c>
      <c r="D1461" s="1" t="s">
        <v>535</v>
      </c>
      <c r="E1461" s="1" t="s">
        <v>268</v>
      </c>
      <c r="F1461" s="1" t="s">
        <v>442</v>
      </c>
      <c r="G1461" s="1" t="s">
        <v>443</v>
      </c>
      <c r="H1461" s="6" t="str">
        <f>VLOOKUP(A1461,WorldCups!$A$2:$B$23,2,FALSE)</f>
        <v>South Africa</v>
      </c>
      <c r="I1461" s="1" t="s">
        <v>93</v>
      </c>
      <c r="J1461" s="1">
        <v>0</v>
      </c>
      <c r="K1461" s="1" t="s">
        <v>246</v>
      </c>
      <c r="L1461" s="1">
        <v>0</v>
      </c>
      <c r="M1461" s="1" t="s">
        <v>14</v>
      </c>
    </row>
    <row r="1462" spans="1:13" hidden="1" x14ac:dyDescent="0.25">
      <c r="A1462" s="1">
        <v>2010</v>
      </c>
      <c r="B1462" s="1">
        <v>731</v>
      </c>
      <c r="C1462" s="2">
        <v>40347</v>
      </c>
      <c r="D1462" s="1" t="s">
        <v>535</v>
      </c>
      <c r="E1462" s="1" t="s">
        <v>268</v>
      </c>
      <c r="F1462" s="1" t="s">
        <v>442</v>
      </c>
      <c r="G1462" s="1" t="s">
        <v>443</v>
      </c>
      <c r="H1462" s="6" t="str">
        <f>VLOOKUP(A1462,WorldCups!$A$2:$B$23,2,FALSE)</f>
        <v>South Africa</v>
      </c>
      <c r="I1462" s="1" t="s">
        <v>246</v>
      </c>
      <c r="J1462" s="1">
        <v>0</v>
      </c>
      <c r="K1462" s="1" t="s">
        <v>93</v>
      </c>
      <c r="L1462" s="1">
        <v>0</v>
      </c>
      <c r="M1462" s="1" t="s">
        <v>14</v>
      </c>
    </row>
    <row r="1463" spans="1:13" hidden="1" x14ac:dyDescent="0.25">
      <c r="A1463" s="1">
        <v>2010</v>
      </c>
      <c r="B1463" s="1">
        <f>B1462+1</f>
        <v>732</v>
      </c>
      <c r="C1463" s="2">
        <v>40348</v>
      </c>
      <c r="D1463" s="1" t="s">
        <v>534</v>
      </c>
      <c r="E1463" s="1" t="s">
        <v>281</v>
      </c>
      <c r="F1463" s="1" t="s">
        <v>454</v>
      </c>
      <c r="G1463" s="1" t="s">
        <v>455</v>
      </c>
      <c r="H1463" s="6" t="str">
        <f>VLOOKUP(A1463,WorldCups!$A$2:$B$23,2,FALSE)</f>
        <v>South Africa</v>
      </c>
      <c r="I1463" s="1" t="s">
        <v>45</v>
      </c>
      <c r="J1463" s="1">
        <v>1</v>
      </c>
      <c r="K1463" s="1" t="s">
        <v>356</v>
      </c>
      <c r="L1463" s="1">
        <v>0</v>
      </c>
      <c r="M1463" s="1" t="s">
        <v>14</v>
      </c>
    </row>
    <row r="1464" spans="1:13" hidden="1" x14ac:dyDescent="0.25">
      <c r="A1464" s="1">
        <v>2010</v>
      </c>
      <c r="B1464" s="1">
        <v>732</v>
      </c>
      <c r="C1464" s="2">
        <v>40348</v>
      </c>
      <c r="D1464" s="1" t="s">
        <v>534</v>
      </c>
      <c r="E1464" s="1" t="s">
        <v>281</v>
      </c>
      <c r="F1464" s="1" t="s">
        <v>454</v>
      </c>
      <c r="G1464" s="1" t="s">
        <v>455</v>
      </c>
      <c r="H1464" s="6" t="str">
        <f>VLOOKUP(A1464,WorldCups!$A$2:$B$23,2,FALSE)</f>
        <v>South Africa</v>
      </c>
      <c r="I1464" s="1" t="s">
        <v>356</v>
      </c>
      <c r="J1464" s="1">
        <v>0</v>
      </c>
      <c r="K1464" s="1" t="s">
        <v>45</v>
      </c>
      <c r="L1464" s="1">
        <v>1</v>
      </c>
      <c r="M1464" s="1" t="s">
        <v>14</v>
      </c>
    </row>
    <row r="1465" spans="1:13" hidden="1" x14ac:dyDescent="0.25">
      <c r="A1465" s="1">
        <v>2010</v>
      </c>
      <c r="B1465" s="1">
        <f>B1464+1</f>
        <v>733</v>
      </c>
      <c r="C1465" s="2">
        <v>40348</v>
      </c>
      <c r="D1465" s="1" t="s">
        <v>503</v>
      </c>
      <c r="E1465" s="1" t="s">
        <v>270</v>
      </c>
      <c r="F1465" s="1" t="s">
        <v>447</v>
      </c>
      <c r="G1465" s="1" t="s">
        <v>448</v>
      </c>
      <c r="H1465" s="6" t="str">
        <f>VLOOKUP(A1465,WorldCups!$A$2:$B$23,2,FALSE)</f>
        <v>South Africa</v>
      </c>
      <c r="I1465" s="1" t="s">
        <v>431</v>
      </c>
      <c r="J1465" s="1">
        <v>1</v>
      </c>
      <c r="K1465" s="1" t="s">
        <v>199</v>
      </c>
      <c r="L1465" s="1">
        <v>1</v>
      </c>
      <c r="M1465" s="1" t="s">
        <v>14</v>
      </c>
    </row>
    <row r="1466" spans="1:13" hidden="1" x14ac:dyDescent="0.25">
      <c r="A1466" s="1">
        <v>2010</v>
      </c>
      <c r="B1466" s="1">
        <v>733</v>
      </c>
      <c r="C1466" s="2">
        <v>40348</v>
      </c>
      <c r="D1466" s="1" t="s">
        <v>503</v>
      </c>
      <c r="E1466" s="1" t="s">
        <v>270</v>
      </c>
      <c r="F1466" s="1" t="s">
        <v>447</v>
      </c>
      <c r="G1466" s="1" t="s">
        <v>448</v>
      </c>
      <c r="H1466" s="6" t="str">
        <f>VLOOKUP(A1466,WorldCups!$A$2:$B$23,2,FALSE)</f>
        <v>South Africa</v>
      </c>
      <c r="I1466" s="1" t="s">
        <v>199</v>
      </c>
      <c r="J1466" s="1">
        <v>1</v>
      </c>
      <c r="K1466" s="1" t="s">
        <v>431</v>
      </c>
      <c r="L1466" s="1">
        <v>1</v>
      </c>
      <c r="M1466" s="1" t="s">
        <v>14</v>
      </c>
    </row>
    <row r="1467" spans="1:13" hidden="1" x14ac:dyDescent="0.25">
      <c r="A1467" s="1">
        <v>2010</v>
      </c>
      <c r="B1467" s="1">
        <f>B1466+1</f>
        <v>734</v>
      </c>
      <c r="C1467" s="2">
        <v>40348</v>
      </c>
      <c r="D1467" s="1" t="s">
        <v>535</v>
      </c>
      <c r="E1467" s="1" t="s">
        <v>281</v>
      </c>
      <c r="F1467" s="1" t="s">
        <v>451</v>
      </c>
      <c r="G1467" s="1" t="s">
        <v>452</v>
      </c>
      <c r="H1467" s="6" t="str">
        <f>VLOOKUP(A1467,WorldCups!$A$2:$B$23,2,FALSE)</f>
        <v>South Africa</v>
      </c>
      <c r="I1467" s="1" t="s">
        <v>238</v>
      </c>
      <c r="J1467" s="1">
        <v>1</v>
      </c>
      <c r="K1467" s="1" t="s">
        <v>284</v>
      </c>
      <c r="L1467" s="1">
        <v>2</v>
      </c>
      <c r="M1467" s="1" t="s">
        <v>14</v>
      </c>
    </row>
    <row r="1468" spans="1:13" hidden="1" x14ac:dyDescent="0.25">
      <c r="A1468" s="1">
        <v>2010</v>
      </c>
      <c r="B1468" s="1">
        <v>734</v>
      </c>
      <c r="C1468" s="2">
        <v>40348</v>
      </c>
      <c r="D1468" s="1" t="s">
        <v>535</v>
      </c>
      <c r="E1468" s="1" t="s">
        <v>281</v>
      </c>
      <c r="F1468" s="1" t="s">
        <v>451</v>
      </c>
      <c r="G1468" s="1" t="s">
        <v>452</v>
      </c>
      <c r="H1468" s="6" t="str">
        <f>VLOOKUP(A1468,WorldCups!$A$2:$B$23,2,FALSE)</f>
        <v>South Africa</v>
      </c>
      <c r="I1468" s="1" t="s">
        <v>284</v>
      </c>
      <c r="J1468" s="1">
        <v>2</v>
      </c>
      <c r="K1468" s="1" t="s">
        <v>238</v>
      </c>
      <c r="L1468" s="1">
        <v>1</v>
      </c>
      <c r="M1468" s="1" t="s">
        <v>14</v>
      </c>
    </row>
    <row r="1469" spans="1:13" hidden="1" x14ac:dyDescent="0.25">
      <c r="A1469" s="1">
        <v>2010</v>
      </c>
      <c r="B1469" s="1">
        <f>B1468+1</f>
        <v>735</v>
      </c>
      <c r="C1469" s="2">
        <v>40349</v>
      </c>
      <c r="D1469" s="1" t="s">
        <v>534</v>
      </c>
      <c r="E1469" s="1" t="s">
        <v>274</v>
      </c>
      <c r="F1469" s="1" t="s">
        <v>456</v>
      </c>
      <c r="G1469" s="1" t="s">
        <v>457</v>
      </c>
      <c r="H1469" s="6" t="str">
        <f>VLOOKUP(A1469,WorldCups!$A$2:$B$23,2,FALSE)</f>
        <v>South Africa</v>
      </c>
      <c r="I1469" s="1" t="s">
        <v>458</v>
      </c>
      <c r="J1469" s="1">
        <v>0</v>
      </c>
      <c r="K1469" s="1" t="s">
        <v>28</v>
      </c>
      <c r="L1469" s="1">
        <v>2</v>
      </c>
      <c r="M1469" s="1" t="s">
        <v>14</v>
      </c>
    </row>
    <row r="1470" spans="1:13" hidden="1" x14ac:dyDescent="0.25">
      <c r="A1470" s="1">
        <v>2010</v>
      </c>
      <c r="B1470" s="1">
        <v>735</v>
      </c>
      <c r="C1470" s="2">
        <v>40349</v>
      </c>
      <c r="D1470" s="1" t="s">
        <v>534</v>
      </c>
      <c r="E1470" s="1" t="s">
        <v>274</v>
      </c>
      <c r="F1470" s="1" t="s">
        <v>456</v>
      </c>
      <c r="G1470" s="1" t="s">
        <v>457</v>
      </c>
      <c r="H1470" s="6" t="str">
        <f>VLOOKUP(A1470,WorldCups!$A$2:$B$23,2,FALSE)</f>
        <v>South Africa</v>
      </c>
      <c r="I1470" s="1" t="s">
        <v>28</v>
      </c>
      <c r="J1470" s="1">
        <v>2</v>
      </c>
      <c r="K1470" s="1" t="s">
        <v>458</v>
      </c>
      <c r="L1470" s="1">
        <v>0</v>
      </c>
      <c r="M1470" s="1" t="s">
        <v>14</v>
      </c>
    </row>
    <row r="1471" spans="1:13" hidden="1" x14ac:dyDescent="0.25">
      <c r="A1471" s="1">
        <v>2010</v>
      </c>
      <c r="B1471" s="1">
        <f>B1470+1</f>
        <v>736</v>
      </c>
      <c r="C1471" s="2">
        <v>40349</v>
      </c>
      <c r="D1471" s="1" t="s">
        <v>503</v>
      </c>
      <c r="E1471" s="1" t="s">
        <v>274</v>
      </c>
      <c r="F1471" s="1" t="s">
        <v>459</v>
      </c>
      <c r="G1471" s="1" t="s">
        <v>460</v>
      </c>
      <c r="H1471" s="6" t="str">
        <f>VLOOKUP(A1471,WorldCups!$A$2:$B$23,2,FALSE)</f>
        <v>South Africa</v>
      </c>
      <c r="I1471" s="1" t="s">
        <v>57</v>
      </c>
      <c r="J1471" s="1">
        <v>1</v>
      </c>
      <c r="K1471" s="1" t="s">
        <v>243</v>
      </c>
      <c r="L1471" s="1">
        <v>1</v>
      </c>
      <c r="M1471" s="1" t="s">
        <v>14</v>
      </c>
    </row>
    <row r="1472" spans="1:13" hidden="1" x14ac:dyDescent="0.25">
      <c r="A1472" s="1">
        <v>2010</v>
      </c>
      <c r="B1472" s="1">
        <v>736</v>
      </c>
      <c r="C1472" s="2">
        <v>40349</v>
      </c>
      <c r="D1472" s="1" t="s">
        <v>503</v>
      </c>
      <c r="E1472" s="1" t="s">
        <v>274</v>
      </c>
      <c r="F1472" s="1" t="s">
        <v>459</v>
      </c>
      <c r="G1472" s="1" t="s">
        <v>460</v>
      </c>
      <c r="H1472" s="6" t="str">
        <f>VLOOKUP(A1472,WorldCups!$A$2:$B$23,2,FALSE)</f>
        <v>South Africa</v>
      </c>
      <c r="I1472" s="1" t="s">
        <v>243</v>
      </c>
      <c r="J1472" s="1">
        <v>1</v>
      </c>
      <c r="K1472" s="1" t="s">
        <v>57</v>
      </c>
      <c r="L1472" s="1">
        <v>1</v>
      </c>
      <c r="M1472" s="1" t="s">
        <v>14</v>
      </c>
    </row>
    <row r="1473" spans="1:13" hidden="1" x14ac:dyDescent="0.25">
      <c r="A1473" s="1">
        <v>2010</v>
      </c>
      <c r="B1473" s="1">
        <f>B1472+1</f>
        <v>737</v>
      </c>
      <c r="C1473" s="2">
        <v>40349</v>
      </c>
      <c r="D1473" s="1" t="s">
        <v>535</v>
      </c>
      <c r="E1473" s="1" t="s">
        <v>361</v>
      </c>
      <c r="F1473" s="1" t="s">
        <v>440</v>
      </c>
      <c r="G1473" s="1" t="s">
        <v>441</v>
      </c>
      <c r="H1473" s="6" t="str">
        <f>VLOOKUP(A1473,WorldCups!$A$2:$B$23,2,FALSE)</f>
        <v>South Africa</v>
      </c>
      <c r="I1473" s="1" t="s">
        <v>21</v>
      </c>
      <c r="J1473" s="1">
        <v>3</v>
      </c>
      <c r="K1473" s="1" t="s">
        <v>418</v>
      </c>
      <c r="L1473" s="1">
        <v>1</v>
      </c>
      <c r="M1473" s="1" t="s">
        <v>14</v>
      </c>
    </row>
    <row r="1474" spans="1:13" hidden="1" x14ac:dyDescent="0.25">
      <c r="A1474" s="1">
        <v>2010</v>
      </c>
      <c r="B1474" s="1">
        <v>737</v>
      </c>
      <c r="C1474" s="2">
        <v>40349</v>
      </c>
      <c r="D1474" s="1" t="s">
        <v>535</v>
      </c>
      <c r="E1474" s="1" t="s">
        <v>361</v>
      </c>
      <c r="F1474" s="1" t="s">
        <v>440</v>
      </c>
      <c r="G1474" s="1" t="s">
        <v>441</v>
      </c>
      <c r="H1474" s="6" t="str">
        <f>VLOOKUP(A1474,WorldCups!$A$2:$B$23,2,FALSE)</f>
        <v>South Africa</v>
      </c>
      <c r="I1474" s="1" t="s">
        <v>418</v>
      </c>
      <c r="J1474" s="1">
        <v>1</v>
      </c>
      <c r="K1474" s="1" t="s">
        <v>21</v>
      </c>
      <c r="L1474" s="1">
        <v>3</v>
      </c>
      <c r="M1474" s="1" t="s">
        <v>14</v>
      </c>
    </row>
    <row r="1475" spans="1:13" hidden="1" x14ac:dyDescent="0.25">
      <c r="A1475" s="1">
        <v>2010</v>
      </c>
      <c r="B1475" s="1">
        <f>B1474+1</f>
        <v>738</v>
      </c>
      <c r="C1475" s="2">
        <v>40350</v>
      </c>
      <c r="D1475" s="1" t="s">
        <v>534</v>
      </c>
      <c r="E1475" s="1" t="s">
        <v>361</v>
      </c>
      <c r="F1475" s="1" t="s">
        <v>442</v>
      </c>
      <c r="G1475" s="1" t="s">
        <v>443</v>
      </c>
      <c r="H1475" s="6" t="str">
        <f>VLOOKUP(A1475,WorldCups!$A$2:$B$23,2,FALSE)</f>
        <v>South Africa</v>
      </c>
      <c r="I1475" s="1" t="s">
        <v>170</v>
      </c>
      <c r="J1475" s="1">
        <v>7</v>
      </c>
      <c r="K1475" s="1" t="s">
        <v>167</v>
      </c>
      <c r="L1475" s="1">
        <v>0</v>
      </c>
      <c r="M1475" s="1" t="s">
        <v>14</v>
      </c>
    </row>
    <row r="1476" spans="1:13" hidden="1" x14ac:dyDescent="0.25">
      <c r="A1476" s="1">
        <v>2010</v>
      </c>
      <c r="B1476" s="1">
        <v>738</v>
      </c>
      <c r="C1476" s="2">
        <v>40350</v>
      </c>
      <c r="D1476" s="1" t="s">
        <v>534</v>
      </c>
      <c r="E1476" s="1" t="s">
        <v>361</v>
      </c>
      <c r="F1476" s="1" t="s">
        <v>442</v>
      </c>
      <c r="G1476" s="1" t="s">
        <v>443</v>
      </c>
      <c r="H1476" s="6" t="str">
        <f>VLOOKUP(A1476,WorldCups!$A$2:$B$23,2,FALSE)</f>
        <v>South Africa</v>
      </c>
      <c r="I1476" s="1" t="s">
        <v>167</v>
      </c>
      <c r="J1476" s="1">
        <v>0</v>
      </c>
      <c r="K1476" s="1" t="s">
        <v>170</v>
      </c>
      <c r="L1476" s="1">
        <v>7</v>
      </c>
      <c r="M1476" s="1" t="s">
        <v>14</v>
      </c>
    </row>
    <row r="1477" spans="1:13" hidden="1" x14ac:dyDescent="0.25">
      <c r="A1477" s="1">
        <v>2010</v>
      </c>
      <c r="B1477" s="1">
        <f>B1476+1</f>
        <v>739</v>
      </c>
      <c r="C1477" s="2">
        <v>40350</v>
      </c>
      <c r="D1477" s="1" t="s">
        <v>503</v>
      </c>
      <c r="E1477" s="1" t="s">
        <v>355</v>
      </c>
      <c r="F1477" s="1" t="s">
        <v>444</v>
      </c>
      <c r="G1477" s="1" t="s">
        <v>445</v>
      </c>
      <c r="H1477" s="6" t="str">
        <f>VLOOKUP(A1477,WorldCups!$A$2:$B$23,2,FALSE)</f>
        <v>South Africa</v>
      </c>
      <c r="I1477" s="1" t="s">
        <v>26</v>
      </c>
      <c r="J1477" s="1">
        <v>1</v>
      </c>
      <c r="K1477" s="1" t="s">
        <v>44</v>
      </c>
      <c r="L1477" s="1">
        <v>0</v>
      </c>
      <c r="M1477" s="1" t="s">
        <v>14</v>
      </c>
    </row>
    <row r="1478" spans="1:13" hidden="1" x14ac:dyDescent="0.25">
      <c r="A1478" s="1">
        <v>2010</v>
      </c>
      <c r="B1478" s="1">
        <v>739</v>
      </c>
      <c r="C1478" s="2">
        <v>40350</v>
      </c>
      <c r="D1478" s="1" t="s">
        <v>503</v>
      </c>
      <c r="E1478" s="1" t="s">
        <v>355</v>
      </c>
      <c r="F1478" s="1" t="s">
        <v>444</v>
      </c>
      <c r="G1478" s="1" t="s">
        <v>445</v>
      </c>
      <c r="H1478" s="6" t="str">
        <f>VLOOKUP(A1478,WorldCups!$A$2:$B$23,2,FALSE)</f>
        <v>South Africa</v>
      </c>
      <c r="I1478" s="1" t="s">
        <v>44</v>
      </c>
      <c r="J1478" s="1">
        <v>0</v>
      </c>
      <c r="K1478" s="1" t="s">
        <v>26</v>
      </c>
      <c r="L1478" s="1">
        <v>1</v>
      </c>
      <c r="M1478" s="1" t="s">
        <v>14</v>
      </c>
    </row>
    <row r="1479" spans="1:13" hidden="1" x14ac:dyDescent="0.25">
      <c r="A1479" s="1">
        <v>2010</v>
      </c>
      <c r="B1479" s="1">
        <f>B1478+1</f>
        <v>740</v>
      </c>
      <c r="C1479" s="2">
        <v>40350</v>
      </c>
      <c r="D1479" s="1" t="s">
        <v>535</v>
      </c>
      <c r="E1479" s="1" t="s">
        <v>355</v>
      </c>
      <c r="F1479" s="1" t="s">
        <v>446</v>
      </c>
      <c r="G1479" s="1" t="s">
        <v>441</v>
      </c>
      <c r="H1479" s="6" t="str">
        <f>VLOOKUP(A1479,WorldCups!$A$2:$B$23,2,FALSE)</f>
        <v>South Africa</v>
      </c>
      <c r="I1479" s="1" t="s">
        <v>54</v>
      </c>
      <c r="J1479" s="1">
        <v>2</v>
      </c>
      <c r="K1479" s="1" t="s">
        <v>252</v>
      </c>
      <c r="L1479" s="1">
        <v>0</v>
      </c>
      <c r="M1479" s="1" t="s">
        <v>14</v>
      </c>
    </row>
    <row r="1480" spans="1:13" hidden="1" x14ac:dyDescent="0.25">
      <c r="A1480" s="1">
        <v>2010</v>
      </c>
      <c r="B1480" s="1">
        <v>740</v>
      </c>
      <c r="C1480" s="2">
        <v>40350</v>
      </c>
      <c r="D1480" s="1" t="s">
        <v>535</v>
      </c>
      <c r="E1480" s="1" t="s">
        <v>355</v>
      </c>
      <c r="F1480" s="1" t="s">
        <v>446</v>
      </c>
      <c r="G1480" s="1" t="s">
        <v>441</v>
      </c>
      <c r="H1480" s="6" t="str">
        <f>VLOOKUP(A1480,WorldCups!$A$2:$B$23,2,FALSE)</f>
        <v>South Africa</v>
      </c>
      <c r="I1480" s="1" t="s">
        <v>252</v>
      </c>
      <c r="J1480" s="1">
        <v>0</v>
      </c>
      <c r="K1480" s="1" t="s">
        <v>54</v>
      </c>
      <c r="L1480" s="1">
        <v>2</v>
      </c>
      <c r="M1480" s="1" t="s">
        <v>14</v>
      </c>
    </row>
    <row r="1481" spans="1:13" hidden="1" x14ac:dyDescent="0.25">
      <c r="A1481" s="1">
        <v>2010</v>
      </c>
      <c r="B1481" s="1">
        <f>B1480+1</f>
        <v>741</v>
      </c>
      <c r="C1481" s="2">
        <v>40351</v>
      </c>
      <c r="D1481" s="1" t="s">
        <v>503</v>
      </c>
      <c r="E1481" s="1" t="s">
        <v>214</v>
      </c>
      <c r="F1481" s="1" t="s">
        <v>447</v>
      </c>
      <c r="G1481" s="1" t="s">
        <v>448</v>
      </c>
      <c r="H1481" s="6" t="str">
        <f>VLOOKUP(A1481,WorldCups!$A$2:$B$23,2,FALSE)</f>
        <v>South Africa</v>
      </c>
      <c r="I1481" s="1" t="s">
        <v>13</v>
      </c>
      <c r="J1481" s="1">
        <v>0</v>
      </c>
      <c r="K1481" s="1" t="s">
        <v>30</v>
      </c>
      <c r="L1481" s="1">
        <v>1</v>
      </c>
      <c r="M1481" s="1" t="s">
        <v>14</v>
      </c>
    </row>
    <row r="1482" spans="1:13" hidden="1" x14ac:dyDescent="0.25">
      <c r="A1482" s="1">
        <v>2010</v>
      </c>
      <c r="B1482" s="1">
        <v>741</v>
      </c>
      <c r="C1482" s="2">
        <v>40351</v>
      </c>
      <c r="D1482" s="1" t="s">
        <v>503</v>
      </c>
      <c r="E1482" s="1" t="s">
        <v>214</v>
      </c>
      <c r="F1482" s="1" t="s">
        <v>447</v>
      </c>
      <c r="G1482" s="1" t="s">
        <v>448</v>
      </c>
      <c r="H1482" s="6" t="str">
        <f>VLOOKUP(A1482,WorldCups!$A$2:$B$23,2,FALSE)</f>
        <v>South Africa</v>
      </c>
      <c r="I1482" s="1" t="s">
        <v>30</v>
      </c>
      <c r="J1482" s="1">
        <v>1</v>
      </c>
      <c r="K1482" s="1" t="s">
        <v>13</v>
      </c>
      <c r="L1482" s="1">
        <v>0</v>
      </c>
      <c r="M1482" s="1" t="s">
        <v>14</v>
      </c>
    </row>
    <row r="1483" spans="1:13" hidden="1" x14ac:dyDescent="0.25">
      <c r="A1483" s="1">
        <v>2010</v>
      </c>
      <c r="B1483" s="1">
        <f>B1482+1</f>
        <v>742</v>
      </c>
      <c r="C1483" s="2">
        <v>40351</v>
      </c>
      <c r="D1483" s="1" t="s">
        <v>503</v>
      </c>
      <c r="E1483" s="1" t="s">
        <v>214</v>
      </c>
      <c r="F1483" s="1" t="s">
        <v>456</v>
      </c>
      <c r="G1483" s="1" t="s">
        <v>457</v>
      </c>
      <c r="H1483" s="6" t="str">
        <f>VLOOKUP(A1483,WorldCups!$A$2:$B$23,2,FALSE)</f>
        <v>South Africa</v>
      </c>
      <c r="I1483" s="1" t="s">
        <v>12</v>
      </c>
      <c r="J1483" s="1">
        <v>1</v>
      </c>
      <c r="K1483" s="1" t="s">
        <v>350</v>
      </c>
      <c r="L1483" s="1">
        <v>2</v>
      </c>
      <c r="M1483" s="1" t="s">
        <v>14</v>
      </c>
    </row>
    <row r="1484" spans="1:13" hidden="1" x14ac:dyDescent="0.25">
      <c r="A1484" s="1">
        <v>2010</v>
      </c>
      <c r="B1484" s="1">
        <v>742</v>
      </c>
      <c r="C1484" s="2">
        <v>40351</v>
      </c>
      <c r="D1484" s="1" t="s">
        <v>503</v>
      </c>
      <c r="E1484" s="1" t="s">
        <v>214</v>
      </c>
      <c r="F1484" s="1" t="s">
        <v>456</v>
      </c>
      <c r="G1484" s="1" t="s">
        <v>457</v>
      </c>
      <c r="H1484" s="6" t="str">
        <f>VLOOKUP(A1484,WorldCups!$A$2:$B$23,2,FALSE)</f>
        <v>South Africa</v>
      </c>
      <c r="I1484" s="1" t="s">
        <v>350</v>
      </c>
      <c r="J1484" s="1">
        <v>2</v>
      </c>
      <c r="K1484" s="1" t="s">
        <v>12</v>
      </c>
      <c r="L1484" s="1">
        <v>1</v>
      </c>
      <c r="M1484" s="1" t="s">
        <v>14</v>
      </c>
    </row>
    <row r="1485" spans="1:13" hidden="1" x14ac:dyDescent="0.25">
      <c r="A1485" s="1">
        <v>2010</v>
      </c>
      <c r="B1485" s="1">
        <f>B1484+1</f>
        <v>743</v>
      </c>
      <c r="C1485" s="2">
        <v>40351</v>
      </c>
      <c r="D1485" s="1" t="s">
        <v>535</v>
      </c>
      <c r="E1485" s="1" t="s">
        <v>213</v>
      </c>
      <c r="F1485" s="1" t="s">
        <v>454</v>
      </c>
      <c r="G1485" s="1" t="s">
        <v>455</v>
      </c>
      <c r="H1485" s="6" t="str">
        <f>VLOOKUP(A1485,WorldCups!$A$2:$B$23,2,FALSE)</f>
        <v>South Africa</v>
      </c>
      <c r="I1485" s="1" t="s">
        <v>340</v>
      </c>
      <c r="J1485" s="1">
        <v>2</v>
      </c>
      <c r="K1485" s="1" t="s">
        <v>116</v>
      </c>
      <c r="L1485" s="1">
        <v>2</v>
      </c>
      <c r="M1485" s="1" t="s">
        <v>14</v>
      </c>
    </row>
    <row r="1486" spans="1:13" hidden="1" x14ac:dyDescent="0.25">
      <c r="A1486" s="1">
        <v>2010</v>
      </c>
      <c r="B1486" s="1">
        <v>743</v>
      </c>
      <c r="C1486" s="2">
        <v>40351</v>
      </c>
      <c r="D1486" s="1" t="s">
        <v>535</v>
      </c>
      <c r="E1486" s="1" t="s">
        <v>213</v>
      </c>
      <c r="F1486" s="1" t="s">
        <v>454</v>
      </c>
      <c r="G1486" s="1" t="s">
        <v>455</v>
      </c>
      <c r="H1486" s="6" t="str">
        <f>VLOOKUP(A1486,WorldCups!$A$2:$B$23,2,FALSE)</f>
        <v>South Africa</v>
      </c>
      <c r="I1486" s="1" t="s">
        <v>116</v>
      </c>
      <c r="J1486" s="1">
        <v>2</v>
      </c>
      <c r="K1486" s="1" t="s">
        <v>340</v>
      </c>
      <c r="L1486" s="1">
        <v>2</v>
      </c>
      <c r="M1486" s="1" t="s">
        <v>14</v>
      </c>
    </row>
    <row r="1487" spans="1:13" hidden="1" x14ac:dyDescent="0.25">
      <c r="A1487" s="1">
        <v>2010</v>
      </c>
      <c r="B1487" s="1">
        <f>B1486+1</f>
        <v>744</v>
      </c>
      <c r="C1487" s="2">
        <v>40351</v>
      </c>
      <c r="D1487" s="1" t="s">
        <v>535</v>
      </c>
      <c r="E1487" s="1" t="s">
        <v>213</v>
      </c>
      <c r="F1487" s="1" t="s">
        <v>449</v>
      </c>
      <c r="G1487" s="1" t="s">
        <v>450</v>
      </c>
      <c r="H1487" s="6" t="str">
        <f>VLOOKUP(A1487,WorldCups!$A$2:$B$23,2,FALSE)</f>
        <v>South Africa</v>
      </c>
      <c r="I1487" s="1" t="s">
        <v>339</v>
      </c>
      <c r="J1487" s="1">
        <v>0</v>
      </c>
      <c r="K1487" s="1" t="s">
        <v>25</v>
      </c>
      <c r="L1487" s="1">
        <v>2</v>
      </c>
      <c r="M1487" s="1" t="s">
        <v>14</v>
      </c>
    </row>
    <row r="1488" spans="1:13" hidden="1" x14ac:dyDescent="0.25">
      <c r="A1488" s="1">
        <v>2010</v>
      </c>
      <c r="B1488" s="1">
        <v>744</v>
      </c>
      <c r="C1488" s="2">
        <v>40351</v>
      </c>
      <c r="D1488" s="1" t="s">
        <v>535</v>
      </c>
      <c r="E1488" s="1" t="s">
        <v>213</v>
      </c>
      <c r="F1488" s="1" t="s">
        <v>449</v>
      </c>
      <c r="G1488" s="1" t="s">
        <v>450</v>
      </c>
      <c r="H1488" s="6" t="str">
        <f>VLOOKUP(A1488,WorldCups!$A$2:$B$23,2,FALSE)</f>
        <v>South Africa</v>
      </c>
      <c r="I1488" s="1" t="s">
        <v>25</v>
      </c>
      <c r="J1488" s="1">
        <v>2</v>
      </c>
      <c r="K1488" s="1" t="s">
        <v>339</v>
      </c>
      <c r="L1488" s="1">
        <v>0</v>
      </c>
      <c r="M1488" s="1" t="s">
        <v>14</v>
      </c>
    </row>
    <row r="1489" spans="1:13" hidden="1" x14ac:dyDescent="0.25">
      <c r="A1489" s="1">
        <v>2010</v>
      </c>
      <c r="B1489" s="1">
        <f>B1488+1</f>
        <v>745</v>
      </c>
      <c r="C1489" s="2">
        <v>40352</v>
      </c>
      <c r="D1489" s="1" t="s">
        <v>503</v>
      </c>
      <c r="E1489" s="1" t="s">
        <v>268</v>
      </c>
      <c r="F1489" s="1" t="s">
        <v>444</v>
      </c>
      <c r="G1489" s="1" t="s">
        <v>445</v>
      </c>
      <c r="H1489" s="6" t="str">
        <f>VLOOKUP(A1489,WorldCups!$A$2:$B$23,2,FALSE)</f>
        <v>South Africa</v>
      </c>
      <c r="I1489" s="1" t="s">
        <v>381</v>
      </c>
      <c r="J1489" s="1">
        <v>0</v>
      </c>
      <c r="K1489" s="1" t="s">
        <v>93</v>
      </c>
      <c r="L1489" s="1">
        <v>1</v>
      </c>
      <c r="M1489" s="1" t="s">
        <v>14</v>
      </c>
    </row>
    <row r="1490" spans="1:13" hidden="1" x14ac:dyDescent="0.25">
      <c r="A1490" s="1">
        <v>2010</v>
      </c>
      <c r="B1490" s="1">
        <v>745</v>
      </c>
      <c r="C1490" s="2">
        <v>40352</v>
      </c>
      <c r="D1490" s="1" t="s">
        <v>503</v>
      </c>
      <c r="E1490" s="1" t="s">
        <v>268</v>
      </c>
      <c r="F1490" s="1" t="s">
        <v>444</v>
      </c>
      <c r="G1490" s="1" t="s">
        <v>445</v>
      </c>
      <c r="H1490" s="6" t="str">
        <f>VLOOKUP(A1490,WorldCups!$A$2:$B$23,2,FALSE)</f>
        <v>South Africa</v>
      </c>
      <c r="I1490" s="1" t="s">
        <v>93</v>
      </c>
      <c r="J1490" s="1">
        <v>1</v>
      </c>
      <c r="K1490" s="1" t="s">
        <v>381</v>
      </c>
      <c r="L1490" s="1">
        <v>0</v>
      </c>
      <c r="M1490" s="1" t="s">
        <v>14</v>
      </c>
    </row>
    <row r="1491" spans="1:13" hidden="1" x14ac:dyDescent="0.25">
      <c r="A1491" s="1">
        <v>2010</v>
      </c>
      <c r="B1491" s="1">
        <f>B1490+1</f>
        <v>746</v>
      </c>
      <c r="C1491" s="2">
        <v>40352</v>
      </c>
      <c r="D1491" s="1" t="s">
        <v>503</v>
      </c>
      <c r="E1491" s="1" t="s">
        <v>268</v>
      </c>
      <c r="F1491" s="1" t="s">
        <v>451</v>
      </c>
      <c r="G1491" s="1" t="s">
        <v>452</v>
      </c>
      <c r="H1491" s="6" t="str">
        <f>VLOOKUP(A1491,WorldCups!$A$2:$B$23,2,FALSE)</f>
        <v>South Africa</v>
      </c>
      <c r="I1491" s="1" t="s">
        <v>17</v>
      </c>
      <c r="J1491" s="1">
        <v>1</v>
      </c>
      <c r="K1491" s="1" t="s">
        <v>246</v>
      </c>
      <c r="L1491" s="1">
        <v>0</v>
      </c>
      <c r="M1491" s="1" t="s">
        <v>14</v>
      </c>
    </row>
    <row r="1492" spans="1:13" hidden="1" x14ac:dyDescent="0.25">
      <c r="A1492" s="1">
        <v>2010</v>
      </c>
      <c r="B1492" s="1">
        <v>746</v>
      </c>
      <c r="C1492" s="2">
        <v>40352</v>
      </c>
      <c r="D1492" s="1" t="s">
        <v>503</v>
      </c>
      <c r="E1492" s="1" t="s">
        <v>268</v>
      </c>
      <c r="F1492" s="1" t="s">
        <v>451</v>
      </c>
      <c r="G1492" s="1" t="s">
        <v>452</v>
      </c>
      <c r="H1492" s="6" t="str">
        <f>VLOOKUP(A1492,WorldCups!$A$2:$B$23,2,FALSE)</f>
        <v>South Africa</v>
      </c>
      <c r="I1492" s="1" t="s">
        <v>246</v>
      </c>
      <c r="J1492" s="1">
        <v>0</v>
      </c>
      <c r="K1492" s="1" t="s">
        <v>17</v>
      </c>
      <c r="L1492" s="1">
        <v>1</v>
      </c>
      <c r="M1492" s="1" t="s">
        <v>14</v>
      </c>
    </row>
    <row r="1493" spans="1:13" hidden="1" x14ac:dyDescent="0.25">
      <c r="A1493" s="1">
        <v>2010</v>
      </c>
      <c r="B1493" s="1">
        <f>B1492+1</f>
        <v>747</v>
      </c>
      <c r="C1493" s="2">
        <v>40352</v>
      </c>
      <c r="D1493" s="1" t="s">
        <v>535</v>
      </c>
      <c r="E1493" s="1" t="s">
        <v>270</v>
      </c>
      <c r="F1493" s="1" t="s">
        <v>440</v>
      </c>
      <c r="G1493" s="1" t="s">
        <v>441</v>
      </c>
      <c r="H1493" s="6" t="str">
        <f>VLOOKUP(A1493,WorldCups!$A$2:$B$23,2,FALSE)</f>
        <v>South Africa</v>
      </c>
      <c r="I1493" s="1" t="s">
        <v>431</v>
      </c>
      <c r="J1493" s="1">
        <v>0</v>
      </c>
      <c r="K1493" s="1" t="s">
        <v>51</v>
      </c>
      <c r="L1493" s="1">
        <v>1</v>
      </c>
      <c r="M1493" s="1" t="s">
        <v>14</v>
      </c>
    </row>
    <row r="1494" spans="1:13" hidden="1" x14ac:dyDescent="0.25">
      <c r="A1494" s="1">
        <v>2010</v>
      </c>
      <c r="B1494" s="1">
        <v>747</v>
      </c>
      <c r="C1494" s="2">
        <v>40352</v>
      </c>
      <c r="D1494" s="1" t="s">
        <v>535</v>
      </c>
      <c r="E1494" s="1" t="s">
        <v>270</v>
      </c>
      <c r="F1494" s="1" t="s">
        <v>440</v>
      </c>
      <c r="G1494" s="1" t="s">
        <v>441</v>
      </c>
      <c r="H1494" s="6" t="str">
        <f>VLOOKUP(A1494,WorldCups!$A$2:$B$23,2,FALSE)</f>
        <v>South Africa</v>
      </c>
      <c r="I1494" s="1" t="s">
        <v>51</v>
      </c>
      <c r="J1494" s="1">
        <v>1</v>
      </c>
      <c r="K1494" s="1" t="s">
        <v>431</v>
      </c>
      <c r="L1494" s="1">
        <v>0</v>
      </c>
      <c r="M1494" s="1" t="s">
        <v>14</v>
      </c>
    </row>
    <row r="1495" spans="1:13" hidden="1" x14ac:dyDescent="0.25">
      <c r="A1495" s="1">
        <v>2010</v>
      </c>
      <c r="B1495" s="1">
        <f>B1494+1</f>
        <v>748</v>
      </c>
      <c r="C1495" s="2">
        <v>40352</v>
      </c>
      <c r="D1495" s="1" t="s">
        <v>535</v>
      </c>
      <c r="E1495" s="1" t="s">
        <v>270</v>
      </c>
      <c r="F1495" s="1" t="s">
        <v>459</v>
      </c>
      <c r="G1495" s="1" t="s">
        <v>460</v>
      </c>
      <c r="H1495" s="6" t="str">
        <f>VLOOKUP(A1495,WorldCups!$A$2:$B$23,2,FALSE)</f>
        <v>South Africa</v>
      </c>
      <c r="I1495" s="1" t="s">
        <v>199</v>
      </c>
      <c r="J1495" s="1">
        <v>2</v>
      </c>
      <c r="K1495" s="1" t="s">
        <v>453</v>
      </c>
      <c r="L1495" s="1">
        <v>1</v>
      </c>
      <c r="M1495" s="1" t="s">
        <v>14</v>
      </c>
    </row>
    <row r="1496" spans="1:13" hidden="1" x14ac:dyDescent="0.25">
      <c r="A1496" s="1">
        <v>2010</v>
      </c>
      <c r="B1496" s="1">
        <v>748</v>
      </c>
      <c r="C1496" s="2">
        <v>40352</v>
      </c>
      <c r="D1496" s="1" t="s">
        <v>535</v>
      </c>
      <c r="E1496" s="1" t="s">
        <v>270</v>
      </c>
      <c r="F1496" s="1" t="s">
        <v>459</v>
      </c>
      <c r="G1496" s="1" t="s">
        <v>460</v>
      </c>
      <c r="H1496" s="6" t="str">
        <f>VLOOKUP(A1496,WorldCups!$A$2:$B$23,2,FALSE)</f>
        <v>South Africa</v>
      </c>
      <c r="I1496" s="1" t="s">
        <v>453</v>
      </c>
      <c r="J1496" s="1">
        <v>1</v>
      </c>
      <c r="K1496" s="1" t="s">
        <v>199</v>
      </c>
      <c r="L1496" s="1">
        <v>2</v>
      </c>
      <c r="M1496" s="1" t="s">
        <v>14</v>
      </c>
    </row>
    <row r="1497" spans="1:13" hidden="1" x14ac:dyDescent="0.25">
      <c r="A1497" s="1">
        <v>2010</v>
      </c>
      <c r="B1497" s="1">
        <f>B1496+1</f>
        <v>749</v>
      </c>
      <c r="C1497" s="2">
        <v>40353</v>
      </c>
      <c r="D1497" s="1" t="s">
        <v>503</v>
      </c>
      <c r="E1497" s="1" t="s">
        <v>274</v>
      </c>
      <c r="F1497" s="1" t="s">
        <v>446</v>
      </c>
      <c r="G1497" s="1" t="s">
        <v>441</v>
      </c>
      <c r="H1497" s="6" t="str">
        <f>VLOOKUP(A1497,WorldCups!$A$2:$B$23,2,FALSE)</f>
        <v>South Africa</v>
      </c>
      <c r="I1497" s="1" t="s">
        <v>458</v>
      </c>
      <c r="J1497" s="1">
        <v>3</v>
      </c>
      <c r="K1497" s="1" t="s">
        <v>57</v>
      </c>
      <c r="L1497" s="1">
        <v>2</v>
      </c>
      <c r="M1497" s="1" t="s">
        <v>14</v>
      </c>
    </row>
    <row r="1498" spans="1:13" hidden="1" x14ac:dyDescent="0.25">
      <c r="A1498" s="1">
        <v>2010</v>
      </c>
      <c r="B1498" s="1">
        <v>749</v>
      </c>
      <c r="C1498" s="2">
        <v>40353</v>
      </c>
      <c r="D1498" s="1" t="s">
        <v>503</v>
      </c>
      <c r="E1498" s="1" t="s">
        <v>274</v>
      </c>
      <c r="F1498" s="1" t="s">
        <v>446</v>
      </c>
      <c r="G1498" s="1" t="s">
        <v>441</v>
      </c>
      <c r="H1498" s="6" t="str">
        <f>VLOOKUP(A1498,WorldCups!$A$2:$B$23,2,FALSE)</f>
        <v>South Africa</v>
      </c>
      <c r="I1498" s="1" t="s">
        <v>57</v>
      </c>
      <c r="J1498" s="1">
        <v>2</v>
      </c>
      <c r="K1498" s="1" t="s">
        <v>458</v>
      </c>
      <c r="L1498" s="1">
        <v>3</v>
      </c>
      <c r="M1498" s="1" t="s">
        <v>14</v>
      </c>
    </row>
    <row r="1499" spans="1:13" hidden="1" x14ac:dyDescent="0.25">
      <c r="A1499" s="1">
        <v>2010</v>
      </c>
      <c r="B1499" s="1">
        <f>B1498+1</f>
        <v>750</v>
      </c>
      <c r="C1499" s="2">
        <v>40353</v>
      </c>
      <c r="D1499" s="1" t="s">
        <v>503</v>
      </c>
      <c r="E1499" s="1" t="s">
        <v>274</v>
      </c>
      <c r="F1499" s="1" t="s">
        <v>449</v>
      </c>
      <c r="G1499" s="1" t="s">
        <v>450</v>
      </c>
      <c r="H1499" s="6" t="str">
        <f>VLOOKUP(A1499,WorldCups!$A$2:$B$23,2,FALSE)</f>
        <v>South Africa</v>
      </c>
      <c r="I1499" s="1" t="s">
        <v>28</v>
      </c>
      <c r="J1499" s="1">
        <v>0</v>
      </c>
      <c r="K1499" s="1" t="s">
        <v>243</v>
      </c>
      <c r="L1499" s="1">
        <v>0</v>
      </c>
      <c r="M1499" s="1" t="s">
        <v>14</v>
      </c>
    </row>
    <row r="1500" spans="1:13" hidden="1" x14ac:dyDescent="0.25">
      <c r="A1500" s="1">
        <v>2010</v>
      </c>
      <c r="B1500" s="1">
        <v>750</v>
      </c>
      <c r="C1500" s="2">
        <v>40353</v>
      </c>
      <c r="D1500" s="1" t="s">
        <v>503</v>
      </c>
      <c r="E1500" s="1" t="s">
        <v>274</v>
      </c>
      <c r="F1500" s="1" t="s">
        <v>449</v>
      </c>
      <c r="G1500" s="1" t="s">
        <v>450</v>
      </c>
      <c r="H1500" s="6" t="str">
        <f>VLOOKUP(A1500,WorldCups!$A$2:$B$23,2,FALSE)</f>
        <v>South Africa</v>
      </c>
      <c r="I1500" s="1" t="s">
        <v>243</v>
      </c>
      <c r="J1500" s="1">
        <v>0</v>
      </c>
      <c r="K1500" s="1" t="s">
        <v>28</v>
      </c>
      <c r="L1500" s="1">
        <v>0</v>
      </c>
      <c r="M1500" s="1" t="s">
        <v>14</v>
      </c>
    </row>
    <row r="1501" spans="1:13" hidden="1" x14ac:dyDescent="0.25">
      <c r="A1501" s="1">
        <v>2010</v>
      </c>
      <c r="B1501" s="1">
        <f>B1500+1</f>
        <v>751</v>
      </c>
      <c r="C1501" s="2">
        <v>40353</v>
      </c>
      <c r="D1501" s="1" t="s">
        <v>535</v>
      </c>
      <c r="E1501" s="1" t="s">
        <v>281</v>
      </c>
      <c r="F1501" s="1" t="s">
        <v>447</v>
      </c>
      <c r="G1501" s="1" t="s">
        <v>448</v>
      </c>
      <c r="H1501" s="6" t="str">
        <f>VLOOKUP(A1501,WorldCups!$A$2:$B$23,2,FALSE)</f>
        <v>South Africa</v>
      </c>
      <c r="I1501" s="1" t="s">
        <v>284</v>
      </c>
      <c r="J1501" s="1">
        <v>1</v>
      </c>
      <c r="K1501" s="1" t="s">
        <v>356</v>
      </c>
      <c r="L1501" s="1">
        <v>3</v>
      </c>
      <c r="M1501" s="1" t="s">
        <v>14</v>
      </c>
    </row>
    <row r="1502" spans="1:13" hidden="1" x14ac:dyDescent="0.25">
      <c r="A1502" s="1">
        <v>2010</v>
      </c>
      <c r="B1502" s="1">
        <v>751</v>
      </c>
      <c r="C1502" s="2">
        <v>40353</v>
      </c>
      <c r="D1502" s="1" t="s">
        <v>535</v>
      </c>
      <c r="E1502" s="1" t="s">
        <v>281</v>
      </c>
      <c r="F1502" s="1" t="s">
        <v>447</v>
      </c>
      <c r="G1502" s="1" t="s">
        <v>448</v>
      </c>
      <c r="H1502" s="6" t="str">
        <f>VLOOKUP(A1502,WorldCups!$A$2:$B$23,2,FALSE)</f>
        <v>South Africa</v>
      </c>
      <c r="I1502" s="1" t="s">
        <v>356</v>
      </c>
      <c r="J1502" s="1">
        <v>3</v>
      </c>
      <c r="K1502" s="1" t="s">
        <v>284</v>
      </c>
      <c r="L1502" s="1">
        <v>1</v>
      </c>
      <c r="M1502" s="1" t="s">
        <v>14</v>
      </c>
    </row>
    <row r="1503" spans="1:13" hidden="1" x14ac:dyDescent="0.25">
      <c r="A1503" s="1">
        <v>2010</v>
      </c>
      <c r="B1503" s="1">
        <f>B1502+1</f>
        <v>752</v>
      </c>
      <c r="C1503" s="2">
        <v>40353</v>
      </c>
      <c r="D1503" s="1" t="s">
        <v>535</v>
      </c>
      <c r="E1503" s="1" t="s">
        <v>281</v>
      </c>
      <c r="F1503" s="1" t="s">
        <v>442</v>
      </c>
      <c r="G1503" s="1" t="s">
        <v>443</v>
      </c>
      <c r="H1503" s="6" t="str">
        <f>VLOOKUP(A1503,WorldCups!$A$2:$B$23,2,FALSE)</f>
        <v>South Africa</v>
      </c>
      <c r="I1503" s="1" t="s">
        <v>238</v>
      </c>
      <c r="J1503" s="1">
        <v>1</v>
      </c>
      <c r="K1503" s="1" t="s">
        <v>45</v>
      </c>
      <c r="L1503" s="1">
        <v>2</v>
      </c>
      <c r="M1503" s="1" t="s">
        <v>14</v>
      </c>
    </row>
    <row r="1504" spans="1:13" hidden="1" x14ac:dyDescent="0.25">
      <c r="A1504" s="1">
        <v>2010</v>
      </c>
      <c r="B1504" s="1">
        <v>752</v>
      </c>
      <c r="C1504" s="2">
        <v>40353</v>
      </c>
      <c r="D1504" s="1" t="s">
        <v>535</v>
      </c>
      <c r="E1504" s="1" t="s">
        <v>281</v>
      </c>
      <c r="F1504" s="1" t="s">
        <v>442</v>
      </c>
      <c r="G1504" s="1" t="s">
        <v>443</v>
      </c>
      <c r="H1504" s="6" t="str">
        <f>VLOOKUP(A1504,WorldCups!$A$2:$B$23,2,FALSE)</f>
        <v>South Africa</v>
      </c>
      <c r="I1504" s="1" t="s">
        <v>45</v>
      </c>
      <c r="J1504" s="1">
        <v>2</v>
      </c>
      <c r="K1504" s="1" t="s">
        <v>238</v>
      </c>
      <c r="L1504" s="1">
        <v>1</v>
      </c>
      <c r="M1504" s="1" t="s">
        <v>14</v>
      </c>
    </row>
    <row r="1505" spans="1:13" hidden="1" x14ac:dyDescent="0.25">
      <c r="A1505" s="1">
        <v>2010</v>
      </c>
      <c r="B1505" s="1">
        <f>B1504+1</f>
        <v>753</v>
      </c>
      <c r="C1505" s="2">
        <v>40354</v>
      </c>
      <c r="D1505" s="1" t="s">
        <v>503</v>
      </c>
      <c r="E1505" s="1" t="s">
        <v>361</v>
      </c>
      <c r="F1505" s="1" t="s">
        <v>454</v>
      </c>
      <c r="G1505" s="1" t="s">
        <v>455</v>
      </c>
      <c r="H1505" s="6" t="str">
        <f>VLOOKUP(A1505,WorldCups!$A$2:$B$23,2,FALSE)</f>
        <v>South Africa</v>
      </c>
      <c r="I1505" s="1" t="s">
        <v>170</v>
      </c>
      <c r="J1505" s="1">
        <v>0</v>
      </c>
      <c r="K1505" s="1" t="s">
        <v>21</v>
      </c>
      <c r="L1505" s="1">
        <v>0</v>
      </c>
      <c r="M1505" s="1" t="s">
        <v>14</v>
      </c>
    </row>
    <row r="1506" spans="1:13" hidden="1" x14ac:dyDescent="0.25">
      <c r="A1506" s="1">
        <v>2010</v>
      </c>
      <c r="B1506" s="1">
        <v>753</v>
      </c>
      <c r="C1506" s="2">
        <v>40354</v>
      </c>
      <c r="D1506" s="1" t="s">
        <v>503</v>
      </c>
      <c r="E1506" s="1" t="s">
        <v>361</v>
      </c>
      <c r="F1506" s="1" t="s">
        <v>454</v>
      </c>
      <c r="G1506" s="1" t="s">
        <v>455</v>
      </c>
      <c r="H1506" s="6" t="str">
        <f>VLOOKUP(A1506,WorldCups!$A$2:$B$23,2,FALSE)</f>
        <v>South Africa</v>
      </c>
      <c r="I1506" s="1" t="s">
        <v>21</v>
      </c>
      <c r="J1506" s="1">
        <v>0</v>
      </c>
      <c r="K1506" s="1" t="s">
        <v>170</v>
      </c>
      <c r="L1506" s="1">
        <v>0</v>
      </c>
      <c r="M1506" s="1" t="s">
        <v>14</v>
      </c>
    </row>
    <row r="1507" spans="1:13" hidden="1" x14ac:dyDescent="0.25">
      <c r="A1507" s="1">
        <v>2010</v>
      </c>
      <c r="B1507" s="1">
        <f>B1506+1</f>
        <v>754</v>
      </c>
      <c r="C1507" s="2">
        <v>40354</v>
      </c>
      <c r="D1507" s="1" t="s">
        <v>503</v>
      </c>
      <c r="E1507" s="1" t="s">
        <v>361</v>
      </c>
      <c r="F1507" s="1" t="s">
        <v>459</v>
      </c>
      <c r="G1507" s="1" t="s">
        <v>460</v>
      </c>
      <c r="H1507" s="6" t="str">
        <f>VLOOKUP(A1507,WorldCups!$A$2:$B$23,2,FALSE)</f>
        <v>South Africa</v>
      </c>
      <c r="I1507" s="1" t="s">
        <v>167</v>
      </c>
      <c r="J1507" s="1">
        <v>0</v>
      </c>
      <c r="K1507" s="1" t="s">
        <v>418</v>
      </c>
      <c r="L1507" s="1">
        <v>3</v>
      </c>
      <c r="M1507" s="1" t="s">
        <v>14</v>
      </c>
    </row>
    <row r="1508" spans="1:13" hidden="1" x14ac:dyDescent="0.25">
      <c r="A1508" s="1">
        <v>2010</v>
      </c>
      <c r="B1508" s="1">
        <v>754</v>
      </c>
      <c r="C1508" s="2">
        <v>40354</v>
      </c>
      <c r="D1508" s="1" t="s">
        <v>503</v>
      </c>
      <c r="E1508" s="1" t="s">
        <v>361</v>
      </c>
      <c r="F1508" s="1" t="s">
        <v>459</v>
      </c>
      <c r="G1508" s="1" t="s">
        <v>460</v>
      </c>
      <c r="H1508" s="6" t="str">
        <f>VLOOKUP(A1508,WorldCups!$A$2:$B$23,2,FALSE)</f>
        <v>South Africa</v>
      </c>
      <c r="I1508" s="1" t="s">
        <v>418</v>
      </c>
      <c r="J1508" s="1">
        <v>3</v>
      </c>
      <c r="K1508" s="1" t="s">
        <v>167</v>
      </c>
      <c r="L1508" s="1">
        <v>0</v>
      </c>
      <c r="M1508" s="1" t="s">
        <v>14</v>
      </c>
    </row>
    <row r="1509" spans="1:13" hidden="1" x14ac:dyDescent="0.25">
      <c r="A1509" s="1">
        <v>2010</v>
      </c>
      <c r="B1509" s="1">
        <f>B1508+1</f>
        <v>755</v>
      </c>
      <c r="C1509" s="2">
        <v>40354</v>
      </c>
      <c r="D1509" s="1" t="s">
        <v>535</v>
      </c>
      <c r="E1509" s="1" t="s">
        <v>355</v>
      </c>
      <c r="F1509" s="1" t="s">
        <v>451</v>
      </c>
      <c r="G1509" s="1" t="s">
        <v>452</v>
      </c>
      <c r="H1509" s="6" t="str">
        <f>VLOOKUP(A1509,WorldCups!$A$2:$B$23,2,FALSE)</f>
        <v>South Africa</v>
      </c>
      <c r="I1509" s="1" t="s">
        <v>26</v>
      </c>
      <c r="J1509" s="1">
        <v>1</v>
      </c>
      <c r="K1509" s="1" t="s">
        <v>54</v>
      </c>
      <c r="L1509" s="1">
        <v>2</v>
      </c>
      <c r="M1509" s="1" t="s">
        <v>14</v>
      </c>
    </row>
    <row r="1510" spans="1:13" hidden="1" x14ac:dyDescent="0.25">
      <c r="A1510" s="1">
        <v>2010</v>
      </c>
      <c r="B1510" s="1">
        <v>755</v>
      </c>
      <c r="C1510" s="2">
        <v>40354</v>
      </c>
      <c r="D1510" s="1" t="s">
        <v>535</v>
      </c>
      <c r="E1510" s="1" t="s">
        <v>355</v>
      </c>
      <c r="F1510" s="1" t="s">
        <v>451</v>
      </c>
      <c r="G1510" s="1" t="s">
        <v>452</v>
      </c>
      <c r="H1510" s="6" t="str">
        <f>VLOOKUP(A1510,WorldCups!$A$2:$B$23,2,FALSE)</f>
        <v>South Africa</v>
      </c>
      <c r="I1510" s="1" t="s">
        <v>54</v>
      </c>
      <c r="J1510" s="1">
        <v>2</v>
      </c>
      <c r="K1510" s="1" t="s">
        <v>26</v>
      </c>
      <c r="L1510" s="1">
        <v>1</v>
      </c>
      <c r="M1510" s="1" t="s">
        <v>14</v>
      </c>
    </row>
    <row r="1511" spans="1:13" hidden="1" x14ac:dyDescent="0.25">
      <c r="A1511" s="1">
        <v>2010</v>
      </c>
      <c r="B1511" s="1">
        <f>B1510+1</f>
        <v>756</v>
      </c>
      <c r="C1511" s="2">
        <v>40354</v>
      </c>
      <c r="D1511" s="1" t="s">
        <v>535</v>
      </c>
      <c r="E1511" s="1" t="s">
        <v>355</v>
      </c>
      <c r="F1511" s="1" t="s">
        <v>456</v>
      </c>
      <c r="G1511" s="1" t="s">
        <v>457</v>
      </c>
      <c r="H1511" s="6" t="str">
        <f>VLOOKUP(A1511,WorldCups!$A$2:$B$23,2,FALSE)</f>
        <v>South Africa</v>
      </c>
      <c r="I1511" s="1" t="s">
        <v>44</v>
      </c>
      <c r="J1511" s="1">
        <v>0</v>
      </c>
      <c r="K1511" s="1" t="s">
        <v>252</v>
      </c>
      <c r="L1511" s="1">
        <v>0</v>
      </c>
      <c r="M1511" s="1" t="s">
        <v>14</v>
      </c>
    </row>
    <row r="1512" spans="1:13" hidden="1" x14ac:dyDescent="0.25">
      <c r="A1512" s="1">
        <v>2010</v>
      </c>
      <c r="B1512" s="1">
        <v>756</v>
      </c>
      <c r="C1512" s="2">
        <v>40354</v>
      </c>
      <c r="D1512" s="1" t="s">
        <v>535</v>
      </c>
      <c r="E1512" s="1" t="s">
        <v>355</v>
      </c>
      <c r="F1512" s="1" t="s">
        <v>456</v>
      </c>
      <c r="G1512" s="1" t="s">
        <v>457</v>
      </c>
      <c r="H1512" s="6" t="str">
        <f>VLOOKUP(A1512,WorldCups!$A$2:$B$23,2,FALSE)</f>
        <v>South Africa</v>
      </c>
      <c r="I1512" s="1" t="s">
        <v>252</v>
      </c>
      <c r="J1512" s="1">
        <v>0</v>
      </c>
      <c r="K1512" s="1" t="s">
        <v>44</v>
      </c>
      <c r="L1512" s="1">
        <v>0</v>
      </c>
      <c r="M1512" s="1" t="s">
        <v>14</v>
      </c>
    </row>
    <row r="1513" spans="1:13" hidden="1" x14ac:dyDescent="0.25">
      <c r="A1513" s="1">
        <v>2010</v>
      </c>
      <c r="B1513" s="1">
        <f>B1512+1</f>
        <v>757</v>
      </c>
      <c r="C1513" s="2">
        <v>40355</v>
      </c>
      <c r="D1513" s="1" t="s">
        <v>503</v>
      </c>
      <c r="E1513" s="1" t="s">
        <v>287</v>
      </c>
      <c r="F1513" s="1" t="s">
        <v>444</v>
      </c>
      <c r="G1513" s="1" t="s">
        <v>445</v>
      </c>
      <c r="H1513" s="6" t="str">
        <f>VLOOKUP(A1513,WorldCups!$A$2:$B$23,2,FALSE)</f>
        <v>South Africa</v>
      </c>
      <c r="I1513" s="1" t="s">
        <v>30</v>
      </c>
      <c r="J1513" s="1">
        <v>2</v>
      </c>
      <c r="K1513" s="1" t="s">
        <v>116</v>
      </c>
      <c r="L1513" s="1">
        <v>1</v>
      </c>
      <c r="M1513" s="1" t="s">
        <v>14</v>
      </c>
    </row>
    <row r="1514" spans="1:13" hidden="1" x14ac:dyDescent="0.25">
      <c r="A1514" s="1">
        <v>2010</v>
      </c>
      <c r="B1514" s="1">
        <v>757</v>
      </c>
      <c r="C1514" s="2">
        <v>40355</v>
      </c>
      <c r="D1514" s="1" t="s">
        <v>503</v>
      </c>
      <c r="E1514" s="1" t="s">
        <v>287</v>
      </c>
      <c r="F1514" s="1" t="s">
        <v>444</v>
      </c>
      <c r="G1514" s="1" t="s">
        <v>445</v>
      </c>
      <c r="H1514" s="6" t="str">
        <f>VLOOKUP(A1514,WorldCups!$A$2:$B$23,2,FALSE)</f>
        <v>South Africa</v>
      </c>
      <c r="I1514" s="1" t="s">
        <v>116</v>
      </c>
      <c r="J1514" s="1">
        <v>1</v>
      </c>
      <c r="K1514" s="1" t="s">
        <v>30</v>
      </c>
      <c r="L1514" s="1">
        <v>2</v>
      </c>
      <c r="M1514" s="1" t="s">
        <v>14</v>
      </c>
    </row>
    <row r="1515" spans="1:13" hidden="1" x14ac:dyDescent="0.25">
      <c r="A1515" s="1">
        <v>2010</v>
      </c>
      <c r="B1515" s="1">
        <f>B1514+1</f>
        <v>758</v>
      </c>
      <c r="C1515" s="2">
        <v>40355</v>
      </c>
      <c r="D1515" s="1" t="s">
        <v>535</v>
      </c>
      <c r="E1515" s="1" t="s">
        <v>287</v>
      </c>
      <c r="F1515" s="1" t="s">
        <v>447</v>
      </c>
      <c r="G1515" s="1" t="s">
        <v>448</v>
      </c>
      <c r="H1515" s="6" t="str">
        <f>VLOOKUP(A1515,WorldCups!$A$2:$B$23,2,FALSE)</f>
        <v>South Africa</v>
      </c>
      <c r="I1515" s="1" t="s">
        <v>17</v>
      </c>
      <c r="J1515" s="1">
        <v>1</v>
      </c>
      <c r="K1515" s="1" t="s">
        <v>431</v>
      </c>
      <c r="L1515" s="1">
        <v>2</v>
      </c>
      <c r="M1515" s="1" t="s">
        <v>461</v>
      </c>
    </row>
    <row r="1516" spans="1:13" hidden="1" x14ac:dyDescent="0.25">
      <c r="A1516" s="1">
        <v>2010</v>
      </c>
      <c r="B1516" s="1">
        <v>758</v>
      </c>
      <c r="C1516" s="2">
        <v>40355</v>
      </c>
      <c r="D1516" s="1" t="s">
        <v>535</v>
      </c>
      <c r="E1516" s="1" t="s">
        <v>287</v>
      </c>
      <c r="F1516" s="1" t="s">
        <v>447</v>
      </c>
      <c r="G1516" s="1" t="s">
        <v>448</v>
      </c>
      <c r="H1516" s="6" t="str">
        <f>VLOOKUP(A1516,WorldCups!$A$2:$B$23,2,FALSE)</f>
        <v>South Africa</v>
      </c>
      <c r="I1516" s="1" t="s">
        <v>431</v>
      </c>
      <c r="J1516" s="1">
        <v>2</v>
      </c>
      <c r="K1516" s="1" t="s">
        <v>17</v>
      </c>
      <c r="L1516" s="1">
        <v>1</v>
      </c>
      <c r="M1516" s="1" t="s">
        <v>461</v>
      </c>
    </row>
    <row r="1517" spans="1:13" hidden="1" x14ac:dyDescent="0.25">
      <c r="A1517" s="1">
        <v>2010</v>
      </c>
      <c r="B1517" s="1">
        <f>B1516+1</f>
        <v>759</v>
      </c>
      <c r="C1517" s="2">
        <v>40356</v>
      </c>
      <c r="D1517" s="1" t="s">
        <v>503</v>
      </c>
      <c r="E1517" s="1" t="s">
        <v>287</v>
      </c>
      <c r="F1517" s="1" t="s">
        <v>456</v>
      </c>
      <c r="G1517" s="1" t="s">
        <v>457</v>
      </c>
      <c r="H1517" s="6" t="str">
        <f>VLOOKUP(A1517,WorldCups!$A$2:$B$23,2,FALSE)</f>
        <v>South Africa</v>
      </c>
      <c r="I1517" s="1" t="s">
        <v>51</v>
      </c>
      <c r="J1517" s="1">
        <v>4</v>
      </c>
      <c r="K1517" s="1" t="s">
        <v>93</v>
      </c>
      <c r="L1517" s="1">
        <v>1</v>
      </c>
      <c r="M1517" s="1" t="s">
        <v>14</v>
      </c>
    </row>
    <row r="1518" spans="1:13" hidden="1" x14ac:dyDescent="0.25">
      <c r="A1518" s="1">
        <v>2010</v>
      </c>
      <c r="B1518" s="1">
        <v>759</v>
      </c>
      <c r="C1518" s="2">
        <v>40356</v>
      </c>
      <c r="D1518" s="1" t="s">
        <v>503</v>
      </c>
      <c r="E1518" s="1" t="s">
        <v>287</v>
      </c>
      <c r="F1518" s="1" t="s">
        <v>456</v>
      </c>
      <c r="G1518" s="1" t="s">
        <v>457</v>
      </c>
      <c r="H1518" s="6" t="str">
        <f>VLOOKUP(A1518,WorldCups!$A$2:$B$23,2,FALSE)</f>
        <v>South Africa</v>
      </c>
      <c r="I1518" s="1" t="s">
        <v>93</v>
      </c>
      <c r="J1518" s="1">
        <v>1</v>
      </c>
      <c r="K1518" s="1" t="s">
        <v>51</v>
      </c>
      <c r="L1518" s="1">
        <v>4</v>
      </c>
      <c r="M1518" s="1" t="s">
        <v>14</v>
      </c>
    </row>
    <row r="1519" spans="1:13" hidden="1" x14ac:dyDescent="0.25">
      <c r="A1519" s="1">
        <v>2010</v>
      </c>
      <c r="B1519" s="1">
        <f>B1518+1</f>
        <v>760</v>
      </c>
      <c r="C1519" s="2">
        <v>40356</v>
      </c>
      <c r="D1519" s="1" t="s">
        <v>535</v>
      </c>
      <c r="E1519" s="1" t="s">
        <v>287</v>
      </c>
      <c r="F1519" s="1" t="s">
        <v>440</v>
      </c>
      <c r="G1519" s="1" t="s">
        <v>441</v>
      </c>
      <c r="H1519" s="6" t="str">
        <f>VLOOKUP(A1519,WorldCups!$A$2:$B$23,2,FALSE)</f>
        <v>South Africa</v>
      </c>
      <c r="I1519" s="1" t="s">
        <v>25</v>
      </c>
      <c r="J1519" s="1">
        <v>3</v>
      </c>
      <c r="K1519" s="1" t="s">
        <v>13</v>
      </c>
      <c r="L1519" s="1">
        <v>1</v>
      </c>
      <c r="M1519" s="1" t="s">
        <v>14</v>
      </c>
    </row>
    <row r="1520" spans="1:13" hidden="1" x14ac:dyDescent="0.25">
      <c r="A1520" s="1">
        <v>2010</v>
      </c>
      <c r="B1520" s="1">
        <v>760</v>
      </c>
      <c r="C1520" s="2">
        <v>40356</v>
      </c>
      <c r="D1520" s="1" t="s">
        <v>535</v>
      </c>
      <c r="E1520" s="1" t="s">
        <v>287</v>
      </c>
      <c r="F1520" s="1" t="s">
        <v>440</v>
      </c>
      <c r="G1520" s="1" t="s">
        <v>441</v>
      </c>
      <c r="H1520" s="6" t="str">
        <f>VLOOKUP(A1520,WorldCups!$A$2:$B$23,2,FALSE)</f>
        <v>South Africa</v>
      </c>
      <c r="I1520" s="1" t="s">
        <v>13</v>
      </c>
      <c r="J1520" s="1">
        <v>1</v>
      </c>
      <c r="K1520" s="1" t="s">
        <v>25</v>
      </c>
      <c r="L1520" s="1">
        <v>3</v>
      </c>
      <c r="M1520" s="1" t="s">
        <v>14</v>
      </c>
    </row>
    <row r="1521" spans="1:13" hidden="1" x14ac:dyDescent="0.25">
      <c r="A1521" s="1">
        <v>2010</v>
      </c>
      <c r="B1521" s="1">
        <f>B1520+1</f>
        <v>761</v>
      </c>
      <c r="C1521" s="2">
        <v>40357</v>
      </c>
      <c r="D1521" s="1" t="s">
        <v>503</v>
      </c>
      <c r="E1521" s="1" t="s">
        <v>287</v>
      </c>
      <c r="F1521" s="1" t="s">
        <v>454</v>
      </c>
      <c r="G1521" s="1" t="s">
        <v>455</v>
      </c>
      <c r="H1521" s="6" t="str">
        <f>VLOOKUP(A1521,WorldCups!$A$2:$B$23,2,FALSE)</f>
        <v>South Africa</v>
      </c>
      <c r="I1521" s="1" t="s">
        <v>45</v>
      </c>
      <c r="J1521" s="1">
        <v>2</v>
      </c>
      <c r="K1521" s="1" t="s">
        <v>458</v>
      </c>
      <c r="L1521" s="1">
        <v>1</v>
      </c>
      <c r="M1521" s="1" t="s">
        <v>14</v>
      </c>
    </row>
    <row r="1522" spans="1:13" hidden="1" x14ac:dyDescent="0.25">
      <c r="A1522" s="1">
        <v>2010</v>
      </c>
      <c r="B1522" s="1">
        <v>761</v>
      </c>
      <c r="C1522" s="2">
        <v>40357</v>
      </c>
      <c r="D1522" s="1" t="s">
        <v>503</v>
      </c>
      <c r="E1522" s="1" t="s">
        <v>287</v>
      </c>
      <c r="F1522" s="1" t="s">
        <v>454</v>
      </c>
      <c r="G1522" s="1" t="s">
        <v>455</v>
      </c>
      <c r="H1522" s="6" t="str">
        <f>VLOOKUP(A1522,WorldCups!$A$2:$B$23,2,FALSE)</f>
        <v>South Africa</v>
      </c>
      <c r="I1522" s="1" t="s">
        <v>458</v>
      </c>
      <c r="J1522" s="1">
        <v>1</v>
      </c>
      <c r="K1522" s="1" t="s">
        <v>45</v>
      </c>
      <c r="L1522" s="1">
        <v>2</v>
      </c>
      <c r="M1522" s="1" t="s">
        <v>14</v>
      </c>
    </row>
    <row r="1523" spans="1:13" hidden="1" x14ac:dyDescent="0.25">
      <c r="A1523" s="1">
        <v>2010</v>
      </c>
      <c r="B1523" s="1">
        <f>B1522+1</f>
        <v>762</v>
      </c>
      <c r="C1523" s="2">
        <v>40357</v>
      </c>
      <c r="D1523" s="1" t="s">
        <v>535</v>
      </c>
      <c r="E1523" s="1" t="s">
        <v>287</v>
      </c>
      <c r="F1523" s="1" t="s">
        <v>446</v>
      </c>
      <c r="G1523" s="1" t="s">
        <v>441</v>
      </c>
      <c r="H1523" s="6" t="str">
        <f>VLOOKUP(A1523,WorldCups!$A$2:$B$23,2,FALSE)</f>
        <v>South Africa</v>
      </c>
      <c r="I1523" s="1" t="s">
        <v>21</v>
      </c>
      <c r="J1523" s="1">
        <v>3</v>
      </c>
      <c r="K1523" s="1" t="s">
        <v>26</v>
      </c>
      <c r="L1523" s="1">
        <v>0</v>
      </c>
      <c r="M1523" s="1" t="s">
        <v>14</v>
      </c>
    </row>
    <row r="1524" spans="1:13" hidden="1" x14ac:dyDescent="0.25">
      <c r="A1524" s="1">
        <v>2010</v>
      </c>
      <c r="B1524" s="1">
        <v>762</v>
      </c>
      <c r="C1524" s="2">
        <v>40357</v>
      </c>
      <c r="D1524" s="1" t="s">
        <v>535</v>
      </c>
      <c r="E1524" s="1" t="s">
        <v>287</v>
      </c>
      <c r="F1524" s="1" t="s">
        <v>446</v>
      </c>
      <c r="G1524" s="1" t="s">
        <v>441</v>
      </c>
      <c r="H1524" s="6" t="str">
        <f>VLOOKUP(A1524,WorldCups!$A$2:$B$23,2,FALSE)</f>
        <v>South Africa</v>
      </c>
      <c r="I1524" s="1" t="s">
        <v>26</v>
      </c>
      <c r="J1524" s="1">
        <v>0</v>
      </c>
      <c r="K1524" s="1" t="s">
        <v>21</v>
      </c>
      <c r="L1524" s="1">
        <v>3</v>
      </c>
      <c r="M1524" s="1" t="s">
        <v>14</v>
      </c>
    </row>
    <row r="1525" spans="1:13" hidden="1" x14ac:dyDescent="0.25">
      <c r="A1525" s="1">
        <v>2010</v>
      </c>
      <c r="B1525" s="1">
        <f>B1524+1</f>
        <v>763</v>
      </c>
      <c r="C1525" s="2">
        <v>40358</v>
      </c>
      <c r="D1525" s="1" t="s">
        <v>503</v>
      </c>
      <c r="E1525" s="1" t="s">
        <v>287</v>
      </c>
      <c r="F1525" s="1" t="s">
        <v>451</v>
      </c>
      <c r="G1525" s="1" t="s">
        <v>452</v>
      </c>
      <c r="H1525" s="6" t="str">
        <f>VLOOKUP(A1525,WorldCups!$A$2:$B$23,2,FALSE)</f>
        <v>South Africa</v>
      </c>
      <c r="I1525" s="1" t="s">
        <v>28</v>
      </c>
      <c r="J1525" s="1">
        <v>0</v>
      </c>
      <c r="K1525" s="1" t="s">
        <v>356</v>
      </c>
      <c r="L1525" s="1">
        <v>0</v>
      </c>
      <c r="M1525" s="1" t="s">
        <v>462</v>
      </c>
    </row>
    <row r="1526" spans="1:13" hidden="1" x14ac:dyDescent="0.25">
      <c r="A1526" s="1">
        <v>2010</v>
      </c>
      <c r="B1526" s="1">
        <v>763</v>
      </c>
      <c r="C1526" s="2">
        <v>40358</v>
      </c>
      <c r="D1526" s="1" t="s">
        <v>503</v>
      </c>
      <c r="E1526" s="1" t="s">
        <v>287</v>
      </c>
      <c r="F1526" s="1" t="s">
        <v>451</v>
      </c>
      <c r="G1526" s="1" t="s">
        <v>452</v>
      </c>
      <c r="H1526" s="6" t="str">
        <f>VLOOKUP(A1526,WorldCups!$A$2:$B$23,2,FALSE)</f>
        <v>South Africa</v>
      </c>
      <c r="I1526" s="1" t="s">
        <v>356</v>
      </c>
      <c r="J1526" s="1">
        <v>0</v>
      </c>
      <c r="K1526" s="1" t="s">
        <v>28</v>
      </c>
      <c r="L1526" s="1">
        <v>0</v>
      </c>
      <c r="M1526" s="1" t="s">
        <v>462</v>
      </c>
    </row>
    <row r="1527" spans="1:13" hidden="1" x14ac:dyDescent="0.25">
      <c r="A1527" s="1">
        <v>2010</v>
      </c>
      <c r="B1527" s="1">
        <f>B1526+1</f>
        <v>764</v>
      </c>
      <c r="C1527" s="2">
        <v>40358</v>
      </c>
      <c r="D1527" s="1" t="s">
        <v>535</v>
      </c>
      <c r="E1527" s="1" t="s">
        <v>287</v>
      </c>
      <c r="F1527" s="1" t="s">
        <v>442</v>
      </c>
      <c r="G1527" s="1" t="s">
        <v>443</v>
      </c>
      <c r="H1527" s="6" t="str">
        <f>VLOOKUP(A1527,WorldCups!$A$2:$B$23,2,FALSE)</f>
        <v>South Africa</v>
      </c>
      <c r="I1527" s="1" t="s">
        <v>54</v>
      </c>
      <c r="J1527" s="1">
        <v>1</v>
      </c>
      <c r="K1527" s="1" t="s">
        <v>170</v>
      </c>
      <c r="L1527" s="1">
        <v>0</v>
      </c>
      <c r="M1527" s="1" t="s">
        <v>14</v>
      </c>
    </row>
    <row r="1528" spans="1:13" hidden="1" x14ac:dyDescent="0.25">
      <c r="A1528" s="1">
        <v>2010</v>
      </c>
      <c r="B1528" s="1">
        <v>764</v>
      </c>
      <c r="C1528" s="2">
        <v>40358</v>
      </c>
      <c r="D1528" s="1" t="s">
        <v>535</v>
      </c>
      <c r="E1528" s="1" t="s">
        <v>287</v>
      </c>
      <c r="F1528" s="1" t="s">
        <v>442</v>
      </c>
      <c r="G1528" s="1" t="s">
        <v>443</v>
      </c>
      <c r="H1528" s="6" t="str">
        <f>VLOOKUP(A1528,WorldCups!$A$2:$B$23,2,FALSE)</f>
        <v>South Africa</v>
      </c>
      <c r="I1528" s="1" t="s">
        <v>170</v>
      </c>
      <c r="J1528" s="1">
        <v>0</v>
      </c>
      <c r="K1528" s="1" t="s">
        <v>54</v>
      </c>
      <c r="L1528" s="1">
        <v>1</v>
      </c>
      <c r="M1528" s="1" t="s">
        <v>14</v>
      </c>
    </row>
    <row r="1529" spans="1:13" hidden="1" x14ac:dyDescent="0.25">
      <c r="A1529" s="1">
        <v>2010</v>
      </c>
      <c r="B1529" s="1">
        <f>B1528+1</f>
        <v>765</v>
      </c>
      <c r="C1529" s="2">
        <v>40361</v>
      </c>
      <c r="D1529" s="1" t="s">
        <v>503</v>
      </c>
      <c r="E1529" s="1" t="s">
        <v>61</v>
      </c>
      <c r="F1529" s="1" t="s">
        <v>444</v>
      </c>
      <c r="G1529" s="1" t="s">
        <v>445</v>
      </c>
      <c r="H1529" s="6" t="str">
        <f>VLOOKUP(A1529,WorldCups!$A$2:$B$23,2,FALSE)</f>
        <v>South Africa</v>
      </c>
      <c r="I1529" s="1" t="s">
        <v>45</v>
      </c>
      <c r="J1529" s="1">
        <v>2</v>
      </c>
      <c r="K1529" s="1" t="s">
        <v>21</v>
      </c>
      <c r="L1529" s="1">
        <v>1</v>
      </c>
      <c r="M1529" s="1" t="s">
        <v>14</v>
      </c>
    </row>
    <row r="1530" spans="1:13" hidden="1" x14ac:dyDescent="0.25">
      <c r="A1530" s="1">
        <v>2010</v>
      </c>
      <c r="B1530" s="1">
        <v>765</v>
      </c>
      <c r="C1530" s="2">
        <v>40361</v>
      </c>
      <c r="D1530" s="1" t="s">
        <v>503</v>
      </c>
      <c r="E1530" s="1" t="s">
        <v>61</v>
      </c>
      <c r="F1530" s="1" t="s">
        <v>444</v>
      </c>
      <c r="G1530" s="1" t="s">
        <v>445</v>
      </c>
      <c r="H1530" s="6" t="str">
        <f>VLOOKUP(A1530,WorldCups!$A$2:$B$23,2,FALSE)</f>
        <v>South Africa</v>
      </c>
      <c r="I1530" s="1" t="s">
        <v>21</v>
      </c>
      <c r="J1530" s="1">
        <v>1</v>
      </c>
      <c r="K1530" s="1" t="s">
        <v>45</v>
      </c>
      <c r="L1530" s="1">
        <v>2</v>
      </c>
      <c r="M1530" s="1" t="s">
        <v>14</v>
      </c>
    </row>
    <row r="1531" spans="1:13" hidden="1" x14ac:dyDescent="0.25">
      <c r="A1531" s="1">
        <v>2010</v>
      </c>
      <c r="B1531" s="1">
        <f>B1530+1</f>
        <v>766</v>
      </c>
      <c r="C1531" s="2">
        <v>40361</v>
      </c>
      <c r="D1531" s="1" t="s">
        <v>535</v>
      </c>
      <c r="E1531" s="1" t="s">
        <v>61</v>
      </c>
      <c r="F1531" s="1" t="s">
        <v>440</v>
      </c>
      <c r="G1531" s="1" t="s">
        <v>441</v>
      </c>
      <c r="H1531" s="6" t="str">
        <f>VLOOKUP(A1531,WorldCups!$A$2:$B$23,2,FALSE)</f>
        <v>South Africa</v>
      </c>
      <c r="I1531" s="1" t="s">
        <v>30</v>
      </c>
      <c r="J1531" s="1">
        <v>1</v>
      </c>
      <c r="K1531" s="1" t="s">
        <v>431</v>
      </c>
      <c r="L1531" s="1">
        <v>1</v>
      </c>
      <c r="M1531" s="1" t="s">
        <v>463</v>
      </c>
    </row>
    <row r="1532" spans="1:13" hidden="1" x14ac:dyDescent="0.25">
      <c r="A1532" s="1">
        <v>2010</v>
      </c>
      <c r="B1532" s="1">
        <v>766</v>
      </c>
      <c r="C1532" s="2">
        <v>40361</v>
      </c>
      <c r="D1532" s="1" t="s">
        <v>535</v>
      </c>
      <c r="E1532" s="1" t="s">
        <v>61</v>
      </c>
      <c r="F1532" s="1" t="s">
        <v>440</v>
      </c>
      <c r="G1532" s="1" t="s">
        <v>441</v>
      </c>
      <c r="H1532" s="6" t="str">
        <f>VLOOKUP(A1532,WorldCups!$A$2:$B$23,2,FALSE)</f>
        <v>South Africa</v>
      </c>
      <c r="I1532" s="1" t="s">
        <v>431</v>
      </c>
      <c r="J1532" s="1">
        <v>1</v>
      </c>
      <c r="K1532" s="1" t="s">
        <v>30</v>
      </c>
      <c r="L1532" s="1">
        <v>1</v>
      </c>
      <c r="M1532" s="1" t="s">
        <v>463</v>
      </c>
    </row>
    <row r="1533" spans="1:13" hidden="1" x14ac:dyDescent="0.25">
      <c r="A1533" s="1">
        <v>2010</v>
      </c>
      <c r="B1533" s="1">
        <f>B1532+1</f>
        <v>767</v>
      </c>
      <c r="C1533" s="2">
        <v>40362</v>
      </c>
      <c r="D1533" s="1" t="s">
        <v>503</v>
      </c>
      <c r="E1533" s="1" t="s">
        <v>61</v>
      </c>
      <c r="F1533" s="1" t="s">
        <v>442</v>
      </c>
      <c r="G1533" s="1" t="s">
        <v>443</v>
      </c>
      <c r="H1533" s="6" t="str">
        <f>VLOOKUP(A1533,WorldCups!$A$2:$B$23,2,FALSE)</f>
        <v>South Africa</v>
      </c>
      <c r="I1533" s="1" t="s">
        <v>25</v>
      </c>
      <c r="J1533" s="1">
        <v>0</v>
      </c>
      <c r="K1533" s="1" t="s">
        <v>51</v>
      </c>
      <c r="L1533" s="1">
        <v>4</v>
      </c>
      <c r="M1533" s="1" t="s">
        <v>14</v>
      </c>
    </row>
    <row r="1534" spans="1:13" hidden="1" x14ac:dyDescent="0.25">
      <c r="A1534" s="1">
        <v>2010</v>
      </c>
      <c r="B1534" s="1">
        <v>767</v>
      </c>
      <c r="C1534" s="2">
        <v>40362</v>
      </c>
      <c r="D1534" s="1" t="s">
        <v>503</v>
      </c>
      <c r="E1534" s="1" t="s">
        <v>61</v>
      </c>
      <c r="F1534" s="1" t="s">
        <v>442</v>
      </c>
      <c r="G1534" s="1" t="s">
        <v>443</v>
      </c>
      <c r="H1534" s="6" t="str">
        <f>VLOOKUP(A1534,WorldCups!$A$2:$B$23,2,FALSE)</f>
        <v>South Africa</v>
      </c>
      <c r="I1534" s="1" t="s">
        <v>51</v>
      </c>
      <c r="J1534" s="1">
        <v>4</v>
      </c>
      <c r="K1534" s="1" t="s">
        <v>25</v>
      </c>
      <c r="L1534" s="1">
        <v>0</v>
      </c>
      <c r="M1534" s="1" t="s">
        <v>14</v>
      </c>
    </row>
    <row r="1535" spans="1:13" hidden="1" x14ac:dyDescent="0.25">
      <c r="A1535" s="1">
        <v>2010</v>
      </c>
      <c r="B1535" s="1">
        <f>B1534+1</f>
        <v>768</v>
      </c>
      <c r="C1535" s="2">
        <v>40362</v>
      </c>
      <c r="D1535" s="1" t="s">
        <v>535</v>
      </c>
      <c r="E1535" s="1" t="s">
        <v>61</v>
      </c>
      <c r="F1535" s="1" t="s">
        <v>446</v>
      </c>
      <c r="G1535" s="1" t="s">
        <v>441</v>
      </c>
      <c r="H1535" s="6" t="str">
        <f>VLOOKUP(A1535,WorldCups!$A$2:$B$23,2,FALSE)</f>
        <v>South Africa</v>
      </c>
      <c r="I1535" s="1" t="s">
        <v>28</v>
      </c>
      <c r="J1535" s="1">
        <v>0</v>
      </c>
      <c r="K1535" s="1" t="s">
        <v>54</v>
      </c>
      <c r="L1535" s="1">
        <v>1</v>
      </c>
      <c r="M1535" s="1" t="s">
        <v>14</v>
      </c>
    </row>
    <row r="1536" spans="1:13" hidden="1" x14ac:dyDescent="0.25">
      <c r="A1536" s="1">
        <v>2010</v>
      </c>
      <c r="B1536" s="1">
        <v>768</v>
      </c>
      <c r="C1536" s="2">
        <v>40362</v>
      </c>
      <c r="D1536" s="1" t="s">
        <v>535</v>
      </c>
      <c r="E1536" s="1" t="s">
        <v>61</v>
      </c>
      <c r="F1536" s="1" t="s">
        <v>446</v>
      </c>
      <c r="G1536" s="1" t="s">
        <v>441</v>
      </c>
      <c r="H1536" s="6" t="str">
        <f>VLOOKUP(A1536,WorldCups!$A$2:$B$23,2,FALSE)</f>
        <v>South Africa</v>
      </c>
      <c r="I1536" s="1" t="s">
        <v>54</v>
      </c>
      <c r="J1536" s="1">
        <v>1</v>
      </c>
      <c r="K1536" s="1" t="s">
        <v>28</v>
      </c>
      <c r="L1536" s="1">
        <v>0</v>
      </c>
      <c r="M1536" s="1" t="s">
        <v>14</v>
      </c>
    </row>
    <row r="1537" spans="1:13" hidden="1" x14ac:dyDescent="0.25">
      <c r="A1537" s="1">
        <v>2010</v>
      </c>
      <c r="B1537" s="1">
        <f>B1536+1</f>
        <v>769</v>
      </c>
      <c r="C1537" s="2">
        <v>40365</v>
      </c>
      <c r="D1537" s="1" t="s">
        <v>535</v>
      </c>
      <c r="E1537" s="1" t="s">
        <v>31</v>
      </c>
      <c r="F1537" s="1" t="s">
        <v>442</v>
      </c>
      <c r="G1537" s="1" t="s">
        <v>443</v>
      </c>
      <c r="H1537" s="6" t="str">
        <f>VLOOKUP(A1537,WorldCups!$A$2:$B$23,2,FALSE)</f>
        <v>South Africa</v>
      </c>
      <c r="I1537" s="1" t="s">
        <v>30</v>
      </c>
      <c r="J1537" s="1">
        <v>2</v>
      </c>
      <c r="K1537" s="1" t="s">
        <v>45</v>
      </c>
      <c r="L1537" s="1">
        <v>3</v>
      </c>
      <c r="M1537" s="1" t="s">
        <v>14</v>
      </c>
    </row>
    <row r="1538" spans="1:13" hidden="1" x14ac:dyDescent="0.25">
      <c r="A1538" s="1">
        <v>2010</v>
      </c>
      <c r="B1538" s="1">
        <v>769</v>
      </c>
      <c r="C1538" s="2">
        <v>40365</v>
      </c>
      <c r="D1538" s="1" t="s">
        <v>535</v>
      </c>
      <c r="E1538" s="1" t="s">
        <v>31</v>
      </c>
      <c r="F1538" s="1" t="s">
        <v>442</v>
      </c>
      <c r="G1538" s="1" t="s">
        <v>443</v>
      </c>
      <c r="H1538" s="6" t="str">
        <f>VLOOKUP(A1538,WorldCups!$A$2:$B$23,2,FALSE)</f>
        <v>South Africa</v>
      </c>
      <c r="I1538" s="1" t="s">
        <v>45</v>
      </c>
      <c r="J1538" s="1">
        <v>3</v>
      </c>
      <c r="K1538" s="1" t="s">
        <v>30</v>
      </c>
      <c r="L1538" s="1">
        <v>2</v>
      </c>
      <c r="M1538" s="1" t="s">
        <v>14</v>
      </c>
    </row>
    <row r="1539" spans="1:13" hidden="1" x14ac:dyDescent="0.25">
      <c r="A1539" s="1">
        <v>2010</v>
      </c>
      <c r="B1539" s="1">
        <f>B1538+1</f>
        <v>770</v>
      </c>
      <c r="C1539" s="2">
        <v>40366</v>
      </c>
      <c r="D1539" s="1" t="s">
        <v>535</v>
      </c>
      <c r="E1539" s="1" t="s">
        <v>31</v>
      </c>
      <c r="F1539" s="1" t="s">
        <v>454</v>
      </c>
      <c r="G1539" s="1" t="s">
        <v>455</v>
      </c>
      <c r="H1539" s="6" t="str">
        <f>VLOOKUP(A1539,WorldCups!$A$2:$B$23,2,FALSE)</f>
        <v>South Africa</v>
      </c>
      <c r="I1539" s="1" t="s">
        <v>51</v>
      </c>
      <c r="J1539" s="1">
        <v>0</v>
      </c>
      <c r="K1539" s="1" t="s">
        <v>54</v>
      </c>
      <c r="L1539" s="1">
        <v>1</v>
      </c>
      <c r="M1539" s="1" t="s">
        <v>14</v>
      </c>
    </row>
    <row r="1540" spans="1:13" hidden="1" x14ac:dyDescent="0.25">
      <c r="A1540" s="1">
        <v>2010</v>
      </c>
      <c r="B1540" s="1">
        <v>770</v>
      </c>
      <c r="C1540" s="2">
        <v>40366</v>
      </c>
      <c r="D1540" s="1" t="s">
        <v>535</v>
      </c>
      <c r="E1540" s="1" t="s">
        <v>31</v>
      </c>
      <c r="F1540" s="1" t="s">
        <v>454</v>
      </c>
      <c r="G1540" s="1" t="s">
        <v>455</v>
      </c>
      <c r="H1540" s="6" t="str">
        <f>VLOOKUP(A1540,WorldCups!$A$2:$B$23,2,FALSE)</f>
        <v>South Africa</v>
      </c>
      <c r="I1540" s="1" t="s">
        <v>54</v>
      </c>
      <c r="J1540" s="1">
        <v>1</v>
      </c>
      <c r="K1540" s="1" t="s">
        <v>51</v>
      </c>
      <c r="L1540" s="1">
        <v>0</v>
      </c>
      <c r="M1540" s="1" t="s">
        <v>14</v>
      </c>
    </row>
    <row r="1541" spans="1:13" hidden="1" x14ac:dyDescent="0.25">
      <c r="A1541" s="1">
        <v>2010</v>
      </c>
      <c r="B1541" s="1">
        <f>B1540+1</f>
        <v>771</v>
      </c>
      <c r="C1541" s="2">
        <v>40369</v>
      </c>
      <c r="D1541" s="1" t="s">
        <v>535</v>
      </c>
      <c r="E1541" s="1" t="s">
        <v>62</v>
      </c>
      <c r="F1541" s="1" t="s">
        <v>444</v>
      </c>
      <c r="G1541" s="1" t="s">
        <v>445</v>
      </c>
      <c r="H1541" s="6" t="str">
        <f>VLOOKUP(A1541,WorldCups!$A$2:$B$23,2,FALSE)</f>
        <v>South Africa</v>
      </c>
      <c r="I1541" s="1" t="s">
        <v>30</v>
      </c>
      <c r="J1541" s="1">
        <v>2</v>
      </c>
      <c r="K1541" s="1" t="s">
        <v>51</v>
      </c>
      <c r="L1541" s="1">
        <v>3</v>
      </c>
      <c r="M1541" s="1" t="s">
        <v>14</v>
      </c>
    </row>
    <row r="1542" spans="1:13" hidden="1" x14ac:dyDescent="0.25">
      <c r="A1542" s="1">
        <v>2010</v>
      </c>
      <c r="B1542" s="1">
        <v>771</v>
      </c>
      <c r="C1542" s="2">
        <v>40369</v>
      </c>
      <c r="D1542" s="1" t="s">
        <v>535</v>
      </c>
      <c r="E1542" s="1" t="s">
        <v>62</v>
      </c>
      <c r="F1542" s="1" t="s">
        <v>444</v>
      </c>
      <c r="G1542" s="1" t="s">
        <v>445</v>
      </c>
      <c r="H1542" s="6" t="str">
        <f>VLOOKUP(A1542,WorldCups!$A$2:$B$23,2,FALSE)</f>
        <v>South Africa</v>
      </c>
      <c r="I1542" s="1" t="s">
        <v>51</v>
      </c>
      <c r="J1542" s="1">
        <v>3</v>
      </c>
      <c r="K1542" s="1" t="s">
        <v>30</v>
      </c>
      <c r="L1542" s="1">
        <v>2</v>
      </c>
      <c r="M1542" s="1" t="s">
        <v>14</v>
      </c>
    </row>
    <row r="1543" spans="1:13" hidden="1" x14ac:dyDescent="0.25">
      <c r="A1543" s="1">
        <v>2010</v>
      </c>
      <c r="B1543" s="1">
        <f>B1542+1</f>
        <v>772</v>
      </c>
      <c r="C1543" s="2">
        <v>40370</v>
      </c>
      <c r="D1543" s="1" t="s">
        <v>535</v>
      </c>
      <c r="E1543" s="1" t="s">
        <v>32</v>
      </c>
      <c r="F1543" s="1" t="s">
        <v>440</v>
      </c>
      <c r="G1543" s="1" t="s">
        <v>441</v>
      </c>
      <c r="H1543" s="6" t="str">
        <f>VLOOKUP(A1543,WorldCups!$A$2:$B$23,2,FALSE)</f>
        <v>South Africa</v>
      </c>
      <c r="I1543" s="1" t="s">
        <v>45</v>
      </c>
      <c r="J1543" s="1">
        <v>0</v>
      </c>
      <c r="K1543" s="1" t="s">
        <v>54</v>
      </c>
      <c r="L1543" s="1">
        <v>1</v>
      </c>
      <c r="M1543" s="1" t="s">
        <v>464</v>
      </c>
    </row>
    <row r="1544" spans="1:13" hidden="1" x14ac:dyDescent="0.25">
      <c r="A1544" s="1">
        <v>2010</v>
      </c>
      <c r="B1544" s="1">
        <v>772</v>
      </c>
      <c r="C1544" s="2">
        <v>40370</v>
      </c>
      <c r="D1544" s="1" t="s">
        <v>535</v>
      </c>
      <c r="E1544" s="1" t="s">
        <v>32</v>
      </c>
      <c r="F1544" s="1" t="s">
        <v>440</v>
      </c>
      <c r="G1544" s="1" t="s">
        <v>441</v>
      </c>
      <c r="H1544" s="6" t="str">
        <f>VLOOKUP(A1544,WorldCups!$A$2:$B$23,2,FALSE)</f>
        <v>South Africa</v>
      </c>
      <c r="I1544" s="1" t="s">
        <v>54</v>
      </c>
      <c r="J1544" s="1">
        <v>1</v>
      </c>
      <c r="K1544" s="1" t="s">
        <v>45</v>
      </c>
      <c r="L1544" s="1">
        <v>0</v>
      </c>
      <c r="M1544" s="1" t="s">
        <v>464</v>
      </c>
    </row>
    <row r="1545" spans="1:13" hidden="1" x14ac:dyDescent="0.25">
      <c r="A1545" s="1">
        <v>2014</v>
      </c>
      <c r="B1545" s="1">
        <f>B1544+1</f>
        <v>773</v>
      </c>
      <c r="C1545" s="2">
        <v>41802</v>
      </c>
      <c r="D1545" s="1" t="s">
        <v>512</v>
      </c>
      <c r="E1545" s="1" t="s">
        <v>214</v>
      </c>
      <c r="F1545" s="1" t="s">
        <v>465</v>
      </c>
      <c r="G1545" s="1" t="s">
        <v>97</v>
      </c>
      <c r="H1545" s="6" t="str">
        <f>VLOOKUP(A1545,WorldCups!$A$2:$B$23,2,FALSE)</f>
        <v>Brazil</v>
      </c>
      <c r="I1545" s="1" t="s">
        <v>21</v>
      </c>
      <c r="J1545" s="1">
        <v>3</v>
      </c>
      <c r="K1545" s="1" t="s">
        <v>360</v>
      </c>
      <c r="L1545" s="1">
        <v>1</v>
      </c>
      <c r="M1545" s="1" t="s">
        <v>14</v>
      </c>
    </row>
    <row r="1546" spans="1:13" hidden="1" x14ac:dyDescent="0.25">
      <c r="A1546" s="1">
        <v>2014</v>
      </c>
      <c r="B1546" s="1">
        <v>773</v>
      </c>
      <c r="C1546" s="2">
        <v>41802</v>
      </c>
      <c r="D1546" s="1" t="s">
        <v>512</v>
      </c>
      <c r="E1546" s="1" t="s">
        <v>214</v>
      </c>
      <c r="F1546" s="1" t="s">
        <v>465</v>
      </c>
      <c r="G1546" s="1" t="s">
        <v>97</v>
      </c>
      <c r="H1546" s="6" t="str">
        <f>VLOOKUP(A1546,WorldCups!$A$2:$B$23,2,FALSE)</f>
        <v>Brazil</v>
      </c>
      <c r="I1546" s="1" t="s">
        <v>360</v>
      </c>
      <c r="J1546" s="1">
        <v>1</v>
      </c>
      <c r="K1546" s="1" t="s">
        <v>21</v>
      </c>
      <c r="L1546" s="1">
        <v>3</v>
      </c>
      <c r="M1546" s="1" t="s">
        <v>14</v>
      </c>
    </row>
    <row r="1547" spans="1:13" hidden="1" x14ac:dyDescent="0.25">
      <c r="A1547" s="1">
        <v>2014</v>
      </c>
      <c r="B1547" s="1">
        <f>B1546+1</f>
        <v>774</v>
      </c>
      <c r="C1547" s="2">
        <v>41803</v>
      </c>
      <c r="D1547" s="1" t="s">
        <v>507</v>
      </c>
      <c r="E1547" s="1" t="s">
        <v>214</v>
      </c>
      <c r="F1547" s="1" t="s">
        <v>466</v>
      </c>
      <c r="G1547" s="1" t="s">
        <v>467</v>
      </c>
      <c r="H1547" s="6" t="str">
        <f>VLOOKUP(A1547,WorldCups!$A$2:$B$23,2,FALSE)</f>
        <v>Brazil</v>
      </c>
      <c r="I1547" s="1" t="s">
        <v>13</v>
      </c>
      <c r="J1547" s="1">
        <v>1</v>
      </c>
      <c r="K1547" s="1" t="s">
        <v>238</v>
      </c>
      <c r="L1547" s="1">
        <v>0</v>
      </c>
      <c r="M1547" s="1" t="s">
        <v>14</v>
      </c>
    </row>
    <row r="1548" spans="1:13" hidden="1" x14ac:dyDescent="0.25">
      <c r="A1548" s="1">
        <v>2014</v>
      </c>
      <c r="B1548" s="1">
        <v>774</v>
      </c>
      <c r="C1548" s="2">
        <v>41803</v>
      </c>
      <c r="D1548" s="1" t="s">
        <v>507</v>
      </c>
      <c r="E1548" s="1" t="s">
        <v>214</v>
      </c>
      <c r="F1548" s="1" t="s">
        <v>466</v>
      </c>
      <c r="G1548" s="1" t="s">
        <v>467</v>
      </c>
      <c r="H1548" s="6" t="str">
        <f>VLOOKUP(A1548,WorldCups!$A$2:$B$23,2,FALSE)</f>
        <v>Brazil</v>
      </c>
      <c r="I1548" s="1" t="s">
        <v>238</v>
      </c>
      <c r="J1548" s="1">
        <v>0</v>
      </c>
      <c r="K1548" s="1" t="s">
        <v>13</v>
      </c>
      <c r="L1548" s="1">
        <v>1</v>
      </c>
      <c r="M1548" s="1" t="s">
        <v>14</v>
      </c>
    </row>
    <row r="1549" spans="1:13" hidden="1" x14ac:dyDescent="0.25">
      <c r="A1549" s="1">
        <v>2014</v>
      </c>
      <c r="B1549" s="1">
        <f>B1548+1</f>
        <v>775</v>
      </c>
      <c r="C1549" s="2">
        <v>41803</v>
      </c>
      <c r="D1549" s="1" t="s">
        <v>503</v>
      </c>
      <c r="E1549" s="1" t="s">
        <v>213</v>
      </c>
      <c r="F1549" s="1" t="s">
        <v>468</v>
      </c>
      <c r="G1549" s="1" t="s">
        <v>469</v>
      </c>
      <c r="H1549" s="6" t="str">
        <f>VLOOKUP(A1549,WorldCups!$A$2:$B$23,2,FALSE)</f>
        <v>Brazil</v>
      </c>
      <c r="I1549" s="1" t="s">
        <v>54</v>
      </c>
      <c r="J1549" s="1">
        <v>1</v>
      </c>
      <c r="K1549" s="1" t="s">
        <v>45</v>
      </c>
      <c r="L1549" s="1">
        <v>5</v>
      </c>
      <c r="M1549" s="1" t="s">
        <v>14</v>
      </c>
    </row>
    <row r="1550" spans="1:13" hidden="1" x14ac:dyDescent="0.25">
      <c r="A1550" s="1">
        <v>2014</v>
      </c>
      <c r="B1550" s="1">
        <v>775</v>
      </c>
      <c r="C1550" s="2">
        <v>41803</v>
      </c>
      <c r="D1550" s="1" t="s">
        <v>503</v>
      </c>
      <c r="E1550" s="1" t="s">
        <v>213</v>
      </c>
      <c r="F1550" s="1" t="s">
        <v>468</v>
      </c>
      <c r="G1550" s="1" t="s">
        <v>469</v>
      </c>
      <c r="H1550" s="6" t="str">
        <f>VLOOKUP(A1550,WorldCups!$A$2:$B$23,2,FALSE)</f>
        <v>Brazil</v>
      </c>
      <c r="I1550" s="1" t="s">
        <v>45</v>
      </c>
      <c r="J1550" s="1">
        <v>5</v>
      </c>
      <c r="K1550" s="1" t="s">
        <v>54</v>
      </c>
      <c r="L1550" s="1">
        <v>1</v>
      </c>
      <c r="M1550" s="1" t="s">
        <v>14</v>
      </c>
    </row>
    <row r="1551" spans="1:13" hidden="1" x14ac:dyDescent="0.25">
      <c r="A1551" s="1">
        <v>2014</v>
      </c>
      <c r="B1551" s="1">
        <f>B1550+1</f>
        <v>776</v>
      </c>
      <c r="C1551" s="2">
        <v>41803</v>
      </c>
      <c r="D1551" s="1" t="s">
        <v>510</v>
      </c>
      <c r="E1551" s="1" t="s">
        <v>213</v>
      </c>
      <c r="F1551" s="1" t="s">
        <v>470</v>
      </c>
      <c r="G1551" s="1" t="s">
        <v>471</v>
      </c>
      <c r="H1551" s="6" t="str">
        <f>VLOOKUP(A1551,WorldCups!$A$2:$B$23,2,FALSE)</f>
        <v>Brazil</v>
      </c>
      <c r="I1551" s="1" t="s">
        <v>26</v>
      </c>
      <c r="J1551" s="1">
        <v>3</v>
      </c>
      <c r="K1551" s="1" t="s">
        <v>199</v>
      </c>
      <c r="L1551" s="1">
        <v>1</v>
      </c>
      <c r="M1551" s="1" t="s">
        <v>14</v>
      </c>
    </row>
    <row r="1552" spans="1:13" hidden="1" x14ac:dyDescent="0.25">
      <c r="A1552" s="1">
        <v>2014</v>
      </c>
      <c r="B1552" s="1">
        <v>776</v>
      </c>
      <c r="C1552" s="2">
        <v>41803</v>
      </c>
      <c r="D1552" s="1" t="s">
        <v>510</v>
      </c>
      <c r="E1552" s="1" t="s">
        <v>213</v>
      </c>
      <c r="F1552" s="1" t="s">
        <v>470</v>
      </c>
      <c r="G1552" s="1" t="s">
        <v>471</v>
      </c>
      <c r="H1552" s="6" t="str">
        <f>VLOOKUP(A1552,WorldCups!$A$2:$B$23,2,FALSE)</f>
        <v>Brazil</v>
      </c>
      <c r="I1552" s="1" t="s">
        <v>199</v>
      </c>
      <c r="J1552" s="1">
        <v>1</v>
      </c>
      <c r="K1552" s="1" t="s">
        <v>26</v>
      </c>
      <c r="L1552" s="1">
        <v>3</v>
      </c>
      <c r="M1552" s="1" t="s">
        <v>14</v>
      </c>
    </row>
    <row r="1553" spans="1:13" hidden="1" x14ac:dyDescent="0.25">
      <c r="A1553" s="1">
        <v>2014</v>
      </c>
      <c r="B1553" s="1">
        <f>B1552+1</f>
        <v>777</v>
      </c>
      <c r="C1553" s="2">
        <v>41804</v>
      </c>
      <c r="D1553" s="1" t="s">
        <v>507</v>
      </c>
      <c r="E1553" s="1" t="s">
        <v>268</v>
      </c>
      <c r="F1553" s="1" t="s">
        <v>472</v>
      </c>
      <c r="G1553" s="1" t="s">
        <v>99</v>
      </c>
      <c r="H1553" s="6" t="str">
        <f>VLOOKUP(A1553,WorldCups!$A$2:$B$23,2,FALSE)</f>
        <v>Brazil</v>
      </c>
      <c r="I1553" s="1" t="s">
        <v>151</v>
      </c>
      <c r="J1553" s="1">
        <v>3</v>
      </c>
      <c r="K1553" s="1" t="s">
        <v>339</v>
      </c>
      <c r="L1553" s="1">
        <v>0</v>
      </c>
      <c r="M1553" s="1" t="s">
        <v>14</v>
      </c>
    </row>
    <row r="1554" spans="1:13" hidden="1" x14ac:dyDescent="0.25">
      <c r="A1554" s="1">
        <v>2014</v>
      </c>
      <c r="B1554" s="1">
        <v>777</v>
      </c>
      <c r="C1554" s="2">
        <v>41804</v>
      </c>
      <c r="D1554" s="1" t="s">
        <v>507</v>
      </c>
      <c r="E1554" s="1" t="s">
        <v>268</v>
      </c>
      <c r="F1554" s="1" t="s">
        <v>472</v>
      </c>
      <c r="G1554" s="1" t="s">
        <v>99</v>
      </c>
      <c r="H1554" s="6" t="str">
        <f>VLOOKUP(A1554,WorldCups!$A$2:$B$23,2,FALSE)</f>
        <v>Brazil</v>
      </c>
      <c r="I1554" s="1" t="s">
        <v>339</v>
      </c>
      <c r="J1554" s="1">
        <v>0</v>
      </c>
      <c r="K1554" s="1" t="s">
        <v>151</v>
      </c>
      <c r="L1554" s="1">
        <v>3</v>
      </c>
      <c r="M1554" s="1" t="s">
        <v>14</v>
      </c>
    </row>
    <row r="1555" spans="1:13" hidden="1" x14ac:dyDescent="0.25">
      <c r="A1555" s="1">
        <v>2014</v>
      </c>
      <c r="B1555" s="1">
        <f>B1554+1</f>
        <v>778</v>
      </c>
      <c r="C1555" s="2">
        <v>41804</v>
      </c>
      <c r="D1555" s="1" t="s">
        <v>503</v>
      </c>
      <c r="E1555" s="1" t="s">
        <v>270</v>
      </c>
      <c r="F1555" s="1" t="s">
        <v>473</v>
      </c>
      <c r="G1555" s="1" t="s">
        <v>474</v>
      </c>
      <c r="H1555" s="6" t="str">
        <f>VLOOKUP(A1555,WorldCups!$A$2:$B$23,2,FALSE)</f>
        <v>Brazil</v>
      </c>
      <c r="I1555" s="1" t="s">
        <v>30</v>
      </c>
      <c r="J1555" s="1">
        <v>1</v>
      </c>
      <c r="K1555" s="1" t="s">
        <v>301</v>
      </c>
      <c r="L1555" s="1">
        <v>3</v>
      </c>
      <c r="M1555" s="1" t="s">
        <v>14</v>
      </c>
    </row>
    <row r="1556" spans="1:13" hidden="1" x14ac:dyDescent="0.25">
      <c r="A1556" s="1">
        <v>2014</v>
      </c>
      <c r="B1556" s="1">
        <v>778</v>
      </c>
      <c r="C1556" s="2">
        <v>41804</v>
      </c>
      <c r="D1556" s="1" t="s">
        <v>503</v>
      </c>
      <c r="E1556" s="1" t="s">
        <v>270</v>
      </c>
      <c r="F1556" s="1" t="s">
        <v>473</v>
      </c>
      <c r="G1556" s="1" t="s">
        <v>474</v>
      </c>
      <c r="H1556" s="6" t="str">
        <f>VLOOKUP(A1556,WorldCups!$A$2:$B$23,2,FALSE)</f>
        <v>Brazil</v>
      </c>
      <c r="I1556" s="1" t="s">
        <v>301</v>
      </c>
      <c r="J1556" s="1">
        <v>3</v>
      </c>
      <c r="K1556" s="1" t="s">
        <v>30</v>
      </c>
      <c r="L1556" s="1">
        <v>1</v>
      </c>
      <c r="M1556" s="1" t="s">
        <v>14</v>
      </c>
    </row>
    <row r="1557" spans="1:13" hidden="1" x14ac:dyDescent="0.25">
      <c r="A1557" s="1">
        <v>2014</v>
      </c>
      <c r="B1557" s="1">
        <f>B1556+1</f>
        <v>779</v>
      </c>
      <c r="C1557" s="2">
        <v>41804</v>
      </c>
      <c r="D1557" s="1" t="s">
        <v>510</v>
      </c>
      <c r="E1557" s="1" t="s">
        <v>270</v>
      </c>
      <c r="F1557" s="1" t="s">
        <v>475</v>
      </c>
      <c r="G1557" s="1" t="s">
        <v>476</v>
      </c>
      <c r="H1557" s="6" t="str">
        <f>VLOOKUP(A1557,WorldCups!$A$2:$B$23,2,FALSE)</f>
        <v>Brazil</v>
      </c>
      <c r="I1557" s="1" t="s">
        <v>93</v>
      </c>
      <c r="J1557" s="1">
        <v>1</v>
      </c>
      <c r="K1557" s="1" t="s">
        <v>57</v>
      </c>
      <c r="L1557" s="1">
        <v>2</v>
      </c>
      <c r="M1557" s="1" t="s">
        <v>14</v>
      </c>
    </row>
    <row r="1558" spans="1:13" hidden="1" x14ac:dyDescent="0.25">
      <c r="A1558" s="1">
        <v>2014</v>
      </c>
      <c r="B1558" s="1">
        <v>779</v>
      </c>
      <c r="C1558" s="2">
        <v>41804</v>
      </c>
      <c r="D1558" s="1" t="s">
        <v>510</v>
      </c>
      <c r="E1558" s="1" t="s">
        <v>270</v>
      </c>
      <c r="F1558" s="1" t="s">
        <v>475</v>
      </c>
      <c r="G1558" s="1" t="s">
        <v>476</v>
      </c>
      <c r="H1558" s="6" t="str">
        <f>VLOOKUP(A1558,WorldCups!$A$2:$B$23,2,FALSE)</f>
        <v>Brazil</v>
      </c>
      <c r="I1558" s="1" t="s">
        <v>57</v>
      </c>
      <c r="J1558" s="1">
        <v>2</v>
      </c>
      <c r="K1558" s="1" t="s">
        <v>93</v>
      </c>
      <c r="L1558" s="1">
        <v>1</v>
      </c>
      <c r="M1558" s="1" t="s">
        <v>14</v>
      </c>
    </row>
    <row r="1559" spans="1:13" hidden="1" x14ac:dyDescent="0.25">
      <c r="A1559" s="1">
        <v>2014</v>
      </c>
      <c r="B1559" s="1">
        <f>B1558+1</f>
        <v>780</v>
      </c>
      <c r="C1559" s="2">
        <v>41804</v>
      </c>
      <c r="D1559" s="1" t="s">
        <v>536</v>
      </c>
      <c r="E1559" s="1" t="s">
        <v>268</v>
      </c>
      <c r="F1559" s="1" t="s">
        <v>477</v>
      </c>
      <c r="G1559" s="1" t="s">
        <v>103</v>
      </c>
      <c r="H1559" s="6" t="str">
        <f>VLOOKUP(A1559,WorldCups!$A$2:$B$23,2,FALSE)</f>
        <v>Brazil</v>
      </c>
      <c r="I1559" s="1" t="s">
        <v>418</v>
      </c>
      <c r="J1559" s="1">
        <v>2</v>
      </c>
      <c r="K1559" s="1" t="s">
        <v>356</v>
      </c>
      <c r="L1559" s="1">
        <v>1</v>
      </c>
      <c r="M1559" s="1" t="s">
        <v>14</v>
      </c>
    </row>
    <row r="1560" spans="1:13" hidden="1" x14ac:dyDescent="0.25">
      <c r="A1560" s="1">
        <v>2014</v>
      </c>
      <c r="B1560" s="1">
        <v>780</v>
      </c>
      <c r="C1560" s="2">
        <v>41804</v>
      </c>
      <c r="D1560" s="1" t="s">
        <v>536</v>
      </c>
      <c r="E1560" s="1" t="s">
        <v>268</v>
      </c>
      <c r="F1560" s="1" t="s">
        <v>477</v>
      </c>
      <c r="G1560" s="1" t="s">
        <v>103</v>
      </c>
      <c r="H1560" s="6" t="str">
        <f>VLOOKUP(A1560,WorldCups!$A$2:$B$23,2,FALSE)</f>
        <v>Brazil</v>
      </c>
      <c r="I1560" s="1" t="s">
        <v>356</v>
      </c>
      <c r="J1560" s="1">
        <v>1</v>
      </c>
      <c r="K1560" s="1" t="s">
        <v>418</v>
      </c>
      <c r="L1560" s="1">
        <v>2</v>
      </c>
      <c r="M1560" s="1" t="s">
        <v>14</v>
      </c>
    </row>
    <row r="1561" spans="1:13" hidden="1" x14ac:dyDescent="0.25">
      <c r="A1561" s="1">
        <v>2014</v>
      </c>
      <c r="B1561" s="1">
        <f>B1560+1</f>
        <v>781</v>
      </c>
      <c r="C1561" s="2">
        <v>41805</v>
      </c>
      <c r="D1561" s="1" t="s">
        <v>507</v>
      </c>
      <c r="E1561" s="1" t="s">
        <v>281</v>
      </c>
      <c r="F1561" s="1" t="s">
        <v>478</v>
      </c>
      <c r="G1561" s="1" t="s">
        <v>479</v>
      </c>
      <c r="H1561" s="6" t="str">
        <f>VLOOKUP(A1561,WorldCups!$A$2:$B$23,2,FALSE)</f>
        <v>Brazil</v>
      </c>
      <c r="I1561" s="1" t="s">
        <v>44</v>
      </c>
      <c r="J1561" s="1">
        <v>2</v>
      </c>
      <c r="K1561" s="1" t="s">
        <v>382</v>
      </c>
      <c r="L1561" s="1">
        <v>1</v>
      </c>
      <c r="M1561" s="1" t="s">
        <v>14</v>
      </c>
    </row>
    <row r="1562" spans="1:13" hidden="1" x14ac:dyDescent="0.25">
      <c r="A1562" s="1">
        <v>2014</v>
      </c>
      <c r="B1562" s="1">
        <v>781</v>
      </c>
      <c r="C1562" s="2">
        <v>41805</v>
      </c>
      <c r="D1562" s="1" t="s">
        <v>507</v>
      </c>
      <c r="E1562" s="1" t="s">
        <v>281</v>
      </c>
      <c r="F1562" s="1" t="s">
        <v>478</v>
      </c>
      <c r="G1562" s="1" t="s">
        <v>479</v>
      </c>
      <c r="H1562" s="6" t="str">
        <f>VLOOKUP(A1562,WorldCups!$A$2:$B$23,2,FALSE)</f>
        <v>Brazil</v>
      </c>
      <c r="I1562" s="1" t="s">
        <v>382</v>
      </c>
      <c r="J1562" s="1">
        <v>1</v>
      </c>
      <c r="K1562" s="1" t="s">
        <v>44</v>
      </c>
      <c r="L1562" s="1">
        <v>2</v>
      </c>
      <c r="M1562" s="1" t="s">
        <v>14</v>
      </c>
    </row>
    <row r="1563" spans="1:13" hidden="1" x14ac:dyDescent="0.25">
      <c r="A1563" s="1">
        <v>2014</v>
      </c>
      <c r="B1563" s="1">
        <f>B1562+1</f>
        <v>782</v>
      </c>
      <c r="C1563" s="2">
        <v>41805</v>
      </c>
      <c r="D1563" s="1" t="s">
        <v>503</v>
      </c>
      <c r="E1563" s="1" t="s">
        <v>281</v>
      </c>
      <c r="F1563" s="1" t="s">
        <v>480</v>
      </c>
      <c r="G1563" s="1" t="s">
        <v>101</v>
      </c>
      <c r="H1563" s="6" t="str">
        <f>VLOOKUP(A1563,WorldCups!$A$2:$B$23,2,FALSE)</f>
        <v>Brazil</v>
      </c>
      <c r="I1563" s="1" t="s">
        <v>12</v>
      </c>
      <c r="J1563" s="1">
        <v>3</v>
      </c>
      <c r="K1563" s="1" t="s">
        <v>252</v>
      </c>
      <c r="L1563" s="1">
        <v>0</v>
      </c>
      <c r="M1563" s="1" t="s">
        <v>14</v>
      </c>
    </row>
    <row r="1564" spans="1:13" hidden="1" x14ac:dyDescent="0.25">
      <c r="A1564" s="1">
        <v>2014</v>
      </c>
      <c r="B1564" s="1">
        <v>782</v>
      </c>
      <c r="C1564" s="2">
        <v>41805</v>
      </c>
      <c r="D1564" s="1" t="s">
        <v>503</v>
      </c>
      <c r="E1564" s="1" t="s">
        <v>281</v>
      </c>
      <c r="F1564" s="1" t="s">
        <v>480</v>
      </c>
      <c r="G1564" s="1" t="s">
        <v>101</v>
      </c>
      <c r="H1564" s="6" t="str">
        <f>VLOOKUP(A1564,WorldCups!$A$2:$B$23,2,FALSE)</f>
        <v>Brazil</v>
      </c>
      <c r="I1564" s="1" t="s">
        <v>252</v>
      </c>
      <c r="J1564" s="1">
        <v>0</v>
      </c>
      <c r="K1564" s="1" t="s">
        <v>12</v>
      </c>
      <c r="L1564" s="1">
        <v>3</v>
      </c>
      <c r="M1564" s="1" t="s">
        <v>14</v>
      </c>
    </row>
    <row r="1565" spans="1:13" hidden="1" x14ac:dyDescent="0.25">
      <c r="A1565" s="1">
        <v>2014</v>
      </c>
      <c r="B1565" s="1">
        <f>B1564+1</f>
        <v>783</v>
      </c>
      <c r="C1565" s="2">
        <v>41805</v>
      </c>
      <c r="D1565" s="1" t="s">
        <v>521</v>
      </c>
      <c r="E1565" s="1" t="s">
        <v>274</v>
      </c>
      <c r="F1565" s="1" t="s">
        <v>481</v>
      </c>
      <c r="G1565" s="1" t="s">
        <v>92</v>
      </c>
      <c r="H1565" s="6" t="str">
        <f>VLOOKUP(A1565,WorldCups!$A$2:$B$23,2,FALSE)</f>
        <v>Brazil</v>
      </c>
      <c r="I1565" s="1" t="s">
        <v>25</v>
      </c>
      <c r="J1565" s="1">
        <v>2</v>
      </c>
      <c r="K1565" s="1" t="s">
        <v>482</v>
      </c>
      <c r="L1565" s="1">
        <v>1</v>
      </c>
      <c r="M1565" s="1" t="s">
        <v>14</v>
      </c>
    </row>
    <row r="1566" spans="1:13" hidden="1" x14ac:dyDescent="0.25">
      <c r="A1566" s="1">
        <v>2014</v>
      </c>
      <c r="B1566" s="1">
        <v>783</v>
      </c>
      <c r="C1566" s="2">
        <v>41805</v>
      </c>
      <c r="D1566" s="1" t="s">
        <v>521</v>
      </c>
      <c r="E1566" s="1" t="s">
        <v>274</v>
      </c>
      <c r="F1566" s="1" t="s">
        <v>481</v>
      </c>
      <c r="G1566" s="1" t="s">
        <v>92</v>
      </c>
      <c r="H1566" s="6" t="str">
        <f>VLOOKUP(A1566,WorldCups!$A$2:$B$23,2,FALSE)</f>
        <v>Brazil</v>
      </c>
      <c r="I1566" s="1" t="s">
        <v>482</v>
      </c>
      <c r="J1566" s="1">
        <v>1</v>
      </c>
      <c r="K1566" s="1" t="s">
        <v>25</v>
      </c>
      <c r="L1566" s="1">
        <v>2</v>
      </c>
      <c r="M1566" s="1" t="s">
        <v>14</v>
      </c>
    </row>
    <row r="1567" spans="1:13" hidden="1" x14ac:dyDescent="0.25">
      <c r="A1567" s="1">
        <v>2014</v>
      </c>
      <c r="B1567" s="1">
        <f>B1566+1</f>
        <v>784</v>
      </c>
      <c r="C1567" s="2">
        <v>41806</v>
      </c>
      <c r="D1567" s="1" t="s">
        <v>507</v>
      </c>
      <c r="E1567" s="1" t="s">
        <v>361</v>
      </c>
      <c r="F1567" s="1" t="s">
        <v>468</v>
      </c>
      <c r="G1567" s="1" t="s">
        <v>469</v>
      </c>
      <c r="H1567" s="6" t="str">
        <f>VLOOKUP(A1567,WorldCups!$A$2:$B$23,2,FALSE)</f>
        <v>Brazil</v>
      </c>
      <c r="I1567" s="1" t="s">
        <v>51</v>
      </c>
      <c r="J1567" s="1">
        <v>4</v>
      </c>
      <c r="K1567" s="1" t="s">
        <v>170</v>
      </c>
      <c r="L1567" s="1">
        <v>0</v>
      </c>
      <c r="M1567" s="1" t="s">
        <v>14</v>
      </c>
    </row>
    <row r="1568" spans="1:13" hidden="1" x14ac:dyDescent="0.25">
      <c r="A1568" s="1">
        <v>2014</v>
      </c>
      <c r="B1568" s="1">
        <v>784</v>
      </c>
      <c r="C1568" s="2">
        <v>41806</v>
      </c>
      <c r="D1568" s="1" t="s">
        <v>507</v>
      </c>
      <c r="E1568" s="1" t="s">
        <v>361</v>
      </c>
      <c r="F1568" s="1" t="s">
        <v>468</v>
      </c>
      <c r="G1568" s="1" t="s">
        <v>469</v>
      </c>
      <c r="H1568" s="6" t="str">
        <f>VLOOKUP(A1568,WorldCups!$A$2:$B$23,2,FALSE)</f>
        <v>Brazil</v>
      </c>
      <c r="I1568" s="1" t="s">
        <v>170</v>
      </c>
      <c r="J1568" s="1">
        <v>0</v>
      </c>
      <c r="K1568" s="1" t="s">
        <v>51</v>
      </c>
      <c r="L1568" s="1">
        <v>4</v>
      </c>
      <c r="M1568" s="1" t="s">
        <v>14</v>
      </c>
    </row>
    <row r="1569" spans="1:13" hidden="1" x14ac:dyDescent="0.25">
      <c r="A1569" s="1">
        <v>2014</v>
      </c>
      <c r="B1569" s="1">
        <f>B1568+1</f>
        <v>785</v>
      </c>
      <c r="C1569" s="2">
        <v>41806</v>
      </c>
      <c r="D1569" s="1" t="s">
        <v>503</v>
      </c>
      <c r="E1569" s="1" t="s">
        <v>274</v>
      </c>
      <c r="F1569" s="1" t="s">
        <v>483</v>
      </c>
      <c r="G1569" s="1" t="s">
        <v>95</v>
      </c>
      <c r="H1569" s="6" t="str">
        <f>VLOOKUP(A1569,WorldCups!$A$2:$B$23,2,FALSE)</f>
        <v>Brazil</v>
      </c>
      <c r="I1569" s="1" t="s">
        <v>227</v>
      </c>
      <c r="J1569" s="1">
        <v>0</v>
      </c>
      <c r="K1569" s="1" t="s">
        <v>340</v>
      </c>
      <c r="L1569" s="1">
        <v>0</v>
      </c>
      <c r="M1569" s="1" t="s">
        <v>14</v>
      </c>
    </row>
    <row r="1570" spans="1:13" hidden="1" x14ac:dyDescent="0.25">
      <c r="A1570" s="1">
        <v>2014</v>
      </c>
      <c r="B1570" s="1">
        <v>785</v>
      </c>
      <c r="C1570" s="2">
        <v>41806</v>
      </c>
      <c r="D1570" s="1" t="s">
        <v>503</v>
      </c>
      <c r="E1570" s="1" t="s">
        <v>274</v>
      </c>
      <c r="F1570" s="1" t="s">
        <v>483</v>
      </c>
      <c r="G1570" s="1" t="s">
        <v>95</v>
      </c>
      <c r="H1570" s="6" t="str">
        <f>VLOOKUP(A1570,WorldCups!$A$2:$B$23,2,FALSE)</f>
        <v>Brazil</v>
      </c>
      <c r="I1570" s="1" t="s">
        <v>340</v>
      </c>
      <c r="J1570" s="1">
        <v>0</v>
      </c>
      <c r="K1570" s="1" t="s">
        <v>227</v>
      </c>
      <c r="L1570" s="1">
        <v>0</v>
      </c>
      <c r="M1570" s="1" t="s">
        <v>14</v>
      </c>
    </row>
    <row r="1571" spans="1:13" hidden="1" x14ac:dyDescent="0.25">
      <c r="A1571" s="1">
        <v>2014</v>
      </c>
      <c r="B1571" s="1">
        <f>B1570+1</f>
        <v>786</v>
      </c>
      <c r="C1571" s="2">
        <v>41806</v>
      </c>
      <c r="D1571" s="1" t="s">
        <v>521</v>
      </c>
      <c r="E1571" s="1" t="s">
        <v>361</v>
      </c>
      <c r="F1571" s="1" t="s">
        <v>466</v>
      </c>
      <c r="G1571" s="1" t="s">
        <v>467</v>
      </c>
      <c r="H1571" s="6" t="str">
        <f>VLOOKUP(A1571,WorldCups!$A$2:$B$23,2,FALSE)</f>
        <v>Brazil</v>
      </c>
      <c r="I1571" s="1" t="s">
        <v>431</v>
      </c>
      <c r="J1571" s="1">
        <v>1</v>
      </c>
      <c r="K1571" s="1" t="s">
        <v>17</v>
      </c>
      <c r="L1571" s="1">
        <v>2</v>
      </c>
      <c r="M1571" s="1" t="s">
        <v>14</v>
      </c>
    </row>
    <row r="1572" spans="1:13" hidden="1" x14ac:dyDescent="0.25">
      <c r="A1572" s="1">
        <v>2014</v>
      </c>
      <c r="B1572" s="1">
        <v>786</v>
      </c>
      <c r="C1572" s="2">
        <v>41806</v>
      </c>
      <c r="D1572" s="1" t="s">
        <v>521</v>
      </c>
      <c r="E1572" s="1" t="s">
        <v>361</v>
      </c>
      <c r="F1572" s="1" t="s">
        <v>466</v>
      </c>
      <c r="G1572" s="1" t="s">
        <v>467</v>
      </c>
      <c r="H1572" s="6" t="str">
        <f>VLOOKUP(A1572,WorldCups!$A$2:$B$23,2,FALSE)</f>
        <v>Brazil</v>
      </c>
      <c r="I1572" s="1" t="s">
        <v>17</v>
      </c>
      <c r="J1572" s="1">
        <v>2</v>
      </c>
      <c r="K1572" s="1" t="s">
        <v>431</v>
      </c>
      <c r="L1572" s="1">
        <v>1</v>
      </c>
      <c r="M1572" s="1" t="s">
        <v>14</v>
      </c>
    </row>
    <row r="1573" spans="1:13" hidden="1" x14ac:dyDescent="0.25">
      <c r="A1573" s="1">
        <v>2014</v>
      </c>
      <c r="B1573" s="1">
        <f>B1572+1</f>
        <v>787</v>
      </c>
      <c r="C1573" s="2">
        <v>41807</v>
      </c>
      <c r="D1573" s="1" t="s">
        <v>507</v>
      </c>
      <c r="E1573" s="1" t="s">
        <v>355</v>
      </c>
      <c r="F1573" s="1" t="s">
        <v>472</v>
      </c>
      <c r="G1573" s="1" t="s">
        <v>99</v>
      </c>
      <c r="H1573" s="6" t="str">
        <f>VLOOKUP(A1573,WorldCups!$A$2:$B$23,2,FALSE)</f>
        <v>Brazil</v>
      </c>
      <c r="I1573" s="1" t="s">
        <v>18</v>
      </c>
      <c r="J1573" s="1">
        <v>2</v>
      </c>
      <c r="K1573" s="1" t="s">
        <v>246</v>
      </c>
      <c r="L1573" s="1">
        <v>1</v>
      </c>
      <c r="M1573" s="1" t="s">
        <v>14</v>
      </c>
    </row>
    <row r="1574" spans="1:13" hidden="1" x14ac:dyDescent="0.25">
      <c r="A1574" s="1">
        <v>2014</v>
      </c>
      <c r="B1574" s="1">
        <v>787</v>
      </c>
      <c r="C1574" s="2">
        <v>41807</v>
      </c>
      <c r="D1574" s="1" t="s">
        <v>507</v>
      </c>
      <c r="E1574" s="1" t="s">
        <v>355</v>
      </c>
      <c r="F1574" s="1" t="s">
        <v>472</v>
      </c>
      <c r="G1574" s="1" t="s">
        <v>99</v>
      </c>
      <c r="H1574" s="6" t="str">
        <f>VLOOKUP(A1574,WorldCups!$A$2:$B$23,2,FALSE)</f>
        <v>Brazil</v>
      </c>
      <c r="I1574" s="1" t="s">
        <v>246</v>
      </c>
      <c r="J1574" s="1">
        <v>1</v>
      </c>
      <c r="K1574" s="1" t="s">
        <v>18</v>
      </c>
      <c r="L1574" s="1">
        <v>2</v>
      </c>
      <c r="M1574" s="1" t="s">
        <v>14</v>
      </c>
    </row>
    <row r="1575" spans="1:13" hidden="1" x14ac:dyDescent="0.25">
      <c r="A1575" s="1">
        <v>2014</v>
      </c>
      <c r="B1575" s="1">
        <f>B1574+1</f>
        <v>788</v>
      </c>
      <c r="C1575" s="2">
        <v>41807</v>
      </c>
      <c r="D1575" s="1" t="s">
        <v>503</v>
      </c>
      <c r="E1575" s="1" t="s">
        <v>214</v>
      </c>
      <c r="F1575" s="1" t="s">
        <v>473</v>
      </c>
      <c r="G1575" s="1" t="s">
        <v>474</v>
      </c>
      <c r="H1575" s="6" t="str">
        <f>VLOOKUP(A1575,WorldCups!$A$2:$B$23,2,FALSE)</f>
        <v>Brazil</v>
      </c>
      <c r="I1575" s="1" t="s">
        <v>21</v>
      </c>
      <c r="J1575" s="1">
        <v>0</v>
      </c>
      <c r="K1575" s="1" t="s">
        <v>13</v>
      </c>
      <c r="L1575" s="1">
        <v>0</v>
      </c>
      <c r="M1575" s="1" t="s">
        <v>14</v>
      </c>
    </row>
    <row r="1576" spans="1:13" hidden="1" x14ac:dyDescent="0.25">
      <c r="A1576" s="1">
        <v>2014</v>
      </c>
      <c r="B1576" s="1">
        <v>788</v>
      </c>
      <c r="C1576" s="2">
        <v>41807</v>
      </c>
      <c r="D1576" s="1" t="s">
        <v>503</v>
      </c>
      <c r="E1576" s="1" t="s">
        <v>214</v>
      </c>
      <c r="F1576" s="1" t="s">
        <v>473</v>
      </c>
      <c r="G1576" s="1" t="s">
        <v>474</v>
      </c>
      <c r="H1576" s="6" t="str">
        <f>VLOOKUP(A1576,WorldCups!$A$2:$B$23,2,FALSE)</f>
        <v>Brazil</v>
      </c>
      <c r="I1576" s="1" t="s">
        <v>13</v>
      </c>
      <c r="J1576" s="1">
        <v>0</v>
      </c>
      <c r="K1576" s="1" t="s">
        <v>21</v>
      </c>
      <c r="L1576" s="1">
        <v>0</v>
      </c>
      <c r="M1576" s="1" t="s">
        <v>14</v>
      </c>
    </row>
    <row r="1577" spans="1:13" hidden="1" x14ac:dyDescent="0.25">
      <c r="A1577" s="1">
        <v>2014</v>
      </c>
      <c r="B1577" s="1">
        <f>B1576+1</f>
        <v>789</v>
      </c>
      <c r="C1577" s="2">
        <v>41807</v>
      </c>
      <c r="D1577" s="1" t="s">
        <v>510</v>
      </c>
      <c r="E1577" s="1" t="s">
        <v>355</v>
      </c>
      <c r="F1577" s="1" t="s">
        <v>470</v>
      </c>
      <c r="G1577" s="1" t="s">
        <v>471</v>
      </c>
      <c r="H1577" s="6" t="str">
        <f>VLOOKUP(A1577,WorldCups!$A$2:$B$23,2,FALSE)</f>
        <v>Brazil</v>
      </c>
      <c r="I1577" s="1" t="s">
        <v>336</v>
      </c>
      <c r="J1577" s="1">
        <v>1</v>
      </c>
      <c r="K1577" s="1" t="s">
        <v>116</v>
      </c>
      <c r="L1577" s="1">
        <v>1</v>
      </c>
      <c r="M1577" s="1" t="s">
        <v>14</v>
      </c>
    </row>
    <row r="1578" spans="1:13" hidden="1" x14ac:dyDescent="0.25">
      <c r="A1578" s="1">
        <v>2014</v>
      </c>
      <c r="B1578" s="1">
        <v>789</v>
      </c>
      <c r="C1578" s="2">
        <v>41807</v>
      </c>
      <c r="D1578" s="1" t="s">
        <v>510</v>
      </c>
      <c r="E1578" s="1" t="s">
        <v>355</v>
      </c>
      <c r="F1578" s="1" t="s">
        <v>470</v>
      </c>
      <c r="G1578" s="1" t="s">
        <v>471</v>
      </c>
      <c r="H1578" s="6" t="str">
        <f>VLOOKUP(A1578,WorldCups!$A$2:$B$23,2,FALSE)</f>
        <v>Brazil</v>
      </c>
      <c r="I1578" s="1" t="s">
        <v>116</v>
      </c>
      <c r="J1578" s="1">
        <v>1</v>
      </c>
      <c r="K1578" s="1" t="s">
        <v>336</v>
      </c>
      <c r="L1578" s="1">
        <v>1</v>
      </c>
      <c r="M1578" s="1" t="s">
        <v>14</v>
      </c>
    </row>
    <row r="1579" spans="1:13" hidden="1" x14ac:dyDescent="0.25">
      <c r="A1579" s="1">
        <v>2014</v>
      </c>
      <c r="B1579" s="1">
        <f>B1578+1</f>
        <v>790</v>
      </c>
      <c r="C1579" s="2">
        <v>41808</v>
      </c>
      <c r="D1579" s="1" t="s">
        <v>507</v>
      </c>
      <c r="E1579" s="1" t="s">
        <v>213</v>
      </c>
      <c r="F1579" s="1" t="s">
        <v>480</v>
      </c>
      <c r="G1579" s="1" t="s">
        <v>101</v>
      </c>
      <c r="H1579" s="6" t="str">
        <f>VLOOKUP(A1579,WorldCups!$A$2:$B$23,2,FALSE)</f>
        <v>Brazil</v>
      </c>
      <c r="I1579" s="1" t="s">
        <v>199</v>
      </c>
      <c r="J1579" s="1">
        <v>2</v>
      </c>
      <c r="K1579" s="1" t="s">
        <v>45</v>
      </c>
      <c r="L1579" s="1">
        <v>3</v>
      </c>
      <c r="M1579" s="1" t="s">
        <v>14</v>
      </c>
    </row>
    <row r="1580" spans="1:13" hidden="1" x14ac:dyDescent="0.25">
      <c r="A1580" s="1">
        <v>2014</v>
      </c>
      <c r="B1580" s="1">
        <v>790</v>
      </c>
      <c r="C1580" s="2">
        <v>41808</v>
      </c>
      <c r="D1580" s="1" t="s">
        <v>507</v>
      </c>
      <c r="E1580" s="1" t="s">
        <v>213</v>
      </c>
      <c r="F1580" s="1" t="s">
        <v>480</v>
      </c>
      <c r="G1580" s="1" t="s">
        <v>101</v>
      </c>
      <c r="H1580" s="6" t="str">
        <f>VLOOKUP(A1580,WorldCups!$A$2:$B$23,2,FALSE)</f>
        <v>Brazil</v>
      </c>
      <c r="I1580" s="1" t="s">
        <v>45</v>
      </c>
      <c r="J1580" s="1">
        <v>3</v>
      </c>
      <c r="K1580" s="1" t="s">
        <v>199</v>
      </c>
      <c r="L1580" s="1">
        <v>2</v>
      </c>
      <c r="M1580" s="1" t="s">
        <v>14</v>
      </c>
    </row>
    <row r="1581" spans="1:13" hidden="1" x14ac:dyDescent="0.25">
      <c r="A1581" s="1">
        <v>2014</v>
      </c>
      <c r="B1581" s="1">
        <f>B1580+1</f>
        <v>791</v>
      </c>
      <c r="C1581" s="2">
        <v>41808</v>
      </c>
      <c r="D1581" s="1" t="s">
        <v>503</v>
      </c>
      <c r="E1581" s="1" t="s">
        <v>213</v>
      </c>
      <c r="F1581" s="1" t="s">
        <v>481</v>
      </c>
      <c r="G1581" s="1" t="s">
        <v>92</v>
      </c>
      <c r="H1581" s="6" t="str">
        <f>VLOOKUP(A1581,WorldCups!$A$2:$B$23,2,FALSE)</f>
        <v>Brazil</v>
      </c>
      <c r="I1581" s="1" t="s">
        <v>54</v>
      </c>
      <c r="J1581" s="1">
        <v>0</v>
      </c>
      <c r="K1581" s="1" t="s">
        <v>26</v>
      </c>
      <c r="L1581" s="1">
        <v>2</v>
      </c>
      <c r="M1581" s="1" t="s">
        <v>14</v>
      </c>
    </row>
    <row r="1582" spans="1:13" hidden="1" x14ac:dyDescent="0.25">
      <c r="A1582" s="1">
        <v>2014</v>
      </c>
      <c r="B1582" s="1">
        <v>791</v>
      </c>
      <c r="C1582" s="2">
        <v>41808</v>
      </c>
      <c r="D1582" s="1" t="s">
        <v>503</v>
      </c>
      <c r="E1582" s="1" t="s">
        <v>213</v>
      </c>
      <c r="F1582" s="1" t="s">
        <v>481</v>
      </c>
      <c r="G1582" s="1" t="s">
        <v>92</v>
      </c>
      <c r="H1582" s="6" t="str">
        <f>VLOOKUP(A1582,WorldCups!$A$2:$B$23,2,FALSE)</f>
        <v>Brazil</v>
      </c>
      <c r="I1582" s="1" t="s">
        <v>26</v>
      </c>
      <c r="J1582" s="1">
        <v>2</v>
      </c>
      <c r="K1582" s="1" t="s">
        <v>54</v>
      </c>
      <c r="L1582" s="1">
        <v>0</v>
      </c>
      <c r="M1582" s="1" t="s">
        <v>14</v>
      </c>
    </row>
    <row r="1583" spans="1:13" hidden="1" x14ac:dyDescent="0.25">
      <c r="A1583" s="1">
        <v>2014</v>
      </c>
      <c r="B1583" s="1">
        <f>B1582+1</f>
        <v>792</v>
      </c>
      <c r="C1583" s="2">
        <v>41808</v>
      </c>
      <c r="D1583" s="1" t="s">
        <v>510</v>
      </c>
      <c r="E1583" s="1" t="s">
        <v>214</v>
      </c>
      <c r="F1583" s="1" t="s">
        <v>475</v>
      </c>
      <c r="G1583" s="1" t="s">
        <v>476</v>
      </c>
      <c r="H1583" s="6" t="str">
        <f>VLOOKUP(A1583,WorldCups!$A$2:$B$23,2,FALSE)</f>
        <v>Brazil</v>
      </c>
      <c r="I1583" s="1" t="s">
        <v>238</v>
      </c>
      <c r="J1583" s="1">
        <v>0</v>
      </c>
      <c r="K1583" s="1" t="s">
        <v>360</v>
      </c>
      <c r="L1583" s="1">
        <v>4</v>
      </c>
      <c r="M1583" s="1" t="s">
        <v>14</v>
      </c>
    </row>
    <row r="1584" spans="1:13" hidden="1" x14ac:dyDescent="0.25">
      <c r="A1584" s="1">
        <v>2014</v>
      </c>
      <c r="B1584" s="1">
        <v>792</v>
      </c>
      <c r="C1584" s="2">
        <v>41808</v>
      </c>
      <c r="D1584" s="1" t="s">
        <v>510</v>
      </c>
      <c r="E1584" s="1" t="s">
        <v>214</v>
      </c>
      <c r="F1584" s="1" t="s">
        <v>475</v>
      </c>
      <c r="G1584" s="1" t="s">
        <v>476</v>
      </c>
      <c r="H1584" s="6" t="str">
        <f>VLOOKUP(A1584,WorldCups!$A$2:$B$23,2,FALSE)</f>
        <v>Brazil</v>
      </c>
      <c r="I1584" s="1" t="s">
        <v>360</v>
      </c>
      <c r="J1584" s="1">
        <v>4</v>
      </c>
      <c r="K1584" s="1" t="s">
        <v>238</v>
      </c>
      <c r="L1584" s="1">
        <v>0</v>
      </c>
      <c r="M1584" s="1" t="s">
        <v>14</v>
      </c>
    </row>
    <row r="1585" spans="1:13" hidden="1" x14ac:dyDescent="0.25">
      <c r="A1585" s="1">
        <v>2014</v>
      </c>
      <c r="B1585" s="1">
        <f>B1584+1</f>
        <v>793</v>
      </c>
      <c r="C1585" s="2">
        <v>41809</v>
      </c>
      <c r="D1585" s="1" t="s">
        <v>507</v>
      </c>
      <c r="E1585" s="1" t="s">
        <v>268</v>
      </c>
      <c r="F1585" s="1" t="s">
        <v>478</v>
      </c>
      <c r="G1585" s="1" t="s">
        <v>479</v>
      </c>
      <c r="H1585" s="6" t="str">
        <f>VLOOKUP(A1585,WorldCups!$A$2:$B$23,2,FALSE)</f>
        <v>Brazil</v>
      </c>
      <c r="I1585" s="1" t="s">
        <v>151</v>
      </c>
      <c r="J1585" s="1">
        <v>2</v>
      </c>
      <c r="K1585" s="1" t="s">
        <v>418</v>
      </c>
      <c r="L1585" s="1">
        <v>1</v>
      </c>
      <c r="M1585" s="1" t="s">
        <v>14</v>
      </c>
    </row>
    <row r="1586" spans="1:13" hidden="1" x14ac:dyDescent="0.25">
      <c r="A1586" s="1">
        <v>2014</v>
      </c>
      <c r="B1586" s="1">
        <v>793</v>
      </c>
      <c r="C1586" s="2">
        <v>41809</v>
      </c>
      <c r="D1586" s="1" t="s">
        <v>507</v>
      </c>
      <c r="E1586" s="1" t="s">
        <v>268</v>
      </c>
      <c r="F1586" s="1" t="s">
        <v>478</v>
      </c>
      <c r="G1586" s="1" t="s">
        <v>479</v>
      </c>
      <c r="H1586" s="6" t="str">
        <f>VLOOKUP(A1586,WorldCups!$A$2:$B$23,2,FALSE)</f>
        <v>Brazil</v>
      </c>
      <c r="I1586" s="1" t="s">
        <v>418</v>
      </c>
      <c r="J1586" s="1">
        <v>1</v>
      </c>
      <c r="K1586" s="1" t="s">
        <v>151</v>
      </c>
      <c r="L1586" s="1">
        <v>2</v>
      </c>
      <c r="M1586" s="1" t="s">
        <v>14</v>
      </c>
    </row>
    <row r="1587" spans="1:13" hidden="1" x14ac:dyDescent="0.25">
      <c r="A1587" s="1">
        <v>2014</v>
      </c>
      <c r="B1587" s="1">
        <f>B1586+1</f>
        <v>794</v>
      </c>
      <c r="C1587" s="2">
        <v>41809</v>
      </c>
      <c r="D1587" s="1" t="s">
        <v>503</v>
      </c>
      <c r="E1587" s="1" t="s">
        <v>270</v>
      </c>
      <c r="F1587" s="1" t="s">
        <v>465</v>
      </c>
      <c r="G1587" s="1" t="s">
        <v>97</v>
      </c>
      <c r="H1587" s="6" t="str">
        <f>VLOOKUP(A1587,WorldCups!$A$2:$B$23,2,FALSE)</f>
        <v>Brazil</v>
      </c>
      <c r="I1587" s="1" t="s">
        <v>30</v>
      </c>
      <c r="J1587" s="1">
        <v>2</v>
      </c>
      <c r="K1587" s="1" t="s">
        <v>93</v>
      </c>
      <c r="L1587" s="1">
        <v>1</v>
      </c>
      <c r="M1587" s="1" t="s">
        <v>14</v>
      </c>
    </row>
    <row r="1588" spans="1:13" hidden="1" x14ac:dyDescent="0.25">
      <c r="A1588" s="1">
        <v>2014</v>
      </c>
      <c r="B1588" s="1">
        <v>794</v>
      </c>
      <c r="C1588" s="2">
        <v>41809</v>
      </c>
      <c r="D1588" s="1" t="s">
        <v>503</v>
      </c>
      <c r="E1588" s="1" t="s">
        <v>270</v>
      </c>
      <c r="F1588" s="1" t="s">
        <v>465</v>
      </c>
      <c r="G1588" s="1" t="s">
        <v>97</v>
      </c>
      <c r="H1588" s="6" t="str">
        <f>VLOOKUP(A1588,WorldCups!$A$2:$B$23,2,FALSE)</f>
        <v>Brazil</v>
      </c>
      <c r="I1588" s="1" t="s">
        <v>93</v>
      </c>
      <c r="J1588" s="1">
        <v>1</v>
      </c>
      <c r="K1588" s="1" t="s">
        <v>30</v>
      </c>
      <c r="L1588" s="1">
        <v>2</v>
      </c>
      <c r="M1588" s="1" t="s">
        <v>14</v>
      </c>
    </row>
    <row r="1589" spans="1:13" hidden="1" x14ac:dyDescent="0.25">
      <c r="A1589" s="1">
        <v>2014</v>
      </c>
      <c r="B1589" s="1">
        <f>B1588+1</f>
        <v>795</v>
      </c>
      <c r="C1589" s="2">
        <v>41809</v>
      </c>
      <c r="D1589" s="1" t="s">
        <v>521</v>
      </c>
      <c r="E1589" s="1" t="s">
        <v>268</v>
      </c>
      <c r="F1589" s="1" t="s">
        <v>466</v>
      </c>
      <c r="G1589" s="1" t="s">
        <v>467</v>
      </c>
      <c r="H1589" s="6" t="str">
        <f>VLOOKUP(A1589,WorldCups!$A$2:$B$23,2,FALSE)</f>
        <v>Brazil</v>
      </c>
      <c r="I1589" s="1" t="s">
        <v>356</v>
      </c>
      <c r="J1589" s="1">
        <v>0</v>
      </c>
      <c r="K1589" s="1" t="s">
        <v>339</v>
      </c>
      <c r="L1589" s="1">
        <v>0</v>
      </c>
      <c r="M1589" s="1" t="s">
        <v>14</v>
      </c>
    </row>
    <row r="1590" spans="1:13" hidden="1" x14ac:dyDescent="0.25">
      <c r="A1590" s="1">
        <v>2014</v>
      </c>
      <c r="B1590" s="1">
        <v>795</v>
      </c>
      <c r="C1590" s="2">
        <v>41809</v>
      </c>
      <c r="D1590" s="1" t="s">
        <v>521</v>
      </c>
      <c r="E1590" s="1" t="s">
        <v>268</v>
      </c>
      <c r="F1590" s="1" t="s">
        <v>466</v>
      </c>
      <c r="G1590" s="1" t="s">
        <v>467</v>
      </c>
      <c r="H1590" s="6" t="str">
        <f>VLOOKUP(A1590,WorldCups!$A$2:$B$23,2,FALSE)</f>
        <v>Brazil</v>
      </c>
      <c r="I1590" s="1" t="s">
        <v>339</v>
      </c>
      <c r="J1590" s="1">
        <v>0</v>
      </c>
      <c r="K1590" s="1" t="s">
        <v>356</v>
      </c>
      <c r="L1590" s="1">
        <v>0</v>
      </c>
      <c r="M1590" s="1" t="s">
        <v>14</v>
      </c>
    </row>
    <row r="1591" spans="1:13" hidden="1" x14ac:dyDescent="0.25">
      <c r="A1591" s="1">
        <v>2014</v>
      </c>
      <c r="B1591" s="1">
        <f>B1590+1</f>
        <v>796</v>
      </c>
      <c r="C1591" s="2">
        <v>41810</v>
      </c>
      <c r="D1591" s="1" t="s">
        <v>507</v>
      </c>
      <c r="E1591" s="1" t="s">
        <v>270</v>
      </c>
      <c r="F1591" s="1" t="s">
        <v>477</v>
      </c>
      <c r="G1591" s="1" t="s">
        <v>103</v>
      </c>
      <c r="H1591" s="6" t="str">
        <f>VLOOKUP(A1591,WorldCups!$A$2:$B$23,2,FALSE)</f>
        <v>Brazil</v>
      </c>
      <c r="I1591" s="1" t="s">
        <v>57</v>
      </c>
      <c r="J1591" s="1">
        <v>0</v>
      </c>
      <c r="K1591" s="1" t="s">
        <v>301</v>
      </c>
      <c r="L1591" s="1">
        <v>1</v>
      </c>
      <c r="M1591" s="1" t="s">
        <v>14</v>
      </c>
    </row>
    <row r="1592" spans="1:13" hidden="1" x14ac:dyDescent="0.25">
      <c r="A1592" s="1">
        <v>2014</v>
      </c>
      <c r="B1592" s="1">
        <v>796</v>
      </c>
      <c r="C1592" s="2">
        <v>41810</v>
      </c>
      <c r="D1592" s="1" t="s">
        <v>507</v>
      </c>
      <c r="E1592" s="1" t="s">
        <v>270</v>
      </c>
      <c r="F1592" s="1" t="s">
        <v>477</v>
      </c>
      <c r="G1592" s="1" t="s">
        <v>103</v>
      </c>
      <c r="H1592" s="6" t="str">
        <f>VLOOKUP(A1592,WorldCups!$A$2:$B$23,2,FALSE)</f>
        <v>Brazil</v>
      </c>
      <c r="I1592" s="1" t="s">
        <v>301</v>
      </c>
      <c r="J1592" s="1">
        <v>1</v>
      </c>
      <c r="K1592" s="1" t="s">
        <v>57</v>
      </c>
      <c r="L1592" s="1">
        <v>0</v>
      </c>
      <c r="M1592" s="1" t="s">
        <v>14</v>
      </c>
    </row>
    <row r="1593" spans="1:13" hidden="1" x14ac:dyDescent="0.25">
      <c r="A1593" s="1">
        <v>2014</v>
      </c>
      <c r="B1593" s="1">
        <f>B1592+1</f>
        <v>797</v>
      </c>
      <c r="C1593" s="2">
        <v>41810</v>
      </c>
      <c r="D1593" s="1" t="s">
        <v>503</v>
      </c>
      <c r="E1593" s="1" t="s">
        <v>281</v>
      </c>
      <c r="F1593" s="1" t="s">
        <v>468</v>
      </c>
      <c r="G1593" s="1" t="s">
        <v>469</v>
      </c>
      <c r="H1593" s="6" t="str">
        <f>VLOOKUP(A1593,WorldCups!$A$2:$B$23,2,FALSE)</f>
        <v>Brazil</v>
      </c>
      <c r="I1593" s="1" t="s">
        <v>44</v>
      </c>
      <c r="J1593" s="1">
        <v>2</v>
      </c>
      <c r="K1593" s="1" t="s">
        <v>12</v>
      </c>
      <c r="L1593" s="1">
        <v>5</v>
      </c>
      <c r="M1593" s="1" t="s">
        <v>14</v>
      </c>
    </row>
    <row r="1594" spans="1:13" hidden="1" x14ac:dyDescent="0.25">
      <c r="A1594" s="1">
        <v>2014</v>
      </c>
      <c r="B1594" s="1">
        <v>797</v>
      </c>
      <c r="C1594" s="2">
        <v>41810</v>
      </c>
      <c r="D1594" s="1" t="s">
        <v>503</v>
      </c>
      <c r="E1594" s="1" t="s">
        <v>281</v>
      </c>
      <c r="F1594" s="1" t="s">
        <v>468</v>
      </c>
      <c r="G1594" s="1" t="s">
        <v>469</v>
      </c>
      <c r="H1594" s="6" t="str">
        <f>VLOOKUP(A1594,WorldCups!$A$2:$B$23,2,FALSE)</f>
        <v>Brazil</v>
      </c>
      <c r="I1594" s="1" t="s">
        <v>12</v>
      </c>
      <c r="J1594" s="1">
        <v>5</v>
      </c>
      <c r="K1594" s="1" t="s">
        <v>44</v>
      </c>
      <c r="L1594" s="1">
        <v>2</v>
      </c>
      <c r="M1594" s="1" t="s">
        <v>14</v>
      </c>
    </row>
    <row r="1595" spans="1:13" hidden="1" x14ac:dyDescent="0.25">
      <c r="A1595" s="1">
        <v>2014</v>
      </c>
      <c r="B1595" s="1">
        <f>B1594+1</f>
        <v>798</v>
      </c>
      <c r="C1595" s="2">
        <v>41810</v>
      </c>
      <c r="D1595" s="1" t="s">
        <v>521</v>
      </c>
      <c r="E1595" s="1" t="s">
        <v>281</v>
      </c>
      <c r="F1595" s="1" t="s">
        <v>483</v>
      </c>
      <c r="G1595" s="1" t="s">
        <v>95</v>
      </c>
      <c r="H1595" s="6" t="str">
        <f>VLOOKUP(A1595,WorldCups!$A$2:$B$23,2,FALSE)</f>
        <v>Brazil</v>
      </c>
      <c r="I1595" s="1" t="s">
        <v>252</v>
      </c>
      <c r="J1595" s="1">
        <v>1</v>
      </c>
      <c r="K1595" s="1" t="s">
        <v>382</v>
      </c>
      <c r="L1595" s="1">
        <v>2</v>
      </c>
      <c r="M1595" s="1" t="s">
        <v>14</v>
      </c>
    </row>
    <row r="1596" spans="1:13" hidden="1" x14ac:dyDescent="0.25">
      <c r="A1596" s="1">
        <v>2014</v>
      </c>
      <c r="B1596" s="1">
        <v>798</v>
      </c>
      <c r="C1596" s="2">
        <v>41810</v>
      </c>
      <c r="D1596" s="1" t="s">
        <v>521</v>
      </c>
      <c r="E1596" s="1" t="s">
        <v>281</v>
      </c>
      <c r="F1596" s="1" t="s">
        <v>483</v>
      </c>
      <c r="G1596" s="1" t="s">
        <v>95</v>
      </c>
      <c r="H1596" s="6" t="str">
        <f>VLOOKUP(A1596,WorldCups!$A$2:$B$23,2,FALSE)</f>
        <v>Brazil</v>
      </c>
      <c r="I1596" s="1" t="s">
        <v>382</v>
      </c>
      <c r="J1596" s="1">
        <v>2</v>
      </c>
      <c r="K1596" s="1" t="s">
        <v>252</v>
      </c>
      <c r="L1596" s="1">
        <v>1</v>
      </c>
      <c r="M1596" s="1" t="s">
        <v>14</v>
      </c>
    </row>
    <row r="1597" spans="1:13" hidden="1" x14ac:dyDescent="0.25">
      <c r="A1597" s="1">
        <v>2014</v>
      </c>
      <c r="B1597" s="1">
        <f>B1596+1</f>
        <v>799</v>
      </c>
      <c r="C1597" s="2">
        <v>41811</v>
      </c>
      <c r="D1597" s="1" t="s">
        <v>507</v>
      </c>
      <c r="E1597" s="1" t="s">
        <v>274</v>
      </c>
      <c r="F1597" s="1" t="s">
        <v>472</v>
      </c>
      <c r="G1597" s="1" t="s">
        <v>99</v>
      </c>
      <c r="H1597" s="6" t="str">
        <f>VLOOKUP(A1597,WorldCups!$A$2:$B$23,2,FALSE)</f>
        <v>Brazil</v>
      </c>
      <c r="I1597" s="1" t="s">
        <v>25</v>
      </c>
      <c r="J1597" s="1">
        <v>1</v>
      </c>
      <c r="K1597" s="1" t="s">
        <v>227</v>
      </c>
      <c r="L1597" s="1">
        <v>0</v>
      </c>
      <c r="M1597" s="1" t="s">
        <v>14</v>
      </c>
    </row>
    <row r="1598" spans="1:13" hidden="1" x14ac:dyDescent="0.25">
      <c r="A1598" s="1">
        <v>2014</v>
      </c>
      <c r="B1598" s="1">
        <v>799</v>
      </c>
      <c r="C1598" s="2">
        <v>41811</v>
      </c>
      <c r="D1598" s="1" t="s">
        <v>507</v>
      </c>
      <c r="E1598" s="1" t="s">
        <v>274</v>
      </c>
      <c r="F1598" s="1" t="s">
        <v>472</v>
      </c>
      <c r="G1598" s="1" t="s">
        <v>99</v>
      </c>
      <c r="H1598" s="6" t="str">
        <f>VLOOKUP(A1598,WorldCups!$A$2:$B$23,2,FALSE)</f>
        <v>Brazil</v>
      </c>
      <c r="I1598" s="1" t="s">
        <v>227</v>
      </c>
      <c r="J1598" s="1">
        <v>0</v>
      </c>
      <c r="K1598" s="1" t="s">
        <v>25</v>
      </c>
      <c r="L1598" s="1">
        <v>1</v>
      </c>
      <c r="M1598" s="1" t="s">
        <v>14</v>
      </c>
    </row>
    <row r="1599" spans="1:13" hidden="1" x14ac:dyDescent="0.25">
      <c r="A1599" s="1">
        <v>2014</v>
      </c>
      <c r="B1599" s="1">
        <f>B1598+1</f>
        <v>800</v>
      </c>
      <c r="C1599" s="2">
        <v>41811</v>
      </c>
      <c r="D1599" s="1" t="s">
        <v>503</v>
      </c>
      <c r="E1599" s="1" t="s">
        <v>361</v>
      </c>
      <c r="F1599" s="1" t="s">
        <v>473</v>
      </c>
      <c r="G1599" s="1" t="s">
        <v>474</v>
      </c>
      <c r="H1599" s="6" t="str">
        <f>VLOOKUP(A1599,WorldCups!$A$2:$B$23,2,FALSE)</f>
        <v>Brazil</v>
      </c>
      <c r="I1599" s="1" t="s">
        <v>51</v>
      </c>
      <c r="J1599" s="1">
        <v>2</v>
      </c>
      <c r="K1599" s="1" t="s">
        <v>431</v>
      </c>
      <c r="L1599" s="1">
        <v>2</v>
      </c>
      <c r="M1599" s="1" t="s">
        <v>14</v>
      </c>
    </row>
    <row r="1600" spans="1:13" hidden="1" x14ac:dyDescent="0.25">
      <c r="A1600" s="1">
        <v>2014</v>
      </c>
      <c r="B1600" s="1">
        <v>800</v>
      </c>
      <c r="C1600" s="2">
        <v>41811</v>
      </c>
      <c r="D1600" s="1" t="s">
        <v>503</v>
      </c>
      <c r="E1600" s="1" t="s">
        <v>361</v>
      </c>
      <c r="F1600" s="1" t="s">
        <v>473</v>
      </c>
      <c r="G1600" s="1" t="s">
        <v>474</v>
      </c>
      <c r="H1600" s="6" t="str">
        <f>VLOOKUP(A1600,WorldCups!$A$2:$B$23,2,FALSE)</f>
        <v>Brazil</v>
      </c>
      <c r="I1600" s="1" t="s">
        <v>431</v>
      </c>
      <c r="J1600" s="1">
        <v>2</v>
      </c>
      <c r="K1600" s="1" t="s">
        <v>51</v>
      </c>
      <c r="L1600" s="1">
        <v>2</v>
      </c>
      <c r="M1600" s="1" t="s">
        <v>14</v>
      </c>
    </row>
    <row r="1601" spans="1:13" hidden="1" x14ac:dyDescent="0.25">
      <c r="A1601" s="1">
        <v>2014</v>
      </c>
      <c r="B1601" s="1">
        <f>B1600+1</f>
        <v>801</v>
      </c>
      <c r="C1601" s="2">
        <v>41811</v>
      </c>
      <c r="D1601" s="1" t="s">
        <v>510</v>
      </c>
      <c r="E1601" s="1" t="s">
        <v>274</v>
      </c>
      <c r="F1601" s="1" t="s">
        <v>470</v>
      </c>
      <c r="G1601" s="1" t="s">
        <v>471</v>
      </c>
      <c r="H1601" s="6" t="str">
        <f>VLOOKUP(A1601,WorldCups!$A$2:$B$23,2,FALSE)</f>
        <v>Brazil</v>
      </c>
      <c r="I1601" s="1" t="s">
        <v>340</v>
      </c>
      <c r="J1601" s="1">
        <v>1</v>
      </c>
      <c r="K1601" s="1" t="s">
        <v>482</v>
      </c>
      <c r="L1601" s="1">
        <v>0</v>
      </c>
      <c r="M1601" s="1" t="s">
        <v>14</v>
      </c>
    </row>
    <row r="1602" spans="1:13" hidden="1" x14ac:dyDescent="0.25">
      <c r="A1602" s="1">
        <v>2014</v>
      </c>
      <c r="B1602" s="1">
        <v>801</v>
      </c>
      <c r="C1602" s="2">
        <v>41811</v>
      </c>
      <c r="D1602" s="1" t="s">
        <v>510</v>
      </c>
      <c r="E1602" s="1" t="s">
        <v>274</v>
      </c>
      <c r="F1602" s="1" t="s">
        <v>470</v>
      </c>
      <c r="G1602" s="1" t="s">
        <v>471</v>
      </c>
      <c r="H1602" s="6" t="str">
        <f>VLOOKUP(A1602,WorldCups!$A$2:$B$23,2,FALSE)</f>
        <v>Brazil</v>
      </c>
      <c r="I1602" s="1" t="s">
        <v>482</v>
      </c>
      <c r="J1602" s="1">
        <v>0</v>
      </c>
      <c r="K1602" s="1" t="s">
        <v>340</v>
      </c>
      <c r="L1602" s="1">
        <v>1</v>
      </c>
      <c r="M1602" s="1" t="s">
        <v>14</v>
      </c>
    </row>
    <row r="1603" spans="1:13" hidden="1" x14ac:dyDescent="0.25">
      <c r="A1603" s="1">
        <v>2014</v>
      </c>
      <c r="B1603" s="1">
        <f>B1602+1</f>
        <v>802</v>
      </c>
      <c r="C1603" s="2">
        <v>41812</v>
      </c>
      <c r="D1603" s="1" t="s">
        <v>507</v>
      </c>
      <c r="E1603" s="1" t="s">
        <v>355</v>
      </c>
      <c r="F1603" s="1" t="s">
        <v>481</v>
      </c>
      <c r="G1603" s="1" t="s">
        <v>92</v>
      </c>
      <c r="H1603" s="6" t="str">
        <f>VLOOKUP(A1603,WorldCups!$A$2:$B$23,2,FALSE)</f>
        <v>Brazil</v>
      </c>
      <c r="I1603" s="1" t="s">
        <v>18</v>
      </c>
      <c r="J1603" s="1">
        <v>1</v>
      </c>
      <c r="K1603" s="1" t="s">
        <v>336</v>
      </c>
      <c r="L1603" s="1">
        <v>0</v>
      </c>
      <c r="M1603" s="1" t="s">
        <v>14</v>
      </c>
    </row>
    <row r="1604" spans="1:13" hidden="1" x14ac:dyDescent="0.25">
      <c r="A1604" s="1">
        <v>2014</v>
      </c>
      <c r="B1604" s="1">
        <v>802</v>
      </c>
      <c r="C1604" s="2">
        <v>41812</v>
      </c>
      <c r="D1604" s="1" t="s">
        <v>507</v>
      </c>
      <c r="E1604" s="1" t="s">
        <v>355</v>
      </c>
      <c r="F1604" s="1" t="s">
        <v>481</v>
      </c>
      <c r="G1604" s="1" t="s">
        <v>92</v>
      </c>
      <c r="H1604" s="6" t="str">
        <f>VLOOKUP(A1604,WorldCups!$A$2:$B$23,2,FALSE)</f>
        <v>Brazil</v>
      </c>
      <c r="I1604" s="1" t="s">
        <v>336</v>
      </c>
      <c r="J1604" s="1">
        <v>0</v>
      </c>
      <c r="K1604" s="1" t="s">
        <v>18</v>
      </c>
      <c r="L1604" s="1">
        <v>1</v>
      </c>
      <c r="M1604" s="1" t="s">
        <v>14</v>
      </c>
    </row>
    <row r="1605" spans="1:13" hidden="1" x14ac:dyDescent="0.25">
      <c r="A1605" s="1">
        <v>2014</v>
      </c>
      <c r="B1605" s="1">
        <f>B1604+1</f>
        <v>803</v>
      </c>
      <c r="C1605" s="2">
        <v>41812</v>
      </c>
      <c r="D1605" s="1" t="s">
        <v>503</v>
      </c>
      <c r="E1605" s="1" t="s">
        <v>355</v>
      </c>
      <c r="F1605" s="1" t="s">
        <v>480</v>
      </c>
      <c r="G1605" s="1" t="s">
        <v>101</v>
      </c>
      <c r="H1605" s="6" t="str">
        <f>VLOOKUP(A1605,WorldCups!$A$2:$B$23,2,FALSE)</f>
        <v>Brazil</v>
      </c>
      <c r="I1605" s="1" t="s">
        <v>116</v>
      </c>
      <c r="J1605" s="1">
        <v>2</v>
      </c>
      <c r="K1605" s="1" t="s">
        <v>246</v>
      </c>
      <c r="L1605" s="1">
        <v>4</v>
      </c>
      <c r="M1605" s="1" t="s">
        <v>14</v>
      </c>
    </row>
    <row r="1606" spans="1:13" hidden="1" x14ac:dyDescent="0.25">
      <c r="A1606" s="1">
        <v>2014</v>
      </c>
      <c r="B1606" s="1">
        <v>803</v>
      </c>
      <c r="C1606" s="2">
        <v>41812</v>
      </c>
      <c r="D1606" s="1" t="s">
        <v>503</v>
      </c>
      <c r="E1606" s="1" t="s">
        <v>355</v>
      </c>
      <c r="F1606" s="1" t="s">
        <v>480</v>
      </c>
      <c r="G1606" s="1" t="s">
        <v>101</v>
      </c>
      <c r="H1606" s="6" t="str">
        <f>VLOOKUP(A1606,WorldCups!$A$2:$B$23,2,FALSE)</f>
        <v>Brazil</v>
      </c>
      <c r="I1606" s="1" t="s">
        <v>246</v>
      </c>
      <c r="J1606" s="1">
        <v>4</v>
      </c>
      <c r="K1606" s="1" t="s">
        <v>116</v>
      </c>
      <c r="L1606" s="1">
        <v>2</v>
      </c>
      <c r="M1606" s="1" t="s">
        <v>14</v>
      </c>
    </row>
    <row r="1607" spans="1:13" hidden="1" x14ac:dyDescent="0.25">
      <c r="A1607" s="1">
        <v>2014</v>
      </c>
      <c r="B1607" s="1">
        <f>B1606+1</f>
        <v>804</v>
      </c>
      <c r="C1607" s="2">
        <v>41812</v>
      </c>
      <c r="D1607" s="1" t="s">
        <v>510</v>
      </c>
      <c r="E1607" s="1" t="s">
        <v>361</v>
      </c>
      <c r="F1607" s="1" t="s">
        <v>475</v>
      </c>
      <c r="G1607" s="1" t="s">
        <v>476</v>
      </c>
      <c r="H1607" s="6" t="str">
        <f>VLOOKUP(A1607,WorldCups!$A$2:$B$23,2,FALSE)</f>
        <v>Brazil</v>
      </c>
      <c r="I1607" s="1" t="s">
        <v>17</v>
      </c>
      <c r="J1607" s="1">
        <v>2</v>
      </c>
      <c r="K1607" s="1" t="s">
        <v>170</v>
      </c>
      <c r="L1607" s="1">
        <v>2</v>
      </c>
      <c r="M1607" s="1" t="s">
        <v>14</v>
      </c>
    </row>
    <row r="1608" spans="1:13" hidden="1" x14ac:dyDescent="0.25">
      <c r="A1608" s="1">
        <v>2014</v>
      </c>
      <c r="B1608" s="1">
        <v>804</v>
      </c>
      <c r="C1608" s="2">
        <v>41812</v>
      </c>
      <c r="D1608" s="1" t="s">
        <v>510</v>
      </c>
      <c r="E1608" s="1" t="s">
        <v>361</v>
      </c>
      <c r="F1608" s="1" t="s">
        <v>475</v>
      </c>
      <c r="G1608" s="1" t="s">
        <v>476</v>
      </c>
      <c r="H1608" s="6" t="str">
        <f>VLOOKUP(A1608,WorldCups!$A$2:$B$23,2,FALSE)</f>
        <v>Brazil</v>
      </c>
      <c r="I1608" s="1" t="s">
        <v>170</v>
      </c>
      <c r="J1608" s="1">
        <v>2</v>
      </c>
      <c r="K1608" s="1" t="s">
        <v>17</v>
      </c>
      <c r="L1608" s="1">
        <v>2</v>
      </c>
      <c r="M1608" s="1" t="s">
        <v>14</v>
      </c>
    </row>
    <row r="1609" spans="1:13" hidden="1" x14ac:dyDescent="0.25">
      <c r="A1609" s="1">
        <v>2014</v>
      </c>
      <c r="B1609" s="1">
        <f>B1608+1</f>
        <v>805</v>
      </c>
      <c r="C1609" s="2">
        <v>41813</v>
      </c>
      <c r="D1609" s="1" t="s">
        <v>507</v>
      </c>
      <c r="E1609" s="1" t="s">
        <v>213</v>
      </c>
      <c r="F1609" s="1" t="s">
        <v>483</v>
      </c>
      <c r="G1609" s="1" t="s">
        <v>95</v>
      </c>
      <c r="H1609" s="6" t="str">
        <f>VLOOKUP(A1609,WorldCups!$A$2:$B$23,2,FALSE)</f>
        <v>Brazil</v>
      </c>
      <c r="I1609" s="1" t="s">
        <v>199</v>
      </c>
      <c r="J1609" s="1">
        <v>0</v>
      </c>
      <c r="K1609" s="1" t="s">
        <v>54</v>
      </c>
      <c r="L1609" s="1">
        <v>3</v>
      </c>
      <c r="M1609" s="1" t="s">
        <v>14</v>
      </c>
    </row>
    <row r="1610" spans="1:13" hidden="1" x14ac:dyDescent="0.25">
      <c r="A1610" s="1">
        <v>2014</v>
      </c>
      <c r="B1610" s="1">
        <v>805</v>
      </c>
      <c r="C1610" s="2">
        <v>41813</v>
      </c>
      <c r="D1610" s="1" t="s">
        <v>507</v>
      </c>
      <c r="E1610" s="1" t="s">
        <v>213</v>
      </c>
      <c r="F1610" s="1" t="s">
        <v>483</v>
      </c>
      <c r="G1610" s="1" t="s">
        <v>95</v>
      </c>
      <c r="H1610" s="6" t="str">
        <f>VLOOKUP(A1610,WorldCups!$A$2:$B$23,2,FALSE)</f>
        <v>Brazil</v>
      </c>
      <c r="I1610" s="1" t="s">
        <v>54</v>
      </c>
      <c r="J1610" s="1">
        <v>3</v>
      </c>
      <c r="K1610" s="1" t="s">
        <v>199</v>
      </c>
      <c r="L1610" s="1">
        <v>0</v>
      </c>
      <c r="M1610" s="1" t="s">
        <v>14</v>
      </c>
    </row>
    <row r="1611" spans="1:13" hidden="1" x14ac:dyDescent="0.25">
      <c r="A1611" s="1">
        <v>2014</v>
      </c>
      <c r="B1611" s="1">
        <f>B1610+1</f>
        <v>806</v>
      </c>
      <c r="C1611" s="2">
        <v>41813</v>
      </c>
      <c r="D1611" s="1" t="s">
        <v>507</v>
      </c>
      <c r="E1611" s="1" t="s">
        <v>213</v>
      </c>
      <c r="F1611" s="1" t="s">
        <v>465</v>
      </c>
      <c r="G1611" s="1" t="s">
        <v>97</v>
      </c>
      <c r="H1611" s="6" t="str">
        <f>VLOOKUP(A1611,WorldCups!$A$2:$B$23,2,FALSE)</f>
        <v>Brazil</v>
      </c>
      <c r="I1611" s="1" t="s">
        <v>45</v>
      </c>
      <c r="J1611" s="1">
        <v>2</v>
      </c>
      <c r="K1611" s="1" t="s">
        <v>26</v>
      </c>
      <c r="L1611" s="1">
        <v>0</v>
      </c>
      <c r="M1611" s="1" t="s">
        <v>14</v>
      </c>
    </row>
    <row r="1612" spans="1:13" hidden="1" x14ac:dyDescent="0.25">
      <c r="A1612" s="1">
        <v>2014</v>
      </c>
      <c r="B1612" s="1">
        <v>806</v>
      </c>
      <c r="C1612" s="2">
        <v>41813</v>
      </c>
      <c r="D1612" s="1" t="s">
        <v>507</v>
      </c>
      <c r="E1612" s="1" t="s">
        <v>213</v>
      </c>
      <c r="F1612" s="1" t="s">
        <v>465</v>
      </c>
      <c r="G1612" s="1" t="s">
        <v>97</v>
      </c>
      <c r="H1612" s="6" t="str">
        <f>VLOOKUP(A1612,WorldCups!$A$2:$B$23,2,FALSE)</f>
        <v>Brazil</v>
      </c>
      <c r="I1612" s="1" t="s">
        <v>26</v>
      </c>
      <c r="J1612" s="1">
        <v>0</v>
      </c>
      <c r="K1612" s="1" t="s">
        <v>45</v>
      </c>
      <c r="L1612" s="1">
        <v>2</v>
      </c>
      <c r="M1612" s="1" t="s">
        <v>14</v>
      </c>
    </row>
    <row r="1613" spans="1:13" hidden="1" x14ac:dyDescent="0.25">
      <c r="A1613" s="1">
        <v>2014</v>
      </c>
      <c r="B1613" s="1">
        <f>B1612+1</f>
        <v>807</v>
      </c>
      <c r="C1613" s="2">
        <v>41813</v>
      </c>
      <c r="D1613" s="1" t="s">
        <v>512</v>
      </c>
      <c r="E1613" s="1" t="s">
        <v>214</v>
      </c>
      <c r="F1613" s="1" t="s">
        <v>478</v>
      </c>
      <c r="G1613" s="1" t="s">
        <v>479</v>
      </c>
      <c r="H1613" s="6" t="str">
        <f>VLOOKUP(A1613,WorldCups!$A$2:$B$23,2,FALSE)</f>
        <v>Brazil</v>
      </c>
      <c r="I1613" s="1" t="s">
        <v>238</v>
      </c>
      <c r="J1613" s="1">
        <v>1</v>
      </c>
      <c r="K1613" s="1" t="s">
        <v>21</v>
      </c>
      <c r="L1613" s="1">
        <v>4</v>
      </c>
      <c r="M1613" s="1" t="s">
        <v>14</v>
      </c>
    </row>
    <row r="1614" spans="1:13" hidden="1" x14ac:dyDescent="0.25">
      <c r="A1614" s="1">
        <v>2014</v>
      </c>
      <c r="B1614" s="1">
        <v>807</v>
      </c>
      <c r="C1614" s="2">
        <v>41813</v>
      </c>
      <c r="D1614" s="1" t="s">
        <v>512</v>
      </c>
      <c r="E1614" s="1" t="s">
        <v>214</v>
      </c>
      <c r="F1614" s="1" t="s">
        <v>478</v>
      </c>
      <c r="G1614" s="1" t="s">
        <v>479</v>
      </c>
      <c r="H1614" s="6" t="str">
        <f>VLOOKUP(A1614,WorldCups!$A$2:$B$23,2,FALSE)</f>
        <v>Brazil</v>
      </c>
      <c r="I1614" s="1" t="s">
        <v>21</v>
      </c>
      <c r="J1614" s="1">
        <v>4</v>
      </c>
      <c r="K1614" s="1" t="s">
        <v>238</v>
      </c>
      <c r="L1614" s="1">
        <v>1</v>
      </c>
      <c r="M1614" s="1" t="s">
        <v>14</v>
      </c>
    </row>
    <row r="1615" spans="1:13" hidden="1" x14ac:dyDescent="0.25">
      <c r="A1615" s="1">
        <v>2014</v>
      </c>
      <c r="B1615" s="1">
        <f>B1614+1</f>
        <v>808</v>
      </c>
      <c r="C1615" s="2">
        <v>41813</v>
      </c>
      <c r="D1615" s="1" t="s">
        <v>512</v>
      </c>
      <c r="E1615" s="1" t="s">
        <v>214</v>
      </c>
      <c r="F1615" s="1" t="s">
        <v>477</v>
      </c>
      <c r="G1615" s="1" t="s">
        <v>103</v>
      </c>
      <c r="H1615" s="6" t="str">
        <f>VLOOKUP(A1615,WorldCups!$A$2:$B$23,2,FALSE)</f>
        <v>Brazil</v>
      </c>
      <c r="I1615" s="1" t="s">
        <v>360</v>
      </c>
      <c r="J1615" s="1">
        <v>1</v>
      </c>
      <c r="K1615" s="1" t="s">
        <v>13</v>
      </c>
      <c r="L1615" s="1">
        <v>3</v>
      </c>
      <c r="M1615" s="1" t="s">
        <v>14</v>
      </c>
    </row>
    <row r="1616" spans="1:13" hidden="1" x14ac:dyDescent="0.25">
      <c r="A1616" s="1">
        <v>2014</v>
      </c>
      <c r="B1616" s="1">
        <v>808</v>
      </c>
      <c r="C1616" s="2">
        <v>41813</v>
      </c>
      <c r="D1616" s="1" t="s">
        <v>512</v>
      </c>
      <c r="E1616" s="1" t="s">
        <v>214</v>
      </c>
      <c r="F1616" s="1" t="s">
        <v>477</v>
      </c>
      <c r="G1616" s="1" t="s">
        <v>103</v>
      </c>
      <c r="H1616" s="6" t="str">
        <f>VLOOKUP(A1616,WorldCups!$A$2:$B$23,2,FALSE)</f>
        <v>Brazil</v>
      </c>
      <c r="I1616" s="1" t="s">
        <v>13</v>
      </c>
      <c r="J1616" s="1">
        <v>3</v>
      </c>
      <c r="K1616" s="1" t="s">
        <v>360</v>
      </c>
      <c r="L1616" s="1">
        <v>1</v>
      </c>
      <c r="M1616" s="1" t="s">
        <v>14</v>
      </c>
    </row>
    <row r="1617" spans="1:13" hidden="1" x14ac:dyDescent="0.25">
      <c r="A1617" s="1">
        <v>2014</v>
      </c>
      <c r="B1617" s="1">
        <f>B1616+1</f>
        <v>809</v>
      </c>
      <c r="C1617" s="2">
        <v>41814</v>
      </c>
      <c r="D1617" s="1" t="s">
        <v>507</v>
      </c>
      <c r="E1617" s="1" t="s">
        <v>270</v>
      </c>
      <c r="F1617" s="1" t="s">
        <v>466</v>
      </c>
      <c r="G1617" s="1" t="s">
        <v>467</v>
      </c>
      <c r="H1617" s="6" t="str">
        <f>VLOOKUP(A1617,WorldCups!$A$2:$B$23,2,FALSE)</f>
        <v>Brazil</v>
      </c>
      <c r="I1617" s="1" t="s">
        <v>57</v>
      </c>
      <c r="J1617" s="1">
        <v>0</v>
      </c>
      <c r="K1617" s="1" t="s">
        <v>30</v>
      </c>
      <c r="L1617" s="1">
        <v>1</v>
      </c>
      <c r="M1617" s="1" t="s">
        <v>14</v>
      </c>
    </row>
    <row r="1618" spans="1:13" hidden="1" x14ac:dyDescent="0.25">
      <c r="A1618" s="1">
        <v>2014</v>
      </c>
      <c r="B1618" s="1">
        <v>809</v>
      </c>
      <c r="C1618" s="2">
        <v>41814</v>
      </c>
      <c r="D1618" s="1" t="s">
        <v>507</v>
      </c>
      <c r="E1618" s="1" t="s">
        <v>270</v>
      </c>
      <c r="F1618" s="1" t="s">
        <v>466</v>
      </c>
      <c r="G1618" s="1" t="s">
        <v>467</v>
      </c>
      <c r="H1618" s="6" t="str">
        <f>VLOOKUP(A1618,WorldCups!$A$2:$B$23,2,FALSE)</f>
        <v>Brazil</v>
      </c>
      <c r="I1618" s="1" t="s">
        <v>30</v>
      </c>
      <c r="J1618" s="1">
        <v>1</v>
      </c>
      <c r="K1618" s="1" t="s">
        <v>57</v>
      </c>
      <c r="L1618" s="1">
        <v>0</v>
      </c>
      <c r="M1618" s="1" t="s">
        <v>14</v>
      </c>
    </row>
    <row r="1619" spans="1:13" hidden="1" x14ac:dyDescent="0.25">
      <c r="A1619" s="1">
        <v>2014</v>
      </c>
      <c r="B1619" s="1">
        <f>B1618+1</f>
        <v>810</v>
      </c>
      <c r="C1619" s="2">
        <v>41814</v>
      </c>
      <c r="D1619" s="1" t="s">
        <v>507</v>
      </c>
      <c r="E1619" s="1" t="s">
        <v>270</v>
      </c>
      <c r="F1619" s="1" t="s">
        <v>472</v>
      </c>
      <c r="G1619" s="1" t="s">
        <v>99</v>
      </c>
      <c r="H1619" s="6" t="str">
        <f>VLOOKUP(A1619,WorldCups!$A$2:$B$23,2,FALSE)</f>
        <v>Brazil</v>
      </c>
      <c r="I1619" s="1" t="s">
        <v>301</v>
      </c>
      <c r="J1619" s="1">
        <v>0</v>
      </c>
      <c r="K1619" s="1" t="s">
        <v>93</v>
      </c>
      <c r="L1619" s="1">
        <v>0</v>
      </c>
      <c r="M1619" s="1" t="s">
        <v>14</v>
      </c>
    </row>
    <row r="1620" spans="1:13" hidden="1" x14ac:dyDescent="0.25">
      <c r="A1620" s="1">
        <v>2014</v>
      </c>
      <c r="B1620" s="1">
        <v>810</v>
      </c>
      <c r="C1620" s="2">
        <v>41814</v>
      </c>
      <c r="D1620" s="1" t="s">
        <v>507</v>
      </c>
      <c r="E1620" s="1" t="s">
        <v>270</v>
      </c>
      <c r="F1620" s="1" t="s">
        <v>472</v>
      </c>
      <c r="G1620" s="1" t="s">
        <v>99</v>
      </c>
      <c r="H1620" s="6" t="str">
        <f>VLOOKUP(A1620,WorldCups!$A$2:$B$23,2,FALSE)</f>
        <v>Brazil</v>
      </c>
      <c r="I1620" s="1" t="s">
        <v>93</v>
      </c>
      <c r="J1620" s="1">
        <v>0</v>
      </c>
      <c r="K1620" s="1" t="s">
        <v>301</v>
      </c>
      <c r="L1620" s="1">
        <v>0</v>
      </c>
      <c r="M1620" s="1" t="s">
        <v>14</v>
      </c>
    </row>
    <row r="1621" spans="1:13" hidden="1" x14ac:dyDescent="0.25">
      <c r="A1621" s="1">
        <v>2014</v>
      </c>
      <c r="B1621" s="1">
        <f>B1620+1</f>
        <v>811</v>
      </c>
      <c r="C1621" s="2">
        <v>41814</v>
      </c>
      <c r="D1621" s="1" t="s">
        <v>503</v>
      </c>
      <c r="E1621" s="1" t="s">
        <v>268</v>
      </c>
      <c r="F1621" s="1" t="s">
        <v>470</v>
      </c>
      <c r="G1621" s="1" t="s">
        <v>471</v>
      </c>
      <c r="H1621" s="6" t="str">
        <f>VLOOKUP(A1621,WorldCups!$A$2:$B$23,2,FALSE)</f>
        <v>Brazil</v>
      </c>
      <c r="I1621" s="1" t="s">
        <v>356</v>
      </c>
      <c r="J1621" s="1">
        <v>1</v>
      </c>
      <c r="K1621" s="1" t="s">
        <v>151</v>
      </c>
      <c r="L1621" s="1">
        <v>4</v>
      </c>
      <c r="M1621" s="1" t="s">
        <v>14</v>
      </c>
    </row>
    <row r="1622" spans="1:13" hidden="1" x14ac:dyDescent="0.25">
      <c r="A1622" s="1">
        <v>2014</v>
      </c>
      <c r="B1622" s="1">
        <v>811</v>
      </c>
      <c r="C1622" s="2">
        <v>41814</v>
      </c>
      <c r="D1622" s="1" t="s">
        <v>503</v>
      </c>
      <c r="E1622" s="1" t="s">
        <v>268</v>
      </c>
      <c r="F1622" s="1" t="s">
        <v>470</v>
      </c>
      <c r="G1622" s="1" t="s">
        <v>471</v>
      </c>
      <c r="H1622" s="6" t="str">
        <f>VLOOKUP(A1622,WorldCups!$A$2:$B$23,2,FALSE)</f>
        <v>Brazil</v>
      </c>
      <c r="I1622" s="1" t="s">
        <v>151</v>
      </c>
      <c r="J1622" s="1">
        <v>4</v>
      </c>
      <c r="K1622" s="1" t="s">
        <v>356</v>
      </c>
      <c r="L1622" s="1">
        <v>1</v>
      </c>
      <c r="M1622" s="1" t="s">
        <v>14</v>
      </c>
    </row>
    <row r="1623" spans="1:13" hidden="1" x14ac:dyDescent="0.25">
      <c r="A1623" s="1">
        <v>2014</v>
      </c>
      <c r="B1623" s="1">
        <f>B1622+1</f>
        <v>812</v>
      </c>
      <c r="C1623" s="2">
        <v>41814</v>
      </c>
      <c r="D1623" s="1" t="s">
        <v>512</v>
      </c>
      <c r="E1623" s="1" t="s">
        <v>268</v>
      </c>
      <c r="F1623" s="1" t="s">
        <v>473</v>
      </c>
      <c r="G1623" s="1" t="s">
        <v>474</v>
      </c>
      <c r="H1623" s="6" t="str">
        <f>VLOOKUP(A1623,WorldCups!$A$2:$B$23,2,FALSE)</f>
        <v>Brazil</v>
      </c>
      <c r="I1623" s="1" t="s">
        <v>339</v>
      </c>
      <c r="J1623" s="1">
        <v>2</v>
      </c>
      <c r="K1623" s="1" t="s">
        <v>418</v>
      </c>
      <c r="L1623" s="1">
        <v>1</v>
      </c>
      <c r="M1623" s="1" t="s">
        <v>14</v>
      </c>
    </row>
    <row r="1624" spans="1:13" hidden="1" x14ac:dyDescent="0.25">
      <c r="A1624" s="1">
        <v>2014</v>
      </c>
      <c r="B1624" s="1">
        <v>812</v>
      </c>
      <c r="C1624" s="2">
        <v>41814</v>
      </c>
      <c r="D1624" s="1" t="s">
        <v>512</v>
      </c>
      <c r="E1624" s="1" t="s">
        <v>268</v>
      </c>
      <c r="F1624" s="1" t="s">
        <v>473</v>
      </c>
      <c r="G1624" s="1" t="s">
        <v>474</v>
      </c>
      <c r="H1624" s="6" t="str">
        <f>VLOOKUP(A1624,WorldCups!$A$2:$B$23,2,FALSE)</f>
        <v>Brazil</v>
      </c>
      <c r="I1624" s="1" t="s">
        <v>418</v>
      </c>
      <c r="J1624" s="1">
        <v>1</v>
      </c>
      <c r="K1624" s="1" t="s">
        <v>339</v>
      </c>
      <c r="L1624" s="1">
        <v>2</v>
      </c>
      <c r="M1624" s="1" t="s">
        <v>14</v>
      </c>
    </row>
    <row r="1625" spans="1:13" hidden="1" x14ac:dyDescent="0.25">
      <c r="A1625" s="1">
        <v>2014</v>
      </c>
      <c r="B1625" s="1">
        <f>B1624+1</f>
        <v>813</v>
      </c>
      <c r="C1625" s="2">
        <v>41815</v>
      </c>
      <c r="D1625" s="1" t="s">
        <v>507</v>
      </c>
      <c r="E1625" s="1" t="s">
        <v>274</v>
      </c>
      <c r="F1625" s="1" t="s">
        <v>480</v>
      </c>
      <c r="G1625" s="1" t="s">
        <v>101</v>
      </c>
      <c r="H1625" s="6" t="str">
        <f>VLOOKUP(A1625,WorldCups!$A$2:$B$23,2,FALSE)</f>
        <v>Brazil</v>
      </c>
      <c r="I1625" s="1" t="s">
        <v>340</v>
      </c>
      <c r="J1625" s="1">
        <v>2</v>
      </c>
      <c r="K1625" s="1" t="s">
        <v>25</v>
      </c>
      <c r="L1625" s="1">
        <v>3</v>
      </c>
      <c r="M1625" s="1" t="s">
        <v>14</v>
      </c>
    </row>
    <row r="1626" spans="1:13" hidden="1" x14ac:dyDescent="0.25">
      <c r="A1626" s="1">
        <v>2014</v>
      </c>
      <c r="B1626" s="1">
        <v>813</v>
      </c>
      <c r="C1626" s="2">
        <v>41815</v>
      </c>
      <c r="D1626" s="1" t="s">
        <v>507</v>
      </c>
      <c r="E1626" s="1" t="s">
        <v>274</v>
      </c>
      <c r="F1626" s="1" t="s">
        <v>480</v>
      </c>
      <c r="G1626" s="1" t="s">
        <v>101</v>
      </c>
      <c r="H1626" s="6" t="str">
        <f>VLOOKUP(A1626,WorldCups!$A$2:$B$23,2,FALSE)</f>
        <v>Brazil</v>
      </c>
      <c r="I1626" s="1" t="s">
        <v>25</v>
      </c>
      <c r="J1626" s="1">
        <v>3</v>
      </c>
      <c r="K1626" s="1" t="s">
        <v>340</v>
      </c>
      <c r="L1626" s="1">
        <v>2</v>
      </c>
      <c r="M1626" s="1" t="s">
        <v>14</v>
      </c>
    </row>
    <row r="1627" spans="1:13" hidden="1" x14ac:dyDescent="0.25">
      <c r="A1627" s="1">
        <v>2014</v>
      </c>
      <c r="B1627" s="1">
        <f>B1626+1</f>
        <v>814</v>
      </c>
      <c r="C1627" s="2">
        <v>41815</v>
      </c>
      <c r="D1627" s="1" t="s">
        <v>507</v>
      </c>
      <c r="E1627" s="1" t="s">
        <v>274</v>
      </c>
      <c r="F1627" s="1" t="s">
        <v>468</v>
      </c>
      <c r="G1627" s="1" t="s">
        <v>469</v>
      </c>
      <c r="H1627" s="6" t="str">
        <f>VLOOKUP(A1627,WorldCups!$A$2:$B$23,2,FALSE)</f>
        <v>Brazil</v>
      </c>
      <c r="I1627" s="1" t="s">
        <v>482</v>
      </c>
      <c r="J1627" s="1">
        <v>3</v>
      </c>
      <c r="K1627" s="1" t="s">
        <v>227</v>
      </c>
      <c r="L1627" s="1">
        <v>1</v>
      </c>
      <c r="M1627" s="1" t="s">
        <v>14</v>
      </c>
    </row>
    <row r="1628" spans="1:13" hidden="1" x14ac:dyDescent="0.25">
      <c r="A1628" s="1">
        <v>2014</v>
      </c>
      <c r="B1628" s="1">
        <v>814</v>
      </c>
      <c r="C1628" s="2">
        <v>41815</v>
      </c>
      <c r="D1628" s="1" t="s">
        <v>507</v>
      </c>
      <c r="E1628" s="1" t="s">
        <v>274</v>
      </c>
      <c r="F1628" s="1" t="s">
        <v>468</v>
      </c>
      <c r="G1628" s="1" t="s">
        <v>469</v>
      </c>
      <c r="H1628" s="6" t="str">
        <f>VLOOKUP(A1628,WorldCups!$A$2:$B$23,2,FALSE)</f>
        <v>Brazil</v>
      </c>
      <c r="I1628" s="1" t="s">
        <v>227</v>
      </c>
      <c r="J1628" s="1">
        <v>1</v>
      </c>
      <c r="K1628" s="1" t="s">
        <v>482</v>
      </c>
      <c r="L1628" s="1">
        <v>3</v>
      </c>
      <c r="M1628" s="1" t="s">
        <v>14</v>
      </c>
    </row>
    <row r="1629" spans="1:13" hidden="1" x14ac:dyDescent="0.25">
      <c r="A1629" s="1">
        <v>2014</v>
      </c>
      <c r="B1629" s="1">
        <f>B1628+1</f>
        <v>815</v>
      </c>
      <c r="C1629" s="2">
        <v>41815</v>
      </c>
      <c r="D1629" s="1" t="s">
        <v>503</v>
      </c>
      <c r="E1629" s="1" t="s">
        <v>281</v>
      </c>
      <c r="F1629" s="1" t="s">
        <v>475</v>
      </c>
      <c r="G1629" s="1" t="s">
        <v>476</v>
      </c>
      <c r="H1629" s="6" t="str">
        <f>VLOOKUP(A1629,WorldCups!$A$2:$B$23,2,FALSE)</f>
        <v>Brazil</v>
      </c>
      <c r="I1629" s="1" t="s">
        <v>252</v>
      </c>
      <c r="J1629" s="1">
        <v>0</v>
      </c>
      <c r="K1629" s="1" t="s">
        <v>44</v>
      </c>
      <c r="L1629" s="1">
        <v>3</v>
      </c>
      <c r="M1629" s="1" t="s">
        <v>14</v>
      </c>
    </row>
    <row r="1630" spans="1:13" hidden="1" x14ac:dyDescent="0.25">
      <c r="A1630" s="1">
        <v>2014</v>
      </c>
      <c r="B1630" s="1">
        <v>815</v>
      </c>
      <c r="C1630" s="2">
        <v>41815</v>
      </c>
      <c r="D1630" s="1" t="s">
        <v>503</v>
      </c>
      <c r="E1630" s="1" t="s">
        <v>281</v>
      </c>
      <c r="F1630" s="1" t="s">
        <v>475</v>
      </c>
      <c r="G1630" s="1" t="s">
        <v>476</v>
      </c>
      <c r="H1630" s="6" t="str">
        <f>VLOOKUP(A1630,WorldCups!$A$2:$B$23,2,FALSE)</f>
        <v>Brazil</v>
      </c>
      <c r="I1630" s="1" t="s">
        <v>44</v>
      </c>
      <c r="J1630" s="1">
        <v>3</v>
      </c>
      <c r="K1630" s="1" t="s">
        <v>252</v>
      </c>
      <c r="L1630" s="1">
        <v>0</v>
      </c>
      <c r="M1630" s="1" t="s">
        <v>14</v>
      </c>
    </row>
    <row r="1631" spans="1:13" hidden="1" x14ac:dyDescent="0.25">
      <c r="A1631" s="1">
        <v>2014</v>
      </c>
      <c r="B1631" s="1">
        <f>B1630+1</f>
        <v>816</v>
      </c>
      <c r="C1631" s="2">
        <v>41815</v>
      </c>
      <c r="D1631" s="1" t="s">
        <v>512</v>
      </c>
      <c r="E1631" s="1" t="s">
        <v>281</v>
      </c>
      <c r="F1631" s="1" t="s">
        <v>481</v>
      </c>
      <c r="G1631" s="1" t="s">
        <v>92</v>
      </c>
      <c r="H1631" s="6" t="str">
        <f>VLOOKUP(A1631,WorldCups!$A$2:$B$23,2,FALSE)</f>
        <v>Brazil</v>
      </c>
      <c r="I1631" s="1" t="s">
        <v>382</v>
      </c>
      <c r="J1631" s="1">
        <v>0</v>
      </c>
      <c r="K1631" s="1" t="s">
        <v>12</v>
      </c>
      <c r="L1631" s="1">
        <v>0</v>
      </c>
      <c r="M1631" s="1" t="s">
        <v>14</v>
      </c>
    </row>
    <row r="1632" spans="1:13" hidden="1" x14ac:dyDescent="0.25">
      <c r="A1632" s="1">
        <v>2014</v>
      </c>
      <c r="B1632" s="1">
        <v>816</v>
      </c>
      <c r="C1632" s="2">
        <v>41815</v>
      </c>
      <c r="D1632" s="1" t="s">
        <v>512</v>
      </c>
      <c r="E1632" s="1" t="s">
        <v>281</v>
      </c>
      <c r="F1632" s="1" t="s">
        <v>481</v>
      </c>
      <c r="G1632" s="1" t="s">
        <v>92</v>
      </c>
      <c r="H1632" s="6" t="str">
        <f>VLOOKUP(A1632,WorldCups!$A$2:$B$23,2,FALSE)</f>
        <v>Brazil</v>
      </c>
      <c r="I1632" s="1" t="s">
        <v>12</v>
      </c>
      <c r="J1632" s="1">
        <v>0</v>
      </c>
      <c r="K1632" s="1" t="s">
        <v>382</v>
      </c>
      <c r="L1632" s="1">
        <v>0</v>
      </c>
      <c r="M1632" s="1" t="s">
        <v>14</v>
      </c>
    </row>
    <row r="1633" spans="1:13" hidden="1" x14ac:dyDescent="0.25">
      <c r="A1633" s="1">
        <v>2014</v>
      </c>
      <c r="B1633" s="1">
        <f>B1632+1</f>
        <v>817</v>
      </c>
      <c r="C1633" s="2">
        <v>41816</v>
      </c>
      <c r="D1633" s="1" t="s">
        <v>507</v>
      </c>
      <c r="E1633" s="1" t="s">
        <v>361</v>
      </c>
      <c r="F1633" s="1" t="s">
        <v>477</v>
      </c>
      <c r="G1633" s="1" t="s">
        <v>103</v>
      </c>
      <c r="H1633" s="6" t="str">
        <f>VLOOKUP(A1633,WorldCups!$A$2:$B$23,2,FALSE)</f>
        <v>Brazil</v>
      </c>
      <c r="I1633" s="1" t="s">
        <v>17</v>
      </c>
      <c r="J1633" s="1">
        <v>0</v>
      </c>
      <c r="K1633" s="1" t="s">
        <v>51</v>
      </c>
      <c r="L1633" s="1">
        <v>1</v>
      </c>
      <c r="M1633" s="1" t="s">
        <v>14</v>
      </c>
    </row>
    <row r="1634" spans="1:13" hidden="1" x14ac:dyDescent="0.25">
      <c r="A1634" s="1">
        <v>2014</v>
      </c>
      <c r="B1634" s="1">
        <v>817</v>
      </c>
      <c r="C1634" s="2">
        <v>41816</v>
      </c>
      <c r="D1634" s="1" t="s">
        <v>507</v>
      </c>
      <c r="E1634" s="1" t="s">
        <v>361</v>
      </c>
      <c r="F1634" s="1" t="s">
        <v>477</v>
      </c>
      <c r="G1634" s="1" t="s">
        <v>103</v>
      </c>
      <c r="H1634" s="6" t="str">
        <f>VLOOKUP(A1634,WorldCups!$A$2:$B$23,2,FALSE)</f>
        <v>Brazil</v>
      </c>
      <c r="I1634" s="1" t="s">
        <v>51</v>
      </c>
      <c r="J1634" s="1">
        <v>1</v>
      </c>
      <c r="K1634" s="1" t="s">
        <v>17</v>
      </c>
      <c r="L1634" s="1">
        <v>0</v>
      </c>
      <c r="M1634" s="1" t="s">
        <v>14</v>
      </c>
    </row>
    <row r="1635" spans="1:13" hidden="1" x14ac:dyDescent="0.25">
      <c r="A1635" s="1">
        <v>2014</v>
      </c>
      <c r="B1635" s="1">
        <f>B1634+1</f>
        <v>818</v>
      </c>
      <c r="C1635" s="2">
        <v>41816</v>
      </c>
      <c r="D1635" s="1" t="s">
        <v>507</v>
      </c>
      <c r="E1635" s="1" t="s">
        <v>361</v>
      </c>
      <c r="F1635" s="1" t="s">
        <v>478</v>
      </c>
      <c r="G1635" s="1" t="s">
        <v>479</v>
      </c>
      <c r="H1635" s="6" t="str">
        <f>VLOOKUP(A1635,WorldCups!$A$2:$B$23,2,FALSE)</f>
        <v>Brazil</v>
      </c>
      <c r="I1635" s="1" t="s">
        <v>170</v>
      </c>
      <c r="J1635" s="1">
        <v>2</v>
      </c>
      <c r="K1635" s="1" t="s">
        <v>431</v>
      </c>
      <c r="L1635" s="1">
        <v>1</v>
      </c>
      <c r="M1635" s="1" t="s">
        <v>14</v>
      </c>
    </row>
    <row r="1636" spans="1:13" hidden="1" x14ac:dyDescent="0.25">
      <c r="A1636" s="1">
        <v>2014</v>
      </c>
      <c r="B1636" s="1">
        <v>818</v>
      </c>
      <c r="C1636" s="2">
        <v>41816</v>
      </c>
      <c r="D1636" s="1" t="s">
        <v>507</v>
      </c>
      <c r="E1636" s="1" t="s">
        <v>361</v>
      </c>
      <c r="F1636" s="1" t="s">
        <v>478</v>
      </c>
      <c r="G1636" s="1" t="s">
        <v>479</v>
      </c>
      <c r="H1636" s="6" t="str">
        <f>VLOOKUP(A1636,WorldCups!$A$2:$B$23,2,FALSE)</f>
        <v>Brazil</v>
      </c>
      <c r="I1636" s="1" t="s">
        <v>431</v>
      </c>
      <c r="J1636" s="1">
        <v>1</v>
      </c>
      <c r="K1636" s="1" t="s">
        <v>170</v>
      </c>
      <c r="L1636" s="1">
        <v>2</v>
      </c>
      <c r="M1636" s="1" t="s">
        <v>14</v>
      </c>
    </row>
    <row r="1637" spans="1:13" hidden="1" x14ac:dyDescent="0.25">
      <c r="A1637" s="1">
        <v>2014</v>
      </c>
      <c r="B1637" s="1">
        <f>B1636+1</f>
        <v>819</v>
      </c>
      <c r="C1637" s="2">
        <v>41816</v>
      </c>
      <c r="D1637" s="1" t="s">
        <v>512</v>
      </c>
      <c r="E1637" s="1" t="s">
        <v>355</v>
      </c>
      <c r="F1637" s="1" t="s">
        <v>465</v>
      </c>
      <c r="G1637" s="1" t="s">
        <v>97</v>
      </c>
      <c r="H1637" s="6" t="str">
        <f>VLOOKUP(A1637,WorldCups!$A$2:$B$23,2,FALSE)</f>
        <v>Brazil</v>
      </c>
      <c r="I1637" s="1" t="s">
        <v>116</v>
      </c>
      <c r="J1637" s="1">
        <v>0</v>
      </c>
      <c r="K1637" s="1" t="s">
        <v>18</v>
      </c>
      <c r="L1637" s="1">
        <v>1</v>
      </c>
      <c r="M1637" s="1" t="s">
        <v>14</v>
      </c>
    </row>
    <row r="1638" spans="1:13" hidden="1" x14ac:dyDescent="0.25">
      <c r="A1638" s="1">
        <v>2014</v>
      </c>
      <c r="B1638" s="1">
        <v>819</v>
      </c>
      <c r="C1638" s="2">
        <v>41816</v>
      </c>
      <c r="D1638" s="1" t="s">
        <v>512</v>
      </c>
      <c r="E1638" s="1" t="s">
        <v>355</v>
      </c>
      <c r="F1638" s="1" t="s">
        <v>465</v>
      </c>
      <c r="G1638" s="1" t="s">
        <v>97</v>
      </c>
      <c r="H1638" s="6" t="str">
        <f>VLOOKUP(A1638,WorldCups!$A$2:$B$23,2,FALSE)</f>
        <v>Brazil</v>
      </c>
      <c r="I1638" s="1" t="s">
        <v>18</v>
      </c>
      <c r="J1638" s="1">
        <v>1</v>
      </c>
      <c r="K1638" s="1" t="s">
        <v>116</v>
      </c>
      <c r="L1638" s="1">
        <v>0</v>
      </c>
      <c r="M1638" s="1" t="s">
        <v>14</v>
      </c>
    </row>
    <row r="1639" spans="1:13" hidden="1" x14ac:dyDescent="0.25">
      <c r="A1639" s="1">
        <v>2014</v>
      </c>
      <c r="B1639" s="1">
        <f>B1638+1</f>
        <v>820</v>
      </c>
      <c r="C1639" s="2">
        <v>41816</v>
      </c>
      <c r="D1639" s="1" t="s">
        <v>512</v>
      </c>
      <c r="E1639" s="1" t="s">
        <v>355</v>
      </c>
      <c r="F1639" s="1" t="s">
        <v>483</v>
      </c>
      <c r="G1639" s="1" t="s">
        <v>95</v>
      </c>
      <c r="H1639" s="6" t="str">
        <f>VLOOKUP(A1639,WorldCups!$A$2:$B$23,2,FALSE)</f>
        <v>Brazil</v>
      </c>
      <c r="I1639" s="1" t="s">
        <v>246</v>
      </c>
      <c r="J1639" s="1">
        <v>1</v>
      </c>
      <c r="K1639" s="1" t="s">
        <v>336</v>
      </c>
      <c r="L1639" s="1">
        <v>1</v>
      </c>
      <c r="M1639" s="1" t="s">
        <v>14</v>
      </c>
    </row>
    <row r="1640" spans="1:13" hidden="1" x14ac:dyDescent="0.25">
      <c r="A1640" s="1">
        <v>2014</v>
      </c>
      <c r="B1640" s="1">
        <v>820</v>
      </c>
      <c r="C1640" s="2">
        <v>41816</v>
      </c>
      <c r="D1640" s="1" t="s">
        <v>512</v>
      </c>
      <c r="E1640" s="1" t="s">
        <v>355</v>
      </c>
      <c r="F1640" s="1" t="s">
        <v>483</v>
      </c>
      <c r="G1640" s="1" t="s">
        <v>95</v>
      </c>
      <c r="H1640" s="6" t="str">
        <f>VLOOKUP(A1640,WorldCups!$A$2:$B$23,2,FALSE)</f>
        <v>Brazil</v>
      </c>
      <c r="I1640" s="1" t="s">
        <v>336</v>
      </c>
      <c r="J1640" s="1">
        <v>1</v>
      </c>
      <c r="K1640" s="1" t="s">
        <v>246</v>
      </c>
      <c r="L1640" s="1">
        <v>1</v>
      </c>
      <c r="M1640" s="1" t="s">
        <v>14</v>
      </c>
    </row>
    <row r="1641" spans="1:13" hidden="1" x14ac:dyDescent="0.25">
      <c r="A1641" s="1">
        <v>2014</v>
      </c>
      <c r="B1641" s="1">
        <f>B1640+1</f>
        <v>821</v>
      </c>
      <c r="C1641" s="2">
        <v>41818</v>
      </c>
      <c r="D1641" s="1" t="s">
        <v>507</v>
      </c>
      <c r="E1641" s="1" t="s">
        <v>287</v>
      </c>
      <c r="F1641" s="1" t="s">
        <v>472</v>
      </c>
      <c r="G1641" s="1" t="s">
        <v>99</v>
      </c>
      <c r="H1641" s="6" t="str">
        <f>VLOOKUP(A1641,WorldCups!$A$2:$B$23,2,FALSE)</f>
        <v>Brazil</v>
      </c>
      <c r="I1641" s="1" t="s">
        <v>21</v>
      </c>
      <c r="J1641" s="1">
        <v>1</v>
      </c>
      <c r="K1641" s="1" t="s">
        <v>26</v>
      </c>
      <c r="L1641" s="1">
        <v>1</v>
      </c>
      <c r="M1641" s="1" t="s">
        <v>343</v>
      </c>
    </row>
    <row r="1642" spans="1:13" hidden="1" x14ac:dyDescent="0.25">
      <c r="A1642" s="1">
        <v>2014</v>
      </c>
      <c r="B1642" s="1">
        <v>821</v>
      </c>
      <c r="C1642" s="2">
        <v>41818</v>
      </c>
      <c r="D1642" s="1" t="s">
        <v>507</v>
      </c>
      <c r="E1642" s="1" t="s">
        <v>287</v>
      </c>
      <c r="F1642" s="1" t="s">
        <v>472</v>
      </c>
      <c r="G1642" s="1" t="s">
        <v>99</v>
      </c>
      <c r="H1642" s="6" t="str">
        <f>VLOOKUP(A1642,WorldCups!$A$2:$B$23,2,FALSE)</f>
        <v>Brazil</v>
      </c>
      <c r="I1642" s="1" t="s">
        <v>26</v>
      </c>
      <c r="J1642" s="1">
        <v>1</v>
      </c>
      <c r="K1642" s="1" t="s">
        <v>21</v>
      </c>
      <c r="L1642" s="1">
        <v>1</v>
      </c>
      <c r="M1642" s="1" t="s">
        <v>343</v>
      </c>
    </row>
    <row r="1643" spans="1:13" hidden="1" x14ac:dyDescent="0.25">
      <c r="A1643" s="1">
        <v>2014</v>
      </c>
      <c r="B1643" s="1">
        <f>B1642+1</f>
        <v>822</v>
      </c>
      <c r="C1643" s="2">
        <v>41818</v>
      </c>
      <c r="D1643" s="1" t="s">
        <v>512</v>
      </c>
      <c r="E1643" s="1" t="s">
        <v>287</v>
      </c>
      <c r="F1643" s="1" t="s">
        <v>481</v>
      </c>
      <c r="G1643" s="1" t="s">
        <v>92</v>
      </c>
      <c r="H1643" s="6" t="str">
        <f>VLOOKUP(A1643,WorldCups!$A$2:$B$23,2,FALSE)</f>
        <v>Brazil</v>
      </c>
      <c r="I1643" s="1" t="s">
        <v>151</v>
      </c>
      <c r="J1643" s="1">
        <v>2</v>
      </c>
      <c r="K1643" s="1" t="s">
        <v>30</v>
      </c>
      <c r="L1643" s="1">
        <v>0</v>
      </c>
      <c r="M1643" s="1" t="s">
        <v>14</v>
      </c>
    </row>
    <row r="1644" spans="1:13" hidden="1" x14ac:dyDescent="0.25">
      <c r="A1644" s="1">
        <v>2014</v>
      </c>
      <c r="B1644" s="1">
        <v>822</v>
      </c>
      <c r="C1644" s="2">
        <v>41818</v>
      </c>
      <c r="D1644" s="1" t="s">
        <v>512</v>
      </c>
      <c r="E1644" s="1" t="s">
        <v>287</v>
      </c>
      <c r="F1644" s="1" t="s">
        <v>481</v>
      </c>
      <c r="G1644" s="1" t="s">
        <v>92</v>
      </c>
      <c r="H1644" s="6" t="str">
        <f>VLOOKUP(A1644,WorldCups!$A$2:$B$23,2,FALSE)</f>
        <v>Brazil</v>
      </c>
      <c r="I1644" s="1" t="s">
        <v>30</v>
      </c>
      <c r="J1644" s="1">
        <v>0</v>
      </c>
      <c r="K1644" s="1" t="s">
        <v>151</v>
      </c>
      <c r="L1644" s="1">
        <v>2</v>
      </c>
      <c r="M1644" s="1" t="s">
        <v>14</v>
      </c>
    </row>
    <row r="1645" spans="1:13" hidden="1" x14ac:dyDescent="0.25">
      <c r="A1645" s="1">
        <v>2014</v>
      </c>
      <c r="B1645" s="1">
        <f>B1644+1</f>
        <v>823</v>
      </c>
      <c r="C1645" s="2">
        <v>41820</v>
      </c>
      <c r="D1645" s="1" t="s">
        <v>507</v>
      </c>
      <c r="E1645" s="1" t="s">
        <v>287</v>
      </c>
      <c r="F1645" s="1" t="s">
        <v>478</v>
      </c>
      <c r="G1645" s="1" t="s">
        <v>479</v>
      </c>
      <c r="H1645" s="6" t="str">
        <f>VLOOKUP(A1645,WorldCups!$A$2:$B$23,2,FALSE)</f>
        <v>Brazil</v>
      </c>
      <c r="I1645" s="1" t="s">
        <v>12</v>
      </c>
      <c r="J1645" s="1">
        <v>2</v>
      </c>
      <c r="K1645" s="1" t="s">
        <v>340</v>
      </c>
      <c r="L1645" s="1">
        <v>0</v>
      </c>
      <c r="M1645" s="1" t="s">
        <v>14</v>
      </c>
    </row>
    <row r="1646" spans="1:13" hidden="1" x14ac:dyDescent="0.25">
      <c r="A1646" s="1">
        <v>2014</v>
      </c>
      <c r="B1646" s="1">
        <v>823</v>
      </c>
      <c r="C1646" s="2">
        <v>41820</v>
      </c>
      <c r="D1646" s="1" t="s">
        <v>507</v>
      </c>
      <c r="E1646" s="1" t="s">
        <v>287</v>
      </c>
      <c r="F1646" s="1" t="s">
        <v>478</v>
      </c>
      <c r="G1646" s="1" t="s">
        <v>479</v>
      </c>
      <c r="H1646" s="6" t="str">
        <f>VLOOKUP(A1646,WorldCups!$A$2:$B$23,2,FALSE)</f>
        <v>Brazil</v>
      </c>
      <c r="I1646" s="1" t="s">
        <v>340</v>
      </c>
      <c r="J1646" s="1">
        <v>0</v>
      </c>
      <c r="K1646" s="1" t="s">
        <v>12</v>
      </c>
      <c r="L1646" s="1">
        <v>2</v>
      </c>
      <c r="M1646" s="1" t="s">
        <v>14</v>
      </c>
    </row>
    <row r="1647" spans="1:13" hidden="1" x14ac:dyDescent="0.25">
      <c r="A1647" s="1">
        <v>2014</v>
      </c>
      <c r="B1647" s="1">
        <f>B1646+1</f>
        <v>824</v>
      </c>
      <c r="C1647" s="2">
        <v>41820</v>
      </c>
      <c r="D1647" s="1" t="s">
        <v>512</v>
      </c>
      <c r="E1647" s="1" t="s">
        <v>287</v>
      </c>
      <c r="F1647" s="1" t="s">
        <v>480</v>
      </c>
      <c r="G1647" s="1" t="s">
        <v>101</v>
      </c>
      <c r="H1647" s="6" t="str">
        <f>VLOOKUP(A1647,WorldCups!$A$2:$B$23,2,FALSE)</f>
        <v>Brazil</v>
      </c>
      <c r="I1647" s="1" t="s">
        <v>51</v>
      </c>
      <c r="J1647" s="1">
        <v>2</v>
      </c>
      <c r="K1647" s="1" t="s">
        <v>246</v>
      </c>
      <c r="L1647" s="1">
        <v>1</v>
      </c>
      <c r="M1647" s="1" t="s">
        <v>484</v>
      </c>
    </row>
    <row r="1648" spans="1:13" hidden="1" x14ac:dyDescent="0.25">
      <c r="A1648" s="1">
        <v>2014</v>
      </c>
      <c r="B1648" s="1">
        <v>824</v>
      </c>
      <c r="C1648" s="2">
        <v>41820</v>
      </c>
      <c r="D1648" s="1" t="s">
        <v>512</v>
      </c>
      <c r="E1648" s="1" t="s">
        <v>287</v>
      </c>
      <c r="F1648" s="1" t="s">
        <v>480</v>
      </c>
      <c r="G1648" s="1" t="s">
        <v>101</v>
      </c>
      <c r="H1648" s="6" t="str">
        <f>VLOOKUP(A1648,WorldCups!$A$2:$B$23,2,FALSE)</f>
        <v>Brazil</v>
      </c>
      <c r="I1648" s="1" t="s">
        <v>246</v>
      </c>
      <c r="J1648" s="1">
        <v>1</v>
      </c>
      <c r="K1648" s="1" t="s">
        <v>51</v>
      </c>
      <c r="L1648" s="1">
        <v>2</v>
      </c>
      <c r="M1648" s="1" t="s">
        <v>484</v>
      </c>
    </row>
    <row r="1649" spans="1:13" hidden="1" x14ac:dyDescent="0.25">
      <c r="A1649" s="1">
        <v>2014</v>
      </c>
      <c r="B1649" s="1">
        <f>B1648+1</f>
        <v>825</v>
      </c>
      <c r="C1649" s="2">
        <v>41824</v>
      </c>
      <c r="D1649" s="1" t="s">
        <v>512</v>
      </c>
      <c r="E1649" s="1" t="s">
        <v>61</v>
      </c>
      <c r="F1649" s="1" t="s">
        <v>473</v>
      </c>
      <c r="G1649" s="1" t="s">
        <v>474</v>
      </c>
      <c r="H1649" s="6" t="str">
        <f>VLOOKUP(A1649,WorldCups!$A$2:$B$23,2,FALSE)</f>
        <v>Brazil</v>
      </c>
      <c r="I1649" s="1" t="s">
        <v>21</v>
      </c>
      <c r="J1649" s="1">
        <v>2</v>
      </c>
      <c r="K1649" s="1" t="s">
        <v>151</v>
      </c>
      <c r="L1649" s="1">
        <v>1</v>
      </c>
      <c r="M1649" s="1" t="s">
        <v>14</v>
      </c>
    </row>
    <row r="1650" spans="1:13" hidden="1" x14ac:dyDescent="0.25">
      <c r="A1650" s="1">
        <v>2014</v>
      </c>
      <c r="B1650" s="1">
        <v>825</v>
      </c>
      <c r="C1650" s="2">
        <v>41824</v>
      </c>
      <c r="D1650" s="1" t="s">
        <v>512</v>
      </c>
      <c r="E1650" s="1" t="s">
        <v>61</v>
      </c>
      <c r="F1650" s="1" t="s">
        <v>473</v>
      </c>
      <c r="G1650" s="1" t="s">
        <v>474</v>
      </c>
      <c r="H1650" s="6" t="str">
        <f>VLOOKUP(A1650,WorldCups!$A$2:$B$23,2,FALSE)</f>
        <v>Brazil</v>
      </c>
      <c r="I1650" s="1" t="s">
        <v>151</v>
      </c>
      <c r="J1650" s="1">
        <v>1</v>
      </c>
      <c r="K1650" s="1" t="s">
        <v>21</v>
      </c>
      <c r="L1650" s="1">
        <v>2</v>
      </c>
      <c r="M1650" s="1" t="s">
        <v>14</v>
      </c>
    </row>
    <row r="1651" spans="1:13" hidden="1" x14ac:dyDescent="0.25">
      <c r="A1651" s="1">
        <v>2014</v>
      </c>
      <c r="B1651" s="1">
        <f>B1650+1</f>
        <v>826</v>
      </c>
      <c r="C1651" s="2">
        <v>41824</v>
      </c>
      <c r="D1651" s="1" t="s">
        <v>507</v>
      </c>
      <c r="E1651" s="1" t="s">
        <v>61</v>
      </c>
      <c r="F1651" s="1" t="s">
        <v>481</v>
      </c>
      <c r="G1651" s="1" t="s">
        <v>92</v>
      </c>
      <c r="H1651" s="6" t="str">
        <f>VLOOKUP(A1651,WorldCups!$A$2:$B$23,2,FALSE)</f>
        <v>Brazil</v>
      </c>
      <c r="I1651" s="1" t="s">
        <v>12</v>
      </c>
      <c r="J1651" s="1">
        <v>0</v>
      </c>
      <c r="K1651" s="1" t="s">
        <v>51</v>
      </c>
      <c r="L1651" s="1">
        <v>1</v>
      </c>
      <c r="M1651" s="1" t="s">
        <v>14</v>
      </c>
    </row>
    <row r="1652" spans="1:13" hidden="1" x14ac:dyDescent="0.25">
      <c r="A1652" s="1">
        <v>2014</v>
      </c>
      <c r="B1652" s="1">
        <v>826</v>
      </c>
      <c r="C1652" s="2">
        <v>41824</v>
      </c>
      <c r="D1652" s="1" t="s">
        <v>507</v>
      </c>
      <c r="E1652" s="1" t="s">
        <v>61</v>
      </c>
      <c r="F1652" s="1" t="s">
        <v>481</v>
      </c>
      <c r="G1652" s="1" t="s">
        <v>92</v>
      </c>
      <c r="H1652" s="6" t="str">
        <f>VLOOKUP(A1652,WorldCups!$A$2:$B$23,2,FALSE)</f>
        <v>Brazil</v>
      </c>
      <c r="I1652" s="1" t="s">
        <v>51</v>
      </c>
      <c r="J1652" s="1">
        <v>1</v>
      </c>
      <c r="K1652" s="1" t="s">
        <v>12</v>
      </c>
      <c r="L1652" s="1">
        <v>0</v>
      </c>
      <c r="M1652" s="1" t="s">
        <v>14</v>
      </c>
    </row>
    <row r="1653" spans="1:13" hidden="1" x14ac:dyDescent="0.25">
      <c r="A1653" s="1">
        <v>2014</v>
      </c>
      <c r="B1653" s="1">
        <f>B1652+1</f>
        <v>827</v>
      </c>
      <c r="C1653" s="2">
        <v>41828</v>
      </c>
      <c r="D1653" s="1" t="s">
        <v>512</v>
      </c>
      <c r="E1653" s="1" t="s">
        <v>31</v>
      </c>
      <c r="F1653" s="1" t="s">
        <v>472</v>
      </c>
      <c r="G1653" s="1" t="s">
        <v>99</v>
      </c>
      <c r="H1653" s="6" t="str">
        <f>VLOOKUP(A1653,WorldCups!$A$2:$B$23,2,FALSE)</f>
        <v>Brazil</v>
      </c>
      <c r="I1653" s="1" t="s">
        <v>21</v>
      </c>
      <c r="J1653" s="1">
        <v>1</v>
      </c>
      <c r="K1653" s="1" t="s">
        <v>51</v>
      </c>
      <c r="L1653" s="1">
        <v>7</v>
      </c>
      <c r="M1653" s="1" t="s">
        <v>14</v>
      </c>
    </row>
    <row r="1654" spans="1:13" hidden="1" x14ac:dyDescent="0.25">
      <c r="A1654" s="1">
        <v>2014</v>
      </c>
      <c r="B1654" s="1">
        <v>827</v>
      </c>
      <c r="C1654" s="2">
        <v>41828</v>
      </c>
      <c r="D1654" s="1" t="s">
        <v>512</v>
      </c>
      <c r="E1654" s="1" t="s">
        <v>31</v>
      </c>
      <c r="F1654" s="1" t="s">
        <v>472</v>
      </c>
      <c r="G1654" s="1" t="s">
        <v>99</v>
      </c>
      <c r="H1654" s="6" t="str">
        <f>VLOOKUP(A1654,WorldCups!$A$2:$B$23,2,FALSE)</f>
        <v>Brazil</v>
      </c>
      <c r="I1654" s="1" t="s">
        <v>51</v>
      </c>
      <c r="J1654" s="1">
        <v>7</v>
      </c>
      <c r="K1654" s="1" t="s">
        <v>21</v>
      </c>
      <c r="L1654" s="1">
        <v>1</v>
      </c>
      <c r="M1654" s="1" t="s">
        <v>14</v>
      </c>
    </row>
    <row r="1655" spans="1:13" hidden="1" x14ac:dyDescent="0.25">
      <c r="A1655" s="1">
        <v>2014</v>
      </c>
      <c r="B1655" s="1">
        <f>B1654+1</f>
        <v>828</v>
      </c>
      <c r="C1655" s="2">
        <v>41832</v>
      </c>
      <c r="D1655" s="1" t="s">
        <v>512</v>
      </c>
      <c r="E1655" s="1" t="s">
        <v>485</v>
      </c>
      <c r="F1655" s="1" t="s">
        <v>478</v>
      </c>
      <c r="G1655" s="1" t="s">
        <v>479</v>
      </c>
      <c r="H1655" s="6" t="str">
        <f>VLOOKUP(A1655,WorldCups!$A$2:$B$23,2,FALSE)</f>
        <v>Brazil</v>
      </c>
      <c r="I1655" s="1" t="s">
        <v>21</v>
      </c>
      <c r="J1655" s="1">
        <v>0</v>
      </c>
      <c r="K1655" s="1" t="s">
        <v>45</v>
      </c>
      <c r="L1655" s="1">
        <v>3</v>
      </c>
      <c r="M1655" s="1" t="s">
        <v>14</v>
      </c>
    </row>
    <row r="1656" spans="1:13" hidden="1" x14ac:dyDescent="0.25">
      <c r="A1656" s="1">
        <v>2014</v>
      </c>
      <c r="B1656" s="1">
        <v>828</v>
      </c>
      <c r="C1656" s="2">
        <v>41832</v>
      </c>
      <c r="D1656" s="1" t="s">
        <v>512</v>
      </c>
      <c r="E1656" s="1" t="s">
        <v>485</v>
      </c>
      <c r="F1656" s="1" t="s">
        <v>478</v>
      </c>
      <c r="G1656" s="1" t="s">
        <v>479</v>
      </c>
      <c r="H1656" s="6" t="str">
        <f>VLOOKUP(A1656,WorldCups!$A$2:$B$23,2,FALSE)</f>
        <v>Brazil</v>
      </c>
      <c r="I1656" s="1" t="s">
        <v>45</v>
      </c>
      <c r="J1656" s="1">
        <v>3</v>
      </c>
      <c r="K1656" s="1" t="s">
        <v>21</v>
      </c>
      <c r="L1656" s="1">
        <v>0</v>
      </c>
      <c r="M1656" s="1" t="s">
        <v>14</v>
      </c>
    </row>
    <row r="1657" spans="1:13" hidden="1" x14ac:dyDescent="0.25">
      <c r="A1657" s="1">
        <v>2014</v>
      </c>
      <c r="B1657" s="1">
        <f>B1656+1</f>
        <v>829</v>
      </c>
      <c r="C1657" s="2">
        <v>41833</v>
      </c>
      <c r="D1657" s="1" t="s">
        <v>503</v>
      </c>
      <c r="E1657" s="1" t="s">
        <v>32</v>
      </c>
      <c r="F1657" s="1" t="s">
        <v>481</v>
      </c>
      <c r="G1657" s="1" t="s">
        <v>92</v>
      </c>
      <c r="H1657" s="6" t="str">
        <f>VLOOKUP(A1657,WorldCups!$A$2:$B$23,2,FALSE)</f>
        <v>Brazil</v>
      </c>
      <c r="I1657" s="1" t="s">
        <v>51</v>
      </c>
      <c r="J1657" s="1">
        <v>1</v>
      </c>
      <c r="K1657" s="1" t="s">
        <v>25</v>
      </c>
      <c r="L1657" s="1">
        <v>0</v>
      </c>
      <c r="M1657" s="1" t="s">
        <v>484</v>
      </c>
    </row>
    <row r="1658" spans="1:13" hidden="1" x14ac:dyDescent="0.25">
      <c r="A1658" s="1">
        <v>2014</v>
      </c>
      <c r="B1658" s="1">
        <v>829</v>
      </c>
      <c r="C1658" s="2">
        <v>41833</v>
      </c>
      <c r="D1658" s="1" t="s">
        <v>503</v>
      </c>
      <c r="E1658" s="1" t="s">
        <v>32</v>
      </c>
      <c r="F1658" s="1" t="s">
        <v>481</v>
      </c>
      <c r="G1658" s="1" t="s">
        <v>92</v>
      </c>
      <c r="H1658" s="6" t="str">
        <f>VLOOKUP(A1658,WorldCups!$A$2:$B$23,2,FALSE)</f>
        <v>Brazil</v>
      </c>
      <c r="I1658" s="1" t="s">
        <v>25</v>
      </c>
      <c r="J1658" s="1">
        <v>0</v>
      </c>
      <c r="K1658" s="1" t="s">
        <v>51</v>
      </c>
      <c r="L1658" s="1">
        <v>1</v>
      </c>
      <c r="M1658" s="1" t="s">
        <v>484</v>
      </c>
    </row>
    <row r="1659" spans="1:13" hidden="1" x14ac:dyDescent="0.25">
      <c r="A1659" s="1">
        <v>2014</v>
      </c>
      <c r="B1659" s="1">
        <f>B1658+1</f>
        <v>830</v>
      </c>
      <c r="C1659" s="2">
        <v>41829</v>
      </c>
      <c r="D1659" s="1" t="s">
        <v>512</v>
      </c>
      <c r="E1659" s="1" t="s">
        <v>31</v>
      </c>
      <c r="F1659" s="1" t="s">
        <v>465</v>
      </c>
      <c r="G1659" s="1" t="s">
        <v>97</v>
      </c>
      <c r="H1659" s="6" t="str">
        <f>VLOOKUP(A1659,WorldCups!$A$2:$B$23,2,FALSE)</f>
        <v>Brazil</v>
      </c>
      <c r="I1659" s="1" t="s">
        <v>45</v>
      </c>
      <c r="J1659" s="1">
        <v>0</v>
      </c>
      <c r="K1659" s="1" t="s">
        <v>25</v>
      </c>
      <c r="L1659" s="1">
        <v>0</v>
      </c>
      <c r="M1659" s="1" t="s">
        <v>486</v>
      </c>
    </row>
    <row r="1660" spans="1:13" hidden="1" x14ac:dyDescent="0.25">
      <c r="A1660" s="1">
        <v>2014</v>
      </c>
      <c r="B1660" s="1">
        <v>830</v>
      </c>
      <c r="C1660" s="2">
        <v>41829</v>
      </c>
      <c r="D1660" s="1" t="s">
        <v>512</v>
      </c>
      <c r="E1660" s="1" t="s">
        <v>31</v>
      </c>
      <c r="F1660" s="1" t="s">
        <v>465</v>
      </c>
      <c r="G1660" s="1" t="s">
        <v>97</v>
      </c>
      <c r="H1660" s="6" t="str">
        <f>VLOOKUP(A1660,WorldCups!$A$2:$B$23,2,FALSE)</f>
        <v>Brazil</v>
      </c>
      <c r="I1660" s="1" t="s">
        <v>25</v>
      </c>
      <c r="J1660" s="1">
        <v>0</v>
      </c>
      <c r="K1660" s="1" t="s">
        <v>45</v>
      </c>
      <c r="L1660" s="1">
        <v>0</v>
      </c>
      <c r="M1660" s="1" t="s">
        <v>486</v>
      </c>
    </row>
    <row r="1661" spans="1:13" hidden="1" x14ac:dyDescent="0.25">
      <c r="A1661" s="1">
        <v>2014</v>
      </c>
      <c r="B1661" s="1">
        <f>B1660+1</f>
        <v>831</v>
      </c>
      <c r="C1661" s="2">
        <v>41825</v>
      </c>
      <c r="D1661" s="1" t="s">
        <v>512</v>
      </c>
      <c r="E1661" s="1" t="s">
        <v>61</v>
      </c>
      <c r="F1661" s="1" t="s">
        <v>468</v>
      </c>
      <c r="G1661" s="1" t="s">
        <v>469</v>
      </c>
      <c r="H1661" s="6" t="str">
        <f>VLOOKUP(A1661,WorldCups!$A$2:$B$23,2,FALSE)</f>
        <v>Brazil</v>
      </c>
      <c r="I1661" s="1" t="s">
        <v>45</v>
      </c>
      <c r="J1661" s="1">
        <v>0</v>
      </c>
      <c r="K1661" s="1" t="s">
        <v>301</v>
      </c>
      <c r="L1661" s="1">
        <v>0</v>
      </c>
      <c r="M1661" s="1" t="s">
        <v>487</v>
      </c>
    </row>
    <row r="1662" spans="1:13" hidden="1" x14ac:dyDescent="0.25">
      <c r="A1662" s="1">
        <v>2014</v>
      </c>
      <c r="B1662" s="1">
        <v>831</v>
      </c>
      <c r="C1662" s="2">
        <v>41825</v>
      </c>
      <c r="D1662" s="1" t="s">
        <v>512</v>
      </c>
      <c r="E1662" s="1" t="s">
        <v>61</v>
      </c>
      <c r="F1662" s="1" t="s">
        <v>468</v>
      </c>
      <c r="G1662" s="1" t="s">
        <v>469</v>
      </c>
      <c r="H1662" s="6" t="str">
        <f>VLOOKUP(A1662,WorldCups!$A$2:$B$23,2,FALSE)</f>
        <v>Brazil</v>
      </c>
      <c r="I1662" s="1" t="s">
        <v>301</v>
      </c>
      <c r="J1662" s="1">
        <v>0</v>
      </c>
      <c r="K1662" s="1" t="s">
        <v>45</v>
      </c>
      <c r="L1662" s="1">
        <v>0</v>
      </c>
      <c r="M1662" s="1" t="s">
        <v>487</v>
      </c>
    </row>
    <row r="1663" spans="1:13" hidden="1" x14ac:dyDescent="0.25">
      <c r="A1663" s="1">
        <v>2014</v>
      </c>
      <c r="B1663" s="1">
        <f>B1662+1</f>
        <v>832</v>
      </c>
      <c r="C1663" s="2">
        <v>41825</v>
      </c>
      <c r="D1663" s="1" t="s">
        <v>507</v>
      </c>
      <c r="E1663" s="1" t="s">
        <v>61</v>
      </c>
      <c r="F1663" s="1" t="s">
        <v>478</v>
      </c>
      <c r="G1663" s="1" t="s">
        <v>479</v>
      </c>
      <c r="H1663" s="6" t="str">
        <f>VLOOKUP(A1663,WorldCups!$A$2:$B$23,2,FALSE)</f>
        <v>Brazil</v>
      </c>
      <c r="I1663" s="1" t="s">
        <v>25</v>
      </c>
      <c r="J1663" s="1">
        <v>1</v>
      </c>
      <c r="K1663" s="1" t="s">
        <v>18</v>
      </c>
      <c r="L1663" s="1">
        <v>0</v>
      </c>
      <c r="M1663" s="1" t="s">
        <v>14</v>
      </c>
    </row>
    <row r="1664" spans="1:13" hidden="1" x14ac:dyDescent="0.25">
      <c r="A1664" s="1">
        <v>2014</v>
      </c>
      <c r="B1664" s="1">
        <v>832</v>
      </c>
      <c r="C1664" s="2">
        <v>41825</v>
      </c>
      <c r="D1664" s="1" t="s">
        <v>507</v>
      </c>
      <c r="E1664" s="1" t="s">
        <v>61</v>
      </c>
      <c r="F1664" s="1" t="s">
        <v>478</v>
      </c>
      <c r="G1664" s="1" t="s">
        <v>479</v>
      </c>
      <c r="H1664" s="6" t="str">
        <f>VLOOKUP(A1664,WorldCups!$A$2:$B$23,2,FALSE)</f>
        <v>Brazil</v>
      </c>
      <c r="I1664" s="1" t="s">
        <v>18</v>
      </c>
      <c r="J1664" s="1">
        <v>0</v>
      </c>
      <c r="K1664" s="1" t="s">
        <v>25</v>
      </c>
      <c r="L1664" s="1">
        <v>1</v>
      </c>
      <c r="M1664" s="1" t="s">
        <v>14</v>
      </c>
    </row>
    <row r="1665" spans="1:13" hidden="1" x14ac:dyDescent="0.25">
      <c r="A1665" s="1">
        <v>2014</v>
      </c>
      <c r="B1665" s="1">
        <f>B1664+1</f>
        <v>833</v>
      </c>
      <c r="C1665" s="2">
        <v>41819</v>
      </c>
      <c r="D1665" s="1" t="s">
        <v>507</v>
      </c>
      <c r="E1665" s="1" t="s">
        <v>287</v>
      </c>
      <c r="F1665" s="1" t="s">
        <v>473</v>
      </c>
      <c r="G1665" s="1" t="s">
        <v>474</v>
      </c>
      <c r="H1665" s="6" t="str">
        <f>VLOOKUP(A1665,WorldCups!$A$2:$B$23,2,FALSE)</f>
        <v>Brazil</v>
      </c>
      <c r="I1665" s="1" t="s">
        <v>45</v>
      </c>
      <c r="J1665" s="1">
        <v>2</v>
      </c>
      <c r="K1665" s="1" t="s">
        <v>13</v>
      </c>
      <c r="L1665" s="1">
        <v>1</v>
      </c>
      <c r="M1665" s="1" t="s">
        <v>14</v>
      </c>
    </row>
    <row r="1666" spans="1:13" hidden="1" x14ac:dyDescent="0.25">
      <c r="A1666" s="1">
        <v>2014</v>
      </c>
      <c r="B1666" s="1">
        <v>833</v>
      </c>
      <c r="C1666" s="2">
        <v>41819</v>
      </c>
      <c r="D1666" s="1" t="s">
        <v>507</v>
      </c>
      <c r="E1666" s="1" t="s">
        <v>287</v>
      </c>
      <c r="F1666" s="1" t="s">
        <v>473</v>
      </c>
      <c r="G1666" s="1" t="s">
        <v>474</v>
      </c>
      <c r="H1666" s="6" t="str">
        <f>VLOOKUP(A1666,WorldCups!$A$2:$B$23,2,FALSE)</f>
        <v>Brazil</v>
      </c>
      <c r="I1666" s="1" t="s">
        <v>13</v>
      </c>
      <c r="J1666" s="1">
        <v>1</v>
      </c>
      <c r="K1666" s="1" t="s">
        <v>45</v>
      </c>
      <c r="L1666" s="1">
        <v>2</v>
      </c>
      <c r="M1666" s="1" t="s">
        <v>14</v>
      </c>
    </row>
    <row r="1667" spans="1:13" hidden="1" x14ac:dyDescent="0.25">
      <c r="A1667" s="1">
        <v>2014</v>
      </c>
      <c r="B1667" s="1">
        <f>B1666+1</f>
        <v>834</v>
      </c>
      <c r="C1667" s="2">
        <v>41819</v>
      </c>
      <c r="D1667" s="1" t="s">
        <v>512</v>
      </c>
      <c r="E1667" s="1" t="s">
        <v>287</v>
      </c>
      <c r="F1667" s="1" t="s">
        <v>477</v>
      </c>
      <c r="G1667" s="1" t="s">
        <v>103</v>
      </c>
      <c r="H1667" s="6" t="str">
        <f>VLOOKUP(A1667,WorldCups!$A$2:$B$23,2,FALSE)</f>
        <v>Brazil</v>
      </c>
      <c r="I1667" s="1" t="s">
        <v>301</v>
      </c>
      <c r="J1667" s="1">
        <v>1</v>
      </c>
      <c r="K1667" s="1" t="s">
        <v>339</v>
      </c>
      <c r="L1667" s="1">
        <v>1</v>
      </c>
      <c r="M1667" s="1" t="s">
        <v>488</v>
      </c>
    </row>
    <row r="1668" spans="1:13" hidden="1" x14ac:dyDescent="0.25">
      <c r="A1668" s="1">
        <v>2014</v>
      </c>
      <c r="B1668" s="1">
        <v>834</v>
      </c>
      <c r="C1668" s="2">
        <v>41819</v>
      </c>
      <c r="D1668" s="1" t="s">
        <v>512</v>
      </c>
      <c r="E1668" s="1" t="s">
        <v>287</v>
      </c>
      <c r="F1668" s="1" t="s">
        <v>477</v>
      </c>
      <c r="G1668" s="1" t="s">
        <v>103</v>
      </c>
      <c r="H1668" s="6" t="str">
        <f>VLOOKUP(A1668,WorldCups!$A$2:$B$23,2,FALSE)</f>
        <v>Brazil</v>
      </c>
      <c r="I1668" s="1" t="s">
        <v>339</v>
      </c>
      <c r="J1668" s="1">
        <v>1</v>
      </c>
      <c r="K1668" s="1" t="s">
        <v>301</v>
      </c>
      <c r="L1668" s="1">
        <v>1</v>
      </c>
      <c r="M1668" s="1" t="s">
        <v>488</v>
      </c>
    </row>
    <row r="1669" spans="1:13" hidden="1" x14ac:dyDescent="0.25">
      <c r="A1669" s="1">
        <v>2014</v>
      </c>
      <c r="B1669" s="1">
        <f>B1668+1</f>
        <v>835</v>
      </c>
      <c r="C1669" s="2">
        <v>41821</v>
      </c>
      <c r="D1669" s="1" t="s">
        <v>507</v>
      </c>
      <c r="E1669" s="1" t="s">
        <v>287</v>
      </c>
      <c r="F1669" s="1" t="s">
        <v>465</v>
      </c>
      <c r="G1669" s="1" t="s">
        <v>97</v>
      </c>
      <c r="H1669" s="6" t="str">
        <f>VLOOKUP(A1669,WorldCups!$A$2:$B$23,2,FALSE)</f>
        <v>Brazil</v>
      </c>
      <c r="I1669" s="1" t="s">
        <v>25</v>
      </c>
      <c r="J1669" s="1">
        <v>1</v>
      </c>
      <c r="K1669" s="1" t="s">
        <v>44</v>
      </c>
      <c r="L1669" s="1">
        <v>0</v>
      </c>
      <c r="M1669" s="1" t="s">
        <v>229</v>
      </c>
    </row>
    <row r="1670" spans="1:13" hidden="1" x14ac:dyDescent="0.25">
      <c r="A1670" s="1">
        <v>2014</v>
      </c>
      <c r="B1670" s="1">
        <v>835</v>
      </c>
      <c r="C1670" s="2">
        <v>41821</v>
      </c>
      <c r="D1670" s="1" t="s">
        <v>507</v>
      </c>
      <c r="E1670" s="1" t="s">
        <v>287</v>
      </c>
      <c r="F1670" s="1" t="s">
        <v>465</v>
      </c>
      <c r="G1670" s="1" t="s">
        <v>97</v>
      </c>
      <c r="H1670" s="6" t="str">
        <f>VLOOKUP(A1670,WorldCups!$A$2:$B$23,2,FALSE)</f>
        <v>Brazil</v>
      </c>
      <c r="I1670" s="1" t="s">
        <v>44</v>
      </c>
      <c r="J1670" s="1">
        <v>0</v>
      </c>
      <c r="K1670" s="1" t="s">
        <v>25</v>
      </c>
      <c r="L1670" s="1">
        <v>1</v>
      </c>
      <c r="M1670" s="1" t="s">
        <v>229</v>
      </c>
    </row>
    <row r="1671" spans="1:13" hidden="1" x14ac:dyDescent="0.25">
      <c r="A1671" s="1">
        <v>2014</v>
      </c>
      <c r="B1671" s="1">
        <f>B1670+1</f>
        <v>836</v>
      </c>
      <c r="C1671" s="2">
        <v>41821</v>
      </c>
      <c r="D1671" s="1" t="s">
        <v>512</v>
      </c>
      <c r="E1671" s="1" t="s">
        <v>287</v>
      </c>
      <c r="F1671" s="1" t="s">
        <v>468</v>
      </c>
      <c r="G1671" s="1" t="s">
        <v>469</v>
      </c>
      <c r="H1671" s="6" t="str">
        <f>VLOOKUP(A1671,WorldCups!$A$2:$B$23,2,FALSE)</f>
        <v>Brazil</v>
      </c>
      <c r="I1671" s="1" t="s">
        <v>18</v>
      </c>
      <c r="J1671" s="1">
        <v>2</v>
      </c>
      <c r="K1671" s="1" t="s">
        <v>17</v>
      </c>
      <c r="L1671" s="1">
        <v>1</v>
      </c>
      <c r="M1671" s="1" t="s">
        <v>288</v>
      </c>
    </row>
    <row r="1672" spans="1:13" hidden="1" x14ac:dyDescent="0.25">
      <c r="A1672" s="1">
        <v>2014</v>
      </c>
      <c r="B1672" s="1">
        <v>836</v>
      </c>
      <c r="C1672" s="2">
        <v>41821</v>
      </c>
      <c r="D1672" s="1" t="s">
        <v>512</v>
      </c>
      <c r="E1672" s="1" t="s">
        <v>287</v>
      </c>
      <c r="F1672" s="1" t="s">
        <v>468</v>
      </c>
      <c r="G1672" s="1" t="s">
        <v>469</v>
      </c>
      <c r="H1672" s="6" t="str">
        <f>VLOOKUP(A1672,WorldCups!$A$2:$B$23,2,FALSE)</f>
        <v>Brazil</v>
      </c>
      <c r="I1672" s="1" t="s">
        <v>17</v>
      </c>
      <c r="J1672" s="1">
        <v>1</v>
      </c>
      <c r="K1672" s="1" t="s">
        <v>18</v>
      </c>
      <c r="L1672" s="1">
        <v>2</v>
      </c>
      <c r="M1672" s="1" t="s">
        <v>288</v>
      </c>
    </row>
    <row r="1673" spans="1:13" hidden="1" x14ac:dyDescent="0.25">
      <c r="A1673" s="1">
        <v>2014</v>
      </c>
      <c r="B1673" s="1">
        <f>B1672+1</f>
        <v>837</v>
      </c>
      <c r="C1673" s="2">
        <v>41818</v>
      </c>
      <c r="D1673" s="1" t="s">
        <v>507</v>
      </c>
      <c r="E1673" s="1" t="s">
        <v>287</v>
      </c>
      <c r="F1673" s="1" t="s">
        <v>472</v>
      </c>
      <c r="G1673" s="1" t="s">
        <v>99</v>
      </c>
      <c r="H1673" s="6" t="str">
        <f>VLOOKUP(A1673,WorldCups!$A$2:$B$23,2,FALSE)</f>
        <v>Brazil</v>
      </c>
      <c r="I1673" s="1" t="s">
        <v>21</v>
      </c>
      <c r="J1673" s="1">
        <v>1</v>
      </c>
      <c r="K1673" s="1" t="s">
        <v>26</v>
      </c>
      <c r="L1673" s="1">
        <v>1</v>
      </c>
      <c r="M1673" s="1" t="s">
        <v>343</v>
      </c>
    </row>
    <row r="1674" spans="1:13" hidden="1" x14ac:dyDescent="0.25">
      <c r="A1674" s="1">
        <v>2014</v>
      </c>
      <c r="B1674" s="1">
        <v>837</v>
      </c>
      <c r="C1674" s="2">
        <v>41818</v>
      </c>
      <c r="D1674" s="1" t="s">
        <v>507</v>
      </c>
      <c r="E1674" s="1" t="s">
        <v>287</v>
      </c>
      <c r="F1674" s="1" t="s">
        <v>472</v>
      </c>
      <c r="G1674" s="1" t="s">
        <v>99</v>
      </c>
      <c r="H1674" s="6" t="str">
        <f>VLOOKUP(A1674,WorldCups!$A$2:$B$23,2,FALSE)</f>
        <v>Brazil</v>
      </c>
      <c r="I1674" s="1" t="s">
        <v>26</v>
      </c>
      <c r="J1674" s="1">
        <v>1</v>
      </c>
      <c r="K1674" s="1" t="s">
        <v>21</v>
      </c>
      <c r="L1674" s="1">
        <v>1</v>
      </c>
      <c r="M1674" s="1" t="s">
        <v>343</v>
      </c>
    </row>
    <row r="1675" spans="1:13" hidden="1" x14ac:dyDescent="0.25">
      <c r="A1675" s="1">
        <v>2014</v>
      </c>
      <c r="B1675" s="1">
        <f>B1674+1</f>
        <v>838</v>
      </c>
      <c r="C1675" s="2">
        <v>41818</v>
      </c>
      <c r="D1675" s="1" t="s">
        <v>512</v>
      </c>
      <c r="E1675" s="1" t="s">
        <v>287</v>
      </c>
      <c r="F1675" s="1" t="s">
        <v>481</v>
      </c>
      <c r="G1675" s="1" t="s">
        <v>92</v>
      </c>
      <c r="H1675" s="6" t="str">
        <f>VLOOKUP(A1675,WorldCups!$A$2:$B$23,2,FALSE)</f>
        <v>Brazil</v>
      </c>
      <c r="I1675" s="1" t="s">
        <v>151</v>
      </c>
      <c r="J1675" s="1">
        <v>2</v>
      </c>
      <c r="K1675" s="1" t="s">
        <v>30</v>
      </c>
      <c r="L1675" s="1">
        <v>0</v>
      </c>
      <c r="M1675" s="1" t="s">
        <v>14</v>
      </c>
    </row>
    <row r="1676" spans="1:13" hidden="1" x14ac:dyDescent="0.25">
      <c r="A1676" s="1">
        <v>2014</v>
      </c>
      <c r="B1676" s="1">
        <v>838</v>
      </c>
      <c r="C1676" s="2">
        <v>41818</v>
      </c>
      <c r="D1676" s="1" t="s">
        <v>512</v>
      </c>
      <c r="E1676" s="1" t="s">
        <v>287</v>
      </c>
      <c r="F1676" s="1" t="s">
        <v>481</v>
      </c>
      <c r="G1676" s="1" t="s">
        <v>92</v>
      </c>
      <c r="H1676" s="6" t="str">
        <f>VLOOKUP(A1676,WorldCups!$A$2:$B$23,2,FALSE)</f>
        <v>Brazil</v>
      </c>
      <c r="I1676" s="1" t="s">
        <v>30</v>
      </c>
      <c r="J1676" s="1">
        <v>0</v>
      </c>
      <c r="K1676" s="1" t="s">
        <v>151</v>
      </c>
      <c r="L1676" s="1">
        <v>2</v>
      </c>
      <c r="M1676" s="1" t="s">
        <v>14</v>
      </c>
    </row>
    <row r="1677" spans="1:13" hidden="1" x14ac:dyDescent="0.25">
      <c r="A1677" s="1">
        <v>2014</v>
      </c>
      <c r="B1677" s="1">
        <f>B1676+1</f>
        <v>839</v>
      </c>
      <c r="C1677" s="2">
        <v>41819</v>
      </c>
      <c r="D1677" s="1" t="s">
        <v>507</v>
      </c>
      <c r="E1677" s="1" t="s">
        <v>287</v>
      </c>
      <c r="F1677" s="1" t="s">
        <v>473</v>
      </c>
      <c r="G1677" s="1" t="s">
        <v>474</v>
      </c>
      <c r="H1677" s="6" t="str">
        <f>VLOOKUP(A1677,WorldCups!$A$2:$B$23,2,FALSE)</f>
        <v>Brazil</v>
      </c>
      <c r="I1677" s="1" t="s">
        <v>45</v>
      </c>
      <c r="J1677" s="1">
        <v>2</v>
      </c>
      <c r="K1677" s="1" t="s">
        <v>13</v>
      </c>
      <c r="L1677" s="1">
        <v>1</v>
      </c>
      <c r="M1677" s="1" t="s">
        <v>14</v>
      </c>
    </row>
    <row r="1678" spans="1:13" hidden="1" x14ac:dyDescent="0.25">
      <c r="A1678" s="1">
        <v>2014</v>
      </c>
      <c r="B1678" s="1">
        <v>839</v>
      </c>
      <c r="C1678" s="2">
        <v>41819</v>
      </c>
      <c r="D1678" s="1" t="s">
        <v>507</v>
      </c>
      <c r="E1678" s="1" t="s">
        <v>287</v>
      </c>
      <c r="F1678" s="1" t="s">
        <v>473</v>
      </c>
      <c r="G1678" s="1" t="s">
        <v>474</v>
      </c>
      <c r="H1678" s="6" t="str">
        <f>VLOOKUP(A1678,WorldCups!$A$2:$B$23,2,FALSE)</f>
        <v>Brazil</v>
      </c>
      <c r="I1678" s="1" t="s">
        <v>13</v>
      </c>
      <c r="J1678" s="1">
        <v>1</v>
      </c>
      <c r="K1678" s="1" t="s">
        <v>45</v>
      </c>
      <c r="L1678" s="1">
        <v>2</v>
      </c>
      <c r="M1678" s="1" t="s">
        <v>14</v>
      </c>
    </row>
    <row r="1679" spans="1:13" hidden="1" x14ac:dyDescent="0.25">
      <c r="A1679" s="1">
        <v>2014</v>
      </c>
      <c r="B1679" s="1">
        <f>B1678+1</f>
        <v>840</v>
      </c>
      <c r="C1679" s="2">
        <v>41819</v>
      </c>
      <c r="D1679" s="1" t="s">
        <v>512</v>
      </c>
      <c r="E1679" s="1" t="s">
        <v>287</v>
      </c>
      <c r="F1679" s="1" t="s">
        <v>477</v>
      </c>
      <c r="G1679" s="1" t="s">
        <v>103</v>
      </c>
      <c r="H1679" s="6" t="str">
        <f>VLOOKUP(A1679,WorldCups!$A$2:$B$23,2,FALSE)</f>
        <v>Brazil</v>
      </c>
      <c r="I1679" s="1" t="s">
        <v>301</v>
      </c>
      <c r="J1679" s="1">
        <v>1</v>
      </c>
      <c r="K1679" s="1" t="s">
        <v>339</v>
      </c>
      <c r="L1679" s="1">
        <v>1</v>
      </c>
      <c r="M1679" s="1" t="s">
        <v>488</v>
      </c>
    </row>
    <row r="1680" spans="1:13" hidden="1" x14ac:dyDescent="0.25">
      <c r="A1680" s="1">
        <v>2014</v>
      </c>
      <c r="B1680" s="1">
        <v>840</v>
      </c>
      <c r="C1680" s="2">
        <v>41819</v>
      </c>
      <c r="D1680" s="1" t="s">
        <v>512</v>
      </c>
      <c r="E1680" s="1" t="s">
        <v>287</v>
      </c>
      <c r="F1680" s="1" t="s">
        <v>477</v>
      </c>
      <c r="G1680" s="1" t="s">
        <v>103</v>
      </c>
      <c r="H1680" s="6" t="str">
        <f>VLOOKUP(A1680,WorldCups!$A$2:$B$23,2,FALSE)</f>
        <v>Brazil</v>
      </c>
      <c r="I1680" s="1" t="s">
        <v>339</v>
      </c>
      <c r="J1680" s="1">
        <v>1</v>
      </c>
      <c r="K1680" s="1" t="s">
        <v>301</v>
      </c>
      <c r="L1680" s="1">
        <v>1</v>
      </c>
      <c r="M1680" s="1" t="s">
        <v>488</v>
      </c>
    </row>
    <row r="1681" spans="1:13" hidden="1" x14ac:dyDescent="0.25">
      <c r="A1681" s="1">
        <v>2014</v>
      </c>
      <c r="B1681" s="1">
        <f>B1680+1</f>
        <v>841</v>
      </c>
      <c r="C1681" s="2">
        <v>41820</v>
      </c>
      <c r="D1681" s="1" t="s">
        <v>507</v>
      </c>
      <c r="E1681" s="1" t="s">
        <v>287</v>
      </c>
      <c r="F1681" s="1" t="s">
        <v>478</v>
      </c>
      <c r="G1681" s="1" t="s">
        <v>479</v>
      </c>
      <c r="H1681" s="6" t="str">
        <f>VLOOKUP(A1681,WorldCups!$A$2:$B$23,2,FALSE)</f>
        <v>Brazil</v>
      </c>
      <c r="I1681" s="1" t="s">
        <v>12</v>
      </c>
      <c r="J1681" s="1">
        <v>2</v>
      </c>
      <c r="K1681" s="1" t="s">
        <v>340</v>
      </c>
      <c r="L1681" s="1">
        <v>0</v>
      </c>
      <c r="M1681" s="1" t="s">
        <v>14</v>
      </c>
    </row>
    <row r="1682" spans="1:13" hidden="1" x14ac:dyDescent="0.25">
      <c r="A1682" s="1">
        <v>2014</v>
      </c>
      <c r="B1682" s="1">
        <v>841</v>
      </c>
      <c r="C1682" s="2">
        <v>41820</v>
      </c>
      <c r="D1682" s="1" t="s">
        <v>507</v>
      </c>
      <c r="E1682" s="1" t="s">
        <v>287</v>
      </c>
      <c r="F1682" s="1" t="s">
        <v>478</v>
      </c>
      <c r="G1682" s="1" t="s">
        <v>479</v>
      </c>
      <c r="H1682" s="6" t="str">
        <f>VLOOKUP(A1682,WorldCups!$A$2:$B$23,2,FALSE)</f>
        <v>Brazil</v>
      </c>
      <c r="I1682" s="1" t="s">
        <v>340</v>
      </c>
      <c r="J1682" s="1">
        <v>0</v>
      </c>
      <c r="K1682" s="1" t="s">
        <v>12</v>
      </c>
      <c r="L1682" s="1">
        <v>2</v>
      </c>
      <c r="M1682" s="1" t="s">
        <v>14</v>
      </c>
    </row>
    <row r="1683" spans="1:13" hidden="1" x14ac:dyDescent="0.25">
      <c r="A1683" s="1">
        <v>2014</v>
      </c>
      <c r="B1683" s="1">
        <f>B1682+1</f>
        <v>842</v>
      </c>
      <c r="C1683" s="2">
        <v>41820</v>
      </c>
      <c r="D1683" s="1" t="s">
        <v>512</v>
      </c>
      <c r="E1683" s="1" t="s">
        <v>287</v>
      </c>
      <c r="F1683" s="1" t="s">
        <v>480</v>
      </c>
      <c r="G1683" s="1" t="s">
        <v>101</v>
      </c>
      <c r="H1683" s="6" t="str">
        <f>VLOOKUP(A1683,WorldCups!$A$2:$B$23,2,FALSE)</f>
        <v>Brazil</v>
      </c>
      <c r="I1683" s="1" t="s">
        <v>51</v>
      </c>
      <c r="J1683" s="1">
        <v>2</v>
      </c>
      <c r="K1683" s="1" t="s">
        <v>246</v>
      </c>
      <c r="L1683" s="1">
        <v>1</v>
      </c>
      <c r="M1683" s="1" t="s">
        <v>484</v>
      </c>
    </row>
    <row r="1684" spans="1:13" hidden="1" x14ac:dyDescent="0.25">
      <c r="A1684" s="1">
        <v>2014</v>
      </c>
      <c r="B1684" s="1">
        <v>842</v>
      </c>
      <c r="C1684" s="2">
        <v>41820</v>
      </c>
      <c r="D1684" s="1" t="s">
        <v>512</v>
      </c>
      <c r="E1684" s="1" t="s">
        <v>287</v>
      </c>
      <c r="F1684" s="1" t="s">
        <v>480</v>
      </c>
      <c r="G1684" s="1" t="s">
        <v>101</v>
      </c>
      <c r="H1684" s="6" t="str">
        <f>VLOOKUP(A1684,WorldCups!$A$2:$B$23,2,FALSE)</f>
        <v>Brazil</v>
      </c>
      <c r="I1684" s="1" t="s">
        <v>246</v>
      </c>
      <c r="J1684" s="1">
        <v>1</v>
      </c>
      <c r="K1684" s="1" t="s">
        <v>51</v>
      </c>
      <c r="L1684" s="1">
        <v>2</v>
      </c>
      <c r="M1684" s="1" t="s">
        <v>484</v>
      </c>
    </row>
    <row r="1685" spans="1:13" hidden="1" x14ac:dyDescent="0.25">
      <c r="A1685" s="1">
        <v>2014</v>
      </c>
      <c r="B1685" s="1">
        <f>B1684+1</f>
        <v>843</v>
      </c>
      <c r="C1685" s="2">
        <v>41821</v>
      </c>
      <c r="D1685" s="1" t="s">
        <v>507</v>
      </c>
      <c r="E1685" s="1" t="s">
        <v>287</v>
      </c>
      <c r="F1685" s="1" t="s">
        <v>465</v>
      </c>
      <c r="G1685" s="1" t="s">
        <v>97</v>
      </c>
      <c r="H1685" s="6" t="str">
        <f>VLOOKUP(A1685,WorldCups!$A$2:$B$23,2,FALSE)</f>
        <v>Brazil</v>
      </c>
      <c r="I1685" s="1" t="s">
        <v>25</v>
      </c>
      <c r="J1685" s="1">
        <v>1</v>
      </c>
      <c r="K1685" s="1" t="s">
        <v>44</v>
      </c>
      <c r="L1685" s="1">
        <v>0</v>
      </c>
      <c r="M1685" s="1" t="s">
        <v>229</v>
      </c>
    </row>
    <row r="1686" spans="1:13" hidden="1" x14ac:dyDescent="0.25">
      <c r="A1686" s="1">
        <v>2014</v>
      </c>
      <c r="B1686" s="1">
        <v>843</v>
      </c>
      <c r="C1686" s="2">
        <v>41821</v>
      </c>
      <c r="D1686" s="1" t="s">
        <v>507</v>
      </c>
      <c r="E1686" s="1" t="s">
        <v>287</v>
      </c>
      <c r="F1686" s="1" t="s">
        <v>465</v>
      </c>
      <c r="G1686" s="1" t="s">
        <v>97</v>
      </c>
      <c r="H1686" s="6" t="str">
        <f>VLOOKUP(A1686,WorldCups!$A$2:$B$23,2,FALSE)</f>
        <v>Brazil</v>
      </c>
      <c r="I1686" s="1" t="s">
        <v>44</v>
      </c>
      <c r="J1686" s="1">
        <v>0</v>
      </c>
      <c r="K1686" s="1" t="s">
        <v>25</v>
      </c>
      <c r="L1686" s="1">
        <v>1</v>
      </c>
      <c r="M1686" s="1" t="s">
        <v>229</v>
      </c>
    </row>
    <row r="1687" spans="1:13" hidden="1" x14ac:dyDescent="0.25">
      <c r="A1687" s="1">
        <v>2014</v>
      </c>
      <c r="B1687" s="1">
        <f>B1686+1</f>
        <v>844</v>
      </c>
      <c r="C1687" s="2">
        <v>41821</v>
      </c>
      <c r="D1687" s="1" t="s">
        <v>512</v>
      </c>
      <c r="E1687" s="1" t="s">
        <v>287</v>
      </c>
      <c r="F1687" s="1" t="s">
        <v>468</v>
      </c>
      <c r="G1687" s="1" t="s">
        <v>469</v>
      </c>
      <c r="H1687" s="6" t="str">
        <f>VLOOKUP(A1687,WorldCups!$A$2:$B$23,2,FALSE)</f>
        <v>Brazil</v>
      </c>
      <c r="I1687" s="1" t="s">
        <v>18</v>
      </c>
      <c r="J1687" s="1">
        <v>2</v>
      </c>
      <c r="K1687" s="1" t="s">
        <v>17</v>
      </c>
      <c r="L1687" s="1">
        <v>1</v>
      </c>
      <c r="M1687" s="1" t="s">
        <v>288</v>
      </c>
    </row>
    <row r="1688" spans="1:13" hidden="1" x14ac:dyDescent="0.25">
      <c r="A1688" s="1">
        <v>2014</v>
      </c>
      <c r="B1688" s="1">
        <v>844</v>
      </c>
      <c r="C1688" s="2">
        <v>41821</v>
      </c>
      <c r="D1688" s="1" t="s">
        <v>512</v>
      </c>
      <c r="E1688" s="1" t="s">
        <v>287</v>
      </c>
      <c r="F1688" s="1" t="s">
        <v>468</v>
      </c>
      <c r="G1688" s="1" t="s">
        <v>469</v>
      </c>
      <c r="H1688" s="6" t="str">
        <f>VLOOKUP(A1688,WorldCups!$A$2:$B$23,2,FALSE)</f>
        <v>Brazil</v>
      </c>
      <c r="I1688" s="1" t="s">
        <v>17</v>
      </c>
      <c r="J1688" s="1">
        <v>1</v>
      </c>
      <c r="K1688" s="1" t="s">
        <v>18</v>
      </c>
      <c r="L1688" s="1">
        <v>2</v>
      </c>
      <c r="M1688" s="1" t="s">
        <v>288</v>
      </c>
    </row>
    <row r="1689" spans="1:13" hidden="1" x14ac:dyDescent="0.25">
      <c r="A1689" s="1">
        <v>2014</v>
      </c>
      <c r="B1689" s="1">
        <f>B1688+1</f>
        <v>845</v>
      </c>
      <c r="C1689" s="2">
        <v>41824</v>
      </c>
      <c r="D1689" s="1" t="s">
        <v>507</v>
      </c>
      <c r="E1689" s="1" t="s">
        <v>61</v>
      </c>
      <c r="F1689" s="1" t="s">
        <v>481</v>
      </c>
      <c r="G1689" s="1" t="s">
        <v>92</v>
      </c>
      <c r="H1689" s="6" t="str">
        <f>VLOOKUP(A1689,WorldCups!$A$2:$B$23,2,FALSE)</f>
        <v>Brazil</v>
      </c>
      <c r="I1689" s="1" t="s">
        <v>12</v>
      </c>
      <c r="J1689" s="1">
        <v>0</v>
      </c>
      <c r="K1689" s="1" t="s">
        <v>51</v>
      </c>
      <c r="L1689" s="1">
        <v>1</v>
      </c>
      <c r="M1689" s="1" t="s">
        <v>14</v>
      </c>
    </row>
    <row r="1690" spans="1:13" hidden="1" x14ac:dyDescent="0.25">
      <c r="A1690" s="1">
        <v>2014</v>
      </c>
      <c r="B1690" s="1">
        <v>845</v>
      </c>
      <c r="C1690" s="2">
        <v>41824</v>
      </c>
      <c r="D1690" s="1" t="s">
        <v>507</v>
      </c>
      <c r="E1690" s="1" t="s">
        <v>61</v>
      </c>
      <c r="F1690" s="1" t="s">
        <v>481</v>
      </c>
      <c r="G1690" s="1" t="s">
        <v>92</v>
      </c>
      <c r="H1690" s="6" t="str">
        <f>VLOOKUP(A1690,WorldCups!$A$2:$B$23,2,FALSE)</f>
        <v>Brazil</v>
      </c>
      <c r="I1690" s="1" t="s">
        <v>51</v>
      </c>
      <c r="J1690" s="1">
        <v>1</v>
      </c>
      <c r="K1690" s="1" t="s">
        <v>12</v>
      </c>
      <c r="L1690" s="1">
        <v>0</v>
      </c>
      <c r="M1690" s="1" t="s">
        <v>14</v>
      </c>
    </row>
    <row r="1691" spans="1:13" hidden="1" x14ac:dyDescent="0.25">
      <c r="A1691" s="1">
        <v>2014</v>
      </c>
      <c r="B1691" s="1">
        <f>B1690+1</f>
        <v>846</v>
      </c>
      <c r="C1691" s="2">
        <v>41824</v>
      </c>
      <c r="D1691" s="1" t="s">
        <v>512</v>
      </c>
      <c r="E1691" s="1" t="s">
        <v>61</v>
      </c>
      <c r="F1691" s="1" t="s">
        <v>473</v>
      </c>
      <c r="G1691" s="1" t="s">
        <v>474</v>
      </c>
      <c r="H1691" s="6" t="str">
        <f>VLOOKUP(A1691,WorldCups!$A$2:$B$23,2,FALSE)</f>
        <v>Brazil</v>
      </c>
      <c r="I1691" s="1" t="s">
        <v>21</v>
      </c>
      <c r="J1691" s="1">
        <v>2</v>
      </c>
      <c r="K1691" s="1" t="s">
        <v>151</v>
      </c>
      <c r="L1691" s="1">
        <v>1</v>
      </c>
      <c r="M1691" s="1" t="s">
        <v>14</v>
      </c>
    </row>
    <row r="1692" spans="1:13" hidden="1" x14ac:dyDescent="0.25">
      <c r="A1692" s="1">
        <v>2014</v>
      </c>
      <c r="B1692" s="1">
        <v>846</v>
      </c>
      <c r="C1692" s="2">
        <v>41824</v>
      </c>
      <c r="D1692" s="1" t="s">
        <v>512</v>
      </c>
      <c r="E1692" s="1" t="s">
        <v>61</v>
      </c>
      <c r="F1692" s="1" t="s">
        <v>473</v>
      </c>
      <c r="G1692" s="1" t="s">
        <v>474</v>
      </c>
      <c r="H1692" s="6" t="str">
        <f>VLOOKUP(A1692,WorldCups!$A$2:$B$23,2,FALSE)</f>
        <v>Brazil</v>
      </c>
      <c r="I1692" s="1" t="s">
        <v>151</v>
      </c>
      <c r="J1692" s="1">
        <v>1</v>
      </c>
      <c r="K1692" s="1" t="s">
        <v>21</v>
      </c>
      <c r="L1692" s="1">
        <v>2</v>
      </c>
      <c r="M1692" s="1" t="s">
        <v>14</v>
      </c>
    </row>
    <row r="1693" spans="1:13" hidden="1" x14ac:dyDescent="0.25">
      <c r="A1693" s="1">
        <v>2014</v>
      </c>
      <c r="B1693" s="1">
        <f>B1692+1</f>
        <v>847</v>
      </c>
      <c r="C1693" s="2">
        <v>41825</v>
      </c>
      <c r="D1693" s="1" t="s">
        <v>507</v>
      </c>
      <c r="E1693" s="1" t="s">
        <v>61</v>
      </c>
      <c r="F1693" s="1" t="s">
        <v>478</v>
      </c>
      <c r="G1693" s="1" t="s">
        <v>479</v>
      </c>
      <c r="H1693" s="6" t="str">
        <f>VLOOKUP(A1693,WorldCups!$A$2:$B$23,2,FALSE)</f>
        <v>Brazil</v>
      </c>
      <c r="I1693" s="1" t="s">
        <v>25</v>
      </c>
      <c r="J1693" s="1">
        <v>1</v>
      </c>
      <c r="K1693" s="1" t="s">
        <v>18</v>
      </c>
      <c r="L1693" s="1">
        <v>0</v>
      </c>
      <c r="M1693" s="1" t="s">
        <v>14</v>
      </c>
    </row>
    <row r="1694" spans="1:13" hidden="1" x14ac:dyDescent="0.25">
      <c r="A1694" s="1">
        <v>2014</v>
      </c>
      <c r="B1694" s="1">
        <v>847</v>
      </c>
      <c r="C1694" s="2">
        <v>41825</v>
      </c>
      <c r="D1694" s="1" t="s">
        <v>507</v>
      </c>
      <c r="E1694" s="1" t="s">
        <v>61</v>
      </c>
      <c r="F1694" s="1" t="s">
        <v>478</v>
      </c>
      <c r="G1694" s="1" t="s">
        <v>479</v>
      </c>
      <c r="H1694" s="6" t="str">
        <f>VLOOKUP(A1694,WorldCups!$A$2:$B$23,2,FALSE)</f>
        <v>Brazil</v>
      </c>
      <c r="I1694" s="1" t="s">
        <v>18</v>
      </c>
      <c r="J1694" s="1">
        <v>0</v>
      </c>
      <c r="K1694" s="1" t="s">
        <v>25</v>
      </c>
      <c r="L1694" s="1">
        <v>1</v>
      </c>
      <c r="M1694" s="1" t="s">
        <v>14</v>
      </c>
    </row>
    <row r="1695" spans="1:13" hidden="1" x14ac:dyDescent="0.25">
      <c r="A1695" s="1">
        <v>2014</v>
      </c>
      <c r="B1695" s="1">
        <f>B1694+1</f>
        <v>848</v>
      </c>
      <c r="C1695" s="2">
        <v>41825</v>
      </c>
      <c r="D1695" s="1" t="s">
        <v>512</v>
      </c>
      <c r="E1695" s="1" t="s">
        <v>61</v>
      </c>
      <c r="F1695" s="1" t="s">
        <v>468</v>
      </c>
      <c r="G1695" s="1" t="s">
        <v>469</v>
      </c>
      <c r="H1695" s="6" t="str">
        <f>VLOOKUP(A1695,WorldCups!$A$2:$B$23,2,FALSE)</f>
        <v>Brazil</v>
      </c>
      <c r="I1695" s="1" t="s">
        <v>45</v>
      </c>
      <c r="J1695" s="1">
        <v>0</v>
      </c>
      <c r="K1695" s="1" t="s">
        <v>301</v>
      </c>
      <c r="L1695" s="1">
        <v>0</v>
      </c>
      <c r="M1695" s="1" t="s">
        <v>487</v>
      </c>
    </row>
    <row r="1696" spans="1:13" hidden="1" x14ac:dyDescent="0.25">
      <c r="A1696" s="1">
        <v>2014</v>
      </c>
      <c r="B1696" s="1">
        <v>848</v>
      </c>
      <c r="C1696" s="2">
        <v>41825</v>
      </c>
      <c r="D1696" s="1" t="s">
        <v>512</v>
      </c>
      <c r="E1696" s="1" t="s">
        <v>61</v>
      </c>
      <c r="F1696" s="1" t="s">
        <v>468</v>
      </c>
      <c r="G1696" s="1" t="s">
        <v>469</v>
      </c>
      <c r="H1696" s="6" t="str">
        <f>VLOOKUP(A1696,WorldCups!$A$2:$B$23,2,FALSE)</f>
        <v>Brazil</v>
      </c>
      <c r="I1696" s="1" t="s">
        <v>301</v>
      </c>
      <c r="J1696" s="1">
        <v>0</v>
      </c>
      <c r="K1696" s="1" t="s">
        <v>45</v>
      </c>
      <c r="L1696" s="1">
        <v>0</v>
      </c>
      <c r="M1696" s="1" t="s">
        <v>487</v>
      </c>
    </row>
    <row r="1697" spans="1:13" hidden="1" x14ac:dyDescent="0.25">
      <c r="A1697" s="1">
        <v>2014</v>
      </c>
      <c r="B1697" s="1">
        <f>B1696+1</f>
        <v>849</v>
      </c>
      <c r="C1697" s="2">
        <v>41828</v>
      </c>
      <c r="D1697" s="1" t="s">
        <v>512</v>
      </c>
      <c r="E1697" s="1" t="s">
        <v>31</v>
      </c>
      <c r="F1697" s="1" t="s">
        <v>472</v>
      </c>
      <c r="G1697" s="1" t="s">
        <v>99</v>
      </c>
      <c r="H1697" s="6" t="str">
        <f>VLOOKUP(A1697,WorldCups!$A$2:$B$23,2,FALSE)</f>
        <v>Brazil</v>
      </c>
      <c r="I1697" s="1" t="s">
        <v>21</v>
      </c>
      <c r="J1697" s="1">
        <v>1</v>
      </c>
      <c r="K1697" s="1" t="s">
        <v>51</v>
      </c>
      <c r="L1697" s="1">
        <v>7</v>
      </c>
      <c r="M1697" s="1" t="s">
        <v>14</v>
      </c>
    </row>
    <row r="1698" spans="1:13" hidden="1" x14ac:dyDescent="0.25">
      <c r="A1698" s="1">
        <v>2014</v>
      </c>
      <c r="B1698" s="1">
        <v>849</v>
      </c>
      <c r="C1698" s="2">
        <v>41828</v>
      </c>
      <c r="D1698" s="1" t="s">
        <v>512</v>
      </c>
      <c r="E1698" s="1" t="s">
        <v>31</v>
      </c>
      <c r="F1698" s="1" t="s">
        <v>472</v>
      </c>
      <c r="G1698" s="1" t="s">
        <v>99</v>
      </c>
      <c r="H1698" s="6" t="str">
        <f>VLOOKUP(A1698,WorldCups!$A$2:$B$23,2,FALSE)</f>
        <v>Brazil</v>
      </c>
      <c r="I1698" s="1" t="s">
        <v>51</v>
      </c>
      <c r="J1698" s="1">
        <v>7</v>
      </c>
      <c r="K1698" s="1" t="s">
        <v>21</v>
      </c>
      <c r="L1698" s="1">
        <v>1</v>
      </c>
      <c r="M1698" s="1" t="s">
        <v>14</v>
      </c>
    </row>
    <row r="1699" spans="1:13" hidden="1" x14ac:dyDescent="0.25">
      <c r="A1699" s="1">
        <v>2014</v>
      </c>
      <c r="B1699" s="1">
        <f>B1698+1</f>
        <v>850</v>
      </c>
      <c r="C1699" s="2">
        <v>41829</v>
      </c>
      <c r="D1699" s="1" t="s">
        <v>512</v>
      </c>
      <c r="E1699" s="1" t="s">
        <v>31</v>
      </c>
      <c r="F1699" s="1" t="s">
        <v>465</v>
      </c>
      <c r="G1699" s="1" t="s">
        <v>97</v>
      </c>
      <c r="H1699" s="6" t="str">
        <f>VLOOKUP(A1699,WorldCups!$A$2:$B$23,2,FALSE)</f>
        <v>Brazil</v>
      </c>
      <c r="I1699" s="1" t="s">
        <v>45</v>
      </c>
      <c r="J1699" s="1">
        <v>0</v>
      </c>
      <c r="K1699" s="1" t="s">
        <v>25</v>
      </c>
      <c r="L1699" s="1">
        <v>0</v>
      </c>
      <c r="M1699" s="1" t="s">
        <v>486</v>
      </c>
    </row>
    <row r="1700" spans="1:13" hidden="1" x14ac:dyDescent="0.25">
      <c r="A1700" s="1">
        <v>2014</v>
      </c>
      <c r="B1700" s="1">
        <v>850</v>
      </c>
      <c r="C1700" s="2">
        <v>41829</v>
      </c>
      <c r="D1700" s="1" t="s">
        <v>512</v>
      </c>
      <c r="E1700" s="1" t="s">
        <v>31</v>
      </c>
      <c r="F1700" s="1" t="s">
        <v>465</v>
      </c>
      <c r="G1700" s="1" t="s">
        <v>97</v>
      </c>
      <c r="H1700" s="6" t="str">
        <f>VLOOKUP(A1700,WorldCups!$A$2:$B$23,2,FALSE)</f>
        <v>Brazil</v>
      </c>
      <c r="I1700" s="1" t="s">
        <v>25</v>
      </c>
      <c r="J1700" s="1">
        <v>0</v>
      </c>
      <c r="K1700" s="1" t="s">
        <v>45</v>
      </c>
      <c r="L1700" s="1">
        <v>0</v>
      </c>
      <c r="M1700" s="1" t="s">
        <v>486</v>
      </c>
    </row>
    <row r="1701" spans="1:13" hidden="1" x14ac:dyDescent="0.25">
      <c r="A1701" s="1">
        <v>2014</v>
      </c>
      <c r="B1701" s="1">
        <f>B1700+1</f>
        <v>851</v>
      </c>
      <c r="C1701" s="2">
        <v>41832</v>
      </c>
      <c r="D1701" s="1" t="s">
        <v>512</v>
      </c>
      <c r="E1701" s="1" t="s">
        <v>485</v>
      </c>
      <c r="F1701" s="1" t="s">
        <v>478</v>
      </c>
      <c r="G1701" s="1" t="s">
        <v>479</v>
      </c>
      <c r="H1701" s="6" t="str">
        <f>VLOOKUP(A1701,WorldCups!$A$2:$B$23,2,FALSE)</f>
        <v>Brazil</v>
      </c>
      <c r="I1701" s="1" t="s">
        <v>21</v>
      </c>
      <c r="J1701" s="1">
        <v>0</v>
      </c>
      <c r="K1701" s="1" t="s">
        <v>45</v>
      </c>
      <c r="L1701" s="1">
        <v>3</v>
      </c>
      <c r="M1701" s="1" t="s">
        <v>14</v>
      </c>
    </row>
    <row r="1702" spans="1:13" hidden="1" x14ac:dyDescent="0.25">
      <c r="A1702" s="1">
        <v>2014</v>
      </c>
      <c r="B1702" s="1">
        <v>851</v>
      </c>
      <c r="C1702" s="2">
        <v>41832</v>
      </c>
      <c r="D1702" s="1" t="s">
        <v>512</v>
      </c>
      <c r="E1702" s="1" t="s">
        <v>485</v>
      </c>
      <c r="F1702" s="1" t="s">
        <v>478</v>
      </c>
      <c r="G1702" s="1" t="s">
        <v>479</v>
      </c>
      <c r="H1702" s="6" t="str">
        <f>VLOOKUP(A1702,WorldCups!$A$2:$B$23,2,FALSE)</f>
        <v>Brazil</v>
      </c>
      <c r="I1702" s="1" t="s">
        <v>45</v>
      </c>
      <c r="J1702" s="1">
        <v>3</v>
      </c>
      <c r="K1702" s="1" t="s">
        <v>21</v>
      </c>
      <c r="L1702" s="1">
        <v>0</v>
      </c>
      <c r="M1702" s="1" t="s">
        <v>14</v>
      </c>
    </row>
    <row r="1703" spans="1:13" hidden="1" x14ac:dyDescent="0.25">
      <c r="A1703" s="1">
        <v>2014</v>
      </c>
      <c r="B1703" s="1">
        <f>B1702+1</f>
        <v>852</v>
      </c>
      <c r="C1703" s="2">
        <v>41833</v>
      </c>
      <c r="D1703" s="1" t="s">
        <v>503</v>
      </c>
      <c r="E1703" s="1" t="s">
        <v>32</v>
      </c>
      <c r="F1703" s="1" t="s">
        <v>481</v>
      </c>
      <c r="G1703" s="1" t="s">
        <v>92</v>
      </c>
      <c r="H1703" s="6" t="str">
        <f>VLOOKUP(A1703,WorldCups!$A$2:$B$23,2,FALSE)</f>
        <v>Brazil</v>
      </c>
      <c r="I1703" s="1" t="s">
        <v>51</v>
      </c>
      <c r="J1703" s="1">
        <v>1</v>
      </c>
      <c r="K1703" s="1" t="s">
        <v>25</v>
      </c>
      <c r="L1703" s="1">
        <v>0</v>
      </c>
      <c r="M1703" s="1" t="s">
        <v>484</v>
      </c>
    </row>
    <row r="1704" spans="1:13" hidden="1" x14ac:dyDescent="0.25">
      <c r="A1704" s="1">
        <v>2014</v>
      </c>
      <c r="B1704" s="1">
        <v>852</v>
      </c>
      <c r="C1704" s="2">
        <v>41833</v>
      </c>
      <c r="D1704" s="1" t="s">
        <v>503</v>
      </c>
      <c r="E1704" s="1" t="s">
        <v>32</v>
      </c>
      <c r="F1704" s="1" t="s">
        <v>481</v>
      </c>
      <c r="G1704" s="1" t="s">
        <v>92</v>
      </c>
      <c r="H1704" s="6" t="str">
        <f>VLOOKUP(A1704,WorldCups!$A$2:$B$23,2,FALSE)</f>
        <v>Brazil</v>
      </c>
      <c r="I1704" s="1" t="s">
        <v>25</v>
      </c>
      <c r="J1704" s="1">
        <v>0</v>
      </c>
      <c r="K1704" s="1" t="s">
        <v>51</v>
      </c>
      <c r="L1704" s="1">
        <v>1</v>
      </c>
      <c r="M1704" s="1" t="s">
        <v>484</v>
      </c>
    </row>
  </sheetData>
  <autoFilter ref="A1:N1704" xr:uid="{00000000-0001-0000-0100-000000000000}">
    <filterColumn colId="0">
      <filters>
        <filter val="1930"/>
      </filters>
    </filterColumn>
  </autoFilter>
  <sortState xmlns:xlrd2="http://schemas.microsoft.com/office/spreadsheetml/2017/richdata2" ref="A2:M1704">
    <sortCondition ref="B2:B1704"/>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R23"/>
  <sheetViews>
    <sheetView topLeftCell="A70" workbookViewId="0">
      <selection activeCell="F24" sqref="F24"/>
    </sheetView>
  </sheetViews>
  <sheetFormatPr defaultRowHeight="15" x14ac:dyDescent="0.25"/>
  <cols>
    <col min="1" max="1" width="6.7109375" style="1" customWidth="1"/>
    <col min="2" max="2" width="10.85546875" style="1" bestFit="1" customWidth="1"/>
    <col min="3" max="3" width="10.28515625" style="1" bestFit="1" customWidth="1"/>
    <col min="4" max="4" width="13.28515625" style="1" bestFit="1" customWidth="1"/>
    <col min="5" max="5" width="10.5703125" style="1" bestFit="1" customWidth="1"/>
    <col min="6" max="6" width="12.85546875" style="1" bestFit="1" customWidth="1"/>
    <col min="7" max="7" width="12.5703125" style="1" customWidth="1"/>
    <col min="8" max="8" width="15.140625" style="1" customWidth="1"/>
    <col min="9" max="9" width="14.85546875" style="1" customWidth="1"/>
    <col min="11" max="11" width="11.7109375" bestFit="1" customWidth="1"/>
    <col min="12" max="12" width="11" customWidth="1"/>
    <col min="13" max="13" width="10.85546875" bestFit="1" customWidth="1"/>
    <col min="15" max="15" width="12" bestFit="1" customWidth="1"/>
    <col min="16" max="16" width="11.5703125" bestFit="1" customWidth="1"/>
    <col min="18" max="18" width="11.7109375" bestFit="1" customWidth="1"/>
  </cols>
  <sheetData>
    <row r="1" spans="1:18" x14ac:dyDescent="0.25">
      <c r="A1" s="1" t="s">
        <v>0</v>
      </c>
      <c r="B1" s="1" t="s">
        <v>497</v>
      </c>
      <c r="C1" s="1" t="s">
        <v>496</v>
      </c>
      <c r="D1" s="1" t="s">
        <v>495</v>
      </c>
      <c r="E1" s="1" t="s">
        <v>494</v>
      </c>
      <c r="F1" s="1" t="s">
        <v>493</v>
      </c>
      <c r="G1" s="1" t="s">
        <v>492</v>
      </c>
      <c r="H1" s="1" t="s">
        <v>491</v>
      </c>
      <c r="I1" s="1" t="s">
        <v>490</v>
      </c>
      <c r="K1" s="1">
        <f>WorldCupMatches!V1</f>
        <v>1958</v>
      </c>
      <c r="O1" t="s">
        <v>561</v>
      </c>
      <c r="P1" s="1" t="s">
        <v>567</v>
      </c>
      <c r="Q1">
        <f>COLUMN(B2)</f>
        <v>2</v>
      </c>
      <c r="R1" s="1" t="str">
        <f>INDEX($A$2:$I$21,MATCH($K$1,$A$2:$A$21,0),Q1)</f>
        <v>Sweden</v>
      </c>
    </row>
    <row r="2" spans="1:18" x14ac:dyDescent="0.25">
      <c r="A2" s="1">
        <v>1930</v>
      </c>
      <c r="B2" s="1" t="s">
        <v>30</v>
      </c>
      <c r="C2" s="1" t="s">
        <v>30</v>
      </c>
      <c r="D2" s="1" t="s">
        <v>25</v>
      </c>
      <c r="E2" s="1" t="s">
        <v>17</v>
      </c>
      <c r="F2" s="1" t="s">
        <v>20</v>
      </c>
      <c r="G2" s="1">
        <v>70</v>
      </c>
      <c r="H2" s="1">
        <v>13</v>
      </c>
      <c r="I2" s="1">
        <v>18</v>
      </c>
      <c r="K2" t="str">
        <f>INDEX($A$2:$I$21,MATCH($K$1,$A$2:$A$21,0),Q1)</f>
        <v>Sweden</v>
      </c>
      <c r="L2" t="s">
        <v>552</v>
      </c>
      <c r="M2" s="3" t="s">
        <v>559</v>
      </c>
      <c r="O2" t="str">
        <f>IFERROR(VLOOKUP(ROWS($N$2:N2),$L$3:$M$22,2,0),"")</f>
        <v>Uruguay</v>
      </c>
      <c r="P2" s="1" t="s">
        <v>565</v>
      </c>
      <c r="Q2">
        <f>COLUMN(WorldCups[[#This Row],[QualifiedTeams]])</f>
        <v>8</v>
      </c>
      <c r="R2" s="1">
        <f t="shared" ref="R2:R7" si="0">INDEX($A$2:$I$21,MATCH($K$1,$A$2:$A$21,0),Q2)</f>
        <v>16</v>
      </c>
    </row>
    <row r="3" spans="1:18" x14ac:dyDescent="0.25">
      <c r="A3" s="1">
        <v>1934</v>
      </c>
      <c r="B3" s="1" t="s">
        <v>57</v>
      </c>
      <c r="C3" s="1" t="s">
        <v>57</v>
      </c>
      <c r="D3" s="1" t="s">
        <v>60</v>
      </c>
      <c r="E3" s="1" t="s">
        <v>51</v>
      </c>
      <c r="F3" s="1" t="s">
        <v>36</v>
      </c>
      <c r="G3" s="1">
        <v>70</v>
      </c>
      <c r="H3" s="1">
        <v>16</v>
      </c>
      <c r="I3" s="1">
        <v>17</v>
      </c>
      <c r="L3">
        <f>IF(COUNTIF($M$3:M3,M3)=1,L1+1,L1)</f>
        <v>1</v>
      </c>
      <c r="M3" s="3" t="str">
        <f>B2</f>
        <v>Uruguay</v>
      </c>
      <c r="O3" t="str">
        <f>IFERROR(VLOOKUP(ROWS($N$2:N3),$L$3:$M$22,2,0),"")</f>
        <v>Italy</v>
      </c>
      <c r="P3" s="1" t="s">
        <v>566</v>
      </c>
      <c r="Q3">
        <f>COLUMN(I2)</f>
        <v>9</v>
      </c>
      <c r="R3" s="1">
        <f t="shared" si="0"/>
        <v>35</v>
      </c>
    </row>
    <row r="4" spans="1:18" x14ac:dyDescent="0.25">
      <c r="A4" s="1">
        <v>1938</v>
      </c>
      <c r="B4" s="1" t="s">
        <v>12</v>
      </c>
      <c r="C4" s="1" t="s">
        <v>57</v>
      </c>
      <c r="D4" s="1" t="s">
        <v>40</v>
      </c>
      <c r="E4" s="1" t="s">
        <v>21</v>
      </c>
      <c r="F4" s="1" t="s">
        <v>48</v>
      </c>
      <c r="G4" s="1">
        <v>84</v>
      </c>
      <c r="H4" s="1">
        <v>15</v>
      </c>
      <c r="I4" s="1">
        <v>18</v>
      </c>
      <c r="L4">
        <f>IF(COUNTIF($M$3:M4,M4)=1,L3+1,L3)</f>
        <v>2</v>
      </c>
      <c r="M4" s="3" t="str">
        <f t="shared" ref="M4:M22" si="1">B3</f>
        <v>Italy</v>
      </c>
      <c r="O4" t="str">
        <f>IFERROR(VLOOKUP(ROWS($N$2:N4),$L$3:$M$22,2,0),"")</f>
        <v>France</v>
      </c>
      <c r="P4" s="1" t="s">
        <v>570</v>
      </c>
      <c r="Q4">
        <f>COLUMN(G2)</f>
        <v>7</v>
      </c>
      <c r="R4" s="1">
        <f t="shared" si="0"/>
        <v>126</v>
      </c>
    </row>
    <row r="5" spans="1:18" x14ac:dyDescent="0.25">
      <c r="A5" s="1">
        <v>1950</v>
      </c>
      <c r="B5" s="1" t="s">
        <v>21</v>
      </c>
      <c r="C5" s="1" t="s">
        <v>30</v>
      </c>
      <c r="D5" s="1" t="s">
        <v>21</v>
      </c>
      <c r="E5" s="1" t="s">
        <v>48</v>
      </c>
      <c r="F5" s="1" t="s">
        <v>54</v>
      </c>
      <c r="G5" s="1">
        <v>88</v>
      </c>
      <c r="H5" s="1">
        <v>13</v>
      </c>
      <c r="I5" s="1">
        <v>22</v>
      </c>
      <c r="L5">
        <f>IF(COUNTIF($M$3:M5,M5)=1,L4+1,L4)</f>
        <v>3</v>
      </c>
      <c r="M5" s="3" t="str">
        <f t="shared" si="1"/>
        <v>France</v>
      </c>
      <c r="O5" t="str">
        <f>IFERROR(VLOOKUP(ROWS($N$2:N5),$L$3:$M$22,2,0),"")</f>
        <v>Brazil</v>
      </c>
      <c r="P5" s="1" t="s">
        <v>496</v>
      </c>
      <c r="Q5">
        <f>COLUMN(C2)</f>
        <v>3</v>
      </c>
      <c r="R5" s="1" t="str">
        <f t="shared" si="0"/>
        <v>Brazil</v>
      </c>
    </row>
    <row r="6" spans="1:18" x14ac:dyDescent="0.25">
      <c r="A6" s="1">
        <v>1954</v>
      </c>
      <c r="B6" s="1" t="s">
        <v>44</v>
      </c>
      <c r="C6" s="1" t="s">
        <v>545</v>
      </c>
      <c r="D6" s="1" t="s">
        <v>40</v>
      </c>
      <c r="E6" s="1" t="s">
        <v>36</v>
      </c>
      <c r="F6" s="1" t="s">
        <v>30</v>
      </c>
      <c r="G6" s="1">
        <v>140</v>
      </c>
      <c r="H6" s="1">
        <v>16</v>
      </c>
      <c r="I6" s="1">
        <v>26</v>
      </c>
      <c r="L6">
        <f>IF(COUNTIF($M$3:M6,M6)=1,L5+1,L5)</f>
        <v>4</v>
      </c>
      <c r="M6" s="3" t="str">
        <f t="shared" si="1"/>
        <v>Brazil</v>
      </c>
      <c r="O6" t="str">
        <f>IFERROR(VLOOKUP(ROWS($N$2:N6),$L$3:$M$22,2,0),"")</f>
        <v>Switzerland</v>
      </c>
      <c r="P6" s="1" t="s">
        <v>564</v>
      </c>
      <c r="Q6">
        <f>COLUMN(D2)</f>
        <v>4</v>
      </c>
      <c r="R6" s="1" t="str">
        <f t="shared" si="0"/>
        <v>Sweden</v>
      </c>
    </row>
    <row r="7" spans="1:18" x14ac:dyDescent="0.25">
      <c r="A7" s="1">
        <v>1958</v>
      </c>
      <c r="B7" s="1" t="s">
        <v>48</v>
      </c>
      <c r="C7" s="1" t="s">
        <v>21</v>
      </c>
      <c r="D7" s="1" t="s">
        <v>48</v>
      </c>
      <c r="E7" s="1" t="s">
        <v>12</v>
      </c>
      <c r="F7" s="1" t="s">
        <v>114</v>
      </c>
      <c r="G7" s="1">
        <v>126</v>
      </c>
      <c r="H7" s="1">
        <v>16</v>
      </c>
      <c r="I7" s="1">
        <v>35</v>
      </c>
      <c r="L7">
        <f>IF(COUNTIF($M$3:M7,M7)=1,L6+1,L6)</f>
        <v>5</v>
      </c>
      <c r="M7" s="3" t="str">
        <f t="shared" si="1"/>
        <v>Switzerland</v>
      </c>
      <c r="O7" t="str">
        <f>IFERROR(VLOOKUP(ROWS($N$2:N7),$L$3:$M$22,2,0),"")</f>
        <v>Sweden</v>
      </c>
      <c r="P7" s="1" t="s">
        <v>411</v>
      </c>
      <c r="Q7">
        <f>COLUMN(E2)</f>
        <v>5</v>
      </c>
      <c r="R7" s="1" t="str">
        <f t="shared" si="0"/>
        <v>France</v>
      </c>
    </row>
    <row r="8" spans="1:18" x14ac:dyDescent="0.25">
      <c r="A8" s="1">
        <v>1962</v>
      </c>
      <c r="B8" s="1" t="s">
        <v>26</v>
      </c>
      <c r="C8" s="1" t="s">
        <v>21</v>
      </c>
      <c r="D8" s="1" t="s">
        <v>60</v>
      </c>
      <c r="E8" s="1" t="s">
        <v>26</v>
      </c>
      <c r="F8" s="1" t="s">
        <v>20</v>
      </c>
      <c r="G8" s="1">
        <v>89</v>
      </c>
      <c r="H8" s="1">
        <v>16</v>
      </c>
      <c r="I8" s="1">
        <v>32</v>
      </c>
      <c r="L8">
        <f>IF(COUNTIF($M$3:M8,M8)=1,L7+1,L7)</f>
        <v>6</v>
      </c>
      <c r="M8" s="3" t="str">
        <f t="shared" si="1"/>
        <v>Sweden</v>
      </c>
      <c r="O8" t="str">
        <f>IFERROR(VLOOKUP(ROWS($N$2:N8),$L$3:$M$22,2,0),"")</f>
        <v>Chile</v>
      </c>
    </row>
    <row r="9" spans="1:18" x14ac:dyDescent="0.25">
      <c r="A9" s="1">
        <v>1966</v>
      </c>
      <c r="B9" s="1" t="s">
        <v>93</v>
      </c>
      <c r="C9" s="1" t="s">
        <v>93</v>
      </c>
      <c r="D9" s="1" t="s">
        <v>114</v>
      </c>
      <c r="E9" s="1" t="s">
        <v>170</v>
      </c>
      <c r="F9" s="1" t="s">
        <v>126</v>
      </c>
      <c r="G9" s="1">
        <v>89</v>
      </c>
      <c r="H9" s="1">
        <v>16</v>
      </c>
      <c r="I9" s="1">
        <v>32</v>
      </c>
      <c r="L9">
        <f>IF(COUNTIF($M$3:M9,M9)=1,L8+1,L8)</f>
        <v>7</v>
      </c>
      <c r="M9" s="3" t="str">
        <f t="shared" si="1"/>
        <v>Chile</v>
      </c>
      <c r="O9" t="str">
        <f>IFERROR(VLOOKUP(ROWS($N$2:N9),$L$3:$M$22,2,0),"")</f>
        <v>England</v>
      </c>
    </row>
    <row r="10" spans="1:18" x14ac:dyDescent="0.25">
      <c r="A10" s="1">
        <v>1970</v>
      </c>
      <c r="B10" s="1" t="s">
        <v>13</v>
      </c>
      <c r="C10" s="1" t="s">
        <v>21</v>
      </c>
      <c r="D10" s="1" t="s">
        <v>57</v>
      </c>
      <c r="E10" s="1" t="s">
        <v>114</v>
      </c>
      <c r="F10" s="1" t="s">
        <v>30</v>
      </c>
      <c r="G10" s="1">
        <v>95</v>
      </c>
      <c r="H10" s="1">
        <v>16</v>
      </c>
      <c r="I10" s="1">
        <v>32</v>
      </c>
      <c r="L10">
        <f>IF(COUNTIF($M$3:M10,M10)=1,L9+1,L9)</f>
        <v>8</v>
      </c>
      <c r="M10" s="3" t="str">
        <f t="shared" si="1"/>
        <v>England</v>
      </c>
      <c r="O10" t="str">
        <f>IFERROR(VLOOKUP(ROWS($N$2:N10),$L$3:$M$22,2,0),"")</f>
        <v>Mexico</v>
      </c>
    </row>
    <row r="11" spans="1:18" x14ac:dyDescent="0.25">
      <c r="A11" s="1">
        <v>1974</v>
      </c>
      <c r="B11" s="1" t="s">
        <v>51</v>
      </c>
      <c r="C11" s="1" t="s">
        <v>545</v>
      </c>
      <c r="D11" s="1" t="s">
        <v>45</v>
      </c>
      <c r="E11" s="1" t="s">
        <v>80</v>
      </c>
      <c r="F11" s="1" t="s">
        <v>21</v>
      </c>
      <c r="G11" s="1">
        <v>97</v>
      </c>
      <c r="H11" s="1">
        <v>16</v>
      </c>
      <c r="I11" s="1">
        <v>38</v>
      </c>
      <c r="L11">
        <f>IF(COUNTIF($M$3:M11,M11)=1,L10+1,L10)</f>
        <v>9</v>
      </c>
      <c r="M11" s="3" t="str">
        <f t="shared" si="1"/>
        <v>Mexico</v>
      </c>
      <c r="O11" t="str">
        <f>IFERROR(VLOOKUP(ROWS($N$2:N11),$L$3:$M$22,2,0),"")</f>
        <v>Germany</v>
      </c>
    </row>
    <row r="12" spans="1:18" x14ac:dyDescent="0.25">
      <c r="A12" s="1">
        <v>1978</v>
      </c>
      <c r="B12" s="1" t="s">
        <v>25</v>
      </c>
      <c r="C12" s="1" t="s">
        <v>25</v>
      </c>
      <c r="D12" s="1" t="s">
        <v>45</v>
      </c>
      <c r="E12" s="1" t="s">
        <v>21</v>
      </c>
      <c r="F12" s="1" t="s">
        <v>57</v>
      </c>
      <c r="G12" s="1">
        <v>102</v>
      </c>
      <c r="H12" s="1">
        <v>16</v>
      </c>
      <c r="I12" s="1">
        <v>38</v>
      </c>
      <c r="L12">
        <f>IF(COUNTIF($M$3:M12,M12)=1,L11+1,L11)</f>
        <v>10</v>
      </c>
      <c r="M12" s="3" t="str">
        <f t="shared" si="1"/>
        <v>Germany</v>
      </c>
      <c r="O12" t="str">
        <f>IFERROR(VLOOKUP(ROWS($N$2:N12),$L$3:$M$22,2,0),"")</f>
        <v>Argentina</v>
      </c>
    </row>
    <row r="13" spans="1:18" x14ac:dyDescent="0.25">
      <c r="A13" s="1">
        <v>1982</v>
      </c>
      <c r="B13" s="1" t="s">
        <v>54</v>
      </c>
      <c r="C13" s="1" t="s">
        <v>57</v>
      </c>
      <c r="D13" s="1" t="s">
        <v>114</v>
      </c>
      <c r="E13" s="1" t="s">
        <v>80</v>
      </c>
      <c r="F13" s="1" t="s">
        <v>12</v>
      </c>
      <c r="G13" s="1">
        <v>146</v>
      </c>
      <c r="H13" s="1">
        <v>24</v>
      </c>
      <c r="I13" s="1">
        <v>52</v>
      </c>
      <c r="L13">
        <f>IF(COUNTIF($M$3:M13,M13)=1,L12+1,L12)</f>
        <v>11</v>
      </c>
      <c r="M13" s="3" t="str">
        <f t="shared" si="1"/>
        <v>Argentina</v>
      </c>
      <c r="O13" t="str">
        <f>IFERROR(VLOOKUP(ROWS($N$2:N13),$L$3:$M$22,2,0),"")</f>
        <v>Spain</v>
      </c>
    </row>
    <row r="14" spans="1:18" x14ac:dyDescent="0.25">
      <c r="A14" s="1">
        <v>1986</v>
      </c>
      <c r="B14" s="1" t="s">
        <v>13</v>
      </c>
      <c r="C14" s="1" t="s">
        <v>25</v>
      </c>
      <c r="D14" s="1" t="s">
        <v>114</v>
      </c>
      <c r="E14" s="1" t="s">
        <v>12</v>
      </c>
      <c r="F14" s="1" t="s">
        <v>18</v>
      </c>
      <c r="G14" s="1">
        <v>132</v>
      </c>
      <c r="H14" s="1">
        <v>24</v>
      </c>
      <c r="I14" s="1">
        <v>52</v>
      </c>
      <c r="L14">
        <f>IF(COUNTIF($M$3:M14,M14)=1,L13+1,L13)</f>
        <v>12</v>
      </c>
      <c r="M14" s="3" t="str">
        <f t="shared" si="1"/>
        <v>Spain</v>
      </c>
      <c r="O14" t="str">
        <f>IFERROR(VLOOKUP(ROWS($N$2:N14),$L$3:$M$22,2,0),"")</f>
        <v>USA</v>
      </c>
    </row>
    <row r="15" spans="1:18" x14ac:dyDescent="0.25">
      <c r="A15" s="1">
        <v>1990</v>
      </c>
      <c r="B15" s="1" t="s">
        <v>57</v>
      </c>
      <c r="C15" s="1" t="s">
        <v>51</v>
      </c>
      <c r="D15" s="1" t="s">
        <v>25</v>
      </c>
      <c r="E15" s="1" t="s">
        <v>57</v>
      </c>
      <c r="F15" s="1" t="s">
        <v>93</v>
      </c>
      <c r="G15" s="1">
        <v>115</v>
      </c>
      <c r="H15" s="1">
        <v>24</v>
      </c>
      <c r="I15" s="1">
        <v>52</v>
      </c>
      <c r="L15">
        <f>IF(COUNTIF($M$3:M15,M15)=1,L14+1,L14)</f>
        <v>12</v>
      </c>
      <c r="M15" s="3" t="str">
        <f t="shared" si="1"/>
        <v>Mexico</v>
      </c>
      <c r="O15" t="str">
        <f>IFERROR(VLOOKUP(ROWS($N$2:N15),$L$3:$M$22,2,0),"")</f>
        <v>Korea/Japan</v>
      </c>
    </row>
    <row r="16" spans="1:18" x14ac:dyDescent="0.25">
      <c r="A16" s="1">
        <v>1994</v>
      </c>
      <c r="B16" s="1" t="s">
        <v>17</v>
      </c>
      <c r="C16" s="1" t="s">
        <v>21</v>
      </c>
      <c r="D16" s="1" t="s">
        <v>57</v>
      </c>
      <c r="E16" s="1" t="s">
        <v>48</v>
      </c>
      <c r="F16" s="1" t="s">
        <v>156</v>
      </c>
      <c r="G16" s="1">
        <v>141</v>
      </c>
      <c r="H16" s="1">
        <v>24</v>
      </c>
      <c r="I16" s="1">
        <v>52</v>
      </c>
      <c r="L16">
        <f>IF(COUNTIF($M$3:M16,M16)=1,L15+1,L15)</f>
        <v>12</v>
      </c>
      <c r="M16" s="3" t="str">
        <f t="shared" si="1"/>
        <v>Italy</v>
      </c>
      <c r="O16" t="str">
        <f>IFERROR(VLOOKUP(ROWS($N$2:N16),$L$3:$M$22,2,0),"")</f>
        <v>South Africa</v>
      </c>
    </row>
    <row r="17" spans="1:15" x14ac:dyDescent="0.25">
      <c r="A17" s="1">
        <v>1998</v>
      </c>
      <c r="B17" s="1" t="s">
        <v>12</v>
      </c>
      <c r="C17" s="1" t="s">
        <v>12</v>
      </c>
      <c r="D17" s="1" t="s">
        <v>21</v>
      </c>
      <c r="E17" s="1" t="s">
        <v>360</v>
      </c>
      <c r="F17" s="1" t="s">
        <v>45</v>
      </c>
      <c r="G17" s="1">
        <v>171</v>
      </c>
      <c r="H17" s="1">
        <v>32</v>
      </c>
      <c r="I17" s="1">
        <v>64</v>
      </c>
      <c r="L17">
        <f>IF(COUNTIF($M$3:M17,M17)=1,L16+1,L16)</f>
        <v>13</v>
      </c>
      <c r="M17" s="3" t="str">
        <f t="shared" si="1"/>
        <v>USA</v>
      </c>
    </row>
    <row r="18" spans="1:15" x14ac:dyDescent="0.25">
      <c r="A18" s="1">
        <v>2002</v>
      </c>
      <c r="B18" s="1" t="s">
        <v>489</v>
      </c>
      <c r="C18" s="1" t="s">
        <v>21</v>
      </c>
      <c r="D18" s="1" t="s">
        <v>51</v>
      </c>
      <c r="E18" s="1" t="s">
        <v>115</v>
      </c>
      <c r="F18" s="1" t="s">
        <v>116</v>
      </c>
      <c r="G18" s="1">
        <v>161</v>
      </c>
      <c r="H18" s="1">
        <v>32</v>
      </c>
      <c r="I18" s="1">
        <v>64</v>
      </c>
      <c r="L18">
        <f>IF(COUNTIF($M$3:M18,M18)=1,L17+1,L17)</f>
        <v>13</v>
      </c>
      <c r="M18" s="3" t="str">
        <f t="shared" si="1"/>
        <v>France</v>
      </c>
      <c r="O18" t="str">
        <f>IFERROR(VLOOKUP(ROWS($N$2:N18),$L$3:$M$22,2,0),"")</f>
        <v/>
      </c>
    </row>
    <row r="19" spans="1:15" x14ac:dyDescent="0.25">
      <c r="A19" s="1">
        <v>2006</v>
      </c>
      <c r="B19" s="1" t="s">
        <v>51</v>
      </c>
      <c r="C19" s="1" t="s">
        <v>57</v>
      </c>
      <c r="D19" s="1" t="s">
        <v>12</v>
      </c>
      <c r="E19" s="1" t="s">
        <v>51</v>
      </c>
      <c r="F19" s="1" t="s">
        <v>170</v>
      </c>
      <c r="G19" s="1">
        <v>147</v>
      </c>
      <c r="H19" s="1">
        <v>32</v>
      </c>
      <c r="I19" s="1">
        <v>64</v>
      </c>
      <c r="L19">
        <f>IF(COUNTIF($M$3:M19,M19)=1,L18+1,L18)</f>
        <v>14</v>
      </c>
      <c r="M19" s="3" t="str">
        <f t="shared" si="1"/>
        <v>Korea/Japan</v>
      </c>
      <c r="O19" t="str">
        <f>IFERROR(VLOOKUP(ROWS($N$2:N19),$L$3:$M$22,2,0),"")</f>
        <v/>
      </c>
    </row>
    <row r="20" spans="1:15" x14ac:dyDescent="0.25">
      <c r="A20" s="1">
        <v>2010</v>
      </c>
      <c r="B20" s="1" t="s">
        <v>350</v>
      </c>
      <c r="C20" s="1" t="s">
        <v>54</v>
      </c>
      <c r="D20" s="1" t="s">
        <v>45</v>
      </c>
      <c r="E20" s="1" t="s">
        <v>51</v>
      </c>
      <c r="F20" s="1" t="s">
        <v>30</v>
      </c>
      <c r="G20" s="1">
        <v>145</v>
      </c>
      <c r="H20" s="1">
        <v>32</v>
      </c>
      <c r="I20" s="1">
        <v>64</v>
      </c>
      <c r="L20">
        <f>IF(COUNTIF($M$3:M20,M20)=1,L19+1,L19)</f>
        <v>14</v>
      </c>
      <c r="M20" s="3" t="str">
        <f t="shared" si="1"/>
        <v>Germany</v>
      </c>
      <c r="O20" t="str">
        <f>IFERROR(VLOOKUP(ROWS($N$2:N20),$L$3:$M$22,2,0),"")</f>
        <v/>
      </c>
    </row>
    <row r="21" spans="1:15" x14ac:dyDescent="0.25">
      <c r="A21" s="1">
        <v>2014</v>
      </c>
      <c r="B21" s="1" t="s">
        <v>21</v>
      </c>
      <c r="C21" s="1" t="s">
        <v>51</v>
      </c>
      <c r="D21" s="1" t="s">
        <v>25</v>
      </c>
      <c r="E21" s="1" t="s">
        <v>45</v>
      </c>
      <c r="F21" s="1" t="s">
        <v>21</v>
      </c>
      <c r="G21" s="1">
        <v>171</v>
      </c>
      <c r="H21" s="1">
        <v>32</v>
      </c>
      <c r="I21" s="1">
        <v>64</v>
      </c>
      <c r="L21">
        <f>IF(COUNTIF($M$3:M21,M21)=1,L20+1,L20)</f>
        <v>15</v>
      </c>
      <c r="M21" s="3" t="str">
        <f t="shared" si="1"/>
        <v>South Africa</v>
      </c>
      <c r="O21" t="str">
        <f>IFERROR(VLOOKUP(ROWS($N$2:N21),$L$3:$M$22,2,0),"")</f>
        <v/>
      </c>
    </row>
    <row r="22" spans="1:15" x14ac:dyDescent="0.25">
      <c r="A22" s="1">
        <v>2018</v>
      </c>
      <c r="B22" s="1" t="s">
        <v>336</v>
      </c>
      <c r="C22" s="1" t="s">
        <v>12</v>
      </c>
      <c r="D22" s="1" t="s">
        <v>560</v>
      </c>
      <c r="L22">
        <f>IF(COUNTIF($M$3:M22,M22)=1,L21+1,L21)</f>
        <v>15</v>
      </c>
      <c r="M22" s="3" t="str">
        <f t="shared" si="1"/>
        <v>Brazil</v>
      </c>
    </row>
    <row r="23" spans="1:15" x14ac:dyDescent="0.25">
      <c r="M23" s="3"/>
    </row>
  </sheetData>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D0941-4AC5-43F9-BA0E-F03F07DA13E5}">
  <sheetPr codeName="Sheet2"/>
  <dimension ref="A1:P1705"/>
  <sheetViews>
    <sheetView workbookViewId="0">
      <selection activeCell="E20" sqref="E20"/>
    </sheetView>
  </sheetViews>
  <sheetFormatPr defaultColWidth="21" defaultRowHeight="12.75" x14ac:dyDescent="0.2"/>
  <cols>
    <col min="1" max="1" width="6.85546875" style="1" bestFit="1" customWidth="1"/>
    <col min="2" max="2" width="20.140625" style="1" bestFit="1" customWidth="1"/>
    <col min="3" max="4" width="12.140625" style="1" bestFit="1" customWidth="1"/>
    <col min="5" max="5" width="20.140625" style="1" bestFit="1" customWidth="1"/>
    <col min="6" max="6" width="35.7109375" style="1" bestFit="1" customWidth="1"/>
    <col min="7" max="7" width="19.140625" style="1" bestFit="1" customWidth="1"/>
    <col min="8" max="16384" width="21" style="1"/>
  </cols>
  <sheetData>
    <row r="1" spans="1:16" x14ac:dyDescent="0.2">
      <c r="A1" s="1" t="s">
        <v>0</v>
      </c>
      <c r="B1" s="1" t="s">
        <v>555</v>
      </c>
      <c r="C1" s="1" t="s">
        <v>557</v>
      </c>
      <c r="D1" s="1" t="s">
        <v>558</v>
      </c>
      <c r="E1" s="1" t="s">
        <v>556</v>
      </c>
      <c r="F1" s="1" t="s">
        <v>8</v>
      </c>
      <c r="G1" s="1" t="s">
        <v>554</v>
      </c>
      <c r="P1" s="1" t="str">
        <f>COUNT(P2:P1705) &amp;" " &amp;"Nations"</f>
        <v>83 Nations</v>
      </c>
    </row>
    <row r="2" spans="1:16" x14ac:dyDescent="0.2">
      <c r="A2" s="1">
        <f>WorldCupMatches!O2</f>
        <v>1930</v>
      </c>
      <c r="B2" s="1" t="str">
        <f>WorldCupMatches!P2</f>
        <v>France</v>
      </c>
      <c r="C2" s="1">
        <f>WorldCupMatches!Q2</f>
        <v>4</v>
      </c>
      <c r="D2" s="1">
        <f>WorldCupMatches!R2</f>
        <v>1</v>
      </c>
      <c r="E2" s="1" t="str">
        <f>WorldCupMatches!S2</f>
        <v>Mexico</v>
      </c>
      <c r="F2" s="1" t="str">
        <f>WorldCupMatches!T2</f>
        <v xml:space="preserve"> </v>
      </c>
      <c r="G2" s="1" t="str">
        <f>WorldCupMatches!U2</f>
        <v>Group stages</v>
      </c>
      <c r="J2" s="1">
        <f>COUNTIF($L$2:L2,L2)</f>
        <v>1</v>
      </c>
      <c r="K2" s="1">
        <f>Table3[[#This Row],[Year]]</f>
        <v>1930</v>
      </c>
      <c r="L2" s="1" t="str">
        <f>Table3[[#This Row],[Hometeam]]</f>
        <v>France</v>
      </c>
      <c r="M2" s="1">
        <f>IF(J2=1,J2+ROWS($J$2:J2)/10000,"")</f>
        <v>1.0001</v>
      </c>
      <c r="N2" s="1">
        <f>IFERROR(SMALL($M$2:$M$1705,ROWS($M$2:M2)),"")</f>
        <v>1.0001</v>
      </c>
      <c r="O2" s="1" t="str">
        <f>IF(N2&lt;&gt;"",INDEX($L$2:$L$1705,MATCH(N2,$M$2:$M$1705,0)),"")</f>
        <v>France</v>
      </c>
      <c r="P2" s="1">
        <f>IF(O2&lt;&gt;"",ROWS($O$2:O2),"")</f>
        <v>1</v>
      </c>
    </row>
    <row r="3" spans="1:16" x14ac:dyDescent="0.2">
      <c r="A3" s="1">
        <f>WorldCupMatches!O3</f>
        <v>1930</v>
      </c>
      <c r="B3" s="1" t="str">
        <f>WorldCupMatches!P3</f>
        <v>USA</v>
      </c>
      <c r="C3" s="1">
        <f>WorldCupMatches!Q3</f>
        <v>3</v>
      </c>
      <c r="D3" s="1">
        <f>WorldCupMatches!R3</f>
        <v>0</v>
      </c>
      <c r="E3" s="1" t="str">
        <f>WorldCupMatches!S3</f>
        <v>Belgium</v>
      </c>
      <c r="F3" s="1" t="str">
        <f>WorldCupMatches!T3</f>
        <v xml:space="preserve"> </v>
      </c>
      <c r="G3" s="1" t="str">
        <f>WorldCupMatches!U3</f>
        <v>Group stages</v>
      </c>
      <c r="J3" s="1">
        <f>COUNTIF($L$2:L3,L3)</f>
        <v>1</v>
      </c>
      <c r="K3" s="1">
        <f>Table3[[#This Row],[Year]]</f>
        <v>1930</v>
      </c>
      <c r="L3" s="1" t="str">
        <f>Table3[[#This Row],[Hometeam]]</f>
        <v>USA</v>
      </c>
      <c r="M3" s="1">
        <f>IF(J3=1,J3+ROWS($J$2:J3)/10000,"")</f>
        <v>1.0002</v>
      </c>
      <c r="N3" s="1">
        <f>IFERROR(SMALL($M$2:$M$1705,ROWS($M$2:M3)),"")</f>
        <v>1.0002</v>
      </c>
      <c r="O3" s="1" t="str">
        <f>IF(N3&lt;&gt;"",INDEX($L$2:$L$1705,MATCH(N3,$M$2:$M$1705,0)),"")</f>
        <v>USA</v>
      </c>
      <c r="P3" s="1">
        <f>IF(O3&lt;&gt;"",ROWS($O$2:O3),"")</f>
        <v>2</v>
      </c>
    </row>
    <row r="4" spans="1:16" x14ac:dyDescent="0.2">
      <c r="A4" s="1">
        <f>WorldCupMatches!O4</f>
        <v>1930</v>
      </c>
      <c r="B4" s="1" t="str">
        <f>WorldCupMatches!P4</f>
        <v>Yugoslavia</v>
      </c>
      <c r="C4" s="1">
        <f>WorldCupMatches!Q4</f>
        <v>2</v>
      </c>
      <c r="D4" s="1">
        <f>WorldCupMatches!R4</f>
        <v>1</v>
      </c>
      <c r="E4" s="1" t="str">
        <f>WorldCupMatches!S4</f>
        <v>Brazil</v>
      </c>
      <c r="F4" s="1" t="str">
        <f>WorldCupMatches!T4</f>
        <v xml:space="preserve"> </v>
      </c>
      <c r="G4" s="1" t="str">
        <f>WorldCupMatches!U4</f>
        <v>Group stages</v>
      </c>
      <c r="J4" s="1">
        <f>COUNTIF($L$2:L4,L4)</f>
        <v>1</v>
      </c>
      <c r="K4" s="1">
        <f>Table3[[#This Row],[Year]]</f>
        <v>1930</v>
      </c>
      <c r="L4" s="1" t="str">
        <f>Table3[[#This Row],[Hometeam]]</f>
        <v>Yugoslavia</v>
      </c>
      <c r="M4" s="1">
        <f>IF(J4=1,J4+ROWS($J$2:J4)/10000,"")</f>
        <v>1.0003</v>
      </c>
      <c r="N4" s="1">
        <f>IFERROR(SMALL($M$2:$M$1705,ROWS($M$2:M4)),"")</f>
        <v>1.0003</v>
      </c>
      <c r="O4" s="1" t="str">
        <f>IF(N4&lt;&gt;"",INDEX($L$2:$L$1705,MATCH(N4,$M$2:$M$1705,0)),"")</f>
        <v>Yugoslavia</v>
      </c>
      <c r="P4" s="1">
        <f>IF(O4&lt;&gt;"",ROWS($O$2:O4),"")</f>
        <v>3</v>
      </c>
    </row>
    <row r="5" spans="1:16" x14ac:dyDescent="0.2">
      <c r="A5" s="1">
        <f>WorldCupMatches!O5</f>
        <v>1930</v>
      </c>
      <c r="B5" s="1" t="str">
        <f>WorldCupMatches!P5</f>
        <v>Romania</v>
      </c>
      <c r="C5" s="1">
        <f>WorldCupMatches!Q5</f>
        <v>3</v>
      </c>
      <c r="D5" s="1">
        <f>WorldCupMatches!R5</f>
        <v>1</v>
      </c>
      <c r="E5" s="1" t="str">
        <f>WorldCupMatches!S5</f>
        <v>Peru</v>
      </c>
      <c r="F5" s="1" t="str">
        <f>WorldCupMatches!T5</f>
        <v xml:space="preserve"> </v>
      </c>
      <c r="G5" s="1" t="str">
        <f>WorldCupMatches!U5</f>
        <v>Group stages</v>
      </c>
      <c r="J5" s="1">
        <f>COUNTIF($L$2:L5,L5)</f>
        <v>1</v>
      </c>
      <c r="K5" s="1">
        <f>Table3[[#This Row],[Year]]</f>
        <v>1930</v>
      </c>
      <c r="L5" s="1" t="str">
        <f>Table3[[#This Row],[Hometeam]]</f>
        <v>Romania</v>
      </c>
      <c r="M5" s="1">
        <f>IF(J5=1,J5+ROWS($J$2:J5)/10000,"")</f>
        <v>1.0004</v>
      </c>
      <c r="N5" s="1">
        <f>IFERROR(SMALL($M$2:$M$1705,ROWS($M$2:M5)),"")</f>
        <v>1.0004</v>
      </c>
      <c r="O5" s="1" t="str">
        <f>IF(N5&lt;&gt;"",INDEX($L$2:$L$1705,MATCH(N5,$M$2:$M$1705,0)),"")</f>
        <v>Romania</v>
      </c>
      <c r="P5" s="1">
        <f>IF(O5&lt;&gt;"",ROWS($O$2:O5),"")</f>
        <v>4</v>
      </c>
    </row>
    <row r="6" spans="1:16" x14ac:dyDescent="0.2">
      <c r="A6" s="1">
        <f>WorldCupMatches!O6</f>
        <v>1930</v>
      </c>
      <c r="B6" s="1" t="str">
        <f>WorldCupMatches!P6</f>
        <v>Argentina</v>
      </c>
      <c r="C6" s="1">
        <f>WorldCupMatches!Q6</f>
        <v>1</v>
      </c>
      <c r="D6" s="1">
        <f>WorldCupMatches!R6</f>
        <v>0</v>
      </c>
      <c r="E6" s="1" t="str">
        <f>WorldCupMatches!S6</f>
        <v>France</v>
      </c>
      <c r="F6" s="1" t="str">
        <f>WorldCupMatches!T6</f>
        <v xml:space="preserve"> </v>
      </c>
      <c r="G6" s="1" t="str">
        <f>WorldCupMatches!U6</f>
        <v>Group stages</v>
      </c>
      <c r="J6" s="1">
        <f>COUNTIF($L$2:L6,L6)</f>
        <v>1</v>
      </c>
      <c r="K6" s="1">
        <f>Table3[[#This Row],[Year]]</f>
        <v>1930</v>
      </c>
      <c r="L6" s="1" t="str">
        <f>Table3[[#This Row],[Hometeam]]</f>
        <v>Argentina</v>
      </c>
      <c r="M6" s="1">
        <f>IF(J6=1,J6+ROWS($J$2:J6)/10000,"")</f>
        <v>1.0004999999999999</v>
      </c>
      <c r="N6" s="1">
        <f>IFERROR(SMALL($M$2:$M$1705,ROWS($M$2:M6)),"")</f>
        <v>1.0004999999999999</v>
      </c>
      <c r="O6" s="1" t="str">
        <f>IF(N6&lt;&gt;"",INDEX($L$2:$L$1705,MATCH(N6,$M$2:$M$1705,0)),"")</f>
        <v>Argentina</v>
      </c>
      <c r="P6" s="1">
        <f>IF(O6&lt;&gt;"",ROWS($O$2:O6),"")</f>
        <v>5</v>
      </c>
    </row>
    <row r="7" spans="1:16" x14ac:dyDescent="0.2">
      <c r="A7" s="1">
        <f>WorldCupMatches!O7</f>
        <v>1930</v>
      </c>
      <c r="B7" s="1" t="str">
        <f>WorldCupMatches!P7</f>
        <v>Chile</v>
      </c>
      <c r="C7" s="1">
        <f>WorldCupMatches!Q7</f>
        <v>3</v>
      </c>
      <c r="D7" s="1">
        <f>WorldCupMatches!R7</f>
        <v>0</v>
      </c>
      <c r="E7" s="1" t="str">
        <f>WorldCupMatches!S7</f>
        <v>Mexico</v>
      </c>
      <c r="F7" s="1" t="str">
        <f>WorldCupMatches!T7</f>
        <v xml:space="preserve"> </v>
      </c>
      <c r="G7" s="1" t="str">
        <f>WorldCupMatches!U7</f>
        <v>Group stages</v>
      </c>
      <c r="J7" s="1">
        <f>COUNTIF($L$2:L7,L7)</f>
        <v>1</v>
      </c>
      <c r="K7" s="1">
        <f>Table3[[#This Row],[Year]]</f>
        <v>1930</v>
      </c>
      <c r="L7" s="1" t="str">
        <f>Table3[[#This Row],[Hometeam]]</f>
        <v>Chile</v>
      </c>
      <c r="M7" s="1">
        <f>IF(J7=1,J7+ROWS($J$2:J7)/10000,"")</f>
        <v>1.0005999999999999</v>
      </c>
      <c r="N7" s="1">
        <f>IFERROR(SMALL($M$2:$M$1705,ROWS($M$2:M7)),"")</f>
        <v>1.0005999999999999</v>
      </c>
      <c r="O7" s="1" t="str">
        <f>IF(N7&lt;&gt;"",INDEX($L$2:$L$1705,MATCH(N7,$M$2:$M$1705,0)),"")</f>
        <v>Chile</v>
      </c>
      <c r="P7" s="1">
        <f>IF(O7&lt;&gt;"",ROWS($O$2:O7),"")</f>
        <v>6</v>
      </c>
    </row>
    <row r="8" spans="1:16" x14ac:dyDescent="0.2">
      <c r="A8" s="1">
        <f>WorldCupMatches!O8</f>
        <v>1930</v>
      </c>
      <c r="B8" s="1" t="str">
        <f>WorldCupMatches!P8</f>
        <v>Yugoslavia</v>
      </c>
      <c r="C8" s="1">
        <f>WorldCupMatches!Q8</f>
        <v>4</v>
      </c>
      <c r="D8" s="1">
        <f>WorldCupMatches!R8</f>
        <v>0</v>
      </c>
      <c r="E8" s="1" t="str">
        <f>WorldCupMatches!S8</f>
        <v>Bolivia</v>
      </c>
      <c r="F8" s="1" t="str">
        <f>WorldCupMatches!T8</f>
        <v xml:space="preserve"> </v>
      </c>
      <c r="G8" s="1" t="str">
        <f>WorldCupMatches!U8</f>
        <v>Group stages</v>
      </c>
      <c r="J8" s="1">
        <f>COUNTIF($L$2:L8,L8)</f>
        <v>2</v>
      </c>
      <c r="K8" s="1">
        <f>Table3[[#This Row],[Year]]</f>
        <v>1930</v>
      </c>
      <c r="L8" s="1" t="str">
        <f>Table3[[#This Row],[Hometeam]]</f>
        <v>Yugoslavia</v>
      </c>
      <c r="M8" s="1" t="str">
        <f>IF(J8=1,J8+ROWS($J$2:J8)/10000,"")</f>
        <v/>
      </c>
      <c r="N8" s="1">
        <f>IFERROR(SMALL($M$2:$M$1705,ROWS($M$2:M8)),"")</f>
        <v>1.0008999999999999</v>
      </c>
      <c r="O8" s="1" t="str">
        <f>IF(N8&lt;&gt;"",INDEX($L$2:$L$1705,MATCH(N8,$M$2:$M$1705,0)),"")</f>
        <v>Uruguay</v>
      </c>
      <c r="P8" s="1">
        <f>IF(O8&lt;&gt;"",ROWS($O$2:O8),"")</f>
        <v>7</v>
      </c>
    </row>
    <row r="9" spans="1:16" x14ac:dyDescent="0.2">
      <c r="A9" s="1">
        <f>WorldCupMatches!O9</f>
        <v>1930</v>
      </c>
      <c r="B9" s="1" t="str">
        <f>WorldCupMatches!P9</f>
        <v>USA</v>
      </c>
      <c r="C9" s="1">
        <f>WorldCupMatches!Q9</f>
        <v>3</v>
      </c>
      <c r="D9" s="1">
        <f>WorldCupMatches!R9</f>
        <v>0</v>
      </c>
      <c r="E9" s="1" t="str">
        <f>WorldCupMatches!S9</f>
        <v>Paraguay</v>
      </c>
      <c r="F9" s="1" t="str">
        <f>WorldCupMatches!T9</f>
        <v xml:space="preserve"> </v>
      </c>
      <c r="G9" s="1" t="str">
        <f>WorldCupMatches!U9</f>
        <v>Group stages</v>
      </c>
      <c r="J9" s="1">
        <f>COUNTIF($L$2:L9,L9)</f>
        <v>2</v>
      </c>
      <c r="K9" s="1">
        <f>Table3[[#This Row],[Year]]</f>
        <v>1930</v>
      </c>
      <c r="L9" s="1" t="str">
        <f>Table3[[#This Row],[Hometeam]]</f>
        <v>USA</v>
      </c>
      <c r="M9" s="1" t="str">
        <f>IF(J9=1,J9+ROWS($J$2:J9)/10000,"")</f>
        <v/>
      </c>
      <c r="N9" s="1">
        <f>IFERROR(SMALL($M$2:$M$1705,ROWS($M$2:M9)),"")</f>
        <v>1.0012000000000001</v>
      </c>
      <c r="O9" s="1" t="str">
        <f>IF(N9&lt;&gt;"",INDEX($L$2:$L$1705,MATCH(N9,$M$2:$M$1705,0)),"")</f>
        <v>Brazil</v>
      </c>
      <c r="P9" s="1">
        <f>IF(O9&lt;&gt;"",ROWS($O$2:O9),"")</f>
        <v>8</v>
      </c>
    </row>
    <row r="10" spans="1:16" x14ac:dyDescent="0.2">
      <c r="A10" s="1">
        <f>WorldCupMatches!O10</f>
        <v>1930</v>
      </c>
      <c r="B10" s="1" t="str">
        <f>WorldCupMatches!P10</f>
        <v>Uruguay</v>
      </c>
      <c r="C10" s="1">
        <f>WorldCupMatches!Q10</f>
        <v>1</v>
      </c>
      <c r="D10" s="1">
        <f>WorldCupMatches!R10</f>
        <v>0</v>
      </c>
      <c r="E10" s="1" t="str">
        <f>WorldCupMatches!S10</f>
        <v>Peru</v>
      </c>
      <c r="F10" s="1" t="str">
        <f>WorldCupMatches!T10</f>
        <v xml:space="preserve"> </v>
      </c>
      <c r="G10" s="1" t="str">
        <f>WorldCupMatches!U10</f>
        <v>Group stages</v>
      </c>
      <c r="J10" s="1">
        <f>COUNTIF($L$2:L10,L10)</f>
        <v>1</v>
      </c>
      <c r="K10" s="1">
        <f>Table3[[#This Row],[Year]]</f>
        <v>1930</v>
      </c>
      <c r="L10" s="1" t="str">
        <f>Table3[[#This Row],[Hometeam]]</f>
        <v>Uruguay</v>
      </c>
      <c r="M10" s="1">
        <f>IF(J10=1,J10+ROWS($J$2:J10)/10000,"")</f>
        <v>1.0008999999999999</v>
      </c>
      <c r="N10" s="1">
        <f>IFERROR(SMALL($M$2:$M$1705,ROWS($M$2:M10)),"")</f>
        <v>1.0013000000000001</v>
      </c>
      <c r="O10" s="1" t="str">
        <f>IF(N10&lt;&gt;"",INDEX($L$2:$L$1705,MATCH(N10,$M$2:$M$1705,0)),"")</f>
        <v>Paraguay</v>
      </c>
      <c r="P10" s="1">
        <f>IF(O10&lt;&gt;"",ROWS($O$2:O10),"")</f>
        <v>9</v>
      </c>
    </row>
    <row r="11" spans="1:16" x14ac:dyDescent="0.2">
      <c r="A11" s="1">
        <f>WorldCupMatches!O11</f>
        <v>1930</v>
      </c>
      <c r="B11" s="1" t="str">
        <f>WorldCupMatches!P11</f>
        <v>Chile</v>
      </c>
      <c r="C11" s="1">
        <f>WorldCupMatches!Q11</f>
        <v>1</v>
      </c>
      <c r="D11" s="1">
        <f>WorldCupMatches!R11</f>
        <v>0</v>
      </c>
      <c r="E11" s="1" t="str">
        <f>WorldCupMatches!S11</f>
        <v>France</v>
      </c>
      <c r="F11" s="1" t="str">
        <f>WorldCupMatches!T11</f>
        <v xml:space="preserve"> </v>
      </c>
      <c r="G11" s="1" t="str">
        <f>WorldCupMatches!U11</f>
        <v>Group stages</v>
      </c>
      <c r="J11" s="1">
        <f>COUNTIF($L$2:L11,L11)</f>
        <v>2</v>
      </c>
      <c r="K11" s="1">
        <f>Table3[[#This Row],[Year]]</f>
        <v>1930</v>
      </c>
      <c r="L11" s="1" t="str">
        <f>Table3[[#This Row],[Hometeam]]</f>
        <v>Chile</v>
      </c>
      <c r="M11" s="1" t="str">
        <f>IF(J11=1,J11+ROWS($J$2:J11)/10000,"")</f>
        <v/>
      </c>
      <c r="N11" s="1">
        <f>IFERROR(SMALL($M$2:$M$1705,ROWS($M$2:M11)),"")</f>
        <v>1.0019</v>
      </c>
      <c r="O11" s="1" t="str">
        <f>IF(N11&lt;&gt;"",INDEX($L$2:$L$1705,MATCH(N11,$M$2:$M$1705,0)),"")</f>
        <v>Austria</v>
      </c>
      <c r="P11" s="1">
        <f>IF(O11&lt;&gt;"",ROWS($O$2:O11),"")</f>
        <v>10</v>
      </c>
    </row>
    <row r="12" spans="1:16" x14ac:dyDescent="0.2">
      <c r="A12" s="1">
        <f>WorldCupMatches!O12</f>
        <v>1930</v>
      </c>
      <c r="B12" s="1" t="str">
        <f>WorldCupMatches!P12</f>
        <v>Argentina</v>
      </c>
      <c r="C12" s="1">
        <f>WorldCupMatches!Q12</f>
        <v>6</v>
      </c>
      <c r="D12" s="1">
        <f>WorldCupMatches!R12</f>
        <v>3</v>
      </c>
      <c r="E12" s="1" t="str">
        <f>WorldCupMatches!S12</f>
        <v>Mexico</v>
      </c>
      <c r="F12" s="1" t="str">
        <f>WorldCupMatches!T12</f>
        <v xml:space="preserve"> </v>
      </c>
      <c r="G12" s="1" t="str">
        <f>WorldCupMatches!U12</f>
        <v>Group stages</v>
      </c>
      <c r="J12" s="1">
        <f>COUNTIF($L$2:L12,L12)</f>
        <v>2</v>
      </c>
      <c r="K12" s="1">
        <f>Table3[[#This Row],[Year]]</f>
        <v>1930</v>
      </c>
      <c r="L12" s="1" t="str">
        <f>Table3[[#This Row],[Hometeam]]</f>
        <v>Argentina</v>
      </c>
      <c r="M12" s="1" t="str">
        <f>IF(J12=1,J12+ROWS($J$2:J12)/10000,"")</f>
        <v/>
      </c>
      <c r="N12" s="1">
        <f>IFERROR(SMALL($M$2:$M$1705,ROWS($M$2:M12)),"")</f>
        <v>1.002</v>
      </c>
      <c r="O12" s="1" t="str">
        <f>IF(N12&lt;&gt;"",INDEX($L$2:$L$1705,MATCH(N12,$M$2:$M$1705,0)),"")</f>
        <v>Hungary</v>
      </c>
      <c r="P12" s="1">
        <f>IF(O12&lt;&gt;"",ROWS($O$2:O12),"")</f>
        <v>11</v>
      </c>
    </row>
    <row r="13" spans="1:16" x14ac:dyDescent="0.2">
      <c r="A13" s="1">
        <f>WorldCupMatches!O13</f>
        <v>1930</v>
      </c>
      <c r="B13" s="1" t="str">
        <f>WorldCupMatches!P13</f>
        <v>Brazil</v>
      </c>
      <c r="C13" s="1">
        <f>WorldCupMatches!Q13</f>
        <v>4</v>
      </c>
      <c r="D13" s="1">
        <f>WorldCupMatches!R13</f>
        <v>0</v>
      </c>
      <c r="E13" s="1" t="str">
        <f>WorldCupMatches!S13</f>
        <v>Bolivia</v>
      </c>
      <c r="F13" s="1" t="str">
        <f>WorldCupMatches!T13</f>
        <v xml:space="preserve"> </v>
      </c>
      <c r="G13" s="1" t="str">
        <f>WorldCupMatches!U13</f>
        <v>Group stages</v>
      </c>
      <c r="J13" s="1">
        <f>COUNTIF($L$2:L13,L13)</f>
        <v>1</v>
      </c>
      <c r="K13" s="1">
        <f>Table3[[#This Row],[Year]]</f>
        <v>1930</v>
      </c>
      <c r="L13" s="1" t="str">
        <f>Table3[[#This Row],[Hometeam]]</f>
        <v>Brazil</v>
      </c>
      <c r="M13" s="1">
        <f>IF(J13=1,J13+ROWS($J$2:J13)/10000,"")</f>
        <v>1.0012000000000001</v>
      </c>
      <c r="N13" s="1">
        <f>IFERROR(SMALL($M$2:$M$1705,ROWS($M$2:M13)),"")</f>
        <v>1.0021</v>
      </c>
      <c r="O13" s="1" t="str">
        <f>IF(N13&lt;&gt;"",INDEX($L$2:$L$1705,MATCH(N13,$M$2:$M$1705,0)),"")</f>
        <v>Switzerland</v>
      </c>
      <c r="P13" s="1">
        <f>IF(O13&lt;&gt;"",ROWS($O$2:O13),"")</f>
        <v>12</v>
      </c>
    </row>
    <row r="14" spans="1:16" x14ac:dyDescent="0.2">
      <c r="A14" s="1">
        <f>WorldCupMatches!O14</f>
        <v>1930</v>
      </c>
      <c r="B14" s="1" t="str">
        <f>WorldCupMatches!P14</f>
        <v>Paraguay</v>
      </c>
      <c r="C14" s="1">
        <f>WorldCupMatches!Q14</f>
        <v>1</v>
      </c>
      <c r="D14" s="1">
        <f>WorldCupMatches!R14</f>
        <v>0</v>
      </c>
      <c r="E14" s="1" t="str">
        <f>WorldCupMatches!S14</f>
        <v>Belgium</v>
      </c>
      <c r="F14" s="1" t="str">
        <f>WorldCupMatches!T14</f>
        <v xml:space="preserve"> </v>
      </c>
      <c r="G14" s="1" t="str">
        <f>WorldCupMatches!U14</f>
        <v>Group stages</v>
      </c>
      <c r="J14" s="1">
        <f>COUNTIF($L$2:L14,L14)</f>
        <v>1</v>
      </c>
      <c r="K14" s="1">
        <f>Table3[[#This Row],[Year]]</f>
        <v>1930</v>
      </c>
      <c r="L14" s="1" t="str">
        <f>Table3[[#This Row],[Hometeam]]</f>
        <v>Paraguay</v>
      </c>
      <c r="M14" s="1">
        <f>IF(J14=1,J14+ROWS($J$2:J14)/10000,"")</f>
        <v>1.0013000000000001</v>
      </c>
      <c r="N14" s="1">
        <f>IFERROR(SMALL($M$2:$M$1705,ROWS($M$2:M14)),"")</f>
        <v>1.0022</v>
      </c>
      <c r="O14" s="1" t="str">
        <f>IF(N14&lt;&gt;"",INDEX($L$2:$L$1705,MATCH(N14,$M$2:$M$1705,0)),"")</f>
        <v>Sweden</v>
      </c>
      <c r="P14" s="1">
        <f>IF(O14&lt;&gt;"",ROWS($O$2:O14),"")</f>
        <v>13</v>
      </c>
    </row>
    <row r="15" spans="1:16" x14ac:dyDescent="0.2">
      <c r="A15" s="1">
        <f>WorldCupMatches!O15</f>
        <v>1930</v>
      </c>
      <c r="B15" s="1" t="str">
        <f>WorldCupMatches!P15</f>
        <v>Uruguay</v>
      </c>
      <c r="C15" s="1">
        <f>WorldCupMatches!Q15</f>
        <v>4</v>
      </c>
      <c r="D15" s="1">
        <f>WorldCupMatches!R15</f>
        <v>0</v>
      </c>
      <c r="E15" s="1" t="str">
        <f>WorldCupMatches!S15</f>
        <v>Romania</v>
      </c>
      <c r="F15" s="1" t="str">
        <f>WorldCupMatches!T15</f>
        <v xml:space="preserve"> </v>
      </c>
      <c r="G15" s="1" t="str">
        <f>WorldCupMatches!U15</f>
        <v>Group stages</v>
      </c>
      <c r="J15" s="1">
        <f>COUNTIF($L$2:L15,L15)</f>
        <v>2</v>
      </c>
      <c r="K15" s="1">
        <f>Table3[[#This Row],[Year]]</f>
        <v>1930</v>
      </c>
      <c r="L15" s="1" t="str">
        <f>Table3[[#This Row],[Hometeam]]</f>
        <v>Uruguay</v>
      </c>
      <c r="M15" s="1" t="str">
        <f>IF(J15=1,J15+ROWS($J$2:J15)/10000,"")</f>
        <v/>
      </c>
      <c r="N15" s="1">
        <f>IFERROR(SMALL($M$2:$M$1705,ROWS($M$2:M15)),"")</f>
        <v>1.0023</v>
      </c>
      <c r="O15" s="1" t="str">
        <f>IF(N15&lt;&gt;"",INDEX($L$2:$L$1705,MATCH(N15,$M$2:$M$1705,0)),"")</f>
        <v>Germany</v>
      </c>
      <c r="P15" s="1">
        <f>IF(O15&lt;&gt;"",ROWS($O$2:O15),"")</f>
        <v>14</v>
      </c>
    </row>
    <row r="16" spans="1:16" x14ac:dyDescent="0.2">
      <c r="A16" s="1">
        <f>WorldCupMatches!O16</f>
        <v>1930</v>
      </c>
      <c r="B16" s="1" t="str">
        <f>WorldCupMatches!P16</f>
        <v>Argentina</v>
      </c>
      <c r="C16" s="1">
        <f>WorldCupMatches!Q16</f>
        <v>3</v>
      </c>
      <c r="D16" s="1">
        <f>WorldCupMatches!R16</f>
        <v>1</v>
      </c>
      <c r="E16" s="1" t="str">
        <f>WorldCupMatches!S16</f>
        <v>Chile</v>
      </c>
      <c r="F16" s="1" t="str">
        <f>WorldCupMatches!T16</f>
        <v xml:space="preserve"> </v>
      </c>
      <c r="G16" s="1" t="str">
        <f>WorldCupMatches!U16</f>
        <v>Group stages</v>
      </c>
      <c r="J16" s="1">
        <f>COUNTIF($L$2:L16,L16)</f>
        <v>3</v>
      </c>
      <c r="K16" s="1">
        <f>Table3[[#This Row],[Year]]</f>
        <v>1930</v>
      </c>
      <c r="L16" s="1" t="str">
        <f>Table3[[#This Row],[Hometeam]]</f>
        <v>Argentina</v>
      </c>
      <c r="M16" s="1" t="str">
        <f>IF(J16=1,J16+ROWS($J$2:J16)/10000,"")</f>
        <v/>
      </c>
      <c r="N16" s="1">
        <f>IFERROR(SMALL($M$2:$M$1705,ROWS($M$2:M16)),"")</f>
        <v>1.0024</v>
      </c>
      <c r="O16" s="1" t="str">
        <f>IF(N16&lt;&gt;"",INDEX($L$2:$L$1705,MATCH(N16,$M$2:$M$1705,0)),"")</f>
        <v>Spain</v>
      </c>
      <c r="P16" s="1">
        <f>IF(O16&lt;&gt;"",ROWS($O$2:O16),"")</f>
        <v>15</v>
      </c>
    </row>
    <row r="17" spans="1:16" x14ac:dyDescent="0.2">
      <c r="A17" s="1">
        <f>WorldCupMatches!O17</f>
        <v>1930</v>
      </c>
      <c r="B17" s="1" t="str">
        <f>WorldCupMatches!P17</f>
        <v>Argentina</v>
      </c>
      <c r="C17" s="1">
        <f>WorldCupMatches!Q17</f>
        <v>6</v>
      </c>
      <c r="D17" s="1">
        <f>WorldCupMatches!R17</f>
        <v>1</v>
      </c>
      <c r="E17" s="1" t="str">
        <f>WorldCupMatches!S17</f>
        <v>USA</v>
      </c>
      <c r="F17" s="1" t="str">
        <f>WorldCupMatches!T17</f>
        <v xml:space="preserve"> </v>
      </c>
      <c r="G17" s="1" t="str">
        <f>WorldCupMatches!U17</f>
        <v>Semi-finals</v>
      </c>
      <c r="J17" s="1">
        <f>COUNTIF($L$2:L17,L17)</f>
        <v>4</v>
      </c>
      <c r="K17" s="1">
        <f>Table3[[#This Row],[Year]]</f>
        <v>1930</v>
      </c>
      <c r="L17" s="1" t="str">
        <f>Table3[[#This Row],[Hometeam]]</f>
        <v>Argentina</v>
      </c>
      <c r="M17" s="1" t="str">
        <f>IF(J17=1,J17+ROWS($J$2:J17)/10000,"")</f>
        <v/>
      </c>
      <c r="N17" s="1">
        <f>IFERROR(SMALL($M$2:$M$1705,ROWS($M$2:M17)),"")</f>
        <v>1.0024999999999999</v>
      </c>
      <c r="O17" s="1" t="str">
        <f>IF(N17&lt;&gt;"",INDEX($L$2:$L$1705,MATCH(N17,$M$2:$M$1705,0)),"")</f>
        <v>Italy</v>
      </c>
      <c r="P17" s="1">
        <f>IF(O17&lt;&gt;"",ROWS($O$2:O17),"")</f>
        <v>16</v>
      </c>
    </row>
    <row r="18" spans="1:16" x14ac:dyDescent="0.2">
      <c r="A18" s="1">
        <f>WorldCupMatches!O18</f>
        <v>1930</v>
      </c>
      <c r="B18" s="1" t="str">
        <f>WorldCupMatches!P18</f>
        <v>Uruguay</v>
      </c>
      <c r="C18" s="1">
        <f>WorldCupMatches!Q18</f>
        <v>6</v>
      </c>
      <c r="D18" s="1">
        <f>WorldCupMatches!R18</f>
        <v>1</v>
      </c>
      <c r="E18" s="1" t="str">
        <f>WorldCupMatches!S18</f>
        <v>Yugoslavia</v>
      </c>
      <c r="F18" s="1" t="str">
        <f>WorldCupMatches!T18</f>
        <v xml:space="preserve"> </v>
      </c>
      <c r="G18" s="1" t="str">
        <f>WorldCupMatches!U18</f>
        <v>Semi-finals</v>
      </c>
      <c r="J18" s="1">
        <f>COUNTIF($L$2:L18,L18)</f>
        <v>3</v>
      </c>
      <c r="K18" s="1">
        <f>Table3[[#This Row],[Year]]</f>
        <v>1930</v>
      </c>
      <c r="L18" s="1" t="str">
        <f>Table3[[#This Row],[Hometeam]]</f>
        <v>Uruguay</v>
      </c>
      <c r="M18" s="1" t="str">
        <f>IF(J18=1,J18+ROWS($J$2:J18)/10000,"")</f>
        <v/>
      </c>
      <c r="N18" s="1">
        <f>IFERROR(SMALL($M$2:$M$1705,ROWS($M$2:M18)),"")</f>
        <v>1.0025999999999999</v>
      </c>
      <c r="O18" s="1" t="str">
        <f>IF(N18&lt;&gt;"",INDEX($L$2:$L$1705,MATCH(N18,$M$2:$M$1705,0)),"")</f>
        <v>Czechoslovakia</v>
      </c>
      <c r="P18" s="1">
        <f>IF(O18&lt;&gt;"",ROWS($O$2:O18),"")</f>
        <v>17</v>
      </c>
    </row>
    <row r="19" spans="1:16" x14ac:dyDescent="0.2">
      <c r="A19" s="1">
        <f>WorldCupMatches!O19</f>
        <v>1930</v>
      </c>
      <c r="B19" s="1" t="str">
        <f>WorldCupMatches!P19</f>
        <v>Uruguay</v>
      </c>
      <c r="C19" s="1">
        <f>WorldCupMatches!Q19</f>
        <v>4</v>
      </c>
      <c r="D19" s="1">
        <f>WorldCupMatches!R19</f>
        <v>2</v>
      </c>
      <c r="E19" s="1" t="str">
        <f>WorldCupMatches!S19</f>
        <v>Argentina</v>
      </c>
      <c r="F19" s="1" t="str">
        <f>WorldCupMatches!T19</f>
        <v xml:space="preserve"> </v>
      </c>
      <c r="G19" s="1" t="str">
        <f>WorldCupMatches!U19</f>
        <v>Final</v>
      </c>
      <c r="J19" s="1">
        <f>COUNTIF($L$2:L19,L19)</f>
        <v>4</v>
      </c>
      <c r="K19" s="1">
        <f>Table3[[#This Row],[Year]]</f>
        <v>1930</v>
      </c>
      <c r="L19" s="1" t="str">
        <f>Table3[[#This Row],[Hometeam]]</f>
        <v>Uruguay</v>
      </c>
      <c r="M19" s="1" t="str">
        <f>IF(J19=1,J19+ROWS($J$2:J19)/10000,"")</f>
        <v/>
      </c>
      <c r="N19" s="1">
        <f>IFERROR(SMALL($M$2:$M$1705,ROWS($M$2:M19)),"")</f>
        <v>1.0039</v>
      </c>
      <c r="O19" s="1" t="str">
        <f>IF(N19&lt;&gt;"",INDEX($L$2:$L$1705,MATCH(N19,$M$2:$M$1705,0)),"")</f>
        <v>Cuba</v>
      </c>
      <c r="P19" s="1">
        <f>IF(O19&lt;&gt;"",ROWS($O$2:O19),"")</f>
        <v>18</v>
      </c>
    </row>
    <row r="20" spans="1:16" x14ac:dyDescent="0.2">
      <c r="A20" s="1">
        <f>WorldCupMatches!O20</f>
        <v>1934</v>
      </c>
      <c r="B20" s="1" t="str">
        <f>WorldCupMatches!P20</f>
        <v>Austria</v>
      </c>
      <c r="C20" s="1">
        <f>WorldCupMatches!Q20</f>
        <v>3</v>
      </c>
      <c r="D20" s="1">
        <f>WorldCupMatches!R20</f>
        <v>2</v>
      </c>
      <c r="E20" s="1" t="str">
        <f>WorldCupMatches!S20</f>
        <v>France</v>
      </c>
      <c r="F20" s="1" t="str">
        <f>WorldCupMatches!T20</f>
        <v xml:space="preserve">Austria win after extra time </v>
      </c>
      <c r="G20" s="1" t="str">
        <f>WorldCupMatches!U20</f>
        <v>Preliminary round</v>
      </c>
      <c r="J20" s="1">
        <f>COUNTIF($L$2:L20,L20)</f>
        <v>1</v>
      </c>
      <c r="K20" s="1">
        <f>Table3[[#This Row],[Year]]</f>
        <v>1934</v>
      </c>
      <c r="L20" s="1" t="str">
        <f>Table3[[#This Row],[Hometeam]]</f>
        <v>Austria</v>
      </c>
      <c r="M20" s="1">
        <f>IF(J20=1,J20+ROWS($J$2:J20)/10000,"")</f>
        <v>1.0019</v>
      </c>
      <c r="N20" s="1">
        <f>IFERROR(SMALL($M$2:$M$1705,ROWS($M$2:M20)),"")</f>
        <v>1.0055000000000001</v>
      </c>
      <c r="O20" s="1" t="str">
        <f>IF(N20&lt;&gt;"",INDEX($L$2:$L$1705,MATCH(N20,$M$2:$M$1705,0)),"")</f>
        <v>England</v>
      </c>
      <c r="P20" s="1">
        <f>IF(O20&lt;&gt;"",ROWS($O$2:O20),"")</f>
        <v>19</v>
      </c>
    </row>
    <row r="21" spans="1:16" x14ac:dyDescent="0.2">
      <c r="A21" s="1">
        <f>WorldCupMatches!O21</f>
        <v>1934</v>
      </c>
      <c r="B21" s="1" t="str">
        <f>WorldCupMatches!P21</f>
        <v>Hungary</v>
      </c>
      <c r="C21" s="1">
        <f>WorldCupMatches!Q21</f>
        <v>4</v>
      </c>
      <c r="D21" s="1">
        <f>WorldCupMatches!R21</f>
        <v>2</v>
      </c>
      <c r="E21" s="1" t="str">
        <f>WorldCupMatches!S21</f>
        <v>Egypt</v>
      </c>
      <c r="F21" s="1" t="str">
        <f>WorldCupMatches!T21</f>
        <v xml:space="preserve"> </v>
      </c>
      <c r="G21" s="1" t="str">
        <f>WorldCupMatches!U21</f>
        <v>Preliminary round</v>
      </c>
      <c r="J21" s="1">
        <f>COUNTIF($L$2:L21,L21)</f>
        <v>1</v>
      </c>
      <c r="K21" s="1">
        <f>Table3[[#This Row],[Year]]</f>
        <v>1934</v>
      </c>
      <c r="L21" s="1" t="str">
        <f>Table3[[#This Row],[Hometeam]]</f>
        <v>Hungary</v>
      </c>
      <c r="M21" s="1">
        <f>IF(J21=1,J21+ROWS($J$2:J21)/10000,"")</f>
        <v>1.002</v>
      </c>
      <c r="N21" s="1">
        <f>IFERROR(SMALL($M$2:$M$1705,ROWS($M$2:M21)),"")</f>
        <v>1.008</v>
      </c>
      <c r="O21" s="1" t="str">
        <f>IF(N21&lt;&gt;"",INDEX($L$2:$L$1705,MATCH(N21,$M$2:$M$1705,0)),"")</f>
        <v>Germany FR</v>
      </c>
      <c r="P21" s="1">
        <f>IF(O21&lt;&gt;"",ROWS($O$2:O21),"")</f>
        <v>20</v>
      </c>
    </row>
    <row r="22" spans="1:16" x14ac:dyDescent="0.2">
      <c r="A22" s="1">
        <f>WorldCupMatches!O22</f>
        <v>1934</v>
      </c>
      <c r="B22" s="1" t="str">
        <f>WorldCupMatches!P22</f>
        <v>Switzerland</v>
      </c>
      <c r="C22" s="1">
        <f>WorldCupMatches!Q22</f>
        <v>3</v>
      </c>
      <c r="D22" s="1">
        <f>WorldCupMatches!R22</f>
        <v>2</v>
      </c>
      <c r="E22" s="1" t="str">
        <f>WorldCupMatches!S22</f>
        <v>Netherlands</v>
      </c>
      <c r="F22" s="1" t="str">
        <f>WorldCupMatches!T22</f>
        <v xml:space="preserve"> </v>
      </c>
      <c r="G22" s="1" t="str">
        <f>WorldCupMatches!U22</f>
        <v>Preliminary round</v>
      </c>
      <c r="J22" s="1">
        <f>COUNTIF($L$2:L22,L22)</f>
        <v>1</v>
      </c>
      <c r="K22" s="1">
        <f>Table3[[#This Row],[Year]]</f>
        <v>1934</v>
      </c>
      <c r="L22" s="1" t="str">
        <f>Table3[[#This Row],[Hometeam]]</f>
        <v>Switzerland</v>
      </c>
      <c r="M22" s="1">
        <f>IF(J22=1,J22+ROWS($J$2:J22)/10000,"")</f>
        <v>1.0021</v>
      </c>
      <c r="N22" s="1">
        <f>IFERROR(SMALL($M$2:$M$1705,ROWS($M$2:M22)),"")</f>
        <v>1.0088999999999999</v>
      </c>
      <c r="O22" s="1" t="str">
        <f>IF(N22&lt;&gt;"",INDEX($L$2:$L$1705,MATCH(N22,$M$2:$M$1705,0)),"")</f>
        <v>Turkey</v>
      </c>
      <c r="P22" s="1">
        <f>IF(O22&lt;&gt;"",ROWS($O$2:O22),"")</f>
        <v>21</v>
      </c>
    </row>
    <row r="23" spans="1:16" x14ac:dyDescent="0.2">
      <c r="A23" s="1">
        <f>WorldCupMatches!O23</f>
        <v>1934</v>
      </c>
      <c r="B23" s="1" t="str">
        <f>WorldCupMatches!P23</f>
        <v>Sweden</v>
      </c>
      <c r="C23" s="1">
        <f>WorldCupMatches!Q23</f>
        <v>3</v>
      </c>
      <c r="D23" s="1">
        <f>WorldCupMatches!R23</f>
        <v>2</v>
      </c>
      <c r="E23" s="1" t="str">
        <f>WorldCupMatches!S23</f>
        <v>Argentina</v>
      </c>
      <c r="F23" s="1" t="str">
        <f>WorldCupMatches!T23</f>
        <v xml:space="preserve"> </v>
      </c>
      <c r="G23" s="1" t="str">
        <f>WorldCupMatches!U23</f>
        <v>Preliminary round</v>
      </c>
      <c r="J23" s="1">
        <f>COUNTIF($L$2:L23,L23)</f>
        <v>1</v>
      </c>
      <c r="K23" s="1">
        <f>Table3[[#This Row],[Year]]</f>
        <v>1934</v>
      </c>
      <c r="L23" s="1" t="str">
        <f>Table3[[#This Row],[Hometeam]]</f>
        <v>Sweden</v>
      </c>
      <c r="M23" s="1">
        <f>IF(J23=1,J23+ROWS($J$2:J23)/10000,"")</f>
        <v>1.0022</v>
      </c>
      <c r="N23" s="1">
        <f>IFERROR(SMALL($M$2:$M$1705,ROWS($M$2:M23)),"")</f>
        <v>1.0103</v>
      </c>
      <c r="O23" s="1" t="str">
        <f>IF(N23&lt;&gt;"",INDEX($L$2:$L$1705,MATCH(N23,$M$2:$M$1705,0)),"")</f>
        <v>Soviet Union</v>
      </c>
      <c r="P23" s="1">
        <f>IF(O23&lt;&gt;"",ROWS($O$2:O23),"")</f>
        <v>22</v>
      </c>
    </row>
    <row r="24" spans="1:16" x14ac:dyDescent="0.2">
      <c r="A24" s="1">
        <f>WorldCupMatches!O24</f>
        <v>1934</v>
      </c>
      <c r="B24" s="1" t="str">
        <f>WorldCupMatches!P24</f>
        <v>Germany</v>
      </c>
      <c r="C24" s="1">
        <f>WorldCupMatches!Q24</f>
        <v>5</v>
      </c>
      <c r="D24" s="1">
        <f>WorldCupMatches!R24</f>
        <v>2</v>
      </c>
      <c r="E24" s="1" t="str">
        <f>WorldCupMatches!S24</f>
        <v>Belgium</v>
      </c>
      <c r="F24" s="1" t="str">
        <f>WorldCupMatches!T24</f>
        <v xml:space="preserve"> </v>
      </c>
      <c r="G24" s="1" t="str">
        <f>WorldCupMatches!U24</f>
        <v>Preliminary round</v>
      </c>
      <c r="J24" s="1">
        <f>COUNTIF($L$2:L24,L24)</f>
        <v>1</v>
      </c>
      <c r="K24" s="1">
        <f>Table3[[#This Row],[Year]]</f>
        <v>1934</v>
      </c>
      <c r="L24" s="1" t="str">
        <f>Table3[[#This Row],[Hometeam]]</f>
        <v>Germany</v>
      </c>
      <c r="M24" s="1">
        <f>IF(J24=1,J24+ROWS($J$2:J24)/10000,"")</f>
        <v>1.0023</v>
      </c>
      <c r="N24" s="1">
        <f>IFERROR(SMALL($M$2:$M$1705,ROWS($M$2:M24)),"")</f>
        <v>1.0108999999999999</v>
      </c>
      <c r="O24" s="1" t="str">
        <f>IF(N24&lt;&gt;"",INDEX($L$2:$L$1705,MATCH(N24,$M$2:$M$1705,0)),"")</f>
        <v>Northern Ireland</v>
      </c>
      <c r="P24" s="1">
        <f>IF(O24&lt;&gt;"",ROWS($O$2:O24),"")</f>
        <v>23</v>
      </c>
    </row>
    <row r="25" spans="1:16" x14ac:dyDescent="0.2">
      <c r="A25" s="1">
        <f>WorldCupMatches!O25</f>
        <v>1934</v>
      </c>
      <c r="B25" s="1" t="str">
        <f>WorldCupMatches!P25</f>
        <v>Spain</v>
      </c>
      <c r="C25" s="1">
        <f>WorldCupMatches!Q25</f>
        <v>3</v>
      </c>
      <c r="D25" s="1">
        <f>WorldCupMatches!R25</f>
        <v>1</v>
      </c>
      <c r="E25" s="1" t="str">
        <f>WorldCupMatches!S25</f>
        <v>Brazil</v>
      </c>
      <c r="F25" s="1" t="str">
        <f>WorldCupMatches!T25</f>
        <v xml:space="preserve"> </v>
      </c>
      <c r="G25" s="1" t="str">
        <f>WorldCupMatches!U25</f>
        <v>Preliminary round</v>
      </c>
      <c r="J25" s="1">
        <f>COUNTIF($L$2:L25,L25)</f>
        <v>1</v>
      </c>
      <c r="K25" s="1">
        <f>Table3[[#This Row],[Year]]</f>
        <v>1934</v>
      </c>
      <c r="L25" s="1" t="str">
        <f>Table3[[#This Row],[Hometeam]]</f>
        <v>Spain</v>
      </c>
      <c r="M25" s="1">
        <f>IF(J25=1,J25+ROWS($J$2:J25)/10000,"")</f>
        <v>1.0024</v>
      </c>
      <c r="N25" s="1">
        <f>IFERROR(SMALL($M$2:$M$1705,ROWS($M$2:M25)),"")</f>
        <v>1.0111000000000001</v>
      </c>
      <c r="O25" s="1" t="str">
        <f>IF(N25&lt;&gt;"",INDEX($L$2:$L$1705,MATCH(N25,$M$2:$M$1705,0)),"")</f>
        <v>Mexico</v>
      </c>
      <c r="P25" s="1">
        <f>IF(O25&lt;&gt;"",ROWS($O$2:O25),"")</f>
        <v>24</v>
      </c>
    </row>
    <row r="26" spans="1:16" x14ac:dyDescent="0.2">
      <c r="A26" s="1">
        <f>WorldCupMatches!O26</f>
        <v>1934</v>
      </c>
      <c r="B26" s="1" t="str">
        <f>WorldCupMatches!P26</f>
        <v>Italy</v>
      </c>
      <c r="C26" s="1">
        <f>WorldCupMatches!Q26</f>
        <v>7</v>
      </c>
      <c r="D26" s="1">
        <f>WorldCupMatches!R26</f>
        <v>1</v>
      </c>
      <c r="E26" s="1" t="str">
        <f>WorldCupMatches!S26</f>
        <v>USA</v>
      </c>
      <c r="F26" s="1" t="str">
        <f>WorldCupMatches!T26</f>
        <v xml:space="preserve"> </v>
      </c>
      <c r="G26" s="1" t="str">
        <f>WorldCupMatches!U26</f>
        <v>Preliminary round</v>
      </c>
      <c r="J26" s="1">
        <f>COUNTIF($L$2:L26,L26)</f>
        <v>1</v>
      </c>
      <c r="K26" s="1">
        <f>Table3[[#This Row],[Year]]</f>
        <v>1934</v>
      </c>
      <c r="L26" s="1" t="str">
        <f>Table3[[#This Row],[Hometeam]]</f>
        <v>Italy</v>
      </c>
      <c r="M26" s="1">
        <f>IF(J26=1,J26+ROWS($J$2:J26)/10000,"")</f>
        <v>1.0024999999999999</v>
      </c>
      <c r="N26" s="1">
        <f>IFERROR(SMALL($M$2:$M$1705,ROWS($M$2:M26)),"")</f>
        <v>1.0127999999999999</v>
      </c>
      <c r="O26" s="1" t="str">
        <f>IF(N26&lt;&gt;"",INDEX($L$2:$L$1705,MATCH(N26,$M$2:$M$1705,0)),"")</f>
        <v>Wales</v>
      </c>
      <c r="P26" s="1">
        <f>IF(O26&lt;&gt;"",ROWS($O$2:O26),"")</f>
        <v>25</v>
      </c>
    </row>
    <row r="27" spans="1:16" x14ac:dyDescent="0.2">
      <c r="A27" s="1">
        <f>WorldCupMatches!O27</f>
        <v>1934</v>
      </c>
      <c r="B27" s="1" t="str">
        <f>WorldCupMatches!P27</f>
        <v>Czechoslovakia</v>
      </c>
      <c r="C27" s="1">
        <f>WorldCupMatches!Q27</f>
        <v>2</v>
      </c>
      <c r="D27" s="1">
        <f>WorldCupMatches!R27</f>
        <v>1</v>
      </c>
      <c r="E27" s="1" t="str">
        <f>WorldCupMatches!S27</f>
        <v>Romania</v>
      </c>
      <c r="F27" s="1" t="str">
        <f>WorldCupMatches!T27</f>
        <v xml:space="preserve"> </v>
      </c>
      <c r="G27" s="1" t="str">
        <f>WorldCupMatches!U27</f>
        <v>Preliminary round</v>
      </c>
      <c r="J27" s="1">
        <f>COUNTIF($L$2:L27,L27)</f>
        <v>1</v>
      </c>
      <c r="K27" s="1">
        <f>Table3[[#This Row],[Year]]</f>
        <v>1934</v>
      </c>
      <c r="L27" s="1" t="str">
        <f>Table3[[#This Row],[Hometeam]]</f>
        <v>Czechoslovakia</v>
      </c>
      <c r="M27" s="1">
        <f>IF(J27=1,J27+ROWS($J$2:J27)/10000,"")</f>
        <v>1.0025999999999999</v>
      </c>
      <c r="N27" s="1">
        <f>IFERROR(SMALL($M$2:$M$1705,ROWS($M$2:M27)),"")</f>
        <v>1.0174000000000001</v>
      </c>
      <c r="O27" s="1" t="str">
        <f>IF(N27&lt;&gt;"",INDEX($L$2:$L$1705,MATCH(N27,$M$2:$M$1705,0)),"")</f>
        <v>Portugal</v>
      </c>
      <c r="P27" s="1">
        <f>IF(O27&lt;&gt;"",ROWS($O$2:O27),"")</f>
        <v>26</v>
      </c>
    </row>
    <row r="28" spans="1:16" x14ac:dyDescent="0.2">
      <c r="A28" s="1">
        <f>WorldCupMatches!O28</f>
        <v>1934</v>
      </c>
      <c r="B28" s="1" t="str">
        <f>WorldCupMatches!P28</f>
        <v>Czechoslovakia</v>
      </c>
      <c r="C28" s="1">
        <f>WorldCupMatches!Q28</f>
        <v>3</v>
      </c>
      <c r="D28" s="1">
        <f>WorldCupMatches!R28</f>
        <v>2</v>
      </c>
      <c r="E28" s="1" t="str">
        <f>WorldCupMatches!S28</f>
        <v>Switzerland</v>
      </c>
      <c r="F28" s="1" t="str">
        <f>WorldCupMatches!T28</f>
        <v xml:space="preserve"> </v>
      </c>
      <c r="G28" s="1" t="str">
        <f>WorldCupMatches!U28</f>
        <v>Quarter-finals</v>
      </c>
      <c r="J28" s="1">
        <f>COUNTIF($L$2:L28,L28)</f>
        <v>2</v>
      </c>
      <c r="K28" s="1">
        <f>Table3[[#This Row],[Year]]</f>
        <v>1934</v>
      </c>
      <c r="L28" s="1" t="str">
        <f>Table3[[#This Row],[Hometeam]]</f>
        <v>Czechoslovakia</v>
      </c>
      <c r="M28" s="1" t="str">
        <f>IF(J28=1,J28+ROWS($J$2:J28)/10000,"")</f>
        <v/>
      </c>
      <c r="N28" s="1">
        <f>IFERROR(SMALL($M$2:$M$1705,ROWS($M$2:M28)),"")</f>
        <v>1.018</v>
      </c>
      <c r="O28" s="1" t="str">
        <f>IF(N28&lt;&gt;"",INDEX($L$2:$L$1705,MATCH(N28,$M$2:$M$1705,0)),"")</f>
        <v>Korea DPR</v>
      </c>
      <c r="P28" s="1">
        <f>IF(O28&lt;&gt;"",ROWS($O$2:O28),"")</f>
        <v>27</v>
      </c>
    </row>
    <row r="29" spans="1:16" x14ac:dyDescent="0.2">
      <c r="A29" s="1">
        <f>WorldCupMatches!O29</f>
        <v>1934</v>
      </c>
      <c r="B29" s="1" t="str">
        <f>WorldCupMatches!P29</f>
        <v>Germany</v>
      </c>
      <c r="C29" s="1">
        <f>WorldCupMatches!Q29</f>
        <v>2</v>
      </c>
      <c r="D29" s="1">
        <f>WorldCupMatches!R29</f>
        <v>1</v>
      </c>
      <c r="E29" s="1" t="str">
        <f>WorldCupMatches!S29</f>
        <v>Sweden</v>
      </c>
      <c r="F29" s="1" t="str">
        <f>WorldCupMatches!T29</f>
        <v xml:space="preserve"> </v>
      </c>
      <c r="G29" s="1" t="str">
        <f>WorldCupMatches!U29</f>
        <v>Quarter-finals</v>
      </c>
      <c r="J29" s="1">
        <f>COUNTIF($L$2:L29,L29)</f>
        <v>2</v>
      </c>
      <c r="K29" s="1">
        <f>Table3[[#This Row],[Year]]</f>
        <v>1934</v>
      </c>
      <c r="L29" s="1" t="str">
        <f>Table3[[#This Row],[Hometeam]]</f>
        <v>Germany</v>
      </c>
      <c r="M29" s="1" t="str">
        <f>IF(J29=1,J29+ROWS($J$2:J29)/10000,"")</f>
        <v/>
      </c>
      <c r="N29" s="1">
        <f>IFERROR(SMALL($M$2:$M$1705,ROWS($M$2:M29)),"")</f>
        <v>1.0203</v>
      </c>
      <c r="O29" s="1" t="str">
        <f>IF(N29&lt;&gt;"",INDEX($L$2:$L$1705,MATCH(N29,$M$2:$M$1705,0)),"")</f>
        <v>Peru</v>
      </c>
      <c r="P29" s="1">
        <f>IF(O29&lt;&gt;"",ROWS($O$2:O29),"")</f>
        <v>28</v>
      </c>
    </row>
    <row r="30" spans="1:16" x14ac:dyDescent="0.2">
      <c r="A30" s="1">
        <f>WorldCupMatches!O30</f>
        <v>1934</v>
      </c>
      <c r="B30" s="1" t="str">
        <f>WorldCupMatches!P30</f>
        <v>Italy</v>
      </c>
      <c r="C30" s="1">
        <f>WorldCupMatches!Q30</f>
        <v>1</v>
      </c>
      <c r="D30" s="1">
        <f>WorldCupMatches!R30</f>
        <v>1</v>
      </c>
      <c r="E30" s="1" t="str">
        <f>WorldCupMatches!S30</f>
        <v>Spain</v>
      </c>
      <c r="F30" s="1" t="str">
        <f>WorldCupMatches!T30</f>
        <v xml:space="preserve"> </v>
      </c>
      <c r="G30" s="1" t="str">
        <f>WorldCupMatches!U30</f>
        <v>Quarter-finals</v>
      </c>
      <c r="J30" s="1">
        <f>COUNTIF($L$2:L30,L30)</f>
        <v>2</v>
      </c>
      <c r="K30" s="1">
        <f>Table3[[#This Row],[Year]]</f>
        <v>1934</v>
      </c>
      <c r="L30" s="1" t="str">
        <f>Table3[[#This Row],[Hometeam]]</f>
        <v>Italy</v>
      </c>
      <c r="M30" s="1" t="str">
        <f>IF(J30=1,J30+ROWS($J$2:J30)/10000,"")</f>
        <v/>
      </c>
      <c r="N30" s="1">
        <f>IFERROR(SMALL($M$2:$M$1705,ROWS($M$2:M30)),"")</f>
        <v>1.0207999999999999</v>
      </c>
      <c r="O30" s="1" t="str">
        <f>IF(N30&lt;&gt;"",INDEX($L$2:$L$1705,MATCH(N30,$M$2:$M$1705,0)),"")</f>
        <v>Belgium</v>
      </c>
      <c r="P30" s="1">
        <f>IF(O30&lt;&gt;"",ROWS($O$2:O30),"")</f>
        <v>29</v>
      </c>
    </row>
    <row r="31" spans="1:16" x14ac:dyDescent="0.2">
      <c r="A31" s="1">
        <f>WorldCupMatches!O31</f>
        <v>1934</v>
      </c>
      <c r="B31" s="1" t="str">
        <f>WorldCupMatches!P31</f>
        <v>Austria</v>
      </c>
      <c r="C31" s="1">
        <f>WorldCupMatches!Q31</f>
        <v>2</v>
      </c>
      <c r="D31" s="1">
        <f>WorldCupMatches!R31</f>
        <v>1</v>
      </c>
      <c r="E31" s="1" t="str">
        <f>WorldCupMatches!S31</f>
        <v>Hungary</v>
      </c>
      <c r="F31" s="1" t="str">
        <f>WorldCupMatches!T31</f>
        <v xml:space="preserve"> </v>
      </c>
      <c r="G31" s="1" t="str">
        <f>WorldCupMatches!U31</f>
        <v>Quarter-finals</v>
      </c>
      <c r="J31" s="1">
        <f>COUNTIF($L$2:L31,L31)</f>
        <v>2</v>
      </c>
      <c r="K31" s="1">
        <f>Table3[[#This Row],[Year]]</f>
        <v>1934</v>
      </c>
      <c r="L31" s="1" t="str">
        <f>Table3[[#This Row],[Hometeam]]</f>
        <v>Austria</v>
      </c>
      <c r="M31" s="1" t="str">
        <f>IF(J31=1,J31+ROWS($J$2:J31)/10000,"")</f>
        <v/>
      </c>
      <c r="N31" s="1">
        <f>IFERROR(SMALL($M$2:$M$1705,ROWS($M$2:M31)),"")</f>
        <v>1.0222</v>
      </c>
      <c r="O31" s="1" t="str">
        <f>IF(N31&lt;&gt;"",INDEX($L$2:$L$1705,MATCH(N31,$M$2:$M$1705,0)),"")</f>
        <v>Bulgaria</v>
      </c>
      <c r="P31" s="1">
        <f>IF(O31&lt;&gt;"",ROWS($O$2:O31),"")</f>
        <v>30</v>
      </c>
    </row>
    <row r="32" spans="1:16" x14ac:dyDescent="0.2">
      <c r="A32" s="1">
        <f>WorldCupMatches!O32</f>
        <v>1934</v>
      </c>
      <c r="B32" s="1" t="str">
        <f>WorldCupMatches!P32</f>
        <v>Italy</v>
      </c>
      <c r="C32" s="1">
        <f>WorldCupMatches!Q32</f>
        <v>1</v>
      </c>
      <c r="D32" s="1">
        <f>WorldCupMatches!R32</f>
        <v>0</v>
      </c>
      <c r="E32" s="1" t="str">
        <f>WorldCupMatches!S32</f>
        <v>Spain</v>
      </c>
      <c r="F32" s="1" t="str">
        <f>WorldCupMatches!T32</f>
        <v xml:space="preserve"> </v>
      </c>
      <c r="G32" s="1" t="str">
        <f>WorldCupMatches!U32</f>
        <v>Quarter-finals</v>
      </c>
      <c r="J32" s="1">
        <f>COUNTIF($L$2:L32,L32)</f>
        <v>3</v>
      </c>
      <c r="K32" s="1">
        <f>Table3[[#This Row],[Year]]</f>
        <v>1934</v>
      </c>
      <c r="L32" s="1" t="str">
        <f>Table3[[#This Row],[Hometeam]]</f>
        <v>Italy</v>
      </c>
      <c r="M32" s="1" t="str">
        <f>IF(J32=1,J32+ROWS($J$2:J32)/10000,"")</f>
        <v/>
      </c>
      <c r="N32" s="1">
        <f>IFERROR(SMALL($M$2:$M$1705,ROWS($M$2:M32)),"")</f>
        <v>1.0235000000000001</v>
      </c>
      <c r="O32" s="1" t="str">
        <f>IF(N32&lt;&gt;"",INDEX($L$2:$L$1705,MATCH(N32,$M$2:$M$1705,0)),"")</f>
        <v>German DR</v>
      </c>
      <c r="P32" s="1">
        <f>IF(O32&lt;&gt;"",ROWS($O$2:O32),"")</f>
        <v>31</v>
      </c>
    </row>
    <row r="33" spans="1:16" x14ac:dyDescent="0.2">
      <c r="A33" s="1">
        <f>WorldCupMatches!O33</f>
        <v>1934</v>
      </c>
      <c r="B33" s="1" t="str">
        <f>WorldCupMatches!P33</f>
        <v>Italy</v>
      </c>
      <c r="C33" s="1">
        <f>WorldCupMatches!Q33</f>
        <v>1</v>
      </c>
      <c r="D33" s="1">
        <f>WorldCupMatches!R33</f>
        <v>0</v>
      </c>
      <c r="E33" s="1" t="str">
        <f>WorldCupMatches!S33</f>
        <v>Austria</v>
      </c>
      <c r="F33" s="1" t="str">
        <f>WorldCupMatches!T33</f>
        <v xml:space="preserve"> </v>
      </c>
      <c r="G33" s="1" t="str">
        <f>WorldCupMatches!U33</f>
        <v>Semi-finals</v>
      </c>
      <c r="J33" s="1">
        <f>COUNTIF($L$2:L33,L33)</f>
        <v>4</v>
      </c>
      <c r="K33" s="1">
        <f>Table3[[#This Row],[Year]]</f>
        <v>1934</v>
      </c>
      <c r="L33" s="1" t="str">
        <f>Table3[[#This Row],[Hometeam]]</f>
        <v>Italy</v>
      </c>
      <c r="M33" s="1" t="str">
        <f>IF(J33=1,J33+ROWS($J$2:J33)/10000,"")</f>
        <v/>
      </c>
      <c r="N33" s="1">
        <f>IFERROR(SMALL($M$2:$M$1705,ROWS($M$2:M33)),"")</f>
        <v>1.0236000000000001</v>
      </c>
      <c r="O33" s="1" t="str">
        <f>IF(N33&lt;&gt;"",INDEX($L$2:$L$1705,MATCH(N33,$M$2:$M$1705,0)),"")</f>
        <v>Zaire</v>
      </c>
      <c r="P33" s="1">
        <f>IF(O33&lt;&gt;"",ROWS($O$2:O33),"")</f>
        <v>32</v>
      </c>
    </row>
    <row r="34" spans="1:16" x14ac:dyDescent="0.2">
      <c r="A34" s="1">
        <f>WorldCupMatches!O34</f>
        <v>1934</v>
      </c>
      <c r="B34" s="1" t="str">
        <f>WorldCupMatches!P34</f>
        <v>Czechoslovakia</v>
      </c>
      <c r="C34" s="1">
        <f>WorldCupMatches!Q34</f>
        <v>3</v>
      </c>
      <c r="D34" s="1">
        <f>WorldCupMatches!R34</f>
        <v>1</v>
      </c>
      <c r="E34" s="1" t="str">
        <f>WorldCupMatches!S34</f>
        <v>Germany</v>
      </c>
      <c r="F34" s="1" t="str">
        <f>WorldCupMatches!T34</f>
        <v xml:space="preserve"> </v>
      </c>
      <c r="G34" s="1" t="str">
        <f>WorldCupMatches!U34</f>
        <v>Semi-finals</v>
      </c>
      <c r="J34" s="1">
        <f>COUNTIF($L$2:L34,L34)</f>
        <v>3</v>
      </c>
      <c r="K34" s="1">
        <f>Table3[[#This Row],[Year]]</f>
        <v>1934</v>
      </c>
      <c r="L34" s="1" t="str">
        <f>Table3[[#This Row],[Hometeam]]</f>
        <v>Czechoslovakia</v>
      </c>
      <c r="M34" s="1" t="str">
        <f>IF(J34=1,J34+ROWS($J$2:J34)/10000,"")</f>
        <v/>
      </c>
      <c r="N34" s="1">
        <f>IFERROR(SMALL($M$2:$M$1705,ROWS($M$2:M34)),"")</f>
        <v>1.024</v>
      </c>
      <c r="O34" s="1" t="str">
        <f>IF(N34&lt;&gt;"",INDEX($L$2:$L$1705,MATCH(N34,$M$2:$M$1705,0)),"")</f>
        <v>Poland</v>
      </c>
      <c r="P34" s="1">
        <f>IF(O34&lt;&gt;"",ROWS($O$2:O34),"")</f>
        <v>33</v>
      </c>
    </row>
    <row r="35" spans="1:16" x14ac:dyDescent="0.2">
      <c r="A35" s="1">
        <f>WorldCupMatches!O35</f>
        <v>1934</v>
      </c>
      <c r="B35" s="1" t="str">
        <f>WorldCupMatches!P35</f>
        <v>Germany</v>
      </c>
      <c r="C35" s="1">
        <f>WorldCupMatches!Q35</f>
        <v>3</v>
      </c>
      <c r="D35" s="1">
        <f>WorldCupMatches!R35</f>
        <v>2</v>
      </c>
      <c r="E35" s="1" t="str">
        <f>WorldCupMatches!S35</f>
        <v>Austria</v>
      </c>
      <c r="F35" s="1" t="str">
        <f>WorldCupMatches!T35</f>
        <v xml:space="preserve"> </v>
      </c>
      <c r="G35" s="1" t="str">
        <f>WorldCupMatches!U35</f>
        <v>Match for third place</v>
      </c>
      <c r="J35" s="1">
        <f>COUNTIF($L$2:L35,L35)</f>
        <v>3</v>
      </c>
      <c r="K35" s="1">
        <f>Table3[[#This Row],[Year]]</f>
        <v>1934</v>
      </c>
      <c r="L35" s="1" t="str">
        <f>Table3[[#This Row],[Hometeam]]</f>
        <v>Germany</v>
      </c>
      <c r="M35" s="1" t="str">
        <f>IF(J35=1,J35+ROWS($J$2:J35)/10000,"")</f>
        <v/>
      </c>
      <c r="N35" s="1">
        <f>IFERROR(SMALL($M$2:$M$1705,ROWS($M$2:M35)),"")</f>
        <v>1.0241</v>
      </c>
      <c r="O35" s="1" t="str">
        <f>IF(N35&lt;&gt;"",INDEX($L$2:$L$1705,MATCH(N35,$M$2:$M$1705,0)),"")</f>
        <v>Australia</v>
      </c>
      <c r="P35" s="1">
        <f>IF(O35&lt;&gt;"",ROWS($O$2:O35),"")</f>
        <v>34</v>
      </c>
    </row>
    <row r="36" spans="1:16" x14ac:dyDescent="0.2">
      <c r="A36" s="1">
        <f>WorldCupMatches!O36</f>
        <v>1934</v>
      </c>
      <c r="B36" s="1" t="str">
        <f>WorldCupMatches!P36</f>
        <v>Italy</v>
      </c>
      <c r="C36" s="1">
        <f>WorldCupMatches!Q36</f>
        <v>2</v>
      </c>
      <c r="D36" s="1">
        <f>WorldCupMatches!R36</f>
        <v>1</v>
      </c>
      <c r="E36" s="1" t="str">
        <f>WorldCupMatches!S36</f>
        <v>Czechoslovakia</v>
      </c>
      <c r="F36" s="1" t="str">
        <f>WorldCupMatches!T36</f>
        <v xml:space="preserve">Italy win after extra time </v>
      </c>
      <c r="G36" s="1" t="str">
        <f>WorldCupMatches!U36</f>
        <v>Final</v>
      </c>
      <c r="J36" s="1">
        <f>COUNTIF($L$2:L36,L36)</f>
        <v>5</v>
      </c>
      <c r="K36" s="1">
        <f>Table3[[#This Row],[Year]]</f>
        <v>1934</v>
      </c>
      <c r="L36" s="1" t="str">
        <f>Table3[[#This Row],[Hometeam]]</f>
        <v>Italy</v>
      </c>
      <c r="M36" s="1" t="str">
        <f>IF(J36=1,J36+ROWS($J$2:J36)/10000,"")</f>
        <v/>
      </c>
      <c r="N36" s="1">
        <f>IFERROR(SMALL($M$2:$M$1705,ROWS($M$2:M36)),"")</f>
        <v>1.0242</v>
      </c>
      <c r="O36" s="1" t="str">
        <f>IF(N36&lt;&gt;"",INDEX($L$2:$L$1705,MATCH(N36,$M$2:$M$1705,0)),"")</f>
        <v>Scotland</v>
      </c>
      <c r="P36" s="1">
        <f>IF(O36&lt;&gt;"",ROWS($O$2:O36),"")</f>
        <v>35</v>
      </c>
    </row>
    <row r="37" spans="1:16" x14ac:dyDescent="0.2">
      <c r="A37" s="1">
        <f>WorldCupMatches!O37</f>
        <v>1938</v>
      </c>
      <c r="B37" s="1" t="str">
        <f>WorldCupMatches!P37</f>
        <v>Switzerland</v>
      </c>
      <c r="C37" s="1">
        <f>WorldCupMatches!Q37</f>
        <v>1</v>
      </c>
      <c r="D37" s="1">
        <f>WorldCupMatches!R37</f>
        <v>1</v>
      </c>
      <c r="E37" s="1" t="str">
        <f>WorldCupMatches!S37</f>
        <v>Germany</v>
      </c>
      <c r="F37" s="1" t="str">
        <f>WorldCupMatches!T37</f>
        <v xml:space="preserve"> </v>
      </c>
      <c r="G37" s="1" t="str">
        <f>WorldCupMatches!U37</f>
        <v>First round</v>
      </c>
      <c r="J37" s="1">
        <f>COUNTIF($L$2:L37,L37)</f>
        <v>2</v>
      </c>
      <c r="K37" s="1">
        <f>Table3[[#This Row],[Year]]</f>
        <v>1938</v>
      </c>
      <c r="L37" s="1" t="str">
        <f>Table3[[#This Row],[Hometeam]]</f>
        <v>Switzerland</v>
      </c>
      <c r="M37" s="1" t="str">
        <f>IF(J37=1,J37+ROWS($J$2:J37)/10000,"")</f>
        <v/>
      </c>
      <c r="N37" s="1">
        <f>IFERROR(SMALL($M$2:$M$1705,ROWS($M$2:M37)),"")</f>
        <v>1.0245</v>
      </c>
      <c r="O37" s="1" t="str">
        <f>IF(N37&lt;&gt;"",INDEX($L$2:$L$1705,MATCH(N37,$M$2:$M$1705,0)),"")</f>
        <v>Netherlands</v>
      </c>
      <c r="P37" s="1">
        <f>IF(O37&lt;&gt;"",ROWS($O$2:O37),"")</f>
        <v>36</v>
      </c>
    </row>
    <row r="38" spans="1:16" x14ac:dyDescent="0.2">
      <c r="A38" s="1">
        <f>WorldCupMatches!O38</f>
        <v>1938</v>
      </c>
      <c r="B38" s="1" t="str">
        <f>WorldCupMatches!P38</f>
        <v>Hungary</v>
      </c>
      <c r="C38" s="1">
        <f>WorldCupMatches!Q38</f>
        <v>6</v>
      </c>
      <c r="D38" s="1">
        <f>WorldCupMatches!R38</f>
        <v>0</v>
      </c>
      <c r="E38" s="1" t="str">
        <f>WorldCupMatches!S38</f>
        <v>Dutch East Indies</v>
      </c>
      <c r="F38" s="1" t="str">
        <f>WorldCupMatches!T38</f>
        <v xml:space="preserve"> </v>
      </c>
      <c r="G38" s="1" t="str">
        <f>WorldCupMatches!U38</f>
        <v>First round</v>
      </c>
      <c r="J38" s="1">
        <f>COUNTIF($L$2:L38,L38)</f>
        <v>2</v>
      </c>
      <c r="K38" s="1">
        <f>Table3[[#This Row],[Year]]</f>
        <v>1938</v>
      </c>
      <c r="L38" s="1" t="str">
        <f>Table3[[#This Row],[Hometeam]]</f>
        <v>Hungary</v>
      </c>
      <c r="M38" s="1" t="str">
        <f>IF(J38=1,J38+ROWS($J$2:J38)/10000,"")</f>
        <v/>
      </c>
      <c r="N38" s="1">
        <f>IFERROR(SMALL($M$2:$M$1705,ROWS($M$2:M38)),"")</f>
        <v>1.0246999999999999</v>
      </c>
      <c r="O38" s="1" t="str">
        <f>IF(N38&lt;&gt;"",INDEX($L$2:$L$1705,MATCH(N38,$M$2:$M$1705,0)),"")</f>
        <v>Haiti</v>
      </c>
      <c r="P38" s="1">
        <f>IF(O38&lt;&gt;"",ROWS($O$2:O38),"")</f>
        <v>37</v>
      </c>
    </row>
    <row r="39" spans="1:16" x14ac:dyDescent="0.2">
      <c r="A39" s="1">
        <f>WorldCupMatches!O39</f>
        <v>1938</v>
      </c>
      <c r="B39" s="1" t="str">
        <f>WorldCupMatches!P39</f>
        <v>France</v>
      </c>
      <c r="C39" s="1">
        <f>WorldCupMatches!Q39</f>
        <v>3</v>
      </c>
      <c r="D39" s="1">
        <f>WorldCupMatches!R39</f>
        <v>1</v>
      </c>
      <c r="E39" s="1" t="str">
        <f>WorldCupMatches!S39</f>
        <v>Belgium</v>
      </c>
      <c r="F39" s="1" t="str">
        <f>WorldCupMatches!T39</f>
        <v xml:space="preserve"> </v>
      </c>
      <c r="G39" s="1" t="str">
        <f>WorldCupMatches!U39</f>
        <v>First round</v>
      </c>
      <c r="J39" s="1">
        <f>COUNTIF($L$2:L39,L39)</f>
        <v>2</v>
      </c>
      <c r="K39" s="1">
        <f>Table3[[#This Row],[Year]]</f>
        <v>1938</v>
      </c>
      <c r="L39" s="1" t="str">
        <f>Table3[[#This Row],[Hometeam]]</f>
        <v>France</v>
      </c>
      <c r="M39" s="1" t="str">
        <f>IF(J39=1,J39+ROWS($J$2:J39)/10000,"")</f>
        <v/>
      </c>
      <c r="N39" s="1">
        <f>IFERROR(SMALL($M$2:$M$1705,ROWS($M$2:M39)),"")</f>
        <v>1.0273000000000001</v>
      </c>
      <c r="O39" s="1" t="str">
        <f>IF(N39&lt;&gt;"",INDEX($L$2:$L$1705,MATCH(N39,$M$2:$M$1705,0)),"")</f>
        <v>Tunisia</v>
      </c>
      <c r="P39" s="1">
        <f>IF(O39&lt;&gt;"",ROWS($O$2:O39),"")</f>
        <v>38</v>
      </c>
    </row>
    <row r="40" spans="1:16" x14ac:dyDescent="0.2">
      <c r="A40" s="1">
        <f>WorldCupMatches!O40</f>
        <v>1938</v>
      </c>
      <c r="B40" s="1" t="str">
        <f>WorldCupMatches!P40</f>
        <v>Cuba</v>
      </c>
      <c r="C40" s="1">
        <f>WorldCupMatches!Q40</f>
        <v>3</v>
      </c>
      <c r="D40" s="1">
        <f>WorldCupMatches!R40</f>
        <v>3</v>
      </c>
      <c r="E40" s="1" t="str">
        <f>WorldCupMatches!S40</f>
        <v>Romania</v>
      </c>
      <c r="F40" s="1" t="str">
        <f>WorldCupMatches!T40</f>
        <v xml:space="preserve"> </v>
      </c>
      <c r="G40" s="1" t="str">
        <f>WorldCupMatches!U40</f>
        <v>First round</v>
      </c>
      <c r="J40" s="1">
        <f>COUNTIF($L$2:L40,L40)</f>
        <v>1</v>
      </c>
      <c r="K40" s="1">
        <f>Table3[[#This Row],[Year]]</f>
        <v>1938</v>
      </c>
      <c r="L40" s="1" t="str">
        <f>Table3[[#This Row],[Hometeam]]</f>
        <v>Cuba</v>
      </c>
      <c r="M40" s="1">
        <f>IF(J40=1,J40+ROWS($J$2:J40)/10000,"")</f>
        <v>1.0039</v>
      </c>
      <c r="N40" s="1">
        <f>IFERROR(SMALL($M$2:$M$1705,ROWS($M$2:M40)),"")</f>
        <v>1.0329999999999999</v>
      </c>
      <c r="O40" s="1" t="str">
        <f>IF(N40&lt;&gt;"",INDEX($L$2:$L$1705,MATCH(N40,$M$2:$M$1705,0)),"")</f>
        <v>Algeria</v>
      </c>
      <c r="P40" s="1">
        <f>IF(O40&lt;&gt;"",ROWS($O$2:O40),"")</f>
        <v>39</v>
      </c>
    </row>
    <row r="41" spans="1:16" x14ac:dyDescent="0.2">
      <c r="A41" s="1">
        <f>WorldCupMatches!O41</f>
        <v>1938</v>
      </c>
      <c r="B41" s="1" t="str">
        <f>WorldCupMatches!P41</f>
        <v>Italy</v>
      </c>
      <c r="C41" s="1">
        <f>WorldCupMatches!Q41</f>
        <v>2</v>
      </c>
      <c r="D41" s="1">
        <f>WorldCupMatches!R41</f>
        <v>1</v>
      </c>
      <c r="E41" s="1" t="str">
        <f>WorldCupMatches!S41</f>
        <v>Norway</v>
      </c>
      <c r="F41" s="1" t="str">
        <f>WorldCupMatches!T41</f>
        <v xml:space="preserve">Italy win after extra time </v>
      </c>
      <c r="G41" s="1" t="str">
        <f>WorldCupMatches!U41</f>
        <v>First round</v>
      </c>
      <c r="J41" s="1">
        <f>COUNTIF($L$2:L41,L41)</f>
        <v>6</v>
      </c>
      <c r="K41" s="1">
        <f>Table3[[#This Row],[Year]]</f>
        <v>1938</v>
      </c>
      <c r="L41" s="1" t="str">
        <f>Table3[[#This Row],[Hometeam]]</f>
        <v>Italy</v>
      </c>
      <c r="M41" s="1" t="str">
        <f>IF(J41=1,J41+ROWS($J$2:J41)/10000,"")</f>
        <v/>
      </c>
      <c r="N41" s="1">
        <f>IFERROR(SMALL($M$2:$M$1705,ROWS($M$2:M41)),"")</f>
        <v>1.0331999999999999</v>
      </c>
      <c r="O41" s="1" t="str">
        <f>IF(N41&lt;&gt;"",INDEX($L$2:$L$1705,MATCH(N41,$M$2:$M$1705,0)),"")</f>
        <v>Honduras</v>
      </c>
      <c r="P41" s="1">
        <f>IF(O41&lt;&gt;"",ROWS($O$2:O41),"")</f>
        <v>40</v>
      </c>
    </row>
    <row r="42" spans="1:16" x14ac:dyDescent="0.2">
      <c r="A42" s="1">
        <f>WorldCupMatches!O42</f>
        <v>1938</v>
      </c>
      <c r="B42" s="1" t="str">
        <f>WorldCupMatches!P42</f>
        <v>Brazil</v>
      </c>
      <c r="C42" s="1">
        <f>WorldCupMatches!Q42</f>
        <v>6</v>
      </c>
      <c r="D42" s="1">
        <f>WorldCupMatches!R42</f>
        <v>5</v>
      </c>
      <c r="E42" s="1" t="str">
        <f>WorldCupMatches!S42</f>
        <v>Poland</v>
      </c>
      <c r="F42" s="1" t="str">
        <f>WorldCupMatches!T42</f>
        <v xml:space="preserve">Brazil win after extra time </v>
      </c>
      <c r="G42" s="1" t="str">
        <f>WorldCupMatches!U42</f>
        <v>First round</v>
      </c>
      <c r="J42" s="1">
        <f>COUNTIF($L$2:L42,L42)</f>
        <v>2</v>
      </c>
      <c r="K42" s="1">
        <f>Table3[[#This Row],[Year]]</f>
        <v>1938</v>
      </c>
      <c r="L42" s="1" t="str">
        <f>Table3[[#This Row],[Hometeam]]</f>
        <v>Brazil</v>
      </c>
      <c r="M42" s="1" t="str">
        <f>IF(J42=1,J42+ROWS($J$2:J42)/10000,"")</f>
        <v/>
      </c>
      <c r="N42" s="1">
        <f>IFERROR(SMALL($M$2:$M$1705,ROWS($M$2:M42)),"")</f>
        <v>1.0362</v>
      </c>
      <c r="O42" s="1" t="str">
        <f>IF(N42&lt;&gt;"",INDEX($L$2:$L$1705,MATCH(N42,$M$2:$M$1705,0)),"")</f>
        <v>Canada</v>
      </c>
      <c r="P42" s="1">
        <f>IF(O42&lt;&gt;"",ROWS($O$2:O42),"")</f>
        <v>41</v>
      </c>
    </row>
    <row r="43" spans="1:16" x14ac:dyDescent="0.2">
      <c r="A43" s="1">
        <f>WorldCupMatches!O43</f>
        <v>1938</v>
      </c>
      <c r="B43" s="1" t="str">
        <f>WorldCupMatches!P43</f>
        <v>Czechoslovakia</v>
      </c>
      <c r="C43" s="1">
        <f>WorldCupMatches!Q43</f>
        <v>3</v>
      </c>
      <c r="D43" s="1">
        <f>WorldCupMatches!R43</f>
        <v>0</v>
      </c>
      <c r="E43" s="1" t="str">
        <f>WorldCupMatches!S43</f>
        <v>Netherlands</v>
      </c>
      <c r="F43" s="1" t="str">
        <f>WorldCupMatches!T43</f>
        <v xml:space="preserve">Czechoslovakia win after extra time </v>
      </c>
      <c r="G43" s="1" t="str">
        <f>WorldCupMatches!U43</f>
        <v>First round</v>
      </c>
      <c r="J43" s="1">
        <f>COUNTIF($L$2:L43,L43)</f>
        <v>4</v>
      </c>
      <c r="K43" s="1">
        <f>Table3[[#This Row],[Year]]</f>
        <v>1938</v>
      </c>
      <c r="L43" s="1" t="str">
        <f>Table3[[#This Row],[Hometeam]]</f>
        <v>Czechoslovakia</v>
      </c>
      <c r="M43" s="1" t="str">
        <f>IF(J43=1,J43+ROWS($J$2:J43)/10000,"")</f>
        <v/>
      </c>
      <c r="N43" s="1">
        <f>IFERROR(SMALL($M$2:$M$1705,ROWS($M$2:M43)),"")</f>
        <v>1.0366</v>
      </c>
      <c r="O43" s="1" t="str">
        <f>IF(N43&lt;&gt;"",INDEX($L$2:$L$1705,MATCH(N43,$M$2:$M$1705,0)),"")</f>
        <v>Morocco</v>
      </c>
      <c r="P43" s="1">
        <f>IF(O43&lt;&gt;"",ROWS($O$2:O43),"")</f>
        <v>42</v>
      </c>
    </row>
    <row r="44" spans="1:16" x14ac:dyDescent="0.2">
      <c r="A44" s="1">
        <f>WorldCupMatches!O44</f>
        <v>1938</v>
      </c>
      <c r="B44" s="1" t="str">
        <f>WorldCupMatches!P44</f>
        <v>Cuba</v>
      </c>
      <c r="C44" s="1">
        <f>WorldCupMatches!Q44</f>
        <v>2</v>
      </c>
      <c r="D44" s="1">
        <f>WorldCupMatches!R44</f>
        <v>1</v>
      </c>
      <c r="E44" s="1" t="str">
        <f>WorldCupMatches!S44</f>
        <v>Romania</v>
      </c>
      <c r="F44" s="1" t="str">
        <f>WorldCupMatches!T44</f>
        <v xml:space="preserve"> </v>
      </c>
      <c r="G44" s="1" t="str">
        <f>WorldCupMatches!U44</f>
        <v>First round</v>
      </c>
      <c r="J44" s="1">
        <f>COUNTIF($L$2:L44,L44)</f>
        <v>2</v>
      </c>
      <c r="K44" s="1">
        <f>Table3[[#This Row],[Year]]</f>
        <v>1938</v>
      </c>
      <c r="L44" s="1" t="str">
        <f>Table3[[#This Row],[Hometeam]]</f>
        <v>Cuba</v>
      </c>
      <c r="M44" s="1" t="str">
        <f>IF(J44=1,J44+ROWS($J$2:J44)/10000,"")</f>
        <v/>
      </c>
      <c r="N44" s="1">
        <f>IFERROR(SMALL($M$2:$M$1705,ROWS($M$2:M44)),"")</f>
        <v>1.0375000000000001</v>
      </c>
      <c r="O44" s="1" t="str">
        <f>IF(N44&lt;&gt;"",INDEX($L$2:$L$1705,MATCH(N44,$M$2:$M$1705,0)),"")</f>
        <v>Korea Republic</v>
      </c>
      <c r="P44" s="1">
        <f>IF(O44&lt;&gt;"",ROWS($O$2:O44),"")</f>
        <v>43</v>
      </c>
    </row>
    <row r="45" spans="1:16" x14ac:dyDescent="0.2">
      <c r="A45" s="1">
        <f>WorldCupMatches!O45</f>
        <v>1938</v>
      </c>
      <c r="B45" s="1" t="str">
        <f>WorldCupMatches!P45</f>
        <v>Switzerland</v>
      </c>
      <c r="C45" s="1">
        <f>WorldCupMatches!Q45</f>
        <v>4</v>
      </c>
      <c r="D45" s="1">
        <f>WorldCupMatches!R45</f>
        <v>2</v>
      </c>
      <c r="E45" s="1" t="str">
        <f>WorldCupMatches!S45</f>
        <v>Germany</v>
      </c>
      <c r="F45" s="1" t="str">
        <f>WorldCupMatches!T45</f>
        <v xml:space="preserve"> </v>
      </c>
      <c r="G45" s="1" t="str">
        <f>WorldCupMatches!U45</f>
        <v>First round</v>
      </c>
      <c r="J45" s="1">
        <f>COUNTIF($L$2:L45,L45)</f>
        <v>3</v>
      </c>
      <c r="K45" s="1">
        <f>Table3[[#This Row],[Year]]</f>
        <v>1938</v>
      </c>
      <c r="L45" s="1" t="str">
        <f>Table3[[#This Row],[Hometeam]]</f>
        <v>Switzerland</v>
      </c>
      <c r="M45" s="1" t="str">
        <f>IF(J45=1,J45+ROWS($J$2:J45)/10000,"")</f>
        <v/>
      </c>
      <c r="N45" s="1">
        <f>IFERROR(SMALL($M$2:$M$1705,ROWS($M$2:M45)),"")</f>
        <v>1.0382</v>
      </c>
      <c r="O45" s="1" t="str">
        <f>IF(N45&lt;&gt;"",INDEX($L$2:$L$1705,MATCH(N45,$M$2:$M$1705,0)),"")</f>
        <v>Iraq</v>
      </c>
      <c r="P45" s="1">
        <f>IF(O45&lt;&gt;"",ROWS($O$2:O45),"")</f>
        <v>44</v>
      </c>
    </row>
    <row r="46" spans="1:16" x14ac:dyDescent="0.2">
      <c r="A46" s="1">
        <f>WorldCupMatches!O46</f>
        <v>1938</v>
      </c>
      <c r="B46" s="1" t="str">
        <f>WorldCupMatches!P46</f>
        <v>Brazil</v>
      </c>
      <c r="C46" s="1">
        <f>WorldCupMatches!Q46</f>
        <v>1</v>
      </c>
      <c r="D46" s="1">
        <f>WorldCupMatches!R46</f>
        <v>1</v>
      </c>
      <c r="E46" s="1" t="str">
        <f>WorldCupMatches!S46</f>
        <v>Czechoslovakia</v>
      </c>
      <c r="F46" s="1" t="str">
        <f>WorldCupMatches!T46</f>
        <v xml:space="preserve"> </v>
      </c>
      <c r="G46" s="1" t="str">
        <f>WorldCupMatches!U46</f>
        <v>Quarter-finals</v>
      </c>
      <c r="J46" s="1">
        <f>COUNTIF($L$2:L46,L46)</f>
        <v>3</v>
      </c>
      <c r="K46" s="1">
        <f>Table3[[#This Row],[Year]]</f>
        <v>1938</v>
      </c>
      <c r="L46" s="1" t="str">
        <f>Table3[[#This Row],[Hometeam]]</f>
        <v>Brazil</v>
      </c>
      <c r="M46" s="1" t="str">
        <f>IF(J46=1,J46+ROWS($J$2:J46)/10000,"")</f>
        <v/>
      </c>
      <c r="N46" s="1">
        <f>IFERROR(SMALL($M$2:$M$1705,ROWS($M$2:M46)),"")</f>
        <v>1.0383</v>
      </c>
      <c r="O46" s="1" t="str">
        <f>IF(N46&lt;&gt;"",INDEX($L$2:$L$1705,MATCH(N46,$M$2:$M$1705,0)),"")</f>
        <v>Denmark</v>
      </c>
      <c r="P46" s="1">
        <f>IF(O46&lt;&gt;"",ROWS($O$2:O46),"")</f>
        <v>45</v>
      </c>
    </row>
    <row r="47" spans="1:16" x14ac:dyDescent="0.2">
      <c r="A47" s="1">
        <f>WorldCupMatches!O47</f>
        <v>1938</v>
      </c>
      <c r="B47" s="1" t="str">
        <f>WorldCupMatches!P47</f>
        <v>Hungary</v>
      </c>
      <c r="C47" s="1">
        <f>WorldCupMatches!Q47</f>
        <v>2</v>
      </c>
      <c r="D47" s="1">
        <f>WorldCupMatches!R47</f>
        <v>0</v>
      </c>
      <c r="E47" s="1" t="str">
        <f>WorldCupMatches!S47</f>
        <v>Switzerland</v>
      </c>
      <c r="F47" s="1" t="str">
        <f>WorldCupMatches!T47</f>
        <v xml:space="preserve"> </v>
      </c>
      <c r="G47" s="1" t="str">
        <f>WorldCupMatches!U47</f>
        <v>Quarter-finals</v>
      </c>
      <c r="J47" s="1">
        <f>COUNTIF($L$2:L47,L47)</f>
        <v>3</v>
      </c>
      <c r="K47" s="1">
        <f>Table3[[#This Row],[Year]]</f>
        <v>1938</v>
      </c>
      <c r="L47" s="1" t="str">
        <f>Table3[[#This Row],[Hometeam]]</f>
        <v>Hungary</v>
      </c>
      <c r="M47" s="1" t="str">
        <f>IF(J47=1,J47+ROWS($J$2:J47)/10000,"")</f>
        <v/>
      </c>
      <c r="N47" s="1">
        <f>IFERROR(SMALL($M$2:$M$1705,ROWS($M$2:M47)),"")</f>
        <v>1.0415000000000001</v>
      </c>
      <c r="O47" s="1" t="str">
        <f>IF(N47&lt;&gt;"",INDEX($L$2:$L$1705,MATCH(N47,$M$2:$M$1705,0)),"")</f>
        <v>United Arab Emirates</v>
      </c>
      <c r="P47" s="1">
        <f>IF(O47&lt;&gt;"",ROWS($O$2:O47),"")</f>
        <v>46</v>
      </c>
    </row>
    <row r="48" spans="1:16" x14ac:dyDescent="0.2">
      <c r="A48" s="1">
        <f>WorldCupMatches!O48</f>
        <v>1938</v>
      </c>
      <c r="B48" s="1" t="str">
        <f>WorldCupMatches!P48</f>
        <v>Sweden</v>
      </c>
      <c r="C48" s="1">
        <f>WorldCupMatches!Q48</f>
        <v>8</v>
      </c>
      <c r="D48" s="1">
        <f>WorldCupMatches!R48</f>
        <v>0</v>
      </c>
      <c r="E48" s="1" t="str">
        <f>WorldCupMatches!S48</f>
        <v>Cuba</v>
      </c>
      <c r="F48" s="1" t="str">
        <f>WorldCupMatches!T48</f>
        <v xml:space="preserve"> </v>
      </c>
      <c r="G48" s="1" t="str">
        <f>WorldCupMatches!U48</f>
        <v>Quarter-finals</v>
      </c>
      <c r="J48" s="1">
        <f>COUNTIF($L$2:L48,L48)</f>
        <v>2</v>
      </c>
      <c r="K48" s="1">
        <f>Table3[[#This Row],[Year]]</f>
        <v>1938</v>
      </c>
      <c r="L48" s="1" t="str">
        <f>Table3[[#This Row],[Hometeam]]</f>
        <v>Sweden</v>
      </c>
      <c r="M48" s="1" t="str">
        <f>IF(J48=1,J48+ROWS($J$2:J48)/10000,"")</f>
        <v/>
      </c>
      <c r="N48" s="1">
        <f>IFERROR(SMALL($M$2:$M$1705,ROWS($M$2:M48)),"")</f>
        <v>1.042</v>
      </c>
      <c r="O48" s="1" t="str">
        <f>IF(N48&lt;&gt;"",INDEX($L$2:$L$1705,MATCH(N48,$M$2:$M$1705,0)),"")</f>
        <v>Costa Rica</v>
      </c>
      <c r="P48" s="1">
        <f>IF(O48&lt;&gt;"",ROWS($O$2:O48),"")</f>
        <v>47</v>
      </c>
    </row>
    <row r="49" spans="1:16" x14ac:dyDescent="0.2">
      <c r="A49" s="1">
        <f>WorldCupMatches!O49</f>
        <v>1938</v>
      </c>
      <c r="B49" s="1" t="str">
        <f>WorldCupMatches!P49</f>
        <v>Italy</v>
      </c>
      <c r="C49" s="1">
        <f>WorldCupMatches!Q49</f>
        <v>3</v>
      </c>
      <c r="D49" s="1">
        <f>WorldCupMatches!R49</f>
        <v>1</v>
      </c>
      <c r="E49" s="1" t="str">
        <f>WorldCupMatches!S49</f>
        <v>France</v>
      </c>
      <c r="F49" s="1" t="str">
        <f>WorldCupMatches!T49</f>
        <v xml:space="preserve"> </v>
      </c>
      <c r="G49" s="1" t="str">
        <f>WorldCupMatches!U49</f>
        <v>Quarter-finals</v>
      </c>
      <c r="J49" s="1">
        <f>COUNTIF($L$2:L49,L49)</f>
        <v>7</v>
      </c>
      <c r="K49" s="1">
        <f>Table3[[#This Row],[Year]]</f>
        <v>1938</v>
      </c>
      <c r="L49" s="1" t="str">
        <f>Table3[[#This Row],[Hometeam]]</f>
        <v>Italy</v>
      </c>
      <c r="M49" s="1" t="str">
        <f>IF(J49=1,J49+ROWS($J$2:J49)/10000,"")</f>
        <v/>
      </c>
      <c r="N49" s="1">
        <f>IFERROR(SMALL($M$2:$M$1705,ROWS($M$2:M49)),"")</f>
        <v>1.0426</v>
      </c>
      <c r="O49" s="1" t="str">
        <f>IF(N49&lt;&gt;"",INDEX($L$2:$L$1705,MATCH(N49,$M$2:$M$1705,0)),"")</f>
        <v>Cameroon</v>
      </c>
      <c r="P49" s="1">
        <f>IF(O49&lt;&gt;"",ROWS($O$2:O49),"")</f>
        <v>48</v>
      </c>
    </row>
    <row r="50" spans="1:16" x14ac:dyDescent="0.2">
      <c r="A50" s="1">
        <f>WorldCupMatches!O50</f>
        <v>1938</v>
      </c>
      <c r="B50" s="1" t="str">
        <f>WorldCupMatches!P50</f>
        <v>Brazil</v>
      </c>
      <c r="C50" s="1">
        <f>WorldCupMatches!Q50</f>
        <v>2</v>
      </c>
      <c r="D50" s="1">
        <f>WorldCupMatches!R50</f>
        <v>1</v>
      </c>
      <c r="E50" s="1" t="str">
        <f>WorldCupMatches!S50</f>
        <v>Czechoslovakia</v>
      </c>
      <c r="F50" s="1" t="str">
        <f>WorldCupMatches!T50</f>
        <v xml:space="preserve"> </v>
      </c>
      <c r="G50" s="1" t="str">
        <f>WorldCupMatches!U50</f>
        <v>Quarter-finals</v>
      </c>
      <c r="J50" s="1">
        <f>COUNTIF($L$2:L50,L50)</f>
        <v>4</v>
      </c>
      <c r="K50" s="1">
        <f>Table3[[#This Row],[Year]]</f>
        <v>1938</v>
      </c>
      <c r="L50" s="1" t="str">
        <f>Table3[[#This Row],[Hometeam]]</f>
        <v>Brazil</v>
      </c>
      <c r="M50" s="1" t="str">
        <f>IF(J50=1,J50+ROWS($J$2:J50)/10000,"")</f>
        <v/>
      </c>
      <c r="N50" s="1">
        <f>IFERROR(SMALL($M$2:$M$1705,ROWS($M$2:M50)),"")</f>
        <v>1.0434000000000001</v>
      </c>
      <c r="O50" s="1" t="str">
        <f>IF(N50&lt;&gt;"",INDEX($L$2:$L$1705,MATCH(N50,$M$2:$M$1705,0)),"")</f>
        <v>Republic of Ireland</v>
      </c>
      <c r="P50" s="1">
        <f>IF(O50&lt;&gt;"",ROWS($O$2:O50),"")</f>
        <v>49</v>
      </c>
    </row>
    <row r="51" spans="1:16" x14ac:dyDescent="0.2">
      <c r="A51" s="1">
        <f>WorldCupMatches!O51</f>
        <v>1938</v>
      </c>
      <c r="B51" s="1" t="str">
        <f>WorldCupMatches!P51</f>
        <v>Hungary</v>
      </c>
      <c r="C51" s="1">
        <f>WorldCupMatches!Q51</f>
        <v>5</v>
      </c>
      <c r="D51" s="1">
        <f>WorldCupMatches!R51</f>
        <v>1</v>
      </c>
      <c r="E51" s="1" t="str">
        <f>WorldCupMatches!S51</f>
        <v>Sweden</v>
      </c>
      <c r="F51" s="1" t="str">
        <f>WorldCupMatches!T51</f>
        <v xml:space="preserve"> </v>
      </c>
      <c r="G51" s="1" t="str">
        <f>WorldCupMatches!U51</f>
        <v>Semi-finals</v>
      </c>
      <c r="J51" s="1">
        <f>COUNTIF($L$2:L51,L51)</f>
        <v>4</v>
      </c>
      <c r="K51" s="1">
        <f>Table3[[#This Row],[Year]]</f>
        <v>1938</v>
      </c>
      <c r="L51" s="1" t="str">
        <f>Table3[[#This Row],[Hometeam]]</f>
        <v>Hungary</v>
      </c>
      <c r="M51" s="1" t="str">
        <f>IF(J51=1,J51+ROWS($J$2:J51)/10000,"")</f>
        <v/>
      </c>
      <c r="N51" s="1">
        <f>IFERROR(SMALL($M$2:$M$1705,ROWS($M$2:M51)),"")</f>
        <v>1.0468999999999999</v>
      </c>
      <c r="O51" s="1" t="str">
        <f>IF(N51&lt;&gt;"",INDEX($L$2:$L$1705,MATCH(N51,$M$2:$M$1705,0)),"")</f>
        <v>Colombia</v>
      </c>
      <c r="P51" s="1">
        <f>IF(O51&lt;&gt;"",ROWS($O$2:O51),"")</f>
        <v>50</v>
      </c>
    </row>
    <row r="52" spans="1:16" x14ac:dyDescent="0.2">
      <c r="A52" s="1">
        <f>WorldCupMatches!O52</f>
        <v>1938</v>
      </c>
      <c r="B52" s="1" t="str">
        <f>WorldCupMatches!P52</f>
        <v>Italy</v>
      </c>
      <c r="C52" s="1">
        <f>WorldCupMatches!Q52</f>
        <v>2</v>
      </c>
      <c r="D52" s="1">
        <f>WorldCupMatches!R52</f>
        <v>1</v>
      </c>
      <c r="E52" s="1" t="str">
        <f>WorldCupMatches!S52</f>
        <v>Brazil</v>
      </c>
      <c r="F52" s="1" t="str">
        <f>WorldCupMatches!T52</f>
        <v xml:space="preserve"> </v>
      </c>
      <c r="G52" s="1" t="str">
        <f>WorldCupMatches!U52</f>
        <v>Semi-finals</v>
      </c>
      <c r="J52" s="1">
        <f>COUNTIF($L$2:L52,L52)</f>
        <v>8</v>
      </c>
      <c r="K52" s="1">
        <f>Table3[[#This Row],[Year]]</f>
        <v>1938</v>
      </c>
      <c r="L52" s="1" t="str">
        <f>Table3[[#This Row],[Hometeam]]</f>
        <v>Italy</v>
      </c>
      <c r="M52" s="1" t="str">
        <f>IF(J52=1,J52+ROWS($J$2:J52)/10000,"")</f>
        <v/>
      </c>
      <c r="N52" s="1">
        <f>IFERROR(SMALL($M$2:$M$1705,ROWS($M$2:M52)),"")</f>
        <v>1.0470999999999999</v>
      </c>
      <c r="O52" s="1" t="str">
        <f>IF(N52&lt;&gt;"",INDEX($L$2:$L$1705,MATCH(N52,$M$2:$M$1705,0)),"")</f>
        <v>Norway</v>
      </c>
      <c r="P52" s="1">
        <f>IF(O52&lt;&gt;"",ROWS($O$2:O52),"")</f>
        <v>51</v>
      </c>
    </row>
    <row r="53" spans="1:16" x14ac:dyDescent="0.2">
      <c r="A53" s="1">
        <f>WorldCupMatches!O53</f>
        <v>1938</v>
      </c>
      <c r="B53" s="1" t="str">
        <f>WorldCupMatches!P53</f>
        <v>Brazil</v>
      </c>
      <c r="C53" s="1">
        <f>WorldCupMatches!Q53</f>
        <v>4</v>
      </c>
      <c r="D53" s="1">
        <f>WorldCupMatches!R53</f>
        <v>2</v>
      </c>
      <c r="E53" s="1" t="str">
        <f>WorldCupMatches!S53</f>
        <v>Sweden</v>
      </c>
      <c r="F53" s="1" t="str">
        <f>WorldCupMatches!T53</f>
        <v xml:space="preserve"> </v>
      </c>
      <c r="G53" s="1" t="str">
        <f>WorldCupMatches!U53</f>
        <v>Match for third place</v>
      </c>
      <c r="J53" s="1">
        <f>COUNTIF($L$2:L53,L53)</f>
        <v>5</v>
      </c>
      <c r="K53" s="1">
        <f>Table3[[#This Row],[Year]]</f>
        <v>1938</v>
      </c>
      <c r="L53" s="1" t="str">
        <f>Table3[[#This Row],[Hometeam]]</f>
        <v>Brazil</v>
      </c>
      <c r="M53" s="1" t="str">
        <f>IF(J53=1,J53+ROWS($J$2:J53)/10000,"")</f>
        <v/>
      </c>
      <c r="N53" s="1">
        <f>IFERROR(SMALL($M$2:$M$1705,ROWS($M$2:M53)),"")</f>
        <v>1.0476000000000001</v>
      </c>
      <c r="O53" s="1" t="str">
        <f>IF(N53&lt;&gt;"",INDEX($L$2:$L$1705,MATCH(N53,$M$2:$M$1705,0)),"")</f>
        <v>Nigeria</v>
      </c>
      <c r="P53" s="1">
        <f>IF(O53&lt;&gt;"",ROWS($O$2:O53),"")</f>
        <v>52</v>
      </c>
    </row>
    <row r="54" spans="1:16" x14ac:dyDescent="0.2">
      <c r="A54" s="1">
        <f>WorldCupMatches!O54</f>
        <v>1938</v>
      </c>
      <c r="B54" s="1" t="str">
        <f>WorldCupMatches!P54</f>
        <v>Italy</v>
      </c>
      <c r="C54" s="1">
        <f>WorldCupMatches!Q54</f>
        <v>4</v>
      </c>
      <c r="D54" s="1">
        <f>WorldCupMatches!R54</f>
        <v>2</v>
      </c>
      <c r="E54" s="1" t="str">
        <f>WorldCupMatches!S54</f>
        <v>Hungary</v>
      </c>
      <c r="F54" s="1" t="str">
        <f>WorldCupMatches!T54</f>
        <v xml:space="preserve"> </v>
      </c>
      <c r="G54" s="1" t="str">
        <f>WorldCupMatches!U54</f>
        <v>Final</v>
      </c>
      <c r="J54" s="1">
        <f>COUNTIF($L$2:L54,L54)</f>
        <v>9</v>
      </c>
      <c r="K54" s="1">
        <f>Table3[[#This Row],[Year]]</f>
        <v>1938</v>
      </c>
      <c r="L54" s="1" t="str">
        <f>Table3[[#This Row],[Hometeam]]</f>
        <v>Italy</v>
      </c>
      <c r="M54" s="1" t="str">
        <f>IF(J54=1,J54+ROWS($J$2:J54)/10000,"")</f>
        <v/>
      </c>
      <c r="N54" s="1">
        <f>IFERROR(SMALL($M$2:$M$1705,ROWS($M$2:M54)),"")</f>
        <v>1.0486</v>
      </c>
      <c r="O54" s="1" t="str">
        <f>IF(N54&lt;&gt;"",INDEX($L$2:$L$1705,MATCH(N54,$M$2:$M$1705,0)),"")</f>
        <v>Saudi Arabia</v>
      </c>
      <c r="P54" s="1">
        <f>IF(O54&lt;&gt;"",ROWS($O$2:O54),"")</f>
        <v>53</v>
      </c>
    </row>
    <row r="55" spans="1:16" x14ac:dyDescent="0.2">
      <c r="A55" s="1">
        <f>WorldCupMatches!O55</f>
        <v>1950</v>
      </c>
      <c r="B55" s="1" t="str">
        <f>WorldCupMatches!P55</f>
        <v>Brazil</v>
      </c>
      <c r="C55" s="1">
        <f>WorldCupMatches!Q55</f>
        <v>4</v>
      </c>
      <c r="D55" s="1">
        <f>WorldCupMatches!R55</f>
        <v>0</v>
      </c>
      <c r="E55" s="1" t="str">
        <f>WorldCupMatches!S55</f>
        <v>Mexico</v>
      </c>
      <c r="F55" s="1" t="str">
        <f>WorldCupMatches!T55</f>
        <v xml:space="preserve"> </v>
      </c>
      <c r="G55" s="1" t="str">
        <f>WorldCupMatches!U55</f>
        <v>Group stages</v>
      </c>
      <c r="J55" s="1">
        <f>COUNTIF($L$2:L55,L55)</f>
        <v>6</v>
      </c>
      <c r="K55" s="1">
        <f>Table3[[#This Row],[Year]]</f>
        <v>1950</v>
      </c>
      <c r="L55" s="1" t="str">
        <f>Table3[[#This Row],[Hometeam]]</f>
        <v>Brazil</v>
      </c>
      <c r="M55" s="1" t="str">
        <f>IF(J55=1,J55+ROWS($J$2:J55)/10000,"")</f>
        <v/>
      </c>
      <c r="N55" s="1">
        <f>IFERROR(SMALL($M$2:$M$1705,ROWS($M$2:M55)),"")</f>
        <v>1.0491999999999999</v>
      </c>
      <c r="O55" s="1" t="str">
        <f>IF(N55&lt;&gt;"",INDEX($L$2:$L$1705,MATCH(N55,$M$2:$M$1705,0)),"")</f>
        <v>Bolivia</v>
      </c>
      <c r="P55" s="1">
        <f>IF(O55&lt;&gt;"",ROWS($O$2:O55),"")</f>
        <v>54</v>
      </c>
    </row>
    <row r="56" spans="1:16" x14ac:dyDescent="0.2">
      <c r="A56" s="1">
        <f>WorldCupMatches!O56</f>
        <v>1950</v>
      </c>
      <c r="B56" s="1" t="str">
        <f>WorldCupMatches!P56</f>
        <v>England</v>
      </c>
      <c r="C56" s="1">
        <f>WorldCupMatches!Q56</f>
        <v>2</v>
      </c>
      <c r="D56" s="1">
        <f>WorldCupMatches!R56</f>
        <v>0</v>
      </c>
      <c r="E56" s="1" t="str">
        <f>WorldCupMatches!S56</f>
        <v>Chile</v>
      </c>
      <c r="F56" s="1" t="str">
        <f>WorldCupMatches!T56</f>
        <v xml:space="preserve"> </v>
      </c>
      <c r="G56" s="1" t="str">
        <f>WorldCupMatches!U56</f>
        <v>Group stages</v>
      </c>
      <c r="J56" s="1">
        <f>COUNTIF($L$2:L56,L56)</f>
        <v>1</v>
      </c>
      <c r="K56" s="1">
        <f>Table3[[#This Row],[Year]]</f>
        <v>1950</v>
      </c>
      <c r="L56" s="1" t="str">
        <f>Table3[[#This Row],[Hometeam]]</f>
        <v>England</v>
      </c>
      <c r="M56" s="1">
        <f>IF(J56=1,J56+ROWS($J$2:J56)/10000,"")</f>
        <v>1.0055000000000001</v>
      </c>
      <c r="N56" s="1">
        <f>IFERROR(SMALL($M$2:$M$1705,ROWS($M$2:M56)),"")</f>
        <v>1.0496000000000001</v>
      </c>
      <c r="O56" s="1" t="str">
        <f>IF(N56&lt;&gt;"",INDEX($L$2:$L$1705,MATCH(N56,$M$2:$M$1705,0)),"")</f>
        <v>Russia</v>
      </c>
      <c r="P56" s="1">
        <f>IF(O56&lt;&gt;"",ROWS($O$2:O56),"")</f>
        <v>55</v>
      </c>
    </row>
    <row r="57" spans="1:16" x14ac:dyDescent="0.2">
      <c r="A57" s="1">
        <f>WorldCupMatches!O57</f>
        <v>1950</v>
      </c>
      <c r="B57" s="1" t="str">
        <f>WorldCupMatches!P57</f>
        <v>Spain</v>
      </c>
      <c r="C57" s="1">
        <f>WorldCupMatches!Q57</f>
        <v>3</v>
      </c>
      <c r="D57" s="1">
        <f>WorldCupMatches!R57</f>
        <v>1</v>
      </c>
      <c r="E57" s="1" t="str">
        <f>WorldCupMatches!S57</f>
        <v>USA</v>
      </c>
      <c r="F57" s="1" t="str">
        <f>WorldCupMatches!T57</f>
        <v xml:space="preserve"> </v>
      </c>
      <c r="G57" s="1" t="str">
        <f>WorldCupMatches!U57</f>
        <v>Group stages</v>
      </c>
      <c r="J57" s="1">
        <f>COUNTIF($L$2:L57,L57)</f>
        <v>2</v>
      </c>
      <c r="K57" s="1">
        <f>Table3[[#This Row],[Year]]</f>
        <v>1950</v>
      </c>
      <c r="L57" s="1" t="str">
        <f>Table3[[#This Row],[Hometeam]]</f>
        <v>Spain</v>
      </c>
      <c r="M57" s="1" t="str">
        <f>IF(J57=1,J57+ROWS($J$2:J57)/10000,"")</f>
        <v/>
      </c>
      <c r="N57" s="1">
        <f>IFERROR(SMALL($M$2:$M$1705,ROWS($M$2:M57)),"")</f>
        <v>1.0499000000000001</v>
      </c>
      <c r="O57" s="1" t="str">
        <f>IF(N57&lt;&gt;"",INDEX($L$2:$L$1705,MATCH(N57,$M$2:$M$1705,0)),"")</f>
        <v>Greece</v>
      </c>
      <c r="P57" s="1">
        <f>IF(O57&lt;&gt;"",ROWS($O$2:O57),"")</f>
        <v>56</v>
      </c>
    </row>
    <row r="58" spans="1:16" x14ac:dyDescent="0.2">
      <c r="A58" s="1">
        <f>WorldCupMatches!O58</f>
        <v>1950</v>
      </c>
      <c r="B58" s="1" t="str">
        <f>WorldCupMatches!P58</f>
        <v>Sweden</v>
      </c>
      <c r="C58" s="1">
        <f>WorldCupMatches!Q58</f>
        <v>3</v>
      </c>
      <c r="D58" s="1">
        <f>WorldCupMatches!R58</f>
        <v>2</v>
      </c>
      <c r="E58" s="1" t="str">
        <f>WorldCupMatches!S58</f>
        <v>Italy</v>
      </c>
      <c r="F58" s="1" t="str">
        <f>WorldCupMatches!T58</f>
        <v xml:space="preserve"> </v>
      </c>
      <c r="G58" s="1" t="str">
        <f>WorldCupMatches!U58</f>
        <v>Group stages</v>
      </c>
      <c r="J58" s="1">
        <f>COUNTIF($L$2:L58,L58)</f>
        <v>3</v>
      </c>
      <c r="K58" s="1">
        <f>Table3[[#This Row],[Year]]</f>
        <v>1950</v>
      </c>
      <c r="L58" s="1" t="str">
        <f>Table3[[#This Row],[Hometeam]]</f>
        <v>Sweden</v>
      </c>
      <c r="M58" s="1" t="str">
        <f>IF(J58=1,J58+ROWS($J$2:J58)/10000,"")</f>
        <v/>
      </c>
      <c r="N58" s="1">
        <f>IFERROR(SMALL($M$2:$M$1705,ROWS($M$2:M58)),"")</f>
        <v>1.0528999999999999</v>
      </c>
      <c r="O58" s="1" t="str">
        <f>IF(N58&lt;&gt;"",INDEX($L$2:$L$1705,MATCH(N58,$M$2:$M$1705,0)),"")</f>
        <v>Jamaica</v>
      </c>
      <c r="P58" s="1">
        <f>IF(O58&lt;&gt;"",ROWS($O$2:O58),"")</f>
        <v>57</v>
      </c>
    </row>
    <row r="59" spans="1:16" x14ac:dyDescent="0.2">
      <c r="A59" s="1">
        <f>WorldCupMatches!O59</f>
        <v>1950</v>
      </c>
      <c r="B59" s="1" t="str">
        <f>WorldCupMatches!P59</f>
        <v>Yugoslavia</v>
      </c>
      <c r="C59" s="1">
        <f>WorldCupMatches!Q59</f>
        <v>3</v>
      </c>
      <c r="D59" s="1">
        <f>WorldCupMatches!R59</f>
        <v>0</v>
      </c>
      <c r="E59" s="1" t="str">
        <f>WorldCupMatches!S59</f>
        <v>Switzerland</v>
      </c>
      <c r="F59" s="1" t="str">
        <f>WorldCupMatches!T59</f>
        <v xml:space="preserve"> </v>
      </c>
      <c r="G59" s="1" t="str">
        <f>WorldCupMatches!U59</f>
        <v>Group stages</v>
      </c>
      <c r="J59" s="1">
        <f>COUNTIF($L$2:L59,L59)</f>
        <v>3</v>
      </c>
      <c r="K59" s="1">
        <f>Table3[[#This Row],[Year]]</f>
        <v>1950</v>
      </c>
      <c r="L59" s="1" t="str">
        <f>Table3[[#This Row],[Hometeam]]</f>
        <v>Yugoslavia</v>
      </c>
      <c r="M59" s="1" t="str">
        <f>IF(J59=1,J59+ROWS($J$2:J59)/10000,"")</f>
        <v/>
      </c>
      <c r="N59" s="1">
        <f>IFERROR(SMALL($M$2:$M$1705,ROWS($M$2:M59)),"")</f>
        <v>1.0537000000000001</v>
      </c>
      <c r="O59" s="1" t="str">
        <f>IF(N59&lt;&gt;"",INDEX($L$2:$L$1705,MATCH(N59,$M$2:$M$1705,0)),"")</f>
        <v>South Africa</v>
      </c>
      <c r="P59" s="1">
        <f>IF(O59&lt;&gt;"",ROWS($O$2:O59),"")</f>
        <v>58</v>
      </c>
    </row>
    <row r="60" spans="1:16" x14ac:dyDescent="0.2">
      <c r="A60" s="1">
        <f>WorldCupMatches!O60</f>
        <v>1950</v>
      </c>
      <c r="B60" s="1" t="str">
        <f>WorldCupMatches!P60</f>
        <v>Brazil</v>
      </c>
      <c r="C60" s="1">
        <f>WorldCupMatches!Q60</f>
        <v>2</v>
      </c>
      <c r="D60" s="1">
        <f>WorldCupMatches!R60</f>
        <v>2</v>
      </c>
      <c r="E60" s="1" t="str">
        <f>WorldCupMatches!S60</f>
        <v>Switzerland</v>
      </c>
      <c r="F60" s="1" t="str">
        <f>WorldCupMatches!T60</f>
        <v xml:space="preserve"> </v>
      </c>
      <c r="G60" s="1" t="str">
        <f>WorldCupMatches!U60</f>
        <v>Group stages</v>
      </c>
      <c r="J60" s="1">
        <f>COUNTIF($L$2:L60,L60)</f>
        <v>7</v>
      </c>
      <c r="K60" s="1">
        <f>Table3[[#This Row],[Year]]</f>
        <v>1950</v>
      </c>
      <c r="L60" s="1" t="str">
        <f>Table3[[#This Row],[Hometeam]]</f>
        <v>Brazil</v>
      </c>
      <c r="M60" s="1" t="str">
        <f>IF(J60=1,J60+ROWS($J$2:J60)/10000,"")</f>
        <v/>
      </c>
      <c r="N60" s="1">
        <f>IFERROR(SMALL($M$2:$M$1705,ROWS($M$2:M60)),"")</f>
        <v>1.0541</v>
      </c>
      <c r="O60" s="1" t="str">
        <f>IF(N60&lt;&gt;"",INDEX($L$2:$L$1705,MATCH(N60,$M$2:$M$1705,0)),"")</f>
        <v>Japan</v>
      </c>
      <c r="P60" s="1">
        <f>IF(O60&lt;&gt;"",ROWS($O$2:O60),"")</f>
        <v>59</v>
      </c>
    </row>
    <row r="61" spans="1:16" x14ac:dyDescent="0.2">
      <c r="A61" s="1">
        <f>WorldCupMatches!O61</f>
        <v>1950</v>
      </c>
      <c r="B61" s="1" t="str">
        <f>WorldCupMatches!P61</f>
        <v>Yugoslavia</v>
      </c>
      <c r="C61" s="1">
        <f>WorldCupMatches!Q61</f>
        <v>4</v>
      </c>
      <c r="D61" s="1">
        <f>WorldCupMatches!R61</f>
        <v>1</v>
      </c>
      <c r="E61" s="1" t="str">
        <f>WorldCupMatches!S61</f>
        <v>Mexico</v>
      </c>
      <c r="F61" s="1" t="str">
        <f>WorldCupMatches!T61</f>
        <v xml:space="preserve"> </v>
      </c>
      <c r="G61" s="1" t="str">
        <f>WorldCupMatches!U61</f>
        <v>Group stages</v>
      </c>
      <c r="J61" s="1">
        <f>COUNTIF($L$2:L61,L61)</f>
        <v>4</v>
      </c>
      <c r="K61" s="1">
        <f>Table3[[#This Row],[Year]]</f>
        <v>1950</v>
      </c>
      <c r="L61" s="1" t="str">
        <f>Table3[[#This Row],[Hometeam]]</f>
        <v>Yugoslavia</v>
      </c>
      <c r="M61" s="1" t="str">
        <f>IF(J61=1,J61+ROWS($J$2:J61)/10000,"")</f>
        <v/>
      </c>
      <c r="N61" s="1">
        <f>IFERROR(SMALL($M$2:$M$1705,ROWS($M$2:M61)),"")</f>
        <v>1.0590999999999999</v>
      </c>
      <c r="O61" s="1" t="str">
        <f>IF(N61&lt;&gt;"",INDEX($L$2:$L$1705,MATCH(N61,$M$2:$M$1705,0)),"")</f>
        <v>Croatia</v>
      </c>
      <c r="P61" s="1">
        <f>IF(O61&lt;&gt;"",ROWS($O$2:O61),"")</f>
        <v>60</v>
      </c>
    </row>
    <row r="62" spans="1:16" x14ac:dyDescent="0.2">
      <c r="A62" s="1">
        <f>WorldCupMatches!O62</f>
        <v>1950</v>
      </c>
      <c r="B62" s="1" t="str">
        <f>WorldCupMatches!P62</f>
        <v>Spain</v>
      </c>
      <c r="C62" s="1">
        <f>WorldCupMatches!Q62</f>
        <v>2</v>
      </c>
      <c r="D62" s="1">
        <f>WorldCupMatches!R62</f>
        <v>0</v>
      </c>
      <c r="E62" s="1" t="str">
        <f>WorldCupMatches!S62</f>
        <v>Chile</v>
      </c>
      <c r="F62" s="1" t="str">
        <f>WorldCupMatches!T62</f>
        <v xml:space="preserve"> </v>
      </c>
      <c r="G62" s="1" t="str">
        <f>WorldCupMatches!U62</f>
        <v>Group stages</v>
      </c>
      <c r="J62" s="1">
        <f>COUNTIF($L$2:L62,L62)</f>
        <v>3</v>
      </c>
      <c r="K62" s="1">
        <f>Table3[[#This Row],[Year]]</f>
        <v>1950</v>
      </c>
      <c r="L62" s="1" t="str">
        <f>Table3[[#This Row],[Hometeam]]</f>
        <v>Spain</v>
      </c>
      <c r="M62" s="1" t="str">
        <f>IF(J62=1,J62+ROWS($J$2:J62)/10000,"")</f>
        <v/>
      </c>
      <c r="N62" s="1">
        <f>IFERROR(SMALL($M$2:$M$1705,ROWS($M$2:M62)),"")</f>
        <v>1.0591999999999999</v>
      </c>
      <c r="O62" s="1" t="str">
        <f>IF(N62&lt;&gt;"",INDEX($L$2:$L$1705,MATCH(N62,$M$2:$M$1705,0)),"")</f>
        <v>China PR</v>
      </c>
      <c r="P62" s="1">
        <f>IF(O62&lt;&gt;"",ROWS($O$2:O62),"")</f>
        <v>61</v>
      </c>
    </row>
    <row r="63" spans="1:16" x14ac:dyDescent="0.2">
      <c r="A63" s="1">
        <f>WorldCupMatches!O63</f>
        <v>1950</v>
      </c>
      <c r="B63" s="1" t="str">
        <f>WorldCupMatches!P63</f>
        <v>Sweden</v>
      </c>
      <c r="C63" s="1">
        <f>WorldCupMatches!Q63</f>
        <v>2</v>
      </c>
      <c r="D63" s="1">
        <f>WorldCupMatches!R63</f>
        <v>2</v>
      </c>
      <c r="E63" s="1" t="str">
        <f>WorldCupMatches!S63</f>
        <v>Paraguay</v>
      </c>
      <c r="F63" s="1" t="str">
        <f>WorldCupMatches!T63</f>
        <v xml:space="preserve"> </v>
      </c>
      <c r="G63" s="1" t="str">
        <f>WorldCupMatches!U63</f>
        <v>Group stages</v>
      </c>
      <c r="J63" s="1">
        <f>COUNTIF($L$2:L63,L63)</f>
        <v>4</v>
      </c>
      <c r="K63" s="1">
        <f>Table3[[#This Row],[Year]]</f>
        <v>1950</v>
      </c>
      <c r="L63" s="1" t="str">
        <f>Table3[[#This Row],[Hometeam]]</f>
        <v>Sweden</v>
      </c>
      <c r="M63" s="1" t="str">
        <f>IF(J63=1,J63+ROWS($J$2:J63)/10000,"")</f>
        <v/>
      </c>
      <c r="N63" s="1">
        <f>IFERROR(SMALL($M$2:$M$1705,ROWS($M$2:M63)),"")</f>
        <v>1.0613999999999999</v>
      </c>
      <c r="O63" s="1" t="str">
        <f>IF(N63&lt;&gt;"",INDEX($L$2:$L$1705,MATCH(N63,$M$2:$M$1705,0)),"")</f>
        <v>Senegal</v>
      </c>
      <c r="P63" s="1">
        <f>IF(O63&lt;&gt;"",ROWS($O$2:O63),"")</f>
        <v>62</v>
      </c>
    </row>
    <row r="64" spans="1:16" x14ac:dyDescent="0.2">
      <c r="A64" s="1">
        <f>WorldCupMatches!O64</f>
        <v>1950</v>
      </c>
      <c r="B64" s="1" t="str">
        <f>WorldCupMatches!P64</f>
        <v>USA</v>
      </c>
      <c r="C64" s="1">
        <f>WorldCupMatches!Q64</f>
        <v>1</v>
      </c>
      <c r="D64" s="1">
        <f>WorldCupMatches!R64</f>
        <v>0</v>
      </c>
      <c r="E64" s="1" t="str">
        <f>WorldCupMatches!S64</f>
        <v>England</v>
      </c>
      <c r="F64" s="1" t="str">
        <f>WorldCupMatches!T64</f>
        <v xml:space="preserve"> </v>
      </c>
      <c r="G64" s="1" t="str">
        <f>WorldCupMatches!U64</f>
        <v>Group stages</v>
      </c>
      <c r="J64" s="1">
        <f>COUNTIF($L$2:L64,L64)</f>
        <v>3</v>
      </c>
      <c r="K64" s="1">
        <f>Table3[[#This Row],[Year]]</f>
        <v>1950</v>
      </c>
      <c r="L64" s="1" t="str">
        <f>Table3[[#This Row],[Hometeam]]</f>
        <v>USA</v>
      </c>
      <c r="M64" s="1" t="str">
        <f>IF(J64=1,J64+ROWS($J$2:J64)/10000,"")</f>
        <v/>
      </c>
      <c r="N64" s="1">
        <f>IFERROR(SMALL($M$2:$M$1705,ROWS($M$2:M64)),"")</f>
        <v>1.0619000000000001</v>
      </c>
      <c r="O64" s="1" t="str">
        <f>IF(N64&lt;&gt;"",INDEX($L$2:$L$1705,MATCH(N64,$M$2:$M$1705,0)),"")</f>
        <v>Slovenia</v>
      </c>
      <c r="P64" s="1">
        <f>IF(O64&lt;&gt;"",ROWS($O$2:O64),"")</f>
        <v>63</v>
      </c>
    </row>
    <row r="65" spans="1:16" x14ac:dyDescent="0.2">
      <c r="A65" s="1">
        <f>WorldCupMatches!O65</f>
        <v>1950</v>
      </c>
      <c r="B65" s="1" t="str">
        <f>WorldCupMatches!P65</f>
        <v>Brazil</v>
      </c>
      <c r="C65" s="1">
        <f>WorldCupMatches!Q65</f>
        <v>2</v>
      </c>
      <c r="D65" s="1">
        <f>WorldCupMatches!R65</f>
        <v>0</v>
      </c>
      <c r="E65" s="1" t="str">
        <f>WorldCupMatches!S65</f>
        <v>Yugoslavia</v>
      </c>
      <c r="F65" s="1" t="str">
        <f>WorldCupMatches!T65</f>
        <v xml:space="preserve"> </v>
      </c>
      <c r="G65" s="1" t="str">
        <f>WorldCupMatches!U65</f>
        <v>Group stages</v>
      </c>
      <c r="J65" s="1">
        <f>COUNTIF($L$2:L65,L65)</f>
        <v>8</v>
      </c>
      <c r="K65" s="1">
        <f>Table3[[#This Row],[Year]]</f>
        <v>1950</v>
      </c>
      <c r="L65" s="1" t="str">
        <f>Table3[[#This Row],[Hometeam]]</f>
        <v>Brazil</v>
      </c>
      <c r="M65" s="1" t="str">
        <f>IF(J65=1,J65+ROWS($J$2:J65)/10000,"")</f>
        <v/>
      </c>
      <c r="N65" s="1">
        <f>IFERROR(SMALL($M$2:$M$1705,ROWS($M$2:M65)),"")</f>
        <v>1.0623</v>
      </c>
      <c r="O65" s="1" t="str">
        <f>IF(N65&lt;&gt;"",INDEX($L$2:$L$1705,MATCH(N65,$M$2:$M$1705,0)),"")</f>
        <v>Ecuador</v>
      </c>
      <c r="P65" s="1">
        <f>IF(O65&lt;&gt;"",ROWS($O$2:O65),"")</f>
        <v>64</v>
      </c>
    </row>
    <row r="66" spans="1:16" x14ac:dyDescent="0.2">
      <c r="A66" s="1">
        <f>WorldCupMatches!O66</f>
        <v>1950</v>
      </c>
      <c r="B66" s="1" t="str">
        <f>WorldCupMatches!P66</f>
        <v>Spain</v>
      </c>
      <c r="C66" s="1">
        <f>WorldCupMatches!Q66</f>
        <v>1</v>
      </c>
      <c r="D66" s="1">
        <f>WorldCupMatches!R66</f>
        <v>0</v>
      </c>
      <c r="E66" s="1" t="str">
        <f>WorldCupMatches!S66</f>
        <v>England</v>
      </c>
      <c r="F66" s="1" t="str">
        <f>WorldCupMatches!T66</f>
        <v xml:space="preserve"> </v>
      </c>
      <c r="G66" s="1" t="str">
        <f>WorldCupMatches!U66</f>
        <v>Group stages</v>
      </c>
      <c r="J66" s="1">
        <f>COUNTIF($L$2:L66,L66)</f>
        <v>4</v>
      </c>
      <c r="K66" s="1">
        <f>Table3[[#This Row],[Year]]</f>
        <v>1950</v>
      </c>
      <c r="L66" s="1" t="str">
        <f>Table3[[#This Row],[Hometeam]]</f>
        <v>Spain</v>
      </c>
      <c r="M66" s="1" t="str">
        <f>IF(J66=1,J66+ROWS($J$2:J66)/10000,"")</f>
        <v/>
      </c>
      <c r="N66" s="1">
        <f>IFERROR(SMALL($M$2:$M$1705,ROWS($M$2:M66)),"")</f>
        <v>1.0648</v>
      </c>
      <c r="O66" s="1" t="str">
        <f>IF(N66&lt;&gt;"",INDEX($L$2:$L$1705,MATCH(N66,$M$2:$M$1705,0)),"")</f>
        <v>Trinidad and Tobago</v>
      </c>
      <c r="P66" s="1">
        <f>IF(O66&lt;&gt;"",ROWS($O$2:O66),"")</f>
        <v>65</v>
      </c>
    </row>
    <row r="67" spans="1:16" x14ac:dyDescent="0.2">
      <c r="A67" s="1">
        <f>WorldCupMatches!O67</f>
        <v>1950</v>
      </c>
      <c r="B67" s="1" t="str">
        <f>WorldCupMatches!P67</f>
        <v>Italy</v>
      </c>
      <c r="C67" s="1">
        <f>WorldCupMatches!Q67</f>
        <v>2</v>
      </c>
      <c r="D67" s="1">
        <f>WorldCupMatches!R67</f>
        <v>0</v>
      </c>
      <c r="E67" s="1" t="str">
        <f>WorldCupMatches!S67</f>
        <v>Paraguay</v>
      </c>
      <c r="F67" s="1" t="str">
        <f>WorldCupMatches!T67</f>
        <v xml:space="preserve"> </v>
      </c>
      <c r="G67" s="1" t="str">
        <f>WorldCupMatches!U67</f>
        <v>Group stages</v>
      </c>
      <c r="J67" s="1">
        <f>COUNTIF($L$2:L67,L67)</f>
        <v>10</v>
      </c>
      <c r="K67" s="1">
        <f>Table3[[#This Row],[Year]]</f>
        <v>1950</v>
      </c>
      <c r="L67" s="1" t="str">
        <f>Table3[[#This Row],[Hometeam]]</f>
        <v>Italy</v>
      </c>
      <c r="M67" s="1" t="str">
        <f>IF(J67=1,J67+ROWS($J$2:J67)/10000,"")</f>
        <v/>
      </c>
      <c r="N67" s="1">
        <f>IFERROR(SMALL($M$2:$M$1705,ROWS($M$2:M67)),"")</f>
        <v>1.0649999999999999</v>
      </c>
      <c r="O67" s="1" t="str">
        <f>IF(N67&lt;&gt;"",INDEX($L$2:$L$1705,MATCH(N67,$M$2:$M$1705,0)),"")</f>
        <v>Serbia and Montenegro</v>
      </c>
      <c r="P67" s="1">
        <f>IF(O67&lt;&gt;"",ROWS($O$2:O67),"")</f>
        <v>66</v>
      </c>
    </row>
    <row r="68" spans="1:16" x14ac:dyDescent="0.2">
      <c r="A68" s="1">
        <f>WorldCupMatches!O68</f>
        <v>1950</v>
      </c>
      <c r="B68" s="1" t="str">
        <f>WorldCupMatches!P68</f>
        <v>Uruguay</v>
      </c>
      <c r="C68" s="1">
        <f>WorldCupMatches!Q68</f>
        <v>8</v>
      </c>
      <c r="D68" s="1">
        <f>WorldCupMatches!R68</f>
        <v>0</v>
      </c>
      <c r="E68" s="1" t="str">
        <f>WorldCupMatches!S68</f>
        <v>Bolivia</v>
      </c>
      <c r="F68" s="1" t="str">
        <f>WorldCupMatches!T68</f>
        <v xml:space="preserve"> </v>
      </c>
      <c r="G68" s="1" t="str">
        <f>WorldCupMatches!U68</f>
        <v>Group stages</v>
      </c>
      <c r="J68" s="1">
        <f>COUNTIF($L$2:L68,L68)</f>
        <v>5</v>
      </c>
      <c r="K68" s="1">
        <f>Table3[[#This Row],[Year]]</f>
        <v>1950</v>
      </c>
      <c r="L68" s="1" t="str">
        <f>Table3[[#This Row],[Hometeam]]</f>
        <v>Uruguay</v>
      </c>
      <c r="M68" s="1" t="str">
        <f>IF(J68=1,J68+ROWS($J$2:J68)/10000,"")</f>
        <v/>
      </c>
      <c r="N68" s="1">
        <f>IFERROR(SMALL($M$2:$M$1705,ROWS($M$2:M68)),"")</f>
        <v>1.0651999999999999</v>
      </c>
      <c r="O68" s="1" t="str">
        <f>IF(N68&lt;&gt;"",INDEX($L$2:$L$1705,MATCH(N68,$M$2:$M$1705,0)),"")</f>
        <v>Angola</v>
      </c>
      <c r="P68" s="1">
        <f>IF(O68&lt;&gt;"",ROWS($O$2:O68),"")</f>
        <v>67</v>
      </c>
    </row>
    <row r="69" spans="1:16" x14ac:dyDescent="0.2">
      <c r="A69" s="1">
        <f>WorldCupMatches!O69</f>
        <v>1950</v>
      </c>
      <c r="B69" s="1" t="str">
        <f>WorldCupMatches!P69</f>
        <v>Switzerland</v>
      </c>
      <c r="C69" s="1">
        <f>WorldCupMatches!Q69</f>
        <v>2</v>
      </c>
      <c r="D69" s="1">
        <f>WorldCupMatches!R69</f>
        <v>1</v>
      </c>
      <c r="E69" s="1" t="str">
        <f>WorldCupMatches!S69</f>
        <v>Mexico</v>
      </c>
      <c r="F69" s="1" t="str">
        <f>WorldCupMatches!T69</f>
        <v xml:space="preserve"> </v>
      </c>
      <c r="G69" s="1" t="str">
        <f>WorldCupMatches!U69</f>
        <v>Group stages</v>
      </c>
      <c r="J69" s="1">
        <f>COUNTIF($L$2:L69,L69)</f>
        <v>4</v>
      </c>
      <c r="K69" s="1">
        <f>Table3[[#This Row],[Year]]</f>
        <v>1950</v>
      </c>
      <c r="L69" s="1" t="str">
        <f>Table3[[#This Row],[Hometeam]]</f>
        <v>Switzerland</v>
      </c>
      <c r="M69" s="1" t="str">
        <f>IF(J69=1,J69+ROWS($J$2:J69)/10000,"")</f>
        <v/>
      </c>
      <c r="N69" s="1">
        <f>IFERROR(SMALL($M$2:$M$1705,ROWS($M$2:M69)),"")</f>
        <v>1.0669</v>
      </c>
      <c r="O69" s="1" t="str">
        <f>IF(N69&lt;&gt;"",INDEX($L$2:$L$1705,MATCH(N69,$M$2:$M$1705,0)),"")</f>
        <v>Czech Republic</v>
      </c>
      <c r="P69" s="1">
        <f>IF(O69&lt;&gt;"",ROWS($O$2:O69),"")</f>
        <v>68</v>
      </c>
    </row>
    <row r="70" spans="1:16" x14ac:dyDescent="0.2">
      <c r="A70" s="1">
        <f>WorldCupMatches!O70</f>
        <v>1950</v>
      </c>
      <c r="B70" s="1" t="str">
        <f>WorldCupMatches!P70</f>
        <v>Chile</v>
      </c>
      <c r="C70" s="1">
        <f>WorldCupMatches!Q70</f>
        <v>5</v>
      </c>
      <c r="D70" s="1">
        <f>WorldCupMatches!R70</f>
        <v>2</v>
      </c>
      <c r="E70" s="1" t="str">
        <f>WorldCupMatches!S70</f>
        <v>USA</v>
      </c>
      <c r="F70" s="1" t="str">
        <f>WorldCupMatches!T70</f>
        <v xml:space="preserve"> </v>
      </c>
      <c r="G70" s="1" t="str">
        <f>WorldCupMatches!U70</f>
        <v>Group stages</v>
      </c>
      <c r="J70" s="1">
        <f>COUNTIF($L$2:L70,L70)</f>
        <v>3</v>
      </c>
      <c r="K70" s="1">
        <f>Table3[[#This Row],[Year]]</f>
        <v>1950</v>
      </c>
      <c r="L70" s="1" t="str">
        <f>Table3[[#This Row],[Hometeam]]</f>
        <v>Chile</v>
      </c>
      <c r="M70" s="1" t="str">
        <f>IF(J70=1,J70+ROWS($J$2:J70)/10000,"")</f>
        <v/>
      </c>
      <c r="N70" s="1">
        <f>IFERROR(SMALL($M$2:$M$1705,ROWS($M$2:M70)),"")</f>
        <v>1.0673999999999999</v>
      </c>
      <c r="O70" s="1" t="str">
        <f>IF(N70&lt;&gt;"",INDEX($L$2:$L$1705,MATCH(N70,$M$2:$M$1705,0)),"")</f>
        <v>Togo</v>
      </c>
      <c r="P70" s="1">
        <f>IF(O70&lt;&gt;"",ROWS($O$2:O70),"")</f>
        <v>69</v>
      </c>
    </row>
    <row r="71" spans="1:16" x14ac:dyDescent="0.2">
      <c r="A71" s="1">
        <f>WorldCupMatches!O71</f>
        <v>1950</v>
      </c>
      <c r="B71" s="1" t="str">
        <f>WorldCupMatches!P71</f>
        <v>Uruguay</v>
      </c>
      <c r="C71" s="1">
        <f>WorldCupMatches!Q71</f>
        <v>2</v>
      </c>
      <c r="D71" s="1">
        <f>WorldCupMatches!R71</f>
        <v>2</v>
      </c>
      <c r="E71" s="1" t="str">
        <f>WorldCupMatches!S71</f>
        <v>Spain</v>
      </c>
      <c r="F71" s="1" t="str">
        <f>WorldCupMatches!T71</f>
        <v xml:space="preserve"> </v>
      </c>
      <c r="G71" s="1" t="str">
        <f>WorldCupMatches!U71</f>
        <v>Group stages</v>
      </c>
      <c r="J71" s="1">
        <f>COUNTIF($L$2:L71,L71)</f>
        <v>6</v>
      </c>
      <c r="K71" s="1">
        <f>Table3[[#This Row],[Year]]</f>
        <v>1950</v>
      </c>
      <c r="L71" s="1" t="str">
        <f>Table3[[#This Row],[Hometeam]]</f>
        <v>Uruguay</v>
      </c>
      <c r="M71" s="1" t="str">
        <f>IF(J71=1,J71+ROWS($J$2:J71)/10000,"")</f>
        <v/>
      </c>
      <c r="N71" s="1">
        <f>IFERROR(SMALL($M$2:$M$1705,ROWS($M$2:M71)),"")</f>
        <v>1.0681</v>
      </c>
      <c r="O71" s="1" t="str">
        <f>IF(N71&lt;&gt;"",INDEX($L$2:$L$1705,MATCH(N71,$M$2:$M$1705,0)),"")</f>
        <v>Iran</v>
      </c>
      <c r="P71" s="1">
        <f>IF(O71&lt;&gt;"",ROWS($O$2:O71),"")</f>
        <v>70</v>
      </c>
    </row>
    <row r="72" spans="1:16" x14ac:dyDescent="0.2">
      <c r="A72" s="1">
        <f>WorldCupMatches!O72</f>
        <v>1950</v>
      </c>
      <c r="B72" s="1" t="str">
        <f>WorldCupMatches!P72</f>
        <v>Brazil</v>
      </c>
      <c r="C72" s="1">
        <f>WorldCupMatches!Q72</f>
        <v>7</v>
      </c>
      <c r="D72" s="1">
        <f>WorldCupMatches!R72</f>
        <v>1</v>
      </c>
      <c r="E72" s="1" t="str">
        <f>WorldCupMatches!S72</f>
        <v>Sweden</v>
      </c>
      <c r="F72" s="1" t="str">
        <f>WorldCupMatches!T72</f>
        <v xml:space="preserve"> </v>
      </c>
      <c r="G72" s="1" t="str">
        <f>WorldCupMatches!U72</f>
        <v>Group stages</v>
      </c>
      <c r="J72" s="1">
        <f>COUNTIF($L$2:L72,L72)</f>
        <v>9</v>
      </c>
      <c r="K72" s="1">
        <f>Table3[[#This Row],[Year]]</f>
        <v>1950</v>
      </c>
      <c r="L72" s="1" t="str">
        <f>Table3[[#This Row],[Hometeam]]</f>
        <v>Brazil</v>
      </c>
      <c r="M72" s="1" t="str">
        <f>IF(J72=1,J72+ROWS($J$2:J72)/10000,"")</f>
        <v/>
      </c>
      <c r="N72" s="1">
        <f>IFERROR(SMALL($M$2:$M$1705,ROWS($M$2:M72)),"")</f>
        <v>1.0684</v>
      </c>
      <c r="O72" s="1" t="str">
        <f>IF(N72&lt;&gt;"",INDEX($L$2:$L$1705,MATCH(N72,$M$2:$M$1705,0)),"")</f>
        <v>Cï¿½te d'Ivoire</v>
      </c>
      <c r="P72" s="1">
        <f>IF(O72&lt;&gt;"",ROWS($O$2:O72),"")</f>
        <v>71</v>
      </c>
    </row>
    <row r="73" spans="1:16" x14ac:dyDescent="0.2">
      <c r="A73" s="1">
        <f>WorldCupMatches!O73</f>
        <v>1950</v>
      </c>
      <c r="B73" s="1" t="str">
        <f>WorldCupMatches!P73</f>
        <v>Brazil</v>
      </c>
      <c r="C73" s="1">
        <f>WorldCupMatches!Q73</f>
        <v>6</v>
      </c>
      <c r="D73" s="1">
        <f>WorldCupMatches!R73</f>
        <v>1</v>
      </c>
      <c r="E73" s="1" t="str">
        <f>WorldCupMatches!S73</f>
        <v>Spain</v>
      </c>
      <c r="F73" s="1" t="str">
        <f>WorldCupMatches!T73</f>
        <v xml:space="preserve"> </v>
      </c>
      <c r="G73" s="1" t="str">
        <f>WorldCupMatches!U73</f>
        <v>Group stages</v>
      </c>
      <c r="J73" s="1">
        <f>COUNTIF($L$2:L73,L73)</f>
        <v>10</v>
      </c>
      <c r="K73" s="1">
        <f>Table3[[#This Row],[Year]]</f>
        <v>1950</v>
      </c>
      <c r="L73" s="1" t="str">
        <f>Table3[[#This Row],[Hometeam]]</f>
        <v>Brazil</v>
      </c>
      <c r="M73" s="1" t="str">
        <f>IF(J73=1,J73+ROWS($J$2:J73)/10000,"")</f>
        <v/>
      </c>
      <c r="N73" s="1">
        <f>IFERROR(SMALL($M$2:$M$1705,ROWS($M$2:M73)),"")</f>
        <v>1.0686</v>
      </c>
      <c r="O73" s="1" t="str">
        <f>IF(N73&lt;&gt;"",INDEX($L$2:$L$1705,MATCH(N73,$M$2:$M$1705,0)),"")</f>
        <v>Ghana</v>
      </c>
      <c r="P73" s="1">
        <f>IF(O73&lt;&gt;"",ROWS($O$2:O73),"")</f>
        <v>72</v>
      </c>
    </row>
    <row r="74" spans="1:16" x14ac:dyDescent="0.2">
      <c r="A74" s="1">
        <f>WorldCupMatches!O74</f>
        <v>1950</v>
      </c>
      <c r="B74" s="1" t="str">
        <f>WorldCupMatches!P74</f>
        <v>Uruguay</v>
      </c>
      <c r="C74" s="1">
        <f>WorldCupMatches!Q74</f>
        <v>3</v>
      </c>
      <c r="D74" s="1">
        <f>WorldCupMatches!R74</f>
        <v>2</v>
      </c>
      <c r="E74" s="1" t="str">
        <f>WorldCupMatches!S74</f>
        <v>Sweden</v>
      </c>
      <c r="F74" s="1" t="str">
        <f>WorldCupMatches!T74</f>
        <v xml:space="preserve"> </v>
      </c>
      <c r="G74" s="1" t="str">
        <f>WorldCupMatches!U74</f>
        <v>Group stages</v>
      </c>
      <c r="J74" s="1">
        <f>COUNTIF($L$2:L74,L74)</f>
        <v>7</v>
      </c>
      <c r="K74" s="1">
        <f>Table3[[#This Row],[Year]]</f>
        <v>1950</v>
      </c>
      <c r="L74" s="1" t="str">
        <f>Table3[[#This Row],[Hometeam]]</f>
        <v>Uruguay</v>
      </c>
      <c r="M74" s="1" t="str">
        <f>IF(J74=1,J74+ROWS($J$2:J74)/10000,"")</f>
        <v/>
      </c>
      <c r="N74" s="1">
        <f>IFERROR(SMALL($M$2:$M$1705,ROWS($M$2:M74)),"")</f>
        <v>1.0689</v>
      </c>
      <c r="O74" s="1" t="str">
        <f>IF(N74&lt;&gt;"",INDEX($L$2:$L$1705,MATCH(N74,$M$2:$M$1705,0)),"")</f>
        <v>Ukraine</v>
      </c>
      <c r="P74" s="1">
        <f>IF(O74&lt;&gt;"",ROWS($O$2:O74),"")</f>
        <v>73</v>
      </c>
    </row>
    <row r="75" spans="1:16" x14ac:dyDescent="0.2">
      <c r="A75" s="1">
        <f>WorldCupMatches!O75</f>
        <v>1950</v>
      </c>
      <c r="B75" s="1" t="str">
        <f>WorldCupMatches!P75</f>
        <v>Sweden</v>
      </c>
      <c r="C75" s="1">
        <f>WorldCupMatches!Q75</f>
        <v>3</v>
      </c>
      <c r="D75" s="1">
        <f>WorldCupMatches!R75</f>
        <v>1</v>
      </c>
      <c r="E75" s="1" t="str">
        <f>WorldCupMatches!S75</f>
        <v>Spain</v>
      </c>
      <c r="F75" s="1" t="str">
        <f>WorldCupMatches!T75</f>
        <v xml:space="preserve"> </v>
      </c>
      <c r="G75" s="1" t="str">
        <f>WorldCupMatches!U75</f>
        <v>Group stages</v>
      </c>
      <c r="J75" s="1">
        <f>COUNTIF($L$2:L75,L75)</f>
        <v>5</v>
      </c>
      <c r="K75" s="1">
        <f>Table3[[#This Row],[Year]]</f>
        <v>1950</v>
      </c>
      <c r="L75" s="1" t="str">
        <f>Table3[[#This Row],[Hometeam]]</f>
        <v>Sweden</v>
      </c>
      <c r="M75" s="1" t="str">
        <f>IF(J75=1,J75+ROWS($J$2:J75)/10000,"")</f>
        <v/>
      </c>
      <c r="N75" s="1">
        <f>IFERROR(SMALL($M$2:$M$1705,ROWS($M$2:M75)),"")</f>
        <v>1.0714999999999999</v>
      </c>
      <c r="O75" s="1" t="str">
        <f>IF(N75&lt;&gt;"",INDEX($L$2:$L$1705,MATCH(N75,$M$2:$M$1705,0)),"")</f>
        <v>Serbia</v>
      </c>
      <c r="P75" s="1">
        <f>IF(O75&lt;&gt;"",ROWS($O$2:O75),"")</f>
        <v>74</v>
      </c>
    </row>
    <row r="76" spans="1:16" x14ac:dyDescent="0.2">
      <c r="A76" s="1">
        <f>WorldCupMatches!O76</f>
        <v>1950</v>
      </c>
      <c r="B76" s="1" t="str">
        <f>WorldCupMatches!P76</f>
        <v>Uruguay</v>
      </c>
      <c r="C76" s="1">
        <f>WorldCupMatches!Q76</f>
        <v>2</v>
      </c>
      <c r="D76" s="1">
        <f>WorldCupMatches!R76</f>
        <v>1</v>
      </c>
      <c r="E76" s="1" t="str">
        <f>WorldCupMatches!S76</f>
        <v>Brazil</v>
      </c>
      <c r="F76" s="1" t="str">
        <f>WorldCupMatches!T76</f>
        <v xml:space="preserve"> </v>
      </c>
      <c r="G76" s="1" t="str">
        <f>WorldCupMatches!U76</f>
        <v>Group stages</v>
      </c>
      <c r="J76" s="1">
        <f>COUNTIF($L$2:L76,L76)</f>
        <v>8</v>
      </c>
      <c r="K76" s="1">
        <f>Table3[[#This Row],[Year]]</f>
        <v>1950</v>
      </c>
      <c r="L76" s="1" t="str">
        <f>Table3[[#This Row],[Hometeam]]</f>
        <v>Uruguay</v>
      </c>
      <c r="M76" s="1" t="str">
        <f>IF(J76=1,J76+ROWS($J$2:J76)/10000,"")</f>
        <v/>
      </c>
      <c r="N76" s="1">
        <f>IFERROR(SMALL($M$2:$M$1705,ROWS($M$2:M76)),"")</f>
        <v>1.0720000000000001</v>
      </c>
      <c r="O76" s="1" t="str">
        <f>IF(N76&lt;&gt;"",INDEX($L$2:$L$1705,MATCH(N76,$M$2:$M$1705,0)),"")</f>
        <v>New Zealand</v>
      </c>
      <c r="P76" s="1">
        <f>IF(O76&lt;&gt;"",ROWS($O$2:O76),"")</f>
        <v>75</v>
      </c>
    </row>
    <row r="77" spans="1:16" x14ac:dyDescent="0.2">
      <c r="A77" s="1">
        <f>WorldCupMatches!O77</f>
        <v>1954</v>
      </c>
      <c r="B77" s="1" t="str">
        <f>WorldCupMatches!P77</f>
        <v>Uruguay</v>
      </c>
      <c r="C77" s="1">
        <f>WorldCupMatches!Q77</f>
        <v>2</v>
      </c>
      <c r="D77" s="1">
        <f>WorldCupMatches!R77</f>
        <v>0</v>
      </c>
      <c r="E77" s="1" t="str">
        <f>WorldCupMatches!S77</f>
        <v>Czechoslovakia</v>
      </c>
      <c r="F77" s="1" t="str">
        <f>WorldCupMatches!T77</f>
        <v xml:space="preserve"> </v>
      </c>
      <c r="G77" s="1" t="str">
        <f>WorldCupMatches!U77</f>
        <v>Group stages</v>
      </c>
      <c r="J77" s="1">
        <f>COUNTIF($L$2:L77,L77)</f>
        <v>9</v>
      </c>
      <c r="K77" s="1">
        <f>Table3[[#This Row],[Year]]</f>
        <v>1954</v>
      </c>
      <c r="L77" s="1" t="str">
        <f>Table3[[#This Row],[Hometeam]]</f>
        <v>Uruguay</v>
      </c>
      <c r="M77" s="1" t="str">
        <f>IF(J77=1,J77+ROWS($J$2:J77)/10000,"")</f>
        <v/>
      </c>
      <c r="N77" s="1">
        <f>IFERROR(SMALL($M$2:$M$1705,ROWS($M$2:M77)),"")</f>
        <v>1.0734999999999999</v>
      </c>
      <c r="O77" s="1" t="str">
        <f>IF(N77&lt;&gt;"",INDEX($L$2:$L$1705,MATCH(N77,$M$2:$M$1705,0)),"")</f>
        <v>Slovakia</v>
      </c>
      <c r="P77" s="1">
        <f>IF(O77&lt;&gt;"",ROWS($O$2:O77),"")</f>
        <v>76</v>
      </c>
    </row>
    <row r="78" spans="1:16" x14ac:dyDescent="0.2">
      <c r="A78" s="1">
        <f>WorldCupMatches!O78</f>
        <v>1954</v>
      </c>
      <c r="B78" s="1" t="str">
        <f>WorldCupMatches!P78</f>
        <v>Austria</v>
      </c>
      <c r="C78" s="1">
        <f>WorldCupMatches!Q78</f>
        <v>1</v>
      </c>
      <c r="D78" s="1">
        <f>WorldCupMatches!R78</f>
        <v>0</v>
      </c>
      <c r="E78" s="1" t="str">
        <f>WorldCupMatches!S78</f>
        <v>Scotland</v>
      </c>
      <c r="F78" s="1" t="str">
        <f>WorldCupMatches!T78</f>
        <v xml:space="preserve"> </v>
      </c>
      <c r="G78" s="1" t="str">
        <f>WorldCupMatches!U78</f>
        <v>Group stages</v>
      </c>
      <c r="J78" s="1">
        <f>COUNTIF($L$2:L78,L78)</f>
        <v>3</v>
      </c>
      <c r="K78" s="1">
        <f>Table3[[#This Row],[Year]]</f>
        <v>1954</v>
      </c>
      <c r="L78" s="1" t="str">
        <f>Table3[[#This Row],[Hometeam]]</f>
        <v>Austria</v>
      </c>
      <c r="M78" s="1" t="str">
        <f>IF(J78=1,J78+ROWS($J$2:J78)/10000,"")</f>
        <v/>
      </c>
      <c r="N78" s="1">
        <f>IFERROR(SMALL($M$2:$M$1705,ROWS($M$2:M78)),"")</f>
        <v>1.0785</v>
      </c>
      <c r="O78" s="1" t="str">
        <f>IF(N78&lt;&gt;"",INDEX($L$2:$L$1705,MATCH(N78,$M$2:$M$1705,0)),"")</f>
        <v>IR Iran</v>
      </c>
      <c r="P78" s="1">
        <f>IF(O78&lt;&gt;"",ROWS($O$2:O78),"")</f>
        <v>77</v>
      </c>
    </row>
    <row r="79" spans="1:16" x14ac:dyDescent="0.2">
      <c r="A79" s="1">
        <f>WorldCupMatches!O79</f>
        <v>1954</v>
      </c>
      <c r="B79" s="1" t="str">
        <f>WorldCupMatches!P79</f>
        <v>Brazil</v>
      </c>
      <c r="C79" s="1">
        <f>WorldCupMatches!Q79</f>
        <v>5</v>
      </c>
      <c r="D79" s="1">
        <f>WorldCupMatches!R79</f>
        <v>0</v>
      </c>
      <c r="E79" s="1" t="str">
        <f>WorldCupMatches!S79</f>
        <v>Mexico</v>
      </c>
      <c r="F79" s="1" t="str">
        <f>WorldCupMatches!T79</f>
        <v xml:space="preserve"> </v>
      </c>
      <c r="G79" s="1" t="str">
        <f>WorldCupMatches!U79</f>
        <v>Group stages</v>
      </c>
      <c r="J79" s="1">
        <f>COUNTIF($L$2:L79,L79)</f>
        <v>11</v>
      </c>
      <c r="K79" s="1">
        <f>Table3[[#This Row],[Year]]</f>
        <v>1954</v>
      </c>
      <c r="L79" s="1" t="str">
        <f>Table3[[#This Row],[Hometeam]]</f>
        <v>Brazil</v>
      </c>
      <c r="M79" s="1" t="str">
        <f>IF(J79=1,J79+ROWS($J$2:J79)/10000,"")</f>
        <v/>
      </c>
      <c r="N79" s="1">
        <f>IFERROR(SMALL($M$2:$M$1705,ROWS($M$2:M79)),"")</f>
        <v>1.0813999999999999</v>
      </c>
      <c r="O79" s="1" t="str">
        <f>IF(N79&lt;&gt;"",INDEX($L$2:$L$1705,MATCH(N79,$M$2:$M$1705,0)),"")</f>
        <v>Bosnia and Herzegovina</v>
      </c>
      <c r="P79" s="1">
        <f>IF(O79&lt;&gt;"",ROWS($O$2:O79),"")</f>
        <v>78</v>
      </c>
    </row>
    <row r="80" spans="1:16" x14ac:dyDescent="0.2">
      <c r="A80" s="1">
        <f>WorldCupMatches!O80</f>
        <v>1954</v>
      </c>
      <c r="B80" s="1" t="str">
        <f>WorldCupMatches!P80</f>
        <v>Yugoslavia</v>
      </c>
      <c r="C80" s="1">
        <f>WorldCupMatches!Q80</f>
        <v>1</v>
      </c>
      <c r="D80" s="1">
        <f>WorldCupMatches!R80</f>
        <v>0</v>
      </c>
      <c r="E80" s="1" t="str">
        <f>WorldCupMatches!S80</f>
        <v>France</v>
      </c>
      <c r="F80" s="1" t="str">
        <f>WorldCupMatches!T80</f>
        <v xml:space="preserve"> </v>
      </c>
      <c r="G80" s="1" t="str">
        <f>WorldCupMatches!U80</f>
        <v>Group stages</v>
      </c>
      <c r="J80" s="1">
        <f>COUNTIF($L$2:L80,L80)</f>
        <v>5</v>
      </c>
      <c r="K80" s="1">
        <f>Table3[[#This Row],[Year]]</f>
        <v>1954</v>
      </c>
      <c r="L80" s="1" t="str">
        <f>Table3[[#This Row],[Hometeam]]</f>
        <v>Yugoslavia</v>
      </c>
      <c r="M80" s="1" t="str">
        <f>IF(J80=1,J80+ROWS($J$2:J80)/10000,"")</f>
        <v/>
      </c>
      <c r="N80" s="1">
        <f>IFERROR(SMALL($M$2:$M$1705,ROWS($M$2:M80)),"")</f>
        <v>1.0871999999999999</v>
      </c>
      <c r="O80" s="1" t="str">
        <f>IF(N80&lt;&gt;"",INDEX($L$2:$L$1705,MATCH(N80,$M$2:$M$1705,0)),"")</f>
        <v>Egypt</v>
      </c>
      <c r="P80" s="1">
        <f>IF(O80&lt;&gt;"",ROWS($O$2:O80),"")</f>
        <v>79</v>
      </c>
    </row>
    <row r="81" spans="1:16" x14ac:dyDescent="0.2">
      <c r="A81" s="1">
        <f>WorldCupMatches!O81</f>
        <v>1954</v>
      </c>
      <c r="B81" s="1" t="str">
        <f>WorldCupMatches!P81</f>
        <v>Germany FR</v>
      </c>
      <c r="C81" s="1">
        <f>WorldCupMatches!Q81</f>
        <v>4</v>
      </c>
      <c r="D81" s="1">
        <f>WorldCupMatches!R81</f>
        <v>1</v>
      </c>
      <c r="E81" s="1" t="str">
        <f>WorldCupMatches!S81</f>
        <v>Turkey</v>
      </c>
      <c r="F81" s="1" t="str">
        <f>WorldCupMatches!T81</f>
        <v xml:space="preserve"> </v>
      </c>
      <c r="G81" s="1" t="str">
        <f>WorldCupMatches!U81</f>
        <v>Group stages</v>
      </c>
      <c r="J81" s="1">
        <f>COUNTIF($L$2:L81,L81)</f>
        <v>1</v>
      </c>
      <c r="K81" s="1">
        <f>Table3[[#This Row],[Year]]</f>
        <v>1954</v>
      </c>
      <c r="L81" s="1" t="str">
        <f>Table3[[#This Row],[Hometeam]]</f>
        <v>Germany FR</v>
      </c>
      <c r="M81" s="1">
        <f>IF(J81=1,J81+ROWS($J$2:J81)/10000,"")</f>
        <v>1.008</v>
      </c>
      <c r="N81" s="1">
        <f>IFERROR(SMALL($M$2:$M$1705,ROWS($M$2:M81)),"")</f>
        <v>1.0889</v>
      </c>
      <c r="O81" s="1" t="str">
        <f>IF(N81&lt;&gt;"",INDEX($L$2:$L$1705,MATCH(N81,$M$2:$M$1705,0)),"")</f>
        <v>Dutch East Indies</v>
      </c>
      <c r="P81" s="1">
        <f>IF(O81&lt;&gt;"",ROWS($O$2:O81),"")</f>
        <v>80</v>
      </c>
    </row>
    <row r="82" spans="1:16" x14ac:dyDescent="0.2">
      <c r="A82" s="1">
        <f>WorldCupMatches!O82</f>
        <v>1954</v>
      </c>
      <c r="B82" s="1" t="str">
        <f>WorldCupMatches!P82</f>
        <v>Hungary</v>
      </c>
      <c r="C82" s="1">
        <f>WorldCupMatches!Q82</f>
        <v>9</v>
      </c>
      <c r="D82" s="1">
        <f>WorldCupMatches!R82</f>
        <v>0</v>
      </c>
      <c r="E82" s="1" t="str">
        <f>WorldCupMatches!S82</f>
        <v>Korea Republic</v>
      </c>
      <c r="F82" s="1" t="str">
        <f>WorldCupMatches!T82</f>
        <v xml:space="preserve"> </v>
      </c>
      <c r="G82" s="1" t="str">
        <f>WorldCupMatches!U82</f>
        <v>Group stages</v>
      </c>
      <c r="J82" s="1">
        <f>COUNTIF($L$2:L82,L82)</f>
        <v>5</v>
      </c>
      <c r="K82" s="1">
        <f>Table3[[#This Row],[Year]]</f>
        <v>1954</v>
      </c>
      <c r="L82" s="1" t="str">
        <f>Table3[[#This Row],[Hometeam]]</f>
        <v>Hungary</v>
      </c>
      <c r="M82" s="1" t="str">
        <f>IF(J82=1,J82+ROWS($J$2:J82)/10000,"")</f>
        <v/>
      </c>
      <c r="N82" s="1">
        <f>IFERROR(SMALL($M$2:$M$1705,ROWS($M$2:M82)),"")</f>
        <v>1.1053999999999999</v>
      </c>
      <c r="O82" s="1" t="str">
        <f>IF(N82&lt;&gt;"",INDEX($L$2:$L$1705,MATCH(N82,$M$2:$M$1705,0)),"")</f>
        <v>Israel</v>
      </c>
      <c r="P82" s="1">
        <f>IF(O82&lt;&gt;"",ROWS($O$2:O82),"")</f>
        <v>81</v>
      </c>
    </row>
    <row r="83" spans="1:16" x14ac:dyDescent="0.2">
      <c r="A83" s="1">
        <f>WorldCupMatches!O83</f>
        <v>1954</v>
      </c>
      <c r="B83" s="1" t="str">
        <f>WorldCupMatches!P83</f>
        <v>England</v>
      </c>
      <c r="C83" s="1">
        <f>WorldCupMatches!Q83</f>
        <v>4</v>
      </c>
      <c r="D83" s="1">
        <f>WorldCupMatches!R83</f>
        <v>4</v>
      </c>
      <c r="E83" s="1" t="str">
        <f>WorldCupMatches!S83</f>
        <v>Belgium</v>
      </c>
      <c r="F83" s="1" t="str">
        <f>WorldCupMatches!T83</f>
        <v xml:space="preserve"> </v>
      </c>
      <c r="G83" s="1" t="str">
        <f>WorldCupMatches!U83</f>
        <v>Group stages</v>
      </c>
      <c r="J83" s="1">
        <f>COUNTIF($L$2:L83,L83)</f>
        <v>2</v>
      </c>
      <c r="K83" s="1">
        <f>Table3[[#This Row],[Year]]</f>
        <v>1954</v>
      </c>
      <c r="L83" s="1" t="str">
        <f>Table3[[#This Row],[Hometeam]]</f>
        <v>England</v>
      </c>
      <c r="M83" s="1" t="str">
        <f>IF(J83=1,J83+ROWS($J$2:J83)/10000,"")</f>
        <v/>
      </c>
      <c r="N83" s="1">
        <f>IFERROR(SMALL($M$2:$M$1705,ROWS($M$2:M83)),"")</f>
        <v>1.1060000000000001</v>
      </c>
      <c r="O83" s="1" t="str">
        <f>IF(N83&lt;&gt;"",INDEX($L$2:$L$1705,MATCH(N83,$M$2:$M$1705,0)),"")</f>
        <v>El Salvador</v>
      </c>
      <c r="P83" s="1">
        <f>IF(O83&lt;&gt;"",ROWS($O$2:O83),"")</f>
        <v>82</v>
      </c>
    </row>
    <row r="84" spans="1:16" x14ac:dyDescent="0.2">
      <c r="A84" s="1">
        <f>WorldCupMatches!O84</f>
        <v>1954</v>
      </c>
      <c r="B84" s="1" t="str">
        <f>WorldCupMatches!P84</f>
        <v>Switzerland</v>
      </c>
      <c r="C84" s="1">
        <f>WorldCupMatches!Q84</f>
        <v>2</v>
      </c>
      <c r="D84" s="1">
        <f>WorldCupMatches!R84</f>
        <v>1</v>
      </c>
      <c r="E84" s="1" t="str">
        <f>WorldCupMatches!S84</f>
        <v>Italy</v>
      </c>
      <c r="F84" s="1" t="str">
        <f>WorldCupMatches!T84</f>
        <v xml:space="preserve"> </v>
      </c>
      <c r="G84" s="1" t="str">
        <f>WorldCupMatches!U84</f>
        <v>Group stages</v>
      </c>
      <c r="J84" s="1">
        <f>COUNTIF($L$2:L84,L84)</f>
        <v>5</v>
      </c>
      <c r="K84" s="1">
        <f>Table3[[#This Row],[Year]]</f>
        <v>1954</v>
      </c>
      <c r="L84" s="1" t="str">
        <f>Table3[[#This Row],[Hometeam]]</f>
        <v>Switzerland</v>
      </c>
      <c r="M84" s="1" t="str">
        <f>IF(J84=1,J84+ROWS($J$2:J84)/10000,"")</f>
        <v/>
      </c>
      <c r="N84" s="1">
        <f>IFERROR(SMALL($M$2:$M$1705,ROWS($M$2:M84)),"")</f>
        <v>1.1171</v>
      </c>
      <c r="O84" s="1" t="str">
        <f>IF(N84&lt;&gt;"",INDEX($L$2:$L$1705,MATCH(N84,$M$2:$M$1705,0)),"")</f>
        <v>Kuwait</v>
      </c>
      <c r="P84" s="1">
        <f>IF(O84&lt;&gt;"",ROWS($O$2:O84),"")</f>
        <v>83</v>
      </c>
    </row>
    <row r="85" spans="1:16" x14ac:dyDescent="0.2">
      <c r="A85" s="1">
        <f>WorldCupMatches!O85</f>
        <v>1954</v>
      </c>
      <c r="B85" s="1" t="str">
        <f>WorldCupMatches!P85</f>
        <v>Uruguay</v>
      </c>
      <c r="C85" s="1">
        <f>WorldCupMatches!Q85</f>
        <v>7</v>
      </c>
      <c r="D85" s="1">
        <f>WorldCupMatches!R85</f>
        <v>0</v>
      </c>
      <c r="E85" s="1" t="str">
        <f>WorldCupMatches!S85</f>
        <v>Scotland</v>
      </c>
      <c r="F85" s="1" t="str">
        <f>WorldCupMatches!T85</f>
        <v xml:space="preserve"> </v>
      </c>
      <c r="G85" s="1" t="str">
        <f>WorldCupMatches!U85</f>
        <v>Group stages</v>
      </c>
      <c r="J85" s="1">
        <f>COUNTIF($L$2:L85,L85)</f>
        <v>10</v>
      </c>
      <c r="K85" s="1">
        <f>Table3[[#This Row],[Year]]</f>
        <v>1954</v>
      </c>
      <c r="L85" s="1" t="str">
        <f>Table3[[#This Row],[Hometeam]]</f>
        <v>Uruguay</v>
      </c>
      <c r="M85" s="1" t="str">
        <f>IF(J85=1,J85+ROWS($J$2:J85)/10000,"")</f>
        <v/>
      </c>
      <c r="N85" s="1" t="str">
        <f>IFERROR(SMALL($M$2:$M$1705,ROWS($M$2:M85)),"")</f>
        <v/>
      </c>
      <c r="O85" s="1" t="str">
        <f>IF(N85&lt;&gt;"",INDEX($L$2:$L$1705,MATCH(N85,$M$2:$M$1705,0)),"")</f>
        <v/>
      </c>
      <c r="P85" s="1" t="str">
        <f>IF(O85&lt;&gt;"",ROWS($O$2:O85),"")</f>
        <v/>
      </c>
    </row>
    <row r="86" spans="1:16" x14ac:dyDescent="0.2">
      <c r="A86" s="1">
        <f>WorldCupMatches!O86</f>
        <v>1954</v>
      </c>
      <c r="B86" s="1" t="str">
        <f>WorldCupMatches!P86</f>
        <v>Austria</v>
      </c>
      <c r="C86" s="1">
        <f>WorldCupMatches!Q86</f>
        <v>5</v>
      </c>
      <c r="D86" s="1">
        <f>WorldCupMatches!R86</f>
        <v>0</v>
      </c>
      <c r="E86" s="1" t="str">
        <f>WorldCupMatches!S86</f>
        <v>Czechoslovakia</v>
      </c>
      <c r="F86" s="1" t="str">
        <f>WorldCupMatches!T86</f>
        <v xml:space="preserve"> </v>
      </c>
      <c r="G86" s="1" t="str">
        <f>WorldCupMatches!U86</f>
        <v>Group stages</v>
      </c>
      <c r="J86" s="1">
        <f>COUNTIF($L$2:L86,L86)</f>
        <v>4</v>
      </c>
      <c r="K86" s="1">
        <f>Table3[[#This Row],[Year]]</f>
        <v>1954</v>
      </c>
      <c r="L86" s="1" t="str">
        <f>Table3[[#This Row],[Hometeam]]</f>
        <v>Austria</v>
      </c>
      <c r="M86" s="1" t="str">
        <f>IF(J86=1,J86+ROWS($J$2:J86)/10000,"")</f>
        <v/>
      </c>
      <c r="N86" s="1" t="str">
        <f>IFERROR(SMALL($M$2:$M$1705,ROWS($M$2:M86)),"")</f>
        <v/>
      </c>
      <c r="O86" s="1" t="str">
        <f>IF(N86&lt;&gt;"",INDEX($L$2:$L$1705,MATCH(N86,$M$2:$M$1705,0)),"")</f>
        <v/>
      </c>
      <c r="P86" s="1" t="str">
        <f>IF(O86&lt;&gt;"",ROWS($O$2:O86),"")</f>
        <v/>
      </c>
    </row>
    <row r="87" spans="1:16" x14ac:dyDescent="0.2">
      <c r="A87" s="1">
        <f>WorldCupMatches!O87</f>
        <v>1954</v>
      </c>
      <c r="B87" s="1" t="str">
        <f>WorldCupMatches!P87</f>
        <v>France</v>
      </c>
      <c r="C87" s="1">
        <f>WorldCupMatches!Q87</f>
        <v>3</v>
      </c>
      <c r="D87" s="1">
        <f>WorldCupMatches!R87</f>
        <v>2</v>
      </c>
      <c r="E87" s="1" t="str">
        <f>WorldCupMatches!S87</f>
        <v>Mexico</v>
      </c>
      <c r="F87" s="1" t="str">
        <f>WorldCupMatches!T87</f>
        <v xml:space="preserve"> </v>
      </c>
      <c r="G87" s="1" t="str">
        <f>WorldCupMatches!U87</f>
        <v>Group stages</v>
      </c>
      <c r="J87" s="1">
        <f>COUNTIF($L$2:L87,L87)</f>
        <v>3</v>
      </c>
      <c r="K87" s="1">
        <f>Table3[[#This Row],[Year]]</f>
        <v>1954</v>
      </c>
      <c r="L87" s="1" t="str">
        <f>Table3[[#This Row],[Hometeam]]</f>
        <v>France</v>
      </c>
      <c r="M87" s="1" t="str">
        <f>IF(J87=1,J87+ROWS($J$2:J87)/10000,"")</f>
        <v/>
      </c>
      <c r="N87" s="1" t="str">
        <f>IFERROR(SMALL($M$2:$M$1705,ROWS($M$2:M87)),"")</f>
        <v/>
      </c>
      <c r="O87" s="1" t="str">
        <f>IF(N87&lt;&gt;"",INDEX($L$2:$L$1705,MATCH(N87,$M$2:$M$1705,0)),"")</f>
        <v/>
      </c>
      <c r="P87" s="1" t="str">
        <f>IF(O87&lt;&gt;"",ROWS($O$2:O87),"")</f>
        <v/>
      </c>
    </row>
    <row r="88" spans="1:16" x14ac:dyDescent="0.2">
      <c r="A88" s="1">
        <f>WorldCupMatches!O88</f>
        <v>1954</v>
      </c>
      <c r="B88" s="1" t="str">
        <f>WorldCupMatches!P88</f>
        <v>Brazil</v>
      </c>
      <c r="C88" s="1">
        <f>WorldCupMatches!Q88</f>
        <v>1</v>
      </c>
      <c r="D88" s="1">
        <f>WorldCupMatches!R88</f>
        <v>1</v>
      </c>
      <c r="E88" s="1" t="str">
        <f>WorldCupMatches!S88</f>
        <v>Yugoslavia</v>
      </c>
      <c r="F88" s="1" t="str">
        <f>WorldCupMatches!T88</f>
        <v xml:space="preserve"> </v>
      </c>
      <c r="G88" s="1" t="str">
        <f>WorldCupMatches!U88</f>
        <v>Group stages</v>
      </c>
      <c r="J88" s="1">
        <f>COUNTIF($L$2:L88,L88)</f>
        <v>12</v>
      </c>
      <c r="K88" s="1">
        <f>Table3[[#This Row],[Year]]</f>
        <v>1954</v>
      </c>
      <c r="L88" s="1" t="str">
        <f>Table3[[#This Row],[Hometeam]]</f>
        <v>Brazil</v>
      </c>
      <c r="M88" s="1" t="str">
        <f>IF(J88=1,J88+ROWS($J$2:J88)/10000,"")</f>
        <v/>
      </c>
      <c r="N88" s="1" t="str">
        <f>IFERROR(SMALL($M$2:$M$1705,ROWS($M$2:M88)),"")</f>
        <v/>
      </c>
      <c r="O88" s="1" t="str">
        <f>IF(N88&lt;&gt;"",INDEX($L$2:$L$1705,MATCH(N88,$M$2:$M$1705,0)),"")</f>
        <v/>
      </c>
      <c r="P88" s="1" t="str">
        <f>IF(O88&lt;&gt;"",ROWS($O$2:O88),"")</f>
        <v/>
      </c>
    </row>
    <row r="89" spans="1:16" x14ac:dyDescent="0.2">
      <c r="A89" s="1">
        <f>WorldCupMatches!O89</f>
        <v>1954</v>
      </c>
      <c r="B89" s="1" t="str">
        <f>WorldCupMatches!P89</f>
        <v>Hungary</v>
      </c>
      <c r="C89" s="1">
        <f>WorldCupMatches!Q89</f>
        <v>8</v>
      </c>
      <c r="D89" s="1">
        <f>WorldCupMatches!R89</f>
        <v>3</v>
      </c>
      <c r="E89" s="1" t="str">
        <f>WorldCupMatches!S89</f>
        <v>Germany FR</v>
      </c>
      <c r="F89" s="1" t="str">
        <f>WorldCupMatches!T89</f>
        <v xml:space="preserve"> </v>
      </c>
      <c r="G89" s="1" t="str">
        <f>WorldCupMatches!U89</f>
        <v>Group stages</v>
      </c>
      <c r="J89" s="1">
        <f>COUNTIF($L$2:L89,L89)</f>
        <v>6</v>
      </c>
      <c r="K89" s="1">
        <f>Table3[[#This Row],[Year]]</f>
        <v>1954</v>
      </c>
      <c r="L89" s="1" t="str">
        <f>Table3[[#This Row],[Hometeam]]</f>
        <v>Hungary</v>
      </c>
      <c r="M89" s="1" t="str">
        <f>IF(J89=1,J89+ROWS($J$2:J89)/10000,"")</f>
        <v/>
      </c>
      <c r="N89" s="1" t="str">
        <f>IFERROR(SMALL($M$2:$M$1705,ROWS($M$2:M89)),"")</f>
        <v/>
      </c>
      <c r="O89" s="1" t="str">
        <f>IF(N89&lt;&gt;"",INDEX($L$2:$L$1705,MATCH(N89,$M$2:$M$1705,0)),"")</f>
        <v/>
      </c>
      <c r="P89" s="1" t="str">
        <f>IF(O89&lt;&gt;"",ROWS($O$2:O89),"")</f>
        <v/>
      </c>
    </row>
    <row r="90" spans="1:16" x14ac:dyDescent="0.2">
      <c r="A90" s="1">
        <f>WorldCupMatches!O90</f>
        <v>1954</v>
      </c>
      <c r="B90" s="1" t="str">
        <f>WorldCupMatches!P90</f>
        <v>Turkey</v>
      </c>
      <c r="C90" s="1">
        <f>WorldCupMatches!Q90</f>
        <v>7</v>
      </c>
      <c r="D90" s="1">
        <f>WorldCupMatches!R90</f>
        <v>0</v>
      </c>
      <c r="E90" s="1" t="str">
        <f>WorldCupMatches!S90</f>
        <v>Korea Republic</v>
      </c>
      <c r="F90" s="1" t="str">
        <f>WorldCupMatches!T90</f>
        <v xml:space="preserve"> </v>
      </c>
      <c r="G90" s="1" t="str">
        <f>WorldCupMatches!U90</f>
        <v>Group stages</v>
      </c>
      <c r="J90" s="1">
        <f>COUNTIF($L$2:L90,L90)</f>
        <v>1</v>
      </c>
      <c r="K90" s="1">
        <f>Table3[[#This Row],[Year]]</f>
        <v>1954</v>
      </c>
      <c r="L90" s="1" t="str">
        <f>Table3[[#This Row],[Hometeam]]</f>
        <v>Turkey</v>
      </c>
      <c r="M90" s="1">
        <f>IF(J90=1,J90+ROWS($J$2:J90)/10000,"")</f>
        <v>1.0088999999999999</v>
      </c>
      <c r="N90" s="1" t="str">
        <f>IFERROR(SMALL($M$2:$M$1705,ROWS($M$2:M90)),"")</f>
        <v/>
      </c>
      <c r="O90" s="1" t="str">
        <f>IF(N90&lt;&gt;"",INDEX($L$2:$L$1705,MATCH(N90,$M$2:$M$1705,0)),"")</f>
        <v/>
      </c>
      <c r="P90" s="1" t="str">
        <f>IF(O90&lt;&gt;"",ROWS($O$2:O90),"")</f>
        <v/>
      </c>
    </row>
    <row r="91" spans="1:16" x14ac:dyDescent="0.2">
      <c r="A91" s="1">
        <f>WorldCupMatches!O91</f>
        <v>1954</v>
      </c>
      <c r="B91" s="1" t="str">
        <f>WorldCupMatches!P91</f>
        <v>England</v>
      </c>
      <c r="C91" s="1">
        <f>WorldCupMatches!Q91</f>
        <v>2</v>
      </c>
      <c r="D91" s="1">
        <f>WorldCupMatches!R91</f>
        <v>0</v>
      </c>
      <c r="E91" s="1" t="str">
        <f>WorldCupMatches!S91</f>
        <v>Switzerland</v>
      </c>
      <c r="F91" s="1" t="str">
        <f>WorldCupMatches!T91</f>
        <v xml:space="preserve"> </v>
      </c>
      <c r="G91" s="1" t="str">
        <f>WorldCupMatches!U91</f>
        <v>Group stages</v>
      </c>
      <c r="J91" s="1">
        <f>COUNTIF($L$2:L91,L91)</f>
        <v>3</v>
      </c>
      <c r="K91" s="1">
        <f>Table3[[#This Row],[Year]]</f>
        <v>1954</v>
      </c>
      <c r="L91" s="1" t="str">
        <f>Table3[[#This Row],[Hometeam]]</f>
        <v>England</v>
      </c>
      <c r="M91" s="1" t="str">
        <f>IF(J91=1,J91+ROWS($J$2:J91)/10000,"")</f>
        <v/>
      </c>
      <c r="N91" s="1" t="str">
        <f>IFERROR(SMALL($M$2:$M$1705,ROWS($M$2:M91)),"")</f>
        <v/>
      </c>
      <c r="O91" s="1" t="str">
        <f>IF(N91&lt;&gt;"",INDEX($L$2:$L$1705,MATCH(N91,$M$2:$M$1705,0)),"")</f>
        <v/>
      </c>
      <c r="P91" s="1" t="str">
        <f>IF(O91&lt;&gt;"",ROWS($O$2:O91),"")</f>
        <v/>
      </c>
    </row>
    <row r="92" spans="1:16" x14ac:dyDescent="0.2">
      <c r="A92" s="1">
        <f>WorldCupMatches!O92</f>
        <v>1954</v>
      </c>
      <c r="B92" s="1" t="str">
        <f>WorldCupMatches!P92</f>
        <v>Italy</v>
      </c>
      <c r="C92" s="1">
        <f>WorldCupMatches!Q92</f>
        <v>4</v>
      </c>
      <c r="D92" s="1">
        <f>WorldCupMatches!R92</f>
        <v>1</v>
      </c>
      <c r="E92" s="1" t="str">
        <f>WorldCupMatches!S92</f>
        <v>Belgium</v>
      </c>
      <c r="F92" s="1" t="str">
        <f>WorldCupMatches!T92</f>
        <v xml:space="preserve"> </v>
      </c>
      <c r="G92" s="1" t="str">
        <f>WorldCupMatches!U92</f>
        <v>Group stages</v>
      </c>
      <c r="J92" s="1">
        <f>COUNTIF($L$2:L92,L92)</f>
        <v>11</v>
      </c>
      <c r="K92" s="1">
        <f>Table3[[#This Row],[Year]]</f>
        <v>1954</v>
      </c>
      <c r="L92" s="1" t="str">
        <f>Table3[[#This Row],[Hometeam]]</f>
        <v>Italy</v>
      </c>
      <c r="M92" s="1" t="str">
        <f>IF(J92=1,J92+ROWS($J$2:J92)/10000,"")</f>
        <v/>
      </c>
      <c r="N92" s="1" t="str">
        <f>IFERROR(SMALL($M$2:$M$1705,ROWS($M$2:M92)),"")</f>
        <v/>
      </c>
      <c r="O92" s="1" t="str">
        <f>IF(N92&lt;&gt;"",INDEX($L$2:$L$1705,MATCH(N92,$M$2:$M$1705,0)),"")</f>
        <v/>
      </c>
      <c r="P92" s="1" t="str">
        <f>IF(O92&lt;&gt;"",ROWS($O$2:O92),"")</f>
        <v/>
      </c>
    </row>
    <row r="93" spans="1:16" x14ac:dyDescent="0.2">
      <c r="A93" s="1">
        <f>WorldCupMatches!O93</f>
        <v>1954</v>
      </c>
      <c r="B93" s="1" t="str">
        <f>WorldCupMatches!P93</f>
        <v>Germany FR</v>
      </c>
      <c r="C93" s="1">
        <f>WorldCupMatches!Q93</f>
        <v>7</v>
      </c>
      <c r="D93" s="1">
        <f>WorldCupMatches!R93</f>
        <v>2</v>
      </c>
      <c r="E93" s="1" t="str">
        <f>WorldCupMatches!S93</f>
        <v>Turkey</v>
      </c>
      <c r="F93" s="1" t="str">
        <f>WorldCupMatches!T93</f>
        <v xml:space="preserve"> </v>
      </c>
      <c r="G93" s="1" t="str">
        <f>WorldCupMatches!U93</f>
        <v>Group stages</v>
      </c>
      <c r="J93" s="1">
        <f>COUNTIF($L$2:L93,L93)</f>
        <v>2</v>
      </c>
      <c r="K93" s="1">
        <f>Table3[[#This Row],[Year]]</f>
        <v>1954</v>
      </c>
      <c r="L93" s="1" t="str">
        <f>Table3[[#This Row],[Hometeam]]</f>
        <v>Germany FR</v>
      </c>
      <c r="M93" s="1" t="str">
        <f>IF(J93=1,J93+ROWS($J$2:J93)/10000,"")</f>
        <v/>
      </c>
      <c r="N93" s="1" t="str">
        <f>IFERROR(SMALL($M$2:$M$1705,ROWS($M$2:M93)),"")</f>
        <v/>
      </c>
      <c r="O93" s="1" t="str">
        <f>IF(N93&lt;&gt;"",INDEX($L$2:$L$1705,MATCH(N93,$M$2:$M$1705,0)),"")</f>
        <v/>
      </c>
      <c r="P93" s="1" t="str">
        <f>IF(O93&lt;&gt;"",ROWS($O$2:O93),"")</f>
        <v/>
      </c>
    </row>
    <row r="94" spans="1:16" x14ac:dyDescent="0.2">
      <c r="A94" s="1">
        <f>WorldCupMatches!O94</f>
        <v>1954</v>
      </c>
      <c r="B94" s="1" t="str">
        <f>WorldCupMatches!P94</f>
        <v>Switzerland</v>
      </c>
      <c r="C94" s="1">
        <f>WorldCupMatches!Q94</f>
        <v>4</v>
      </c>
      <c r="D94" s="1">
        <f>WorldCupMatches!R94</f>
        <v>1</v>
      </c>
      <c r="E94" s="1" t="str">
        <f>WorldCupMatches!S94</f>
        <v>Italy</v>
      </c>
      <c r="F94" s="1" t="str">
        <f>WorldCupMatches!T94</f>
        <v xml:space="preserve"> </v>
      </c>
      <c r="G94" s="1" t="str">
        <f>WorldCupMatches!U94</f>
        <v>Group stages</v>
      </c>
      <c r="J94" s="1">
        <f>COUNTIF($L$2:L94,L94)</f>
        <v>6</v>
      </c>
      <c r="K94" s="1">
        <f>Table3[[#This Row],[Year]]</f>
        <v>1954</v>
      </c>
      <c r="L94" s="1" t="str">
        <f>Table3[[#This Row],[Hometeam]]</f>
        <v>Switzerland</v>
      </c>
      <c r="M94" s="1" t="str">
        <f>IF(J94=1,J94+ROWS($J$2:J94)/10000,"")</f>
        <v/>
      </c>
      <c r="N94" s="1" t="str">
        <f>IFERROR(SMALL($M$2:$M$1705,ROWS($M$2:M94)),"")</f>
        <v/>
      </c>
      <c r="O94" s="1" t="str">
        <f>IF(N94&lt;&gt;"",INDEX($L$2:$L$1705,MATCH(N94,$M$2:$M$1705,0)),"")</f>
        <v/>
      </c>
      <c r="P94" s="1" t="str">
        <f>IF(O94&lt;&gt;"",ROWS($O$2:O94),"")</f>
        <v/>
      </c>
    </row>
    <row r="95" spans="1:16" x14ac:dyDescent="0.2">
      <c r="A95" s="1">
        <f>WorldCupMatches!O95</f>
        <v>1954</v>
      </c>
      <c r="B95" s="1" t="str">
        <f>WorldCupMatches!P95</f>
        <v>Uruguay</v>
      </c>
      <c r="C95" s="1">
        <f>WorldCupMatches!Q95</f>
        <v>4</v>
      </c>
      <c r="D95" s="1">
        <f>WorldCupMatches!R95</f>
        <v>2</v>
      </c>
      <c r="E95" s="1" t="str">
        <f>WorldCupMatches!S95</f>
        <v>England</v>
      </c>
      <c r="F95" s="1" t="str">
        <f>WorldCupMatches!T95</f>
        <v xml:space="preserve"> </v>
      </c>
      <c r="G95" s="1" t="str">
        <f>WorldCupMatches!U95</f>
        <v>Quarter-finals</v>
      </c>
      <c r="J95" s="1">
        <f>COUNTIF($L$2:L95,L95)</f>
        <v>11</v>
      </c>
      <c r="K95" s="1">
        <f>Table3[[#This Row],[Year]]</f>
        <v>1954</v>
      </c>
      <c r="L95" s="1" t="str">
        <f>Table3[[#This Row],[Hometeam]]</f>
        <v>Uruguay</v>
      </c>
      <c r="M95" s="1" t="str">
        <f>IF(J95=1,J95+ROWS($J$2:J95)/10000,"")</f>
        <v/>
      </c>
      <c r="N95" s="1" t="str">
        <f>IFERROR(SMALL($M$2:$M$1705,ROWS($M$2:M95)),"")</f>
        <v/>
      </c>
      <c r="O95" s="1" t="str">
        <f>IF(N95&lt;&gt;"",INDEX($L$2:$L$1705,MATCH(N95,$M$2:$M$1705,0)),"")</f>
        <v/>
      </c>
      <c r="P95" s="1" t="str">
        <f>IF(O95&lt;&gt;"",ROWS($O$2:O95),"")</f>
        <v/>
      </c>
    </row>
    <row r="96" spans="1:16" x14ac:dyDescent="0.2">
      <c r="A96" s="1">
        <f>WorldCupMatches!O96</f>
        <v>1954</v>
      </c>
      <c r="B96" s="1" t="str">
        <f>WorldCupMatches!P96</f>
        <v>Austria</v>
      </c>
      <c r="C96" s="1">
        <f>WorldCupMatches!Q96</f>
        <v>7</v>
      </c>
      <c r="D96" s="1">
        <f>WorldCupMatches!R96</f>
        <v>5</v>
      </c>
      <c r="E96" s="1" t="str">
        <f>WorldCupMatches!S96</f>
        <v>Switzerland</v>
      </c>
      <c r="F96" s="1" t="str">
        <f>WorldCupMatches!T96</f>
        <v xml:space="preserve"> </v>
      </c>
      <c r="G96" s="1" t="str">
        <f>WorldCupMatches!U96</f>
        <v>Quarter-finals</v>
      </c>
      <c r="J96" s="1">
        <f>COUNTIF($L$2:L96,L96)</f>
        <v>5</v>
      </c>
      <c r="K96" s="1">
        <f>Table3[[#This Row],[Year]]</f>
        <v>1954</v>
      </c>
      <c r="L96" s="1" t="str">
        <f>Table3[[#This Row],[Hometeam]]</f>
        <v>Austria</v>
      </c>
      <c r="M96" s="1" t="str">
        <f>IF(J96=1,J96+ROWS($J$2:J96)/10000,"")</f>
        <v/>
      </c>
      <c r="N96" s="1" t="str">
        <f>IFERROR(SMALL($M$2:$M$1705,ROWS($M$2:M96)),"")</f>
        <v/>
      </c>
      <c r="O96" s="1" t="str">
        <f>IF(N96&lt;&gt;"",INDEX($L$2:$L$1705,MATCH(N96,$M$2:$M$1705,0)),"")</f>
        <v/>
      </c>
      <c r="P96" s="1" t="str">
        <f>IF(O96&lt;&gt;"",ROWS($O$2:O96),"")</f>
        <v/>
      </c>
    </row>
    <row r="97" spans="1:16" x14ac:dyDescent="0.2">
      <c r="A97" s="1">
        <f>WorldCupMatches!O97</f>
        <v>1954</v>
      </c>
      <c r="B97" s="1" t="str">
        <f>WorldCupMatches!P97</f>
        <v>Germany FR</v>
      </c>
      <c r="C97" s="1">
        <f>WorldCupMatches!Q97</f>
        <v>2</v>
      </c>
      <c r="D97" s="1">
        <f>WorldCupMatches!R97</f>
        <v>0</v>
      </c>
      <c r="E97" s="1" t="str">
        <f>WorldCupMatches!S97</f>
        <v>Yugoslavia</v>
      </c>
      <c r="F97" s="1" t="str">
        <f>WorldCupMatches!T97</f>
        <v xml:space="preserve"> </v>
      </c>
      <c r="G97" s="1" t="str">
        <f>WorldCupMatches!U97</f>
        <v>Quarter-finals</v>
      </c>
      <c r="J97" s="1">
        <f>COUNTIF($L$2:L97,L97)</f>
        <v>3</v>
      </c>
      <c r="K97" s="1">
        <f>Table3[[#This Row],[Year]]</f>
        <v>1954</v>
      </c>
      <c r="L97" s="1" t="str">
        <f>Table3[[#This Row],[Hometeam]]</f>
        <v>Germany FR</v>
      </c>
      <c r="M97" s="1" t="str">
        <f>IF(J97=1,J97+ROWS($J$2:J97)/10000,"")</f>
        <v/>
      </c>
      <c r="N97" s="1" t="str">
        <f>IFERROR(SMALL($M$2:$M$1705,ROWS($M$2:M97)),"")</f>
        <v/>
      </c>
      <c r="O97" s="1" t="str">
        <f>IF(N97&lt;&gt;"",INDEX($L$2:$L$1705,MATCH(N97,$M$2:$M$1705,0)),"")</f>
        <v/>
      </c>
      <c r="P97" s="1" t="str">
        <f>IF(O97&lt;&gt;"",ROWS($O$2:O97),"")</f>
        <v/>
      </c>
    </row>
    <row r="98" spans="1:16" x14ac:dyDescent="0.2">
      <c r="A98" s="1">
        <f>WorldCupMatches!O98</f>
        <v>1954</v>
      </c>
      <c r="B98" s="1" t="str">
        <f>WorldCupMatches!P98</f>
        <v>Hungary</v>
      </c>
      <c r="C98" s="1">
        <f>WorldCupMatches!Q98</f>
        <v>4</v>
      </c>
      <c r="D98" s="1">
        <f>WorldCupMatches!R98</f>
        <v>2</v>
      </c>
      <c r="E98" s="1" t="str">
        <f>WorldCupMatches!S98</f>
        <v>Brazil</v>
      </c>
      <c r="F98" s="1" t="str">
        <f>WorldCupMatches!T98</f>
        <v xml:space="preserve"> </v>
      </c>
      <c r="G98" s="1" t="str">
        <f>WorldCupMatches!U98</f>
        <v>Quarter-finals</v>
      </c>
      <c r="J98" s="1">
        <f>COUNTIF($L$2:L98,L98)</f>
        <v>7</v>
      </c>
      <c r="K98" s="1">
        <f>Table3[[#This Row],[Year]]</f>
        <v>1954</v>
      </c>
      <c r="L98" s="1" t="str">
        <f>Table3[[#This Row],[Hometeam]]</f>
        <v>Hungary</v>
      </c>
      <c r="M98" s="1" t="str">
        <f>IF(J98=1,J98+ROWS($J$2:J98)/10000,"")</f>
        <v/>
      </c>
      <c r="N98" s="1" t="str">
        <f>IFERROR(SMALL($M$2:$M$1705,ROWS($M$2:M98)),"")</f>
        <v/>
      </c>
      <c r="O98" s="1" t="str">
        <f>IF(N98&lt;&gt;"",INDEX($L$2:$L$1705,MATCH(N98,$M$2:$M$1705,0)),"")</f>
        <v/>
      </c>
      <c r="P98" s="1" t="str">
        <f>IF(O98&lt;&gt;"",ROWS($O$2:O98),"")</f>
        <v/>
      </c>
    </row>
    <row r="99" spans="1:16" x14ac:dyDescent="0.2">
      <c r="A99" s="1">
        <f>WorldCupMatches!O99</f>
        <v>1954</v>
      </c>
      <c r="B99" s="1" t="str">
        <f>WorldCupMatches!P99</f>
        <v>Germany FR</v>
      </c>
      <c r="C99" s="1">
        <f>WorldCupMatches!Q99</f>
        <v>6</v>
      </c>
      <c r="D99" s="1">
        <f>WorldCupMatches!R99</f>
        <v>1</v>
      </c>
      <c r="E99" s="1" t="str">
        <f>WorldCupMatches!S99</f>
        <v>Austria</v>
      </c>
      <c r="F99" s="1" t="str">
        <f>WorldCupMatches!T99</f>
        <v xml:space="preserve"> </v>
      </c>
      <c r="G99" s="1" t="str">
        <f>WorldCupMatches!U99</f>
        <v>Semi-finals</v>
      </c>
      <c r="J99" s="1">
        <f>COUNTIF($L$2:L99,L99)</f>
        <v>4</v>
      </c>
      <c r="K99" s="1">
        <f>Table3[[#This Row],[Year]]</f>
        <v>1954</v>
      </c>
      <c r="L99" s="1" t="str">
        <f>Table3[[#This Row],[Hometeam]]</f>
        <v>Germany FR</v>
      </c>
      <c r="M99" s="1" t="str">
        <f>IF(J99=1,J99+ROWS($J$2:J99)/10000,"")</f>
        <v/>
      </c>
      <c r="N99" s="1" t="str">
        <f>IFERROR(SMALL($M$2:$M$1705,ROWS($M$2:M99)),"")</f>
        <v/>
      </c>
      <c r="O99" s="1" t="str">
        <f>IF(N99&lt;&gt;"",INDEX($L$2:$L$1705,MATCH(N99,$M$2:$M$1705,0)),"")</f>
        <v/>
      </c>
      <c r="P99" s="1" t="str">
        <f>IF(O99&lt;&gt;"",ROWS($O$2:O99),"")</f>
        <v/>
      </c>
    </row>
    <row r="100" spans="1:16" x14ac:dyDescent="0.2">
      <c r="A100" s="1">
        <f>WorldCupMatches!O100</f>
        <v>1954</v>
      </c>
      <c r="B100" s="1" t="str">
        <f>WorldCupMatches!P100</f>
        <v>Hungary</v>
      </c>
      <c r="C100" s="1">
        <f>WorldCupMatches!Q100</f>
        <v>4</v>
      </c>
      <c r="D100" s="1">
        <f>WorldCupMatches!R100</f>
        <v>2</v>
      </c>
      <c r="E100" s="1" t="str">
        <f>WorldCupMatches!S100</f>
        <v>Uruguay</v>
      </c>
      <c r="F100" s="1" t="str">
        <f>WorldCupMatches!T100</f>
        <v xml:space="preserve">Hungary win after extra time </v>
      </c>
      <c r="G100" s="1" t="str">
        <f>WorldCupMatches!U100</f>
        <v>Semi-finals</v>
      </c>
      <c r="J100" s="1">
        <f>COUNTIF($L$2:L100,L100)</f>
        <v>8</v>
      </c>
      <c r="K100" s="1">
        <f>Table3[[#This Row],[Year]]</f>
        <v>1954</v>
      </c>
      <c r="L100" s="1" t="str">
        <f>Table3[[#This Row],[Hometeam]]</f>
        <v>Hungary</v>
      </c>
      <c r="M100" s="1" t="str">
        <f>IF(J100=1,J100+ROWS($J$2:J100)/10000,"")</f>
        <v/>
      </c>
      <c r="N100" s="1" t="str">
        <f>IFERROR(SMALL($M$2:$M$1705,ROWS($M$2:M100)),"")</f>
        <v/>
      </c>
      <c r="O100" s="1" t="str">
        <f>IF(N100&lt;&gt;"",INDEX($L$2:$L$1705,MATCH(N100,$M$2:$M$1705,0)),"")</f>
        <v/>
      </c>
      <c r="P100" s="1" t="str">
        <f>IF(O100&lt;&gt;"",ROWS($O$2:O100),"")</f>
        <v/>
      </c>
    </row>
    <row r="101" spans="1:16" x14ac:dyDescent="0.2">
      <c r="A101" s="1">
        <f>WorldCupMatches!O101</f>
        <v>1954</v>
      </c>
      <c r="B101" s="1" t="str">
        <f>WorldCupMatches!P101</f>
        <v>Austria</v>
      </c>
      <c r="C101" s="1">
        <f>WorldCupMatches!Q101</f>
        <v>3</v>
      </c>
      <c r="D101" s="1">
        <f>WorldCupMatches!R101</f>
        <v>1</v>
      </c>
      <c r="E101" s="1" t="str">
        <f>WorldCupMatches!S101</f>
        <v>Uruguay</v>
      </c>
      <c r="F101" s="1" t="str">
        <f>WorldCupMatches!T101</f>
        <v xml:space="preserve"> </v>
      </c>
      <c r="G101" s="1" t="str">
        <f>WorldCupMatches!U101</f>
        <v>Match for third place</v>
      </c>
      <c r="J101" s="1">
        <f>COUNTIF($L$2:L101,L101)</f>
        <v>6</v>
      </c>
      <c r="K101" s="1">
        <f>Table3[[#This Row],[Year]]</f>
        <v>1954</v>
      </c>
      <c r="L101" s="1" t="str">
        <f>Table3[[#This Row],[Hometeam]]</f>
        <v>Austria</v>
      </c>
      <c r="M101" s="1" t="str">
        <f>IF(J101=1,J101+ROWS($J$2:J101)/10000,"")</f>
        <v/>
      </c>
      <c r="N101" s="1" t="str">
        <f>IFERROR(SMALL($M$2:$M$1705,ROWS($M$2:M101)),"")</f>
        <v/>
      </c>
      <c r="O101" s="1" t="str">
        <f>IF(N101&lt;&gt;"",INDEX($L$2:$L$1705,MATCH(N101,$M$2:$M$1705,0)),"")</f>
        <v/>
      </c>
      <c r="P101" s="1" t="str">
        <f>IF(O101&lt;&gt;"",ROWS($O$2:O101),"")</f>
        <v/>
      </c>
    </row>
    <row r="102" spans="1:16" x14ac:dyDescent="0.2">
      <c r="A102" s="1">
        <f>WorldCupMatches!O102</f>
        <v>1954</v>
      </c>
      <c r="B102" s="1" t="str">
        <f>WorldCupMatches!P102</f>
        <v>Germany FR</v>
      </c>
      <c r="C102" s="1">
        <f>WorldCupMatches!Q102</f>
        <v>3</v>
      </c>
      <c r="D102" s="1">
        <f>WorldCupMatches!R102</f>
        <v>2</v>
      </c>
      <c r="E102" s="1" t="str">
        <f>WorldCupMatches!S102</f>
        <v>Hungary</v>
      </c>
      <c r="F102" s="1" t="str">
        <f>WorldCupMatches!T102</f>
        <v xml:space="preserve"> </v>
      </c>
      <c r="G102" s="1" t="str">
        <f>WorldCupMatches!U102</f>
        <v>Final</v>
      </c>
      <c r="J102" s="1">
        <f>COUNTIF($L$2:L102,L102)</f>
        <v>5</v>
      </c>
      <c r="K102" s="1">
        <f>Table3[[#This Row],[Year]]</f>
        <v>1954</v>
      </c>
      <c r="L102" s="1" t="str">
        <f>Table3[[#This Row],[Hometeam]]</f>
        <v>Germany FR</v>
      </c>
      <c r="M102" s="1" t="str">
        <f>IF(J102=1,J102+ROWS($J$2:J102)/10000,"")</f>
        <v/>
      </c>
      <c r="N102" s="1" t="str">
        <f>IFERROR(SMALL($M$2:$M$1705,ROWS($M$2:M102)),"")</f>
        <v/>
      </c>
      <c r="O102" s="1" t="str">
        <f>IF(N102&lt;&gt;"",INDEX($L$2:$L$1705,MATCH(N102,$M$2:$M$1705,0)),"")</f>
        <v/>
      </c>
      <c r="P102" s="1" t="str">
        <f>IF(O102&lt;&gt;"",ROWS($O$2:O102),"")</f>
        <v/>
      </c>
    </row>
    <row r="103" spans="1:16" x14ac:dyDescent="0.2">
      <c r="A103" s="1">
        <f>WorldCupMatches!O103</f>
        <v>1958</v>
      </c>
      <c r="B103" s="1" t="str">
        <f>WorldCupMatches!P103</f>
        <v>Sweden</v>
      </c>
      <c r="C103" s="1">
        <f>WorldCupMatches!Q103</f>
        <v>3</v>
      </c>
      <c r="D103" s="1">
        <f>WorldCupMatches!R103</f>
        <v>0</v>
      </c>
      <c r="E103" s="1" t="str">
        <f>WorldCupMatches!S103</f>
        <v>Mexico</v>
      </c>
      <c r="F103" s="1" t="str">
        <f>WorldCupMatches!T103</f>
        <v xml:space="preserve"> </v>
      </c>
      <c r="G103" s="1" t="str">
        <f>WorldCupMatches!U103</f>
        <v>Group stages</v>
      </c>
      <c r="J103" s="1">
        <f>COUNTIF($L$2:L103,L103)</f>
        <v>6</v>
      </c>
      <c r="K103" s="1">
        <f>Table3[[#This Row],[Year]]</f>
        <v>1958</v>
      </c>
      <c r="L103" s="1" t="str">
        <f>Table3[[#This Row],[Hometeam]]</f>
        <v>Sweden</v>
      </c>
      <c r="M103" s="1" t="str">
        <f>IF(J103=1,J103+ROWS($J$2:J103)/10000,"")</f>
        <v/>
      </c>
      <c r="N103" s="1" t="str">
        <f>IFERROR(SMALL($M$2:$M$1705,ROWS($M$2:M103)),"")</f>
        <v/>
      </c>
      <c r="O103" s="1" t="str">
        <f>IF(N103&lt;&gt;"",INDEX($L$2:$L$1705,MATCH(N103,$M$2:$M$1705,0)),"")</f>
        <v/>
      </c>
      <c r="P103" s="1" t="str">
        <f>IF(O103&lt;&gt;"",ROWS($O$2:O103),"")</f>
        <v/>
      </c>
    </row>
    <row r="104" spans="1:16" x14ac:dyDescent="0.2">
      <c r="A104" s="1">
        <f>WorldCupMatches!O104</f>
        <v>1958</v>
      </c>
      <c r="B104" s="1" t="str">
        <f>WorldCupMatches!P104</f>
        <v>Soviet Union</v>
      </c>
      <c r="C104" s="1">
        <f>WorldCupMatches!Q104</f>
        <v>2</v>
      </c>
      <c r="D104" s="1">
        <f>WorldCupMatches!R104</f>
        <v>2</v>
      </c>
      <c r="E104" s="1" t="str">
        <f>WorldCupMatches!S104</f>
        <v>England</v>
      </c>
      <c r="F104" s="1" t="str">
        <f>WorldCupMatches!T104</f>
        <v xml:space="preserve"> </v>
      </c>
      <c r="G104" s="1" t="str">
        <f>WorldCupMatches!U104</f>
        <v>Group stages</v>
      </c>
      <c r="J104" s="1">
        <f>COUNTIF($L$2:L104,L104)</f>
        <v>1</v>
      </c>
      <c r="K104" s="1">
        <f>Table3[[#This Row],[Year]]</f>
        <v>1958</v>
      </c>
      <c r="L104" s="1" t="str">
        <f>Table3[[#This Row],[Hometeam]]</f>
        <v>Soviet Union</v>
      </c>
      <c r="M104" s="1">
        <f>IF(J104=1,J104+ROWS($J$2:J104)/10000,"")</f>
        <v>1.0103</v>
      </c>
      <c r="N104" s="1" t="str">
        <f>IFERROR(SMALL($M$2:$M$1705,ROWS($M$2:M104)),"")</f>
        <v/>
      </c>
      <c r="O104" s="1" t="str">
        <f>IF(N104&lt;&gt;"",INDEX($L$2:$L$1705,MATCH(N104,$M$2:$M$1705,0)),"")</f>
        <v/>
      </c>
      <c r="P104" s="1" t="str">
        <f>IF(O104&lt;&gt;"",ROWS($O$2:O104),"")</f>
        <v/>
      </c>
    </row>
    <row r="105" spans="1:16" x14ac:dyDescent="0.2">
      <c r="A105" s="1">
        <f>WorldCupMatches!O105</f>
        <v>1958</v>
      </c>
      <c r="B105" s="1" t="str">
        <f>WorldCupMatches!P105</f>
        <v>Argentina</v>
      </c>
      <c r="C105" s="1">
        <f>WorldCupMatches!Q105</f>
        <v>1</v>
      </c>
      <c r="D105" s="1">
        <f>WorldCupMatches!R105</f>
        <v>3</v>
      </c>
      <c r="E105" s="1" t="str">
        <f>WorldCupMatches!S105</f>
        <v>Germany FR</v>
      </c>
      <c r="F105" s="1" t="str">
        <f>WorldCupMatches!T105</f>
        <v xml:space="preserve"> </v>
      </c>
      <c r="G105" s="1" t="str">
        <f>WorldCupMatches!U105</f>
        <v>Group stages</v>
      </c>
      <c r="J105" s="1">
        <f>COUNTIF($L$2:L105,L105)</f>
        <v>5</v>
      </c>
      <c r="K105" s="1">
        <f>Table3[[#This Row],[Year]]</f>
        <v>1958</v>
      </c>
      <c r="L105" s="1" t="str">
        <f>Table3[[#This Row],[Hometeam]]</f>
        <v>Argentina</v>
      </c>
      <c r="M105" s="1" t="str">
        <f>IF(J105=1,J105+ROWS($J$2:J105)/10000,"")</f>
        <v/>
      </c>
      <c r="N105" s="1" t="str">
        <f>IFERROR(SMALL($M$2:$M$1705,ROWS($M$2:M105)),"")</f>
        <v/>
      </c>
      <c r="O105" s="1" t="str">
        <f>IF(N105&lt;&gt;"",INDEX($L$2:$L$1705,MATCH(N105,$M$2:$M$1705,0)),"")</f>
        <v/>
      </c>
      <c r="P105" s="1" t="str">
        <f>IF(O105&lt;&gt;"",ROWS($O$2:O105),"")</f>
        <v/>
      </c>
    </row>
    <row r="106" spans="1:16" x14ac:dyDescent="0.2">
      <c r="A106" s="1">
        <f>WorldCupMatches!O106</f>
        <v>1958</v>
      </c>
      <c r="B106" s="1" t="str">
        <f>WorldCupMatches!P106</f>
        <v>Hungary</v>
      </c>
      <c r="C106" s="1">
        <f>WorldCupMatches!Q106</f>
        <v>1</v>
      </c>
      <c r="D106" s="1">
        <f>WorldCupMatches!R106</f>
        <v>1</v>
      </c>
      <c r="E106" s="1" t="str">
        <f>WorldCupMatches!S106</f>
        <v>Wales</v>
      </c>
      <c r="F106" s="1" t="str">
        <f>WorldCupMatches!T106</f>
        <v xml:space="preserve"> </v>
      </c>
      <c r="G106" s="1" t="str">
        <f>WorldCupMatches!U106</f>
        <v>Group stages</v>
      </c>
      <c r="J106" s="1">
        <f>COUNTIF($L$2:L106,L106)</f>
        <v>9</v>
      </c>
      <c r="K106" s="1">
        <f>Table3[[#This Row],[Year]]</f>
        <v>1958</v>
      </c>
      <c r="L106" s="1" t="str">
        <f>Table3[[#This Row],[Hometeam]]</f>
        <v>Hungary</v>
      </c>
      <c r="M106" s="1" t="str">
        <f>IF(J106=1,J106+ROWS($J$2:J106)/10000,"")</f>
        <v/>
      </c>
      <c r="N106" s="1" t="str">
        <f>IFERROR(SMALL($M$2:$M$1705,ROWS($M$2:M106)),"")</f>
        <v/>
      </c>
      <c r="O106" s="1" t="str">
        <f>IF(N106&lt;&gt;"",INDEX($L$2:$L$1705,MATCH(N106,$M$2:$M$1705,0)),"")</f>
        <v/>
      </c>
      <c r="P106" s="1" t="str">
        <f>IF(O106&lt;&gt;"",ROWS($O$2:O106),"")</f>
        <v/>
      </c>
    </row>
    <row r="107" spans="1:16" x14ac:dyDescent="0.2">
      <c r="A107" s="1">
        <f>WorldCupMatches!O107</f>
        <v>1958</v>
      </c>
      <c r="B107" s="1" t="str">
        <f>WorldCupMatches!P107</f>
        <v>France</v>
      </c>
      <c r="C107" s="1">
        <f>WorldCupMatches!Q107</f>
        <v>7</v>
      </c>
      <c r="D107" s="1">
        <f>WorldCupMatches!R107</f>
        <v>3</v>
      </c>
      <c r="E107" s="1" t="str">
        <f>WorldCupMatches!S107</f>
        <v>Paraguay</v>
      </c>
      <c r="F107" s="1" t="str">
        <f>WorldCupMatches!T107</f>
        <v xml:space="preserve"> </v>
      </c>
      <c r="G107" s="1" t="str">
        <f>WorldCupMatches!U107</f>
        <v>Group stages</v>
      </c>
      <c r="J107" s="1">
        <f>COUNTIF($L$2:L107,L107)</f>
        <v>4</v>
      </c>
      <c r="K107" s="1">
        <f>Table3[[#This Row],[Year]]</f>
        <v>1958</v>
      </c>
      <c r="L107" s="1" t="str">
        <f>Table3[[#This Row],[Hometeam]]</f>
        <v>France</v>
      </c>
      <c r="M107" s="1" t="str">
        <f>IF(J107=1,J107+ROWS($J$2:J107)/10000,"")</f>
        <v/>
      </c>
      <c r="N107" s="1" t="str">
        <f>IFERROR(SMALL($M$2:$M$1705,ROWS($M$2:M107)),"")</f>
        <v/>
      </c>
      <c r="O107" s="1" t="str">
        <f>IF(N107&lt;&gt;"",INDEX($L$2:$L$1705,MATCH(N107,$M$2:$M$1705,0)),"")</f>
        <v/>
      </c>
      <c r="P107" s="1" t="str">
        <f>IF(O107&lt;&gt;"",ROWS($O$2:O107),"")</f>
        <v/>
      </c>
    </row>
    <row r="108" spans="1:16" x14ac:dyDescent="0.2">
      <c r="A108" s="1">
        <f>WorldCupMatches!O108</f>
        <v>1958</v>
      </c>
      <c r="B108" s="1" t="str">
        <f>WorldCupMatches!P108</f>
        <v>Yugoslavia</v>
      </c>
      <c r="C108" s="1">
        <f>WorldCupMatches!Q108</f>
        <v>1</v>
      </c>
      <c r="D108" s="1">
        <f>WorldCupMatches!R108</f>
        <v>1</v>
      </c>
      <c r="E108" s="1" t="str">
        <f>WorldCupMatches!S108</f>
        <v>Scotland</v>
      </c>
      <c r="F108" s="1" t="str">
        <f>WorldCupMatches!T108</f>
        <v xml:space="preserve"> </v>
      </c>
      <c r="G108" s="1" t="str">
        <f>WorldCupMatches!U108</f>
        <v>Group stages</v>
      </c>
      <c r="J108" s="1">
        <f>COUNTIF($L$2:L108,L108)</f>
        <v>6</v>
      </c>
      <c r="K108" s="1">
        <f>Table3[[#This Row],[Year]]</f>
        <v>1958</v>
      </c>
      <c r="L108" s="1" t="str">
        <f>Table3[[#This Row],[Hometeam]]</f>
        <v>Yugoslavia</v>
      </c>
      <c r="M108" s="1" t="str">
        <f>IF(J108=1,J108+ROWS($J$2:J108)/10000,"")</f>
        <v/>
      </c>
      <c r="N108" s="1" t="str">
        <f>IFERROR(SMALL($M$2:$M$1705,ROWS($M$2:M108)),"")</f>
        <v/>
      </c>
      <c r="O108" s="1" t="str">
        <f>IF(N108&lt;&gt;"",INDEX($L$2:$L$1705,MATCH(N108,$M$2:$M$1705,0)),"")</f>
        <v/>
      </c>
      <c r="P108" s="1" t="str">
        <f>IF(O108&lt;&gt;"",ROWS($O$2:O108),"")</f>
        <v/>
      </c>
    </row>
    <row r="109" spans="1:16" x14ac:dyDescent="0.2">
      <c r="A109" s="1">
        <f>WorldCupMatches!O109</f>
        <v>1958</v>
      </c>
      <c r="B109" s="1" t="str">
        <f>WorldCupMatches!P109</f>
        <v>Brazil</v>
      </c>
      <c r="C109" s="1">
        <f>WorldCupMatches!Q109</f>
        <v>3</v>
      </c>
      <c r="D109" s="1">
        <f>WorldCupMatches!R109</f>
        <v>0</v>
      </c>
      <c r="E109" s="1" t="str">
        <f>WorldCupMatches!S109</f>
        <v>Austria</v>
      </c>
      <c r="F109" s="1" t="str">
        <f>WorldCupMatches!T109</f>
        <v xml:space="preserve"> </v>
      </c>
      <c r="G109" s="1" t="str">
        <f>WorldCupMatches!U109</f>
        <v>Group stages</v>
      </c>
      <c r="J109" s="1">
        <f>COUNTIF($L$2:L109,L109)</f>
        <v>13</v>
      </c>
      <c r="K109" s="1">
        <f>Table3[[#This Row],[Year]]</f>
        <v>1958</v>
      </c>
      <c r="L109" s="1" t="str">
        <f>Table3[[#This Row],[Hometeam]]</f>
        <v>Brazil</v>
      </c>
      <c r="M109" s="1" t="str">
        <f>IF(J109=1,J109+ROWS($J$2:J109)/10000,"")</f>
        <v/>
      </c>
      <c r="N109" s="1" t="str">
        <f>IFERROR(SMALL($M$2:$M$1705,ROWS($M$2:M109)),"")</f>
        <v/>
      </c>
      <c r="O109" s="1" t="str">
        <f>IF(N109&lt;&gt;"",INDEX($L$2:$L$1705,MATCH(N109,$M$2:$M$1705,0)),"")</f>
        <v/>
      </c>
      <c r="P109" s="1" t="str">
        <f>IF(O109&lt;&gt;"",ROWS($O$2:O109),"")</f>
        <v/>
      </c>
    </row>
    <row r="110" spans="1:16" x14ac:dyDescent="0.2">
      <c r="A110" s="1">
        <f>WorldCupMatches!O110</f>
        <v>1958</v>
      </c>
      <c r="B110" s="1" t="str">
        <f>WorldCupMatches!P110</f>
        <v>Northern Ireland</v>
      </c>
      <c r="C110" s="1">
        <f>WorldCupMatches!Q110</f>
        <v>1</v>
      </c>
      <c r="D110" s="1">
        <f>WorldCupMatches!R110</f>
        <v>0</v>
      </c>
      <c r="E110" s="1" t="str">
        <f>WorldCupMatches!S110</f>
        <v>Czechoslovakia</v>
      </c>
      <c r="F110" s="1" t="str">
        <f>WorldCupMatches!T110</f>
        <v xml:space="preserve"> </v>
      </c>
      <c r="G110" s="1" t="str">
        <f>WorldCupMatches!U110</f>
        <v>Group stages</v>
      </c>
      <c r="J110" s="1">
        <f>COUNTIF($L$2:L110,L110)</f>
        <v>1</v>
      </c>
      <c r="K110" s="1">
        <f>Table3[[#This Row],[Year]]</f>
        <v>1958</v>
      </c>
      <c r="L110" s="1" t="str">
        <f>Table3[[#This Row],[Hometeam]]</f>
        <v>Northern Ireland</v>
      </c>
      <c r="M110" s="1">
        <f>IF(J110=1,J110+ROWS($J$2:J110)/10000,"")</f>
        <v>1.0108999999999999</v>
      </c>
      <c r="N110" s="1" t="str">
        <f>IFERROR(SMALL($M$2:$M$1705,ROWS($M$2:M110)),"")</f>
        <v/>
      </c>
      <c r="O110" s="1" t="str">
        <f>IF(N110&lt;&gt;"",INDEX($L$2:$L$1705,MATCH(N110,$M$2:$M$1705,0)),"")</f>
        <v/>
      </c>
      <c r="P110" s="1" t="str">
        <f>IF(O110&lt;&gt;"",ROWS($O$2:O110),"")</f>
        <v/>
      </c>
    </row>
    <row r="111" spans="1:16" x14ac:dyDescent="0.2">
      <c r="A111" s="1">
        <f>WorldCupMatches!O111</f>
        <v>1958</v>
      </c>
      <c r="B111" s="1" t="str">
        <f>WorldCupMatches!P111</f>
        <v>Brazil</v>
      </c>
      <c r="C111" s="1">
        <f>WorldCupMatches!Q111</f>
        <v>0</v>
      </c>
      <c r="D111" s="1">
        <f>WorldCupMatches!R111</f>
        <v>0</v>
      </c>
      <c r="E111" s="1" t="str">
        <f>WorldCupMatches!S111</f>
        <v>England</v>
      </c>
      <c r="F111" s="1" t="str">
        <f>WorldCupMatches!T111</f>
        <v xml:space="preserve"> </v>
      </c>
      <c r="G111" s="1" t="str">
        <f>WorldCupMatches!U111</f>
        <v>Group stages</v>
      </c>
      <c r="J111" s="1">
        <f>COUNTIF($L$2:L111,L111)</f>
        <v>14</v>
      </c>
      <c r="K111" s="1">
        <f>Table3[[#This Row],[Year]]</f>
        <v>1958</v>
      </c>
      <c r="L111" s="1" t="str">
        <f>Table3[[#This Row],[Hometeam]]</f>
        <v>Brazil</v>
      </c>
      <c r="M111" s="1" t="str">
        <f>IF(J111=1,J111+ROWS($J$2:J111)/10000,"")</f>
        <v/>
      </c>
      <c r="N111" s="1" t="str">
        <f>IFERROR(SMALL($M$2:$M$1705,ROWS($M$2:M111)),"")</f>
        <v/>
      </c>
      <c r="O111" s="1" t="str">
        <f>IF(N111&lt;&gt;"",INDEX($L$2:$L$1705,MATCH(N111,$M$2:$M$1705,0)),"")</f>
        <v/>
      </c>
      <c r="P111" s="1" t="str">
        <f>IF(O111&lt;&gt;"",ROWS($O$2:O111),"")</f>
        <v/>
      </c>
    </row>
    <row r="112" spans="1:16" x14ac:dyDescent="0.2">
      <c r="A112" s="1">
        <f>WorldCupMatches!O112</f>
        <v>1958</v>
      </c>
      <c r="B112" s="1" t="str">
        <f>WorldCupMatches!P112</f>
        <v>Mexico</v>
      </c>
      <c r="C112" s="1">
        <f>WorldCupMatches!Q112</f>
        <v>1</v>
      </c>
      <c r="D112" s="1">
        <f>WorldCupMatches!R112</f>
        <v>1</v>
      </c>
      <c r="E112" s="1" t="str">
        <f>WorldCupMatches!S112</f>
        <v>Wales</v>
      </c>
      <c r="F112" s="1" t="str">
        <f>WorldCupMatches!T112</f>
        <v xml:space="preserve"> </v>
      </c>
      <c r="G112" s="1" t="str">
        <f>WorldCupMatches!U112</f>
        <v>Group stages</v>
      </c>
      <c r="J112" s="1">
        <f>COUNTIF($L$2:L112,L112)</f>
        <v>1</v>
      </c>
      <c r="K112" s="1">
        <f>Table3[[#This Row],[Year]]</f>
        <v>1958</v>
      </c>
      <c r="L112" s="1" t="str">
        <f>Table3[[#This Row],[Hometeam]]</f>
        <v>Mexico</v>
      </c>
      <c r="M112" s="1">
        <f>IF(J112=1,J112+ROWS($J$2:J112)/10000,"")</f>
        <v>1.0111000000000001</v>
      </c>
      <c r="N112" s="1" t="str">
        <f>IFERROR(SMALL($M$2:$M$1705,ROWS($M$2:M112)),"")</f>
        <v/>
      </c>
      <c r="O112" s="1" t="str">
        <f>IF(N112&lt;&gt;"",INDEX($L$2:$L$1705,MATCH(N112,$M$2:$M$1705,0)),"")</f>
        <v/>
      </c>
      <c r="P112" s="1" t="str">
        <f>IF(O112&lt;&gt;"",ROWS($O$2:O112),"")</f>
        <v/>
      </c>
    </row>
    <row r="113" spans="1:16" x14ac:dyDescent="0.2">
      <c r="A113" s="1">
        <f>WorldCupMatches!O113</f>
        <v>1958</v>
      </c>
      <c r="B113" s="1" t="str">
        <f>WorldCupMatches!P113</f>
        <v>Paraguay</v>
      </c>
      <c r="C113" s="1">
        <f>WorldCupMatches!Q113</f>
        <v>3</v>
      </c>
      <c r="D113" s="1">
        <f>WorldCupMatches!R113</f>
        <v>2</v>
      </c>
      <c r="E113" s="1" t="str">
        <f>WorldCupMatches!S113</f>
        <v>Scotland</v>
      </c>
      <c r="F113" s="1" t="str">
        <f>WorldCupMatches!T113</f>
        <v xml:space="preserve"> </v>
      </c>
      <c r="G113" s="1" t="str">
        <f>WorldCupMatches!U113</f>
        <v>Group stages</v>
      </c>
      <c r="J113" s="1">
        <f>COUNTIF($L$2:L113,L113)</f>
        <v>2</v>
      </c>
      <c r="K113" s="1">
        <f>Table3[[#This Row],[Year]]</f>
        <v>1958</v>
      </c>
      <c r="L113" s="1" t="str">
        <f>Table3[[#This Row],[Hometeam]]</f>
        <v>Paraguay</v>
      </c>
      <c r="M113" s="1" t="str">
        <f>IF(J113=1,J113+ROWS($J$2:J113)/10000,"")</f>
        <v/>
      </c>
      <c r="N113" s="1" t="str">
        <f>IFERROR(SMALL($M$2:$M$1705,ROWS($M$2:M113)),"")</f>
        <v/>
      </c>
      <c r="O113" s="1" t="str">
        <f>IF(N113&lt;&gt;"",INDEX($L$2:$L$1705,MATCH(N113,$M$2:$M$1705,0)),"")</f>
        <v/>
      </c>
      <c r="P113" s="1" t="str">
        <f>IF(O113&lt;&gt;"",ROWS($O$2:O113),"")</f>
        <v/>
      </c>
    </row>
    <row r="114" spans="1:16" x14ac:dyDescent="0.2">
      <c r="A114" s="1">
        <f>WorldCupMatches!O114</f>
        <v>1958</v>
      </c>
      <c r="B114" s="1" t="str">
        <f>WorldCupMatches!P114</f>
        <v>Yugoslavia</v>
      </c>
      <c r="C114" s="1">
        <f>WorldCupMatches!Q114</f>
        <v>3</v>
      </c>
      <c r="D114" s="1">
        <f>WorldCupMatches!R114</f>
        <v>2</v>
      </c>
      <c r="E114" s="1" t="str">
        <f>WorldCupMatches!S114</f>
        <v>France</v>
      </c>
      <c r="F114" s="1" t="str">
        <f>WorldCupMatches!T114</f>
        <v xml:space="preserve"> </v>
      </c>
      <c r="G114" s="1" t="str">
        <f>WorldCupMatches!U114</f>
        <v>Group stages</v>
      </c>
      <c r="J114" s="1">
        <f>COUNTIF($L$2:L114,L114)</f>
        <v>7</v>
      </c>
      <c r="K114" s="1">
        <f>Table3[[#This Row],[Year]]</f>
        <v>1958</v>
      </c>
      <c r="L114" s="1" t="str">
        <f>Table3[[#This Row],[Hometeam]]</f>
        <v>Yugoslavia</v>
      </c>
      <c r="M114" s="1" t="str">
        <f>IF(J114=1,J114+ROWS($J$2:J114)/10000,"")</f>
        <v/>
      </c>
      <c r="N114" s="1" t="str">
        <f>IFERROR(SMALL($M$2:$M$1705,ROWS($M$2:M114)),"")</f>
        <v/>
      </c>
      <c r="O114" s="1" t="str">
        <f>IF(N114&lt;&gt;"",INDEX($L$2:$L$1705,MATCH(N114,$M$2:$M$1705,0)),"")</f>
        <v/>
      </c>
      <c r="P114" s="1" t="str">
        <f>IF(O114&lt;&gt;"",ROWS($O$2:O114),"")</f>
        <v/>
      </c>
    </row>
    <row r="115" spans="1:16" x14ac:dyDescent="0.2">
      <c r="A115" s="1">
        <f>WorldCupMatches!O115</f>
        <v>1958</v>
      </c>
      <c r="B115" s="1" t="str">
        <f>WorldCupMatches!P115</f>
        <v>Soviet Union</v>
      </c>
      <c r="C115" s="1">
        <f>WorldCupMatches!Q115</f>
        <v>2</v>
      </c>
      <c r="D115" s="1">
        <f>WorldCupMatches!R115</f>
        <v>0</v>
      </c>
      <c r="E115" s="1" t="str">
        <f>WorldCupMatches!S115</f>
        <v>Austria</v>
      </c>
      <c r="F115" s="1" t="str">
        <f>WorldCupMatches!T115</f>
        <v xml:space="preserve"> </v>
      </c>
      <c r="G115" s="1" t="str">
        <f>WorldCupMatches!U115</f>
        <v>Group stages</v>
      </c>
      <c r="J115" s="1">
        <f>COUNTIF($L$2:L115,L115)</f>
        <v>2</v>
      </c>
      <c r="K115" s="1">
        <f>Table3[[#This Row],[Year]]</f>
        <v>1958</v>
      </c>
      <c r="L115" s="1" t="str">
        <f>Table3[[#This Row],[Hometeam]]</f>
        <v>Soviet Union</v>
      </c>
      <c r="M115" s="1" t="str">
        <f>IF(J115=1,J115+ROWS($J$2:J115)/10000,"")</f>
        <v/>
      </c>
      <c r="N115" s="1" t="str">
        <f>IFERROR(SMALL($M$2:$M$1705,ROWS($M$2:M115)),"")</f>
        <v/>
      </c>
      <c r="O115" s="1" t="str">
        <f>IF(N115&lt;&gt;"",INDEX($L$2:$L$1705,MATCH(N115,$M$2:$M$1705,0)),"")</f>
        <v/>
      </c>
      <c r="P115" s="1" t="str">
        <f>IF(O115&lt;&gt;"",ROWS($O$2:O115),"")</f>
        <v/>
      </c>
    </row>
    <row r="116" spans="1:16" x14ac:dyDescent="0.2">
      <c r="A116" s="1">
        <f>WorldCupMatches!O116</f>
        <v>1958</v>
      </c>
      <c r="B116" s="1" t="str">
        <f>WorldCupMatches!P116</f>
        <v>Germany FR</v>
      </c>
      <c r="C116" s="1">
        <f>WorldCupMatches!Q116</f>
        <v>2</v>
      </c>
      <c r="D116" s="1">
        <f>WorldCupMatches!R116</f>
        <v>2</v>
      </c>
      <c r="E116" s="1" t="str">
        <f>WorldCupMatches!S116</f>
        <v>Czechoslovakia</v>
      </c>
      <c r="F116" s="1" t="str">
        <f>WorldCupMatches!T116</f>
        <v xml:space="preserve"> </v>
      </c>
      <c r="G116" s="1" t="str">
        <f>WorldCupMatches!U116</f>
        <v>Group stages</v>
      </c>
      <c r="J116" s="1">
        <f>COUNTIF($L$2:L116,L116)</f>
        <v>6</v>
      </c>
      <c r="K116" s="1">
        <f>Table3[[#This Row],[Year]]</f>
        <v>1958</v>
      </c>
      <c r="L116" s="1" t="str">
        <f>Table3[[#This Row],[Hometeam]]</f>
        <v>Germany FR</v>
      </c>
      <c r="M116" s="1" t="str">
        <f>IF(J116=1,J116+ROWS($J$2:J116)/10000,"")</f>
        <v/>
      </c>
      <c r="N116" s="1" t="str">
        <f>IFERROR(SMALL($M$2:$M$1705,ROWS($M$2:M116)),"")</f>
        <v/>
      </c>
      <c r="O116" s="1" t="str">
        <f>IF(N116&lt;&gt;"",INDEX($L$2:$L$1705,MATCH(N116,$M$2:$M$1705,0)),"")</f>
        <v/>
      </c>
      <c r="P116" s="1" t="str">
        <f>IF(O116&lt;&gt;"",ROWS($O$2:O116),"")</f>
        <v/>
      </c>
    </row>
    <row r="117" spans="1:16" x14ac:dyDescent="0.2">
      <c r="A117" s="1">
        <f>WorldCupMatches!O117</f>
        <v>1958</v>
      </c>
      <c r="B117" s="1" t="str">
        <f>WorldCupMatches!P117</f>
        <v>Argentina</v>
      </c>
      <c r="C117" s="1">
        <f>WorldCupMatches!Q117</f>
        <v>3</v>
      </c>
      <c r="D117" s="1">
        <f>WorldCupMatches!R117</f>
        <v>1</v>
      </c>
      <c r="E117" s="1" t="str">
        <f>WorldCupMatches!S117</f>
        <v>Northern Ireland</v>
      </c>
      <c r="F117" s="1" t="str">
        <f>WorldCupMatches!T117</f>
        <v xml:space="preserve"> </v>
      </c>
      <c r="G117" s="1" t="str">
        <f>WorldCupMatches!U117</f>
        <v>Group stages</v>
      </c>
      <c r="J117" s="1">
        <f>COUNTIF($L$2:L117,L117)</f>
        <v>6</v>
      </c>
      <c r="K117" s="1">
        <f>Table3[[#This Row],[Year]]</f>
        <v>1958</v>
      </c>
      <c r="L117" s="1" t="str">
        <f>Table3[[#This Row],[Hometeam]]</f>
        <v>Argentina</v>
      </c>
      <c r="M117" s="1" t="str">
        <f>IF(J117=1,J117+ROWS($J$2:J117)/10000,"")</f>
        <v/>
      </c>
      <c r="N117" s="1" t="str">
        <f>IFERROR(SMALL($M$2:$M$1705,ROWS($M$2:M117)),"")</f>
        <v/>
      </c>
      <c r="O117" s="1" t="str">
        <f>IF(N117&lt;&gt;"",INDEX($L$2:$L$1705,MATCH(N117,$M$2:$M$1705,0)),"")</f>
        <v/>
      </c>
      <c r="P117" s="1" t="str">
        <f>IF(O117&lt;&gt;"",ROWS($O$2:O117),"")</f>
        <v/>
      </c>
    </row>
    <row r="118" spans="1:16" x14ac:dyDescent="0.2">
      <c r="A118" s="1">
        <f>WorldCupMatches!O118</f>
        <v>1958</v>
      </c>
      <c r="B118" s="1" t="str">
        <f>WorldCupMatches!P118</f>
        <v>Sweden</v>
      </c>
      <c r="C118" s="1">
        <f>WorldCupMatches!Q118</f>
        <v>2</v>
      </c>
      <c r="D118" s="1">
        <f>WorldCupMatches!R118</f>
        <v>1</v>
      </c>
      <c r="E118" s="1" t="str">
        <f>WorldCupMatches!S118</f>
        <v>Hungary</v>
      </c>
      <c r="F118" s="1" t="str">
        <f>WorldCupMatches!T118</f>
        <v xml:space="preserve"> </v>
      </c>
      <c r="G118" s="1" t="str">
        <f>WorldCupMatches!U118</f>
        <v>Group stages</v>
      </c>
      <c r="J118" s="1">
        <f>COUNTIF($L$2:L118,L118)</f>
        <v>7</v>
      </c>
      <c r="K118" s="1">
        <f>Table3[[#This Row],[Year]]</f>
        <v>1958</v>
      </c>
      <c r="L118" s="1" t="str">
        <f>Table3[[#This Row],[Hometeam]]</f>
        <v>Sweden</v>
      </c>
      <c r="M118" s="1" t="str">
        <f>IF(J118=1,J118+ROWS($J$2:J118)/10000,"")</f>
        <v/>
      </c>
      <c r="N118" s="1" t="str">
        <f>IFERROR(SMALL($M$2:$M$1705,ROWS($M$2:M118)),"")</f>
        <v/>
      </c>
      <c r="O118" s="1" t="str">
        <f>IF(N118&lt;&gt;"",INDEX($L$2:$L$1705,MATCH(N118,$M$2:$M$1705,0)),"")</f>
        <v/>
      </c>
      <c r="P118" s="1" t="str">
        <f>IF(O118&lt;&gt;"",ROWS($O$2:O118),"")</f>
        <v/>
      </c>
    </row>
    <row r="119" spans="1:16" x14ac:dyDescent="0.2">
      <c r="A119" s="1">
        <f>WorldCupMatches!O119</f>
        <v>1958</v>
      </c>
      <c r="B119" s="1" t="str">
        <f>WorldCupMatches!P119</f>
        <v>Sweden</v>
      </c>
      <c r="C119" s="1">
        <f>WorldCupMatches!Q119</f>
        <v>0</v>
      </c>
      <c r="D119" s="1">
        <f>WorldCupMatches!R119</f>
        <v>0</v>
      </c>
      <c r="E119" s="1" t="str">
        <f>WorldCupMatches!S119</f>
        <v>Wales</v>
      </c>
      <c r="F119" s="1" t="str">
        <f>WorldCupMatches!T119</f>
        <v xml:space="preserve"> </v>
      </c>
      <c r="G119" s="1" t="str">
        <f>WorldCupMatches!U119</f>
        <v>Group stages</v>
      </c>
      <c r="J119" s="1">
        <f>COUNTIF($L$2:L119,L119)</f>
        <v>8</v>
      </c>
      <c r="K119" s="1">
        <f>Table3[[#This Row],[Year]]</f>
        <v>1958</v>
      </c>
      <c r="L119" s="1" t="str">
        <f>Table3[[#This Row],[Hometeam]]</f>
        <v>Sweden</v>
      </c>
      <c r="M119" s="1" t="str">
        <f>IF(J119=1,J119+ROWS($J$2:J119)/10000,"")</f>
        <v/>
      </c>
      <c r="N119" s="1" t="str">
        <f>IFERROR(SMALL($M$2:$M$1705,ROWS($M$2:M119)),"")</f>
        <v/>
      </c>
      <c r="O119" s="1" t="str">
        <f>IF(N119&lt;&gt;"",INDEX($L$2:$L$1705,MATCH(N119,$M$2:$M$1705,0)),"")</f>
        <v/>
      </c>
      <c r="P119" s="1" t="str">
        <f>IF(O119&lt;&gt;"",ROWS($O$2:O119),"")</f>
        <v/>
      </c>
    </row>
    <row r="120" spans="1:16" x14ac:dyDescent="0.2">
      <c r="A120" s="1">
        <f>WorldCupMatches!O120</f>
        <v>1958</v>
      </c>
      <c r="B120" s="1" t="str">
        <f>WorldCupMatches!P120</f>
        <v>Brazil</v>
      </c>
      <c r="C120" s="1">
        <f>WorldCupMatches!Q120</f>
        <v>2</v>
      </c>
      <c r="D120" s="1">
        <f>WorldCupMatches!R120</f>
        <v>0</v>
      </c>
      <c r="E120" s="1" t="str">
        <f>WorldCupMatches!S120</f>
        <v>Soviet Union</v>
      </c>
      <c r="F120" s="1" t="str">
        <f>WorldCupMatches!T120</f>
        <v xml:space="preserve"> </v>
      </c>
      <c r="G120" s="1" t="str">
        <f>WorldCupMatches!U120</f>
        <v>Group stages</v>
      </c>
      <c r="J120" s="1">
        <f>COUNTIF($L$2:L120,L120)</f>
        <v>15</v>
      </c>
      <c r="K120" s="1">
        <f>Table3[[#This Row],[Year]]</f>
        <v>1958</v>
      </c>
      <c r="L120" s="1" t="str">
        <f>Table3[[#This Row],[Hometeam]]</f>
        <v>Brazil</v>
      </c>
      <c r="M120" s="1" t="str">
        <f>IF(J120=1,J120+ROWS($J$2:J120)/10000,"")</f>
        <v/>
      </c>
      <c r="N120" s="1" t="str">
        <f>IFERROR(SMALL($M$2:$M$1705,ROWS($M$2:M120)),"")</f>
        <v/>
      </c>
      <c r="O120" s="1" t="str">
        <f>IF(N120&lt;&gt;"",INDEX($L$2:$L$1705,MATCH(N120,$M$2:$M$1705,0)),"")</f>
        <v/>
      </c>
      <c r="P120" s="1" t="str">
        <f>IF(O120&lt;&gt;"",ROWS($O$2:O120),"")</f>
        <v/>
      </c>
    </row>
    <row r="121" spans="1:16" x14ac:dyDescent="0.2">
      <c r="A121" s="1">
        <f>WorldCupMatches!O121</f>
        <v>1958</v>
      </c>
      <c r="B121" s="1" t="str">
        <f>WorldCupMatches!P121</f>
        <v>Germany FR</v>
      </c>
      <c r="C121" s="1">
        <f>WorldCupMatches!Q121</f>
        <v>2</v>
      </c>
      <c r="D121" s="1">
        <f>WorldCupMatches!R121</f>
        <v>2</v>
      </c>
      <c r="E121" s="1" t="str">
        <f>WorldCupMatches!S121</f>
        <v>Northern Ireland</v>
      </c>
      <c r="F121" s="1" t="str">
        <f>WorldCupMatches!T121</f>
        <v xml:space="preserve"> </v>
      </c>
      <c r="G121" s="1" t="str">
        <f>WorldCupMatches!U121</f>
        <v>Group stages</v>
      </c>
      <c r="J121" s="1">
        <f>COUNTIF($L$2:L121,L121)</f>
        <v>7</v>
      </c>
      <c r="K121" s="1">
        <f>Table3[[#This Row],[Year]]</f>
        <v>1958</v>
      </c>
      <c r="L121" s="1" t="str">
        <f>Table3[[#This Row],[Hometeam]]</f>
        <v>Germany FR</v>
      </c>
      <c r="M121" s="1" t="str">
        <f>IF(J121=1,J121+ROWS($J$2:J121)/10000,"")</f>
        <v/>
      </c>
      <c r="N121" s="1" t="str">
        <f>IFERROR(SMALL($M$2:$M$1705,ROWS($M$2:M121)),"")</f>
        <v/>
      </c>
      <c r="O121" s="1" t="str">
        <f>IF(N121&lt;&gt;"",INDEX($L$2:$L$1705,MATCH(N121,$M$2:$M$1705,0)),"")</f>
        <v/>
      </c>
      <c r="P121" s="1" t="str">
        <f>IF(O121&lt;&gt;"",ROWS($O$2:O121),"")</f>
        <v/>
      </c>
    </row>
    <row r="122" spans="1:16" x14ac:dyDescent="0.2">
      <c r="A122" s="1">
        <f>WorldCupMatches!O122</f>
        <v>1958</v>
      </c>
      <c r="B122" s="1" t="str">
        <f>WorldCupMatches!P122</f>
        <v>Hungary</v>
      </c>
      <c r="C122" s="1">
        <f>WorldCupMatches!Q122</f>
        <v>4</v>
      </c>
      <c r="D122" s="1">
        <f>WorldCupMatches!R122</f>
        <v>0</v>
      </c>
      <c r="E122" s="1" t="str">
        <f>WorldCupMatches!S122</f>
        <v>Mexico</v>
      </c>
      <c r="F122" s="1" t="str">
        <f>WorldCupMatches!T122</f>
        <v xml:space="preserve"> </v>
      </c>
      <c r="G122" s="1" t="str">
        <f>WorldCupMatches!U122</f>
        <v>Group stages</v>
      </c>
      <c r="J122" s="1">
        <f>COUNTIF($L$2:L122,L122)</f>
        <v>10</v>
      </c>
      <c r="K122" s="1">
        <f>Table3[[#This Row],[Year]]</f>
        <v>1958</v>
      </c>
      <c r="L122" s="1" t="str">
        <f>Table3[[#This Row],[Hometeam]]</f>
        <v>Hungary</v>
      </c>
      <c r="M122" s="1" t="str">
        <f>IF(J122=1,J122+ROWS($J$2:J122)/10000,"")</f>
        <v/>
      </c>
      <c r="N122" s="1" t="str">
        <f>IFERROR(SMALL($M$2:$M$1705,ROWS($M$2:M122)),"")</f>
        <v/>
      </c>
      <c r="O122" s="1" t="str">
        <f>IF(N122&lt;&gt;"",INDEX($L$2:$L$1705,MATCH(N122,$M$2:$M$1705,0)),"")</f>
        <v/>
      </c>
      <c r="P122" s="1" t="str">
        <f>IF(O122&lt;&gt;"",ROWS($O$2:O122),"")</f>
        <v/>
      </c>
    </row>
    <row r="123" spans="1:16" x14ac:dyDescent="0.2">
      <c r="A123" s="1">
        <f>WorldCupMatches!O123</f>
        <v>1958</v>
      </c>
      <c r="B123" s="1" t="str">
        <f>WorldCupMatches!P123</f>
        <v>Paraguay</v>
      </c>
      <c r="C123" s="1">
        <f>WorldCupMatches!Q123</f>
        <v>3</v>
      </c>
      <c r="D123" s="1">
        <f>WorldCupMatches!R123</f>
        <v>3</v>
      </c>
      <c r="E123" s="1" t="str">
        <f>WorldCupMatches!S123</f>
        <v>Yugoslavia</v>
      </c>
      <c r="F123" s="1" t="str">
        <f>WorldCupMatches!T123</f>
        <v xml:space="preserve"> </v>
      </c>
      <c r="G123" s="1" t="str">
        <f>WorldCupMatches!U123</f>
        <v>Group stages</v>
      </c>
      <c r="J123" s="1">
        <f>COUNTIF($L$2:L123,L123)</f>
        <v>3</v>
      </c>
      <c r="K123" s="1">
        <f>Table3[[#This Row],[Year]]</f>
        <v>1958</v>
      </c>
      <c r="L123" s="1" t="str">
        <f>Table3[[#This Row],[Hometeam]]</f>
        <v>Paraguay</v>
      </c>
      <c r="M123" s="1" t="str">
        <f>IF(J123=1,J123+ROWS($J$2:J123)/10000,"")</f>
        <v/>
      </c>
      <c r="N123" s="1" t="str">
        <f>IFERROR(SMALL($M$2:$M$1705,ROWS($M$2:M123)),"")</f>
        <v/>
      </c>
      <c r="O123" s="1" t="str">
        <f>IF(N123&lt;&gt;"",INDEX($L$2:$L$1705,MATCH(N123,$M$2:$M$1705,0)),"")</f>
        <v/>
      </c>
      <c r="P123" s="1" t="str">
        <f>IF(O123&lt;&gt;"",ROWS($O$2:O123),"")</f>
        <v/>
      </c>
    </row>
    <row r="124" spans="1:16" x14ac:dyDescent="0.2">
      <c r="A124" s="1">
        <f>WorldCupMatches!O124</f>
        <v>1958</v>
      </c>
      <c r="B124" s="1" t="str">
        <f>WorldCupMatches!P124</f>
        <v>France</v>
      </c>
      <c r="C124" s="1">
        <f>WorldCupMatches!Q124</f>
        <v>2</v>
      </c>
      <c r="D124" s="1">
        <f>WorldCupMatches!R124</f>
        <v>1</v>
      </c>
      <c r="E124" s="1" t="str">
        <f>WorldCupMatches!S124</f>
        <v>Scotland</v>
      </c>
      <c r="F124" s="1" t="str">
        <f>WorldCupMatches!T124</f>
        <v xml:space="preserve"> </v>
      </c>
      <c r="G124" s="1" t="str">
        <f>WorldCupMatches!U124</f>
        <v>Group stages</v>
      </c>
      <c r="J124" s="1">
        <f>COUNTIF($L$2:L124,L124)</f>
        <v>5</v>
      </c>
      <c r="K124" s="1">
        <f>Table3[[#This Row],[Year]]</f>
        <v>1958</v>
      </c>
      <c r="L124" s="1" t="str">
        <f>Table3[[#This Row],[Hometeam]]</f>
        <v>France</v>
      </c>
      <c r="M124" s="1" t="str">
        <f>IF(J124=1,J124+ROWS($J$2:J124)/10000,"")</f>
        <v/>
      </c>
      <c r="N124" s="1" t="str">
        <f>IFERROR(SMALL($M$2:$M$1705,ROWS($M$2:M124)),"")</f>
        <v/>
      </c>
      <c r="O124" s="1" t="str">
        <f>IF(N124&lt;&gt;"",INDEX($L$2:$L$1705,MATCH(N124,$M$2:$M$1705,0)),"")</f>
        <v/>
      </c>
      <c r="P124" s="1" t="str">
        <f>IF(O124&lt;&gt;"",ROWS($O$2:O124),"")</f>
        <v/>
      </c>
    </row>
    <row r="125" spans="1:16" x14ac:dyDescent="0.2">
      <c r="A125" s="1">
        <f>WorldCupMatches!O125</f>
        <v>1958</v>
      </c>
      <c r="B125" s="1" t="str">
        <f>WorldCupMatches!P125</f>
        <v>England</v>
      </c>
      <c r="C125" s="1">
        <f>WorldCupMatches!Q125</f>
        <v>2</v>
      </c>
      <c r="D125" s="1">
        <f>WorldCupMatches!R125</f>
        <v>2</v>
      </c>
      <c r="E125" s="1" t="str">
        <f>WorldCupMatches!S125</f>
        <v>Austria</v>
      </c>
      <c r="F125" s="1" t="str">
        <f>WorldCupMatches!T125</f>
        <v xml:space="preserve"> </v>
      </c>
      <c r="G125" s="1" t="str">
        <f>WorldCupMatches!U125</f>
        <v>Group stages</v>
      </c>
      <c r="J125" s="1">
        <f>COUNTIF($L$2:L125,L125)</f>
        <v>4</v>
      </c>
      <c r="K125" s="1">
        <f>Table3[[#This Row],[Year]]</f>
        <v>1958</v>
      </c>
      <c r="L125" s="1" t="str">
        <f>Table3[[#This Row],[Hometeam]]</f>
        <v>England</v>
      </c>
      <c r="M125" s="1" t="str">
        <f>IF(J125=1,J125+ROWS($J$2:J125)/10000,"")</f>
        <v/>
      </c>
      <c r="N125" s="1" t="str">
        <f>IFERROR(SMALL($M$2:$M$1705,ROWS($M$2:M125)),"")</f>
        <v/>
      </c>
      <c r="O125" s="1" t="str">
        <f>IF(N125&lt;&gt;"",INDEX($L$2:$L$1705,MATCH(N125,$M$2:$M$1705,0)),"")</f>
        <v/>
      </c>
      <c r="P125" s="1" t="str">
        <f>IF(O125&lt;&gt;"",ROWS($O$2:O125),"")</f>
        <v/>
      </c>
    </row>
    <row r="126" spans="1:16" x14ac:dyDescent="0.2">
      <c r="A126" s="1">
        <f>WorldCupMatches!O126</f>
        <v>1958</v>
      </c>
      <c r="B126" s="1" t="str">
        <f>WorldCupMatches!P126</f>
        <v>Czechoslovakia</v>
      </c>
      <c r="C126" s="1">
        <f>WorldCupMatches!Q126</f>
        <v>6</v>
      </c>
      <c r="D126" s="1">
        <f>WorldCupMatches!R126</f>
        <v>1</v>
      </c>
      <c r="E126" s="1" t="str">
        <f>WorldCupMatches!S126</f>
        <v>Argentina</v>
      </c>
      <c r="F126" s="1" t="str">
        <f>WorldCupMatches!T126</f>
        <v xml:space="preserve"> </v>
      </c>
      <c r="G126" s="1" t="str">
        <f>WorldCupMatches!U126</f>
        <v>Group stages</v>
      </c>
      <c r="J126" s="1">
        <f>COUNTIF($L$2:L126,L126)</f>
        <v>5</v>
      </c>
      <c r="K126" s="1">
        <f>Table3[[#This Row],[Year]]</f>
        <v>1958</v>
      </c>
      <c r="L126" s="1" t="str">
        <f>Table3[[#This Row],[Hometeam]]</f>
        <v>Czechoslovakia</v>
      </c>
      <c r="M126" s="1" t="str">
        <f>IF(J126=1,J126+ROWS($J$2:J126)/10000,"")</f>
        <v/>
      </c>
      <c r="N126" s="1" t="str">
        <f>IFERROR(SMALL($M$2:$M$1705,ROWS($M$2:M126)),"")</f>
        <v/>
      </c>
      <c r="O126" s="1" t="str">
        <f>IF(N126&lt;&gt;"",INDEX($L$2:$L$1705,MATCH(N126,$M$2:$M$1705,0)),"")</f>
        <v/>
      </c>
      <c r="P126" s="1" t="str">
        <f>IF(O126&lt;&gt;"",ROWS($O$2:O126),"")</f>
        <v/>
      </c>
    </row>
    <row r="127" spans="1:16" x14ac:dyDescent="0.2">
      <c r="A127" s="1">
        <f>WorldCupMatches!O127</f>
        <v>1958</v>
      </c>
      <c r="B127" s="1" t="str">
        <f>WorldCupMatches!P127</f>
        <v>Soviet Union</v>
      </c>
      <c r="C127" s="1">
        <f>WorldCupMatches!Q127</f>
        <v>1</v>
      </c>
      <c r="D127" s="1">
        <f>WorldCupMatches!R127</f>
        <v>0</v>
      </c>
      <c r="E127" s="1" t="str">
        <f>WorldCupMatches!S127</f>
        <v>England</v>
      </c>
      <c r="F127" s="1" t="str">
        <f>WorldCupMatches!T127</f>
        <v xml:space="preserve"> </v>
      </c>
      <c r="G127" s="1" t="str">
        <f>WorldCupMatches!U127</f>
        <v>Group stages</v>
      </c>
      <c r="J127" s="1">
        <f>COUNTIF($L$2:L127,L127)</f>
        <v>3</v>
      </c>
      <c r="K127" s="1">
        <f>Table3[[#This Row],[Year]]</f>
        <v>1958</v>
      </c>
      <c r="L127" s="1" t="str">
        <f>Table3[[#This Row],[Hometeam]]</f>
        <v>Soviet Union</v>
      </c>
      <c r="M127" s="1" t="str">
        <f>IF(J127=1,J127+ROWS($J$2:J127)/10000,"")</f>
        <v/>
      </c>
      <c r="N127" s="1" t="str">
        <f>IFERROR(SMALL($M$2:$M$1705,ROWS($M$2:M127)),"")</f>
        <v/>
      </c>
      <c r="O127" s="1" t="str">
        <f>IF(N127&lt;&gt;"",INDEX($L$2:$L$1705,MATCH(N127,$M$2:$M$1705,0)),"")</f>
        <v/>
      </c>
      <c r="P127" s="1" t="str">
        <f>IF(O127&lt;&gt;"",ROWS($O$2:O127),"")</f>
        <v/>
      </c>
    </row>
    <row r="128" spans="1:16" x14ac:dyDescent="0.2">
      <c r="A128" s="1">
        <f>WorldCupMatches!O128</f>
        <v>1958</v>
      </c>
      <c r="B128" s="1" t="str">
        <f>WorldCupMatches!P128</f>
        <v>Northern Ireland</v>
      </c>
      <c r="C128" s="1">
        <f>WorldCupMatches!Q128</f>
        <v>2</v>
      </c>
      <c r="D128" s="1">
        <f>WorldCupMatches!R128</f>
        <v>1</v>
      </c>
      <c r="E128" s="1" t="str">
        <f>WorldCupMatches!S128</f>
        <v>Czechoslovakia</v>
      </c>
      <c r="F128" s="1" t="str">
        <f>WorldCupMatches!T128</f>
        <v xml:space="preserve">Northern Ireland win after extra time </v>
      </c>
      <c r="G128" s="1" t="str">
        <f>WorldCupMatches!U128</f>
        <v>Group stages</v>
      </c>
      <c r="J128" s="1">
        <f>COUNTIF($L$2:L128,L128)</f>
        <v>2</v>
      </c>
      <c r="K128" s="1">
        <f>Table3[[#This Row],[Year]]</f>
        <v>1958</v>
      </c>
      <c r="L128" s="1" t="str">
        <f>Table3[[#This Row],[Hometeam]]</f>
        <v>Northern Ireland</v>
      </c>
      <c r="M128" s="1" t="str">
        <f>IF(J128=1,J128+ROWS($J$2:J128)/10000,"")</f>
        <v/>
      </c>
      <c r="N128" s="1" t="str">
        <f>IFERROR(SMALL($M$2:$M$1705,ROWS($M$2:M128)),"")</f>
        <v/>
      </c>
      <c r="O128" s="1" t="str">
        <f>IF(N128&lt;&gt;"",INDEX($L$2:$L$1705,MATCH(N128,$M$2:$M$1705,0)),"")</f>
        <v/>
      </c>
      <c r="P128" s="1" t="str">
        <f>IF(O128&lt;&gt;"",ROWS($O$2:O128),"")</f>
        <v/>
      </c>
    </row>
    <row r="129" spans="1:16" x14ac:dyDescent="0.2">
      <c r="A129" s="1">
        <f>WorldCupMatches!O129</f>
        <v>1958</v>
      </c>
      <c r="B129" s="1" t="str">
        <f>WorldCupMatches!P129</f>
        <v>Wales</v>
      </c>
      <c r="C129" s="1">
        <f>WorldCupMatches!Q129</f>
        <v>2</v>
      </c>
      <c r="D129" s="1">
        <f>WorldCupMatches!R129</f>
        <v>1</v>
      </c>
      <c r="E129" s="1" t="str">
        <f>WorldCupMatches!S129</f>
        <v>Hungary</v>
      </c>
      <c r="F129" s="1" t="str">
        <f>WorldCupMatches!T129</f>
        <v xml:space="preserve"> </v>
      </c>
      <c r="G129" s="1" t="str">
        <f>WorldCupMatches!U129</f>
        <v>Group stages</v>
      </c>
      <c r="J129" s="1">
        <f>COUNTIF($L$2:L129,L129)</f>
        <v>1</v>
      </c>
      <c r="K129" s="1">
        <f>Table3[[#This Row],[Year]]</f>
        <v>1958</v>
      </c>
      <c r="L129" s="1" t="str">
        <f>Table3[[#This Row],[Hometeam]]</f>
        <v>Wales</v>
      </c>
      <c r="M129" s="1">
        <f>IF(J129=1,J129+ROWS($J$2:J129)/10000,"")</f>
        <v>1.0127999999999999</v>
      </c>
      <c r="N129" s="1" t="str">
        <f>IFERROR(SMALL($M$2:$M$1705,ROWS($M$2:M129)),"")</f>
        <v/>
      </c>
      <c r="O129" s="1" t="str">
        <f>IF(N129&lt;&gt;"",INDEX($L$2:$L$1705,MATCH(N129,$M$2:$M$1705,0)),"")</f>
        <v/>
      </c>
      <c r="P129" s="1" t="str">
        <f>IF(O129&lt;&gt;"",ROWS($O$2:O129),"")</f>
        <v/>
      </c>
    </row>
    <row r="130" spans="1:16" x14ac:dyDescent="0.2">
      <c r="A130" s="1">
        <f>WorldCupMatches!O130</f>
        <v>1958</v>
      </c>
      <c r="B130" s="1" t="str">
        <f>WorldCupMatches!P130</f>
        <v>Brazil</v>
      </c>
      <c r="C130" s="1">
        <f>WorldCupMatches!Q130</f>
        <v>1</v>
      </c>
      <c r="D130" s="1">
        <f>WorldCupMatches!R130</f>
        <v>0</v>
      </c>
      <c r="E130" s="1" t="str">
        <f>WorldCupMatches!S130</f>
        <v>Wales</v>
      </c>
      <c r="F130" s="1" t="str">
        <f>WorldCupMatches!T130</f>
        <v xml:space="preserve"> </v>
      </c>
      <c r="G130" s="1" t="str">
        <f>WorldCupMatches!U130</f>
        <v>Quarter-finals</v>
      </c>
      <c r="J130" s="1">
        <f>COUNTIF($L$2:L130,L130)</f>
        <v>16</v>
      </c>
      <c r="K130" s="1">
        <f>Table3[[#This Row],[Year]]</f>
        <v>1958</v>
      </c>
      <c r="L130" s="1" t="str">
        <f>Table3[[#This Row],[Hometeam]]</f>
        <v>Brazil</v>
      </c>
      <c r="M130" s="1" t="str">
        <f>IF(J130=1,J130+ROWS($J$2:J130)/10000,"")</f>
        <v/>
      </c>
      <c r="N130" s="1" t="str">
        <f>IFERROR(SMALL($M$2:$M$1705,ROWS($M$2:M130)),"")</f>
        <v/>
      </c>
      <c r="O130" s="1" t="str">
        <f>IF(N130&lt;&gt;"",INDEX($L$2:$L$1705,MATCH(N130,$M$2:$M$1705,0)),"")</f>
        <v/>
      </c>
      <c r="P130" s="1" t="str">
        <f>IF(O130&lt;&gt;"",ROWS($O$2:O130),"")</f>
        <v/>
      </c>
    </row>
    <row r="131" spans="1:16" x14ac:dyDescent="0.2">
      <c r="A131" s="1">
        <f>WorldCupMatches!O131</f>
        <v>1958</v>
      </c>
      <c r="B131" s="1" t="str">
        <f>WorldCupMatches!P131</f>
        <v>Germany FR</v>
      </c>
      <c r="C131" s="1">
        <f>WorldCupMatches!Q131</f>
        <v>1</v>
      </c>
      <c r="D131" s="1">
        <f>WorldCupMatches!R131</f>
        <v>0</v>
      </c>
      <c r="E131" s="1" t="str">
        <f>WorldCupMatches!S131</f>
        <v>Yugoslavia</v>
      </c>
      <c r="F131" s="1" t="str">
        <f>WorldCupMatches!T131</f>
        <v xml:space="preserve"> </v>
      </c>
      <c r="G131" s="1" t="str">
        <f>WorldCupMatches!U131</f>
        <v>Quarter-finals</v>
      </c>
      <c r="J131" s="1">
        <f>COUNTIF($L$2:L131,L131)</f>
        <v>8</v>
      </c>
      <c r="K131" s="1">
        <f>Table3[[#This Row],[Year]]</f>
        <v>1958</v>
      </c>
      <c r="L131" s="1" t="str">
        <f>Table3[[#This Row],[Hometeam]]</f>
        <v>Germany FR</v>
      </c>
      <c r="M131" s="1" t="str">
        <f>IF(J131=1,J131+ROWS($J$2:J131)/10000,"")</f>
        <v/>
      </c>
      <c r="N131" s="1" t="str">
        <f>IFERROR(SMALL($M$2:$M$1705,ROWS($M$2:M131)),"")</f>
        <v/>
      </c>
      <c r="O131" s="1" t="str">
        <f>IF(N131&lt;&gt;"",INDEX($L$2:$L$1705,MATCH(N131,$M$2:$M$1705,0)),"")</f>
        <v/>
      </c>
      <c r="P131" s="1" t="str">
        <f>IF(O131&lt;&gt;"",ROWS($O$2:O131),"")</f>
        <v/>
      </c>
    </row>
    <row r="132" spans="1:16" x14ac:dyDescent="0.2">
      <c r="A132" s="1">
        <f>WorldCupMatches!O132</f>
        <v>1958</v>
      </c>
      <c r="B132" s="1" t="str">
        <f>WorldCupMatches!P132</f>
        <v>Sweden</v>
      </c>
      <c r="C132" s="1">
        <f>WorldCupMatches!Q132</f>
        <v>2</v>
      </c>
      <c r="D132" s="1">
        <f>WorldCupMatches!R132</f>
        <v>0</v>
      </c>
      <c r="E132" s="1" t="str">
        <f>WorldCupMatches!S132</f>
        <v>Soviet Union</v>
      </c>
      <c r="F132" s="1" t="str">
        <f>WorldCupMatches!T132</f>
        <v xml:space="preserve"> </v>
      </c>
      <c r="G132" s="1" t="str">
        <f>WorldCupMatches!U132</f>
        <v>Quarter-finals</v>
      </c>
      <c r="J132" s="1">
        <f>COUNTIF($L$2:L132,L132)</f>
        <v>9</v>
      </c>
      <c r="K132" s="1">
        <f>Table3[[#This Row],[Year]]</f>
        <v>1958</v>
      </c>
      <c r="L132" s="1" t="str">
        <f>Table3[[#This Row],[Hometeam]]</f>
        <v>Sweden</v>
      </c>
      <c r="M132" s="1" t="str">
        <f>IF(J132=1,J132+ROWS($J$2:J132)/10000,"")</f>
        <v/>
      </c>
      <c r="N132" s="1" t="str">
        <f>IFERROR(SMALL($M$2:$M$1705,ROWS($M$2:M132)),"")</f>
        <v/>
      </c>
      <c r="O132" s="1" t="str">
        <f>IF(N132&lt;&gt;"",INDEX($L$2:$L$1705,MATCH(N132,$M$2:$M$1705,0)),"")</f>
        <v/>
      </c>
      <c r="P132" s="1" t="str">
        <f>IF(O132&lt;&gt;"",ROWS($O$2:O132),"")</f>
        <v/>
      </c>
    </row>
    <row r="133" spans="1:16" x14ac:dyDescent="0.2">
      <c r="A133" s="1">
        <f>WorldCupMatches!O133</f>
        <v>1958</v>
      </c>
      <c r="B133" s="1" t="str">
        <f>WorldCupMatches!P133</f>
        <v>France</v>
      </c>
      <c r="C133" s="1">
        <f>WorldCupMatches!Q133</f>
        <v>4</v>
      </c>
      <c r="D133" s="1">
        <f>WorldCupMatches!R133</f>
        <v>0</v>
      </c>
      <c r="E133" s="1" t="str">
        <f>WorldCupMatches!S133</f>
        <v>Northern Ireland</v>
      </c>
      <c r="F133" s="1" t="str">
        <f>WorldCupMatches!T133</f>
        <v xml:space="preserve"> </v>
      </c>
      <c r="G133" s="1" t="str">
        <f>WorldCupMatches!U133</f>
        <v>Quarter-finals</v>
      </c>
      <c r="J133" s="1">
        <f>COUNTIF($L$2:L133,L133)</f>
        <v>6</v>
      </c>
      <c r="K133" s="1">
        <f>Table3[[#This Row],[Year]]</f>
        <v>1958</v>
      </c>
      <c r="L133" s="1" t="str">
        <f>Table3[[#This Row],[Hometeam]]</f>
        <v>France</v>
      </c>
      <c r="M133" s="1" t="str">
        <f>IF(J133=1,J133+ROWS($J$2:J133)/10000,"")</f>
        <v/>
      </c>
      <c r="N133" s="1" t="str">
        <f>IFERROR(SMALL($M$2:$M$1705,ROWS($M$2:M133)),"")</f>
        <v/>
      </c>
      <c r="O133" s="1" t="str">
        <f>IF(N133&lt;&gt;"",INDEX($L$2:$L$1705,MATCH(N133,$M$2:$M$1705,0)),"")</f>
        <v/>
      </c>
      <c r="P133" s="1" t="str">
        <f>IF(O133&lt;&gt;"",ROWS($O$2:O133),"")</f>
        <v/>
      </c>
    </row>
    <row r="134" spans="1:16" x14ac:dyDescent="0.2">
      <c r="A134" s="1">
        <f>WorldCupMatches!O134</f>
        <v>1958</v>
      </c>
      <c r="B134" s="1" t="str">
        <f>WorldCupMatches!P134</f>
        <v>Sweden</v>
      </c>
      <c r="C134" s="1">
        <f>WorldCupMatches!Q134</f>
        <v>3</v>
      </c>
      <c r="D134" s="1">
        <f>WorldCupMatches!R134</f>
        <v>1</v>
      </c>
      <c r="E134" s="1" t="str">
        <f>WorldCupMatches!S134</f>
        <v>Germany FR</v>
      </c>
      <c r="F134" s="1" t="str">
        <f>WorldCupMatches!T134</f>
        <v xml:space="preserve"> </v>
      </c>
      <c r="G134" s="1" t="str">
        <f>WorldCupMatches!U134</f>
        <v>Semi-finals</v>
      </c>
      <c r="J134" s="1">
        <f>COUNTIF($L$2:L134,L134)</f>
        <v>10</v>
      </c>
      <c r="K134" s="1">
        <f>Table3[[#This Row],[Year]]</f>
        <v>1958</v>
      </c>
      <c r="L134" s="1" t="str">
        <f>Table3[[#This Row],[Hometeam]]</f>
        <v>Sweden</v>
      </c>
      <c r="M134" s="1" t="str">
        <f>IF(J134=1,J134+ROWS($J$2:J134)/10000,"")</f>
        <v/>
      </c>
      <c r="N134" s="1" t="str">
        <f>IFERROR(SMALL($M$2:$M$1705,ROWS($M$2:M134)),"")</f>
        <v/>
      </c>
      <c r="O134" s="1" t="str">
        <f>IF(N134&lt;&gt;"",INDEX($L$2:$L$1705,MATCH(N134,$M$2:$M$1705,0)),"")</f>
        <v/>
      </c>
      <c r="P134" s="1" t="str">
        <f>IF(O134&lt;&gt;"",ROWS($O$2:O134),"")</f>
        <v/>
      </c>
    </row>
    <row r="135" spans="1:16" x14ac:dyDescent="0.2">
      <c r="A135" s="1">
        <f>WorldCupMatches!O135</f>
        <v>1958</v>
      </c>
      <c r="B135" s="1" t="str">
        <f>WorldCupMatches!P135</f>
        <v>Brazil</v>
      </c>
      <c r="C135" s="1">
        <f>WorldCupMatches!Q135</f>
        <v>5</v>
      </c>
      <c r="D135" s="1">
        <f>WorldCupMatches!R135</f>
        <v>2</v>
      </c>
      <c r="E135" s="1" t="str">
        <f>WorldCupMatches!S135</f>
        <v>France</v>
      </c>
      <c r="F135" s="1" t="str">
        <f>WorldCupMatches!T135</f>
        <v xml:space="preserve"> </v>
      </c>
      <c r="G135" s="1" t="str">
        <f>WorldCupMatches!U135</f>
        <v>Semi-finals</v>
      </c>
      <c r="J135" s="1">
        <f>COUNTIF($L$2:L135,L135)</f>
        <v>17</v>
      </c>
      <c r="K135" s="1">
        <f>Table3[[#This Row],[Year]]</f>
        <v>1958</v>
      </c>
      <c r="L135" s="1" t="str">
        <f>Table3[[#This Row],[Hometeam]]</f>
        <v>Brazil</v>
      </c>
      <c r="M135" s="1" t="str">
        <f>IF(J135=1,J135+ROWS($J$2:J135)/10000,"")</f>
        <v/>
      </c>
      <c r="N135" s="1" t="str">
        <f>IFERROR(SMALL($M$2:$M$1705,ROWS($M$2:M135)),"")</f>
        <v/>
      </c>
      <c r="O135" s="1" t="str">
        <f>IF(N135&lt;&gt;"",INDEX($L$2:$L$1705,MATCH(N135,$M$2:$M$1705,0)),"")</f>
        <v/>
      </c>
      <c r="P135" s="1" t="str">
        <f>IF(O135&lt;&gt;"",ROWS($O$2:O135),"")</f>
        <v/>
      </c>
    </row>
    <row r="136" spans="1:16" x14ac:dyDescent="0.2">
      <c r="A136" s="1">
        <f>WorldCupMatches!O136</f>
        <v>1958</v>
      </c>
      <c r="B136" s="1" t="str">
        <f>WorldCupMatches!P136</f>
        <v>France</v>
      </c>
      <c r="C136" s="1">
        <f>WorldCupMatches!Q136</f>
        <v>6</v>
      </c>
      <c r="D136" s="1">
        <f>WorldCupMatches!R136</f>
        <v>3</v>
      </c>
      <c r="E136" s="1" t="str">
        <f>WorldCupMatches!S136</f>
        <v>Germany FR</v>
      </c>
      <c r="F136" s="1" t="str">
        <f>WorldCupMatches!T136</f>
        <v xml:space="preserve"> </v>
      </c>
      <c r="G136" s="1" t="str">
        <f>WorldCupMatches!U136</f>
        <v>Match for third place</v>
      </c>
      <c r="J136" s="1">
        <f>COUNTIF($L$2:L136,L136)</f>
        <v>7</v>
      </c>
      <c r="K136" s="1">
        <f>Table3[[#This Row],[Year]]</f>
        <v>1958</v>
      </c>
      <c r="L136" s="1" t="str">
        <f>Table3[[#This Row],[Hometeam]]</f>
        <v>France</v>
      </c>
      <c r="M136" s="1" t="str">
        <f>IF(J136=1,J136+ROWS($J$2:J136)/10000,"")</f>
        <v/>
      </c>
      <c r="N136" s="1" t="str">
        <f>IFERROR(SMALL($M$2:$M$1705,ROWS($M$2:M136)),"")</f>
        <v/>
      </c>
      <c r="O136" s="1" t="str">
        <f>IF(N136&lt;&gt;"",INDEX($L$2:$L$1705,MATCH(N136,$M$2:$M$1705,0)),"")</f>
        <v/>
      </c>
      <c r="P136" s="1" t="str">
        <f>IF(O136&lt;&gt;"",ROWS($O$2:O136),"")</f>
        <v/>
      </c>
    </row>
    <row r="137" spans="1:16" x14ac:dyDescent="0.2">
      <c r="A137" s="1">
        <f>WorldCupMatches!O137</f>
        <v>1958</v>
      </c>
      <c r="B137" s="1" t="str">
        <f>WorldCupMatches!P137</f>
        <v>Brazil</v>
      </c>
      <c r="C137" s="1">
        <f>WorldCupMatches!Q137</f>
        <v>5</v>
      </c>
      <c r="D137" s="1">
        <f>WorldCupMatches!R137</f>
        <v>2</v>
      </c>
      <c r="E137" s="1" t="str">
        <f>WorldCupMatches!S137</f>
        <v>Sweden</v>
      </c>
      <c r="F137" s="1" t="str">
        <f>WorldCupMatches!T137</f>
        <v xml:space="preserve"> </v>
      </c>
      <c r="G137" s="1" t="str">
        <f>WorldCupMatches!U137</f>
        <v>Final</v>
      </c>
      <c r="J137" s="1">
        <f>COUNTIF($L$2:L137,L137)</f>
        <v>18</v>
      </c>
      <c r="K137" s="1">
        <f>Table3[[#This Row],[Year]]</f>
        <v>1958</v>
      </c>
      <c r="L137" s="1" t="str">
        <f>Table3[[#This Row],[Hometeam]]</f>
        <v>Brazil</v>
      </c>
      <c r="M137" s="1" t="str">
        <f>IF(J137=1,J137+ROWS($J$2:J137)/10000,"")</f>
        <v/>
      </c>
      <c r="N137" s="1" t="str">
        <f>IFERROR(SMALL($M$2:$M$1705,ROWS($M$2:M137)),"")</f>
        <v/>
      </c>
      <c r="O137" s="1" t="str">
        <f>IF(N137&lt;&gt;"",INDEX($L$2:$L$1705,MATCH(N137,$M$2:$M$1705,0)),"")</f>
        <v/>
      </c>
      <c r="P137" s="1" t="str">
        <f>IF(O137&lt;&gt;"",ROWS($O$2:O137),"")</f>
        <v/>
      </c>
    </row>
    <row r="138" spans="1:16" x14ac:dyDescent="0.2">
      <c r="A138" s="1">
        <f>WorldCupMatches!O138</f>
        <v>1962</v>
      </c>
      <c r="B138" s="1" t="str">
        <f>WorldCupMatches!P138</f>
        <v>Uruguay</v>
      </c>
      <c r="C138" s="1">
        <f>WorldCupMatches!Q138</f>
        <v>2</v>
      </c>
      <c r="D138" s="1">
        <f>WorldCupMatches!R138</f>
        <v>1</v>
      </c>
      <c r="E138" s="1" t="str">
        <f>WorldCupMatches!S138</f>
        <v>Colombia</v>
      </c>
      <c r="F138" s="1" t="str">
        <f>WorldCupMatches!T138</f>
        <v xml:space="preserve"> </v>
      </c>
      <c r="G138" s="1" t="str">
        <f>WorldCupMatches!U138</f>
        <v>Group stages</v>
      </c>
      <c r="J138" s="1">
        <f>COUNTIF($L$2:L138,L138)</f>
        <v>12</v>
      </c>
      <c r="K138" s="1">
        <f>Table3[[#This Row],[Year]]</f>
        <v>1962</v>
      </c>
      <c r="L138" s="1" t="str">
        <f>Table3[[#This Row],[Hometeam]]</f>
        <v>Uruguay</v>
      </c>
      <c r="M138" s="1" t="str">
        <f>IF(J138=1,J138+ROWS($J$2:J138)/10000,"")</f>
        <v/>
      </c>
      <c r="N138" s="1" t="str">
        <f>IFERROR(SMALL($M$2:$M$1705,ROWS($M$2:M138)),"")</f>
        <v/>
      </c>
      <c r="O138" s="1" t="str">
        <f>IF(N138&lt;&gt;"",INDEX($L$2:$L$1705,MATCH(N138,$M$2:$M$1705,0)),"")</f>
        <v/>
      </c>
      <c r="P138" s="1" t="str">
        <f>IF(O138&lt;&gt;"",ROWS($O$2:O138),"")</f>
        <v/>
      </c>
    </row>
    <row r="139" spans="1:16" x14ac:dyDescent="0.2">
      <c r="A139" s="1">
        <f>WorldCupMatches!O139</f>
        <v>1962</v>
      </c>
      <c r="B139" s="1" t="str">
        <f>WorldCupMatches!P139</f>
        <v>Brazil</v>
      </c>
      <c r="C139" s="1">
        <f>WorldCupMatches!Q139</f>
        <v>2</v>
      </c>
      <c r="D139" s="1">
        <f>WorldCupMatches!R139</f>
        <v>0</v>
      </c>
      <c r="E139" s="1" t="str">
        <f>WorldCupMatches!S139</f>
        <v>Mexico</v>
      </c>
      <c r="F139" s="1" t="str">
        <f>WorldCupMatches!T139</f>
        <v xml:space="preserve"> </v>
      </c>
      <c r="G139" s="1" t="str">
        <f>WorldCupMatches!U139</f>
        <v>Group stages</v>
      </c>
      <c r="J139" s="1">
        <f>COUNTIF($L$2:L139,L139)</f>
        <v>19</v>
      </c>
      <c r="K139" s="1">
        <f>Table3[[#This Row],[Year]]</f>
        <v>1962</v>
      </c>
      <c r="L139" s="1" t="str">
        <f>Table3[[#This Row],[Hometeam]]</f>
        <v>Brazil</v>
      </c>
      <c r="M139" s="1" t="str">
        <f>IF(J139=1,J139+ROWS($J$2:J139)/10000,"")</f>
        <v/>
      </c>
      <c r="N139" s="1" t="str">
        <f>IFERROR(SMALL($M$2:$M$1705,ROWS($M$2:M139)),"")</f>
        <v/>
      </c>
      <c r="O139" s="1" t="str">
        <f>IF(N139&lt;&gt;"",INDEX($L$2:$L$1705,MATCH(N139,$M$2:$M$1705,0)),"")</f>
        <v/>
      </c>
      <c r="P139" s="1" t="str">
        <f>IF(O139&lt;&gt;"",ROWS($O$2:O139),"")</f>
        <v/>
      </c>
    </row>
    <row r="140" spans="1:16" x14ac:dyDescent="0.2">
      <c r="A140" s="1">
        <f>WorldCupMatches!O140</f>
        <v>1962</v>
      </c>
      <c r="B140" s="1" t="str">
        <f>WorldCupMatches!P140</f>
        <v>Argentina</v>
      </c>
      <c r="C140" s="1">
        <f>WorldCupMatches!Q140</f>
        <v>1</v>
      </c>
      <c r="D140" s="1">
        <f>WorldCupMatches!R140</f>
        <v>0</v>
      </c>
      <c r="E140" s="1" t="str">
        <f>WorldCupMatches!S140</f>
        <v>Bulgaria</v>
      </c>
      <c r="F140" s="1" t="str">
        <f>WorldCupMatches!T140</f>
        <v xml:space="preserve"> </v>
      </c>
      <c r="G140" s="1" t="str">
        <f>WorldCupMatches!U140</f>
        <v>Group stages</v>
      </c>
      <c r="J140" s="1">
        <f>COUNTIF($L$2:L140,L140)</f>
        <v>7</v>
      </c>
      <c r="K140" s="1">
        <f>Table3[[#This Row],[Year]]</f>
        <v>1962</v>
      </c>
      <c r="L140" s="1" t="str">
        <f>Table3[[#This Row],[Hometeam]]</f>
        <v>Argentina</v>
      </c>
      <c r="M140" s="1" t="str">
        <f>IF(J140=1,J140+ROWS($J$2:J140)/10000,"")</f>
        <v/>
      </c>
      <c r="N140" s="1" t="str">
        <f>IFERROR(SMALL($M$2:$M$1705,ROWS($M$2:M140)),"")</f>
        <v/>
      </c>
      <c r="O140" s="1" t="str">
        <f>IF(N140&lt;&gt;"",INDEX($L$2:$L$1705,MATCH(N140,$M$2:$M$1705,0)),"")</f>
        <v/>
      </c>
      <c r="P140" s="1" t="str">
        <f>IF(O140&lt;&gt;"",ROWS($O$2:O140),"")</f>
        <v/>
      </c>
    </row>
    <row r="141" spans="1:16" x14ac:dyDescent="0.2">
      <c r="A141" s="1">
        <f>WorldCupMatches!O141</f>
        <v>1962</v>
      </c>
      <c r="B141" s="1" t="str">
        <f>WorldCupMatches!P141</f>
        <v>Chile</v>
      </c>
      <c r="C141" s="1">
        <f>WorldCupMatches!Q141</f>
        <v>3</v>
      </c>
      <c r="D141" s="1">
        <f>WorldCupMatches!R141</f>
        <v>1</v>
      </c>
      <c r="E141" s="1" t="str">
        <f>WorldCupMatches!S141</f>
        <v>Switzerland</v>
      </c>
      <c r="F141" s="1" t="str">
        <f>WorldCupMatches!T141</f>
        <v xml:space="preserve"> </v>
      </c>
      <c r="G141" s="1" t="str">
        <f>WorldCupMatches!U141</f>
        <v>Group stages</v>
      </c>
      <c r="J141" s="1">
        <f>COUNTIF($L$2:L141,L141)</f>
        <v>4</v>
      </c>
      <c r="K141" s="1">
        <f>Table3[[#This Row],[Year]]</f>
        <v>1962</v>
      </c>
      <c r="L141" s="1" t="str">
        <f>Table3[[#This Row],[Hometeam]]</f>
        <v>Chile</v>
      </c>
      <c r="M141" s="1" t="str">
        <f>IF(J141=1,J141+ROWS($J$2:J141)/10000,"")</f>
        <v/>
      </c>
      <c r="N141" s="1" t="str">
        <f>IFERROR(SMALL($M$2:$M$1705,ROWS($M$2:M141)),"")</f>
        <v/>
      </c>
      <c r="O141" s="1" t="str">
        <f>IF(N141&lt;&gt;"",INDEX($L$2:$L$1705,MATCH(N141,$M$2:$M$1705,0)),"")</f>
        <v/>
      </c>
      <c r="P141" s="1" t="str">
        <f>IF(O141&lt;&gt;"",ROWS($O$2:O141),"")</f>
        <v/>
      </c>
    </row>
    <row r="142" spans="1:16" x14ac:dyDescent="0.2">
      <c r="A142" s="1">
        <f>WorldCupMatches!O142</f>
        <v>1962</v>
      </c>
      <c r="B142" s="1" t="str">
        <f>WorldCupMatches!P142</f>
        <v>Soviet Union</v>
      </c>
      <c r="C142" s="1">
        <f>WorldCupMatches!Q142</f>
        <v>2</v>
      </c>
      <c r="D142" s="1">
        <f>WorldCupMatches!R142</f>
        <v>0</v>
      </c>
      <c r="E142" s="1" t="str">
        <f>WorldCupMatches!S142</f>
        <v>Yugoslavia</v>
      </c>
      <c r="F142" s="1" t="str">
        <f>WorldCupMatches!T142</f>
        <v xml:space="preserve"> </v>
      </c>
      <c r="G142" s="1" t="str">
        <f>WorldCupMatches!U142</f>
        <v>Group stages</v>
      </c>
      <c r="J142" s="1">
        <f>COUNTIF($L$2:L142,L142)</f>
        <v>4</v>
      </c>
      <c r="K142" s="1">
        <f>Table3[[#This Row],[Year]]</f>
        <v>1962</v>
      </c>
      <c r="L142" s="1" t="str">
        <f>Table3[[#This Row],[Hometeam]]</f>
        <v>Soviet Union</v>
      </c>
      <c r="M142" s="1" t="str">
        <f>IF(J142=1,J142+ROWS($J$2:J142)/10000,"")</f>
        <v/>
      </c>
      <c r="N142" s="1" t="str">
        <f>IFERROR(SMALL($M$2:$M$1705,ROWS($M$2:M142)),"")</f>
        <v/>
      </c>
      <c r="O142" s="1" t="str">
        <f>IF(N142&lt;&gt;"",INDEX($L$2:$L$1705,MATCH(N142,$M$2:$M$1705,0)),"")</f>
        <v/>
      </c>
      <c r="P142" s="1" t="str">
        <f>IF(O142&lt;&gt;"",ROWS($O$2:O142),"")</f>
        <v/>
      </c>
    </row>
    <row r="143" spans="1:16" x14ac:dyDescent="0.2">
      <c r="A143" s="1">
        <f>WorldCupMatches!O143</f>
        <v>1962</v>
      </c>
      <c r="B143" s="1" t="str">
        <f>WorldCupMatches!P143</f>
        <v>Czechoslovakia</v>
      </c>
      <c r="C143" s="1">
        <f>WorldCupMatches!Q143</f>
        <v>1</v>
      </c>
      <c r="D143" s="1">
        <f>WorldCupMatches!R143</f>
        <v>0</v>
      </c>
      <c r="E143" s="1" t="str">
        <f>WorldCupMatches!S143</f>
        <v>Spain</v>
      </c>
      <c r="F143" s="1" t="str">
        <f>WorldCupMatches!T143</f>
        <v xml:space="preserve"> </v>
      </c>
      <c r="G143" s="1" t="str">
        <f>WorldCupMatches!U143</f>
        <v>Group stages</v>
      </c>
      <c r="J143" s="1">
        <f>COUNTIF($L$2:L143,L143)</f>
        <v>6</v>
      </c>
      <c r="K143" s="1">
        <f>Table3[[#This Row],[Year]]</f>
        <v>1962</v>
      </c>
      <c r="L143" s="1" t="str">
        <f>Table3[[#This Row],[Hometeam]]</f>
        <v>Czechoslovakia</v>
      </c>
      <c r="M143" s="1" t="str">
        <f>IF(J143=1,J143+ROWS($J$2:J143)/10000,"")</f>
        <v/>
      </c>
      <c r="N143" s="1" t="str">
        <f>IFERROR(SMALL($M$2:$M$1705,ROWS($M$2:M143)),"")</f>
        <v/>
      </c>
      <c r="O143" s="1" t="str">
        <f>IF(N143&lt;&gt;"",INDEX($L$2:$L$1705,MATCH(N143,$M$2:$M$1705,0)),"")</f>
        <v/>
      </c>
      <c r="P143" s="1" t="str">
        <f>IF(O143&lt;&gt;"",ROWS($O$2:O143),"")</f>
        <v/>
      </c>
    </row>
    <row r="144" spans="1:16" x14ac:dyDescent="0.2">
      <c r="A144" s="1">
        <f>WorldCupMatches!O144</f>
        <v>1962</v>
      </c>
      <c r="B144" s="1" t="str">
        <f>WorldCupMatches!P144</f>
        <v>Hungary</v>
      </c>
      <c r="C144" s="1">
        <f>WorldCupMatches!Q144</f>
        <v>2</v>
      </c>
      <c r="D144" s="1">
        <f>WorldCupMatches!R144</f>
        <v>1</v>
      </c>
      <c r="E144" s="1" t="str">
        <f>WorldCupMatches!S144</f>
        <v>England</v>
      </c>
      <c r="F144" s="1" t="str">
        <f>WorldCupMatches!T144</f>
        <v xml:space="preserve"> </v>
      </c>
      <c r="G144" s="1" t="str">
        <f>WorldCupMatches!U144</f>
        <v>Group stages</v>
      </c>
      <c r="J144" s="1">
        <f>COUNTIF($L$2:L144,L144)</f>
        <v>11</v>
      </c>
      <c r="K144" s="1">
        <f>Table3[[#This Row],[Year]]</f>
        <v>1962</v>
      </c>
      <c r="L144" s="1" t="str">
        <f>Table3[[#This Row],[Hometeam]]</f>
        <v>Hungary</v>
      </c>
      <c r="M144" s="1" t="str">
        <f>IF(J144=1,J144+ROWS($J$2:J144)/10000,"")</f>
        <v/>
      </c>
      <c r="N144" s="1" t="str">
        <f>IFERROR(SMALL($M$2:$M$1705,ROWS($M$2:M144)),"")</f>
        <v/>
      </c>
      <c r="O144" s="1" t="str">
        <f>IF(N144&lt;&gt;"",INDEX($L$2:$L$1705,MATCH(N144,$M$2:$M$1705,0)),"")</f>
        <v/>
      </c>
      <c r="P144" s="1" t="str">
        <f>IF(O144&lt;&gt;"",ROWS($O$2:O144),"")</f>
        <v/>
      </c>
    </row>
    <row r="145" spans="1:16" x14ac:dyDescent="0.2">
      <c r="A145" s="1">
        <f>WorldCupMatches!O145</f>
        <v>1962</v>
      </c>
      <c r="B145" s="1" t="str">
        <f>WorldCupMatches!P145</f>
        <v>Germany FR</v>
      </c>
      <c r="C145" s="1">
        <f>WorldCupMatches!Q145</f>
        <v>0</v>
      </c>
      <c r="D145" s="1">
        <f>WorldCupMatches!R145</f>
        <v>0</v>
      </c>
      <c r="E145" s="1" t="str">
        <f>WorldCupMatches!S145</f>
        <v>Italy</v>
      </c>
      <c r="F145" s="1" t="str">
        <f>WorldCupMatches!T145</f>
        <v xml:space="preserve"> </v>
      </c>
      <c r="G145" s="1" t="str">
        <f>WorldCupMatches!U145</f>
        <v>Group stages</v>
      </c>
      <c r="J145" s="1">
        <f>COUNTIF($L$2:L145,L145)</f>
        <v>9</v>
      </c>
      <c r="K145" s="1">
        <f>Table3[[#This Row],[Year]]</f>
        <v>1962</v>
      </c>
      <c r="L145" s="1" t="str">
        <f>Table3[[#This Row],[Hometeam]]</f>
        <v>Germany FR</v>
      </c>
      <c r="M145" s="1" t="str">
        <f>IF(J145=1,J145+ROWS($J$2:J145)/10000,"")</f>
        <v/>
      </c>
      <c r="N145" s="1" t="str">
        <f>IFERROR(SMALL($M$2:$M$1705,ROWS($M$2:M145)),"")</f>
        <v/>
      </c>
      <c r="O145" s="1" t="str">
        <f>IF(N145&lt;&gt;"",INDEX($L$2:$L$1705,MATCH(N145,$M$2:$M$1705,0)),"")</f>
        <v/>
      </c>
      <c r="P145" s="1" t="str">
        <f>IF(O145&lt;&gt;"",ROWS($O$2:O145),"")</f>
        <v/>
      </c>
    </row>
    <row r="146" spans="1:16" x14ac:dyDescent="0.2">
      <c r="A146" s="1">
        <f>WorldCupMatches!O146</f>
        <v>1962</v>
      </c>
      <c r="B146" s="1" t="str">
        <f>WorldCupMatches!P146</f>
        <v>Yugoslavia</v>
      </c>
      <c r="C146" s="1">
        <f>WorldCupMatches!Q146</f>
        <v>3</v>
      </c>
      <c r="D146" s="1">
        <f>WorldCupMatches!R146</f>
        <v>1</v>
      </c>
      <c r="E146" s="1" t="str">
        <f>WorldCupMatches!S146</f>
        <v>Uruguay</v>
      </c>
      <c r="F146" s="1" t="str">
        <f>WorldCupMatches!T146</f>
        <v xml:space="preserve"> </v>
      </c>
      <c r="G146" s="1" t="str">
        <f>WorldCupMatches!U146</f>
        <v>Group stages</v>
      </c>
      <c r="J146" s="1">
        <f>COUNTIF($L$2:L146,L146)</f>
        <v>8</v>
      </c>
      <c r="K146" s="1">
        <f>Table3[[#This Row],[Year]]</f>
        <v>1962</v>
      </c>
      <c r="L146" s="1" t="str">
        <f>Table3[[#This Row],[Hometeam]]</f>
        <v>Yugoslavia</v>
      </c>
      <c r="M146" s="1" t="str">
        <f>IF(J146=1,J146+ROWS($J$2:J146)/10000,"")</f>
        <v/>
      </c>
      <c r="N146" s="1" t="str">
        <f>IFERROR(SMALL($M$2:$M$1705,ROWS($M$2:M146)),"")</f>
        <v/>
      </c>
      <c r="O146" s="1" t="str">
        <f>IF(N146&lt;&gt;"",INDEX($L$2:$L$1705,MATCH(N146,$M$2:$M$1705,0)),"")</f>
        <v/>
      </c>
      <c r="P146" s="1" t="str">
        <f>IF(O146&lt;&gt;"",ROWS($O$2:O146),"")</f>
        <v/>
      </c>
    </row>
    <row r="147" spans="1:16" x14ac:dyDescent="0.2">
      <c r="A147" s="1">
        <f>WorldCupMatches!O147</f>
        <v>1962</v>
      </c>
      <c r="B147" s="1" t="str">
        <f>WorldCupMatches!P147</f>
        <v>Brazil</v>
      </c>
      <c r="C147" s="1">
        <f>WorldCupMatches!Q147</f>
        <v>0</v>
      </c>
      <c r="D147" s="1">
        <f>WorldCupMatches!R147</f>
        <v>0</v>
      </c>
      <c r="E147" s="1" t="str">
        <f>WorldCupMatches!S147</f>
        <v>Czechoslovakia</v>
      </c>
      <c r="F147" s="1" t="str">
        <f>WorldCupMatches!T147</f>
        <v xml:space="preserve"> </v>
      </c>
      <c r="G147" s="1" t="str">
        <f>WorldCupMatches!U147</f>
        <v>Group stages</v>
      </c>
      <c r="J147" s="1">
        <f>COUNTIF($L$2:L147,L147)</f>
        <v>20</v>
      </c>
      <c r="K147" s="1">
        <f>Table3[[#This Row],[Year]]</f>
        <v>1962</v>
      </c>
      <c r="L147" s="1" t="str">
        <f>Table3[[#This Row],[Hometeam]]</f>
        <v>Brazil</v>
      </c>
      <c r="M147" s="1" t="str">
        <f>IF(J147=1,J147+ROWS($J$2:J147)/10000,"")</f>
        <v/>
      </c>
      <c r="N147" s="1" t="str">
        <f>IFERROR(SMALL($M$2:$M$1705,ROWS($M$2:M147)),"")</f>
        <v/>
      </c>
      <c r="O147" s="1" t="str">
        <f>IF(N147&lt;&gt;"",INDEX($L$2:$L$1705,MATCH(N147,$M$2:$M$1705,0)),"")</f>
        <v/>
      </c>
      <c r="P147" s="1" t="str">
        <f>IF(O147&lt;&gt;"",ROWS($O$2:O147),"")</f>
        <v/>
      </c>
    </row>
    <row r="148" spans="1:16" x14ac:dyDescent="0.2">
      <c r="A148" s="1">
        <f>WorldCupMatches!O148</f>
        <v>1962</v>
      </c>
      <c r="B148" s="1" t="str">
        <f>WorldCupMatches!P148</f>
        <v>England</v>
      </c>
      <c r="C148" s="1">
        <f>WorldCupMatches!Q148</f>
        <v>3</v>
      </c>
      <c r="D148" s="1">
        <f>WorldCupMatches!R148</f>
        <v>1</v>
      </c>
      <c r="E148" s="1" t="str">
        <f>WorldCupMatches!S148</f>
        <v>Argentina</v>
      </c>
      <c r="F148" s="1" t="str">
        <f>WorldCupMatches!T148</f>
        <v xml:space="preserve"> </v>
      </c>
      <c r="G148" s="1" t="str">
        <f>WorldCupMatches!U148</f>
        <v>Group stages</v>
      </c>
      <c r="J148" s="1">
        <f>COUNTIF($L$2:L148,L148)</f>
        <v>5</v>
      </c>
      <c r="K148" s="1">
        <f>Table3[[#This Row],[Year]]</f>
        <v>1962</v>
      </c>
      <c r="L148" s="1" t="str">
        <f>Table3[[#This Row],[Hometeam]]</f>
        <v>England</v>
      </c>
      <c r="M148" s="1" t="str">
        <f>IF(J148=1,J148+ROWS($J$2:J148)/10000,"")</f>
        <v/>
      </c>
      <c r="N148" s="1" t="str">
        <f>IFERROR(SMALL($M$2:$M$1705,ROWS($M$2:M148)),"")</f>
        <v/>
      </c>
      <c r="O148" s="1" t="str">
        <f>IF(N148&lt;&gt;"",INDEX($L$2:$L$1705,MATCH(N148,$M$2:$M$1705,0)),"")</f>
        <v/>
      </c>
      <c r="P148" s="1" t="str">
        <f>IF(O148&lt;&gt;"",ROWS($O$2:O148),"")</f>
        <v/>
      </c>
    </row>
    <row r="149" spans="1:16" x14ac:dyDescent="0.2">
      <c r="A149" s="1">
        <f>WorldCupMatches!O149</f>
        <v>1962</v>
      </c>
      <c r="B149" s="1" t="str">
        <f>WorldCupMatches!P149</f>
        <v>Chile</v>
      </c>
      <c r="C149" s="1">
        <f>WorldCupMatches!Q149</f>
        <v>2</v>
      </c>
      <c r="D149" s="1">
        <f>WorldCupMatches!R149</f>
        <v>0</v>
      </c>
      <c r="E149" s="1" t="str">
        <f>WorldCupMatches!S149</f>
        <v>Italy</v>
      </c>
      <c r="F149" s="1" t="str">
        <f>WorldCupMatches!T149</f>
        <v xml:space="preserve"> </v>
      </c>
      <c r="G149" s="1" t="str">
        <f>WorldCupMatches!U149</f>
        <v>Group stages</v>
      </c>
      <c r="J149" s="1">
        <f>COUNTIF($L$2:L149,L149)</f>
        <v>5</v>
      </c>
      <c r="K149" s="1">
        <f>Table3[[#This Row],[Year]]</f>
        <v>1962</v>
      </c>
      <c r="L149" s="1" t="str">
        <f>Table3[[#This Row],[Hometeam]]</f>
        <v>Chile</v>
      </c>
      <c r="M149" s="1" t="str">
        <f>IF(J149=1,J149+ROWS($J$2:J149)/10000,"")</f>
        <v/>
      </c>
      <c r="N149" s="1" t="str">
        <f>IFERROR(SMALL($M$2:$M$1705,ROWS($M$2:M149)),"")</f>
        <v/>
      </c>
      <c r="O149" s="1" t="str">
        <f>IF(N149&lt;&gt;"",INDEX($L$2:$L$1705,MATCH(N149,$M$2:$M$1705,0)),"")</f>
        <v/>
      </c>
      <c r="P149" s="1" t="str">
        <f>IF(O149&lt;&gt;"",ROWS($O$2:O149),"")</f>
        <v/>
      </c>
    </row>
    <row r="150" spans="1:16" x14ac:dyDescent="0.2">
      <c r="A150" s="1">
        <f>WorldCupMatches!O150</f>
        <v>1962</v>
      </c>
      <c r="B150" s="1" t="str">
        <f>WorldCupMatches!P150</f>
        <v>Soviet Union</v>
      </c>
      <c r="C150" s="1">
        <f>WorldCupMatches!Q150</f>
        <v>4</v>
      </c>
      <c r="D150" s="1">
        <f>WorldCupMatches!R150</f>
        <v>4</v>
      </c>
      <c r="E150" s="1" t="str">
        <f>WorldCupMatches!S150</f>
        <v>Colombia</v>
      </c>
      <c r="F150" s="1" t="str">
        <f>WorldCupMatches!T150</f>
        <v xml:space="preserve"> </v>
      </c>
      <c r="G150" s="1" t="str">
        <f>WorldCupMatches!U150</f>
        <v>Group stages</v>
      </c>
      <c r="J150" s="1">
        <f>COUNTIF($L$2:L150,L150)</f>
        <v>5</v>
      </c>
      <c r="K150" s="1">
        <f>Table3[[#This Row],[Year]]</f>
        <v>1962</v>
      </c>
      <c r="L150" s="1" t="str">
        <f>Table3[[#This Row],[Hometeam]]</f>
        <v>Soviet Union</v>
      </c>
      <c r="M150" s="1" t="str">
        <f>IF(J150=1,J150+ROWS($J$2:J150)/10000,"")</f>
        <v/>
      </c>
      <c r="N150" s="1" t="str">
        <f>IFERROR(SMALL($M$2:$M$1705,ROWS($M$2:M150)),"")</f>
        <v/>
      </c>
      <c r="O150" s="1" t="str">
        <f>IF(N150&lt;&gt;"",INDEX($L$2:$L$1705,MATCH(N150,$M$2:$M$1705,0)),"")</f>
        <v/>
      </c>
      <c r="P150" s="1" t="str">
        <f>IF(O150&lt;&gt;"",ROWS($O$2:O150),"")</f>
        <v/>
      </c>
    </row>
    <row r="151" spans="1:16" x14ac:dyDescent="0.2">
      <c r="A151" s="1">
        <f>WorldCupMatches!O151</f>
        <v>1962</v>
      </c>
      <c r="B151" s="1" t="str">
        <f>WorldCupMatches!P151</f>
        <v>Spain</v>
      </c>
      <c r="C151" s="1">
        <f>WorldCupMatches!Q151</f>
        <v>1</v>
      </c>
      <c r="D151" s="1">
        <f>WorldCupMatches!R151</f>
        <v>0</v>
      </c>
      <c r="E151" s="1" t="str">
        <f>WorldCupMatches!S151</f>
        <v>Mexico</v>
      </c>
      <c r="F151" s="1" t="str">
        <f>WorldCupMatches!T151</f>
        <v xml:space="preserve"> </v>
      </c>
      <c r="G151" s="1" t="str">
        <f>WorldCupMatches!U151</f>
        <v>Group stages</v>
      </c>
      <c r="J151" s="1">
        <f>COUNTIF($L$2:L151,L151)</f>
        <v>5</v>
      </c>
      <c r="K151" s="1">
        <f>Table3[[#This Row],[Year]]</f>
        <v>1962</v>
      </c>
      <c r="L151" s="1" t="str">
        <f>Table3[[#This Row],[Hometeam]]</f>
        <v>Spain</v>
      </c>
      <c r="M151" s="1" t="str">
        <f>IF(J151=1,J151+ROWS($J$2:J151)/10000,"")</f>
        <v/>
      </c>
      <c r="N151" s="1" t="str">
        <f>IFERROR(SMALL($M$2:$M$1705,ROWS($M$2:M151)),"")</f>
        <v/>
      </c>
      <c r="O151" s="1" t="str">
        <f>IF(N151&lt;&gt;"",INDEX($L$2:$L$1705,MATCH(N151,$M$2:$M$1705,0)),"")</f>
        <v/>
      </c>
      <c r="P151" s="1" t="str">
        <f>IF(O151&lt;&gt;"",ROWS($O$2:O151),"")</f>
        <v/>
      </c>
    </row>
    <row r="152" spans="1:16" x14ac:dyDescent="0.2">
      <c r="A152" s="1">
        <f>WorldCupMatches!O152</f>
        <v>1962</v>
      </c>
      <c r="B152" s="1" t="str">
        <f>WorldCupMatches!P152</f>
        <v>Hungary</v>
      </c>
      <c r="C152" s="1">
        <f>WorldCupMatches!Q152</f>
        <v>6</v>
      </c>
      <c r="D152" s="1">
        <f>WorldCupMatches!R152</f>
        <v>1</v>
      </c>
      <c r="E152" s="1" t="str">
        <f>WorldCupMatches!S152</f>
        <v>Bulgaria</v>
      </c>
      <c r="F152" s="1" t="str">
        <f>WorldCupMatches!T152</f>
        <v xml:space="preserve"> </v>
      </c>
      <c r="G152" s="1" t="str">
        <f>WorldCupMatches!U152</f>
        <v>Group stages</v>
      </c>
      <c r="J152" s="1">
        <f>COUNTIF($L$2:L152,L152)</f>
        <v>12</v>
      </c>
      <c r="K152" s="1">
        <f>Table3[[#This Row],[Year]]</f>
        <v>1962</v>
      </c>
      <c r="L152" s="1" t="str">
        <f>Table3[[#This Row],[Hometeam]]</f>
        <v>Hungary</v>
      </c>
      <c r="M152" s="1" t="str">
        <f>IF(J152=1,J152+ROWS($J$2:J152)/10000,"")</f>
        <v/>
      </c>
      <c r="N152" s="1" t="str">
        <f>IFERROR(SMALL($M$2:$M$1705,ROWS($M$2:M152)),"")</f>
        <v/>
      </c>
      <c r="O152" s="1" t="str">
        <f>IF(N152&lt;&gt;"",INDEX($L$2:$L$1705,MATCH(N152,$M$2:$M$1705,0)),"")</f>
        <v/>
      </c>
      <c r="P152" s="1" t="str">
        <f>IF(O152&lt;&gt;"",ROWS($O$2:O152),"")</f>
        <v/>
      </c>
    </row>
    <row r="153" spans="1:16" x14ac:dyDescent="0.2">
      <c r="A153" s="1">
        <f>WorldCupMatches!O153</f>
        <v>1962</v>
      </c>
      <c r="B153" s="1" t="str">
        <f>WorldCupMatches!P153</f>
        <v>Germany FR</v>
      </c>
      <c r="C153" s="1">
        <f>WorldCupMatches!Q153</f>
        <v>2</v>
      </c>
      <c r="D153" s="1">
        <f>WorldCupMatches!R153</f>
        <v>1</v>
      </c>
      <c r="E153" s="1" t="str">
        <f>WorldCupMatches!S153</f>
        <v>Switzerland</v>
      </c>
      <c r="F153" s="1" t="str">
        <f>WorldCupMatches!T153</f>
        <v xml:space="preserve"> </v>
      </c>
      <c r="G153" s="1" t="str">
        <f>WorldCupMatches!U153</f>
        <v>Group stages</v>
      </c>
      <c r="J153" s="1">
        <f>COUNTIF($L$2:L153,L153)</f>
        <v>10</v>
      </c>
      <c r="K153" s="1">
        <f>Table3[[#This Row],[Year]]</f>
        <v>1962</v>
      </c>
      <c r="L153" s="1" t="str">
        <f>Table3[[#This Row],[Hometeam]]</f>
        <v>Germany FR</v>
      </c>
      <c r="M153" s="1" t="str">
        <f>IF(J153=1,J153+ROWS($J$2:J153)/10000,"")</f>
        <v/>
      </c>
      <c r="N153" s="1" t="str">
        <f>IFERROR(SMALL($M$2:$M$1705,ROWS($M$2:M153)),"")</f>
        <v/>
      </c>
      <c r="O153" s="1" t="str">
        <f>IF(N153&lt;&gt;"",INDEX($L$2:$L$1705,MATCH(N153,$M$2:$M$1705,0)),"")</f>
        <v/>
      </c>
      <c r="P153" s="1" t="str">
        <f>IF(O153&lt;&gt;"",ROWS($O$2:O153),"")</f>
        <v/>
      </c>
    </row>
    <row r="154" spans="1:16" x14ac:dyDescent="0.2">
      <c r="A154" s="1">
        <f>WorldCupMatches!O154</f>
        <v>1962</v>
      </c>
      <c r="B154" s="1" t="str">
        <f>WorldCupMatches!P154</f>
        <v>Soviet Union</v>
      </c>
      <c r="C154" s="1">
        <f>WorldCupMatches!Q154</f>
        <v>2</v>
      </c>
      <c r="D154" s="1">
        <f>WorldCupMatches!R154</f>
        <v>1</v>
      </c>
      <c r="E154" s="1" t="str">
        <f>WorldCupMatches!S154</f>
        <v>Uruguay</v>
      </c>
      <c r="F154" s="1" t="str">
        <f>WorldCupMatches!T154</f>
        <v xml:space="preserve"> </v>
      </c>
      <c r="G154" s="1" t="str">
        <f>WorldCupMatches!U154</f>
        <v>Group stages</v>
      </c>
      <c r="J154" s="1">
        <f>COUNTIF($L$2:L154,L154)</f>
        <v>6</v>
      </c>
      <c r="K154" s="1">
        <f>Table3[[#This Row],[Year]]</f>
        <v>1962</v>
      </c>
      <c r="L154" s="1" t="str">
        <f>Table3[[#This Row],[Hometeam]]</f>
        <v>Soviet Union</v>
      </c>
      <c r="M154" s="1" t="str">
        <f>IF(J154=1,J154+ROWS($J$2:J154)/10000,"")</f>
        <v/>
      </c>
      <c r="N154" s="1" t="str">
        <f>IFERROR(SMALL($M$2:$M$1705,ROWS($M$2:M154)),"")</f>
        <v/>
      </c>
      <c r="O154" s="1" t="str">
        <f>IF(N154&lt;&gt;"",INDEX($L$2:$L$1705,MATCH(N154,$M$2:$M$1705,0)),"")</f>
        <v/>
      </c>
      <c r="P154" s="1" t="str">
        <f>IF(O154&lt;&gt;"",ROWS($O$2:O154),"")</f>
        <v/>
      </c>
    </row>
    <row r="155" spans="1:16" x14ac:dyDescent="0.2">
      <c r="A155" s="1">
        <f>WorldCupMatches!O155</f>
        <v>1962</v>
      </c>
      <c r="B155" s="1" t="str">
        <f>WorldCupMatches!P155</f>
        <v>Brazil</v>
      </c>
      <c r="C155" s="1">
        <f>WorldCupMatches!Q155</f>
        <v>2</v>
      </c>
      <c r="D155" s="1">
        <f>WorldCupMatches!R155</f>
        <v>1</v>
      </c>
      <c r="E155" s="1" t="str">
        <f>WorldCupMatches!S155</f>
        <v>Spain</v>
      </c>
      <c r="F155" s="1" t="str">
        <f>WorldCupMatches!T155</f>
        <v xml:space="preserve"> </v>
      </c>
      <c r="G155" s="1" t="str">
        <f>WorldCupMatches!U155</f>
        <v>Group stages</v>
      </c>
      <c r="J155" s="1">
        <f>COUNTIF($L$2:L155,L155)</f>
        <v>21</v>
      </c>
      <c r="K155" s="1">
        <f>Table3[[#This Row],[Year]]</f>
        <v>1962</v>
      </c>
      <c r="L155" s="1" t="str">
        <f>Table3[[#This Row],[Hometeam]]</f>
        <v>Brazil</v>
      </c>
      <c r="M155" s="1" t="str">
        <f>IF(J155=1,J155+ROWS($J$2:J155)/10000,"")</f>
        <v/>
      </c>
      <c r="N155" s="1" t="str">
        <f>IFERROR(SMALL($M$2:$M$1705,ROWS($M$2:M155)),"")</f>
        <v/>
      </c>
      <c r="O155" s="1" t="str">
        <f>IF(N155&lt;&gt;"",INDEX($L$2:$L$1705,MATCH(N155,$M$2:$M$1705,0)),"")</f>
        <v/>
      </c>
      <c r="P155" s="1" t="str">
        <f>IF(O155&lt;&gt;"",ROWS($O$2:O155),"")</f>
        <v/>
      </c>
    </row>
    <row r="156" spans="1:16" x14ac:dyDescent="0.2">
      <c r="A156" s="1">
        <f>WorldCupMatches!O156</f>
        <v>1962</v>
      </c>
      <c r="B156" s="1" t="str">
        <f>WorldCupMatches!P156</f>
        <v>Hungary</v>
      </c>
      <c r="C156" s="1">
        <f>WorldCupMatches!Q156</f>
        <v>0</v>
      </c>
      <c r="D156" s="1">
        <f>WorldCupMatches!R156</f>
        <v>0</v>
      </c>
      <c r="E156" s="1" t="str">
        <f>WorldCupMatches!S156</f>
        <v>Argentina</v>
      </c>
      <c r="F156" s="1" t="str">
        <f>WorldCupMatches!T156</f>
        <v xml:space="preserve"> </v>
      </c>
      <c r="G156" s="1" t="str">
        <f>WorldCupMatches!U156</f>
        <v>Group stages</v>
      </c>
      <c r="J156" s="1">
        <f>COUNTIF($L$2:L156,L156)</f>
        <v>13</v>
      </c>
      <c r="K156" s="1">
        <f>Table3[[#This Row],[Year]]</f>
        <v>1962</v>
      </c>
      <c r="L156" s="1" t="str">
        <f>Table3[[#This Row],[Hometeam]]</f>
        <v>Hungary</v>
      </c>
      <c r="M156" s="1" t="str">
        <f>IF(J156=1,J156+ROWS($J$2:J156)/10000,"")</f>
        <v/>
      </c>
      <c r="N156" s="1" t="str">
        <f>IFERROR(SMALL($M$2:$M$1705,ROWS($M$2:M156)),"")</f>
        <v/>
      </c>
      <c r="O156" s="1" t="str">
        <f>IF(N156&lt;&gt;"",INDEX($L$2:$L$1705,MATCH(N156,$M$2:$M$1705,0)),"")</f>
        <v/>
      </c>
      <c r="P156" s="1" t="str">
        <f>IF(O156&lt;&gt;"",ROWS($O$2:O156),"")</f>
        <v/>
      </c>
    </row>
    <row r="157" spans="1:16" x14ac:dyDescent="0.2">
      <c r="A157" s="1">
        <f>WorldCupMatches!O157</f>
        <v>1962</v>
      </c>
      <c r="B157" s="1" t="str">
        <f>WorldCupMatches!P157</f>
        <v>Germany FR</v>
      </c>
      <c r="C157" s="1">
        <f>WorldCupMatches!Q157</f>
        <v>2</v>
      </c>
      <c r="D157" s="1">
        <f>WorldCupMatches!R157</f>
        <v>0</v>
      </c>
      <c r="E157" s="1" t="str">
        <f>WorldCupMatches!S157</f>
        <v>Chile</v>
      </c>
      <c r="F157" s="1" t="str">
        <f>WorldCupMatches!T157</f>
        <v xml:space="preserve"> </v>
      </c>
      <c r="G157" s="1" t="str">
        <f>WorldCupMatches!U157</f>
        <v>Group stages</v>
      </c>
      <c r="J157" s="1">
        <f>COUNTIF($L$2:L157,L157)</f>
        <v>11</v>
      </c>
      <c r="K157" s="1">
        <f>Table3[[#This Row],[Year]]</f>
        <v>1962</v>
      </c>
      <c r="L157" s="1" t="str">
        <f>Table3[[#This Row],[Hometeam]]</f>
        <v>Germany FR</v>
      </c>
      <c r="M157" s="1" t="str">
        <f>IF(J157=1,J157+ROWS($J$2:J157)/10000,"")</f>
        <v/>
      </c>
      <c r="N157" s="1" t="str">
        <f>IFERROR(SMALL($M$2:$M$1705,ROWS($M$2:M157)),"")</f>
        <v/>
      </c>
      <c r="O157" s="1" t="str">
        <f>IF(N157&lt;&gt;"",INDEX($L$2:$L$1705,MATCH(N157,$M$2:$M$1705,0)),"")</f>
        <v/>
      </c>
      <c r="P157" s="1" t="str">
        <f>IF(O157&lt;&gt;"",ROWS($O$2:O157),"")</f>
        <v/>
      </c>
    </row>
    <row r="158" spans="1:16" x14ac:dyDescent="0.2">
      <c r="A158" s="1">
        <f>WorldCupMatches!O158</f>
        <v>1962</v>
      </c>
      <c r="B158" s="1" t="str">
        <f>WorldCupMatches!P158</f>
        <v>Yugoslavia</v>
      </c>
      <c r="C158" s="1">
        <f>WorldCupMatches!Q158</f>
        <v>5</v>
      </c>
      <c r="D158" s="1">
        <f>WorldCupMatches!R158</f>
        <v>0</v>
      </c>
      <c r="E158" s="1" t="str">
        <f>WorldCupMatches!S158</f>
        <v>Colombia</v>
      </c>
      <c r="F158" s="1" t="str">
        <f>WorldCupMatches!T158</f>
        <v xml:space="preserve"> </v>
      </c>
      <c r="G158" s="1" t="str">
        <f>WorldCupMatches!U158</f>
        <v>Group stages</v>
      </c>
      <c r="J158" s="1">
        <f>COUNTIF($L$2:L158,L158)</f>
        <v>9</v>
      </c>
      <c r="K158" s="1">
        <f>Table3[[#This Row],[Year]]</f>
        <v>1962</v>
      </c>
      <c r="L158" s="1" t="str">
        <f>Table3[[#This Row],[Hometeam]]</f>
        <v>Yugoslavia</v>
      </c>
      <c r="M158" s="1" t="str">
        <f>IF(J158=1,J158+ROWS($J$2:J158)/10000,"")</f>
        <v/>
      </c>
      <c r="N158" s="1" t="str">
        <f>IFERROR(SMALL($M$2:$M$1705,ROWS($M$2:M158)),"")</f>
        <v/>
      </c>
      <c r="O158" s="1" t="str">
        <f>IF(N158&lt;&gt;"",INDEX($L$2:$L$1705,MATCH(N158,$M$2:$M$1705,0)),"")</f>
        <v/>
      </c>
      <c r="P158" s="1" t="str">
        <f>IF(O158&lt;&gt;"",ROWS($O$2:O158),"")</f>
        <v/>
      </c>
    </row>
    <row r="159" spans="1:16" x14ac:dyDescent="0.2">
      <c r="A159" s="1">
        <f>WorldCupMatches!O159</f>
        <v>1962</v>
      </c>
      <c r="B159" s="1" t="str">
        <f>WorldCupMatches!P159</f>
        <v>Mexico</v>
      </c>
      <c r="C159" s="1">
        <f>WorldCupMatches!Q159</f>
        <v>3</v>
      </c>
      <c r="D159" s="1">
        <f>WorldCupMatches!R159</f>
        <v>1</v>
      </c>
      <c r="E159" s="1" t="str">
        <f>WorldCupMatches!S159</f>
        <v>Czechoslovakia</v>
      </c>
      <c r="F159" s="1" t="str">
        <f>WorldCupMatches!T159</f>
        <v xml:space="preserve"> </v>
      </c>
      <c r="G159" s="1" t="str">
        <f>WorldCupMatches!U159</f>
        <v>Group stages</v>
      </c>
      <c r="J159" s="1">
        <f>COUNTIF($L$2:L159,L159)</f>
        <v>2</v>
      </c>
      <c r="K159" s="1">
        <f>Table3[[#This Row],[Year]]</f>
        <v>1962</v>
      </c>
      <c r="L159" s="1" t="str">
        <f>Table3[[#This Row],[Hometeam]]</f>
        <v>Mexico</v>
      </c>
      <c r="M159" s="1" t="str">
        <f>IF(J159=1,J159+ROWS($J$2:J159)/10000,"")</f>
        <v/>
      </c>
      <c r="N159" s="1" t="str">
        <f>IFERROR(SMALL($M$2:$M$1705,ROWS($M$2:M159)),"")</f>
        <v/>
      </c>
      <c r="O159" s="1" t="str">
        <f>IF(N159&lt;&gt;"",INDEX($L$2:$L$1705,MATCH(N159,$M$2:$M$1705,0)),"")</f>
        <v/>
      </c>
      <c r="P159" s="1" t="str">
        <f>IF(O159&lt;&gt;"",ROWS($O$2:O159),"")</f>
        <v/>
      </c>
    </row>
    <row r="160" spans="1:16" x14ac:dyDescent="0.2">
      <c r="A160" s="1">
        <f>WorldCupMatches!O160</f>
        <v>1962</v>
      </c>
      <c r="B160" s="1" t="str">
        <f>WorldCupMatches!P160</f>
        <v>England</v>
      </c>
      <c r="C160" s="1">
        <f>WorldCupMatches!Q160</f>
        <v>0</v>
      </c>
      <c r="D160" s="1">
        <f>WorldCupMatches!R160</f>
        <v>0</v>
      </c>
      <c r="E160" s="1" t="str">
        <f>WorldCupMatches!S160</f>
        <v>Bulgaria</v>
      </c>
      <c r="F160" s="1" t="str">
        <f>WorldCupMatches!T160</f>
        <v xml:space="preserve"> </v>
      </c>
      <c r="G160" s="1" t="str">
        <f>WorldCupMatches!U160</f>
        <v>Group stages</v>
      </c>
      <c r="J160" s="1">
        <f>COUNTIF($L$2:L160,L160)</f>
        <v>6</v>
      </c>
      <c r="K160" s="1">
        <f>Table3[[#This Row],[Year]]</f>
        <v>1962</v>
      </c>
      <c r="L160" s="1" t="str">
        <f>Table3[[#This Row],[Hometeam]]</f>
        <v>England</v>
      </c>
      <c r="M160" s="1" t="str">
        <f>IF(J160=1,J160+ROWS($J$2:J160)/10000,"")</f>
        <v/>
      </c>
      <c r="N160" s="1" t="str">
        <f>IFERROR(SMALL($M$2:$M$1705,ROWS($M$2:M160)),"")</f>
        <v/>
      </c>
      <c r="O160" s="1" t="str">
        <f>IF(N160&lt;&gt;"",INDEX($L$2:$L$1705,MATCH(N160,$M$2:$M$1705,0)),"")</f>
        <v/>
      </c>
      <c r="P160" s="1" t="str">
        <f>IF(O160&lt;&gt;"",ROWS($O$2:O160),"")</f>
        <v/>
      </c>
    </row>
    <row r="161" spans="1:16" x14ac:dyDescent="0.2">
      <c r="A161" s="1">
        <f>WorldCupMatches!O161</f>
        <v>1962</v>
      </c>
      <c r="B161" s="1" t="str">
        <f>WorldCupMatches!P161</f>
        <v>Italy</v>
      </c>
      <c r="C161" s="1">
        <f>WorldCupMatches!Q161</f>
        <v>3</v>
      </c>
      <c r="D161" s="1">
        <f>WorldCupMatches!R161</f>
        <v>0</v>
      </c>
      <c r="E161" s="1" t="str">
        <f>WorldCupMatches!S161</f>
        <v>Switzerland</v>
      </c>
      <c r="F161" s="1" t="str">
        <f>WorldCupMatches!T161</f>
        <v xml:space="preserve"> </v>
      </c>
      <c r="G161" s="1" t="str">
        <f>WorldCupMatches!U161</f>
        <v>Group stages</v>
      </c>
      <c r="J161" s="1">
        <f>COUNTIF($L$2:L161,L161)</f>
        <v>12</v>
      </c>
      <c r="K161" s="1">
        <f>Table3[[#This Row],[Year]]</f>
        <v>1962</v>
      </c>
      <c r="L161" s="1" t="str">
        <f>Table3[[#This Row],[Hometeam]]</f>
        <v>Italy</v>
      </c>
      <c r="M161" s="1" t="str">
        <f>IF(J161=1,J161+ROWS($J$2:J161)/10000,"")</f>
        <v/>
      </c>
      <c r="N161" s="1" t="str">
        <f>IFERROR(SMALL($M$2:$M$1705,ROWS($M$2:M161)),"")</f>
        <v/>
      </c>
      <c r="O161" s="1" t="str">
        <f>IF(N161&lt;&gt;"",INDEX($L$2:$L$1705,MATCH(N161,$M$2:$M$1705,0)),"")</f>
        <v/>
      </c>
      <c r="P161" s="1" t="str">
        <f>IF(O161&lt;&gt;"",ROWS($O$2:O161),"")</f>
        <v/>
      </c>
    </row>
    <row r="162" spans="1:16" x14ac:dyDescent="0.2">
      <c r="A162" s="1">
        <f>WorldCupMatches!O162</f>
        <v>1962</v>
      </c>
      <c r="B162" s="1" t="str">
        <f>WorldCupMatches!P162</f>
        <v>Chile</v>
      </c>
      <c r="C162" s="1">
        <f>WorldCupMatches!Q162</f>
        <v>2</v>
      </c>
      <c r="D162" s="1">
        <f>WorldCupMatches!R162</f>
        <v>1</v>
      </c>
      <c r="E162" s="1" t="str">
        <f>WorldCupMatches!S162</f>
        <v>Soviet Union</v>
      </c>
      <c r="F162" s="1" t="str">
        <f>WorldCupMatches!T162</f>
        <v xml:space="preserve"> </v>
      </c>
      <c r="G162" s="1" t="str">
        <f>WorldCupMatches!U162</f>
        <v>Quarter-finals</v>
      </c>
      <c r="J162" s="1">
        <f>COUNTIF($L$2:L162,L162)</f>
        <v>6</v>
      </c>
      <c r="K162" s="1">
        <f>Table3[[#This Row],[Year]]</f>
        <v>1962</v>
      </c>
      <c r="L162" s="1" t="str">
        <f>Table3[[#This Row],[Hometeam]]</f>
        <v>Chile</v>
      </c>
      <c r="M162" s="1" t="str">
        <f>IF(J162=1,J162+ROWS($J$2:J162)/10000,"")</f>
        <v/>
      </c>
      <c r="N162" s="1" t="str">
        <f>IFERROR(SMALL($M$2:$M$1705,ROWS($M$2:M162)),"")</f>
        <v/>
      </c>
      <c r="O162" s="1" t="str">
        <f>IF(N162&lt;&gt;"",INDEX($L$2:$L$1705,MATCH(N162,$M$2:$M$1705,0)),"")</f>
        <v/>
      </c>
      <c r="P162" s="1" t="str">
        <f>IF(O162&lt;&gt;"",ROWS($O$2:O162),"")</f>
        <v/>
      </c>
    </row>
    <row r="163" spans="1:16" x14ac:dyDescent="0.2">
      <c r="A163" s="1">
        <f>WorldCupMatches!O163</f>
        <v>1962</v>
      </c>
      <c r="B163" s="1" t="str">
        <f>WorldCupMatches!P163</f>
        <v>Brazil</v>
      </c>
      <c r="C163" s="1">
        <f>WorldCupMatches!Q163</f>
        <v>3</v>
      </c>
      <c r="D163" s="1">
        <f>WorldCupMatches!R163</f>
        <v>1</v>
      </c>
      <c r="E163" s="1" t="str">
        <f>WorldCupMatches!S163</f>
        <v>England</v>
      </c>
      <c r="F163" s="1" t="str">
        <f>WorldCupMatches!T163</f>
        <v xml:space="preserve"> </v>
      </c>
      <c r="G163" s="1" t="str">
        <f>WorldCupMatches!U163</f>
        <v>Quarter-finals</v>
      </c>
      <c r="J163" s="1">
        <f>COUNTIF($L$2:L163,L163)</f>
        <v>22</v>
      </c>
      <c r="K163" s="1">
        <f>Table3[[#This Row],[Year]]</f>
        <v>1962</v>
      </c>
      <c r="L163" s="1" t="str">
        <f>Table3[[#This Row],[Hometeam]]</f>
        <v>Brazil</v>
      </c>
      <c r="M163" s="1" t="str">
        <f>IF(J163=1,J163+ROWS($J$2:J163)/10000,"")</f>
        <v/>
      </c>
      <c r="N163" s="1" t="str">
        <f>IFERROR(SMALL($M$2:$M$1705,ROWS($M$2:M163)),"")</f>
        <v/>
      </c>
      <c r="O163" s="1" t="str">
        <f>IF(N163&lt;&gt;"",INDEX($L$2:$L$1705,MATCH(N163,$M$2:$M$1705,0)),"")</f>
        <v/>
      </c>
      <c r="P163" s="1" t="str">
        <f>IF(O163&lt;&gt;"",ROWS($O$2:O163),"")</f>
        <v/>
      </c>
    </row>
    <row r="164" spans="1:16" x14ac:dyDescent="0.2">
      <c r="A164" s="1">
        <f>WorldCupMatches!O164</f>
        <v>1962</v>
      </c>
      <c r="B164" s="1" t="str">
        <f>WorldCupMatches!P164</f>
        <v>Czechoslovakia</v>
      </c>
      <c r="C164" s="1">
        <f>WorldCupMatches!Q164</f>
        <v>1</v>
      </c>
      <c r="D164" s="1">
        <f>WorldCupMatches!R164</f>
        <v>0</v>
      </c>
      <c r="E164" s="1" t="str">
        <f>WorldCupMatches!S164</f>
        <v>Hungary</v>
      </c>
      <c r="F164" s="1" t="str">
        <f>WorldCupMatches!T164</f>
        <v xml:space="preserve"> </v>
      </c>
      <c r="G164" s="1" t="str">
        <f>WorldCupMatches!U164</f>
        <v>Quarter-finals</v>
      </c>
      <c r="J164" s="1">
        <f>COUNTIF($L$2:L164,L164)</f>
        <v>7</v>
      </c>
      <c r="K164" s="1">
        <f>Table3[[#This Row],[Year]]</f>
        <v>1962</v>
      </c>
      <c r="L164" s="1" t="str">
        <f>Table3[[#This Row],[Hometeam]]</f>
        <v>Czechoslovakia</v>
      </c>
      <c r="M164" s="1" t="str">
        <f>IF(J164=1,J164+ROWS($J$2:J164)/10000,"")</f>
        <v/>
      </c>
      <c r="N164" s="1" t="str">
        <f>IFERROR(SMALL($M$2:$M$1705,ROWS($M$2:M164)),"")</f>
        <v/>
      </c>
      <c r="O164" s="1" t="str">
        <f>IF(N164&lt;&gt;"",INDEX($L$2:$L$1705,MATCH(N164,$M$2:$M$1705,0)),"")</f>
        <v/>
      </c>
      <c r="P164" s="1" t="str">
        <f>IF(O164&lt;&gt;"",ROWS($O$2:O164),"")</f>
        <v/>
      </c>
    </row>
    <row r="165" spans="1:16" x14ac:dyDescent="0.2">
      <c r="A165" s="1">
        <f>WorldCupMatches!O165</f>
        <v>1962</v>
      </c>
      <c r="B165" s="1" t="str">
        <f>WorldCupMatches!P165</f>
        <v>Yugoslavia</v>
      </c>
      <c r="C165" s="1">
        <f>WorldCupMatches!Q165</f>
        <v>1</v>
      </c>
      <c r="D165" s="1">
        <f>WorldCupMatches!R165</f>
        <v>0</v>
      </c>
      <c r="E165" s="1" t="str">
        <f>WorldCupMatches!S165</f>
        <v>Germany FR</v>
      </c>
      <c r="F165" s="1" t="str">
        <f>WorldCupMatches!T165</f>
        <v xml:space="preserve"> </v>
      </c>
      <c r="G165" s="1" t="str">
        <f>WorldCupMatches!U165</f>
        <v>Quarter-finals</v>
      </c>
      <c r="J165" s="1">
        <f>COUNTIF($L$2:L165,L165)</f>
        <v>10</v>
      </c>
      <c r="K165" s="1">
        <f>Table3[[#This Row],[Year]]</f>
        <v>1962</v>
      </c>
      <c r="L165" s="1" t="str">
        <f>Table3[[#This Row],[Hometeam]]</f>
        <v>Yugoslavia</v>
      </c>
      <c r="M165" s="1" t="str">
        <f>IF(J165=1,J165+ROWS($J$2:J165)/10000,"")</f>
        <v/>
      </c>
      <c r="N165" s="1" t="str">
        <f>IFERROR(SMALL($M$2:$M$1705,ROWS($M$2:M165)),"")</f>
        <v/>
      </c>
      <c r="O165" s="1" t="str">
        <f>IF(N165&lt;&gt;"",INDEX($L$2:$L$1705,MATCH(N165,$M$2:$M$1705,0)),"")</f>
        <v/>
      </c>
      <c r="P165" s="1" t="str">
        <f>IF(O165&lt;&gt;"",ROWS($O$2:O165),"")</f>
        <v/>
      </c>
    </row>
    <row r="166" spans="1:16" x14ac:dyDescent="0.2">
      <c r="A166" s="1">
        <f>WorldCupMatches!O166</f>
        <v>1962</v>
      </c>
      <c r="B166" s="1" t="str">
        <f>WorldCupMatches!P166</f>
        <v>Czechoslovakia</v>
      </c>
      <c r="C166" s="1">
        <f>WorldCupMatches!Q166</f>
        <v>3</v>
      </c>
      <c r="D166" s="1">
        <f>WorldCupMatches!R166</f>
        <v>1</v>
      </c>
      <c r="E166" s="1" t="str">
        <f>WorldCupMatches!S166</f>
        <v>Yugoslavia</v>
      </c>
      <c r="F166" s="1" t="str">
        <f>WorldCupMatches!T166</f>
        <v xml:space="preserve"> </v>
      </c>
      <c r="G166" s="1" t="str">
        <f>WorldCupMatches!U166</f>
        <v>Semi-finals</v>
      </c>
      <c r="J166" s="1">
        <f>COUNTIF($L$2:L166,L166)</f>
        <v>8</v>
      </c>
      <c r="K166" s="1">
        <f>Table3[[#This Row],[Year]]</f>
        <v>1962</v>
      </c>
      <c r="L166" s="1" t="str">
        <f>Table3[[#This Row],[Hometeam]]</f>
        <v>Czechoslovakia</v>
      </c>
      <c r="M166" s="1" t="str">
        <f>IF(J166=1,J166+ROWS($J$2:J166)/10000,"")</f>
        <v/>
      </c>
      <c r="N166" s="1" t="str">
        <f>IFERROR(SMALL($M$2:$M$1705,ROWS($M$2:M166)),"")</f>
        <v/>
      </c>
      <c r="O166" s="1" t="str">
        <f>IF(N166&lt;&gt;"",INDEX($L$2:$L$1705,MATCH(N166,$M$2:$M$1705,0)),"")</f>
        <v/>
      </c>
      <c r="P166" s="1" t="str">
        <f>IF(O166&lt;&gt;"",ROWS($O$2:O166),"")</f>
        <v/>
      </c>
    </row>
    <row r="167" spans="1:16" x14ac:dyDescent="0.2">
      <c r="A167" s="1">
        <f>WorldCupMatches!O167</f>
        <v>1962</v>
      </c>
      <c r="B167" s="1" t="str">
        <f>WorldCupMatches!P167</f>
        <v>Brazil</v>
      </c>
      <c r="C167" s="1">
        <f>WorldCupMatches!Q167</f>
        <v>4</v>
      </c>
      <c r="D167" s="1">
        <f>WorldCupMatches!R167</f>
        <v>2</v>
      </c>
      <c r="E167" s="1" t="str">
        <f>WorldCupMatches!S167</f>
        <v>Chile</v>
      </c>
      <c r="F167" s="1" t="str">
        <f>WorldCupMatches!T167</f>
        <v xml:space="preserve"> </v>
      </c>
      <c r="G167" s="1" t="str">
        <f>WorldCupMatches!U167</f>
        <v>Semi-finals</v>
      </c>
      <c r="J167" s="1">
        <f>COUNTIF($L$2:L167,L167)</f>
        <v>23</v>
      </c>
      <c r="K167" s="1">
        <f>Table3[[#This Row],[Year]]</f>
        <v>1962</v>
      </c>
      <c r="L167" s="1" t="str">
        <f>Table3[[#This Row],[Hometeam]]</f>
        <v>Brazil</v>
      </c>
      <c r="M167" s="1" t="str">
        <f>IF(J167=1,J167+ROWS($J$2:J167)/10000,"")</f>
        <v/>
      </c>
      <c r="N167" s="1" t="str">
        <f>IFERROR(SMALL($M$2:$M$1705,ROWS($M$2:M167)),"")</f>
        <v/>
      </c>
      <c r="O167" s="1" t="str">
        <f>IF(N167&lt;&gt;"",INDEX($L$2:$L$1705,MATCH(N167,$M$2:$M$1705,0)),"")</f>
        <v/>
      </c>
      <c r="P167" s="1" t="str">
        <f>IF(O167&lt;&gt;"",ROWS($O$2:O167),"")</f>
        <v/>
      </c>
    </row>
    <row r="168" spans="1:16" x14ac:dyDescent="0.2">
      <c r="A168" s="1">
        <f>WorldCupMatches!O168</f>
        <v>1962</v>
      </c>
      <c r="B168" s="1" t="str">
        <f>WorldCupMatches!P168</f>
        <v>Chile</v>
      </c>
      <c r="C168" s="1">
        <f>WorldCupMatches!Q168</f>
        <v>1</v>
      </c>
      <c r="D168" s="1">
        <f>WorldCupMatches!R168</f>
        <v>0</v>
      </c>
      <c r="E168" s="1" t="str">
        <f>WorldCupMatches!S168</f>
        <v>Yugoslavia</v>
      </c>
      <c r="F168" s="1" t="str">
        <f>WorldCupMatches!T168</f>
        <v xml:space="preserve"> </v>
      </c>
      <c r="G168" s="1" t="str">
        <f>WorldCupMatches!U168</f>
        <v>Match for third place</v>
      </c>
      <c r="J168" s="1">
        <f>COUNTIF($L$2:L168,L168)</f>
        <v>7</v>
      </c>
      <c r="K168" s="1">
        <f>Table3[[#This Row],[Year]]</f>
        <v>1962</v>
      </c>
      <c r="L168" s="1" t="str">
        <f>Table3[[#This Row],[Hometeam]]</f>
        <v>Chile</v>
      </c>
      <c r="M168" s="1" t="str">
        <f>IF(J168=1,J168+ROWS($J$2:J168)/10000,"")</f>
        <v/>
      </c>
      <c r="N168" s="1" t="str">
        <f>IFERROR(SMALL($M$2:$M$1705,ROWS($M$2:M168)),"")</f>
        <v/>
      </c>
      <c r="O168" s="1" t="str">
        <f>IF(N168&lt;&gt;"",INDEX($L$2:$L$1705,MATCH(N168,$M$2:$M$1705,0)),"")</f>
        <v/>
      </c>
      <c r="P168" s="1" t="str">
        <f>IF(O168&lt;&gt;"",ROWS($O$2:O168),"")</f>
        <v/>
      </c>
    </row>
    <row r="169" spans="1:16" x14ac:dyDescent="0.2">
      <c r="A169" s="1">
        <f>WorldCupMatches!O169</f>
        <v>1962</v>
      </c>
      <c r="B169" s="1" t="str">
        <f>WorldCupMatches!P169</f>
        <v>Brazil</v>
      </c>
      <c r="C169" s="1">
        <f>WorldCupMatches!Q169</f>
        <v>3</v>
      </c>
      <c r="D169" s="1">
        <f>WorldCupMatches!R169</f>
        <v>1</v>
      </c>
      <c r="E169" s="1" t="str">
        <f>WorldCupMatches!S169</f>
        <v>Czechoslovakia</v>
      </c>
      <c r="F169" s="1" t="str">
        <f>WorldCupMatches!T169</f>
        <v xml:space="preserve"> </v>
      </c>
      <c r="G169" s="1" t="str">
        <f>WorldCupMatches!U169</f>
        <v>Final</v>
      </c>
      <c r="J169" s="1">
        <f>COUNTIF($L$2:L169,L169)</f>
        <v>24</v>
      </c>
      <c r="K169" s="1">
        <f>Table3[[#This Row],[Year]]</f>
        <v>1962</v>
      </c>
      <c r="L169" s="1" t="str">
        <f>Table3[[#This Row],[Hometeam]]</f>
        <v>Brazil</v>
      </c>
      <c r="M169" s="1" t="str">
        <f>IF(J169=1,J169+ROWS($J$2:J169)/10000,"")</f>
        <v/>
      </c>
      <c r="N169" s="1" t="str">
        <f>IFERROR(SMALL($M$2:$M$1705,ROWS($M$2:M169)),"")</f>
        <v/>
      </c>
      <c r="O169" s="1" t="str">
        <f>IF(N169&lt;&gt;"",INDEX($L$2:$L$1705,MATCH(N169,$M$2:$M$1705,0)),"")</f>
        <v/>
      </c>
      <c r="P169" s="1" t="str">
        <f>IF(O169&lt;&gt;"",ROWS($O$2:O169),"")</f>
        <v/>
      </c>
    </row>
    <row r="170" spans="1:16" x14ac:dyDescent="0.2">
      <c r="A170" s="1">
        <f>WorldCupMatches!O170</f>
        <v>1966</v>
      </c>
      <c r="B170" s="1" t="str">
        <f>WorldCupMatches!P170</f>
        <v>England</v>
      </c>
      <c r="C170" s="1">
        <f>WorldCupMatches!Q170</f>
        <v>0</v>
      </c>
      <c r="D170" s="1">
        <f>WorldCupMatches!R170</f>
        <v>0</v>
      </c>
      <c r="E170" s="1" t="str">
        <f>WorldCupMatches!S170</f>
        <v>Uruguay</v>
      </c>
      <c r="F170" s="1" t="str">
        <f>WorldCupMatches!T170</f>
        <v xml:space="preserve"> </v>
      </c>
      <c r="G170" s="1" t="str">
        <f>WorldCupMatches!U170</f>
        <v>Group stages</v>
      </c>
      <c r="J170" s="1">
        <f>COUNTIF($L$2:L170,L170)</f>
        <v>7</v>
      </c>
      <c r="K170" s="1">
        <f>Table3[[#This Row],[Year]]</f>
        <v>1966</v>
      </c>
      <c r="L170" s="1" t="str">
        <f>Table3[[#This Row],[Hometeam]]</f>
        <v>England</v>
      </c>
      <c r="M170" s="1" t="str">
        <f>IF(J170=1,J170+ROWS($J$2:J170)/10000,"")</f>
        <v/>
      </c>
      <c r="N170" s="1" t="str">
        <f>IFERROR(SMALL($M$2:$M$1705,ROWS($M$2:M170)),"")</f>
        <v/>
      </c>
      <c r="O170" s="1" t="str">
        <f>IF(N170&lt;&gt;"",INDEX($L$2:$L$1705,MATCH(N170,$M$2:$M$1705,0)),"")</f>
        <v/>
      </c>
      <c r="P170" s="1" t="str">
        <f>IF(O170&lt;&gt;"",ROWS($O$2:O170),"")</f>
        <v/>
      </c>
    </row>
    <row r="171" spans="1:16" x14ac:dyDescent="0.2">
      <c r="A171" s="1">
        <f>WorldCupMatches!O171</f>
        <v>1966</v>
      </c>
      <c r="B171" s="1" t="str">
        <f>WorldCupMatches!P171</f>
        <v>Germany FR</v>
      </c>
      <c r="C171" s="1">
        <f>WorldCupMatches!Q171</f>
        <v>5</v>
      </c>
      <c r="D171" s="1">
        <f>WorldCupMatches!R171</f>
        <v>0</v>
      </c>
      <c r="E171" s="1" t="str">
        <f>WorldCupMatches!S171</f>
        <v>Switzerland</v>
      </c>
      <c r="F171" s="1" t="str">
        <f>WorldCupMatches!T171</f>
        <v xml:space="preserve"> </v>
      </c>
      <c r="G171" s="1" t="str">
        <f>WorldCupMatches!U171</f>
        <v>Group stages</v>
      </c>
      <c r="J171" s="1">
        <f>COUNTIF($L$2:L171,L171)</f>
        <v>12</v>
      </c>
      <c r="K171" s="1">
        <f>Table3[[#This Row],[Year]]</f>
        <v>1966</v>
      </c>
      <c r="L171" s="1" t="str">
        <f>Table3[[#This Row],[Hometeam]]</f>
        <v>Germany FR</v>
      </c>
      <c r="M171" s="1" t="str">
        <f>IF(J171=1,J171+ROWS($J$2:J171)/10000,"")</f>
        <v/>
      </c>
      <c r="N171" s="1" t="str">
        <f>IFERROR(SMALL($M$2:$M$1705,ROWS($M$2:M171)),"")</f>
        <v/>
      </c>
      <c r="O171" s="1" t="str">
        <f>IF(N171&lt;&gt;"",INDEX($L$2:$L$1705,MATCH(N171,$M$2:$M$1705,0)),"")</f>
        <v/>
      </c>
      <c r="P171" s="1" t="str">
        <f>IF(O171&lt;&gt;"",ROWS($O$2:O171),"")</f>
        <v/>
      </c>
    </row>
    <row r="172" spans="1:16" x14ac:dyDescent="0.2">
      <c r="A172" s="1">
        <f>WorldCupMatches!O172</f>
        <v>1966</v>
      </c>
      <c r="B172" s="1" t="str">
        <f>WorldCupMatches!P172</f>
        <v>Brazil</v>
      </c>
      <c r="C172" s="1">
        <f>WorldCupMatches!Q172</f>
        <v>2</v>
      </c>
      <c r="D172" s="1">
        <f>WorldCupMatches!R172</f>
        <v>0</v>
      </c>
      <c r="E172" s="1" t="str">
        <f>WorldCupMatches!S172</f>
        <v>Bulgaria</v>
      </c>
      <c r="F172" s="1" t="str">
        <f>WorldCupMatches!T172</f>
        <v xml:space="preserve"> </v>
      </c>
      <c r="G172" s="1" t="str">
        <f>WorldCupMatches!U172</f>
        <v>Group stages</v>
      </c>
      <c r="J172" s="1">
        <f>COUNTIF($L$2:L172,L172)</f>
        <v>25</v>
      </c>
      <c r="K172" s="1">
        <f>Table3[[#This Row],[Year]]</f>
        <v>1966</v>
      </c>
      <c r="L172" s="1" t="str">
        <f>Table3[[#This Row],[Hometeam]]</f>
        <v>Brazil</v>
      </c>
      <c r="M172" s="1" t="str">
        <f>IF(J172=1,J172+ROWS($J$2:J172)/10000,"")</f>
        <v/>
      </c>
      <c r="N172" s="1" t="str">
        <f>IFERROR(SMALL($M$2:$M$1705,ROWS($M$2:M172)),"")</f>
        <v/>
      </c>
      <c r="O172" s="1" t="str">
        <f>IF(N172&lt;&gt;"",INDEX($L$2:$L$1705,MATCH(N172,$M$2:$M$1705,0)),"")</f>
        <v/>
      </c>
      <c r="P172" s="1" t="str">
        <f>IF(O172&lt;&gt;"",ROWS($O$2:O172),"")</f>
        <v/>
      </c>
    </row>
    <row r="173" spans="1:16" x14ac:dyDescent="0.2">
      <c r="A173" s="1">
        <f>WorldCupMatches!O173</f>
        <v>1966</v>
      </c>
      <c r="B173" s="1" t="str">
        <f>WorldCupMatches!P173</f>
        <v>Soviet Union</v>
      </c>
      <c r="C173" s="1">
        <f>WorldCupMatches!Q173</f>
        <v>3</v>
      </c>
      <c r="D173" s="1">
        <f>WorldCupMatches!R173</f>
        <v>0</v>
      </c>
      <c r="E173" s="1" t="str">
        <f>WorldCupMatches!S173</f>
        <v>Korea DPR</v>
      </c>
      <c r="F173" s="1" t="str">
        <f>WorldCupMatches!T173</f>
        <v xml:space="preserve"> </v>
      </c>
      <c r="G173" s="1" t="str">
        <f>WorldCupMatches!U173</f>
        <v>Group stages</v>
      </c>
      <c r="J173" s="1">
        <f>COUNTIF($L$2:L173,L173)</f>
        <v>7</v>
      </c>
      <c r="K173" s="1">
        <f>Table3[[#This Row],[Year]]</f>
        <v>1966</v>
      </c>
      <c r="L173" s="1" t="str">
        <f>Table3[[#This Row],[Hometeam]]</f>
        <v>Soviet Union</v>
      </c>
      <c r="M173" s="1" t="str">
        <f>IF(J173=1,J173+ROWS($J$2:J173)/10000,"")</f>
        <v/>
      </c>
      <c r="N173" s="1" t="str">
        <f>IFERROR(SMALL($M$2:$M$1705,ROWS($M$2:M173)),"")</f>
        <v/>
      </c>
      <c r="O173" s="1" t="str">
        <f>IF(N173&lt;&gt;"",INDEX($L$2:$L$1705,MATCH(N173,$M$2:$M$1705,0)),"")</f>
        <v/>
      </c>
      <c r="P173" s="1" t="str">
        <f>IF(O173&lt;&gt;"",ROWS($O$2:O173),"")</f>
        <v/>
      </c>
    </row>
    <row r="174" spans="1:16" x14ac:dyDescent="0.2">
      <c r="A174" s="1">
        <f>WorldCupMatches!O174</f>
        <v>1966</v>
      </c>
      <c r="B174" s="1" t="str">
        <f>WorldCupMatches!P174</f>
        <v>France</v>
      </c>
      <c r="C174" s="1">
        <f>WorldCupMatches!Q174</f>
        <v>1</v>
      </c>
      <c r="D174" s="1">
        <f>WorldCupMatches!R174</f>
        <v>1</v>
      </c>
      <c r="E174" s="1" t="str">
        <f>WorldCupMatches!S174</f>
        <v>Mexico</v>
      </c>
      <c r="F174" s="1" t="str">
        <f>WorldCupMatches!T174</f>
        <v xml:space="preserve"> </v>
      </c>
      <c r="G174" s="1" t="str">
        <f>WorldCupMatches!U174</f>
        <v>Group stages</v>
      </c>
      <c r="J174" s="1">
        <f>COUNTIF($L$2:L174,L174)</f>
        <v>8</v>
      </c>
      <c r="K174" s="1">
        <f>Table3[[#This Row],[Year]]</f>
        <v>1966</v>
      </c>
      <c r="L174" s="1" t="str">
        <f>Table3[[#This Row],[Hometeam]]</f>
        <v>France</v>
      </c>
      <c r="M174" s="1" t="str">
        <f>IF(J174=1,J174+ROWS($J$2:J174)/10000,"")</f>
        <v/>
      </c>
      <c r="N174" s="1" t="str">
        <f>IFERROR(SMALL($M$2:$M$1705,ROWS($M$2:M174)),"")</f>
        <v/>
      </c>
      <c r="O174" s="1" t="str">
        <f>IF(N174&lt;&gt;"",INDEX($L$2:$L$1705,MATCH(N174,$M$2:$M$1705,0)),"")</f>
        <v/>
      </c>
      <c r="P174" s="1" t="str">
        <f>IF(O174&lt;&gt;"",ROWS($O$2:O174),"")</f>
        <v/>
      </c>
    </row>
    <row r="175" spans="1:16" x14ac:dyDescent="0.2">
      <c r="A175" s="1">
        <f>WorldCupMatches!O175</f>
        <v>1966</v>
      </c>
      <c r="B175" s="1" t="str">
        <f>WorldCupMatches!P175</f>
        <v>Portugal</v>
      </c>
      <c r="C175" s="1">
        <f>WorldCupMatches!Q175</f>
        <v>3</v>
      </c>
      <c r="D175" s="1">
        <f>WorldCupMatches!R175</f>
        <v>1</v>
      </c>
      <c r="E175" s="1" t="str">
        <f>WorldCupMatches!S175</f>
        <v>Hungary</v>
      </c>
      <c r="F175" s="1" t="str">
        <f>WorldCupMatches!T175</f>
        <v xml:space="preserve"> </v>
      </c>
      <c r="G175" s="1" t="str">
        <f>WorldCupMatches!U175</f>
        <v>Group stages</v>
      </c>
      <c r="J175" s="1">
        <f>COUNTIF($L$2:L175,L175)</f>
        <v>1</v>
      </c>
      <c r="K175" s="1">
        <f>Table3[[#This Row],[Year]]</f>
        <v>1966</v>
      </c>
      <c r="L175" s="1" t="str">
        <f>Table3[[#This Row],[Hometeam]]</f>
        <v>Portugal</v>
      </c>
      <c r="M175" s="1">
        <f>IF(J175=1,J175+ROWS($J$2:J175)/10000,"")</f>
        <v>1.0174000000000001</v>
      </c>
      <c r="N175" s="1" t="str">
        <f>IFERROR(SMALL($M$2:$M$1705,ROWS($M$2:M175)),"")</f>
        <v/>
      </c>
      <c r="O175" s="1" t="str">
        <f>IF(N175&lt;&gt;"",INDEX($L$2:$L$1705,MATCH(N175,$M$2:$M$1705,0)),"")</f>
        <v/>
      </c>
      <c r="P175" s="1" t="str">
        <f>IF(O175&lt;&gt;"",ROWS($O$2:O175),"")</f>
        <v/>
      </c>
    </row>
    <row r="176" spans="1:16" x14ac:dyDescent="0.2">
      <c r="A176" s="1">
        <f>WorldCupMatches!O176</f>
        <v>1966</v>
      </c>
      <c r="B176" s="1" t="str">
        <f>WorldCupMatches!P176</f>
        <v>Argentina</v>
      </c>
      <c r="C176" s="1">
        <f>WorldCupMatches!Q176</f>
        <v>2</v>
      </c>
      <c r="D176" s="1">
        <f>WorldCupMatches!R176</f>
        <v>1</v>
      </c>
      <c r="E176" s="1" t="str">
        <f>WorldCupMatches!S176</f>
        <v>Spain</v>
      </c>
      <c r="F176" s="1" t="str">
        <f>WorldCupMatches!T176</f>
        <v xml:space="preserve"> </v>
      </c>
      <c r="G176" s="1" t="str">
        <f>WorldCupMatches!U176</f>
        <v>Group stages</v>
      </c>
      <c r="J176" s="1">
        <f>COUNTIF($L$2:L176,L176)</f>
        <v>8</v>
      </c>
      <c r="K176" s="1">
        <f>Table3[[#This Row],[Year]]</f>
        <v>1966</v>
      </c>
      <c r="L176" s="1" t="str">
        <f>Table3[[#This Row],[Hometeam]]</f>
        <v>Argentina</v>
      </c>
      <c r="M176" s="1" t="str">
        <f>IF(J176=1,J176+ROWS($J$2:J176)/10000,"")</f>
        <v/>
      </c>
      <c r="N176" s="1" t="str">
        <f>IFERROR(SMALL($M$2:$M$1705,ROWS($M$2:M176)),"")</f>
        <v/>
      </c>
      <c r="O176" s="1" t="str">
        <f>IF(N176&lt;&gt;"",INDEX($L$2:$L$1705,MATCH(N176,$M$2:$M$1705,0)),"")</f>
        <v/>
      </c>
      <c r="P176" s="1" t="str">
        <f>IF(O176&lt;&gt;"",ROWS($O$2:O176),"")</f>
        <v/>
      </c>
    </row>
    <row r="177" spans="1:16" x14ac:dyDescent="0.2">
      <c r="A177" s="1">
        <f>WorldCupMatches!O177</f>
        <v>1966</v>
      </c>
      <c r="B177" s="1" t="str">
        <f>WorldCupMatches!P177</f>
        <v>Italy</v>
      </c>
      <c r="C177" s="1">
        <f>WorldCupMatches!Q177</f>
        <v>2</v>
      </c>
      <c r="D177" s="1">
        <f>WorldCupMatches!R177</f>
        <v>0</v>
      </c>
      <c r="E177" s="1" t="str">
        <f>WorldCupMatches!S177</f>
        <v>Chile</v>
      </c>
      <c r="F177" s="1" t="str">
        <f>WorldCupMatches!T177</f>
        <v xml:space="preserve"> </v>
      </c>
      <c r="G177" s="1" t="str">
        <f>WorldCupMatches!U177</f>
        <v>Group stages</v>
      </c>
      <c r="J177" s="1">
        <f>COUNTIF($L$2:L177,L177)</f>
        <v>13</v>
      </c>
      <c r="K177" s="1">
        <f>Table3[[#This Row],[Year]]</f>
        <v>1966</v>
      </c>
      <c r="L177" s="1" t="str">
        <f>Table3[[#This Row],[Hometeam]]</f>
        <v>Italy</v>
      </c>
      <c r="M177" s="1" t="str">
        <f>IF(J177=1,J177+ROWS($J$2:J177)/10000,"")</f>
        <v/>
      </c>
      <c r="N177" s="1" t="str">
        <f>IFERROR(SMALL($M$2:$M$1705,ROWS($M$2:M177)),"")</f>
        <v/>
      </c>
      <c r="O177" s="1" t="str">
        <f>IF(N177&lt;&gt;"",INDEX($L$2:$L$1705,MATCH(N177,$M$2:$M$1705,0)),"")</f>
        <v/>
      </c>
      <c r="P177" s="1" t="str">
        <f>IF(O177&lt;&gt;"",ROWS($O$2:O177),"")</f>
        <v/>
      </c>
    </row>
    <row r="178" spans="1:16" x14ac:dyDescent="0.2">
      <c r="A178" s="1">
        <f>WorldCupMatches!O178</f>
        <v>1966</v>
      </c>
      <c r="B178" s="1" t="str">
        <f>WorldCupMatches!P178</f>
        <v>Uruguay</v>
      </c>
      <c r="C178" s="1">
        <f>WorldCupMatches!Q178</f>
        <v>2</v>
      </c>
      <c r="D178" s="1">
        <f>WorldCupMatches!R178</f>
        <v>1</v>
      </c>
      <c r="E178" s="1" t="str">
        <f>WorldCupMatches!S178</f>
        <v>France</v>
      </c>
      <c r="F178" s="1" t="str">
        <f>WorldCupMatches!T178</f>
        <v xml:space="preserve"> </v>
      </c>
      <c r="G178" s="1" t="str">
        <f>WorldCupMatches!U178</f>
        <v>Group stages</v>
      </c>
      <c r="J178" s="1">
        <f>COUNTIF($L$2:L178,L178)</f>
        <v>13</v>
      </c>
      <c r="K178" s="1">
        <f>Table3[[#This Row],[Year]]</f>
        <v>1966</v>
      </c>
      <c r="L178" s="1" t="str">
        <f>Table3[[#This Row],[Hometeam]]</f>
        <v>Uruguay</v>
      </c>
      <c r="M178" s="1" t="str">
        <f>IF(J178=1,J178+ROWS($J$2:J178)/10000,"")</f>
        <v/>
      </c>
      <c r="N178" s="1" t="str">
        <f>IFERROR(SMALL($M$2:$M$1705,ROWS($M$2:M178)),"")</f>
        <v/>
      </c>
      <c r="O178" s="1" t="str">
        <f>IF(N178&lt;&gt;"",INDEX($L$2:$L$1705,MATCH(N178,$M$2:$M$1705,0)),"")</f>
        <v/>
      </c>
      <c r="P178" s="1" t="str">
        <f>IF(O178&lt;&gt;"",ROWS($O$2:O178),"")</f>
        <v/>
      </c>
    </row>
    <row r="179" spans="1:16" x14ac:dyDescent="0.2">
      <c r="A179" s="1">
        <f>WorldCupMatches!O179</f>
        <v>1966</v>
      </c>
      <c r="B179" s="1" t="str">
        <f>WorldCupMatches!P179</f>
        <v>Spain</v>
      </c>
      <c r="C179" s="1">
        <f>WorldCupMatches!Q179</f>
        <v>2</v>
      </c>
      <c r="D179" s="1">
        <f>WorldCupMatches!R179</f>
        <v>1</v>
      </c>
      <c r="E179" s="1" t="str">
        <f>WorldCupMatches!S179</f>
        <v>Switzerland</v>
      </c>
      <c r="F179" s="1" t="str">
        <f>WorldCupMatches!T179</f>
        <v xml:space="preserve"> </v>
      </c>
      <c r="G179" s="1" t="str">
        <f>WorldCupMatches!U179</f>
        <v>Group stages</v>
      </c>
      <c r="J179" s="1">
        <f>COUNTIF($L$2:L179,L179)</f>
        <v>6</v>
      </c>
      <c r="K179" s="1">
        <f>Table3[[#This Row],[Year]]</f>
        <v>1966</v>
      </c>
      <c r="L179" s="1" t="str">
        <f>Table3[[#This Row],[Hometeam]]</f>
        <v>Spain</v>
      </c>
      <c r="M179" s="1" t="str">
        <f>IF(J179=1,J179+ROWS($J$2:J179)/10000,"")</f>
        <v/>
      </c>
      <c r="N179" s="1" t="str">
        <f>IFERROR(SMALL($M$2:$M$1705,ROWS($M$2:M179)),"")</f>
        <v/>
      </c>
      <c r="O179" s="1" t="str">
        <f>IF(N179&lt;&gt;"",INDEX($L$2:$L$1705,MATCH(N179,$M$2:$M$1705,0)),"")</f>
        <v/>
      </c>
      <c r="P179" s="1" t="str">
        <f>IF(O179&lt;&gt;"",ROWS($O$2:O179),"")</f>
        <v/>
      </c>
    </row>
    <row r="180" spans="1:16" x14ac:dyDescent="0.2">
      <c r="A180" s="1">
        <f>WorldCupMatches!O180</f>
        <v>1966</v>
      </c>
      <c r="B180" s="1" t="str">
        <f>WorldCupMatches!P180</f>
        <v>Hungary</v>
      </c>
      <c r="C180" s="1">
        <f>WorldCupMatches!Q180</f>
        <v>3</v>
      </c>
      <c r="D180" s="1">
        <f>WorldCupMatches!R180</f>
        <v>1</v>
      </c>
      <c r="E180" s="1" t="str">
        <f>WorldCupMatches!S180</f>
        <v>Brazil</v>
      </c>
      <c r="F180" s="1" t="str">
        <f>WorldCupMatches!T180</f>
        <v xml:space="preserve"> </v>
      </c>
      <c r="G180" s="1" t="str">
        <f>WorldCupMatches!U180</f>
        <v>Group stages</v>
      </c>
      <c r="J180" s="1">
        <f>COUNTIF($L$2:L180,L180)</f>
        <v>14</v>
      </c>
      <c r="K180" s="1">
        <f>Table3[[#This Row],[Year]]</f>
        <v>1966</v>
      </c>
      <c r="L180" s="1" t="str">
        <f>Table3[[#This Row],[Hometeam]]</f>
        <v>Hungary</v>
      </c>
      <c r="M180" s="1" t="str">
        <f>IF(J180=1,J180+ROWS($J$2:J180)/10000,"")</f>
        <v/>
      </c>
      <c r="N180" s="1" t="str">
        <f>IFERROR(SMALL($M$2:$M$1705,ROWS($M$2:M180)),"")</f>
        <v/>
      </c>
      <c r="O180" s="1" t="str">
        <f>IF(N180&lt;&gt;"",INDEX($L$2:$L$1705,MATCH(N180,$M$2:$M$1705,0)),"")</f>
        <v/>
      </c>
      <c r="P180" s="1" t="str">
        <f>IF(O180&lt;&gt;"",ROWS($O$2:O180),"")</f>
        <v/>
      </c>
    </row>
    <row r="181" spans="1:16" x14ac:dyDescent="0.2">
      <c r="A181" s="1">
        <f>WorldCupMatches!O181</f>
        <v>1966</v>
      </c>
      <c r="B181" s="1" t="str">
        <f>WorldCupMatches!P181</f>
        <v>Korea DPR</v>
      </c>
      <c r="C181" s="1">
        <f>WorldCupMatches!Q181</f>
        <v>1</v>
      </c>
      <c r="D181" s="1">
        <f>WorldCupMatches!R181</f>
        <v>1</v>
      </c>
      <c r="E181" s="1" t="str">
        <f>WorldCupMatches!S181</f>
        <v>Chile</v>
      </c>
      <c r="F181" s="1" t="str">
        <f>WorldCupMatches!T181</f>
        <v xml:space="preserve"> </v>
      </c>
      <c r="G181" s="1" t="str">
        <f>WorldCupMatches!U181</f>
        <v>Group stages</v>
      </c>
      <c r="J181" s="1">
        <f>COUNTIF($L$2:L181,L181)</f>
        <v>1</v>
      </c>
      <c r="K181" s="1">
        <f>Table3[[#This Row],[Year]]</f>
        <v>1966</v>
      </c>
      <c r="L181" s="1" t="str">
        <f>Table3[[#This Row],[Hometeam]]</f>
        <v>Korea DPR</v>
      </c>
      <c r="M181" s="1">
        <f>IF(J181=1,J181+ROWS($J$2:J181)/10000,"")</f>
        <v>1.018</v>
      </c>
      <c r="N181" s="1" t="str">
        <f>IFERROR(SMALL($M$2:$M$1705,ROWS($M$2:M181)),"")</f>
        <v/>
      </c>
      <c r="O181" s="1" t="str">
        <f>IF(N181&lt;&gt;"",INDEX($L$2:$L$1705,MATCH(N181,$M$2:$M$1705,0)),"")</f>
        <v/>
      </c>
      <c r="P181" s="1" t="str">
        <f>IF(O181&lt;&gt;"",ROWS($O$2:O181),"")</f>
        <v/>
      </c>
    </row>
    <row r="182" spans="1:16" x14ac:dyDescent="0.2">
      <c r="A182" s="1">
        <f>WorldCupMatches!O182</f>
        <v>1966</v>
      </c>
      <c r="B182" s="1" t="str">
        <f>WorldCupMatches!P182</f>
        <v>Portugal</v>
      </c>
      <c r="C182" s="1">
        <f>WorldCupMatches!Q182</f>
        <v>3</v>
      </c>
      <c r="D182" s="1">
        <f>WorldCupMatches!R182</f>
        <v>0</v>
      </c>
      <c r="E182" s="1" t="str">
        <f>WorldCupMatches!S182</f>
        <v>Bulgaria</v>
      </c>
      <c r="F182" s="1" t="str">
        <f>WorldCupMatches!T182</f>
        <v xml:space="preserve"> </v>
      </c>
      <c r="G182" s="1" t="str">
        <f>WorldCupMatches!U182</f>
        <v>Group stages</v>
      </c>
      <c r="J182" s="1">
        <f>COUNTIF($L$2:L182,L182)</f>
        <v>2</v>
      </c>
      <c r="K182" s="1">
        <f>Table3[[#This Row],[Year]]</f>
        <v>1966</v>
      </c>
      <c r="L182" s="1" t="str">
        <f>Table3[[#This Row],[Hometeam]]</f>
        <v>Portugal</v>
      </c>
      <c r="M182" s="1" t="str">
        <f>IF(J182=1,J182+ROWS($J$2:J182)/10000,"")</f>
        <v/>
      </c>
      <c r="N182" s="1" t="str">
        <f>IFERROR(SMALL($M$2:$M$1705,ROWS($M$2:M182)),"")</f>
        <v/>
      </c>
      <c r="O182" s="1" t="str">
        <f>IF(N182&lt;&gt;"",INDEX($L$2:$L$1705,MATCH(N182,$M$2:$M$1705,0)),"")</f>
        <v/>
      </c>
      <c r="P182" s="1" t="str">
        <f>IF(O182&lt;&gt;"",ROWS($O$2:O182),"")</f>
        <v/>
      </c>
    </row>
    <row r="183" spans="1:16" x14ac:dyDescent="0.2">
      <c r="A183" s="1">
        <f>WorldCupMatches!O183</f>
        <v>1966</v>
      </c>
      <c r="B183" s="1" t="str">
        <f>WorldCupMatches!P183</f>
        <v>Germany FR</v>
      </c>
      <c r="C183" s="1">
        <f>WorldCupMatches!Q183</f>
        <v>0</v>
      </c>
      <c r="D183" s="1">
        <f>WorldCupMatches!R183</f>
        <v>0</v>
      </c>
      <c r="E183" s="1" t="str">
        <f>WorldCupMatches!S183</f>
        <v>Argentina</v>
      </c>
      <c r="F183" s="1" t="str">
        <f>WorldCupMatches!T183</f>
        <v xml:space="preserve"> </v>
      </c>
      <c r="G183" s="1" t="str">
        <f>WorldCupMatches!U183</f>
        <v>Group stages</v>
      </c>
      <c r="J183" s="1">
        <f>COUNTIF($L$2:L183,L183)</f>
        <v>13</v>
      </c>
      <c r="K183" s="1">
        <f>Table3[[#This Row],[Year]]</f>
        <v>1966</v>
      </c>
      <c r="L183" s="1" t="str">
        <f>Table3[[#This Row],[Hometeam]]</f>
        <v>Germany FR</v>
      </c>
      <c r="M183" s="1" t="str">
        <f>IF(J183=1,J183+ROWS($J$2:J183)/10000,"")</f>
        <v/>
      </c>
      <c r="N183" s="1" t="str">
        <f>IFERROR(SMALL($M$2:$M$1705,ROWS($M$2:M183)),"")</f>
        <v/>
      </c>
      <c r="O183" s="1" t="str">
        <f>IF(N183&lt;&gt;"",INDEX($L$2:$L$1705,MATCH(N183,$M$2:$M$1705,0)),"")</f>
        <v/>
      </c>
      <c r="P183" s="1" t="str">
        <f>IF(O183&lt;&gt;"",ROWS($O$2:O183),"")</f>
        <v/>
      </c>
    </row>
    <row r="184" spans="1:16" x14ac:dyDescent="0.2">
      <c r="A184" s="1">
        <f>WorldCupMatches!O184</f>
        <v>1966</v>
      </c>
      <c r="B184" s="1" t="str">
        <f>WorldCupMatches!P184</f>
        <v>Soviet Union</v>
      </c>
      <c r="C184" s="1">
        <f>WorldCupMatches!Q184</f>
        <v>1</v>
      </c>
      <c r="D184" s="1">
        <f>WorldCupMatches!R184</f>
        <v>0</v>
      </c>
      <c r="E184" s="1" t="str">
        <f>WorldCupMatches!S184</f>
        <v>Italy</v>
      </c>
      <c r="F184" s="1" t="str">
        <f>WorldCupMatches!T184</f>
        <v xml:space="preserve"> </v>
      </c>
      <c r="G184" s="1" t="str">
        <f>WorldCupMatches!U184</f>
        <v>Group stages</v>
      </c>
      <c r="J184" s="1">
        <f>COUNTIF($L$2:L184,L184)</f>
        <v>8</v>
      </c>
      <c r="K184" s="1">
        <f>Table3[[#This Row],[Year]]</f>
        <v>1966</v>
      </c>
      <c r="L184" s="1" t="str">
        <f>Table3[[#This Row],[Hometeam]]</f>
        <v>Soviet Union</v>
      </c>
      <c r="M184" s="1" t="str">
        <f>IF(J184=1,J184+ROWS($J$2:J184)/10000,"")</f>
        <v/>
      </c>
      <c r="N184" s="1" t="str">
        <f>IFERROR(SMALL($M$2:$M$1705,ROWS($M$2:M184)),"")</f>
        <v/>
      </c>
      <c r="O184" s="1" t="str">
        <f>IF(N184&lt;&gt;"",INDEX($L$2:$L$1705,MATCH(N184,$M$2:$M$1705,0)),"")</f>
        <v/>
      </c>
      <c r="P184" s="1" t="str">
        <f>IF(O184&lt;&gt;"",ROWS($O$2:O184),"")</f>
        <v/>
      </c>
    </row>
    <row r="185" spans="1:16" x14ac:dyDescent="0.2">
      <c r="A185" s="1">
        <f>WorldCupMatches!O185</f>
        <v>1966</v>
      </c>
      <c r="B185" s="1" t="str">
        <f>WorldCupMatches!P185</f>
        <v>England</v>
      </c>
      <c r="C185" s="1">
        <f>WorldCupMatches!Q185</f>
        <v>2</v>
      </c>
      <c r="D185" s="1">
        <f>WorldCupMatches!R185</f>
        <v>0</v>
      </c>
      <c r="E185" s="1" t="str">
        <f>WorldCupMatches!S185</f>
        <v>Mexico</v>
      </c>
      <c r="F185" s="1" t="str">
        <f>WorldCupMatches!T185</f>
        <v xml:space="preserve"> </v>
      </c>
      <c r="G185" s="1" t="str">
        <f>WorldCupMatches!U185</f>
        <v>Group stages</v>
      </c>
      <c r="J185" s="1">
        <f>COUNTIF($L$2:L185,L185)</f>
        <v>8</v>
      </c>
      <c r="K185" s="1">
        <f>Table3[[#This Row],[Year]]</f>
        <v>1966</v>
      </c>
      <c r="L185" s="1" t="str">
        <f>Table3[[#This Row],[Hometeam]]</f>
        <v>England</v>
      </c>
      <c r="M185" s="1" t="str">
        <f>IF(J185=1,J185+ROWS($J$2:J185)/10000,"")</f>
        <v/>
      </c>
      <c r="N185" s="1" t="str">
        <f>IFERROR(SMALL($M$2:$M$1705,ROWS($M$2:M185)),"")</f>
        <v/>
      </c>
      <c r="O185" s="1" t="str">
        <f>IF(N185&lt;&gt;"",INDEX($L$2:$L$1705,MATCH(N185,$M$2:$M$1705,0)),"")</f>
        <v/>
      </c>
      <c r="P185" s="1" t="str">
        <f>IF(O185&lt;&gt;"",ROWS($O$2:O185),"")</f>
        <v/>
      </c>
    </row>
    <row r="186" spans="1:16" x14ac:dyDescent="0.2">
      <c r="A186" s="1">
        <f>WorldCupMatches!O186</f>
        <v>1966</v>
      </c>
      <c r="B186" s="1" t="str">
        <f>WorldCupMatches!P186</f>
        <v>Uruguay</v>
      </c>
      <c r="C186" s="1">
        <f>WorldCupMatches!Q186</f>
        <v>0</v>
      </c>
      <c r="D186" s="1">
        <f>WorldCupMatches!R186</f>
        <v>0</v>
      </c>
      <c r="E186" s="1" t="str">
        <f>WorldCupMatches!S186</f>
        <v>Mexico</v>
      </c>
      <c r="F186" s="1" t="str">
        <f>WorldCupMatches!T186</f>
        <v xml:space="preserve"> </v>
      </c>
      <c r="G186" s="1" t="str">
        <f>WorldCupMatches!U186</f>
        <v>Group stages</v>
      </c>
      <c r="J186" s="1">
        <f>COUNTIF($L$2:L186,L186)</f>
        <v>14</v>
      </c>
      <c r="K186" s="1">
        <f>Table3[[#This Row],[Year]]</f>
        <v>1966</v>
      </c>
      <c r="L186" s="1" t="str">
        <f>Table3[[#This Row],[Hometeam]]</f>
        <v>Uruguay</v>
      </c>
      <c r="M186" s="1" t="str">
        <f>IF(J186=1,J186+ROWS($J$2:J186)/10000,"")</f>
        <v/>
      </c>
      <c r="N186" s="1" t="str">
        <f>IFERROR(SMALL($M$2:$M$1705,ROWS($M$2:M186)),"")</f>
        <v/>
      </c>
      <c r="O186" s="1" t="str">
        <f>IF(N186&lt;&gt;"",INDEX($L$2:$L$1705,MATCH(N186,$M$2:$M$1705,0)),"")</f>
        <v/>
      </c>
      <c r="P186" s="1" t="str">
        <f>IF(O186&lt;&gt;"",ROWS($O$2:O186),"")</f>
        <v/>
      </c>
    </row>
    <row r="187" spans="1:16" x14ac:dyDescent="0.2">
      <c r="A187" s="1">
        <f>WorldCupMatches!O187</f>
        <v>1966</v>
      </c>
      <c r="B187" s="1" t="str">
        <f>WorldCupMatches!P187</f>
        <v>Argentina</v>
      </c>
      <c r="C187" s="1">
        <f>WorldCupMatches!Q187</f>
        <v>2</v>
      </c>
      <c r="D187" s="1">
        <f>WorldCupMatches!R187</f>
        <v>0</v>
      </c>
      <c r="E187" s="1" t="str">
        <f>WorldCupMatches!S187</f>
        <v>Switzerland</v>
      </c>
      <c r="F187" s="1" t="str">
        <f>WorldCupMatches!T187</f>
        <v xml:space="preserve"> </v>
      </c>
      <c r="G187" s="1" t="str">
        <f>WorldCupMatches!U187</f>
        <v>Group stages</v>
      </c>
      <c r="J187" s="1">
        <f>COUNTIF($L$2:L187,L187)</f>
        <v>9</v>
      </c>
      <c r="K187" s="1">
        <f>Table3[[#This Row],[Year]]</f>
        <v>1966</v>
      </c>
      <c r="L187" s="1" t="str">
        <f>Table3[[#This Row],[Hometeam]]</f>
        <v>Argentina</v>
      </c>
      <c r="M187" s="1" t="str">
        <f>IF(J187=1,J187+ROWS($J$2:J187)/10000,"")</f>
        <v/>
      </c>
      <c r="N187" s="1" t="str">
        <f>IFERROR(SMALL($M$2:$M$1705,ROWS($M$2:M187)),"")</f>
        <v/>
      </c>
      <c r="O187" s="1" t="str">
        <f>IF(N187&lt;&gt;"",INDEX($L$2:$L$1705,MATCH(N187,$M$2:$M$1705,0)),"")</f>
        <v/>
      </c>
      <c r="P187" s="1" t="str">
        <f>IF(O187&lt;&gt;"",ROWS($O$2:O187),"")</f>
        <v/>
      </c>
    </row>
    <row r="188" spans="1:16" x14ac:dyDescent="0.2">
      <c r="A188" s="1">
        <f>WorldCupMatches!O188</f>
        <v>1966</v>
      </c>
      <c r="B188" s="1" t="str">
        <f>WorldCupMatches!P188</f>
        <v>Portugal</v>
      </c>
      <c r="C188" s="1">
        <f>WorldCupMatches!Q188</f>
        <v>3</v>
      </c>
      <c r="D188" s="1">
        <f>WorldCupMatches!R188</f>
        <v>1</v>
      </c>
      <c r="E188" s="1" t="str">
        <f>WorldCupMatches!S188</f>
        <v>Brazil</v>
      </c>
      <c r="F188" s="1" t="str">
        <f>WorldCupMatches!T188</f>
        <v xml:space="preserve"> </v>
      </c>
      <c r="G188" s="1" t="str">
        <f>WorldCupMatches!U188</f>
        <v>Group stages</v>
      </c>
      <c r="J188" s="1">
        <f>COUNTIF($L$2:L188,L188)</f>
        <v>3</v>
      </c>
      <c r="K188" s="1">
        <f>Table3[[#This Row],[Year]]</f>
        <v>1966</v>
      </c>
      <c r="L188" s="1" t="str">
        <f>Table3[[#This Row],[Hometeam]]</f>
        <v>Portugal</v>
      </c>
      <c r="M188" s="1" t="str">
        <f>IF(J188=1,J188+ROWS($J$2:J188)/10000,"")</f>
        <v/>
      </c>
      <c r="N188" s="1" t="str">
        <f>IFERROR(SMALL($M$2:$M$1705,ROWS($M$2:M188)),"")</f>
        <v/>
      </c>
      <c r="O188" s="1" t="str">
        <f>IF(N188&lt;&gt;"",INDEX($L$2:$L$1705,MATCH(N188,$M$2:$M$1705,0)),"")</f>
        <v/>
      </c>
      <c r="P188" s="1" t="str">
        <f>IF(O188&lt;&gt;"",ROWS($O$2:O188),"")</f>
        <v/>
      </c>
    </row>
    <row r="189" spans="1:16" x14ac:dyDescent="0.2">
      <c r="A189" s="1">
        <f>WorldCupMatches!O189</f>
        <v>1966</v>
      </c>
      <c r="B189" s="1" t="str">
        <f>WorldCupMatches!P189</f>
        <v>Korea DPR</v>
      </c>
      <c r="C189" s="1">
        <f>WorldCupMatches!Q189</f>
        <v>1</v>
      </c>
      <c r="D189" s="1">
        <f>WorldCupMatches!R189</f>
        <v>0</v>
      </c>
      <c r="E189" s="1" t="str">
        <f>WorldCupMatches!S189</f>
        <v>Italy</v>
      </c>
      <c r="F189" s="1" t="str">
        <f>WorldCupMatches!T189</f>
        <v xml:space="preserve"> </v>
      </c>
      <c r="G189" s="1" t="str">
        <f>WorldCupMatches!U189</f>
        <v>Group stages</v>
      </c>
      <c r="J189" s="1">
        <f>COUNTIF($L$2:L189,L189)</f>
        <v>2</v>
      </c>
      <c r="K189" s="1">
        <f>Table3[[#This Row],[Year]]</f>
        <v>1966</v>
      </c>
      <c r="L189" s="1" t="str">
        <f>Table3[[#This Row],[Hometeam]]</f>
        <v>Korea DPR</v>
      </c>
      <c r="M189" s="1" t="str">
        <f>IF(J189=1,J189+ROWS($J$2:J189)/10000,"")</f>
        <v/>
      </c>
      <c r="N189" s="1" t="str">
        <f>IFERROR(SMALL($M$2:$M$1705,ROWS($M$2:M189)),"")</f>
        <v/>
      </c>
      <c r="O189" s="1" t="str">
        <f>IF(N189&lt;&gt;"",INDEX($L$2:$L$1705,MATCH(N189,$M$2:$M$1705,0)),"")</f>
        <v/>
      </c>
      <c r="P189" s="1" t="str">
        <f>IF(O189&lt;&gt;"",ROWS($O$2:O189),"")</f>
        <v/>
      </c>
    </row>
    <row r="190" spans="1:16" x14ac:dyDescent="0.2">
      <c r="A190" s="1">
        <f>WorldCupMatches!O190</f>
        <v>1966</v>
      </c>
      <c r="B190" s="1" t="str">
        <f>WorldCupMatches!P190</f>
        <v>England</v>
      </c>
      <c r="C190" s="1">
        <f>WorldCupMatches!Q190</f>
        <v>2</v>
      </c>
      <c r="D190" s="1">
        <f>WorldCupMatches!R190</f>
        <v>0</v>
      </c>
      <c r="E190" s="1" t="str">
        <f>WorldCupMatches!S190</f>
        <v>France</v>
      </c>
      <c r="F190" s="1" t="str">
        <f>WorldCupMatches!T190</f>
        <v xml:space="preserve"> </v>
      </c>
      <c r="G190" s="1" t="str">
        <f>WorldCupMatches!U190</f>
        <v>Group stages</v>
      </c>
      <c r="J190" s="1">
        <f>COUNTIF($L$2:L190,L190)</f>
        <v>9</v>
      </c>
      <c r="K190" s="1">
        <f>Table3[[#This Row],[Year]]</f>
        <v>1966</v>
      </c>
      <c r="L190" s="1" t="str">
        <f>Table3[[#This Row],[Hometeam]]</f>
        <v>England</v>
      </c>
      <c r="M190" s="1" t="str">
        <f>IF(J190=1,J190+ROWS($J$2:J190)/10000,"")</f>
        <v/>
      </c>
      <c r="N190" s="1" t="str">
        <f>IFERROR(SMALL($M$2:$M$1705,ROWS($M$2:M190)),"")</f>
        <v/>
      </c>
      <c r="O190" s="1" t="str">
        <f>IF(N190&lt;&gt;"",INDEX($L$2:$L$1705,MATCH(N190,$M$2:$M$1705,0)),"")</f>
        <v/>
      </c>
      <c r="P190" s="1" t="str">
        <f>IF(O190&lt;&gt;"",ROWS($O$2:O190),"")</f>
        <v/>
      </c>
    </row>
    <row r="191" spans="1:16" x14ac:dyDescent="0.2">
      <c r="A191" s="1">
        <f>WorldCupMatches!O191</f>
        <v>1966</v>
      </c>
      <c r="B191" s="1" t="str">
        <f>WorldCupMatches!P191</f>
        <v>Hungary</v>
      </c>
      <c r="C191" s="1">
        <f>WorldCupMatches!Q191</f>
        <v>3</v>
      </c>
      <c r="D191" s="1">
        <f>WorldCupMatches!R191</f>
        <v>1</v>
      </c>
      <c r="E191" s="1" t="str">
        <f>WorldCupMatches!S191</f>
        <v>Bulgaria</v>
      </c>
      <c r="F191" s="1" t="str">
        <f>WorldCupMatches!T191</f>
        <v xml:space="preserve"> </v>
      </c>
      <c r="G191" s="1" t="str">
        <f>WorldCupMatches!U191</f>
        <v>Group stages</v>
      </c>
      <c r="J191" s="1">
        <f>COUNTIF($L$2:L191,L191)</f>
        <v>15</v>
      </c>
      <c r="K191" s="1">
        <f>Table3[[#This Row],[Year]]</f>
        <v>1966</v>
      </c>
      <c r="L191" s="1" t="str">
        <f>Table3[[#This Row],[Hometeam]]</f>
        <v>Hungary</v>
      </c>
      <c r="M191" s="1" t="str">
        <f>IF(J191=1,J191+ROWS($J$2:J191)/10000,"")</f>
        <v/>
      </c>
      <c r="N191" s="1" t="str">
        <f>IFERROR(SMALL($M$2:$M$1705,ROWS($M$2:M191)),"")</f>
        <v/>
      </c>
      <c r="O191" s="1" t="str">
        <f>IF(N191&lt;&gt;"",INDEX($L$2:$L$1705,MATCH(N191,$M$2:$M$1705,0)),"")</f>
        <v/>
      </c>
      <c r="P191" s="1" t="str">
        <f>IF(O191&lt;&gt;"",ROWS($O$2:O191),"")</f>
        <v/>
      </c>
    </row>
    <row r="192" spans="1:16" x14ac:dyDescent="0.2">
      <c r="A192" s="1">
        <f>WorldCupMatches!O192</f>
        <v>1966</v>
      </c>
      <c r="B192" s="1" t="str">
        <f>WorldCupMatches!P192</f>
        <v>Germany FR</v>
      </c>
      <c r="C192" s="1">
        <f>WorldCupMatches!Q192</f>
        <v>2</v>
      </c>
      <c r="D192" s="1">
        <f>WorldCupMatches!R192</f>
        <v>1</v>
      </c>
      <c r="E192" s="1" t="str">
        <f>WorldCupMatches!S192</f>
        <v>Spain</v>
      </c>
      <c r="F192" s="1" t="str">
        <f>WorldCupMatches!T192</f>
        <v xml:space="preserve"> </v>
      </c>
      <c r="G192" s="1" t="str">
        <f>WorldCupMatches!U192</f>
        <v>Group stages</v>
      </c>
      <c r="J192" s="1">
        <f>COUNTIF($L$2:L192,L192)</f>
        <v>14</v>
      </c>
      <c r="K192" s="1">
        <f>Table3[[#This Row],[Year]]</f>
        <v>1966</v>
      </c>
      <c r="L192" s="1" t="str">
        <f>Table3[[#This Row],[Hometeam]]</f>
        <v>Germany FR</v>
      </c>
      <c r="M192" s="1" t="str">
        <f>IF(J192=1,J192+ROWS($J$2:J192)/10000,"")</f>
        <v/>
      </c>
      <c r="N192" s="1" t="str">
        <f>IFERROR(SMALL($M$2:$M$1705,ROWS($M$2:M192)),"")</f>
        <v/>
      </c>
      <c r="O192" s="1" t="str">
        <f>IF(N192&lt;&gt;"",INDEX($L$2:$L$1705,MATCH(N192,$M$2:$M$1705,0)),"")</f>
        <v/>
      </c>
      <c r="P192" s="1" t="str">
        <f>IF(O192&lt;&gt;"",ROWS($O$2:O192),"")</f>
        <v/>
      </c>
    </row>
    <row r="193" spans="1:16" x14ac:dyDescent="0.2">
      <c r="A193" s="1">
        <f>WorldCupMatches!O193</f>
        <v>1966</v>
      </c>
      <c r="B193" s="1" t="str">
        <f>WorldCupMatches!P193</f>
        <v>Soviet Union</v>
      </c>
      <c r="C193" s="1">
        <f>WorldCupMatches!Q193</f>
        <v>2</v>
      </c>
      <c r="D193" s="1">
        <f>WorldCupMatches!R193</f>
        <v>1</v>
      </c>
      <c r="E193" s="1" t="str">
        <f>WorldCupMatches!S193</f>
        <v>Chile</v>
      </c>
      <c r="F193" s="1" t="str">
        <f>WorldCupMatches!T193</f>
        <v xml:space="preserve"> </v>
      </c>
      <c r="G193" s="1" t="str">
        <f>WorldCupMatches!U193</f>
        <v>Group stages</v>
      </c>
      <c r="J193" s="1">
        <f>COUNTIF($L$2:L193,L193)</f>
        <v>9</v>
      </c>
      <c r="K193" s="1">
        <f>Table3[[#This Row],[Year]]</f>
        <v>1966</v>
      </c>
      <c r="L193" s="1" t="str">
        <f>Table3[[#This Row],[Hometeam]]</f>
        <v>Soviet Union</v>
      </c>
      <c r="M193" s="1" t="str">
        <f>IF(J193=1,J193+ROWS($J$2:J193)/10000,"")</f>
        <v/>
      </c>
      <c r="N193" s="1" t="str">
        <f>IFERROR(SMALL($M$2:$M$1705,ROWS($M$2:M193)),"")</f>
        <v/>
      </c>
      <c r="O193" s="1" t="str">
        <f>IF(N193&lt;&gt;"",INDEX($L$2:$L$1705,MATCH(N193,$M$2:$M$1705,0)),"")</f>
        <v/>
      </c>
      <c r="P193" s="1" t="str">
        <f>IF(O193&lt;&gt;"",ROWS($O$2:O193),"")</f>
        <v/>
      </c>
    </row>
    <row r="194" spans="1:16" x14ac:dyDescent="0.2">
      <c r="A194" s="1">
        <f>WorldCupMatches!O194</f>
        <v>1966</v>
      </c>
      <c r="B194" s="1" t="str">
        <f>WorldCupMatches!P194</f>
        <v>England</v>
      </c>
      <c r="C194" s="1">
        <f>WorldCupMatches!Q194</f>
        <v>1</v>
      </c>
      <c r="D194" s="1">
        <f>WorldCupMatches!R194</f>
        <v>0</v>
      </c>
      <c r="E194" s="1" t="str">
        <f>WorldCupMatches!S194</f>
        <v>Argentina</v>
      </c>
      <c r="F194" s="1" t="str">
        <f>WorldCupMatches!T194</f>
        <v xml:space="preserve"> </v>
      </c>
      <c r="G194" s="1" t="str">
        <f>WorldCupMatches!U194</f>
        <v>Quarter-finals</v>
      </c>
      <c r="J194" s="1">
        <f>COUNTIF($L$2:L194,L194)</f>
        <v>10</v>
      </c>
      <c r="K194" s="1">
        <f>Table3[[#This Row],[Year]]</f>
        <v>1966</v>
      </c>
      <c r="L194" s="1" t="str">
        <f>Table3[[#This Row],[Hometeam]]</f>
        <v>England</v>
      </c>
      <c r="M194" s="1" t="str">
        <f>IF(J194=1,J194+ROWS($J$2:J194)/10000,"")</f>
        <v/>
      </c>
      <c r="N194" s="1" t="str">
        <f>IFERROR(SMALL($M$2:$M$1705,ROWS($M$2:M194)),"")</f>
        <v/>
      </c>
      <c r="O194" s="1" t="str">
        <f>IF(N194&lt;&gt;"",INDEX($L$2:$L$1705,MATCH(N194,$M$2:$M$1705,0)),"")</f>
        <v/>
      </c>
      <c r="P194" s="1" t="str">
        <f>IF(O194&lt;&gt;"",ROWS($O$2:O194),"")</f>
        <v/>
      </c>
    </row>
    <row r="195" spans="1:16" x14ac:dyDescent="0.2">
      <c r="A195" s="1">
        <f>WorldCupMatches!O195</f>
        <v>1966</v>
      </c>
      <c r="B195" s="1" t="str">
        <f>WorldCupMatches!P195</f>
        <v>Germany FR</v>
      </c>
      <c r="C195" s="1">
        <f>WorldCupMatches!Q195</f>
        <v>4</v>
      </c>
      <c r="D195" s="1">
        <f>WorldCupMatches!R195</f>
        <v>0</v>
      </c>
      <c r="E195" s="1" t="str">
        <f>WorldCupMatches!S195</f>
        <v>Uruguay</v>
      </c>
      <c r="F195" s="1" t="str">
        <f>WorldCupMatches!T195</f>
        <v xml:space="preserve"> </v>
      </c>
      <c r="G195" s="1" t="str">
        <f>WorldCupMatches!U195</f>
        <v>Quarter-finals</v>
      </c>
      <c r="J195" s="1">
        <f>COUNTIF($L$2:L195,L195)</f>
        <v>15</v>
      </c>
      <c r="K195" s="1">
        <f>Table3[[#This Row],[Year]]</f>
        <v>1966</v>
      </c>
      <c r="L195" s="1" t="str">
        <f>Table3[[#This Row],[Hometeam]]</f>
        <v>Germany FR</v>
      </c>
      <c r="M195" s="1" t="str">
        <f>IF(J195=1,J195+ROWS($J$2:J195)/10000,"")</f>
        <v/>
      </c>
      <c r="N195" s="1" t="str">
        <f>IFERROR(SMALL($M$2:$M$1705,ROWS($M$2:M195)),"")</f>
        <v/>
      </c>
      <c r="O195" s="1" t="str">
        <f>IF(N195&lt;&gt;"",INDEX($L$2:$L$1705,MATCH(N195,$M$2:$M$1705,0)),"")</f>
        <v/>
      </c>
      <c r="P195" s="1" t="str">
        <f>IF(O195&lt;&gt;"",ROWS($O$2:O195),"")</f>
        <v/>
      </c>
    </row>
    <row r="196" spans="1:16" x14ac:dyDescent="0.2">
      <c r="A196" s="1">
        <f>WorldCupMatches!O196</f>
        <v>1966</v>
      </c>
      <c r="B196" s="1" t="str">
        <f>WorldCupMatches!P196</f>
        <v>Soviet Union</v>
      </c>
      <c r="C196" s="1">
        <f>WorldCupMatches!Q196</f>
        <v>2</v>
      </c>
      <c r="D196" s="1">
        <f>WorldCupMatches!R196</f>
        <v>1</v>
      </c>
      <c r="E196" s="1" t="str">
        <f>WorldCupMatches!S196</f>
        <v>Hungary</v>
      </c>
      <c r="F196" s="1" t="str">
        <f>WorldCupMatches!T196</f>
        <v xml:space="preserve"> </v>
      </c>
      <c r="G196" s="1" t="str">
        <f>WorldCupMatches!U196</f>
        <v>Quarter-finals</v>
      </c>
      <c r="J196" s="1">
        <f>COUNTIF($L$2:L196,L196)</f>
        <v>10</v>
      </c>
      <c r="K196" s="1">
        <f>Table3[[#This Row],[Year]]</f>
        <v>1966</v>
      </c>
      <c r="L196" s="1" t="str">
        <f>Table3[[#This Row],[Hometeam]]</f>
        <v>Soviet Union</v>
      </c>
      <c r="M196" s="1" t="str">
        <f>IF(J196=1,J196+ROWS($J$2:J196)/10000,"")</f>
        <v/>
      </c>
      <c r="N196" s="1" t="str">
        <f>IFERROR(SMALL($M$2:$M$1705,ROWS($M$2:M196)),"")</f>
        <v/>
      </c>
      <c r="O196" s="1" t="str">
        <f>IF(N196&lt;&gt;"",INDEX($L$2:$L$1705,MATCH(N196,$M$2:$M$1705,0)),"")</f>
        <v/>
      </c>
      <c r="P196" s="1" t="str">
        <f>IF(O196&lt;&gt;"",ROWS($O$2:O196),"")</f>
        <v/>
      </c>
    </row>
    <row r="197" spans="1:16" x14ac:dyDescent="0.2">
      <c r="A197" s="1">
        <f>WorldCupMatches!O197</f>
        <v>1966</v>
      </c>
      <c r="B197" s="1" t="str">
        <f>WorldCupMatches!P197</f>
        <v>Portugal</v>
      </c>
      <c r="C197" s="1">
        <f>WorldCupMatches!Q197</f>
        <v>5</v>
      </c>
      <c r="D197" s="1">
        <f>WorldCupMatches!R197</f>
        <v>3</v>
      </c>
      <c r="E197" s="1" t="str">
        <f>WorldCupMatches!S197</f>
        <v>Korea DPR</v>
      </c>
      <c r="F197" s="1" t="str">
        <f>WorldCupMatches!T197</f>
        <v xml:space="preserve"> </v>
      </c>
      <c r="G197" s="1" t="str">
        <f>WorldCupMatches!U197</f>
        <v>Quarter-finals</v>
      </c>
      <c r="J197" s="1">
        <f>COUNTIF($L$2:L197,L197)</f>
        <v>4</v>
      </c>
      <c r="K197" s="1">
        <f>Table3[[#This Row],[Year]]</f>
        <v>1966</v>
      </c>
      <c r="L197" s="1" t="str">
        <f>Table3[[#This Row],[Hometeam]]</f>
        <v>Portugal</v>
      </c>
      <c r="M197" s="1" t="str">
        <f>IF(J197=1,J197+ROWS($J$2:J197)/10000,"")</f>
        <v/>
      </c>
      <c r="N197" s="1" t="str">
        <f>IFERROR(SMALL($M$2:$M$1705,ROWS($M$2:M197)),"")</f>
        <v/>
      </c>
      <c r="O197" s="1" t="str">
        <f>IF(N197&lt;&gt;"",INDEX($L$2:$L$1705,MATCH(N197,$M$2:$M$1705,0)),"")</f>
        <v/>
      </c>
      <c r="P197" s="1" t="str">
        <f>IF(O197&lt;&gt;"",ROWS($O$2:O197),"")</f>
        <v/>
      </c>
    </row>
    <row r="198" spans="1:16" x14ac:dyDescent="0.2">
      <c r="A198" s="1">
        <f>WorldCupMatches!O198</f>
        <v>1966</v>
      </c>
      <c r="B198" s="1" t="str">
        <f>WorldCupMatches!P198</f>
        <v>Germany FR</v>
      </c>
      <c r="C198" s="1">
        <f>WorldCupMatches!Q198</f>
        <v>2</v>
      </c>
      <c r="D198" s="1">
        <f>WorldCupMatches!R198</f>
        <v>1</v>
      </c>
      <c r="E198" s="1" t="str">
        <f>WorldCupMatches!S198</f>
        <v>Soviet Union</v>
      </c>
      <c r="F198" s="1" t="str">
        <f>WorldCupMatches!T198</f>
        <v xml:space="preserve"> </v>
      </c>
      <c r="G198" s="1" t="str">
        <f>WorldCupMatches!U198</f>
        <v>Semi-finals</v>
      </c>
      <c r="J198" s="1">
        <f>COUNTIF($L$2:L198,L198)</f>
        <v>16</v>
      </c>
      <c r="K198" s="1">
        <f>Table3[[#This Row],[Year]]</f>
        <v>1966</v>
      </c>
      <c r="L198" s="1" t="str">
        <f>Table3[[#This Row],[Hometeam]]</f>
        <v>Germany FR</v>
      </c>
      <c r="M198" s="1" t="str">
        <f>IF(J198=1,J198+ROWS($J$2:J198)/10000,"")</f>
        <v/>
      </c>
      <c r="N198" s="1" t="str">
        <f>IFERROR(SMALL($M$2:$M$1705,ROWS($M$2:M198)),"")</f>
        <v/>
      </c>
      <c r="O198" s="1" t="str">
        <f>IF(N198&lt;&gt;"",INDEX($L$2:$L$1705,MATCH(N198,$M$2:$M$1705,0)),"")</f>
        <v/>
      </c>
      <c r="P198" s="1" t="str">
        <f>IF(O198&lt;&gt;"",ROWS($O$2:O198),"")</f>
        <v/>
      </c>
    </row>
    <row r="199" spans="1:16" x14ac:dyDescent="0.2">
      <c r="A199" s="1">
        <f>WorldCupMatches!O199</f>
        <v>1966</v>
      </c>
      <c r="B199" s="1" t="str">
        <f>WorldCupMatches!P199</f>
        <v>England</v>
      </c>
      <c r="C199" s="1">
        <f>WorldCupMatches!Q199</f>
        <v>2</v>
      </c>
      <c r="D199" s="1">
        <f>WorldCupMatches!R199</f>
        <v>1</v>
      </c>
      <c r="E199" s="1" t="str">
        <f>WorldCupMatches!S199</f>
        <v>Portugal</v>
      </c>
      <c r="F199" s="1" t="str">
        <f>WorldCupMatches!T199</f>
        <v xml:space="preserve"> </v>
      </c>
      <c r="G199" s="1" t="str">
        <f>WorldCupMatches!U199</f>
        <v>Semi-finals</v>
      </c>
      <c r="J199" s="1">
        <f>COUNTIF($L$2:L199,L199)</f>
        <v>11</v>
      </c>
      <c r="K199" s="1">
        <f>Table3[[#This Row],[Year]]</f>
        <v>1966</v>
      </c>
      <c r="L199" s="1" t="str">
        <f>Table3[[#This Row],[Hometeam]]</f>
        <v>England</v>
      </c>
      <c r="M199" s="1" t="str">
        <f>IF(J199=1,J199+ROWS($J$2:J199)/10000,"")</f>
        <v/>
      </c>
      <c r="N199" s="1" t="str">
        <f>IFERROR(SMALL($M$2:$M$1705,ROWS($M$2:M199)),"")</f>
        <v/>
      </c>
      <c r="O199" s="1" t="str">
        <f>IF(N199&lt;&gt;"",INDEX($L$2:$L$1705,MATCH(N199,$M$2:$M$1705,0)),"")</f>
        <v/>
      </c>
      <c r="P199" s="1" t="str">
        <f>IF(O199&lt;&gt;"",ROWS($O$2:O199),"")</f>
        <v/>
      </c>
    </row>
    <row r="200" spans="1:16" x14ac:dyDescent="0.2">
      <c r="A200" s="1">
        <f>WorldCupMatches!O200</f>
        <v>1966</v>
      </c>
      <c r="B200" s="1" t="str">
        <f>WorldCupMatches!P200</f>
        <v>Portugal</v>
      </c>
      <c r="C200" s="1">
        <f>WorldCupMatches!Q200</f>
        <v>2</v>
      </c>
      <c r="D200" s="1">
        <f>WorldCupMatches!R200</f>
        <v>1</v>
      </c>
      <c r="E200" s="1" t="str">
        <f>WorldCupMatches!S200</f>
        <v>Soviet Union</v>
      </c>
      <c r="F200" s="1" t="str">
        <f>WorldCupMatches!T200</f>
        <v xml:space="preserve"> </v>
      </c>
      <c r="G200" s="1" t="str">
        <f>WorldCupMatches!U200</f>
        <v>Match for third place</v>
      </c>
      <c r="J200" s="1">
        <f>COUNTIF($L$2:L200,L200)</f>
        <v>5</v>
      </c>
      <c r="K200" s="1">
        <f>Table3[[#This Row],[Year]]</f>
        <v>1966</v>
      </c>
      <c r="L200" s="1" t="str">
        <f>Table3[[#This Row],[Hometeam]]</f>
        <v>Portugal</v>
      </c>
      <c r="M200" s="1" t="str">
        <f>IF(J200=1,J200+ROWS($J$2:J200)/10000,"")</f>
        <v/>
      </c>
      <c r="N200" s="1" t="str">
        <f>IFERROR(SMALL($M$2:$M$1705,ROWS($M$2:M200)),"")</f>
        <v/>
      </c>
      <c r="O200" s="1" t="str">
        <f>IF(N200&lt;&gt;"",INDEX($L$2:$L$1705,MATCH(N200,$M$2:$M$1705,0)),"")</f>
        <v/>
      </c>
      <c r="P200" s="1" t="str">
        <f>IF(O200&lt;&gt;"",ROWS($O$2:O200),"")</f>
        <v/>
      </c>
    </row>
    <row r="201" spans="1:16" x14ac:dyDescent="0.2">
      <c r="A201" s="1">
        <f>WorldCupMatches!O201</f>
        <v>1966</v>
      </c>
      <c r="B201" s="1" t="str">
        <f>WorldCupMatches!P201</f>
        <v>England</v>
      </c>
      <c r="C201" s="1">
        <f>WorldCupMatches!Q201</f>
        <v>4</v>
      </c>
      <c r="D201" s="1">
        <f>WorldCupMatches!R201</f>
        <v>2</v>
      </c>
      <c r="E201" s="1" t="str">
        <f>WorldCupMatches!S201</f>
        <v>Germany FR</v>
      </c>
      <c r="F201" s="1" t="str">
        <f>WorldCupMatches!T201</f>
        <v xml:space="preserve">England win after extra time </v>
      </c>
      <c r="G201" s="1" t="str">
        <f>WorldCupMatches!U201</f>
        <v>Final</v>
      </c>
      <c r="J201" s="1">
        <f>COUNTIF($L$2:L201,L201)</f>
        <v>12</v>
      </c>
      <c r="K201" s="1">
        <f>Table3[[#This Row],[Year]]</f>
        <v>1966</v>
      </c>
      <c r="L201" s="1" t="str">
        <f>Table3[[#This Row],[Hometeam]]</f>
        <v>England</v>
      </c>
      <c r="M201" s="1" t="str">
        <f>IF(J201=1,J201+ROWS($J$2:J201)/10000,"")</f>
        <v/>
      </c>
      <c r="N201" s="1" t="str">
        <f>IFERROR(SMALL($M$2:$M$1705,ROWS($M$2:M201)),"")</f>
        <v/>
      </c>
      <c r="O201" s="1" t="str">
        <f>IF(N201&lt;&gt;"",INDEX($L$2:$L$1705,MATCH(N201,$M$2:$M$1705,0)),"")</f>
        <v/>
      </c>
      <c r="P201" s="1" t="str">
        <f>IF(O201&lt;&gt;"",ROWS($O$2:O201),"")</f>
        <v/>
      </c>
    </row>
    <row r="202" spans="1:16" x14ac:dyDescent="0.2">
      <c r="A202" s="1">
        <f>WorldCupMatches!O202</f>
        <v>1970</v>
      </c>
      <c r="B202" s="1" t="str">
        <f>WorldCupMatches!P202</f>
        <v>Mexico</v>
      </c>
      <c r="C202" s="1">
        <f>WorldCupMatches!Q202</f>
        <v>0</v>
      </c>
      <c r="D202" s="1">
        <f>WorldCupMatches!R202</f>
        <v>0</v>
      </c>
      <c r="E202" s="1" t="str">
        <f>WorldCupMatches!S202</f>
        <v>Soviet Union</v>
      </c>
      <c r="F202" s="1" t="str">
        <f>WorldCupMatches!T202</f>
        <v xml:space="preserve"> </v>
      </c>
      <c r="G202" s="1" t="str">
        <f>WorldCupMatches!U202</f>
        <v>Group stages</v>
      </c>
      <c r="J202" s="1">
        <f>COUNTIF($L$2:L202,L202)</f>
        <v>3</v>
      </c>
      <c r="K202" s="1">
        <f>Table3[[#This Row],[Year]]</f>
        <v>1970</v>
      </c>
      <c r="L202" s="1" t="str">
        <f>Table3[[#This Row],[Hometeam]]</f>
        <v>Mexico</v>
      </c>
      <c r="M202" s="1" t="str">
        <f>IF(J202=1,J202+ROWS($J$2:J202)/10000,"")</f>
        <v/>
      </c>
      <c r="N202" s="1" t="str">
        <f>IFERROR(SMALL($M$2:$M$1705,ROWS($M$2:M202)),"")</f>
        <v/>
      </c>
      <c r="O202" s="1" t="str">
        <f>IF(N202&lt;&gt;"",INDEX($L$2:$L$1705,MATCH(N202,$M$2:$M$1705,0)),"")</f>
        <v/>
      </c>
      <c r="P202" s="1" t="str">
        <f>IF(O202&lt;&gt;"",ROWS($O$2:O202),"")</f>
        <v/>
      </c>
    </row>
    <row r="203" spans="1:16" x14ac:dyDescent="0.2">
      <c r="A203" s="1">
        <f>WorldCupMatches!O203</f>
        <v>1970</v>
      </c>
      <c r="B203" s="1" t="str">
        <f>WorldCupMatches!P203</f>
        <v>Uruguay</v>
      </c>
      <c r="C203" s="1">
        <f>WorldCupMatches!Q203</f>
        <v>2</v>
      </c>
      <c r="D203" s="1">
        <f>WorldCupMatches!R203</f>
        <v>0</v>
      </c>
      <c r="E203" s="1" t="str">
        <f>WorldCupMatches!S203</f>
        <v>Israel</v>
      </c>
      <c r="F203" s="1" t="str">
        <f>WorldCupMatches!T203</f>
        <v xml:space="preserve"> </v>
      </c>
      <c r="G203" s="1" t="str">
        <f>WorldCupMatches!U203</f>
        <v>Group stages</v>
      </c>
      <c r="J203" s="1">
        <f>COUNTIF($L$2:L203,L203)</f>
        <v>15</v>
      </c>
      <c r="K203" s="1">
        <f>Table3[[#This Row],[Year]]</f>
        <v>1970</v>
      </c>
      <c r="L203" s="1" t="str">
        <f>Table3[[#This Row],[Hometeam]]</f>
        <v>Uruguay</v>
      </c>
      <c r="M203" s="1" t="str">
        <f>IF(J203=1,J203+ROWS($J$2:J203)/10000,"")</f>
        <v/>
      </c>
      <c r="N203" s="1" t="str">
        <f>IFERROR(SMALL($M$2:$M$1705,ROWS($M$2:M203)),"")</f>
        <v/>
      </c>
      <c r="O203" s="1" t="str">
        <f>IF(N203&lt;&gt;"",INDEX($L$2:$L$1705,MATCH(N203,$M$2:$M$1705,0)),"")</f>
        <v/>
      </c>
      <c r="P203" s="1" t="str">
        <f>IF(O203&lt;&gt;"",ROWS($O$2:O203),"")</f>
        <v/>
      </c>
    </row>
    <row r="204" spans="1:16" x14ac:dyDescent="0.2">
      <c r="A204" s="1">
        <f>WorldCupMatches!O204</f>
        <v>1970</v>
      </c>
      <c r="B204" s="1" t="str">
        <f>WorldCupMatches!P204</f>
        <v>Peru</v>
      </c>
      <c r="C204" s="1">
        <f>WorldCupMatches!Q204</f>
        <v>3</v>
      </c>
      <c r="D204" s="1">
        <f>WorldCupMatches!R204</f>
        <v>2</v>
      </c>
      <c r="E204" s="1" t="str">
        <f>WorldCupMatches!S204</f>
        <v>Bulgaria</v>
      </c>
      <c r="F204" s="1" t="str">
        <f>WorldCupMatches!T204</f>
        <v xml:space="preserve"> </v>
      </c>
      <c r="G204" s="1" t="str">
        <f>WorldCupMatches!U204</f>
        <v>Group stages</v>
      </c>
      <c r="J204" s="1">
        <f>COUNTIF($L$2:L204,L204)</f>
        <v>1</v>
      </c>
      <c r="K204" s="1">
        <f>Table3[[#This Row],[Year]]</f>
        <v>1970</v>
      </c>
      <c r="L204" s="1" t="str">
        <f>Table3[[#This Row],[Hometeam]]</f>
        <v>Peru</v>
      </c>
      <c r="M204" s="1">
        <f>IF(J204=1,J204+ROWS($J$2:J204)/10000,"")</f>
        <v>1.0203</v>
      </c>
      <c r="N204" s="1" t="str">
        <f>IFERROR(SMALL($M$2:$M$1705,ROWS($M$2:M204)),"")</f>
        <v/>
      </c>
      <c r="O204" s="1" t="str">
        <f>IF(N204&lt;&gt;"",INDEX($L$2:$L$1705,MATCH(N204,$M$2:$M$1705,0)),"")</f>
        <v/>
      </c>
      <c r="P204" s="1" t="str">
        <f>IF(O204&lt;&gt;"",ROWS($O$2:O204),"")</f>
        <v/>
      </c>
    </row>
    <row r="205" spans="1:16" x14ac:dyDescent="0.2">
      <c r="A205" s="1">
        <f>WorldCupMatches!O205</f>
        <v>1970</v>
      </c>
      <c r="B205" s="1" t="str">
        <f>WorldCupMatches!P205</f>
        <v>England</v>
      </c>
      <c r="C205" s="1">
        <f>WorldCupMatches!Q205</f>
        <v>1</v>
      </c>
      <c r="D205" s="1">
        <f>WorldCupMatches!R205</f>
        <v>0</v>
      </c>
      <c r="E205" s="1" t="str">
        <f>WorldCupMatches!S205</f>
        <v>Romania</v>
      </c>
      <c r="F205" s="1" t="str">
        <f>WorldCupMatches!T205</f>
        <v xml:space="preserve"> </v>
      </c>
      <c r="G205" s="1" t="str">
        <f>WorldCupMatches!U205</f>
        <v>Group stages</v>
      </c>
      <c r="J205" s="1">
        <f>COUNTIF($L$2:L205,L205)</f>
        <v>13</v>
      </c>
      <c r="K205" s="1">
        <f>Table3[[#This Row],[Year]]</f>
        <v>1970</v>
      </c>
      <c r="L205" s="1" t="str">
        <f>Table3[[#This Row],[Hometeam]]</f>
        <v>England</v>
      </c>
      <c r="M205" s="1" t="str">
        <f>IF(J205=1,J205+ROWS($J$2:J205)/10000,"")</f>
        <v/>
      </c>
      <c r="N205" s="1" t="str">
        <f>IFERROR(SMALL($M$2:$M$1705,ROWS($M$2:M205)),"")</f>
        <v/>
      </c>
      <c r="O205" s="1" t="str">
        <f>IF(N205&lt;&gt;"",INDEX($L$2:$L$1705,MATCH(N205,$M$2:$M$1705,0)),"")</f>
        <v/>
      </c>
      <c r="P205" s="1" t="str">
        <f>IF(O205&lt;&gt;"",ROWS($O$2:O205),"")</f>
        <v/>
      </c>
    </row>
    <row r="206" spans="1:16" x14ac:dyDescent="0.2">
      <c r="A206" s="1">
        <f>WorldCupMatches!O206</f>
        <v>1970</v>
      </c>
      <c r="B206" s="1" t="str">
        <f>WorldCupMatches!P206</f>
        <v>Italy</v>
      </c>
      <c r="C206" s="1">
        <f>WorldCupMatches!Q206</f>
        <v>1</v>
      </c>
      <c r="D206" s="1">
        <f>WorldCupMatches!R206</f>
        <v>0</v>
      </c>
      <c r="E206" s="1" t="str">
        <f>WorldCupMatches!S206</f>
        <v>Sweden</v>
      </c>
      <c r="F206" s="1" t="str">
        <f>WorldCupMatches!T206</f>
        <v xml:space="preserve"> </v>
      </c>
      <c r="G206" s="1" t="str">
        <f>WorldCupMatches!U206</f>
        <v>Group stages</v>
      </c>
      <c r="J206" s="1">
        <f>COUNTIF($L$2:L206,L206)</f>
        <v>14</v>
      </c>
      <c r="K206" s="1">
        <f>Table3[[#This Row],[Year]]</f>
        <v>1970</v>
      </c>
      <c r="L206" s="1" t="str">
        <f>Table3[[#This Row],[Hometeam]]</f>
        <v>Italy</v>
      </c>
      <c r="M206" s="1" t="str">
        <f>IF(J206=1,J206+ROWS($J$2:J206)/10000,"")</f>
        <v/>
      </c>
      <c r="N206" s="1" t="str">
        <f>IFERROR(SMALL($M$2:$M$1705,ROWS($M$2:M206)),"")</f>
        <v/>
      </c>
      <c r="O206" s="1" t="str">
        <f>IF(N206&lt;&gt;"",INDEX($L$2:$L$1705,MATCH(N206,$M$2:$M$1705,0)),"")</f>
        <v/>
      </c>
      <c r="P206" s="1" t="str">
        <f>IF(O206&lt;&gt;"",ROWS($O$2:O206),"")</f>
        <v/>
      </c>
    </row>
    <row r="207" spans="1:16" x14ac:dyDescent="0.2">
      <c r="A207" s="1">
        <f>WorldCupMatches!O207</f>
        <v>1970</v>
      </c>
      <c r="B207" s="1" t="str">
        <f>WorldCupMatches!P207</f>
        <v>Germany FR</v>
      </c>
      <c r="C207" s="1">
        <f>WorldCupMatches!Q207</f>
        <v>2</v>
      </c>
      <c r="D207" s="1">
        <f>WorldCupMatches!R207</f>
        <v>1</v>
      </c>
      <c r="E207" s="1" t="str">
        <f>WorldCupMatches!S207</f>
        <v>Morocco</v>
      </c>
      <c r="F207" s="1" t="str">
        <f>WorldCupMatches!T207</f>
        <v xml:space="preserve"> </v>
      </c>
      <c r="G207" s="1" t="str">
        <f>WorldCupMatches!U207</f>
        <v>Group stages</v>
      </c>
      <c r="J207" s="1">
        <f>COUNTIF($L$2:L207,L207)</f>
        <v>17</v>
      </c>
      <c r="K207" s="1">
        <f>Table3[[#This Row],[Year]]</f>
        <v>1970</v>
      </c>
      <c r="L207" s="1" t="str">
        <f>Table3[[#This Row],[Hometeam]]</f>
        <v>Germany FR</v>
      </c>
      <c r="M207" s="1" t="str">
        <f>IF(J207=1,J207+ROWS($J$2:J207)/10000,"")</f>
        <v/>
      </c>
      <c r="N207" s="1" t="str">
        <f>IFERROR(SMALL($M$2:$M$1705,ROWS($M$2:M207)),"")</f>
        <v/>
      </c>
      <c r="O207" s="1" t="str">
        <f>IF(N207&lt;&gt;"",INDEX($L$2:$L$1705,MATCH(N207,$M$2:$M$1705,0)),"")</f>
        <v/>
      </c>
      <c r="P207" s="1" t="str">
        <f>IF(O207&lt;&gt;"",ROWS($O$2:O207),"")</f>
        <v/>
      </c>
    </row>
    <row r="208" spans="1:16" x14ac:dyDescent="0.2">
      <c r="A208" s="1">
        <f>WorldCupMatches!O208</f>
        <v>1970</v>
      </c>
      <c r="B208" s="1" t="str">
        <f>WorldCupMatches!P208</f>
        <v>Brazil</v>
      </c>
      <c r="C208" s="1">
        <f>WorldCupMatches!Q208</f>
        <v>4</v>
      </c>
      <c r="D208" s="1">
        <f>WorldCupMatches!R208</f>
        <v>1</v>
      </c>
      <c r="E208" s="1" t="str">
        <f>WorldCupMatches!S208</f>
        <v>Czechoslovakia</v>
      </c>
      <c r="F208" s="1" t="str">
        <f>WorldCupMatches!T208</f>
        <v xml:space="preserve"> </v>
      </c>
      <c r="G208" s="1" t="str">
        <f>WorldCupMatches!U208</f>
        <v>Group stages</v>
      </c>
      <c r="J208" s="1">
        <f>COUNTIF($L$2:L208,L208)</f>
        <v>26</v>
      </c>
      <c r="K208" s="1">
        <f>Table3[[#This Row],[Year]]</f>
        <v>1970</v>
      </c>
      <c r="L208" s="1" t="str">
        <f>Table3[[#This Row],[Hometeam]]</f>
        <v>Brazil</v>
      </c>
      <c r="M208" s="1" t="str">
        <f>IF(J208=1,J208+ROWS($J$2:J208)/10000,"")</f>
        <v/>
      </c>
      <c r="N208" s="1" t="str">
        <f>IFERROR(SMALL($M$2:$M$1705,ROWS($M$2:M208)),"")</f>
        <v/>
      </c>
      <c r="O208" s="1" t="str">
        <f>IF(N208&lt;&gt;"",INDEX($L$2:$L$1705,MATCH(N208,$M$2:$M$1705,0)),"")</f>
        <v/>
      </c>
      <c r="P208" s="1" t="str">
        <f>IF(O208&lt;&gt;"",ROWS($O$2:O208),"")</f>
        <v/>
      </c>
    </row>
    <row r="209" spans="1:16" x14ac:dyDescent="0.2">
      <c r="A209" s="1">
        <f>WorldCupMatches!O209</f>
        <v>1970</v>
      </c>
      <c r="B209" s="1" t="str">
        <f>WorldCupMatches!P209</f>
        <v>Belgium</v>
      </c>
      <c r="C209" s="1">
        <f>WorldCupMatches!Q209</f>
        <v>3</v>
      </c>
      <c r="D209" s="1">
        <f>WorldCupMatches!R209</f>
        <v>0</v>
      </c>
      <c r="E209" s="1" t="str">
        <f>WorldCupMatches!S209</f>
        <v>El Salvador</v>
      </c>
      <c r="F209" s="1" t="str">
        <f>WorldCupMatches!T209</f>
        <v xml:space="preserve"> </v>
      </c>
      <c r="G209" s="1" t="str">
        <f>WorldCupMatches!U209</f>
        <v>Group stages</v>
      </c>
      <c r="J209" s="1">
        <f>COUNTIF($L$2:L209,L209)</f>
        <v>1</v>
      </c>
      <c r="K209" s="1">
        <f>Table3[[#This Row],[Year]]</f>
        <v>1970</v>
      </c>
      <c r="L209" s="1" t="str">
        <f>Table3[[#This Row],[Hometeam]]</f>
        <v>Belgium</v>
      </c>
      <c r="M209" s="1">
        <f>IF(J209=1,J209+ROWS($J$2:J209)/10000,"")</f>
        <v>1.0207999999999999</v>
      </c>
      <c r="N209" s="1" t="str">
        <f>IFERROR(SMALL($M$2:$M$1705,ROWS($M$2:M209)),"")</f>
        <v/>
      </c>
      <c r="O209" s="1" t="str">
        <f>IF(N209&lt;&gt;"",INDEX($L$2:$L$1705,MATCH(N209,$M$2:$M$1705,0)),"")</f>
        <v/>
      </c>
      <c r="P209" s="1" t="str">
        <f>IF(O209&lt;&gt;"",ROWS($O$2:O209),"")</f>
        <v/>
      </c>
    </row>
    <row r="210" spans="1:16" x14ac:dyDescent="0.2">
      <c r="A210" s="1">
        <f>WorldCupMatches!O210</f>
        <v>1970</v>
      </c>
      <c r="B210" s="1" t="str">
        <f>WorldCupMatches!P210</f>
        <v>Uruguay</v>
      </c>
      <c r="C210" s="1">
        <f>WorldCupMatches!Q210</f>
        <v>0</v>
      </c>
      <c r="D210" s="1">
        <f>WorldCupMatches!R210</f>
        <v>0</v>
      </c>
      <c r="E210" s="1" t="str">
        <f>WorldCupMatches!S210</f>
        <v>Italy</v>
      </c>
      <c r="F210" s="1" t="str">
        <f>WorldCupMatches!T210</f>
        <v xml:space="preserve"> </v>
      </c>
      <c r="G210" s="1" t="str">
        <f>WorldCupMatches!U210</f>
        <v>Group stages</v>
      </c>
      <c r="J210" s="1">
        <f>COUNTIF($L$2:L210,L210)</f>
        <v>16</v>
      </c>
      <c r="K210" s="1">
        <f>Table3[[#This Row],[Year]]</f>
        <v>1970</v>
      </c>
      <c r="L210" s="1" t="str">
        <f>Table3[[#This Row],[Hometeam]]</f>
        <v>Uruguay</v>
      </c>
      <c r="M210" s="1" t="str">
        <f>IF(J210=1,J210+ROWS($J$2:J210)/10000,"")</f>
        <v/>
      </c>
      <c r="N210" s="1" t="str">
        <f>IFERROR(SMALL($M$2:$M$1705,ROWS($M$2:M210)),"")</f>
        <v/>
      </c>
      <c r="O210" s="1" t="str">
        <f>IF(N210&lt;&gt;"",INDEX($L$2:$L$1705,MATCH(N210,$M$2:$M$1705,0)),"")</f>
        <v/>
      </c>
      <c r="P210" s="1" t="str">
        <f>IF(O210&lt;&gt;"",ROWS($O$2:O210),"")</f>
        <v/>
      </c>
    </row>
    <row r="211" spans="1:16" x14ac:dyDescent="0.2">
      <c r="A211" s="1">
        <f>WorldCupMatches!O211</f>
        <v>1970</v>
      </c>
      <c r="B211" s="1" t="str">
        <f>WorldCupMatches!P211</f>
        <v>Peru</v>
      </c>
      <c r="C211" s="1">
        <f>WorldCupMatches!Q211</f>
        <v>3</v>
      </c>
      <c r="D211" s="1">
        <f>WorldCupMatches!R211</f>
        <v>0</v>
      </c>
      <c r="E211" s="1" t="str">
        <f>WorldCupMatches!S211</f>
        <v>Morocco</v>
      </c>
      <c r="F211" s="1" t="str">
        <f>WorldCupMatches!T211</f>
        <v xml:space="preserve"> </v>
      </c>
      <c r="G211" s="1" t="str">
        <f>WorldCupMatches!U211</f>
        <v>Group stages</v>
      </c>
      <c r="J211" s="1">
        <f>COUNTIF($L$2:L211,L211)</f>
        <v>2</v>
      </c>
      <c r="K211" s="1">
        <f>Table3[[#This Row],[Year]]</f>
        <v>1970</v>
      </c>
      <c r="L211" s="1" t="str">
        <f>Table3[[#This Row],[Hometeam]]</f>
        <v>Peru</v>
      </c>
      <c r="M211" s="1" t="str">
        <f>IF(J211=1,J211+ROWS($J$2:J211)/10000,"")</f>
        <v/>
      </c>
      <c r="N211" s="1" t="str">
        <f>IFERROR(SMALL($M$2:$M$1705,ROWS($M$2:M211)),"")</f>
        <v/>
      </c>
      <c r="O211" s="1" t="str">
        <f>IF(N211&lt;&gt;"",INDEX($L$2:$L$1705,MATCH(N211,$M$2:$M$1705,0)),"")</f>
        <v/>
      </c>
      <c r="P211" s="1" t="str">
        <f>IF(O211&lt;&gt;"",ROWS($O$2:O211),"")</f>
        <v/>
      </c>
    </row>
    <row r="212" spans="1:16" x14ac:dyDescent="0.2">
      <c r="A212" s="1">
        <f>WorldCupMatches!O212</f>
        <v>1970</v>
      </c>
      <c r="B212" s="1" t="str">
        <f>WorldCupMatches!P212</f>
        <v>Romania</v>
      </c>
      <c r="C212" s="1">
        <f>WorldCupMatches!Q212</f>
        <v>2</v>
      </c>
      <c r="D212" s="1">
        <f>WorldCupMatches!R212</f>
        <v>1</v>
      </c>
      <c r="E212" s="1" t="str">
        <f>WorldCupMatches!S212</f>
        <v>Czechoslovakia</v>
      </c>
      <c r="F212" s="1" t="str">
        <f>WorldCupMatches!T212</f>
        <v xml:space="preserve"> </v>
      </c>
      <c r="G212" s="1" t="str">
        <f>WorldCupMatches!U212</f>
        <v>Group stages</v>
      </c>
      <c r="J212" s="1">
        <f>COUNTIF($L$2:L212,L212)</f>
        <v>2</v>
      </c>
      <c r="K212" s="1">
        <f>Table3[[#This Row],[Year]]</f>
        <v>1970</v>
      </c>
      <c r="L212" s="1" t="str">
        <f>Table3[[#This Row],[Hometeam]]</f>
        <v>Romania</v>
      </c>
      <c r="M212" s="1" t="str">
        <f>IF(J212=1,J212+ROWS($J$2:J212)/10000,"")</f>
        <v/>
      </c>
      <c r="N212" s="1" t="str">
        <f>IFERROR(SMALL($M$2:$M$1705,ROWS($M$2:M212)),"")</f>
        <v/>
      </c>
      <c r="O212" s="1" t="str">
        <f>IF(N212&lt;&gt;"",INDEX($L$2:$L$1705,MATCH(N212,$M$2:$M$1705,0)),"")</f>
        <v/>
      </c>
      <c r="P212" s="1" t="str">
        <f>IF(O212&lt;&gt;"",ROWS($O$2:O212),"")</f>
        <v/>
      </c>
    </row>
    <row r="213" spans="1:16" x14ac:dyDescent="0.2">
      <c r="A213" s="1">
        <f>WorldCupMatches!O213</f>
        <v>1970</v>
      </c>
      <c r="B213" s="1" t="str">
        <f>WorldCupMatches!P213</f>
        <v>Soviet Union</v>
      </c>
      <c r="C213" s="1">
        <f>WorldCupMatches!Q213</f>
        <v>4</v>
      </c>
      <c r="D213" s="1">
        <f>WorldCupMatches!R213</f>
        <v>1</v>
      </c>
      <c r="E213" s="1" t="str">
        <f>WorldCupMatches!S213</f>
        <v>Belgium</v>
      </c>
      <c r="F213" s="1" t="str">
        <f>WorldCupMatches!T213</f>
        <v xml:space="preserve"> </v>
      </c>
      <c r="G213" s="1" t="str">
        <f>WorldCupMatches!U213</f>
        <v>Group stages</v>
      </c>
      <c r="J213" s="1">
        <f>COUNTIF($L$2:L213,L213)</f>
        <v>11</v>
      </c>
      <c r="K213" s="1">
        <f>Table3[[#This Row],[Year]]</f>
        <v>1970</v>
      </c>
      <c r="L213" s="1" t="str">
        <f>Table3[[#This Row],[Hometeam]]</f>
        <v>Soviet Union</v>
      </c>
      <c r="M213" s="1" t="str">
        <f>IF(J213=1,J213+ROWS($J$2:J213)/10000,"")</f>
        <v/>
      </c>
      <c r="N213" s="1" t="str">
        <f>IFERROR(SMALL($M$2:$M$1705,ROWS($M$2:M213)),"")</f>
        <v/>
      </c>
      <c r="O213" s="1" t="str">
        <f>IF(N213&lt;&gt;"",INDEX($L$2:$L$1705,MATCH(N213,$M$2:$M$1705,0)),"")</f>
        <v/>
      </c>
      <c r="P213" s="1" t="str">
        <f>IF(O213&lt;&gt;"",ROWS($O$2:O213),"")</f>
        <v/>
      </c>
    </row>
    <row r="214" spans="1:16" x14ac:dyDescent="0.2">
      <c r="A214" s="1">
        <f>WorldCupMatches!O214</f>
        <v>1970</v>
      </c>
      <c r="B214" s="1" t="str">
        <f>WorldCupMatches!P214</f>
        <v>Sweden</v>
      </c>
      <c r="C214" s="1">
        <f>WorldCupMatches!Q214</f>
        <v>1</v>
      </c>
      <c r="D214" s="1">
        <f>WorldCupMatches!R214</f>
        <v>1</v>
      </c>
      <c r="E214" s="1" t="str">
        <f>WorldCupMatches!S214</f>
        <v>Israel</v>
      </c>
      <c r="F214" s="1" t="str">
        <f>WorldCupMatches!T214</f>
        <v xml:space="preserve"> </v>
      </c>
      <c r="G214" s="1" t="str">
        <f>WorldCupMatches!U214</f>
        <v>Group stages</v>
      </c>
      <c r="J214" s="1">
        <f>COUNTIF($L$2:L214,L214)</f>
        <v>11</v>
      </c>
      <c r="K214" s="1">
        <f>Table3[[#This Row],[Year]]</f>
        <v>1970</v>
      </c>
      <c r="L214" s="1" t="str">
        <f>Table3[[#This Row],[Hometeam]]</f>
        <v>Sweden</v>
      </c>
      <c r="M214" s="1" t="str">
        <f>IF(J214=1,J214+ROWS($J$2:J214)/10000,"")</f>
        <v/>
      </c>
      <c r="N214" s="1" t="str">
        <f>IFERROR(SMALL($M$2:$M$1705,ROWS($M$2:M214)),"")</f>
        <v/>
      </c>
      <c r="O214" s="1" t="str">
        <f>IF(N214&lt;&gt;"",INDEX($L$2:$L$1705,MATCH(N214,$M$2:$M$1705,0)),"")</f>
        <v/>
      </c>
      <c r="P214" s="1" t="str">
        <f>IF(O214&lt;&gt;"",ROWS($O$2:O214),"")</f>
        <v/>
      </c>
    </row>
    <row r="215" spans="1:16" x14ac:dyDescent="0.2">
      <c r="A215" s="1">
        <f>WorldCupMatches!O215</f>
        <v>1970</v>
      </c>
      <c r="B215" s="1" t="str">
        <f>WorldCupMatches!P215</f>
        <v>Germany FR</v>
      </c>
      <c r="C215" s="1">
        <f>WorldCupMatches!Q215</f>
        <v>5</v>
      </c>
      <c r="D215" s="1">
        <f>WorldCupMatches!R215</f>
        <v>2</v>
      </c>
      <c r="E215" s="1" t="str">
        <f>WorldCupMatches!S215</f>
        <v>Bulgaria</v>
      </c>
      <c r="F215" s="1" t="str">
        <f>WorldCupMatches!T215</f>
        <v xml:space="preserve"> </v>
      </c>
      <c r="G215" s="1" t="str">
        <f>WorldCupMatches!U215</f>
        <v>Group stages</v>
      </c>
      <c r="J215" s="1">
        <f>COUNTIF($L$2:L215,L215)</f>
        <v>18</v>
      </c>
      <c r="K215" s="1">
        <f>Table3[[#This Row],[Year]]</f>
        <v>1970</v>
      </c>
      <c r="L215" s="1" t="str">
        <f>Table3[[#This Row],[Hometeam]]</f>
        <v>Germany FR</v>
      </c>
      <c r="M215" s="1" t="str">
        <f>IF(J215=1,J215+ROWS($J$2:J215)/10000,"")</f>
        <v/>
      </c>
      <c r="N215" s="1" t="str">
        <f>IFERROR(SMALL($M$2:$M$1705,ROWS($M$2:M215)),"")</f>
        <v/>
      </c>
      <c r="O215" s="1" t="str">
        <f>IF(N215&lt;&gt;"",INDEX($L$2:$L$1705,MATCH(N215,$M$2:$M$1705,0)),"")</f>
        <v/>
      </c>
      <c r="P215" s="1" t="str">
        <f>IF(O215&lt;&gt;"",ROWS($O$2:O215),"")</f>
        <v/>
      </c>
    </row>
    <row r="216" spans="1:16" x14ac:dyDescent="0.2">
      <c r="A216" s="1">
        <f>WorldCupMatches!O216</f>
        <v>1970</v>
      </c>
      <c r="B216" s="1" t="str">
        <f>WorldCupMatches!P216</f>
        <v>Brazil</v>
      </c>
      <c r="C216" s="1">
        <f>WorldCupMatches!Q216</f>
        <v>1</v>
      </c>
      <c r="D216" s="1">
        <f>WorldCupMatches!R216</f>
        <v>0</v>
      </c>
      <c r="E216" s="1" t="str">
        <f>WorldCupMatches!S216</f>
        <v>England</v>
      </c>
      <c r="F216" s="1" t="str">
        <f>WorldCupMatches!T216</f>
        <v xml:space="preserve"> </v>
      </c>
      <c r="G216" s="1" t="str">
        <f>WorldCupMatches!U216</f>
        <v>Group stages</v>
      </c>
      <c r="J216" s="1">
        <f>COUNTIF($L$2:L216,L216)</f>
        <v>27</v>
      </c>
      <c r="K216" s="1">
        <f>Table3[[#This Row],[Year]]</f>
        <v>1970</v>
      </c>
      <c r="L216" s="1" t="str">
        <f>Table3[[#This Row],[Hometeam]]</f>
        <v>Brazil</v>
      </c>
      <c r="M216" s="1" t="str">
        <f>IF(J216=1,J216+ROWS($J$2:J216)/10000,"")</f>
        <v/>
      </c>
      <c r="N216" s="1" t="str">
        <f>IFERROR(SMALL($M$2:$M$1705,ROWS($M$2:M216)),"")</f>
        <v/>
      </c>
      <c r="O216" s="1" t="str">
        <f>IF(N216&lt;&gt;"",INDEX($L$2:$L$1705,MATCH(N216,$M$2:$M$1705,0)),"")</f>
        <v/>
      </c>
      <c r="P216" s="1" t="str">
        <f>IF(O216&lt;&gt;"",ROWS($O$2:O216),"")</f>
        <v/>
      </c>
    </row>
    <row r="217" spans="1:16" x14ac:dyDescent="0.2">
      <c r="A217" s="1">
        <f>WorldCupMatches!O217</f>
        <v>1970</v>
      </c>
      <c r="B217" s="1" t="str">
        <f>WorldCupMatches!P217</f>
        <v>Mexico</v>
      </c>
      <c r="C217" s="1">
        <f>WorldCupMatches!Q217</f>
        <v>4</v>
      </c>
      <c r="D217" s="1">
        <f>WorldCupMatches!R217</f>
        <v>0</v>
      </c>
      <c r="E217" s="1" t="str">
        <f>WorldCupMatches!S217</f>
        <v>El Salvador</v>
      </c>
      <c r="F217" s="1" t="str">
        <f>WorldCupMatches!T217</f>
        <v xml:space="preserve"> </v>
      </c>
      <c r="G217" s="1" t="str">
        <f>WorldCupMatches!U217</f>
        <v>Group stages</v>
      </c>
      <c r="J217" s="1">
        <f>COUNTIF($L$2:L217,L217)</f>
        <v>4</v>
      </c>
      <c r="K217" s="1">
        <f>Table3[[#This Row],[Year]]</f>
        <v>1970</v>
      </c>
      <c r="L217" s="1" t="str">
        <f>Table3[[#This Row],[Hometeam]]</f>
        <v>Mexico</v>
      </c>
      <c r="M217" s="1" t="str">
        <f>IF(J217=1,J217+ROWS($J$2:J217)/10000,"")</f>
        <v/>
      </c>
      <c r="N217" s="1" t="str">
        <f>IFERROR(SMALL($M$2:$M$1705,ROWS($M$2:M217)),"")</f>
        <v/>
      </c>
      <c r="O217" s="1" t="str">
        <f>IF(N217&lt;&gt;"",INDEX($L$2:$L$1705,MATCH(N217,$M$2:$M$1705,0)),"")</f>
        <v/>
      </c>
      <c r="P217" s="1" t="str">
        <f>IF(O217&lt;&gt;"",ROWS($O$2:O217),"")</f>
        <v/>
      </c>
    </row>
    <row r="218" spans="1:16" x14ac:dyDescent="0.2">
      <c r="A218" s="1">
        <f>WorldCupMatches!O218</f>
        <v>1970</v>
      </c>
      <c r="B218" s="1" t="str">
        <f>WorldCupMatches!P218</f>
        <v>Sweden</v>
      </c>
      <c r="C218" s="1">
        <f>WorldCupMatches!Q218</f>
        <v>1</v>
      </c>
      <c r="D218" s="1">
        <f>WorldCupMatches!R218</f>
        <v>0</v>
      </c>
      <c r="E218" s="1" t="str">
        <f>WorldCupMatches!S218</f>
        <v>Uruguay</v>
      </c>
      <c r="F218" s="1" t="str">
        <f>WorldCupMatches!T218</f>
        <v xml:space="preserve"> </v>
      </c>
      <c r="G218" s="1" t="str">
        <f>WorldCupMatches!U218</f>
        <v>Group stages</v>
      </c>
      <c r="J218" s="1">
        <f>COUNTIF($L$2:L218,L218)</f>
        <v>12</v>
      </c>
      <c r="K218" s="1">
        <f>Table3[[#This Row],[Year]]</f>
        <v>1970</v>
      </c>
      <c r="L218" s="1" t="str">
        <f>Table3[[#This Row],[Hometeam]]</f>
        <v>Sweden</v>
      </c>
      <c r="M218" s="1" t="str">
        <f>IF(J218=1,J218+ROWS($J$2:J218)/10000,"")</f>
        <v/>
      </c>
      <c r="N218" s="1" t="str">
        <f>IFERROR(SMALL($M$2:$M$1705,ROWS($M$2:M218)),"")</f>
        <v/>
      </c>
      <c r="O218" s="1" t="str">
        <f>IF(N218&lt;&gt;"",INDEX($L$2:$L$1705,MATCH(N218,$M$2:$M$1705,0)),"")</f>
        <v/>
      </c>
      <c r="P218" s="1" t="str">
        <f>IF(O218&lt;&gt;"",ROWS($O$2:O218),"")</f>
        <v/>
      </c>
    </row>
    <row r="219" spans="1:16" x14ac:dyDescent="0.2">
      <c r="A219" s="1">
        <f>WorldCupMatches!O219</f>
        <v>1970</v>
      </c>
      <c r="B219" s="1" t="str">
        <f>WorldCupMatches!P219</f>
        <v>Germany FR</v>
      </c>
      <c r="C219" s="1">
        <f>WorldCupMatches!Q219</f>
        <v>3</v>
      </c>
      <c r="D219" s="1">
        <f>WorldCupMatches!R219</f>
        <v>1</v>
      </c>
      <c r="E219" s="1" t="str">
        <f>WorldCupMatches!S219</f>
        <v>Peru</v>
      </c>
      <c r="F219" s="1" t="str">
        <f>WorldCupMatches!T219</f>
        <v xml:space="preserve"> </v>
      </c>
      <c r="G219" s="1" t="str">
        <f>WorldCupMatches!U219</f>
        <v>Group stages</v>
      </c>
      <c r="J219" s="1">
        <f>COUNTIF($L$2:L219,L219)</f>
        <v>19</v>
      </c>
      <c r="K219" s="1">
        <f>Table3[[#This Row],[Year]]</f>
        <v>1970</v>
      </c>
      <c r="L219" s="1" t="str">
        <f>Table3[[#This Row],[Hometeam]]</f>
        <v>Germany FR</v>
      </c>
      <c r="M219" s="1" t="str">
        <f>IF(J219=1,J219+ROWS($J$2:J219)/10000,"")</f>
        <v/>
      </c>
      <c r="N219" s="1" t="str">
        <f>IFERROR(SMALL($M$2:$M$1705,ROWS($M$2:M219)),"")</f>
        <v/>
      </c>
      <c r="O219" s="1" t="str">
        <f>IF(N219&lt;&gt;"",INDEX($L$2:$L$1705,MATCH(N219,$M$2:$M$1705,0)),"")</f>
        <v/>
      </c>
      <c r="P219" s="1" t="str">
        <f>IF(O219&lt;&gt;"",ROWS($O$2:O219),"")</f>
        <v/>
      </c>
    </row>
    <row r="220" spans="1:16" x14ac:dyDescent="0.2">
      <c r="A220" s="1">
        <f>WorldCupMatches!O220</f>
        <v>1970</v>
      </c>
      <c r="B220" s="1" t="str">
        <f>WorldCupMatches!P220</f>
        <v>Brazil</v>
      </c>
      <c r="C220" s="1">
        <f>WorldCupMatches!Q220</f>
        <v>3</v>
      </c>
      <c r="D220" s="1">
        <f>WorldCupMatches!R220</f>
        <v>2</v>
      </c>
      <c r="E220" s="1" t="str">
        <f>WorldCupMatches!S220</f>
        <v>Romania</v>
      </c>
      <c r="F220" s="1" t="str">
        <f>WorldCupMatches!T220</f>
        <v xml:space="preserve"> </v>
      </c>
      <c r="G220" s="1" t="str">
        <f>WorldCupMatches!U220</f>
        <v>Group stages</v>
      </c>
      <c r="J220" s="1">
        <f>COUNTIF($L$2:L220,L220)</f>
        <v>28</v>
      </c>
      <c r="K220" s="1">
        <f>Table3[[#This Row],[Year]]</f>
        <v>1970</v>
      </c>
      <c r="L220" s="1" t="str">
        <f>Table3[[#This Row],[Hometeam]]</f>
        <v>Brazil</v>
      </c>
      <c r="M220" s="1" t="str">
        <f>IF(J220=1,J220+ROWS($J$2:J220)/10000,"")</f>
        <v/>
      </c>
      <c r="N220" s="1" t="str">
        <f>IFERROR(SMALL($M$2:$M$1705,ROWS($M$2:M220)),"")</f>
        <v/>
      </c>
      <c r="O220" s="1" t="str">
        <f>IF(N220&lt;&gt;"",INDEX($L$2:$L$1705,MATCH(N220,$M$2:$M$1705,0)),"")</f>
        <v/>
      </c>
      <c r="P220" s="1" t="str">
        <f>IF(O220&lt;&gt;"",ROWS($O$2:O220),"")</f>
        <v/>
      </c>
    </row>
    <row r="221" spans="1:16" x14ac:dyDescent="0.2">
      <c r="A221" s="1">
        <f>WorldCupMatches!O221</f>
        <v>1970</v>
      </c>
      <c r="B221" s="1" t="str">
        <f>WorldCupMatches!P221</f>
        <v>Soviet Union</v>
      </c>
      <c r="C221" s="1">
        <f>WorldCupMatches!Q221</f>
        <v>2</v>
      </c>
      <c r="D221" s="1">
        <f>WorldCupMatches!R221</f>
        <v>0</v>
      </c>
      <c r="E221" s="1" t="str">
        <f>WorldCupMatches!S221</f>
        <v>El Salvador</v>
      </c>
      <c r="F221" s="1" t="str">
        <f>WorldCupMatches!T221</f>
        <v xml:space="preserve"> </v>
      </c>
      <c r="G221" s="1" t="str">
        <f>WorldCupMatches!U221</f>
        <v>Group stages</v>
      </c>
      <c r="J221" s="1">
        <f>COUNTIF($L$2:L221,L221)</f>
        <v>12</v>
      </c>
      <c r="K221" s="1">
        <f>Table3[[#This Row],[Year]]</f>
        <v>1970</v>
      </c>
      <c r="L221" s="1" t="str">
        <f>Table3[[#This Row],[Hometeam]]</f>
        <v>Soviet Union</v>
      </c>
      <c r="M221" s="1" t="str">
        <f>IF(J221=1,J221+ROWS($J$2:J221)/10000,"")</f>
        <v/>
      </c>
      <c r="N221" s="1" t="str">
        <f>IFERROR(SMALL($M$2:$M$1705,ROWS($M$2:M221)),"")</f>
        <v/>
      </c>
      <c r="O221" s="1" t="str">
        <f>IF(N221&lt;&gt;"",INDEX($L$2:$L$1705,MATCH(N221,$M$2:$M$1705,0)),"")</f>
        <v/>
      </c>
      <c r="P221" s="1" t="str">
        <f>IF(O221&lt;&gt;"",ROWS($O$2:O221),"")</f>
        <v/>
      </c>
    </row>
    <row r="222" spans="1:16" x14ac:dyDescent="0.2">
      <c r="A222" s="1">
        <f>WorldCupMatches!O222</f>
        <v>1970</v>
      </c>
      <c r="B222" s="1" t="str">
        <f>WorldCupMatches!P222</f>
        <v>Italy</v>
      </c>
      <c r="C222" s="1">
        <f>WorldCupMatches!Q222</f>
        <v>0</v>
      </c>
      <c r="D222" s="1">
        <f>WorldCupMatches!R222</f>
        <v>0</v>
      </c>
      <c r="E222" s="1" t="str">
        <f>WorldCupMatches!S222</f>
        <v>Israel</v>
      </c>
      <c r="F222" s="1" t="str">
        <f>WorldCupMatches!T222</f>
        <v xml:space="preserve"> </v>
      </c>
      <c r="G222" s="1" t="str">
        <f>WorldCupMatches!U222</f>
        <v>Group stages</v>
      </c>
      <c r="J222" s="1">
        <f>COUNTIF($L$2:L222,L222)</f>
        <v>15</v>
      </c>
      <c r="K222" s="1">
        <f>Table3[[#This Row],[Year]]</f>
        <v>1970</v>
      </c>
      <c r="L222" s="1" t="str">
        <f>Table3[[#This Row],[Hometeam]]</f>
        <v>Italy</v>
      </c>
      <c r="M222" s="1" t="str">
        <f>IF(J222=1,J222+ROWS($J$2:J222)/10000,"")</f>
        <v/>
      </c>
      <c r="N222" s="1" t="str">
        <f>IFERROR(SMALL($M$2:$M$1705,ROWS($M$2:M222)),"")</f>
        <v/>
      </c>
      <c r="O222" s="1" t="str">
        <f>IF(N222&lt;&gt;"",INDEX($L$2:$L$1705,MATCH(N222,$M$2:$M$1705,0)),"")</f>
        <v/>
      </c>
      <c r="P222" s="1" t="str">
        <f>IF(O222&lt;&gt;"",ROWS($O$2:O222),"")</f>
        <v/>
      </c>
    </row>
    <row r="223" spans="1:16" x14ac:dyDescent="0.2">
      <c r="A223" s="1">
        <f>WorldCupMatches!O223</f>
        <v>1970</v>
      </c>
      <c r="B223" s="1" t="str">
        <f>WorldCupMatches!P223</f>
        <v>Bulgaria</v>
      </c>
      <c r="C223" s="1">
        <f>WorldCupMatches!Q223</f>
        <v>1</v>
      </c>
      <c r="D223" s="1">
        <f>WorldCupMatches!R223</f>
        <v>1</v>
      </c>
      <c r="E223" s="1" t="str">
        <f>WorldCupMatches!S223</f>
        <v>Morocco</v>
      </c>
      <c r="F223" s="1" t="str">
        <f>WorldCupMatches!T223</f>
        <v xml:space="preserve"> </v>
      </c>
      <c r="G223" s="1" t="str">
        <f>WorldCupMatches!U223</f>
        <v>Group stages</v>
      </c>
      <c r="J223" s="1">
        <f>COUNTIF($L$2:L223,L223)</f>
        <v>1</v>
      </c>
      <c r="K223" s="1">
        <f>Table3[[#This Row],[Year]]</f>
        <v>1970</v>
      </c>
      <c r="L223" s="1" t="str">
        <f>Table3[[#This Row],[Hometeam]]</f>
        <v>Bulgaria</v>
      </c>
      <c r="M223" s="1">
        <f>IF(J223=1,J223+ROWS($J$2:J223)/10000,"")</f>
        <v>1.0222</v>
      </c>
      <c r="N223" s="1" t="str">
        <f>IFERROR(SMALL($M$2:$M$1705,ROWS($M$2:M223)),"")</f>
        <v/>
      </c>
      <c r="O223" s="1" t="str">
        <f>IF(N223&lt;&gt;"",INDEX($L$2:$L$1705,MATCH(N223,$M$2:$M$1705,0)),"")</f>
        <v/>
      </c>
      <c r="P223" s="1" t="str">
        <f>IF(O223&lt;&gt;"",ROWS($O$2:O223),"")</f>
        <v/>
      </c>
    </row>
    <row r="224" spans="1:16" x14ac:dyDescent="0.2">
      <c r="A224" s="1">
        <f>WorldCupMatches!O224</f>
        <v>1970</v>
      </c>
      <c r="B224" s="1" t="str">
        <f>WorldCupMatches!P224</f>
        <v>England</v>
      </c>
      <c r="C224" s="1">
        <f>WorldCupMatches!Q224</f>
        <v>1</v>
      </c>
      <c r="D224" s="1">
        <f>WorldCupMatches!R224</f>
        <v>0</v>
      </c>
      <c r="E224" s="1" t="str">
        <f>WorldCupMatches!S224</f>
        <v>Czechoslovakia</v>
      </c>
      <c r="F224" s="1" t="str">
        <f>WorldCupMatches!T224</f>
        <v xml:space="preserve"> </v>
      </c>
      <c r="G224" s="1" t="str">
        <f>WorldCupMatches!U224</f>
        <v>Group stages</v>
      </c>
      <c r="J224" s="1">
        <f>COUNTIF($L$2:L224,L224)</f>
        <v>14</v>
      </c>
      <c r="K224" s="1">
        <f>Table3[[#This Row],[Year]]</f>
        <v>1970</v>
      </c>
      <c r="L224" s="1" t="str">
        <f>Table3[[#This Row],[Hometeam]]</f>
        <v>England</v>
      </c>
      <c r="M224" s="1" t="str">
        <f>IF(J224=1,J224+ROWS($J$2:J224)/10000,"")</f>
        <v/>
      </c>
      <c r="N224" s="1" t="str">
        <f>IFERROR(SMALL($M$2:$M$1705,ROWS($M$2:M224)),"")</f>
        <v/>
      </c>
      <c r="O224" s="1" t="str">
        <f>IF(N224&lt;&gt;"",INDEX($L$2:$L$1705,MATCH(N224,$M$2:$M$1705,0)),"")</f>
        <v/>
      </c>
      <c r="P224" s="1" t="str">
        <f>IF(O224&lt;&gt;"",ROWS($O$2:O224),"")</f>
        <v/>
      </c>
    </row>
    <row r="225" spans="1:16" x14ac:dyDescent="0.2">
      <c r="A225" s="1">
        <f>WorldCupMatches!O225</f>
        <v>1970</v>
      </c>
      <c r="B225" s="1" t="str">
        <f>WorldCupMatches!P225</f>
        <v>Mexico</v>
      </c>
      <c r="C225" s="1">
        <f>WorldCupMatches!Q225</f>
        <v>1</v>
      </c>
      <c r="D225" s="1">
        <f>WorldCupMatches!R225</f>
        <v>0</v>
      </c>
      <c r="E225" s="1" t="str">
        <f>WorldCupMatches!S225</f>
        <v>Belgium</v>
      </c>
      <c r="F225" s="1" t="str">
        <f>WorldCupMatches!T225</f>
        <v xml:space="preserve"> </v>
      </c>
      <c r="G225" s="1" t="str">
        <f>WorldCupMatches!U225</f>
        <v>Group stages</v>
      </c>
      <c r="J225" s="1">
        <f>COUNTIF($L$2:L225,L225)</f>
        <v>5</v>
      </c>
      <c r="K225" s="1">
        <f>Table3[[#This Row],[Year]]</f>
        <v>1970</v>
      </c>
      <c r="L225" s="1" t="str">
        <f>Table3[[#This Row],[Hometeam]]</f>
        <v>Mexico</v>
      </c>
      <c r="M225" s="1" t="str">
        <f>IF(J225=1,J225+ROWS($J$2:J225)/10000,"")</f>
        <v/>
      </c>
      <c r="N225" s="1" t="str">
        <f>IFERROR(SMALL($M$2:$M$1705,ROWS($M$2:M225)),"")</f>
        <v/>
      </c>
      <c r="O225" s="1" t="str">
        <f>IF(N225&lt;&gt;"",INDEX($L$2:$L$1705,MATCH(N225,$M$2:$M$1705,0)),"")</f>
        <v/>
      </c>
      <c r="P225" s="1" t="str">
        <f>IF(O225&lt;&gt;"",ROWS($O$2:O225),"")</f>
        <v/>
      </c>
    </row>
    <row r="226" spans="1:16" x14ac:dyDescent="0.2">
      <c r="A226" s="1">
        <f>WorldCupMatches!O226</f>
        <v>1970</v>
      </c>
      <c r="B226" s="1" t="str">
        <f>WorldCupMatches!P226</f>
        <v>Italy</v>
      </c>
      <c r="C226" s="1">
        <f>WorldCupMatches!Q226</f>
        <v>4</v>
      </c>
      <c r="D226" s="1">
        <f>WorldCupMatches!R226</f>
        <v>1</v>
      </c>
      <c r="E226" s="1" t="str">
        <f>WorldCupMatches!S226</f>
        <v>Mexico</v>
      </c>
      <c r="F226" s="1" t="str">
        <f>WorldCupMatches!T226</f>
        <v xml:space="preserve"> </v>
      </c>
      <c r="G226" s="1" t="str">
        <f>WorldCupMatches!U226</f>
        <v>Quarter-finals</v>
      </c>
      <c r="J226" s="1">
        <f>COUNTIF($L$2:L226,L226)</f>
        <v>16</v>
      </c>
      <c r="K226" s="1">
        <f>Table3[[#This Row],[Year]]</f>
        <v>1970</v>
      </c>
      <c r="L226" s="1" t="str">
        <f>Table3[[#This Row],[Hometeam]]</f>
        <v>Italy</v>
      </c>
      <c r="M226" s="1" t="str">
        <f>IF(J226=1,J226+ROWS($J$2:J226)/10000,"")</f>
        <v/>
      </c>
      <c r="N226" s="1" t="str">
        <f>IFERROR(SMALL($M$2:$M$1705,ROWS($M$2:M226)),"")</f>
        <v/>
      </c>
      <c r="O226" s="1" t="str">
        <f>IF(N226&lt;&gt;"",INDEX($L$2:$L$1705,MATCH(N226,$M$2:$M$1705,0)),"")</f>
        <v/>
      </c>
      <c r="P226" s="1" t="str">
        <f>IF(O226&lt;&gt;"",ROWS($O$2:O226),"")</f>
        <v/>
      </c>
    </row>
    <row r="227" spans="1:16" x14ac:dyDescent="0.2">
      <c r="A227" s="1">
        <f>WorldCupMatches!O227</f>
        <v>1970</v>
      </c>
      <c r="B227" s="1" t="str">
        <f>WorldCupMatches!P227</f>
        <v>Germany FR</v>
      </c>
      <c r="C227" s="1">
        <f>WorldCupMatches!Q227</f>
        <v>3</v>
      </c>
      <c r="D227" s="1">
        <f>WorldCupMatches!R227</f>
        <v>2</v>
      </c>
      <c r="E227" s="1" t="str">
        <f>WorldCupMatches!S227</f>
        <v>England</v>
      </c>
      <c r="F227" s="1" t="str">
        <f>WorldCupMatches!T227</f>
        <v xml:space="preserve">Germany FR win after extra time </v>
      </c>
      <c r="G227" s="1" t="str">
        <f>WorldCupMatches!U227</f>
        <v>Quarter-finals</v>
      </c>
      <c r="J227" s="1">
        <f>COUNTIF($L$2:L227,L227)</f>
        <v>20</v>
      </c>
      <c r="K227" s="1">
        <f>Table3[[#This Row],[Year]]</f>
        <v>1970</v>
      </c>
      <c r="L227" s="1" t="str">
        <f>Table3[[#This Row],[Hometeam]]</f>
        <v>Germany FR</v>
      </c>
      <c r="M227" s="1" t="str">
        <f>IF(J227=1,J227+ROWS($J$2:J227)/10000,"")</f>
        <v/>
      </c>
      <c r="N227" s="1" t="str">
        <f>IFERROR(SMALL($M$2:$M$1705,ROWS($M$2:M227)),"")</f>
        <v/>
      </c>
      <c r="O227" s="1" t="str">
        <f>IF(N227&lt;&gt;"",INDEX($L$2:$L$1705,MATCH(N227,$M$2:$M$1705,0)),"")</f>
        <v/>
      </c>
      <c r="P227" s="1" t="str">
        <f>IF(O227&lt;&gt;"",ROWS($O$2:O227),"")</f>
        <v/>
      </c>
    </row>
    <row r="228" spans="1:16" x14ac:dyDescent="0.2">
      <c r="A228" s="1">
        <f>WorldCupMatches!O228</f>
        <v>1970</v>
      </c>
      <c r="B228" s="1" t="str">
        <f>WorldCupMatches!P228</f>
        <v>Brazil</v>
      </c>
      <c r="C228" s="1">
        <f>WorldCupMatches!Q228</f>
        <v>4</v>
      </c>
      <c r="D228" s="1">
        <f>WorldCupMatches!R228</f>
        <v>2</v>
      </c>
      <c r="E228" s="1" t="str">
        <f>WorldCupMatches!S228</f>
        <v>Peru</v>
      </c>
      <c r="F228" s="1" t="str">
        <f>WorldCupMatches!T228</f>
        <v xml:space="preserve"> </v>
      </c>
      <c r="G228" s="1" t="str">
        <f>WorldCupMatches!U228</f>
        <v>Quarter-finals</v>
      </c>
      <c r="J228" s="1">
        <f>COUNTIF($L$2:L228,L228)</f>
        <v>29</v>
      </c>
      <c r="K228" s="1">
        <f>Table3[[#This Row],[Year]]</f>
        <v>1970</v>
      </c>
      <c r="L228" s="1" t="str">
        <f>Table3[[#This Row],[Hometeam]]</f>
        <v>Brazil</v>
      </c>
      <c r="M228" s="1" t="str">
        <f>IF(J228=1,J228+ROWS($J$2:J228)/10000,"")</f>
        <v/>
      </c>
      <c r="N228" s="1" t="str">
        <f>IFERROR(SMALL($M$2:$M$1705,ROWS($M$2:M228)),"")</f>
        <v/>
      </c>
      <c r="O228" s="1" t="str">
        <f>IF(N228&lt;&gt;"",INDEX($L$2:$L$1705,MATCH(N228,$M$2:$M$1705,0)),"")</f>
        <v/>
      </c>
      <c r="P228" s="1" t="str">
        <f>IF(O228&lt;&gt;"",ROWS($O$2:O228),"")</f>
        <v/>
      </c>
    </row>
    <row r="229" spans="1:16" x14ac:dyDescent="0.2">
      <c r="A229" s="1">
        <f>WorldCupMatches!O229</f>
        <v>1970</v>
      </c>
      <c r="B229" s="1" t="str">
        <f>WorldCupMatches!P229</f>
        <v>Uruguay</v>
      </c>
      <c r="C229" s="1">
        <f>WorldCupMatches!Q229</f>
        <v>1</v>
      </c>
      <c r="D229" s="1">
        <f>WorldCupMatches!R229</f>
        <v>0</v>
      </c>
      <c r="E229" s="1" t="str">
        <f>WorldCupMatches!S229</f>
        <v>Soviet Union</v>
      </c>
      <c r="F229" s="1" t="str">
        <f>WorldCupMatches!T229</f>
        <v xml:space="preserve">Uruguay win after extra time </v>
      </c>
      <c r="G229" s="1" t="str">
        <f>WorldCupMatches!U229</f>
        <v>Quarter-finals</v>
      </c>
      <c r="J229" s="1">
        <f>COUNTIF($L$2:L229,L229)</f>
        <v>17</v>
      </c>
      <c r="K229" s="1">
        <f>Table3[[#This Row],[Year]]</f>
        <v>1970</v>
      </c>
      <c r="L229" s="1" t="str">
        <f>Table3[[#This Row],[Hometeam]]</f>
        <v>Uruguay</v>
      </c>
      <c r="M229" s="1" t="str">
        <f>IF(J229=1,J229+ROWS($J$2:J229)/10000,"")</f>
        <v/>
      </c>
      <c r="N229" s="1" t="str">
        <f>IFERROR(SMALL($M$2:$M$1705,ROWS($M$2:M229)),"")</f>
        <v/>
      </c>
      <c r="O229" s="1" t="str">
        <f>IF(N229&lt;&gt;"",INDEX($L$2:$L$1705,MATCH(N229,$M$2:$M$1705,0)),"")</f>
        <v/>
      </c>
      <c r="P229" s="1" t="str">
        <f>IF(O229&lt;&gt;"",ROWS($O$2:O229),"")</f>
        <v/>
      </c>
    </row>
    <row r="230" spans="1:16" x14ac:dyDescent="0.2">
      <c r="A230" s="1">
        <f>WorldCupMatches!O230</f>
        <v>1970</v>
      </c>
      <c r="B230" s="1" t="str">
        <f>WorldCupMatches!P230</f>
        <v>Brazil</v>
      </c>
      <c r="C230" s="1">
        <f>WorldCupMatches!Q230</f>
        <v>3</v>
      </c>
      <c r="D230" s="1">
        <f>WorldCupMatches!R230</f>
        <v>1</v>
      </c>
      <c r="E230" s="1" t="str">
        <f>WorldCupMatches!S230</f>
        <v>Uruguay</v>
      </c>
      <c r="F230" s="1" t="str">
        <f>WorldCupMatches!T230</f>
        <v xml:space="preserve"> </v>
      </c>
      <c r="G230" s="1" t="str">
        <f>WorldCupMatches!U230</f>
        <v>Semi-finals</v>
      </c>
      <c r="J230" s="1">
        <f>COUNTIF($L$2:L230,L230)</f>
        <v>30</v>
      </c>
      <c r="K230" s="1">
        <f>Table3[[#This Row],[Year]]</f>
        <v>1970</v>
      </c>
      <c r="L230" s="1" t="str">
        <f>Table3[[#This Row],[Hometeam]]</f>
        <v>Brazil</v>
      </c>
      <c r="M230" s="1" t="str">
        <f>IF(J230=1,J230+ROWS($J$2:J230)/10000,"")</f>
        <v/>
      </c>
      <c r="N230" s="1" t="str">
        <f>IFERROR(SMALL($M$2:$M$1705,ROWS($M$2:M230)),"")</f>
        <v/>
      </c>
      <c r="O230" s="1" t="str">
        <f>IF(N230&lt;&gt;"",INDEX($L$2:$L$1705,MATCH(N230,$M$2:$M$1705,0)),"")</f>
        <v/>
      </c>
      <c r="P230" s="1" t="str">
        <f>IF(O230&lt;&gt;"",ROWS($O$2:O230),"")</f>
        <v/>
      </c>
    </row>
    <row r="231" spans="1:16" x14ac:dyDescent="0.2">
      <c r="A231" s="1">
        <f>WorldCupMatches!O231</f>
        <v>1970</v>
      </c>
      <c r="B231" s="1" t="str">
        <f>WorldCupMatches!P231</f>
        <v>Italy</v>
      </c>
      <c r="C231" s="1">
        <f>WorldCupMatches!Q231</f>
        <v>4</v>
      </c>
      <c r="D231" s="1">
        <f>WorldCupMatches!R231</f>
        <v>3</v>
      </c>
      <c r="E231" s="1" t="str">
        <f>WorldCupMatches!S231</f>
        <v>Germany FR</v>
      </c>
      <c r="F231" s="1" t="str">
        <f>WorldCupMatches!T231</f>
        <v xml:space="preserve">Italy win after extra time </v>
      </c>
      <c r="G231" s="1" t="str">
        <f>WorldCupMatches!U231</f>
        <v>Semi-finals</v>
      </c>
      <c r="J231" s="1">
        <f>COUNTIF($L$2:L231,L231)</f>
        <v>17</v>
      </c>
      <c r="K231" s="1">
        <f>Table3[[#This Row],[Year]]</f>
        <v>1970</v>
      </c>
      <c r="L231" s="1" t="str">
        <f>Table3[[#This Row],[Hometeam]]</f>
        <v>Italy</v>
      </c>
      <c r="M231" s="1" t="str">
        <f>IF(J231=1,J231+ROWS($J$2:J231)/10000,"")</f>
        <v/>
      </c>
      <c r="N231" s="1" t="str">
        <f>IFERROR(SMALL($M$2:$M$1705,ROWS($M$2:M231)),"")</f>
        <v/>
      </c>
      <c r="O231" s="1" t="str">
        <f>IF(N231&lt;&gt;"",INDEX($L$2:$L$1705,MATCH(N231,$M$2:$M$1705,0)),"")</f>
        <v/>
      </c>
      <c r="P231" s="1" t="str">
        <f>IF(O231&lt;&gt;"",ROWS($O$2:O231),"")</f>
        <v/>
      </c>
    </row>
    <row r="232" spans="1:16" x14ac:dyDescent="0.2">
      <c r="A232" s="1">
        <f>WorldCupMatches!O232</f>
        <v>1970</v>
      </c>
      <c r="B232" s="1" t="str">
        <f>WorldCupMatches!P232</f>
        <v>Germany FR</v>
      </c>
      <c r="C232" s="1">
        <f>WorldCupMatches!Q232</f>
        <v>1</v>
      </c>
      <c r="D232" s="1">
        <f>WorldCupMatches!R232</f>
        <v>0</v>
      </c>
      <c r="E232" s="1" t="str">
        <f>WorldCupMatches!S232</f>
        <v>Uruguay</v>
      </c>
      <c r="F232" s="1" t="str">
        <f>WorldCupMatches!T232</f>
        <v xml:space="preserve"> </v>
      </c>
      <c r="G232" s="1" t="str">
        <f>WorldCupMatches!U232</f>
        <v>Match for third place</v>
      </c>
      <c r="J232" s="1">
        <f>COUNTIF($L$2:L232,L232)</f>
        <v>21</v>
      </c>
      <c r="K232" s="1">
        <f>Table3[[#This Row],[Year]]</f>
        <v>1970</v>
      </c>
      <c r="L232" s="1" t="str">
        <f>Table3[[#This Row],[Hometeam]]</f>
        <v>Germany FR</v>
      </c>
      <c r="M232" s="1" t="str">
        <f>IF(J232=1,J232+ROWS($J$2:J232)/10000,"")</f>
        <v/>
      </c>
      <c r="N232" s="1" t="str">
        <f>IFERROR(SMALL($M$2:$M$1705,ROWS($M$2:M232)),"")</f>
        <v/>
      </c>
      <c r="O232" s="1" t="str">
        <f>IF(N232&lt;&gt;"",INDEX($L$2:$L$1705,MATCH(N232,$M$2:$M$1705,0)),"")</f>
        <v/>
      </c>
      <c r="P232" s="1" t="str">
        <f>IF(O232&lt;&gt;"",ROWS($O$2:O232),"")</f>
        <v/>
      </c>
    </row>
    <row r="233" spans="1:16" x14ac:dyDescent="0.2">
      <c r="A233" s="1">
        <f>WorldCupMatches!O233</f>
        <v>1970</v>
      </c>
      <c r="B233" s="1" t="str">
        <f>WorldCupMatches!P233</f>
        <v>Brazil</v>
      </c>
      <c r="C233" s="1">
        <f>WorldCupMatches!Q233</f>
        <v>4</v>
      </c>
      <c r="D233" s="1">
        <f>WorldCupMatches!R233</f>
        <v>1</v>
      </c>
      <c r="E233" s="1" t="str">
        <f>WorldCupMatches!S233</f>
        <v>Italy</v>
      </c>
      <c r="F233" s="1" t="str">
        <f>WorldCupMatches!T233</f>
        <v xml:space="preserve"> </v>
      </c>
      <c r="G233" s="1" t="str">
        <f>WorldCupMatches!U233</f>
        <v>Final</v>
      </c>
      <c r="J233" s="1">
        <f>COUNTIF($L$2:L233,L233)</f>
        <v>31</v>
      </c>
      <c r="K233" s="1">
        <f>Table3[[#This Row],[Year]]</f>
        <v>1970</v>
      </c>
      <c r="L233" s="1" t="str">
        <f>Table3[[#This Row],[Hometeam]]</f>
        <v>Brazil</v>
      </c>
      <c r="M233" s="1" t="str">
        <f>IF(J233=1,J233+ROWS($J$2:J233)/10000,"")</f>
        <v/>
      </c>
      <c r="N233" s="1" t="str">
        <f>IFERROR(SMALL($M$2:$M$1705,ROWS($M$2:M233)),"")</f>
        <v/>
      </c>
      <c r="O233" s="1" t="str">
        <f>IF(N233&lt;&gt;"",INDEX($L$2:$L$1705,MATCH(N233,$M$2:$M$1705,0)),"")</f>
        <v/>
      </c>
      <c r="P233" s="1" t="str">
        <f>IF(O233&lt;&gt;"",ROWS($O$2:O233),"")</f>
        <v/>
      </c>
    </row>
    <row r="234" spans="1:16" x14ac:dyDescent="0.2">
      <c r="A234" s="1">
        <f>WorldCupMatches!O234</f>
        <v>1974</v>
      </c>
      <c r="B234" s="1" t="str">
        <f>WorldCupMatches!P234</f>
        <v>Brazil</v>
      </c>
      <c r="C234" s="1">
        <f>WorldCupMatches!Q234</f>
        <v>0</v>
      </c>
      <c r="D234" s="1">
        <f>WorldCupMatches!R234</f>
        <v>0</v>
      </c>
      <c r="E234" s="1" t="str">
        <f>WorldCupMatches!S234</f>
        <v>Yugoslavia</v>
      </c>
      <c r="F234" s="1" t="str">
        <f>WorldCupMatches!T234</f>
        <v xml:space="preserve"> </v>
      </c>
      <c r="G234" s="1" t="str">
        <f>WorldCupMatches!U234</f>
        <v>Group stages</v>
      </c>
      <c r="J234" s="1">
        <f>COUNTIF($L$2:L234,L234)</f>
        <v>32</v>
      </c>
      <c r="K234" s="1">
        <f>Table3[[#This Row],[Year]]</f>
        <v>1974</v>
      </c>
      <c r="L234" s="1" t="str">
        <f>Table3[[#This Row],[Hometeam]]</f>
        <v>Brazil</v>
      </c>
      <c r="M234" s="1" t="str">
        <f>IF(J234=1,J234+ROWS($J$2:J234)/10000,"")</f>
        <v/>
      </c>
      <c r="N234" s="1" t="str">
        <f>IFERROR(SMALL($M$2:$M$1705,ROWS($M$2:M234)),"")</f>
        <v/>
      </c>
      <c r="O234" s="1" t="str">
        <f>IF(N234&lt;&gt;"",INDEX($L$2:$L$1705,MATCH(N234,$M$2:$M$1705,0)),"")</f>
        <v/>
      </c>
      <c r="P234" s="1" t="str">
        <f>IF(O234&lt;&gt;"",ROWS($O$2:O234),"")</f>
        <v/>
      </c>
    </row>
    <row r="235" spans="1:16" x14ac:dyDescent="0.2">
      <c r="A235" s="1">
        <f>WorldCupMatches!O235</f>
        <v>1974</v>
      </c>
      <c r="B235" s="1" t="str">
        <f>WorldCupMatches!P235</f>
        <v>Germany FR</v>
      </c>
      <c r="C235" s="1">
        <f>WorldCupMatches!Q235</f>
        <v>1</v>
      </c>
      <c r="D235" s="1">
        <f>WorldCupMatches!R235</f>
        <v>0</v>
      </c>
      <c r="E235" s="1" t="str">
        <f>WorldCupMatches!S235</f>
        <v>Chile</v>
      </c>
      <c r="F235" s="1" t="str">
        <f>WorldCupMatches!T235</f>
        <v xml:space="preserve"> </v>
      </c>
      <c r="G235" s="1" t="str">
        <f>WorldCupMatches!U235</f>
        <v>Group stages</v>
      </c>
      <c r="J235" s="1">
        <f>COUNTIF($L$2:L235,L235)</f>
        <v>22</v>
      </c>
      <c r="K235" s="1">
        <f>Table3[[#This Row],[Year]]</f>
        <v>1974</v>
      </c>
      <c r="L235" s="1" t="str">
        <f>Table3[[#This Row],[Hometeam]]</f>
        <v>Germany FR</v>
      </c>
      <c r="M235" s="1" t="str">
        <f>IF(J235=1,J235+ROWS($J$2:J235)/10000,"")</f>
        <v/>
      </c>
      <c r="N235" s="1" t="str">
        <f>IFERROR(SMALL($M$2:$M$1705,ROWS($M$2:M235)),"")</f>
        <v/>
      </c>
      <c r="O235" s="1" t="str">
        <f>IF(N235&lt;&gt;"",INDEX($L$2:$L$1705,MATCH(N235,$M$2:$M$1705,0)),"")</f>
        <v/>
      </c>
      <c r="P235" s="1" t="str">
        <f>IF(O235&lt;&gt;"",ROWS($O$2:O235),"")</f>
        <v/>
      </c>
    </row>
    <row r="236" spans="1:16" x14ac:dyDescent="0.2">
      <c r="A236" s="1">
        <f>WorldCupMatches!O236</f>
        <v>1974</v>
      </c>
      <c r="B236" s="1" t="str">
        <f>WorldCupMatches!P236</f>
        <v>German DR</v>
      </c>
      <c r="C236" s="1">
        <f>WorldCupMatches!Q236</f>
        <v>2</v>
      </c>
      <c r="D236" s="1">
        <f>WorldCupMatches!R236</f>
        <v>0</v>
      </c>
      <c r="E236" s="1" t="str">
        <f>WorldCupMatches!S236</f>
        <v>Australia</v>
      </c>
      <c r="F236" s="1" t="str">
        <f>WorldCupMatches!T236</f>
        <v xml:space="preserve"> </v>
      </c>
      <c r="G236" s="1" t="str">
        <f>WorldCupMatches!U236</f>
        <v>Group stages</v>
      </c>
      <c r="J236" s="1">
        <f>COUNTIF($L$2:L236,L236)</f>
        <v>1</v>
      </c>
      <c r="K236" s="1">
        <f>Table3[[#This Row],[Year]]</f>
        <v>1974</v>
      </c>
      <c r="L236" s="1" t="str">
        <f>Table3[[#This Row],[Hometeam]]</f>
        <v>German DR</v>
      </c>
      <c r="M236" s="1">
        <f>IF(J236=1,J236+ROWS($J$2:J236)/10000,"")</f>
        <v>1.0235000000000001</v>
      </c>
      <c r="N236" s="1" t="str">
        <f>IFERROR(SMALL($M$2:$M$1705,ROWS($M$2:M236)),"")</f>
        <v/>
      </c>
      <c r="O236" s="1" t="str">
        <f>IF(N236&lt;&gt;"",INDEX($L$2:$L$1705,MATCH(N236,$M$2:$M$1705,0)),"")</f>
        <v/>
      </c>
      <c r="P236" s="1" t="str">
        <f>IF(O236&lt;&gt;"",ROWS($O$2:O236),"")</f>
        <v/>
      </c>
    </row>
    <row r="237" spans="1:16" x14ac:dyDescent="0.2">
      <c r="A237" s="1">
        <f>WorldCupMatches!O237</f>
        <v>1974</v>
      </c>
      <c r="B237" s="1" t="str">
        <f>WorldCupMatches!P237</f>
        <v>Zaire</v>
      </c>
      <c r="C237" s="1">
        <f>WorldCupMatches!Q237</f>
        <v>0</v>
      </c>
      <c r="D237" s="1">
        <f>WorldCupMatches!R237</f>
        <v>2</v>
      </c>
      <c r="E237" s="1" t="str">
        <f>WorldCupMatches!S237</f>
        <v>Scotland</v>
      </c>
      <c r="F237" s="1" t="str">
        <f>WorldCupMatches!T237</f>
        <v xml:space="preserve"> </v>
      </c>
      <c r="G237" s="1" t="str">
        <f>WorldCupMatches!U237</f>
        <v>Group stages</v>
      </c>
      <c r="J237" s="1">
        <f>COUNTIF($L$2:L237,L237)</f>
        <v>1</v>
      </c>
      <c r="K237" s="1">
        <f>Table3[[#This Row],[Year]]</f>
        <v>1974</v>
      </c>
      <c r="L237" s="1" t="str">
        <f>Table3[[#This Row],[Hometeam]]</f>
        <v>Zaire</v>
      </c>
      <c r="M237" s="1">
        <f>IF(J237=1,J237+ROWS($J$2:J237)/10000,"")</f>
        <v>1.0236000000000001</v>
      </c>
      <c r="N237" s="1" t="str">
        <f>IFERROR(SMALL($M$2:$M$1705,ROWS($M$2:M237)),"")</f>
        <v/>
      </c>
      <c r="O237" s="1" t="str">
        <f>IF(N237&lt;&gt;"",INDEX($L$2:$L$1705,MATCH(N237,$M$2:$M$1705,0)),"")</f>
        <v/>
      </c>
      <c r="P237" s="1" t="str">
        <f>IF(O237&lt;&gt;"",ROWS($O$2:O237),"")</f>
        <v/>
      </c>
    </row>
    <row r="238" spans="1:16" x14ac:dyDescent="0.2">
      <c r="A238" s="1">
        <f>WorldCupMatches!O238</f>
        <v>1974</v>
      </c>
      <c r="B238" s="1" t="str">
        <f>WorldCupMatches!P238</f>
        <v>Uruguay</v>
      </c>
      <c r="C238" s="1">
        <f>WorldCupMatches!Q238</f>
        <v>0</v>
      </c>
      <c r="D238" s="1">
        <f>WorldCupMatches!R238</f>
        <v>2</v>
      </c>
      <c r="E238" s="1" t="str">
        <f>WorldCupMatches!S238</f>
        <v>Netherlands</v>
      </c>
      <c r="F238" s="1" t="str">
        <f>WorldCupMatches!T238</f>
        <v xml:space="preserve"> </v>
      </c>
      <c r="G238" s="1" t="str">
        <f>WorldCupMatches!U238</f>
        <v>Group stages</v>
      </c>
      <c r="J238" s="1">
        <f>COUNTIF($L$2:L238,L238)</f>
        <v>18</v>
      </c>
      <c r="K238" s="1">
        <f>Table3[[#This Row],[Year]]</f>
        <v>1974</v>
      </c>
      <c r="L238" s="1" t="str">
        <f>Table3[[#This Row],[Hometeam]]</f>
        <v>Uruguay</v>
      </c>
      <c r="M238" s="1" t="str">
        <f>IF(J238=1,J238+ROWS($J$2:J238)/10000,"")</f>
        <v/>
      </c>
      <c r="N238" s="1" t="str">
        <f>IFERROR(SMALL($M$2:$M$1705,ROWS($M$2:M238)),"")</f>
        <v/>
      </c>
      <c r="O238" s="1" t="str">
        <f>IF(N238&lt;&gt;"",INDEX($L$2:$L$1705,MATCH(N238,$M$2:$M$1705,0)),"")</f>
        <v/>
      </c>
      <c r="P238" s="1" t="str">
        <f>IF(O238&lt;&gt;"",ROWS($O$2:O238),"")</f>
        <v/>
      </c>
    </row>
    <row r="239" spans="1:16" x14ac:dyDescent="0.2">
      <c r="A239" s="1">
        <f>WorldCupMatches!O239</f>
        <v>1974</v>
      </c>
      <c r="B239" s="1" t="str">
        <f>WorldCupMatches!P239</f>
        <v>Sweden</v>
      </c>
      <c r="C239" s="1">
        <f>WorldCupMatches!Q239</f>
        <v>0</v>
      </c>
      <c r="D239" s="1">
        <f>WorldCupMatches!R239</f>
        <v>0</v>
      </c>
      <c r="E239" s="1" t="str">
        <f>WorldCupMatches!S239</f>
        <v>Bulgaria</v>
      </c>
      <c r="F239" s="1" t="str">
        <f>WorldCupMatches!T239</f>
        <v xml:space="preserve"> </v>
      </c>
      <c r="G239" s="1" t="str">
        <f>WorldCupMatches!U239</f>
        <v>Group stages</v>
      </c>
      <c r="J239" s="1">
        <f>COUNTIF($L$2:L239,L239)</f>
        <v>13</v>
      </c>
      <c r="K239" s="1">
        <f>Table3[[#This Row],[Year]]</f>
        <v>1974</v>
      </c>
      <c r="L239" s="1" t="str">
        <f>Table3[[#This Row],[Hometeam]]</f>
        <v>Sweden</v>
      </c>
      <c r="M239" s="1" t="str">
        <f>IF(J239=1,J239+ROWS($J$2:J239)/10000,"")</f>
        <v/>
      </c>
      <c r="N239" s="1" t="str">
        <f>IFERROR(SMALL($M$2:$M$1705,ROWS($M$2:M239)),"")</f>
        <v/>
      </c>
      <c r="O239" s="1" t="str">
        <f>IF(N239&lt;&gt;"",INDEX($L$2:$L$1705,MATCH(N239,$M$2:$M$1705,0)),"")</f>
        <v/>
      </c>
      <c r="P239" s="1" t="str">
        <f>IF(O239&lt;&gt;"",ROWS($O$2:O239),"")</f>
        <v/>
      </c>
    </row>
    <row r="240" spans="1:16" x14ac:dyDescent="0.2">
      <c r="A240" s="1">
        <f>WorldCupMatches!O240</f>
        <v>1974</v>
      </c>
      <c r="B240" s="1" t="str">
        <f>WorldCupMatches!P240</f>
        <v>Italy</v>
      </c>
      <c r="C240" s="1">
        <f>WorldCupMatches!Q240</f>
        <v>3</v>
      </c>
      <c r="D240" s="1">
        <f>WorldCupMatches!R240</f>
        <v>1</v>
      </c>
      <c r="E240" s="1" t="str">
        <f>WorldCupMatches!S240</f>
        <v>Haiti</v>
      </c>
      <c r="F240" s="1" t="str">
        <f>WorldCupMatches!T240</f>
        <v xml:space="preserve"> </v>
      </c>
      <c r="G240" s="1" t="str">
        <f>WorldCupMatches!U240</f>
        <v>Group stages</v>
      </c>
      <c r="J240" s="1">
        <f>COUNTIF($L$2:L240,L240)</f>
        <v>18</v>
      </c>
      <c r="K240" s="1">
        <f>Table3[[#This Row],[Year]]</f>
        <v>1974</v>
      </c>
      <c r="L240" s="1" t="str">
        <f>Table3[[#This Row],[Hometeam]]</f>
        <v>Italy</v>
      </c>
      <c r="M240" s="1" t="str">
        <f>IF(J240=1,J240+ROWS($J$2:J240)/10000,"")</f>
        <v/>
      </c>
      <c r="N240" s="1" t="str">
        <f>IFERROR(SMALL($M$2:$M$1705,ROWS($M$2:M240)),"")</f>
        <v/>
      </c>
      <c r="O240" s="1" t="str">
        <f>IF(N240&lt;&gt;"",INDEX($L$2:$L$1705,MATCH(N240,$M$2:$M$1705,0)),"")</f>
        <v/>
      </c>
      <c r="P240" s="1" t="str">
        <f>IF(O240&lt;&gt;"",ROWS($O$2:O240),"")</f>
        <v/>
      </c>
    </row>
    <row r="241" spans="1:16" x14ac:dyDescent="0.2">
      <c r="A241" s="1">
        <f>WorldCupMatches!O241</f>
        <v>1974</v>
      </c>
      <c r="B241" s="1" t="str">
        <f>WorldCupMatches!P241</f>
        <v>Poland</v>
      </c>
      <c r="C241" s="1">
        <f>WorldCupMatches!Q241</f>
        <v>3</v>
      </c>
      <c r="D241" s="1">
        <f>WorldCupMatches!R241</f>
        <v>2</v>
      </c>
      <c r="E241" s="1" t="str">
        <f>WorldCupMatches!S241</f>
        <v>Argentina</v>
      </c>
      <c r="F241" s="1" t="str">
        <f>WorldCupMatches!T241</f>
        <v xml:space="preserve"> </v>
      </c>
      <c r="G241" s="1" t="str">
        <f>WorldCupMatches!U241</f>
        <v>Group stages</v>
      </c>
      <c r="J241" s="1">
        <f>COUNTIF($L$2:L241,L241)</f>
        <v>1</v>
      </c>
      <c r="K241" s="1">
        <f>Table3[[#This Row],[Year]]</f>
        <v>1974</v>
      </c>
      <c r="L241" s="1" t="str">
        <f>Table3[[#This Row],[Hometeam]]</f>
        <v>Poland</v>
      </c>
      <c r="M241" s="1">
        <f>IF(J241=1,J241+ROWS($J$2:J241)/10000,"")</f>
        <v>1.024</v>
      </c>
      <c r="N241" s="1" t="str">
        <f>IFERROR(SMALL($M$2:$M$1705,ROWS($M$2:M241)),"")</f>
        <v/>
      </c>
      <c r="O241" s="1" t="str">
        <f>IF(N241&lt;&gt;"",INDEX($L$2:$L$1705,MATCH(N241,$M$2:$M$1705,0)),"")</f>
        <v/>
      </c>
      <c r="P241" s="1" t="str">
        <f>IF(O241&lt;&gt;"",ROWS($O$2:O241),"")</f>
        <v/>
      </c>
    </row>
    <row r="242" spans="1:16" x14ac:dyDescent="0.2">
      <c r="A242" s="1">
        <f>WorldCupMatches!O242</f>
        <v>1974</v>
      </c>
      <c r="B242" s="1" t="str">
        <f>WorldCupMatches!P242</f>
        <v>Australia</v>
      </c>
      <c r="C242" s="1">
        <f>WorldCupMatches!Q242</f>
        <v>0</v>
      </c>
      <c r="D242" s="1">
        <f>WorldCupMatches!R242</f>
        <v>3</v>
      </c>
      <c r="E242" s="1" t="str">
        <f>WorldCupMatches!S242</f>
        <v>Germany FR</v>
      </c>
      <c r="F242" s="1" t="str">
        <f>WorldCupMatches!T242</f>
        <v xml:space="preserve"> </v>
      </c>
      <c r="G242" s="1" t="str">
        <f>WorldCupMatches!U242</f>
        <v>Group stages</v>
      </c>
      <c r="J242" s="1">
        <f>COUNTIF($L$2:L242,L242)</f>
        <v>1</v>
      </c>
      <c r="K242" s="1">
        <f>Table3[[#This Row],[Year]]</f>
        <v>1974</v>
      </c>
      <c r="L242" s="1" t="str">
        <f>Table3[[#This Row],[Hometeam]]</f>
        <v>Australia</v>
      </c>
      <c r="M242" s="1">
        <f>IF(J242=1,J242+ROWS($J$2:J242)/10000,"")</f>
        <v>1.0241</v>
      </c>
      <c r="N242" s="1" t="str">
        <f>IFERROR(SMALL($M$2:$M$1705,ROWS($M$2:M242)),"")</f>
        <v/>
      </c>
      <c r="O242" s="1" t="str">
        <f>IF(N242&lt;&gt;"",INDEX($L$2:$L$1705,MATCH(N242,$M$2:$M$1705,0)),"")</f>
        <v/>
      </c>
      <c r="P242" s="1" t="str">
        <f>IF(O242&lt;&gt;"",ROWS($O$2:O242),"")</f>
        <v/>
      </c>
    </row>
    <row r="243" spans="1:16" x14ac:dyDescent="0.2">
      <c r="A243" s="1">
        <f>WorldCupMatches!O243</f>
        <v>1974</v>
      </c>
      <c r="B243" s="1" t="str">
        <f>WorldCupMatches!P243</f>
        <v>Scotland</v>
      </c>
      <c r="C243" s="1">
        <f>WorldCupMatches!Q243</f>
        <v>0</v>
      </c>
      <c r="D243" s="1">
        <f>WorldCupMatches!R243</f>
        <v>0</v>
      </c>
      <c r="E243" s="1" t="str">
        <f>WorldCupMatches!S243</f>
        <v>Brazil</v>
      </c>
      <c r="F243" s="1" t="str">
        <f>WorldCupMatches!T243</f>
        <v xml:space="preserve"> </v>
      </c>
      <c r="G243" s="1" t="str">
        <f>WorldCupMatches!U243</f>
        <v>Group stages</v>
      </c>
      <c r="J243" s="1">
        <f>COUNTIF($L$2:L243,L243)</f>
        <v>1</v>
      </c>
      <c r="K243" s="1">
        <f>Table3[[#This Row],[Year]]</f>
        <v>1974</v>
      </c>
      <c r="L243" s="1" t="str">
        <f>Table3[[#This Row],[Hometeam]]</f>
        <v>Scotland</v>
      </c>
      <c r="M243" s="1">
        <f>IF(J243=1,J243+ROWS($J$2:J243)/10000,"")</f>
        <v>1.0242</v>
      </c>
      <c r="N243" s="1" t="str">
        <f>IFERROR(SMALL($M$2:$M$1705,ROWS($M$2:M243)),"")</f>
        <v/>
      </c>
      <c r="O243" s="1" t="str">
        <f>IF(N243&lt;&gt;"",INDEX($L$2:$L$1705,MATCH(N243,$M$2:$M$1705,0)),"")</f>
        <v/>
      </c>
      <c r="P243" s="1" t="str">
        <f>IF(O243&lt;&gt;"",ROWS($O$2:O243),"")</f>
        <v/>
      </c>
    </row>
    <row r="244" spans="1:16" x14ac:dyDescent="0.2">
      <c r="A244" s="1">
        <f>WorldCupMatches!O244</f>
        <v>1974</v>
      </c>
      <c r="B244" s="1" t="str">
        <f>WorldCupMatches!P244</f>
        <v>Chile</v>
      </c>
      <c r="C244" s="1">
        <f>WorldCupMatches!Q244</f>
        <v>1</v>
      </c>
      <c r="D244" s="1">
        <f>WorldCupMatches!R244</f>
        <v>1</v>
      </c>
      <c r="E244" s="1" t="str">
        <f>WorldCupMatches!S244</f>
        <v>German DR</v>
      </c>
      <c r="F244" s="1" t="str">
        <f>WorldCupMatches!T244</f>
        <v xml:space="preserve"> </v>
      </c>
      <c r="G244" s="1" t="str">
        <f>WorldCupMatches!U244</f>
        <v>Group stages</v>
      </c>
      <c r="J244" s="1">
        <f>COUNTIF($L$2:L244,L244)</f>
        <v>8</v>
      </c>
      <c r="K244" s="1">
        <f>Table3[[#This Row],[Year]]</f>
        <v>1974</v>
      </c>
      <c r="L244" s="1" t="str">
        <f>Table3[[#This Row],[Hometeam]]</f>
        <v>Chile</v>
      </c>
      <c r="M244" s="1" t="str">
        <f>IF(J244=1,J244+ROWS($J$2:J244)/10000,"")</f>
        <v/>
      </c>
      <c r="N244" s="1" t="str">
        <f>IFERROR(SMALL($M$2:$M$1705,ROWS($M$2:M244)),"")</f>
        <v/>
      </c>
      <c r="O244" s="1" t="str">
        <f>IF(N244&lt;&gt;"",INDEX($L$2:$L$1705,MATCH(N244,$M$2:$M$1705,0)),"")</f>
        <v/>
      </c>
      <c r="P244" s="1" t="str">
        <f>IF(O244&lt;&gt;"",ROWS($O$2:O244),"")</f>
        <v/>
      </c>
    </row>
    <row r="245" spans="1:16" x14ac:dyDescent="0.2">
      <c r="A245" s="1">
        <f>WorldCupMatches!O245</f>
        <v>1974</v>
      </c>
      <c r="B245" s="1" t="str">
        <f>WorldCupMatches!P245</f>
        <v>Yugoslavia</v>
      </c>
      <c r="C245" s="1">
        <f>WorldCupMatches!Q245</f>
        <v>9</v>
      </c>
      <c r="D245" s="1">
        <f>WorldCupMatches!R245</f>
        <v>0</v>
      </c>
      <c r="E245" s="1" t="str">
        <f>WorldCupMatches!S245</f>
        <v>Zaire</v>
      </c>
      <c r="F245" s="1" t="str">
        <f>WorldCupMatches!T245</f>
        <v xml:space="preserve"> </v>
      </c>
      <c r="G245" s="1" t="str">
        <f>WorldCupMatches!U245</f>
        <v>Group stages</v>
      </c>
      <c r="J245" s="1">
        <f>COUNTIF($L$2:L245,L245)</f>
        <v>11</v>
      </c>
      <c r="K245" s="1">
        <f>Table3[[#This Row],[Year]]</f>
        <v>1974</v>
      </c>
      <c r="L245" s="1" t="str">
        <f>Table3[[#This Row],[Hometeam]]</f>
        <v>Yugoslavia</v>
      </c>
      <c r="M245" s="1" t="str">
        <f>IF(J245=1,J245+ROWS($J$2:J245)/10000,"")</f>
        <v/>
      </c>
      <c r="N245" s="1" t="str">
        <f>IFERROR(SMALL($M$2:$M$1705,ROWS($M$2:M245)),"")</f>
        <v/>
      </c>
      <c r="O245" s="1" t="str">
        <f>IF(N245&lt;&gt;"",INDEX($L$2:$L$1705,MATCH(N245,$M$2:$M$1705,0)),"")</f>
        <v/>
      </c>
      <c r="P245" s="1" t="str">
        <f>IF(O245&lt;&gt;"",ROWS($O$2:O245),"")</f>
        <v/>
      </c>
    </row>
    <row r="246" spans="1:16" x14ac:dyDescent="0.2">
      <c r="A246" s="1">
        <f>WorldCupMatches!O246</f>
        <v>1974</v>
      </c>
      <c r="B246" s="1" t="str">
        <f>WorldCupMatches!P246</f>
        <v>Netherlands</v>
      </c>
      <c r="C246" s="1">
        <f>WorldCupMatches!Q246</f>
        <v>0</v>
      </c>
      <c r="D246" s="1">
        <f>WorldCupMatches!R246</f>
        <v>0</v>
      </c>
      <c r="E246" s="1" t="str">
        <f>WorldCupMatches!S246</f>
        <v>Sweden</v>
      </c>
      <c r="F246" s="1" t="str">
        <f>WorldCupMatches!T246</f>
        <v xml:space="preserve"> </v>
      </c>
      <c r="G246" s="1" t="str">
        <f>WorldCupMatches!U246</f>
        <v>Group stages</v>
      </c>
      <c r="J246" s="1">
        <f>COUNTIF($L$2:L246,L246)</f>
        <v>1</v>
      </c>
      <c r="K246" s="1">
        <f>Table3[[#This Row],[Year]]</f>
        <v>1974</v>
      </c>
      <c r="L246" s="1" t="str">
        <f>Table3[[#This Row],[Hometeam]]</f>
        <v>Netherlands</v>
      </c>
      <c r="M246" s="1">
        <f>IF(J246=1,J246+ROWS($J$2:J246)/10000,"")</f>
        <v>1.0245</v>
      </c>
      <c r="N246" s="1" t="str">
        <f>IFERROR(SMALL($M$2:$M$1705,ROWS($M$2:M246)),"")</f>
        <v/>
      </c>
      <c r="O246" s="1" t="str">
        <f>IF(N246&lt;&gt;"",INDEX($L$2:$L$1705,MATCH(N246,$M$2:$M$1705,0)),"")</f>
        <v/>
      </c>
      <c r="P246" s="1" t="str">
        <f>IF(O246&lt;&gt;"",ROWS($O$2:O246),"")</f>
        <v/>
      </c>
    </row>
    <row r="247" spans="1:16" x14ac:dyDescent="0.2">
      <c r="A247" s="1">
        <f>WorldCupMatches!O247</f>
        <v>1974</v>
      </c>
      <c r="B247" s="1" t="str">
        <f>WorldCupMatches!P247</f>
        <v>Bulgaria</v>
      </c>
      <c r="C247" s="1">
        <f>WorldCupMatches!Q247</f>
        <v>1</v>
      </c>
      <c r="D247" s="1">
        <f>WorldCupMatches!R247</f>
        <v>1</v>
      </c>
      <c r="E247" s="1" t="str">
        <f>WorldCupMatches!S247</f>
        <v>Uruguay</v>
      </c>
      <c r="F247" s="1" t="str">
        <f>WorldCupMatches!T247</f>
        <v xml:space="preserve"> </v>
      </c>
      <c r="G247" s="1" t="str">
        <f>WorldCupMatches!U247</f>
        <v>Group stages</v>
      </c>
      <c r="J247" s="1">
        <f>COUNTIF($L$2:L247,L247)</f>
        <v>2</v>
      </c>
      <c r="K247" s="1">
        <f>Table3[[#This Row],[Year]]</f>
        <v>1974</v>
      </c>
      <c r="L247" s="1" t="str">
        <f>Table3[[#This Row],[Hometeam]]</f>
        <v>Bulgaria</v>
      </c>
      <c r="M247" s="1" t="str">
        <f>IF(J247=1,J247+ROWS($J$2:J247)/10000,"")</f>
        <v/>
      </c>
      <c r="N247" s="1" t="str">
        <f>IFERROR(SMALL($M$2:$M$1705,ROWS($M$2:M247)),"")</f>
        <v/>
      </c>
      <c r="O247" s="1" t="str">
        <f>IF(N247&lt;&gt;"",INDEX($L$2:$L$1705,MATCH(N247,$M$2:$M$1705,0)),"")</f>
        <v/>
      </c>
      <c r="P247" s="1" t="str">
        <f>IF(O247&lt;&gt;"",ROWS($O$2:O247),"")</f>
        <v/>
      </c>
    </row>
    <row r="248" spans="1:16" x14ac:dyDescent="0.2">
      <c r="A248" s="1">
        <f>WorldCupMatches!O248</f>
        <v>1974</v>
      </c>
      <c r="B248" s="1" t="str">
        <f>WorldCupMatches!P248</f>
        <v>Haiti</v>
      </c>
      <c r="C248" s="1">
        <f>WorldCupMatches!Q248</f>
        <v>0</v>
      </c>
      <c r="D248" s="1">
        <f>WorldCupMatches!R248</f>
        <v>7</v>
      </c>
      <c r="E248" s="1" t="str">
        <f>WorldCupMatches!S248</f>
        <v>Poland</v>
      </c>
      <c r="F248" s="1" t="str">
        <f>WorldCupMatches!T248</f>
        <v xml:space="preserve"> </v>
      </c>
      <c r="G248" s="1" t="str">
        <f>WorldCupMatches!U248</f>
        <v>Group stages</v>
      </c>
      <c r="J248" s="1">
        <f>COUNTIF($L$2:L248,L248)</f>
        <v>1</v>
      </c>
      <c r="K248" s="1">
        <f>Table3[[#This Row],[Year]]</f>
        <v>1974</v>
      </c>
      <c r="L248" s="1" t="str">
        <f>Table3[[#This Row],[Hometeam]]</f>
        <v>Haiti</v>
      </c>
      <c r="M248" s="1">
        <f>IF(J248=1,J248+ROWS($J$2:J248)/10000,"")</f>
        <v>1.0246999999999999</v>
      </c>
      <c r="N248" s="1" t="str">
        <f>IFERROR(SMALL($M$2:$M$1705,ROWS($M$2:M248)),"")</f>
        <v/>
      </c>
      <c r="O248" s="1" t="str">
        <f>IF(N248&lt;&gt;"",INDEX($L$2:$L$1705,MATCH(N248,$M$2:$M$1705,0)),"")</f>
        <v/>
      </c>
      <c r="P248" s="1" t="str">
        <f>IF(O248&lt;&gt;"",ROWS($O$2:O248),"")</f>
        <v/>
      </c>
    </row>
    <row r="249" spans="1:16" x14ac:dyDescent="0.2">
      <c r="A249" s="1">
        <f>WorldCupMatches!O249</f>
        <v>1974</v>
      </c>
      <c r="B249" s="1" t="str">
        <f>WorldCupMatches!P249</f>
        <v>Argentina</v>
      </c>
      <c r="C249" s="1">
        <f>WorldCupMatches!Q249</f>
        <v>1</v>
      </c>
      <c r="D249" s="1">
        <f>WorldCupMatches!R249</f>
        <v>1</v>
      </c>
      <c r="E249" s="1" t="str">
        <f>WorldCupMatches!S249</f>
        <v>Italy</v>
      </c>
      <c r="F249" s="1" t="str">
        <f>WorldCupMatches!T249</f>
        <v xml:space="preserve"> </v>
      </c>
      <c r="G249" s="1" t="str">
        <f>WorldCupMatches!U249</f>
        <v>Group stages</v>
      </c>
      <c r="J249" s="1">
        <f>COUNTIF($L$2:L249,L249)</f>
        <v>10</v>
      </c>
      <c r="K249" s="1">
        <f>Table3[[#This Row],[Year]]</f>
        <v>1974</v>
      </c>
      <c r="L249" s="1" t="str">
        <f>Table3[[#This Row],[Hometeam]]</f>
        <v>Argentina</v>
      </c>
      <c r="M249" s="1" t="str">
        <f>IF(J249=1,J249+ROWS($J$2:J249)/10000,"")</f>
        <v/>
      </c>
      <c r="N249" s="1" t="str">
        <f>IFERROR(SMALL($M$2:$M$1705,ROWS($M$2:M249)),"")</f>
        <v/>
      </c>
      <c r="O249" s="1" t="str">
        <f>IF(N249&lt;&gt;"",INDEX($L$2:$L$1705,MATCH(N249,$M$2:$M$1705,0)),"")</f>
        <v/>
      </c>
      <c r="P249" s="1" t="str">
        <f>IF(O249&lt;&gt;"",ROWS($O$2:O249),"")</f>
        <v/>
      </c>
    </row>
    <row r="250" spans="1:16" x14ac:dyDescent="0.2">
      <c r="A250" s="1">
        <f>WorldCupMatches!O250</f>
        <v>1974</v>
      </c>
      <c r="B250" s="1" t="str">
        <f>WorldCupMatches!P250</f>
        <v>Scotland</v>
      </c>
      <c r="C250" s="1">
        <f>WorldCupMatches!Q250</f>
        <v>1</v>
      </c>
      <c r="D250" s="1">
        <f>WorldCupMatches!R250</f>
        <v>1</v>
      </c>
      <c r="E250" s="1" t="str">
        <f>WorldCupMatches!S250</f>
        <v>Yugoslavia</v>
      </c>
      <c r="F250" s="1" t="str">
        <f>WorldCupMatches!T250</f>
        <v xml:space="preserve"> </v>
      </c>
      <c r="G250" s="1" t="str">
        <f>WorldCupMatches!U250</f>
        <v>Group stages</v>
      </c>
      <c r="J250" s="1">
        <f>COUNTIF($L$2:L250,L250)</f>
        <v>2</v>
      </c>
      <c r="K250" s="1">
        <f>Table3[[#This Row],[Year]]</f>
        <v>1974</v>
      </c>
      <c r="L250" s="1" t="str">
        <f>Table3[[#This Row],[Hometeam]]</f>
        <v>Scotland</v>
      </c>
      <c r="M250" s="1" t="str">
        <f>IF(J250=1,J250+ROWS($J$2:J250)/10000,"")</f>
        <v/>
      </c>
      <c r="N250" s="1" t="str">
        <f>IFERROR(SMALL($M$2:$M$1705,ROWS($M$2:M250)),"")</f>
        <v/>
      </c>
      <c r="O250" s="1" t="str">
        <f>IF(N250&lt;&gt;"",INDEX($L$2:$L$1705,MATCH(N250,$M$2:$M$1705,0)),"")</f>
        <v/>
      </c>
      <c r="P250" s="1" t="str">
        <f>IF(O250&lt;&gt;"",ROWS($O$2:O250),"")</f>
        <v/>
      </c>
    </row>
    <row r="251" spans="1:16" x14ac:dyDescent="0.2">
      <c r="A251" s="1">
        <f>WorldCupMatches!O251</f>
        <v>1974</v>
      </c>
      <c r="B251" s="1" t="str">
        <f>WorldCupMatches!P251</f>
        <v>Australia</v>
      </c>
      <c r="C251" s="1">
        <f>WorldCupMatches!Q251</f>
        <v>0</v>
      </c>
      <c r="D251" s="1">
        <f>WorldCupMatches!R251</f>
        <v>0</v>
      </c>
      <c r="E251" s="1" t="str">
        <f>WorldCupMatches!S251</f>
        <v>Chile</v>
      </c>
      <c r="F251" s="1" t="str">
        <f>WorldCupMatches!T251</f>
        <v xml:space="preserve"> </v>
      </c>
      <c r="G251" s="1" t="str">
        <f>WorldCupMatches!U251</f>
        <v>Group stages</v>
      </c>
      <c r="J251" s="1">
        <f>COUNTIF($L$2:L251,L251)</f>
        <v>2</v>
      </c>
      <c r="K251" s="1">
        <f>Table3[[#This Row],[Year]]</f>
        <v>1974</v>
      </c>
      <c r="L251" s="1" t="str">
        <f>Table3[[#This Row],[Hometeam]]</f>
        <v>Australia</v>
      </c>
      <c r="M251" s="1" t="str">
        <f>IF(J251=1,J251+ROWS($J$2:J251)/10000,"")</f>
        <v/>
      </c>
      <c r="N251" s="1" t="str">
        <f>IFERROR(SMALL($M$2:$M$1705,ROWS($M$2:M251)),"")</f>
        <v/>
      </c>
      <c r="O251" s="1" t="str">
        <f>IF(N251&lt;&gt;"",INDEX($L$2:$L$1705,MATCH(N251,$M$2:$M$1705,0)),"")</f>
        <v/>
      </c>
      <c r="P251" s="1" t="str">
        <f>IF(O251&lt;&gt;"",ROWS($O$2:O251),"")</f>
        <v/>
      </c>
    </row>
    <row r="252" spans="1:16" x14ac:dyDescent="0.2">
      <c r="A252" s="1">
        <f>WorldCupMatches!O252</f>
        <v>1974</v>
      </c>
      <c r="B252" s="1" t="str">
        <f>WorldCupMatches!P252</f>
        <v>Zaire</v>
      </c>
      <c r="C252" s="1">
        <f>WorldCupMatches!Q252</f>
        <v>0</v>
      </c>
      <c r="D252" s="1">
        <f>WorldCupMatches!R252</f>
        <v>3</v>
      </c>
      <c r="E252" s="1" t="str">
        <f>WorldCupMatches!S252</f>
        <v>Brazil</v>
      </c>
      <c r="F252" s="1" t="str">
        <f>WorldCupMatches!T252</f>
        <v xml:space="preserve"> </v>
      </c>
      <c r="G252" s="1" t="str">
        <f>WorldCupMatches!U252</f>
        <v>Group stages</v>
      </c>
      <c r="J252" s="1">
        <f>COUNTIF($L$2:L252,L252)</f>
        <v>2</v>
      </c>
      <c r="K252" s="1">
        <f>Table3[[#This Row],[Year]]</f>
        <v>1974</v>
      </c>
      <c r="L252" s="1" t="str">
        <f>Table3[[#This Row],[Hometeam]]</f>
        <v>Zaire</v>
      </c>
      <c r="M252" s="1" t="str">
        <f>IF(J252=1,J252+ROWS($J$2:J252)/10000,"")</f>
        <v/>
      </c>
      <c r="N252" s="1" t="str">
        <f>IFERROR(SMALL($M$2:$M$1705,ROWS($M$2:M252)),"")</f>
        <v/>
      </c>
      <c r="O252" s="1" t="str">
        <f>IF(N252&lt;&gt;"",INDEX($L$2:$L$1705,MATCH(N252,$M$2:$M$1705,0)),"")</f>
        <v/>
      </c>
      <c r="P252" s="1" t="str">
        <f>IF(O252&lt;&gt;"",ROWS($O$2:O252),"")</f>
        <v/>
      </c>
    </row>
    <row r="253" spans="1:16" x14ac:dyDescent="0.2">
      <c r="A253" s="1">
        <f>WorldCupMatches!O253</f>
        <v>1974</v>
      </c>
      <c r="B253" s="1" t="str">
        <f>WorldCupMatches!P253</f>
        <v>German DR</v>
      </c>
      <c r="C253" s="1">
        <f>WorldCupMatches!Q253</f>
        <v>1</v>
      </c>
      <c r="D253" s="1">
        <f>WorldCupMatches!R253</f>
        <v>0</v>
      </c>
      <c r="E253" s="1" t="str">
        <f>WorldCupMatches!S253</f>
        <v>Germany FR</v>
      </c>
      <c r="F253" s="1" t="str">
        <f>WorldCupMatches!T253</f>
        <v xml:space="preserve"> </v>
      </c>
      <c r="G253" s="1" t="str">
        <f>WorldCupMatches!U253</f>
        <v>Group stages</v>
      </c>
      <c r="J253" s="1">
        <f>COUNTIF($L$2:L253,L253)</f>
        <v>2</v>
      </c>
      <c r="K253" s="1">
        <f>Table3[[#This Row],[Year]]</f>
        <v>1974</v>
      </c>
      <c r="L253" s="1" t="str">
        <f>Table3[[#This Row],[Hometeam]]</f>
        <v>German DR</v>
      </c>
      <c r="M253" s="1" t="str">
        <f>IF(J253=1,J253+ROWS($J$2:J253)/10000,"")</f>
        <v/>
      </c>
      <c r="N253" s="1" t="str">
        <f>IFERROR(SMALL($M$2:$M$1705,ROWS($M$2:M253)),"")</f>
        <v/>
      </c>
      <c r="O253" s="1" t="str">
        <f>IF(N253&lt;&gt;"",INDEX($L$2:$L$1705,MATCH(N253,$M$2:$M$1705,0)),"")</f>
        <v/>
      </c>
      <c r="P253" s="1" t="str">
        <f>IF(O253&lt;&gt;"",ROWS($O$2:O253),"")</f>
        <v/>
      </c>
    </row>
    <row r="254" spans="1:16" x14ac:dyDescent="0.2">
      <c r="A254" s="1">
        <f>WorldCupMatches!O254</f>
        <v>1974</v>
      </c>
      <c r="B254" s="1" t="str">
        <f>WorldCupMatches!P254</f>
        <v>Bulgaria</v>
      </c>
      <c r="C254" s="1">
        <f>WorldCupMatches!Q254</f>
        <v>1</v>
      </c>
      <c r="D254" s="1">
        <f>WorldCupMatches!R254</f>
        <v>4</v>
      </c>
      <c r="E254" s="1" t="str">
        <f>WorldCupMatches!S254</f>
        <v>Netherlands</v>
      </c>
      <c r="F254" s="1" t="str">
        <f>WorldCupMatches!T254</f>
        <v xml:space="preserve"> </v>
      </c>
      <c r="G254" s="1" t="str">
        <f>WorldCupMatches!U254</f>
        <v>Group stages</v>
      </c>
      <c r="J254" s="1">
        <f>COUNTIF($L$2:L254,L254)</f>
        <v>3</v>
      </c>
      <c r="K254" s="1">
        <f>Table3[[#This Row],[Year]]</f>
        <v>1974</v>
      </c>
      <c r="L254" s="1" t="str">
        <f>Table3[[#This Row],[Hometeam]]</f>
        <v>Bulgaria</v>
      </c>
      <c r="M254" s="1" t="str">
        <f>IF(J254=1,J254+ROWS($J$2:J254)/10000,"")</f>
        <v/>
      </c>
      <c r="N254" s="1" t="str">
        <f>IFERROR(SMALL($M$2:$M$1705,ROWS($M$2:M254)),"")</f>
        <v/>
      </c>
      <c r="O254" s="1" t="str">
        <f>IF(N254&lt;&gt;"",INDEX($L$2:$L$1705,MATCH(N254,$M$2:$M$1705,0)),"")</f>
        <v/>
      </c>
      <c r="P254" s="1" t="str">
        <f>IF(O254&lt;&gt;"",ROWS($O$2:O254),"")</f>
        <v/>
      </c>
    </row>
    <row r="255" spans="1:16" x14ac:dyDescent="0.2">
      <c r="A255" s="1">
        <f>WorldCupMatches!O255</f>
        <v>1974</v>
      </c>
      <c r="B255" s="1" t="str">
        <f>WorldCupMatches!P255</f>
        <v>Argentina</v>
      </c>
      <c r="C255" s="1">
        <f>WorldCupMatches!Q255</f>
        <v>4</v>
      </c>
      <c r="D255" s="1">
        <f>WorldCupMatches!R255</f>
        <v>1</v>
      </c>
      <c r="E255" s="1" t="str">
        <f>WorldCupMatches!S255</f>
        <v>Haiti</v>
      </c>
      <c r="F255" s="1" t="str">
        <f>WorldCupMatches!T255</f>
        <v xml:space="preserve"> </v>
      </c>
      <c r="G255" s="1" t="str">
        <f>WorldCupMatches!U255</f>
        <v>Group stages</v>
      </c>
      <c r="J255" s="1">
        <f>COUNTIF($L$2:L255,L255)</f>
        <v>11</v>
      </c>
      <c r="K255" s="1">
        <f>Table3[[#This Row],[Year]]</f>
        <v>1974</v>
      </c>
      <c r="L255" s="1" t="str">
        <f>Table3[[#This Row],[Hometeam]]</f>
        <v>Argentina</v>
      </c>
      <c r="M255" s="1" t="str">
        <f>IF(J255=1,J255+ROWS($J$2:J255)/10000,"")</f>
        <v/>
      </c>
      <c r="N255" s="1" t="str">
        <f>IFERROR(SMALL($M$2:$M$1705,ROWS($M$2:M255)),"")</f>
        <v/>
      </c>
      <c r="O255" s="1" t="str">
        <f>IF(N255&lt;&gt;"",INDEX($L$2:$L$1705,MATCH(N255,$M$2:$M$1705,0)),"")</f>
        <v/>
      </c>
      <c r="P255" s="1" t="str">
        <f>IF(O255&lt;&gt;"",ROWS($O$2:O255),"")</f>
        <v/>
      </c>
    </row>
    <row r="256" spans="1:16" x14ac:dyDescent="0.2">
      <c r="A256" s="1">
        <f>WorldCupMatches!O256</f>
        <v>1974</v>
      </c>
      <c r="B256" s="1" t="str">
        <f>WorldCupMatches!P256</f>
        <v>Sweden</v>
      </c>
      <c r="C256" s="1">
        <f>WorldCupMatches!Q256</f>
        <v>3</v>
      </c>
      <c r="D256" s="1">
        <f>WorldCupMatches!R256</f>
        <v>0</v>
      </c>
      <c r="E256" s="1" t="str">
        <f>WorldCupMatches!S256</f>
        <v>Uruguay</v>
      </c>
      <c r="F256" s="1" t="str">
        <f>WorldCupMatches!T256</f>
        <v xml:space="preserve"> </v>
      </c>
      <c r="G256" s="1" t="str">
        <f>WorldCupMatches!U256</f>
        <v>Group stages</v>
      </c>
      <c r="J256" s="1">
        <f>COUNTIF($L$2:L256,L256)</f>
        <v>14</v>
      </c>
      <c r="K256" s="1">
        <f>Table3[[#This Row],[Year]]</f>
        <v>1974</v>
      </c>
      <c r="L256" s="1" t="str">
        <f>Table3[[#This Row],[Hometeam]]</f>
        <v>Sweden</v>
      </c>
      <c r="M256" s="1" t="str">
        <f>IF(J256=1,J256+ROWS($J$2:J256)/10000,"")</f>
        <v/>
      </c>
      <c r="N256" s="1" t="str">
        <f>IFERROR(SMALL($M$2:$M$1705,ROWS($M$2:M256)),"")</f>
        <v/>
      </c>
      <c r="O256" s="1" t="str">
        <f>IF(N256&lt;&gt;"",INDEX($L$2:$L$1705,MATCH(N256,$M$2:$M$1705,0)),"")</f>
        <v/>
      </c>
      <c r="P256" s="1" t="str">
        <f>IF(O256&lt;&gt;"",ROWS($O$2:O256),"")</f>
        <v/>
      </c>
    </row>
    <row r="257" spans="1:16" x14ac:dyDescent="0.2">
      <c r="A257" s="1">
        <f>WorldCupMatches!O257</f>
        <v>1974</v>
      </c>
      <c r="B257" s="1" t="str">
        <f>WorldCupMatches!P257</f>
        <v>Poland</v>
      </c>
      <c r="C257" s="1">
        <f>WorldCupMatches!Q257</f>
        <v>2</v>
      </c>
      <c r="D257" s="1">
        <f>WorldCupMatches!R257</f>
        <v>1</v>
      </c>
      <c r="E257" s="1" t="str">
        <f>WorldCupMatches!S257</f>
        <v>Italy</v>
      </c>
      <c r="F257" s="1" t="str">
        <f>WorldCupMatches!T257</f>
        <v xml:space="preserve"> </v>
      </c>
      <c r="G257" s="1" t="str">
        <f>WorldCupMatches!U257</f>
        <v>Group stages</v>
      </c>
      <c r="J257" s="1">
        <f>COUNTIF($L$2:L257,L257)</f>
        <v>2</v>
      </c>
      <c r="K257" s="1">
        <f>Table3[[#This Row],[Year]]</f>
        <v>1974</v>
      </c>
      <c r="L257" s="1" t="str">
        <f>Table3[[#This Row],[Hometeam]]</f>
        <v>Poland</v>
      </c>
      <c r="M257" s="1" t="str">
        <f>IF(J257=1,J257+ROWS($J$2:J257)/10000,"")</f>
        <v/>
      </c>
      <c r="N257" s="1" t="str">
        <f>IFERROR(SMALL($M$2:$M$1705,ROWS($M$2:M257)),"")</f>
        <v/>
      </c>
      <c r="O257" s="1" t="str">
        <f>IF(N257&lt;&gt;"",INDEX($L$2:$L$1705,MATCH(N257,$M$2:$M$1705,0)),"")</f>
        <v/>
      </c>
      <c r="P257" s="1" t="str">
        <f>IF(O257&lt;&gt;"",ROWS($O$2:O257),"")</f>
        <v/>
      </c>
    </row>
    <row r="258" spans="1:16" x14ac:dyDescent="0.2">
      <c r="A258" s="1">
        <f>WorldCupMatches!O258</f>
        <v>1974</v>
      </c>
      <c r="B258" s="1" t="str">
        <f>WorldCupMatches!P258</f>
        <v>Yugoslavia</v>
      </c>
      <c r="C258" s="1">
        <f>WorldCupMatches!Q258</f>
        <v>0</v>
      </c>
      <c r="D258" s="1">
        <f>WorldCupMatches!R258</f>
        <v>2</v>
      </c>
      <c r="E258" s="1" t="str">
        <f>WorldCupMatches!S258</f>
        <v>Germany FR</v>
      </c>
      <c r="F258" s="1" t="str">
        <f>WorldCupMatches!T258</f>
        <v xml:space="preserve"> </v>
      </c>
      <c r="G258" s="1" t="str">
        <f>WorldCupMatches!U258</f>
        <v>Group stages</v>
      </c>
      <c r="J258" s="1">
        <f>COUNTIF($L$2:L258,L258)</f>
        <v>12</v>
      </c>
      <c r="K258" s="1">
        <f>Table3[[#This Row],[Year]]</f>
        <v>1974</v>
      </c>
      <c r="L258" s="1" t="str">
        <f>Table3[[#This Row],[Hometeam]]</f>
        <v>Yugoslavia</v>
      </c>
      <c r="M258" s="1" t="str">
        <f>IF(J258=1,J258+ROWS($J$2:J258)/10000,"")</f>
        <v/>
      </c>
      <c r="N258" s="1" t="str">
        <f>IFERROR(SMALL($M$2:$M$1705,ROWS($M$2:M258)),"")</f>
        <v/>
      </c>
      <c r="O258" s="1" t="str">
        <f>IF(N258&lt;&gt;"",INDEX($L$2:$L$1705,MATCH(N258,$M$2:$M$1705,0)),"")</f>
        <v/>
      </c>
      <c r="P258" s="1" t="str">
        <f>IF(O258&lt;&gt;"",ROWS($O$2:O258),"")</f>
        <v/>
      </c>
    </row>
    <row r="259" spans="1:16" x14ac:dyDescent="0.2">
      <c r="A259" s="1">
        <f>WorldCupMatches!O259</f>
        <v>1974</v>
      </c>
      <c r="B259" s="1" t="str">
        <f>WorldCupMatches!P259</f>
        <v>Brazil</v>
      </c>
      <c r="C259" s="1">
        <f>WorldCupMatches!Q259</f>
        <v>1</v>
      </c>
      <c r="D259" s="1">
        <f>WorldCupMatches!R259</f>
        <v>0</v>
      </c>
      <c r="E259" s="1" t="str">
        <f>WorldCupMatches!S259</f>
        <v>German DR</v>
      </c>
      <c r="F259" s="1" t="str">
        <f>WorldCupMatches!T259</f>
        <v xml:space="preserve"> </v>
      </c>
      <c r="G259" s="1" t="str">
        <f>WorldCupMatches!U259</f>
        <v>Group stages</v>
      </c>
      <c r="J259" s="1">
        <f>COUNTIF($L$2:L259,L259)</f>
        <v>33</v>
      </c>
      <c r="K259" s="1">
        <f>Table3[[#This Row],[Year]]</f>
        <v>1974</v>
      </c>
      <c r="L259" s="1" t="str">
        <f>Table3[[#This Row],[Hometeam]]</f>
        <v>Brazil</v>
      </c>
      <c r="M259" s="1" t="str">
        <f>IF(J259=1,J259+ROWS($J$2:J259)/10000,"")</f>
        <v/>
      </c>
      <c r="N259" s="1" t="str">
        <f>IFERROR(SMALL($M$2:$M$1705,ROWS($M$2:M259)),"")</f>
        <v/>
      </c>
      <c r="O259" s="1" t="str">
        <f>IF(N259&lt;&gt;"",INDEX($L$2:$L$1705,MATCH(N259,$M$2:$M$1705,0)),"")</f>
        <v/>
      </c>
      <c r="P259" s="1" t="str">
        <f>IF(O259&lt;&gt;"",ROWS($O$2:O259),"")</f>
        <v/>
      </c>
    </row>
    <row r="260" spans="1:16" x14ac:dyDescent="0.2">
      <c r="A260" s="1">
        <f>WorldCupMatches!O260</f>
        <v>1974</v>
      </c>
      <c r="B260" s="1" t="str">
        <f>WorldCupMatches!P260</f>
        <v>Netherlands</v>
      </c>
      <c r="C260" s="1">
        <f>WorldCupMatches!Q260</f>
        <v>4</v>
      </c>
      <c r="D260" s="1">
        <f>WorldCupMatches!R260</f>
        <v>0</v>
      </c>
      <c r="E260" s="1" t="str">
        <f>WorldCupMatches!S260</f>
        <v>Argentina</v>
      </c>
      <c r="F260" s="1" t="str">
        <f>WorldCupMatches!T260</f>
        <v xml:space="preserve"> </v>
      </c>
      <c r="G260" s="1" t="str">
        <f>WorldCupMatches!U260</f>
        <v>Group stages</v>
      </c>
      <c r="J260" s="1">
        <f>COUNTIF($L$2:L260,L260)</f>
        <v>2</v>
      </c>
      <c r="K260" s="1">
        <f>Table3[[#This Row],[Year]]</f>
        <v>1974</v>
      </c>
      <c r="L260" s="1" t="str">
        <f>Table3[[#This Row],[Hometeam]]</f>
        <v>Netherlands</v>
      </c>
      <c r="M260" s="1" t="str">
        <f>IF(J260=1,J260+ROWS($J$2:J260)/10000,"")</f>
        <v/>
      </c>
      <c r="N260" s="1" t="str">
        <f>IFERROR(SMALL($M$2:$M$1705,ROWS($M$2:M260)),"")</f>
        <v/>
      </c>
      <c r="O260" s="1" t="str">
        <f>IF(N260&lt;&gt;"",INDEX($L$2:$L$1705,MATCH(N260,$M$2:$M$1705,0)),"")</f>
        <v/>
      </c>
      <c r="P260" s="1" t="str">
        <f>IF(O260&lt;&gt;"",ROWS($O$2:O260),"")</f>
        <v/>
      </c>
    </row>
    <row r="261" spans="1:16" x14ac:dyDescent="0.2">
      <c r="A261" s="1">
        <f>WorldCupMatches!O261</f>
        <v>1974</v>
      </c>
      <c r="B261" s="1" t="str">
        <f>WorldCupMatches!P261</f>
        <v>Sweden</v>
      </c>
      <c r="C261" s="1">
        <f>WorldCupMatches!Q261</f>
        <v>0</v>
      </c>
      <c r="D261" s="1">
        <f>WorldCupMatches!R261</f>
        <v>1</v>
      </c>
      <c r="E261" s="1" t="str">
        <f>WorldCupMatches!S261</f>
        <v>Poland</v>
      </c>
      <c r="F261" s="1" t="str">
        <f>WorldCupMatches!T261</f>
        <v xml:space="preserve"> </v>
      </c>
      <c r="G261" s="1" t="str">
        <f>WorldCupMatches!U261</f>
        <v>Group stages</v>
      </c>
      <c r="J261" s="1">
        <f>COUNTIF($L$2:L261,L261)</f>
        <v>15</v>
      </c>
      <c r="K261" s="1">
        <f>Table3[[#This Row],[Year]]</f>
        <v>1974</v>
      </c>
      <c r="L261" s="1" t="str">
        <f>Table3[[#This Row],[Hometeam]]</f>
        <v>Sweden</v>
      </c>
      <c r="M261" s="1" t="str">
        <f>IF(J261=1,J261+ROWS($J$2:J261)/10000,"")</f>
        <v/>
      </c>
      <c r="N261" s="1" t="str">
        <f>IFERROR(SMALL($M$2:$M$1705,ROWS($M$2:M261)),"")</f>
        <v/>
      </c>
      <c r="O261" s="1" t="str">
        <f>IF(N261&lt;&gt;"",INDEX($L$2:$L$1705,MATCH(N261,$M$2:$M$1705,0)),"")</f>
        <v/>
      </c>
      <c r="P261" s="1" t="str">
        <f>IF(O261&lt;&gt;"",ROWS($O$2:O261),"")</f>
        <v/>
      </c>
    </row>
    <row r="262" spans="1:16" x14ac:dyDescent="0.2">
      <c r="A262" s="1">
        <f>WorldCupMatches!O262</f>
        <v>1974</v>
      </c>
      <c r="B262" s="1" t="str">
        <f>WorldCupMatches!P262</f>
        <v>Argentina</v>
      </c>
      <c r="C262" s="1">
        <f>WorldCupMatches!Q262</f>
        <v>1</v>
      </c>
      <c r="D262" s="1">
        <f>WorldCupMatches!R262</f>
        <v>2</v>
      </c>
      <c r="E262" s="1" t="str">
        <f>WorldCupMatches!S262</f>
        <v>Brazil</v>
      </c>
      <c r="F262" s="1" t="str">
        <f>WorldCupMatches!T262</f>
        <v xml:space="preserve"> </v>
      </c>
      <c r="G262" s="1" t="str">
        <f>WorldCupMatches!U262</f>
        <v>Group stages</v>
      </c>
      <c r="J262" s="1">
        <f>COUNTIF($L$2:L262,L262)</f>
        <v>12</v>
      </c>
      <c r="K262" s="1">
        <f>Table3[[#This Row],[Year]]</f>
        <v>1974</v>
      </c>
      <c r="L262" s="1" t="str">
        <f>Table3[[#This Row],[Hometeam]]</f>
        <v>Argentina</v>
      </c>
      <c r="M262" s="1" t="str">
        <f>IF(J262=1,J262+ROWS($J$2:J262)/10000,"")</f>
        <v/>
      </c>
      <c r="N262" s="1" t="str">
        <f>IFERROR(SMALL($M$2:$M$1705,ROWS($M$2:M262)),"")</f>
        <v/>
      </c>
      <c r="O262" s="1" t="str">
        <f>IF(N262&lt;&gt;"",INDEX($L$2:$L$1705,MATCH(N262,$M$2:$M$1705,0)),"")</f>
        <v/>
      </c>
      <c r="P262" s="1" t="str">
        <f>IF(O262&lt;&gt;"",ROWS($O$2:O262),"")</f>
        <v/>
      </c>
    </row>
    <row r="263" spans="1:16" x14ac:dyDescent="0.2">
      <c r="A263" s="1">
        <f>WorldCupMatches!O263</f>
        <v>1974</v>
      </c>
      <c r="B263" s="1" t="str">
        <f>WorldCupMatches!P263</f>
        <v>Poland</v>
      </c>
      <c r="C263" s="1">
        <f>WorldCupMatches!Q263</f>
        <v>2</v>
      </c>
      <c r="D263" s="1">
        <f>WorldCupMatches!R263</f>
        <v>1</v>
      </c>
      <c r="E263" s="1" t="str">
        <f>WorldCupMatches!S263</f>
        <v>Yugoslavia</v>
      </c>
      <c r="F263" s="1" t="str">
        <f>WorldCupMatches!T263</f>
        <v xml:space="preserve"> </v>
      </c>
      <c r="G263" s="1" t="str">
        <f>WorldCupMatches!U263</f>
        <v>Group stages</v>
      </c>
      <c r="J263" s="1">
        <f>COUNTIF($L$2:L263,L263)</f>
        <v>3</v>
      </c>
      <c r="K263" s="1">
        <f>Table3[[#This Row],[Year]]</f>
        <v>1974</v>
      </c>
      <c r="L263" s="1" t="str">
        <f>Table3[[#This Row],[Hometeam]]</f>
        <v>Poland</v>
      </c>
      <c r="M263" s="1" t="str">
        <f>IF(J263=1,J263+ROWS($J$2:J263)/10000,"")</f>
        <v/>
      </c>
      <c r="N263" s="1" t="str">
        <f>IFERROR(SMALL($M$2:$M$1705,ROWS($M$2:M263)),"")</f>
        <v/>
      </c>
      <c r="O263" s="1" t="str">
        <f>IF(N263&lt;&gt;"",INDEX($L$2:$L$1705,MATCH(N263,$M$2:$M$1705,0)),"")</f>
        <v/>
      </c>
      <c r="P263" s="1" t="str">
        <f>IF(O263&lt;&gt;"",ROWS($O$2:O263),"")</f>
        <v/>
      </c>
    </row>
    <row r="264" spans="1:16" x14ac:dyDescent="0.2">
      <c r="A264" s="1">
        <f>WorldCupMatches!O264</f>
        <v>1974</v>
      </c>
      <c r="B264" s="1" t="str">
        <f>WorldCupMatches!P264</f>
        <v>German DR</v>
      </c>
      <c r="C264" s="1">
        <f>WorldCupMatches!Q264</f>
        <v>0</v>
      </c>
      <c r="D264" s="1">
        <f>WorldCupMatches!R264</f>
        <v>2</v>
      </c>
      <c r="E264" s="1" t="str">
        <f>WorldCupMatches!S264</f>
        <v>Netherlands</v>
      </c>
      <c r="F264" s="1" t="str">
        <f>WorldCupMatches!T264</f>
        <v xml:space="preserve"> </v>
      </c>
      <c r="G264" s="1" t="str">
        <f>WorldCupMatches!U264</f>
        <v>Group stages</v>
      </c>
      <c r="J264" s="1">
        <f>COUNTIF($L$2:L264,L264)</f>
        <v>3</v>
      </c>
      <c r="K264" s="1">
        <f>Table3[[#This Row],[Year]]</f>
        <v>1974</v>
      </c>
      <c r="L264" s="1" t="str">
        <f>Table3[[#This Row],[Hometeam]]</f>
        <v>German DR</v>
      </c>
      <c r="M264" s="1" t="str">
        <f>IF(J264=1,J264+ROWS($J$2:J264)/10000,"")</f>
        <v/>
      </c>
      <c r="N264" s="1" t="str">
        <f>IFERROR(SMALL($M$2:$M$1705,ROWS($M$2:M264)),"")</f>
        <v/>
      </c>
      <c r="O264" s="1" t="str">
        <f>IF(N264&lt;&gt;"",INDEX($L$2:$L$1705,MATCH(N264,$M$2:$M$1705,0)),"")</f>
        <v/>
      </c>
      <c r="P264" s="1" t="str">
        <f>IF(O264&lt;&gt;"",ROWS($O$2:O264),"")</f>
        <v/>
      </c>
    </row>
    <row r="265" spans="1:16" x14ac:dyDescent="0.2">
      <c r="A265" s="1">
        <f>WorldCupMatches!O265</f>
        <v>1974</v>
      </c>
      <c r="B265" s="1" t="str">
        <f>WorldCupMatches!P265</f>
        <v>Germany FR</v>
      </c>
      <c r="C265" s="1">
        <f>WorldCupMatches!Q265</f>
        <v>4</v>
      </c>
      <c r="D265" s="1">
        <f>WorldCupMatches!R265</f>
        <v>2</v>
      </c>
      <c r="E265" s="1" t="str">
        <f>WorldCupMatches!S265</f>
        <v>Sweden</v>
      </c>
      <c r="F265" s="1" t="str">
        <f>WorldCupMatches!T265</f>
        <v xml:space="preserve"> </v>
      </c>
      <c r="G265" s="1" t="str">
        <f>WorldCupMatches!U265</f>
        <v>Group stages</v>
      </c>
      <c r="J265" s="1">
        <f>COUNTIF($L$2:L265,L265)</f>
        <v>23</v>
      </c>
      <c r="K265" s="1">
        <f>Table3[[#This Row],[Year]]</f>
        <v>1974</v>
      </c>
      <c r="L265" s="1" t="str">
        <f>Table3[[#This Row],[Hometeam]]</f>
        <v>Germany FR</v>
      </c>
      <c r="M265" s="1" t="str">
        <f>IF(J265=1,J265+ROWS($J$2:J265)/10000,"")</f>
        <v/>
      </c>
      <c r="N265" s="1" t="str">
        <f>IFERROR(SMALL($M$2:$M$1705,ROWS($M$2:M265)),"")</f>
        <v/>
      </c>
      <c r="O265" s="1" t="str">
        <f>IF(N265&lt;&gt;"",INDEX($L$2:$L$1705,MATCH(N265,$M$2:$M$1705,0)),"")</f>
        <v/>
      </c>
      <c r="P265" s="1" t="str">
        <f>IF(O265&lt;&gt;"",ROWS($O$2:O265),"")</f>
        <v/>
      </c>
    </row>
    <row r="266" spans="1:16" x14ac:dyDescent="0.2">
      <c r="A266" s="1">
        <f>WorldCupMatches!O266</f>
        <v>1974</v>
      </c>
      <c r="B266" s="1" t="str">
        <f>WorldCupMatches!P266</f>
        <v>Poland</v>
      </c>
      <c r="C266" s="1">
        <f>WorldCupMatches!Q266</f>
        <v>0</v>
      </c>
      <c r="D266" s="1">
        <f>WorldCupMatches!R266</f>
        <v>1</v>
      </c>
      <c r="E266" s="1" t="str">
        <f>WorldCupMatches!S266</f>
        <v>Germany FR</v>
      </c>
      <c r="F266" s="1" t="str">
        <f>WorldCupMatches!T266</f>
        <v xml:space="preserve"> </v>
      </c>
      <c r="G266" s="1" t="str">
        <f>WorldCupMatches!U266</f>
        <v>Group stages</v>
      </c>
      <c r="J266" s="1">
        <f>COUNTIF($L$2:L266,L266)</f>
        <v>4</v>
      </c>
      <c r="K266" s="1">
        <f>Table3[[#This Row],[Year]]</f>
        <v>1974</v>
      </c>
      <c r="L266" s="1" t="str">
        <f>Table3[[#This Row],[Hometeam]]</f>
        <v>Poland</v>
      </c>
      <c r="M266" s="1" t="str">
        <f>IF(J266=1,J266+ROWS($J$2:J266)/10000,"")</f>
        <v/>
      </c>
      <c r="N266" s="1" t="str">
        <f>IFERROR(SMALL($M$2:$M$1705,ROWS($M$2:M266)),"")</f>
        <v/>
      </c>
      <c r="O266" s="1" t="str">
        <f>IF(N266&lt;&gt;"",INDEX($L$2:$L$1705,MATCH(N266,$M$2:$M$1705,0)),"")</f>
        <v/>
      </c>
      <c r="P266" s="1" t="str">
        <f>IF(O266&lt;&gt;"",ROWS($O$2:O266),"")</f>
        <v/>
      </c>
    </row>
    <row r="267" spans="1:16" x14ac:dyDescent="0.2">
      <c r="A267" s="1">
        <f>WorldCupMatches!O267</f>
        <v>1974</v>
      </c>
      <c r="B267" s="1" t="str">
        <f>WorldCupMatches!P267</f>
        <v>Netherlands</v>
      </c>
      <c r="C267" s="1">
        <f>WorldCupMatches!Q267</f>
        <v>2</v>
      </c>
      <c r="D267" s="1">
        <f>WorldCupMatches!R267</f>
        <v>0</v>
      </c>
      <c r="E267" s="1" t="str">
        <f>WorldCupMatches!S267</f>
        <v>Brazil</v>
      </c>
      <c r="F267" s="1" t="str">
        <f>WorldCupMatches!T267</f>
        <v xml:space="preserve"> </v>
      </c>
      <c r="G267" s="1" t="str">
        <f>WorldCupMatches!U267</f>
        <v>Group stages</v>
      </c>
      <c r="J267" s="1">
        <f>COUNTIF($L$2:L267,L267)</f>
        <v>3</v>
      </c>
      <c r="K267" s="1">
        <f>Table3[[#This Row],[Year]]</f>
        <v>1974</v>
      </c>
      <c r="L267" s="1" t="str">
        <f>Table3[[#This Row],[Hometeam]]</f>
        <v>Netherlands</v>
      </c>
      <c r="M267" s="1" t="str">
        <f>IF(J267=1,J267+ROWS($J$2:J267)/10000,"")</f>
        <v/>
      </c>
      <c r="N267" s="1" t="str">
        <f>IFERROR(SMALL($M$2:$M$1705,ROWS($M$2:M267)),"")</f>
        <v/>
      </c>
      <c r="O267" s="1" t="str">
        <f>IF(N267&lt;&gt;"",INDEX($L$2:$L$1705,MATCH(N267,$M$2:$M$1705,0)),"")</f>
        <v/>
      </c>
      <c r="P267" s="1" t="str">
        <f>IF(O267&lt;&gt;"",ROWS($O$2:O267),"")</f>
        <v/>
      </c>
    </row>
    <row r="268" spans="1:16" x14ac:dyDescent="0.2">
      <c r="A268" s="1">
        <f>WorldCupMatches!O268</f>
        <v>1974</v>
      </c>
      <c r="B268" s="1" t="str">
        <f>WorldCupMatches!P268</f>
        <v>Argentina</v>
      </c>
      <c r="C268" s="1">
        <f>WorldCupMatches!Q268</f>
        <v>1</v>
      </c>
      <c r="D268" s="1">
        <f>WorldCupMatches!R268</f>
        <v>1</v>
      </c>
      <c r="E268" s="1" t="str">
        <f>WorldCupMatches!S268</f>
        <v>German DR</v>
      </c>
      <c r="F268" s="1" t="str">
        <f>WorldCupMatches!T268</f>
        <v xml:space="preserve"> </v>
      </c>
      <c r="G268" s="1" t="str">
        <f>WorldCupMatches!U268</f>
        <v>Group stages</v>
      </c>
      <c r="J268" s="1">
        <f>COUNTIF($L$2:L268,L268)</f>
        <v>13</v>
      </c>
      <c r="K268" s="1">
        <f>Table3[[#This Row],[Year]]</f>
        <v>1974</v>
      </c>
      <c r="L268" s="1" t="str">
        <f>Table3[[#This Row],[Hometeam]]</f>
        <v>Argentina</v>
      </c>
      <c r="M268" s="1" t="str">
        <f>IF(J268=1,J268+ROWS($J$2:J268)/10000,"")</f>
        <v/>
      </c>
      <c r="N268" s="1" t="str">
        <f>IFERROR(SMALL($M$2:$M$1705,ROWS($M$2:M268)),"")</f>
        <v/>
      </c>
      <c r="O268" s="1" t="str">
        <f>IF(N268&lt;&gt;"",INDEX($L$2:$L$1705,MATCH(N268,$M$2:$M$1705,0)),"")</f>
        <v/>
      </c>
      <c r="P268" s="1" t="str">
        <f>IF(O268&lt;&gt;"",ROWS($O$2:O268),"")</f>
        <v/>
      </c>
    </row>
    <row r="269" spans="1:16" x14ac:dyDescent="0.2">
      <c r="A269" s="1">
        <f>WorldCupMatches!O269</f>
        <v>1974</v>
      </c>
      <c r="B269" s="1" t="str">
        <f>WorldCupMatches!P269</f>
        <v>Sweden</v>
      </c>
      <c r="C269" s="1">
        <f>WorldCupMatches!Q269</f>
        <v>2</v>
      </c>
      <c r="D269" s="1">
        <f>WorldCupMatches!R269</f>
        <v>1</v>
      </c>
      <c r="E269" s="1" t="str">
        <f>WorldCupMatches!S269</f>
        <v>Yugoslavia</v>
      </c>
      <c r="F269" s="1" t="str">
        <f>WorldCupMatches!T269</f>
        <v xml:space="preserve"> </v>
      </c>
      <c r="G269" s="1" t="str">
        <f>WorldCupMatches!U269</f>
        <v>Group stages</v>
      </c>
      <c r="J269" s="1">
        <f>COUNTIF($L$2:L269,L269)</f>
        <v>16</v>
      </c>
      <c r="K269" s="1">
        <f>Table3[[#This Row],[Year]]</f>
        <v>1974</v>
      </c>
      <c r="L269" s="1" t="str">
        <f>Table3[[#This Row],[Hometeam]]</f>
        <v>Sweden</v>
      </c>
      <c r="M269" s="1" t="str">
        <f>IF(J269=1,J269+ROWS($J$2:J269)/10000,"")</f>
        <v/>
      </c>
      <c r="N269" s="1" t="str">
        <f>IFERROR(SMALL($M$2:$M$1705,ROWS($M$2:M269)),"")</f>
        <v/>
      </c>
      <c r="O269" s="1" t="str">
        <f>IF(N269&lt;&gt;"",INDEX($L$2:$L$1705,MATCH(N269,$M$2:$M$1705,0)),"")</f>
        <v/>
      </c>
      <c r="P269" s="1" t="str">
        <f>IF(O269&lt;&gt;"",ROWS($O$2:O269),"")</f>
        <v/>
      </c>
    </row>
    <row r="270" spans="1:16" x14ac:dyDescent="0.2">
      <c r="A270" s="1">
        <f>WorldCupMatches!O270</f>
        <v>1974</v>
      </c>
      <c r="B270" s="1" t="str">
        <f>WorldCupMatches!P270</f>
        <v>Brazil</v>
      </c>
      <c r="C270" s="1">
        <f>WorldCupMatches!Q270</f>
        <v>0</v>
      </c>
      <c r="D270" s="1">
        <f>WorldCupMatches!R270</f>
        <v>1</v>
      </c>
      <c r="E270" s="1" t="str">
        <f>WorldCupMatches!S270</f>
        <v>Poland</v>
      </c>
      <c r="F270" s="1" t="str">
        <f>WorldCupMatches!T270</f>
        <v xml:space="preserve"> </v>
      </c>
      <c r="G270" s="1" t="str">
        <f>WorldCupMatches!U270</f>
        <v>Match for third place</v>
      </c>
      <c r="J270" s="1">
        <f>COUNTIF($L$2:L270,L270)</f>
        <v>34</v>
      </c>
      <c r="K270" s="1">
        <f>Table3[[#This Row],[Year]]</f>
        <v>1974</v>
      </c>
      <c r="L270" s="1" t="str">
        <f>Table3[[#This Row],[Hometeam]]</f>
        <v>Brazil</v>
      </c>
      <c r="M270" s="1" t="str">
        <f>IF(J270=1,J270+ROWS($J$2:J270)/10000,"")</f>
        <v/>
      </c>
      <c r="N270" s="1" t="str">
        <f>IFERROR(SMALL($M$2:$M$1705,ROWS($M$2:M270)),"")</f>
        <v/>
      </c>
      <c r="O270" s="1" t="str">
        <f>IF(N270&lt;&gt;"",INDEX($L$2:$L$1705,MATCH(N270,$M$2:$M$1705,0)),"")</f>
        <v/>
      </c>
      <c r="P270" s="1" t="str">
        <f>IF(O270&lt;&gt;"",ROWS($O$2:O270),"")</f>
        <v/>
      </c>
    </row>
    <row r="271" spans="1:16" x14ac:dyDescent="0.2">
      <c r="A271" s="1">
        <f>WorldCupMatches!O271</f>
        <v>1974</v>
      </c>
      <c r="B271" s="1" t="str">
        <f>WorldCupMatches!P271</f>
        <v>Netherlands</v>
      </c>
      <c r="C271" s="1">
        <f>WorldCupMatches!Q271</f>
        <v>1</v>
      </c>
      <c r="D271" s="1">
        <f>WorldCupMatches!R271</f>
        <v>2</v>
      </c>
      <c r="E271" s="1" t="str">
        <f>WorldCupMatches!S271</f>
        <v>Germany FR</v>
      </c>
      <c r="F271" s="1" t="str">
        <f>WorldCupMatches!T271</f>
        <v xml:space="preserve"> </v>
      </c>
      <c r="G271" s="1" t="str">
        <f>WorldCupMatches!U271</f>
        <v>Final</v>
      </c>
      <c r="J271" s="1">
        <f>COUNTIF($L$2:L271,L271)</f>
        <v>4</v>
      </c>
      <c r="K271" s="1">
        <f>Table3[[#This Row],[Year]]</f>
        <v>1974</v>
      </c>
      <c r="L271" s="1" t="str">
        <f>Table3[[#This Row],[Hometeam]]</f>
        <v>Netherlands</v>
      </c>
      <c r="M271" s="1" t="str">
        <f>IF(J271=1,J271+ROWS($J$2:J271)/10000,"")</f>
        <v/>
      </c>
      <c r="N271" s="1" t="str">
        <f>IFERROR(SMALL($M$2:$M$1705,ROWS($M$2:M271)),"")</f>
        <v/>
      </c>
      <c r="O271" s="1" t="str">
        <f>IF(N271&lt;&gt;"",INDEX($L$2:$L$1705,MATCH(N271,$M$2:$M$1705,0)),"")</f>
        <v/>
      </c>
      <c r="P271" s="1" t="str">
        <f>IF(O271&lt;&gt;"",ROWS($O$2:O271),"")</f>
        <v/>
      </c>
    </row>
    <row r="272" spans="1:16" x14ac:dyDescent="0.2">
      <c r="A272" s="1">
        <f>WorldCupMatches!O272</f>
        <v>1978</v>
      </c>
      <c r="B272" s="1" t="str">
        <f>WorldCupMatches!P272</f>
        <v>Germany FR</v>
      </c>
      <c r="C272" s="1">
        <f>WorldCupMatches!Q272</f>
        <v>0</v>
      </c>
      <c r="D272" s="1">
        <f>WorldCupMatches!R272</f>
        <v>0</v>
      </c>
      <c r="E272" s="1" t="str">
        <f>WorldCupMatches!S272</f>
        <v>Poland</v>
      </c>
      <c r="F272" s="1" t="str">
        <f>WorldCupMatches!T272</f>
        <v xml:space="preserve"> </v>
      </c>
      <c r="G272" s="1" t="str">
        <f>WorldCupMatches!U272</f>
        <v>Group stages</v>
      </c>
      <c r="J272" s="1">
        <f>COUNTIF($L$2:L272,L272)</f>
        <v>24</v>
      </c>
      <c r="K272" s="1">
        <f>Table3[[#This Row],[Year]]</f>
        <v>1978</v>
      </c>
      <c r="L272" s="1" t="str">
        <f>Table3[[#This Row],[Hometeam]]</f>
        <v>Germany FR</v>
      </c>
      <c r="M272" s="1" t="str">
        <f>IF(J272=1,J272+ROWS($J$2:J272)/10000,"")</f>
        <v/>
      </c>
      <c r="N272" s="1" t="str">
        <f>IFERROR(SMALL($M$2:$M$1705,ROWS($M$2:M272)),"")</f>
        <v/>
      </c>
      <c r="O272" s="1" t="str">
        <f>IF(N272&lt;&gt;"",INDEX($L$2:$L$1705,MATCH(N272,$M$2:$M$1705,0)),"")</f>
        <v/>
      </c>
      <c r="P272" s="1" t="str">
        <f>IF(O272&lt;&gt;"",ROWS($O$2:O272),"")</f>
        <v/>
      </c>
    </row>
    <row r="273" spans="1:16" x14ac:dyDescent="0.2">
      <c r="A273" s="1">
        <f>WorldCupMatches!O273</f>
        <v>1978</v>
      </c>
      <c r="B273" s="1" t="str">
        <f>WorldCupMatches!P273</f>
        <v>Italy</v>
      </c>
      <c r="C273" s="1">
        <f>WorldCupMatches!Q273</f>
        <v>2</v>
      </c>
      <c r="D273" s="1">
        <f>WorldCupMatches!R273</f>
        <v>1</v>
      </c>
      <c r="E273" s="1" t="str">
        <f>WorldCupMatches!S273</f>
        <v>France</v>
      </c>
      <c r="F273" s="1" t="str">
        <f>WorldCupMatches!T273</f>
        <v xml:space="preserve"> </v>
      </c>
      <c r="G273" s="1" t="str">
        <f>WorldCupMatches!U273</f>
        <v>Group stages</v>
      </c>
      <c r="J273" s="1">
        <f>COUNTIF($L$2:L273,L273)</f>
        <v>19</v>
      </c>
      <c r="K273" s="1">
        <f>Table3[[#This Row],[Year]]</f>
        <v>1978</v>
      </c>
      <c r="L273" s="1" t="str">
        <f>Table3[[#This Row],[Hometeam]]</f>
        <v>Italy</v>
      </c>
      <c r="M273" s="1" t="str">
        <f>IF(J273=1,J273+ROWS($J$2:J273)/10000,"")</f>
        <v/>
      </c>
      <c r="N273" s="1" t="str">
        <f>IFERROR(SMALL($M$2:$M$1705,ROWS($M$2:M273)),"")</f>
        <v/>
      </c>
      <c r="O273" s="1" t="str">
        <f>IF(N273&lt;&gt;"",INDEX($L$2:$L$1705,MATCH(N273,$M$2:$M$1705,0)),"")</f>
        <v/>
      </c>
      <c r="P273" s="1" t="str">
        <f>IF(O273&lt;&gt;"",ROWS($O$2:O273),"")</f>
        <v/>
      </c>
    </row>
    <row r="274" spans="1:16" x14ac:dyDescent="0.2">
      <c r="A274" s="1">
        <f>WorldCupMatches!O274</f>
        <v>1978</v>
      </c>
      <c r="B274" s="1" t="str">
        <f>WorldCupMatches!P274</f>
        <v>Tunisia</v>
      </c>
      <c r="C274" s="1">
        <f>WorldCupMatches!Q274</f>
        <v>3</v>
      </c>
      <c r="D274" s="1">
        <f>WorldCupMatches!R274</f>
        <v>1</v>
      </c>
      <c r="E274" s="1" t="str">
        <f>WorldCupMatches!S274</f>
        <v>Mexico</v>
      </c>
      <c r="F274" s="1" t="str">
        <f>WorldCupMatches!T274</f>
        <v xml:space="preserve"> </v>
      </c>
      <c r="G274" s="1" t="str">
        <f>WorldCupMatches!U274</f>
        <v>Group stages</v>
      </c>
      <c r="J274" s="1">
        <f>COUNTIF($L$2:L274,L274)</f>
        <v>1</v>
      </c>
      <c r="K274" s="1">
        <f>Table3[[#This Row],[Year]]</f>
        <v>1978</v>
      </c>
      <c r="L274" s="1" t="str">
        <f>Table3[[#This Row],[Hometeam]]</f>
        <v>Tunisia</v>
      </c>
      <c r="M274" s="1">
        <f>IF(J274=1,J274+ROWS($J$2:J274)/10000,"")</f>
        <v>1.0273000000000001</v>
      </c>
      <c r="N274" s="1" t="str">
        <f>IFERROR(SMALL($M$2:$M$1705,ROWS($M$2:M274)),"")</f>
        <v/>
      </c>
      <c r="O274" s="1" t="str">
        <f>IF(N274&lt;&gt;"",INDEX($L$2:$L$1705,MATCH(N274,$M$2:$M$1705,0)),"")</f>
        <v/>
      </c>
      <c r="P274" s="1" t="str">
        <f>IF(O274&lt;&gt;"",ROWS($O$2:O274),"")</f>
        <v/>
      </c>
    </row>
    <row r="275" spans="1:16" x14ac:dyDescent="0.2">
      <c r="A275" s="1">
        <f>WorldCupMatches!O275</f>
        <v>1978</v>
      </c>
      <c r="B275" s="1" t="str">
        <f>WorldCupMatches!P275</f>
        <v>Argentina</v>
      </c>
      <c r="C275" s="1">
        <f>WorldCupMatches!Q275</f>
        <v>2</v>
      </c>
      <c r="D275" s="1">
        <f>WorldCupMatches!R275</f>
        <v>1</v>
      </c>
      <c r="E275" s="1" t="str">
        <f>WorldCupMatches!S275</f>
        <v>Hungary</v>
      </c>
      <c r="F275" s="1" t="str">
        <f>WorldCupMatches!T275</f>
        <v xml:space="preserve"> </v>
      </c>
      <c r="G275" s="1" t="str">
        <f>WorldCupMatches!U275</f>
        <v>Group stages</v>
      </c>
      <c r="J275" s="1">
        <f>COUNTIF($L$2:L275,L275)</f>
        <v>14</v>
      </c>
      <c r="K275" s="1">
        <f>Table3[[#This Row],[Year]]</f>
        <v>1978</v>
      </c>
      <c r="L275" s="1" t="str">
        <f>Table3[[#This Row],[Hometeam]]</f>
        <v>Argentina</v>
      </c>
      <c r="M275" s="1" t="str">
        <f>IF(J275=1,J275+ROWS($J$2:J275)/10000,"")</f>
        <v/>
      </c>
      <c r="N275" s="1" t="str">
        <f>IFERROR(SMALL($M$2:$M$1705,ROWS($M$2:M275)),"")</f>
        <v/>
      </c>
      <c r="O275" s="1" t="str">
        <f>IF(N275&lt;&gt;"",INDEX($L$2:$L$1705,MATCH(N275,$M$2:$M$1705,0)),"")</f>
        <v/>
      </c>
      <c r="P275" s="1" t="str">
        <f>IF(O275&lt;&gt;"",ROWS($O$2:O275),"")</f>
        <v/>
      </c>
    </row>
    <row r="276" spans="1:16" x14ac:dyDescent="0.2">
      <c r="A276" s="1">
        <f>WorldCupMatches!O276</f>
        <v>1978</v>
      </c>
      <c r="B276" s="1" t="str">
        <f>WorldCupMatches!P276</f>
        <v>Sweden</v>
      </c>
      <c r="C276" s="1">
        <f>WorldCupMatches!Q276</f>
        <v>1</v>
      </c>
      <c r="D276" s="1">
        <f>WorldCupMatches!R276</f>
        <v>1</v>
      </c>
      <c r="E276" s="1" t="str">
        <f>WorldCupMatches!S276</f>
        <v>Brazil</v>
      </c>
      <c r="F276" s="1" t="str">
        <f>WorldCupMatches!T276</f>
        <v xml:space="preserve"> </v>
      </c>
      <c r="G276" s="1" t="str">
        <f>WorldCupMatches!U276</f>
        <v>Group stages</v>
      </c>
      <c r="J276" s="1">
        <f>COUNTIF($L$2:L276,L276)</f>
        <v>17</v>
      </c>
      <c r="K276" s="1">
        <f>Table3[[#This Row],[Year]]</f>
        <v>1978</v>
      </c>
      <c r="L276" s="1" t="str">
        <f>Table3[[#This Row],[Hometeam]]</f>
        <v>Sweden</v>
      </c>
      <c r="M276" s="1" t="str">
        <f>IF(J276=1,J276+ROWS($J$2:J276)/10000,"")</f>
        <v/>
      </c>
      <c r="N276" s="1" t="str">
        <f>IFERROR(SMALL($M$2:$M$1705,ROWS($M$2:M276)),"")</f>
        <v/>
      </c>
      <c r="O276" s="1" t="str">
        <f>IF(N276&lt;&gt;"",INDEX($L$2:$L$1705,MATCH(N276,$M$2:$M$1705,0)),"")</f>
        <v/>
      </c>
      <c r="P276" s="1" t="str">
        <f>IF(O276&lt;&gt;"",ROWS($O$2:O276),"")</f>
        <v/>
      </c>
    </row>
    <row r="277" spans="1:16" x14ac:dyDescent="0.2">
      <c r="A277" s="1">
        <f>WorldCupMatches!O277</f>
        <v>1978</v>
      </c>
      <c r="B277" s="1" t="str">
        <f>WorldCupMatches!P277</f>
        <v>Austria</v>
      </c>
      <c r="C277" s="1">
        <f>WorldCupMatches!Q277</f>
        <v>2</v>
      </c>
      <c r="D277" s="1">
        <f>WorldCupMatches!R277</f>
        <v>1</v>
      </c>
      <c r="E277" s="1" t="str">
        <f>WorldCupMatches!S277</f>
        <v>Spain</v>
      </c>
      <c r="F277" s="1" t="str">
        <f>WorldCupMatches!T277</f>
        <v xml:space="preserve"> </v>
      </c>
      <c r="G277" s="1" t="str">
        <f>WorldCupMatches!U277</f>
        <v>Group stages</v>
      </c>
      <c r="J277" s="1">
        <f>COUNTIF($L$2:L277,L277)</f>
        <v>7</v>
      </c>
      <c r="K277" s="1">
        <f>Table3[[#This Row],[Year]]</f>
        <v>1978</v>
      </c>
      <c r="L277" s="1" t="str">
        <f>Table3[[#This Row],[Hometeam]]</f>
        <v>Austria</v>
      </c>
      <c r="M277" s="1" t="str">
        <f>IF(J277=1,J277+ROWS($J$2:J277)/10000,"")</f>
        <v/>
      </c>
      <c r="N277" s="1" t="str">
        <f>IFERROR(SMALL($M$2:$M$1705,ROWS($M$2:M277)),"")</f>
        <v/>
      </c>
      <c r="O277" s="1" t="str">
        <f>IF(N277&lt;&gt;"",INDEX($L$2:$L$1705,MATCH(N277,$M$2:$M$1705,0)),"")</f>
        <v/>
      </c>
      <c r="P277" s="1" t="str">
        <f>IF(O277&lt;&gt;"",ROWS($O$2:O277),"")</f>
        <v/>
      </c>
    </row>
    <row r="278" spans="1:16" x14ac:dyDescent="0.2">
      <c r="A278" s="1">
        <f>WorldCupMatches!O278</f>
        <v>1978</v>
      </c>
      <c r="B278" s="1" t="str">
        <f>WorldCupMatches!P278</f>
        <v>Peru</v>
      </c>
      <c r="C278" s="1">
        <f>WorldCupMatches!Q278</f>
        <v>3</v>
      </c>
      <c r="D278" s="1">
        <f>WorldCupMatches!R278</f>
        <v>1</v>
      </c>
      <c r="E278" s="1" t="str">
        <f>WorldCupMatches!S278</f>
        <v>Scotland</v>
      </c>
      <c r="F278" s="1" t="str">
        <f>WorldCupMatches!T278</f>
        <v xml:space="preserve"> </v>
      </c>
      <c r="G278" s="1" t="str">
        <f>WorldCupMatches!U278</f>
        <v>Group stages</v>
      </c>
      <c r="J278" s="1">
        <f>COUNTIF($L$2:L278,L278)</f>
        <v>3</v>
      </c>
      <c r="K278" s="1">
        <f>Table3[[#This Row],[Year]]</f>
        <v>1978</v>
      </c>
      <c r="L278" s="1" t="str">
        <f>Table3[[#This Row],[Hometeam]]</f>
        <v>Peru</v>
      </c>
      <c r="M278" s="1" t="str">
        <f>IF(J278=1,J278+ROWS($J$2:J278)/10000,"")</f>
        <v/>
      </c>
      <c r="N278" s="1" t="str">
        <f>IFERROR(SMALL($M$2:$M$1705,ROWS($M$2:M278)),"")</f>
        <v/>
      </c>
      <c r="O278" s="1" t="str">
        <f>IF(N278&lt;&gt;"",INDEX($L$2:$L$1705,MATCH(N278,$M$2:$M$1705,0)),"")</f>
        <v/>
      </c>
      <c r="P278" s="1" t="str">
        <f>IF(O278&lt;&gt;"",ROWS($O$2:O278),"")</f>
        <v/>
      </c>
    </row>
    <row r="279" spans="1:16" x14ac:dyDescent="0.2">
      <c r="A279" s="1">
        <f>WorldCupMatches!O279</f>
        <v>1978</v>
      </c>
      <c r="B279" s="1" t="str">
        <f>WorldCupMatches!P279</f>
        <v>Netherlands</v>
      </c>
      <c r="C279" s="1">
        <f>WorldCupMatches!Q279</f>
        <v>3</v>
      </c>
      <c r="D279" s="1">
        <f>WorldCupMatches!R279</f>
        <v>0</v>
      </c>
      <c r="E279" s="1" t="str">
        <f>WorldCupMatches!S279</f>
        <v>IR Iran</v>
      </c>
      <c r="F279" s="1" t="str">
        <f>WorldCupMatches!T279</f>
        <v xml:space="preserve"> </v>
      </c>
      <c r="G279" s="1" t="str">
        <f>WorldCupMatches!U279</f>
        <v>Group stages</v>
      </c>
      <c r="J279" s="1">
        <f>COUNTIF($L$2:L279,L279)</f>
        <v>5</v>
      </c>
      <c r="K279" s="1">
        <f>Table3[[#This Row],[Year]]</f>
        <v>1978</v>
      </c>
      <c r="L279" s="1" t="str">
        <f>Table3[[#This Row],[Hometeam]]</f>
        <v>Netherlands</v>
      </c>
      <c r="M279" s="1" t="str">
        <f>IF(J279=1,J279+ROWS($J$2:J279)/10000,"")</f>
        <v/>
      </c>
      <c r="N279" s="1" t="str">
        <f>IFERROR(SMALL($M$2:$M$1705,ROWS($M$2:M279)),"")</f>
        <v/>
      </c>
      <c r="O279" s="1" t="str">
        <f>IF(N279&lt;&gt;"",INDEX($L$2:$L$1705,MATCH(N279,$M$2:$M$1705,0)),"")</f>
        <v/>
      </c>
      <c r="P279" s="1" t="str">
        <f>IF(O279&lt;&gt;"",ROWS($O$2:O279),"")</f>
        <v/>
      </c>
    </row>
    <row r="280" spans="1:16" x14ac:dyDescent="0.2">
      <c r="A280" s="1">
        <f>WorldCupMatches!O280</f>
        <v>1978</v>
      </c>
      <c r="B280" s="1" t="str">
        <f>WorldCupMatches!P280</f>
        <v>Italy</v>
      </c>
      <c r="C280" s="1">
        <f>WorldCupMatches!Q280</f>
        <v>3</v>
      </c>
      <c r="D280" s="1">
        <f>WorldCupMatches!R280</f>
        <v>1</v>
      </c>
      <c r="E280" s="1" t="str">
        <f>WorldCupMatches!S280</f>
        <v>Hungary</v>
      </c>
      <c r="F280" s="1" t="str">
        <f>WorldCupMatches!T280</f>
        <v xml:space="preserve"> </v>
      </c>
      <c r="G280" s="1" t="str">
        <f>WorldCupMatches!U280</f>
        <v>Group stages</v>
      </c>
      <c r="J280" s="1">
        <f>COUNTIF($L$2:L280,L280)</f>
        <v>20</v>
      </c>
      <c r="K280" s="1">
        <f>Table3[[#This Row],[Year]]</f>
        <v>1978</v>
      </c>
      <c r="L280" s="1" t="str">
        <f>Table3[[#This Row],[Hometeam]]</f>
        <v>Italy</v>
      </c>
      <c r="M280" s="1" t="str">
        <f>IF(J280=1,J280+ROWS($J$2:J280)/10000,"")</f>
        <v/>
      </c>
      <c r="N280" s="1" t="str">
        <f>IFERROR(SMALL($M$2:$M$1705,ROWS($M$2:M280)),"")</f>
        <v/>
      </c>
      <c r="O280" s="1" t="str">
        <f>IF(N280&lt;&gt;"",INDEX($L$2:$L$1705,MATCH(N280,$M$2:$M$1705,0)),"")</f>
        <v/>
      </c>
      <c r="P280" s="1" t="str">
        <f>IF(O280&lt;&gt;"",ROWS($O$2:O280),"")</f>
        <v/>
      </c>
    </row>
    <row r="281" spans="1:16" x14ac:dyDescent="0.2">
      <c r="A281" s="1">
        <f>WorldCupMatches!O281</f>
        <v>1978</v>
      </c>
      <c r="B281" s="1" t="str">
        <f>WorldCupMatches!P281</f>
        <v>Poland</v>
      </c>
      <c r="C281" s="1">
        <f>WorldCupMatches!Q281</f>
        <v>1</v>
      </c>
      <c r="D281" s="1">
        <f>WorldCupMatches!R281</f>
        <v>0</v>
      </c>
      <c r="E281" s="1" t="str">
        <f>WorldCupMatches!S281</f>
        <v>Tunisia</v>
      </c>
      <c r="F281" s="1" t="str">
        <f>WorldCupMatches!T281</f>
        <v xml:space="preserve"> </v>
      </c>
      <c r="G281" s="1" t="str">
        <f>WorldCupMatches!U281</f>
        <v>Group stages</v>
      </c>
      <c r="J281" s="1">
        <f>COUNTIF($L$2:L281,L281)</f>
        <v>5</v>
      </c>
      <c r="K281" s="1">
        <f>Table3[[#This Row],[Year]]</f>
        <v>1978</v>
      </c>
      <c r="L281" s="1" t="str">
        <f>Table3[[#This Row],[Hometeam]]</f>
        <v>Poland</v>
      </c>
      <c r="M281" s="1" t="str">
        <f>IF(J281=1,J281+ROWS($J$2:J281)/10000,"")</f>
        <v/>
      </c>
      <c r="N281" s="1" t="str">
        <f>IFERROR(SMALL($M$2:$M$1705,ROWS($M$2:M281)),"")</f>
        <v/>
      </c>
      <c r="O281" s="1" t="str">
        <f>IF(N281&lt;&gt;"",INDEX($L$2:$L$1705,MATCH(N281,$M$2:$M$1705,0)),"")</f>
        <v/>
      </c>
      <c r="P281" s="1" t="str">
        <f>IF(O281&lt;&gt;"",ROWS($O$2:O281),"")</f>
        <v/>
      </c>
    </row>
    <row r="282" spans="1:16" x14ac:dyDescent="0.2">
      <c r="A282" s="1">
        <f>WorldCupMatches!O282</f>
        <v>1978</v>
      </c>
      <c r="B282" s="1" t="str">
        <f>WorldCupMatches!P282</f>
        <v>Germany FR</v>
      </c>
      <c r="C282" s="1">
        <f>WorldCupMatches!Q282</f>
        <v>6</v>
      </c>
      <c r="D282" s="1">
        <f>WorldCupMatches!R282</f>
        <v>0</v>
      </c>
      <c r="E282" s="1" t="str">
        <f>WorldCupMatches!S282</f>
        <v>Mexico</v>
      </c>
      <c r="F282" s="1" t="str">
        <f>WorldCupMatches!T282</f>
        <v xml:space="preserve"> </v>
      </c>
      <c r="G282" s="1" t="str">
        <f>WorldCupMatches!U282</f>
        <v>Group stages</v>
      </c>
      <c r="J282" s="1">
        <f>COUNTIF($L$2:L282,L282)</f>
        <v>25</v>
      </c>
      <c r="K282" s="1">
        <f>Table3[[#This Row],[Year]]</f>
        <v>1978</v>
      </c>
      <c r="L282" s="1" t="str">
        <f>Table3[[#This Row],[Hometeam]]</f>
        <v>Germany FR</v>
      </c>
      <c r="M282" s="1" t="str">
        <f>IF(J282=1,J282+ROWS($J$2:J282)/10000,"")</f>
        <v/>
      </c>
      <c r="N282" s="1" t="str">
        <f>IFERROR(SMALL($M$2:$M$1705,ROWS($M$2:M282)),"")</f>
        <v/>
      </c>
      <c r="O282" s="1" t="str">
        <f>IF(N282&lt;&gt;"",INDEX($L$2:$L$1705,MATCH(N282,$M$2:$M$1705,0)),"")</f>
        <v/>
      </c>
      <c r="P282" s="1" t="str">
        <f>IF(O282&lt;&gt;"",ROWS($O$2:O282),"")</f>
        <v/>
      </c>
    </row>
    <row r="283" spans="1:16" x14ac:dyDescent="0.2">
      <c r="A283" s="1">
        <f>WorldCupMatches!O283</f>
        <v>1978</v>
      </c>
      <c r="B283" s="1" t="str">
        <f>WorldCupMatches!P283</f>
        <v>Argentina</v>
      </c>
      <c r="C283" s="1">
        <f>WorldCupMatches!Q283</f>
        <v>2</v>
      </c>
      <c r="D283" s="1">
        <f>WorldCupMatches!R283</f>
        <v>1</v>
      </c>
      <c r="E283" s="1" t="str">
        <f>WorldCupMatches!S283</f>
        <v>France</v>
      </c>
      <c r="F283" s="1" t="str">
        <f>WorldCupMatches!T283</f>
        <v xml:space="preserve"> </v>
      </c>
      <c r="G283" s="1" t="str">
        <f>WorldCupMatches!U283</f>
        <v>Group stages</v>
      </c>
      <c r="J283" s="1">
        <f>COUNTIF($L$2:L283,L283)</f>
        <v>15</v>
      </c>
      <c r="K283" s="1">
        <f>Table3[[#This Row],[Year]]</f>
        <v>1978</v>
      </c>
      <c r="L283" s="1" t="str">
        <f>Table3[[#This Row],[Hometeam]]</f>
        <v>Argentina</v>
      </c>
      <c r="M283" s="1" t="str">
        <f>IF(J283=1,J283+ROWS($J$2:J283)/10000,"")</f>
        <v/>
      </c>
      <c r="N283" s="1" t="str">
        <f>IFERROR(SMALL($M$2:$M$1705,ROWS($M$2:M283)),"")</f>
        <v/>
      </c>
      <c r="O283" s="1" t="str">
        <f>IF(N283&lt;&gt;"",INDEX($L$2:$L$1705,MATCH(N283,$M$2:$M$1705,0)),"")</f>
        <v/>
      </c>
      <c r="P283" s="1" t="str">
        <f>IF(O283&lt;&gt;"",ROWS($O$2:O283),"")</f>
        <v/>
      </c>
    </row>
    <row r="284" spans="1:16" x14ac:dyDescent="0.2">
      <c r="A284" s="1">
        <f>WorldCupMatches!O284</f>
        <v>1978</v>
      </c>
      <c r="B284" s="1" t="str">
        <f>WorldCupMatches!P284</f>
        <v>Brazil</v>
      </c>
      <c r="C284" s="1">
        <f>WorldCupMatches!Q284</f>
        <v>0</v>
      </c>
      <c r="D284" s="1">
        <f>WorldCupMatches!R284</f>
        <v>0</v>
      </c>
      <c r="E284" s="1" t="str">
        <f>WorldCupMatches!S284</f>
        <v>Spain</v>
      </c>
      <c r="F284" s="1" t="str">
        <f>WorldCupMatches!T284</f>
        <v xml:space="preserve"> </v>
      </c>
      <c r="G284" s="1" t="str">
        <f>WorldCupMatches!U284</f>
        <v>Group stages</v>
      </c>
      <c r="J284" s="1">
        <f>COUNTIF($L$2:L284,L284)</f>
        <v>35</v>
      </c>
      <c r="K284" s="1">
        <f>Table3[[#This Row],[Year]]</f>
        <v>1978</v>
      </c>
      <c r="L284" s="1" t="str">
        <f>Table3[[#This Row],[Hometeam]]</f>
        <v>Brazil</v>
      </c>
      <c r="M284" s="1" t="str">
        <f>IF(J284=1,J284+ROWS($J$2:J284)/10000,"")</f>
        <v/>
      </c>
      <c r="N284" s="1" t="str">
        <f>IFERROR(SMALL($M$2:$M$1705,ROWS($M$2:M284)),"")</f>
        <v/>
      </c>
      <c r="O284" s="1" t="str">
        <f>IF(N284&lt;&gt;"",INDEX($L$2:$L$1705,MATCH(N284,$M$2:$M$1705,0)),"")</f>
        <v/>
      </c>
      <c r="P284" s="1" t="str">
        <f>IF(O284&lt;&gt;"",ROWS($O$2:O284),"")</f>
        <v/>
      </c>
    </row>
    <row r="285" spans="1:16" x14ac:dyDescent="0.2">
      <c r="A285" s="1">
        <f>WorldCupMatches!O285</f>
        <v>1978</v>
      </c>
      <c r="B285" s="1" t="str">
        <f>WorldCupMatches!P285</f>
        <v>Austria</v>
      </c>
      <c r="C285" s="1">
        <f>WorldCupMatches!Q285</f>
        <v>1</v>
      </c>
      <c r="D285" s="1">
        <f>WorldCupMatches!R285</f>
        <v>0</v>
      </c>
      <c r="E285" s="1" t="str">
        <f>WorldCupMatches!S285</f>
        <v>Sweden</v>
      </c>
      <c r="F285" s="1" t="str">
        <f>WorldCupMatches!T285</f>
        <v xml:space="preserve"> </v>
      </c>
      <c r="G285" s="1" t="str">
        <f>WorldCupMatches!U285</f>
        <v>Group stages</v>
      </c>
      <c r="J285" s="1">
        <f>COUNTIF($L$2:L285,L285)</f>
        <v>8</v>
      </c>
      <c r="K285" s="1">
        <f>Table3[[#This Row],[Year]]</f>
        <v>1978</v>
      </c>
      <c r="L285" s="1" t="str">
        <f>Table3[[#This Row],[Hometeam]]</f>
        <v>Austria</v>
      </c>
      <c r="M285" s="1" t="str">
        <f>IF(J285=1,J285+ROWS($J$2:J285)/10000,"")</f>
        <v/>
      </c>
      <c r="N285" s="1" t="str">
        <f>IFERROR(SMALL($M$2:$M$1705,ROWS($M$2:M285)),"")</f>
        <v/>
      </c>
      <c r="O285" s="1" t="str">
        <f>IF(N285&lt;&gt;"",INDEX($L$2:$L$1705,MATCH(N285,$M$2:$M$1705,0)),"")</f>
        <v/>
      </c>
      <c r="P285" s="1" t="str">
        <f>IF(O285&lt;&gt;"",ROWS($O$2:O285),"")</f>
        <v/>
      </c>
    </row>
    <row r="286" spans="1:16" x14ac:dyDescent="0.2">
      <c r="A286" s="1">
        <f>WorldCupMatches!O286</f>
        <v>1978</v>
      </c>
      <c r="B286" s="1" t="str">
        <f>WorldCupMatches!P286</f>
        <v>Scotland</v>
      </c>
      <c r="C286" s="1">
        <f>WorldCupMatches!Q286</f>
        <v>1</v>
      </c>
      <c r="D286" s="1">
        <f>WorldCupMatches!R286</f>
        <v>1</v>
      </c>
      <c r="E286" s="1" t="str">
        <f>WorldCupMatches!S286</f>
        <v>IR Iran</v>
      </c>
      <c r="F286" s="1" t="str">
        <f>WorldCupMatches!T286</f>
        <v xml:space="preserve"> </v>
      </c>
      <c r="G286" s="1" t="str">
        <f>WorldCupMatches!U286</f>
        <v>Group stages</v>
      </c>
      <c r="J286" s="1">
        <f>COUNTIF($L$2:L286,L286)</f>
        <v>3</v>
      </c>
      <c r="K286" s="1">
        <f>Table3[[#This Row],[Year]]</f>
        <v>1978</v>
      </c>
      <c r="L286" s="1" t="str">
        <f>Table3[[#This Row],[Hometeam]]</f>
        <v>Scotland</v>
      </c>
      <c r="M286" s="1" t="str">
        <f>IF(J286=1,J286+ROWS($J$2:J286)/10000,"")</f>
        <v/>
      </c>
      <c r="N286" s="1" t="str">
        <f>IFERROR(SMALL($M$2:$M$1705,ROWS($M$2:M286)),"")</f>
        <v/>
      </c>
      <c r="O286" s="1" t="str">
        <f>IF(N286&lt;&gt;"",INDEX($L$2:$L$1705,MATCH(N286,$M$2:$M$1705,0)),"")</f>
        <v/>
      </c>
      <c r="P286" s="1" t="str">
        <f>IF(O286&lt;&gt;"",ROWS($O$2:O286),"")</f>
        <v/>
      </c>
    </row>
    <row r="287" spans="1:16" x14ac:dyDescent="0.2">
      <c r="A287" s="1">
        <f>WorldCupMatches!O287</f>
        <v>1978</v>
      </c>
      <c r="B287" s="1" t="str">
        <f>WorldCupMatches!P287</f>
        <v>Netherlands</v>
      </c>
      <c r="C287" s="1">
        <f>WorldCupMatches!Q287</f>
        <v>0</v>
      </c>
      <c r="D287" s="1">
        <f>WorldCupMatches!R287</f>
        <v>0</v>
      </c>
      <c r="E287" s="1" t="str">
        <f>WorldCupMatches!S287</f>
        <v>Peru</v>
      </c>
      <c r="F287" s="1" t="str">
        <f>WorldCupMatches!T287</f>
        <v xml:space="preserve"> </v>
      </c>
      <c r="G287" s="1" t="str">
        <f>WorldCupMatches!U287</f>
        <v>Group stages</v>
      </c>
      <c r="J287" s="1">
        <f>COUNTIF($L$2:L287,L287)</f>
        <v>6</v>
      </c>
      <c r="K287" s="1">
        <f>Table3[[#This Row],[Year]]</f>
        <v>1978</v>
      </c>
      <c r="L287" s="1" t="str">
        <f>Table3[[#This Row],[Hometeam]]</f>
        <v>Netherlands</v>
      </c>
      <c r="M287" s="1" t="str">
        <f>IF(J287=1,J287+ROWS($J$2:J287)/10000,"")</f>
        <v/>
      </c>
      <c r="N287" s="1" t="str">
        <f>IFERROR(SMALL($M$2:$M$1705,ROWS($M$2:M287)),"")</f>
        <v/>
      </c>
      <c r="O287" s="1" t="str">
        <f>IF(N287&lt;&gt;"",INDEX($L$2:$L$1705,MATCH(N287,$M$2:$M$1705,0)),"")</f>
        <v/>
      </c>
      <c r="P287" s="1" t="str">
        <f>IF(O287&lt;&gt;"",ROWS($O$2:O287),"")</f>
        <v/>
      </c>
    </row>
    <row r="288" spans="1:16" x14ac:dyDescent="0.2">
      <c r="A288" s="1">
        <f>WorldCupMatches!O288</f>
        <v>1978</v>
      </c>
      <c r="B288" s="1" t="str">
        <f>WorldCupMatches!P288</f>
        <v>France</v>
      </c>
      <c r="C288" s="1">
        <f>WorldCupMatches!Q288</f>
        <v>3</v>
      </c>
      <c r="D288" s="1">
        <f>WorldCupMatches!R288</f>
        <v>1</v>
      </c>
      <c r="E288" s="1" t="str">
        <f>WorldCupMatches!S288</f>
        <v>Hungary</v>
      </c>
      <c r="F288" s="1" t="str">
        <f>WorldCupMatches!T288</f>
        <v xml:space="preserve"> </v>
      </c>
      <c r="G288" s="1" t="str">
        <f>WorldCupMatches!U288</f>
        <v>Group stages</v>
      </c>
      <c r="J288" s="1">
        <f>COUNTIF($L$2:L288,L288)</f>
        <v>9</v>
      </c>
      <c r="K288" s="1">
        <f>Table3[[#This Row],[Year]]</f>
        <v>1978</v>
      </c>
      <c r="L288" s="1" t="str">
        <f>Table3[[#This Row],[Hometeam]]</f>
        <v>France</v>
      </c>
      <c r="M288" s="1" t="str">
        <f>IF(J288=1,J288+ROWS($J$2:J288)/10000,"")</f>
        <v/>
      </c>
      <c r="N288" s="1" t="str">
        <f>IFERROR(SMALL($M$2:$M$1705,ROWS($M$2:M288)),"")</f>
        <v/>
      </c>
      <c r="O288" s="1" t="str">
        <f>IF(N288&lt;&gt;"",INDEX($L$2:$L$1705,MATCH(N288,$M$2:$M$1705,0)),"")</f>
        <v/>
      </c>
      <c r="P288" s="1" t="str">
        <f>IF(O288&lt;&gt;"",ROWS($O$2:O288),"")</f>
        <v/>
      </c>
    </row>
    <row r="289" spans="1:16" x14ac:dyDescent="0.2">
      <c r="A289" s="1">
        <f>WorldCupMatches!O289</f>
        <v>1978</v>
      </c>
      <c r="B289" s="1" t="str">
        <f>WorldCupMatches!P289</f>
        <v>Poland</v>
      </c>
      <c r="C289" s="1">
        <f>WorldCupMatches!Q289</f>
        <v>3</v>
      </c>
      <c r="D289" s="1">
        <f>WorldCupMatches!R289</f>
        <v>1</v>
      </c>
      <c r="E289" s="1" t="str">
        <f>WorldCupMatches!S289</f>
        <v>Mexico</v>
      </c>
      <c r="F289" s="1" t="str">
        <f>WorldCupMatches!T289</f>
        <v xml:space="preserve"> </v>
      </c>
      <c r="G289" s="1" t="str">
        <f>WorldCupMatches!U289</f>
        <v>Group stages</v>
      </c>
      <c r="J289" s="1">
        <f>COUNTIF($L$2:L289,L289)</f>
        <v>6</v>
      </c>
      <c r="K289" s="1">
        <f>Table3[[#This Row],[Year]]</f>
        <v>1978</v>
      </c>
      <c r="L289" s="1" t="str">
        <f>Table3[[#This Row],[Hometeam]]</f>
        <v>Poland</v>
      </c>
      <c r="M289" s="1" t="str">
        <f>IF(J289=1,J289+ROWS($J$2:J289)/10000,"")</f>
        <v/>
      </c>
      <c r="N289" s="1" t="str">
        <f>IFERROR(SMALL($M$2:$M$1705,ROWS($M$2:M289)),"")</f>
        <v/>
      </c>
      <c r="O289" s="1" t="str">
        <f>IF(N289&lt;&gt;"",INDEX($L$2:$L$1705,MATCH(N289,$M$2:$M$1705,0)),"")</f>
        <v/>
      </c>
      <c r="P289" s="1" t="str">
        <f>IF(O289&lt;&gt;"",ROWS($O$2:O289),"")</f>
        <v/>
      </c>
    </row>
    <row r="290" spans="1:16" x14ac:dyDescent="0.2">
      <c r="A290" s="1">
        <f>WorldCupMatches!O290</f>
        <v>1978</v>
      </c>
      <c r="B290" s="1" t="str">
        <f>WorldCupMatches!P290</f>
        <v>Germany FR</v>
      </c>
      <c r="C290" s="1">
        <f>WorldCupMatches!Q290</f>
        <v>0</v>
      </c>
      <c r="D290" s="1">
        <f>WorldCupMatches!R290</f>
        <v>0</v>
      </c>
      <c r="E290" s="1" t="str">
        <f>WorldCupMatches!S290</f>
        <v>Tunisia</v>
      </c>
      <c r="F290" s="1" t="str">
        <f>WorldCupMatches!T290</f>
        <v xml:space="preserve"> </v>
      </c>
      <c r="G290" s="1" t="str">
        <f>WorldCupMatches!U290</f>
        <v>Group stages</v>
      </c>
      <c r="J290" s="1">
        <f>COUNTIF($L$2:L290,L290)</f>
        <v>26</v>
      </c>
      <c r="K290" s="1">
        <f>Table3[[#This Row],[Year]]</f>
        <v>1978</v>
      </c>
      <c r="L290" s="1" t="str">
        <f>Table3[[#This Row],[Hometeam]]</f>
        <v>Germany FR</v>
      </c>
      <c r="M290" s="1" t="str">
        <f>IF(J290=1,J290+ROWS($J$2:J290)/10000,"")</f>
        <v/>
      </c>
      <c r="N290" s="1" t="str">
        <f>IFERROR(SMALL($M$2:$M$1705,ROWS($M$2:M290)),"")</f>
        <v/>
      </c>
      <c r="O290" s="1" t="str">
        <f>IF(N290&lt;&gt;"",INDEX($L$2:$L$1705,MATCH(N290,$M$2:$M$1705,0)),"")</f>
        <v/>
      </c>
      <c r="P290" s="1" t="str">
        <f>IF(O290&lt;&gt;"",ROWS($O$2:O290),"")</f>
        <v/>
      </c>
    </row>
    <row r="291" spans="1:16" x14ac:dyDescent="0.2">
      <c r="A291" s="1">
        <f>WorldCupMatches!O291</f>
        <v>1978</v>
      </c>
      <c r="B291" s="1" t="str">
        <f>WorldCupMatches!P291</f>
        <v>Italy</v>
      </c>
      <c r="C291" s="1">
        <f>WorldCupMatches!Q291</f>
        <v>1</v>
      </c>
      <c r="D291" s="1">
        <f>WorldCupMatches!R291</f>
        <v>0</v>
      </c>
      <c r="E291" s="1" t="str">
        <f>WorldCupMatches!S291</f>
        <v>Argentina</v>
      </c>
      <c r="F291" s="1" t="str">
        <f>WorldCupMatches!T291</f>
        <v xml:space="preserve"> </v>
      </c>
      <c r="G291" s="1" t="str">
        <f>WorldCupMatches!U291</f>
        <v>Group stages</v>
      </c>
      <c r="J291" s="1">
        <f>COUNTIF($L$2:L291,L291)</f>
        <v>21</v>
      </c>
      <c r="K291" s="1">
        <f>Table3[[#This Row],[Year]]</f>
        <v>1978</v>
      </c>
      <c r="L291" s="1" t="str">
        <f>Table3[[#This Row],[Hometeam]]</f>
        <v>Italy</v>
      </c>
      <c r="M291" s="1" t="str">
        <f>IF(J291=1,J291+ROWS($J$2:J291)/10000,"")</f>
        <v/>
      </c>
      <c r="N291" s="1" t="str">
        <f>IFERROR(SMALL($M$2:$M$1705,ROWS($M$2:M291)),"")</f>
        <v/>
      </c>
      <c r="O291" s="1" t="str">
        <f>IF(N291&lt;&gt;"",INDEX($L$2:$L$1705,MATCH(N291,$M$2:$M$1705,0)),"")</f>
        <v/>
      </c>
      <c r="P291" s="1" t="str">
        <f>IF(O291&lt;&gt;"",ROWS($O$2:O291),"")</f>
        <v/>
      </c>
    </row>
    <row r="292" spans="1:16" x14ac:dyDescent="0.2">
      <c r="A292" s="1">
        <f>WorldCupMatches!O292</f>
        <v>1978</v>
      </c>
      <c r="B292" s="1" t="str">
        <f>WorldCupMatches!P292</f>
        <v>Brazil</v>
      </c>
      <c r="C292" s="1">
        <f>WorldCupMatches!Q292</f>
        <v>1</v>
      </c>
      <c r="D292" s="1">
        <f>WorldCupMatches!R292</f>
        <v>0</v>
      </c>
      <c r="E292" s="1" t="str">
        <f>WorldCupMatches!S292</f>
        <v>Austria</v>
      </c>
      <c r="F292" s="1" t="str">
        <f>WorldCupMatches!T292</f>
        <v xml:space="preserve"> </v>
      </c>
      <c r="G292" s="1" t="str">
        <f>WorldCupMatches!U292</f>
        <v>Group stages</v>
      </c>
      <c r="J292" s="1">
        <f>COUNTIF($L$2:L292,L292)</f>
        <v>36</v>
      </c>
      <c r="K292" s="1">
        <f>Table3[[#This Row],[Year]]</f>
        <v>1978</v>
      </c>
      <c r="L292" s="1" t="str">
        <f>Table3[[#This Row],[Hometeam]]</f>
        <v>Brazil</v>
      </c>
      <c r="M292" s="1" t="str">
        <f>IF(J292=1,J292+ROWS($J$2:J292)/10000,"")</f>
        <v/>
      </c>
      <c r="N292" s="1" t="str">
        <f>IFERROR(SMALL($M$2:$M$1705,ROWS($M$2:M292)),"")</f>
        <v/>
      </c>
      <c r="O292" s="1" t="str">
        <f>IF(N292&lt;&gt;"",INDEX($L$2:$L$1705,MATCH(N292,$M$2:$M$1705,0)),"")</f>
        <v/>
      </c>
      <c r="P292" s="1" t="str">
        <f>IF(O292&lt;&gt;"",ROWS($O$2:O292),"")</f>
        <v/>
      </c>
    </row>
    <row r="293" spans="1:16" x14ac:dyDescent="0.2">
      <c r="A293" s="1">
        <f>WorldCupMatches!O293</f>
        <v>1978</v>
      </c>
      <c r="B293" s="1" t="str">
        <f>WorldCupMatches!P293</f>
        <v>Spain</v>
      </c>
      <c r="C293" s="1">
        <f>WorldCupMatches!Q293</f>
        <v>1</v>
      </c>
      <c r="D293" s="1">
        <f>WorldCupMatches!R293</f>
        <v>0</v>
      </c>
      <c r="E293" s="1" t="str">
        <f>WorldCupMatches!S293</f>
        <v>Sweden</v>
      </c>
      <c r="F293" s="1" t="str">
        <f>WorldCupMatches!T293</f>
        <v xml:space="preserve"> </v>
      </c>
      <c r="G293" s="1" t="str">
        <f>WorldCupMatches!U293</f>
        <v>Group stages</v>
      </c>
      <c r="J293" s="1">
        <f>COUNTIF($L$2:L293,L293)</f>
        <v>7</v>
      </c>
      <c r="K293" s="1">
        <f>Table3[[#This Row],[Year]]</f>
        <v>1978</v>
      </c>
      <c r="L293" s="1" t="str">
        <f>Table3[[#This Row],[Hometeam]]</f>
        <v>Spain</v>
      </c>
      <c r="M293" s="1" t="str">
        <f>IF(J293=1,J293+ROWS($J$2:J293)/10000,"")</f>
        <v/>
      </c>
      <c r="N293" s="1" t="str">
        <f>IFERROR(SMALL($M$2:$M$1705,ROWS($M$2:M293)),"")</f>
        <v/>
      </c>
      <c r="O293" s="1" t="str">
        <f>IF(N293&lt;&gt;"",INDEX($L$2:$L$1705,MATCH(N293,$M$2:$M$1705,0)),"")</f>
        <v/>
      </c>
      <c r="P293" s="1" t="str">
        <f>IF(O293&lt;&gt;"",ROWS($O$2:O293),"")</f>
        <v/>
      </c>
    </row>
    <row r="294" spans="1:16" x14ac:dyDescent="0.2">
      <c r="A294" s="1">
        <f>WorldCupMatches!O294</f>
        <v>1978</v>
      </c>
      <c r="B294" s="1" t="str">
        <f>WorldCupMatches!P294</f>
        <v>Peru</v>
      </c>
      <c r="C294" s="1">
        <f>WorldCupMatches!Q294</f>
        <v>4</v>
      </c>
      <c r="D294" s="1">
        <f>WorldCupMatches!R294</f>
        <v>1</v>
      </c>
      <c r="E294" s="1" t="str">
        <f>WorldCupMatches!S294</f>
        <v>Iran</v>
      </c>
      <c r="F294" s="1" t="str">
        <f>WorldCupMatches!T294</f>
        <v xml:space="preserve"> </v>
      </c>
      <c r="G294" s="1" t="str">
        <f>WorldCupMatches!U294</f>
        <v>Group stages</v>
      </c>
      <c r="J294" s="1">
        <f>COUNTIF($L$2:L294,L294)</f>
        <v>4</v>
      </c>
      <c r="K294" s="1">
        <f>Table3[[#This Row],[Year]]</f>
        <v>1978</v>
      </c>
      <c r="L294" s="1" t="str">
        <f>Table3[[#This Row],[Hometeam]]</f>
        <v>Peru</v>
      </c>
      <c r="M294" s="1" t="str">
        <f>IF(J294=1,J294+ROWS($J$2:J294)/10000,"")</f>
        <v/>
      </c>
      <c r="N294" s="1" t="str">
        <f>IFERROR(SMALL($M$2:$M$1705,ROWS($M$2:M294)),"")</f>
        <v/>
      </c>
      <c r="O294" s="1" t="str">
        <f>IF(N294&lt;&gt;"",INDEX($L$2:$L$1705,MATCH(N294,$M$2:$M$1705,0)),"")</f>
        <v/>
      </c>
      <c r="P294" s="1" t="str">
        <f>IF(O294&lt;&gt;"",ROWS($O$2:O294),"")</f>
        <v/>
      </c>
    </row>
    <row r="295" spans="1:16" x14ac:dyDescent="0.2">
      <c r="A295" s="1">
        <f>WorldCupMatches!O295</f>
        <v>1978</v>
      </c>
      <c r="B295" s="1" t="str">
        <f>WorldCupMatches!P295</f>
        <v>Scotland</v>
      </c>
      <c r="C295" s="1">
        <f>WorldCupMatches!Q295</f>
        <v>3</v>
      </c>
      <c r="D295" s="1">
        <f>WorldCupMatches!R295</f>
        <v>2</v>
      </c>
      <c r="E295" s="1" t="str">
        <f>WorldCupMatches!S295</f>
        <v>Netherlands</v>
      </c>
      <c r="F295" s="1" t="str">
        <f>WorldCupMatches!T295</f>
        <v xml:space="preserve"> </v>
      </c>
      <c r="G295" s="1" t="str">
        <f>WorldCupMatches!U295</f>
        <v>Group stages</v>
      </c>
      <c r="J295" s="1">
        <f>COUNTIF($L$2:L295,L295)</f>
        <v>4</v>
      </c>
      <c r="K295" s="1">
        <f>Table3[[#This Row],[Year]]</f>
        <v>1978</v>
      </c>
      <c r="L295" s="1" t="str">
        <f>Table3[[#This Row],[Hometeam]]</f>
        <v>Scotland</v>
      </c>
      <c r="M295" s="1" t="str">
        <f>IF(J295=1,J295+ROWS($J$2:J295)/10000,"")</f>
        <v/>
      </c>
      <c r="N295" s="1" t="str">
        <f>IFERROR(SMALL($M$2:$M$1705,ROWS($M$2:M295)),"")</f>
        <v/>
      </c>
      <c r="O295" s="1" t="str">
        <f>IF(N295&lt;&gt;"",INDEX($L$2:$L$1705,MATCH(N295,$M$2:$M$1705,0)),"")</f>
        <v/>
      </c>
      <c r="P295" s="1" t="str">
        <f>IF(O295&lt;&gt;"",ROWS($O$2:O295),"")</f>
        <v/>
      </c>
    </row>
    <row r="296" spans="1:16" x14ac:dyDescent="0.2">
      <c r="A296" s="1">
        <f>WorldCupMatches!O296</f>
        <v>1978</v>
      </c>
      <c r="B296" s="1" t="str">
        <f>WorldCupMatches!P296</f>
        <v>Germany FR</v>
      </c>
      <c r="C296" s="1">
        <f>WorldCupMatches!Q296</f>
        <v>0</v>
      </c>
      <c r="D296" s="1">
        <f>WorldCupMatches!R296</f>
        <v>0</v>
      </c>
      <c r="E296" s="1" t="str">
        <f>WorldCupMatches!S296</f>
        <v>Italy</v>
      </c>
      <c r="F296" s="1" t="str">
        <f>WorldCupMatches!T296</f>
        <v xml:space="preserve"> </v>
      </c>
      <c r="G296" s="1" t="str">
        <f>WorldCupMatches!U296</f>
        <v>Group stages</v>
      </c>
      <c r="J296" s="1">
        <f>COUNTIF($L$2:L296,L296)</f>
        <v>27</v>
      </c>
      <c r="K296" s="1">
        <f>Table3[[#This Row],[Year]]</f>
        <v>1978</v>
      </c>
      <c r="L296" s="1" t="str">
        <f>Table3[[#This Row],[Hometeam]]</f>
        <v>Germany FR</v>
      </c>
      <c r="M296" s="1" t="str">
        <f>IF(J296=1,J296+ROWS($J$2:J296)/10000,"")</f>
        <v/>
      </c>
      <c r="N296" s="1" t="str">
        <f>IFERROR(SMALL($M$2:$M$1705,ROWS($M$2:M296)),"")</f>
        <v/>
      </c>
      <c r="O296" s="1" t="str">
        <f>IF(N296&lt;&gt;"",INDEX($L$2:$L$1705,MATCH(N296,$M$2:$M$1705,0)),"")</f>
        <v/>
      </c>
      <c r="P296" s="1" t="str">
        <f>IF(O296&lt;&gt;"",ROWS($O$2:O296),"")</f>
        <v/>
      </c>
    </row>
    <row r="297" spans="1:16" x14ac:dyDescent="0.2">
      <c r="A297" s="1">
        <f>WorldCupMatches!O297</f>
        <v>1978</v>
      </c>
      <c r="B297" s="1" t="str">
        <f>WorldCupMatches!P297</f>
        <v>Netherlands</v>
      </c>
      <c r="C297" s="1">
        <f>WorldCupMatches!Q297</f>
        <v>5</v>
      </c>
      <c r="D297" s="1">
        <f>WorldCupMatches!R297</f>
        <v>1</v>
      </c>
      <c r="E297" s="1" t="str">
        <f>WorldCupMatches!S297</f>
        <v>Austria</v>
      </c>
      <c r="F297" s="1" t="str">
        <f>WorldCupMatches!T297</f>
        <v xml:space="preserve"> </v>
      </c>
      <c r="G297" s="1" t="str">
        <f>WorldCupMatches!U297</f>
        <v>Group stages</v>
      </c>
      <c r="J297" s="1">
        <f>COUNTIF($L$2:L297,L297)</f>
        <v>7</v>
      </c>
      <c r="K297" s="1">
        <f>Table3[[#This Row],[Year]]</f>
        <v>1978</v>
      </c>
      <c r="L297" s="1" t="str">
        <f>Table3[[#This Row],[Hometeam]]</f>
        <v>Netherlands</v>
      </c>
      <c r="M297" s="1" t="str">
        <f>IF(J297=1,J297+ROWS($J$2:J297)/10000,"")</f>
        <v/>
      </c>
      <c r="N297" s="1" t="str">
        <f>IFERROR(SMALL($M$2:$M$1705,ROWS($M$2:M297)),"")</f>
        <v/>
      </c>
      <c r="O297" s="1" t="str">
        <f>IF(N297&lt;&gt;"",INDEX($L$2:$L$1705,MATCH(N297,$M$2:$M$1705,0)),"")</f>
        <v/>
      </c>
      <c r="P297" s="1" t="str">
        <f>IF(O297&lt;&gt;"",ROWS($O$2:O297),"")</f>
        <v/>
      </c>
    </row>
    <row r="298" spans="1:16" x14ac:dyDescent="0.2">
      <c r="A298" s="1">
        <f>WorldCupMatches!O298</f>
        <v>1978</v>
      </c>
      <c r="B298" s="1" t="str">
        <f>WorldCupMatches!P298</f>
        <v>Brazil</v>
      </c>
      <c r="C298" s="1">
        <f>WorldCupMatches!Q298</f>
        <v>3</v>
      </c>
      <c r="D298" s="1">
        <f>WorldCupMatches!R298</f>
        <v>0</v>
      </c>
      <c r="E298" s="1" t="str">
        <f>WorldCupMatches!S298</f>
        <v>Peru</v>
      </c>
      <c r="F298" s="1" t="str">
        <f>WorldCupMatches!T298</f>
        <v xml:space="preserve"> </v>
      </c>
      <c r="G298" s="1" t="str">
        <f>WorldCupMatches!U298</f>
        <v>Group stages</v>
      </c>
      <c r="J298" s="1">
        <f>COUNTIF($L$2:L298,L298)</f>
        <v>37</v>
      </c>
      <c r="K298" s="1">
        <f>Table3[[#This Row],[Year]]</f>
        <v>1978</v>
      </c>
      <c r="L298" s="1" t="str">
        <f>Table3[[#This Row],[Hometeam]]</f>
        <v>Brazil</v>
      </c>
      <c r="M298" s="1" t="str">
        <f>IF(J298=1,J298+ROWS($J$2:J298)/10000,"")</f>
        <v/>
      </c>
      <c r="N298" s="1" t="str">
        <f>IFERROR(SMALL($M$2:$M$1705,ROWS($M$2:M298)),"")</f>
        <v/>
      </c>
      <c r="O298" s="1" t="str">
        <f>IF(N298&lt;&gt;"",INDEX($L$2:$L$1705,MATCH(N298,$M$2:$M$1705,0)),"")</f>
        <v/>
      </c>
      <c r="P298" s="1" t="str">
        <f>IF(O298&lt;&gt;"",ROWS($O$2:O298),"")</f>
        <v/>
      </c>
    </row>
    <row r="299" spans="1:16" x14ac:dyDescent="0.2">
      <c r="A299" s="1">
        <f>WorldCupMatches!O299</f>
        <v>1978</v>
      </c>
      <c r="B299" s="1" t="str">
        <f>WorldCupMatches!P299</f>
        <v>Argentina</v>
      </c>
      <c r="C299" s="1">
        <f>WorldCupMatches!Q299</f>
        <v>2</v>
      </c>
      <c r="D299" s="1">
        <f>WorldCupMatches!R299</f>
        <v>0</v>
      </c>
      <c r="E299" s="1" t="str">
        <f>WorldCupMatches!S299</f>
        <v>Poland</v>
      </c>
      <c r="F299" s="1" t="str">
        <f>WorldCupMatches!T299</f>
        <v xml:space="preserve"> </v>
      </c>
      <c r="G299" s="1" t="str">
        <f>WorldCupMatches!U299</f>
        <v>Group stages</v>
      </c>
      <c r="J299" s="1">
        <f>COUNTIF($L$2:L299,L299)</f>
        <v>16</v>
      </c>
      <c r="K299" s="1">
        <f>Table3[[#This Row],[Year]]</f>
        <v>1978</v>
      </c>
      <c r="L299" s="1" t="str">
        <f>Table3[[#This Row],[Hometeam]]</f>
        <v>Argentina</v>
      </c>
      <c r="M299" s="1" t="str">
        <f>IF(J299=1,J299+ROWS($J$2:J299)/10000,"")</f>
        <v/>
      </c>
      <c r="N299" s="1" t="str">
        <f>IFERROR(SMALL($M$2:$M$1705,ROWS($M$2:M299)),"")</f>
        <v/>
      </c>
      <c r="O299" s="1" t="str">
        <f>IF(N299&lt;&gt;"",INDEX($L$2:$L$1705,MATCH(N299,$M$2:$M$1705,0)),"")</f>
        <v/>
      </c>
      <c r="P299" s="1" t="str">
        <f>IF(O299&lt;&gt;"",ROWS($O$2:O299),"")</f>
        <v/>
      </c>
    </row>
    <row r="300" spans="1:16" x14ac:dyDescent="0.2">
      <c r="A300" s="1">
        <f>WorldCupMatches!O300</f>
        <v>1978</v>
      </c>
      <c r="B300" s="1" t="str">
        <f>WorldCupMatches!P300</f>
        <v>Poland</v>
      </c>
      <c r="C300" s="1">
        <f>WorldCupMatches!Q300</f>
        <v>1</v>
      </c>
      <c r="D300" s="1">
        <f>WorldCupMatches!R300</f>
        <v>0</v>
      </c>
      <c r="E300" s="1" t="str">
        <f>WorldCupMatches!S300</f>
        <v>Peru</v>
      </c>
      <c r="F300" s="1" t="str">
        <f>WorldCupMatches!T300</f>
        <v xml:space="preserve"> </v>
      </c>
      <c r="G300" s="1" t="str">
        <f>WorldCupMatches!U300</f>
        <v>Group stages</v>
      </c>
      <c r="J300" s="1">
        <f>COUNTIF($L$2:L300,L300)</f>
        <v>7</v>
      </c>
      <c r="K300" s="1">
        <f>Table3[[#This Row],[Year]]</f>
        <v>1978</v>
      </c>
      <c r="L300" s="1" t="str">
        <f>Table3[[#This Row],[Hometeam]]</f>
        <v>Poland</v>
      </c>
      <c r="M300" s="1" t="str">
        <f>IF(J300=1,J300+ROWS($J$2:J300)/10000,"")</f>
        <v/>
      </c>
      <c r="N300" s="1" t="str">
        <f>IFERROR(SMALL($M$2:$M$1705,ROWS($M$2:M300)),"")</f>
        <v/>
      </c>
      <c r="O300" s="1" t="str">
        <f>IF(N300&lt;&gt;"",INDEX($L$2:$L$1705,MATCH(N300,$M$2:$M$1705,0)),"")</f>
        <v/>
      </c>
      <c r="P300" s="1" t="str">
        <f>IF(O300&lt;&gt;"",ROWS($O$2:O300),"")</f>
        <v/>
      </c>
    </row>
    <row r="301" spans="1:16" x14ac:dyDescent="0.2">
      <c r="A301" s="1">
        <f>WorldCupMatches!O301</f>
        <v>1978</v>
      </c>
      <c r="B301" s="1" t="str">
        <f>WorldCupMatches!P301</f>
        <v>Italy</v>
      </c>
      <c r="C301" s="1">
        <f>WorldCupMatches!Q301</f>
        <v>1</v>
      </c>
      <c r="D301" s="1">
        <f>WorldCupMatches!R301</f>
        <v>0</v>
      </c>
      <c r="E301" s="1" t="str">
        <f>WorldCupMatches!S301</f>
        <v>Austria</v>
      </c>
      <c r="F301" s="1" t="str">
        <f>WorldCupMatches!T301</f>
        <v xml:space="preserve"> </v>
      </c>
      <c r="G301" s="1" t="str">
        <f>WorldCupMatches!U301</f>
        <v>Group stages</v>
      </c>
      <c r="J301" s="1">
        <f>COUNTIF($L$2:L301,L301)</f>
        <v>22</v>
      </c>
      <c r="K301" s="1">
        <f>Table3[[#This Row],[Year]]</f>
        <v>1978</v>
      </c>
      <c r="L301" s="1" t="str">
        <f>Table3[[#This Row],[Hometeam]]</f>
        <v>Italy</v>
      </c>
      <c r="M301" s="1" t="str">
        <f>IF(J301=1,J301+ROWS($J$2:J301)/10000,"")</f>
        <v/>
      </c>
      <c r="N301" s="1" t="str">
        <f>IFERROR(SMALL($M$2:$M$1705,ROWS($M$2:M301)),"")</f>
        <v/>
      </c>
      <c r="O301" s="1" t="str">
        <f>IF(N301&lt;&gt;"",INDEX($L$2:$L$1705,MATCH(N301,$M$2:$M$1705,0)),"")</f>
        <v/>
      </c>
      <c r="P301" s="1" t="str">
        <f>IF(O301&lt;&gt;"",ROWS($O$2:O301),"")</f>
        <v/>
      </c>
    </row>
    <row r="302" spans="1:16" x14ac:dyDescent="0.2">
      <c r="A302" s="1">
        <f>WorldCupMatches!O302</f>
        <v>1978</v>
      </c>
      <c r="B302" s="1" t="str">
        <f>WorldCupMatches!P302</f>
        <v>Germany FR</v>
      </c>
      <c r="C302" s="1">
        <f>WorldCupMatches!Q302</f>
        <v>2</v>
      </c>
      <c r="D302" s="1">
        <f>WorldCupMatches!R302</f>
        <v>2</v>
      </c>
      <c r="E302" s="1" t="str">
        <f>WorldCupMatches!S302</f>
        <v>Netherlands</v>
      </c>
      <c r="F302" s="1" t="str">
        <f>WorldCupMatches!T302</f>
        <v xml:space="preserve"> </v>
      </c>
      <c r="G302" s="1" t="str">
        <f>WorldCupMatches!U302</f>
        <v>Group stages</v>
      </c>
      <c r="J302" s="1">
        <f>COUNTIF($L$2:L302,L302)</f>
        <v>28</v>
      </c>
      <c r="K302" s="1">
        <f>Table3[[#This Row],[Year]]</f>
        <v>1978</v>
      </c>
      <c r="L302" s="1" t="str">
        <f>Table3[[#This Row],[Hometeam]]</f>
        <v>Germany FR</v>
      </c>
      <c r="M302" s="1" t="str">
        <f>IF(J302=1,J302+ROWS($J$2:J302)/10000,"")</f>
        <v/>
      </c>
      <c r="N302" s="1" t="str">
        <f>IFERROR(SMALL($M$2:$M$1705,ROWS($M$2:M302)),"")</f>
        <v/>
      </c>
      <c r="O302" s="1" t="str">
        <f>IF(N302&lt;&gt;"",INDEX($L$2:$L$1705,MATCH(N302,$M$2:$M$1705,0)),"")</f>
        <v/>
      </c>
      <c r="P302" s="1" t="str">
        <f>IF(O302&lt;&gt;"",ROWS($O$2:O302),"")</f>
        <v/>
      </c>
    </row>
    <row r="303" spans="1:16" x14ac:dyDescent="0.2">
      <c r="A303" s="1">
        <f>WorldCupMatches!O303</f>
        <v>1978</v>
      </c>
      <c r="B303" s="1" t="str">
        <f>WorldCupMatches!P303</f>
        <v>Argentina</v>
      </c>
      <c r="C303" s="1">
        <f>WorldCupMatches!Q303</f>
        <v>0</v>
      </c>
      <c r="D303" s="1">
        <f>WorldCupMatches!R303</f>
        <v>0</v>
      </c>
      <c r="E303" s="1" t="str">
        <f>WorldCupMatches!S303</f>
        <v>Brazil</v>
      </c>
      <c r="F303" s="1" t="str">
        <f>WorldCupMatches!T303</f>
        <v xml:space="preserve"> </v>
      </c>
      <c r="G303" s="1" t="str">
        <f>WorldCupMatches!U303</f>
        <v>Group stages</v>
      </c>
      <c r="J303" s="1">
        <f>COUNTIF($L$2:L303,L303)</f>
        <v>17</v>
      </c>
      <c r="K303" s="1">
        <f>Table3[[#This Row],[Year]]</f>
        <v>1978</v>
      </c>
      <c r="L303" s="1" t="str">
        <f>Table3[[#This Row],[Hometeam]]</f>
        <v>Argentina</v>
      </c>
      <c r="M303" s="1" t="str">
        <f>IF(J303=1,J303+ROWS($J$2:J303)/10000,"")</f>
        <v/>
      </c>
      <c r="N303" s="1" t="str">
        <f>IFERROR(SMALL($M$2:$M$1705,ROWS($M$2:M303)),"")</f>
        <v/>
      </c>
      <c r="O303" s="1" t="str">
        <f>IF(N303&lt;&gt;"",INDEX($L$2:$L$1705,MATCH(N303,$M$2:$M$1705,0)),"")</f>
        <v/>
      </c>
      <c r="P303" s="1" t="str">
        <f>IF(O303&lt;&gt;"",ROWS($O$2:O303),"")</f>
        <v/>
      </c>
    </row>
    <row r="304" spans="1:16" x14ac:dyDescent="0.2">
      <c r="A304" s="1">
        <f>WorldCupMatches!O304</f>
        <v>1978</v>
      </c>
      <c r="B304" s="1" t="str">
        <f>WorldCupMatches!P304</f>
        <v>Netherlands</v>
      </c>
      <c r="C304" s="1">
        <f>WorldCupMatches!Q304</f>
        <v>2</v>
      </c>
      <c r="D304" s="1">
        <f>WorldCupMatches!R304</f>
        <v>1</v>
      </c>
      <c r="E304" s="1" t="str">
        <f>WorldCupMatches!S304</f>
        <v>Italy</v>
      </c>
      <c r="F304" s="1" t="str">
        <f>WorldCupMatches!T304</f>
        <v xml:space="preserve"> </v>
      </c>
      <c r="G304" s="1" t="str">
        <f>WorldCupMatches!U304</f>
        <v>Group stages</v>
      </c>
      <c r="J304" s="1">
        <f>COUNTIF($L$2:L304,L304)</f>
        <v>8</v>
      </c>
      <c r="K304" s="1">
        <f>Table3[[#This Row],[Year]]</f>
        <v>1978</v>
      </c>
      <c r="L304" s="1" t="str">
        <f>Table3[[#This Row],[Hometeam]]</f>
        <v>Netherlands</v>
      </c>
      <c r="M304" s="1" t="str">
        <f>IF(J304=1,J304+ROWS($J$2:J304)/10000,"")</f>
        <v/>
      </c>
      <c r="N304" s="1" t="str">
        <f>IFERROR(SMALL($M$2:$M$1705,ROWS($M$2:M304)),"")</f>
        <v/>
      </c>
      <c r="O304" s="1" t="str">
        <f>IF(N304&lt;&gt;"",INDEX($L$2:$L$1705,MATCH(N304,$M$2:$M$1705,0)),"")</f>
        <v/>
      </c>
      <c r="P304" s="1" t="str">
        <f>IF(O304&lt;&gt;"",ROWS($O$2:O304),"")</f>
        <v/>
      </c>
    </row>
    <row r="305" spans="1:16" x14ac:dyDescent="0.2">
      <c r="A305" s="1">
        <f>WorldCupMatches!O305</f>
        <v>1978</v>
      </c>
      <c r="B305" s="1" t="str">
        <f>WorldCupMatches!P305</f>
        <v>Austria</v>
      </c>
      <c r="C305" s="1">
        <f>WorldCupMatches!Q305</f>
        <v>3</v>
      </c>
      <c r="D305" s="1">
        <f>WorldCupMatches!R305</f>
        <v>2</v>
      </c>
      <c r="E305" s="1" t="str">
        <f>WorldCupMatches!S305</f>
        <v>Germany FR</v>
      </c>
      <c r="F305" s="1" t="str">
        <f>WorldCupMatches!T305</f>
        <v xml:space="preserve"> </v>
      </c>
      <c r="G305" s="1" t="str">
        <f>WorldCupMatches!U305</f>
        <v>Group stages</v>
      </c>
      <c r="J305" s="1">
        <f>COUNTIF($L$2:L305,L305)</f>
        <v>9</v>
      </c>
      <c r="K305" s="1">
        <f>Table3[[#This Row],[Year]]</f>
        <v>1978</v>
      </c>
      <c r="L305" s="1" t="str">
        <f>Table3[[#This Row],[Hometeam]]</f>
        <v>Austria</v>
      </c>
      <c r="M305" s="1" t="str">
        <f>IF(J305=1,J305+ROWS($J$2:J305)/10000,"")</f>
        <v/>
      </c>
      <c r="N305" s="1" t="str">
        <f>IFERROR(SMALL($M$2:$M$1705,ROWS($M$2:M305)),"")</f>
        <v/>
      </c>
      <c r="O305" s="1" t="str">
        <f>IF(N305&lt;&gt;"",INDEX($L$2:$L$1705,MATCH(N305,$M$2:$M$1705,0)),"")</f>
        <v/>
      </c>
      <c r="P305" s="1" t="str">
        <f>IF(O305&lt;&gt;"",ROWS($O$2:O305),"")</f>
        <v/>
      </c>
    </row>
    <row r="306" spans="1:16" x14ac:dyDescent="0.2">
      <c r="A306" s="1">
        <f>WorldCupMatches!O306</f>
        <v>1978</v>
      </c>
      <c r="B306" s="1" t="str">
        <f>WorldCupMatches!P306</f>
        <v>Brazil</v>
      </c>
      <c r="C306" s="1">
        <f>WorldCupMatches!Q306</f>
        <v>3</v>
      </c>
      <c r="D306" s="1">
        <f>WorldCupMatches!R306</f>
        <v>1</v>
      </c>
      <c r="E306" s="1" t="str">
        <f>WorldCupMatches!S306</f>
        <v>Poland</v>
      </c>
      <c r="F306" s="1" t="str">
        <f>WorldCupMatches!T306</f>
        <v xml:space="preserve"> </v>
      </c>
      <c r="G306" s="1" t="str">
        <f>WorldCupMatches!U306</f>
        <v>Group stages</v>
      </c>
      <c r="J306" s="1">
        <f>COUNTIF($L$2:L306,L306)</f>
        <v>38</v>
      </c>
      <c r="K306" s="1">
        <f>Table3[[#This Row],[Year]]</f>
        <v>1978</v>
      </c>
      <c r="L306" s="1" t="str">
        <f>Table3[[#This Row],[Hometeam]]</f>
        <v>Brazil</v>
      </c>
      <c r="M306" s="1" t="str">
        <f>IF(J306=1,J306+ROWS($J$2:J306)/10000,"")</f>
        <v/>
      </c>
      <c r="N306" s="1" t="str">
        <f>IFERROR(SMALL($M$2:$M$1705,ROWS($M$2:M306)),"")</f>
        <v/>
      </c>
      <c r="O306" s="1" t="str">
        <f>IF(N306&lt;&gt;"",INDEX($L$2:$L$1705,MATCH(N306,$M$2:$M$1705,0)),"")</f>
        <v/>
      </c>
      <c r="P306" s="1" t="str">
        <f>IF(O306&lt;&gt;"",ROWS($O$2:O306),"")</f>
        <v/>
      </c>
    </row>
    <row r="307" spans="1:16" x14ac:dyDescent="0.2">
      <c r="A307" s="1">
        <f>WorldCupMatches!O307</f>
        <v>1978</v>
      </c>
      <c r="B307" s="1" t="str">
        <f>WorldCupMatches!P307</f>
        <v>Argentina</v>
      </c>
      <c r="C307" s="1">
        <f>WorldCupMatches!Q307</f>
        <v>6</v>
      </c>
      <c r="D307" s="1">
        <f>WorldCupMatches!R307</f>
        <v>0</v>
      </c>
      <c r="E307" s="1" t="str">
        <f>WorldCupMatches!S307</f>
        <v>Peru</v>
      </c>
      <c r="F307" s="1" t="str">
        <f>WorldCupMatches!T307</f>
        <v xml:space="preserve"> </v>
      </c>
      <c r="G307" s="1" t="str">
        <f>WorldCupMatches!U307</f>
        <v>Group stages</v>
      </c>
      <c r="J307" s="1">
        <f>COUNTIF($L$2:L307,L307)</f>
        <v>18</v>
      </c>
      <c r="K307" s="1">
        <f>Table3[[#This Row],[Year]]</f>
        <v>1978</v>
      </c>
      <c r="L307" s="1" t="str">
        <f>Table3[[#This Row],[Hometeam]]</f>
        <v>Argentina</v>
      </c>
      <c r="M307" s="1" t="str">
        <f>IF(J307=1,J307+ROWS($J$2:J307)/10000,"")</f>
        <v/>
      </c>
      <c r="N307" s="1" t="str">
        <f>IFERROR(SMALL($M$2:$M$1705,ROWS($M$2:M307)),"")</f>
        <v/>
      </c>
      <c r="O307" s="1" t="str">
        <f>IF(N307&lt;&gt;"",INDEX($L$2:$L$1705,MATCH(N307,$M$2:$M$1705,0)),"")</f>
        <v/>
      </c>
      <c r="P307" s="1" t="str">
        <f>IF(O307&lt;&gt;"",ROWS($O$2:O307),"")</f>
        <v/>
      </c>
    </row>
    <row r="308" spans="1:16" x14ac:dyDescent="0.2">
      <c r="A308" s="1">
        <f>WorldCupMatches!O308</f>
        <v>1978</v>
      </c>
      <c r="B308" s="1" t="str">
        <f>WorldCupMatches!P308</f>
        <v>Brazil</v>
      </c>
      <c r="C308" s="1">
        <f>WorldCupMatches!Q308</f>
        <v>2</v>
      </c>
      <c r="D308" s="1">
        <f>WorldCupMatches!R308</f>
        <v>1</v>
      </c>
      <c r="E308" s="1" t="str">
        <f>WorldCupMatches!S308</f>
        <v>Italy</v>
      </c>
      <c r="F308" s="1" t="str">
        <f>WorldCupMatches!T308</f>
        <v xml:space="preserve"> </v>
      </c>
      <c r="G308" s="1" t="str">
        <f>WorldCupMatches!U308</f>
        <v>Match for third place</v>
      </c>
      <c r="J308" s="1">
        <f>COUNTIF($L$2:L308,L308)</f>
        <v>39</v>
      </c>
      <c r="K308" s="1">
        <f>Table3[[#This Row],[Year]]</f>
        <v>1978</v>
      </c>
      <c r="L308" s="1" t="str">
        <f>Table3[[#This Row],[Hometeam]]</f>
        <v>Brazil</v>
      </c>
      <c r="M308" s="1" t="str">
        <f>IF(J308=1,J308+ROWS($J$2:J308)/10000,"")</f>
        <v/>
      </c>
      <c r="N308" s="1" t="str">
        <f>IFERROR(SMALL($M$2:$M$1705,ROWS($M$2:M308)),"")</f>
        <v/>
      </c>
      <c r="O308" s="1" t="str">
        <f>IF(N308&lt;&gt;"",INDEX($L$2:$L$1705,MATCH(N308,$M$2:$M$1705,0)),"")</f>
        <v/>
      </c>
      <c r="P308" s="1" t="str">
        <f>IF(O308&lt;&gt;"",ROWS($O$2:O308),"")</f>
        <v/>
      </c>
    </row>
    <row r="309" spans="1:16" x14ac:dyDescent="0.2">
      <c r="A309" s="1">
        <f>WorldCupMatches!O309</f>
        <v>1978</v>
      </c>
      <c r="B309" s="1" t="str">
        <f>WorldCupMatches!P309</f>
        <v>Argentina</v>
      </c>
      <c r="C309" s="1">
        <f>WorldCupMatches!Q309</f>
        <v>3</v>
      </c>
      <c r="D309" s="1">
        <f>WorldCupMatches!R309</f>
        <v>1</v>
      </c>
      <c r="E309" s="1" t="str">
        <f>WorldCupMatches!S309</f>
        <v>Netherlands</v>
      </c>
      <c r="F309" s="1" t="str">
        <f>WorldCupMatches!T309</f>
        <v xml:space="preserve">Argentina win after extra time </v>
      </c>
      <c r="G309" s="1" t="str">
        <f>WorldCupMatches!U309</f>
        <v>Final</v>
      </c>
      <c r="J309" s="1">
        <f>COUNTIF($L$2:L309,L309)</f>
        <v>19</v>
      </c>
      <c r="K309" s="1">
        <f>Table3[[#This Row],[Year]]</f>
        <v>1978</v>
      </c>
      <c r="L309" s="1" t="str">
        <f>Table3[[#This Row],[Hometeam]]</f>
        <v>Argentina</v>
      </c>
      <c r="M309" s="1" t="str">
        <f>IF(J309=1,J309+ROWS($J$2:J309)/10000,"")</f>
        <v/>
      </c>
      <c r="N309" s="1" t="str">
        <f>IFERROR(SMALL($M$2:$M$1705,ROWS($M$2:M309)),"")</f>
        <v/>
      </c>
      <c r="O309" s="1" t="str">
        <f>IF(N309&lt;&gt;"",INDEX($L$2:$L$1705,MATCH(N309,$M$2:$M$1705,0)),"")</f>
        <v/>
      </c>
      <c r="P309" s="1" t="str">
        <f>IF(O309&lt;&gt;"",ROWS($O$2:O309),"")</f>
        <v/>
      </c>
    </row>
    <row r="310" spans="1:16" x14ac:dyDescent="0.2">
      <c r="A310" s="1">
        <f>WorldCupMatches!O310</f>
        <v>1982</v>
      </c>
      <c r="B310" s="1" t="str">
        <f>WorldCupMatches!P310</f>
        <v>Argentina</v>
      </c>
      <c r="C310" s="1">
        <f>WorldCupMatches!Q310</f>
        <v>0</v>
      </c>
      <c r="D310" s="1">
        <f>WorldCupMatches!R310</f>
        <v>1</v>
      </c>
      <c r="E310" s="1" t="str">
        <f>WorldCupMatches!S310</f>
        <v>Belgium</v>
      </c>
      <c r="F310" s="1" t="str">
        <f>WorldCupMatches!T310</f>
        <v xml:space="preserve"> </v>
      </c>
      <c r="G310" s="1" t="str">
        <f>WorldCupMatches!U310</f>
        <v>Group stages</v>
      </c>
      <c r="J310" s="1">
        <f>COUNTIF($L$2:L310,L310)</f>
        <v>20</v>
      </c>
      <c r="K310" s="1">
        <f>Table3[[#This Row],[Year]]</f>
        <v>1982</v>
      </c>
      <c r="L310" s="1" t="str">
        <f>Table3[[#This Row],[Hometeam]]</f>
        <v>Argentina</v>
      </c>
      <c r="M310" s="1" t="str">
        <f>IF(J310=1,J310+ROWS($J$2:J310)/10000,"")</f>
        <v/>
      </c>
      <c r="N310" s="1" t="str">
        <f>IFERROR(SMALL($M$2:$M$1705,ROWS($M$2:M310)),"")</f>
        <v/>
      </c>
      <c r="O310" s="1" t="str">
        <f>IF(N310&lt;&gt;"",INDEX($L$2:$L$1705,MATCH(N310,$M$2:$M$1705,0)),"")</f>
        <v/>
      </c>
      <c r="P310" s="1" t="str">
        <f>IF(O310&lt;&gt;"",ROWS($O$2:O310),"")</f>
        <v/>
      </c>
    </row>
    <row r="311" spans="1:16" x14ac:dyDescent="0.2">
      <c r="A311" s="1">
        <f>WorldCupMatches!O311</f>
        <v>1982</v>
      </c>
      <c r="B311" s="1" t="str">
        <f>WorldCupMatches!P311</f>
        <v>Italy</v>
      </c>
      <c r="C311" s="1">
        <f>WorldCupMatches!Q311</f>
        <v>0</v>
      </c>
      <c r="D311" s="1">
        <f>WorldCupMatches!R311</f>
        <v>0</v>
      </c>
      <c r="E311" s="1" t="str">
        <f>WorldCupMatches!S311</f>
        <v>Poland</v>
      </c>
      <c r="F311" s="1" t="str">
        <f>WorldCupMatches!T311</f>
        <v xml:space="preserve"> </v>
      </c>
      <c r="G311" s="1" t="str">
        <f>WorldCupMatches!U311</f>
        <v>Group stages</v>
      </c>
      <c r="J311" s="1">
        <f>COUNTIF($L$2:L311,L311)</f>
        <v>23</v>
      </c>
      <c r="K311" s="1">
        <f>Table3[[#This Row],[Year]]</f>
        <v>1982</v>
      </c>
      <c r="L311" s="1" t="str">
        <f>Table3[[#This Row],[Hometeam]]</f>
        <v>Italy</v>
      </c>
      <c r="M311" s="1" t="str">
        <f>IF(J311=1,J311+ROWS($J$2:J311)/10000,"")</f>
        <v/>
      </c>
      <c r="N311" s="1" t="str">
        <f>IFERROR(SMALL($M$2:$M$1705,ROWS($M$2:M311)),"")</f>
        <v/>
      </c>
      <c r="O311" s="1" t="str">
        <f>IF(N311&lt;&gt;"",INDEX($L$2:$L$1705,MATCH(N311,$M$2:$M$1705,0)),"")</f>
        <v/>
      </c>
      <c r="P311" s="1" t="str">
        <f>IF(O311&lt;&gt;"",ROWS($O$2:O311),"")</f>
        <v/>
      </c>
    </row>
    <row r="312" spans="1:16" x14ac:dyDescent="0.2">
      <c r="A312" s="1">
        <f>WorldCupMatches!O312</f>
        <v>1982</v>
      </c>
      <c r="B312" s="1" t="str">
        <f>WorldCupMatches!P312</f>
        <v>Brazil</v>
      </c>
      <c r="C312" s="1">
        <f>WorldCupMatches!Q312</f>
        <v>2</v>
      </c>
      <c r="D312" s="1">
        <f>WorldCupMatches!R312</f>
        <v>1</v>
      </c>
      <c r="E312" s="1" t="str">
        <f>WorldCupMatches!S312</f>
        <v>Soviet Union</v>
      </c>
      <c r="F312" s="1" t="str">
        <f>WorldCupMatches!T312</f>
        <v xml:space="preserve"> </v>
      </c>
      <c r="G312" s="1" t="str">
        <f>WorldCupMatches!U312</f>
        <v>Group stages</v>
      </c>
      <c r="J312" s="1">
        <f>COUNTIF($L$2:L312,L312)</f>
        <v>40</v>
      </c>
      <c r="K312" s="1">
        <f>Table3[[#This Row],[Year]]</f>
        <v>1982</v>
      </c>
      <c r="L312" s="1" t="str">
        <f>Table3[[#This Row],[Hometeam]]</f>
        <v>Brazil</v>
      </c>
      <c r="M312" s="1" t="str">
        <f>IF(J312=1,J312+ROWS($J$2:J312)/10000,"")</f>
        <v/>
      </c>
      <c r="N312" s="1" t="str">
        <f>IFERROR(SMALL($M$2:$M$1705,ROWS($M$2:M312)),"")</f>
        <v/>
      </c>
      <c r="O312" s="1" t="str">
        <f>IF(N312&lt;&gt;"",INDEX($L$2:$L$1705,MATCH(N312,$M$2:$M$1705,0)),"")</f>
        <v/>
      </c>
      <c r="P312" s="1" t="str">
        <f>IF(O312&lt;&gt;"",ROWS($O$2:O312),"")</f>
        <v/>
      </c>
    </row>
    <row r="313" spans="1:16" x14ac:dyDescent="0.2">
      <c r="A313" s="1">
        <f>WorldCupMatches!O313</f>
        <v>1982</v>
      </c>
      <c r="B313" s="1" t="str">
        <f>WorldCupMatches!P313</f>
        <v>Peru</v>
      </c>
      <c r="C313" s="1">
        <f>WorldCupMatches!Q313</f>
        <v>0</v>
      </c>
      <c r="D313" s="1">
        <f>WorldCupMatches!R313</f>
        <v>0</v>
      </c>
      <c r="E313" s="1" t="str">
        <f>WorldCupMatches!S313</f>
        <v>Cameroon</v>
      </c>
      <c r="F313" s="1" t="str">
        <f>WorldCupMatches!T313</f>
        <v xml:space="preserve"> </v>
      </c>
      <c r="G313" s="1" t="str">
        <f>WorldCupMatches!U313</f>
        <v>Group stages</v>
      </c>
      <c r="J313" s="1">
        <f>COUNTIF($L$2:L313,L313)</f>
        <v>5</v>
      </c>
      <c r="K313" s="1">
        <f>Table3[[#This Row],[Year]]</f>
        <v>1982</v>
      </c>
      <c r="L313" s="1" t="str">
        <f>Table3[[#This Row],[Hometeam]]</f>
        <v>Peru</v>
      </c>
      <c r="M313" s="1" t="str">
        <f>IF(J313=1,J313+ROWS($J$2:J313)/10000,"")</f>
        <v/>
      </c>
      <c r="N313" s="1" t="str">
        <f>IFERROR(SMALL($M$2:$M$1705,ROWS($M$2:M313)),"")</f>
        <v/>
      </c>
      <c r="O313" s="1" t="str">
        <f>IF(N313&lt;&gt;"",INDEX($L$2:$L$1705,MATCH(N313,$M$2:$M$1705,0)),"")</f>
        <v/>
      </c>
      <c r="P313" s="1" t="str">
        <f>IF(O313&lt;&gt;"",ROWS($O$2:O313),"")</f>
        <v/>
      </c>
    </row>
    <row r="314" spans="1:16" x14ac:dyDescent="0.2">
      <c r="A314" s="1">
        <f>WorldCupMatches!O314</f>
        <v>1982</v>
      </c>
      <c r="B314" s="1" t="str">
        <f>WorldCupMatches!P314</f>
        <v>Hungary</v>
      </c>
      <c r="C314" s="1">
        <f>WorldCupMatches!Q314</f>
        <v>10</v>
      </c>
      <c r="D314" s="1">
        <f>WorldCupMatches!R314</f>
        <v>1</v>
      </c>
      <c r="E314" s="1" t="str">
        <f>WorldCupMatches!S314</f>
        <v>El Salvador</v>
      </c>
      <c r="F314" s="1" t="str">
        <f>WorldCupMatches!T314</f>
        <v xml:space="preserve"> </v>
      </c>
      <c r="G314" s="1" t="str">
        <f>WorldCupMatches!U314</f>
        <v>Group stages</v>
      </c>
      <c r="J314" s="1">
        <f>COUNTIF($L$2:L314,L314)</f>
        <v>16</v>
      </c>
      <c r="K314" s="1">
        <f>Table3[[#This Row],[Year]]</f>
        <v>1982</v>
      </c>
      <c r="L314" s="1" t="str">
        <f>Table3[[#This Row],[Hometeam]]</f>
        <v>Hungary</v>
      </c>
      <c r="M314" s="1" t="str">
        <f>IF(J314=1,J314+ROWS($J$2:J314)/10000,"")</f>
        <v/>
      </c>
      <c r="N314" s="1" t="str">
        <f>IFERROR(SMALL($M$2:$M$1705,ROWS($M$2:M314)),"")</f>
        <v/>
      </c>
      <c r="O314" s="1" t="str">
        <f>IF(N314&lt;&gt;"",INDEX($L$2:$L$1705,MATCH(N314,$M$2:$M$1705,0)),"")</f>
        <v/>
      </c>
      <c r="P314" s="1" t="str">
        <f>IF(O314&lt;&gt;"",ROWS($O$2:O314),"")</f>
        <v/>
      </c>
    </row>
    <row r="315" spans="1:16" x14ac:dyDescent="0.2">
      <c r="A315" s="1">
        <f>WorldCupMatches!O315</f>
        <v>1982</v>
      </c>
      <c r="B315" s="1" t="str">
        <f>WorldCupMatches!P315</f>
        <v>Scotland</v>
      </c>
      <c r="C315" s="1">
        <f>WorldCupMatches!Q315</f>
        <v>5</v>
      </c>
      <c r="D315" s="1">
        <f>WorldCupMatches!R315</f>
        <v>2</v>
      </c>
      <c r="E315" s="1" t="str">
        <f>WorldCupMatches!S315</f>
        <v>New Zealand</v>
      </c>
      <c r="F315" s="1" t="str">
        <f>WorldCupMatches!T315</f>
        <v xml:space="preserve"> </v>
      </c>
      <c r="G315" s="1" t="str">
        <f>WorldCupMatches!U315</f>
        <v>Group stages</v>
      </c>
      <c r="J315" s="1">
        <f>COUNTIF($L$2:L315,L315)</f>
        <v>5</v>
      </c>
      <c r="K315" s="1">
        <f>Table3[[#This Row],[Year]]</f>
        <v>1982</v>
      </c>
      <c r="L315" s="1" t="str">
        <f>Table3[[#This Row],[Hometeam]]</f>
        <v>Scotland</v>
      </c>
      <c r="M315" s="1" t="str">
        <f>IF(J315=1,J315+ROWS($J$2:J315)/10000,"")</f>
        <v/>
      </c>
      <c r="N315" s="1" t="str">
        <f>IFERROR(SMALL($M$2:$M$1705,ROWS($M$2:M315)),"")</f>
        <v/>
      </c>
      <c r="O315" s="1" t="str">
        <f>IF(N315&lt;&gt;"",INDEX($L$2:$L$1705,MATCH(N315,$M$2:$M$1705,0)),"")</f>
        <v/>
      </c>
      <c r="P315" s="1" t="str">
        <f>IF(O315&lt;&gt;"",ROWS($O$2:O315),"")</f>
        <v/>
      </c>
    </row>
    <row r="316" spans="1:16" x14ac:dyDescent="0.2">
      <c r="A316" s="1">
        <f>WorldCupMatches!O316</f>
        <v>1982</v>
      </c>
      <c r="B316" s="1" t="str">
        <f>WorldCupMatches!P316</f>
        <v>Germany FR</v>
      </c>
      <c r="C316" s="1">
        <f>WorldCupMatches!Q316</f>
        <v>1</v>
      </c>
      <c r="D316" s="1">
        <f>WorldCupMatches!R316</f>
        <v>2</v>
      </c>
      <c r="E316" s="1" t="str">
        <f>WorldCupMatches!S316</f>
        <v>Algeria</v>
      </c>
      <c r="F316" s="1" t="str">
        <f>WorldCupMatches!T316</f>
        <v xml:space="preserve"> </v>
      </c>
      <c r="G316" s="1" t="str">
        <f>WorldCupMatches!U316</f>
        <v>Group stages</v>
      </c>
      <c r="J316" s="1">
        <f>COUNTIF($L$2:L316,L316)</f>
        <v>29</v>
      </c>
      <c r="K316" s="1">
        <f>Table3[[#This Row],[Year]]</f>
        <v>1982</v>
      </c>
      <c r="L316" s="1" t="str">
        <f>Table3[[#This Row],[Hometeam]]</f>
        <v>Germany FR</v>
      </c>
      <c r="M316" s="1" t="str">
        <f>IF(J316=1,J316+ROWS($J$2:J316)/10000,"")</f>
        <v/>
      </c>
      <c r="N316" s="1" t="str">
        <f>IFERROR(SMALL($M$2:$M$1705,ROWS($M$2:M316)),"")</f>
        <v/>
      </c>
      <c r="O316" s="1" t="str">
        <f>IF(N316&lt;&gt;"",INDEX($L$2:$L$1705,MATCH(N316,$M$2:$M$1705,0)),"")</f>
        <v/>
      </c>
      <c r="P316" s="1" t="str">
        <f>IF(O316&lt;&gt;"",ROWS($O$2:O316),"")</f>
        <v/>
      </c>
    </row>
    <row r="317" spans="1:16" x14ac:dyDescent="0.2">
      <c r="A317" s="1">
        <f>WorldCupMatches!O317</f>
        <v>1982</v>
      </c>
      <c r="B317" s="1" t="str">
        <f>WorldCupMatches!P317</f>
        <v>England</v>
      </c>
      <c r="C317" s="1">
        <f>WorldCupMatches!Q317</f>
        <v>3</v>
      </c>
      <c r="D317" s="1">
        <f>WorldCupMatches!R317</f>
        <v>1</v>
      </c>
      <c r="E317" s="1" t="str">
        <f>WorldCupMatches!S317</f>
        <v>France</v>
      </c>
      <c r="F317" s="1" t="str">
        <f>WorldCupMatches!T317</f>
        <v xml:space="preserve"> </v>
      </c>
      <c r="G317" s="1" t="str">
        <f>WorldCupMatches!U317</f>
        <v>Group stages</v>
      </c>
      <c r="J317" s="1">
        <f>COUNTIF($L$2:L317,L317)</f>
        <v>15</v>
      </c>
      <c r="K317" s="1">
        <f>Table3[[#This Row],[Year]]</f>
        <v>1982</v>
      </c>
      <c r="L317" s="1" t="str">
        <f>Table3[[#This Row],[Hometeam]]</f>
        <v>England</v>
      </c>
      <c r="M317" s="1" t="str">
        <f>IF(J317=1,J317+ROWS($J$2:J317)/10000,"")</f>
        <v/>
      </c>
      <c r="N317" s="1" t="str">
        <f>IFERROR(SMALL($M$2:$M$1705,ROWS($M$2:M317)),"")</f>
        <v/>
      </c>
      <c r="O317" s="1" t="str">
        <f>IF(N317&lt;&gt;"",INDEX($L$2:$L$1705,MATCH(N317,$M$2:$M$1705,0)),"")</f>
        <v/>
      </c>
      <c r="P317" s="1" t="str">
        <f>IF(O317&lt;&gt;"",ROWS($O$2:O317),"")</f>
        <v/>
      </c>
    </row>
    <row r="318" spans="1:16" x14ac:dyDescent="0.2">
      <c r="A318" s="1">
        <f>WorldCupMatches!O318</f>
        <v>1982</v>
      </c>
      <c r="B318" s="1" t="str">
        <f>WorldCupMatches!P318</f>
        <v>Spain</v>
      </c>
      <c r="C318" s="1">
        <f>WorldCupMatches!Q318</f>
        <v>1</v>
      </c>
      <c r="D318" s="1">
        <f>WorldCupMatches!R318</f>
        <v>1</v>
      </c>
      <c r="E318" s="1" t="str">
        <f>WorldCupMatches!S318</f>
        <v>Honduras</v>
      </c>
      <c r="F318" s="1" t="str">
        <f>WorldCupMatches!T318</f>
        <v xml:space="preserve"> </v>
      </c>
      <c r="G318" s="1" t="str">
        <f>WorldCupMatches!U318</f>
        <v>Group stages</v>
      </c>
      <c r="J318" s="1">
        <f>COUNTIF($L$2:L318,L318)</f>
        <v>8</v>
      </c>
      <c r="K318" s="1">
        <f>Table3[[#This Row],[Year]]</f>
        <v>1982</v>
      </c>
      <c r="L318" s="1" t="str">
        <f>Table3[[#This Row],[Hometeam]]</f>
        <v>Spain</v>
      </c>
      <c r="M318" s="1" t="str">
        <f>IF(J318=1,J318+ROWS($J$2:J318)/10000,"")</f>
        <v/>
      </c>
      <c r="N318" s="1" t="str">
        <f>IFERROR(SMALL($M$2:$M$1705,ROWS($M$2:M318)),"")</f>
        <v/>
      </c>
      <c r="O318" s="1" t="str">
        <f>IF(N318&lt;&gt;"",INDEX($L$2:$L$1705,MATCH(N318,$M$2:$M$1705,0)),"")</f>
        <v/>
      </c>
      <c r="P318" s="1" t="str">
        <f>IF(O318&lt;&gt;"",ROWS($O$2:O318),"")</f>
        <v/>
      </c>
    </row>
    <row r="319" spans="1:16" x14ac:dyDescent="0.2">
      <c r="A319" s="1">
        <f>WorldCupMatches!O319</f>
        <v>1982</v>
      </c>
      <c r="B319" s="1" t="str">
        <f>WorldCupMatches!P319</f>
        <v>Chile</v>
      </c>
      <c r="C319" s="1">
        <f>WorldCupMatches!Q319</f>
        <v>0</v>
      </c>
      <c r="D319" s="1">
        <f>WorldCupMatches!R319</f>
        <v>1</v>
      </c>
      <c r="E319" s="1" t="str">
        <f>WorldCupMatches!S319</f>
        <v>Austria</v>
      </c>
      <c r="F319" s="1" t="str">
        <f>WorldCupMatches!T319</f>
        <v xml:space="preserve"> </v>
      </c>
      <c r="G319" s="1" t="str">
        <f>WorldCupMatches!U319</f>
        <v>Group stages</v>
      </c>
      <c r="J319" s="1">
        <f>COUNTIF($L$2:L319,L319)</f>
        <v>9</v>
      </c>
      <c r="K319" s="1">
        <f>Table3[[#This Row],[Year]]</f>
        <v>1982</v>
      </c>
      <c r="L319" s="1" t="str">
        <f>Table3[[#This Row],[Hometeam]]</f>
        <v>Chile</v>
      </c>
      <c r="M319" s="1" t="str">
        <f>IF(J319=1,J319+ROWS($J$2:J319)/10000,"")</f>
        <v/>
      </c>
      <c r="N319" s="1" t="str">
        <f>IFERROR(SMALL($M$2:$M$1705,ROWS($M$2:M319)),"")</f>
        <v/>
      </c>
      <c r="O319" s="1" t="str">
        <f>IF(N319&lt;&gt;"",INDEX($L$2:$L$1705,MATCH(N319,$M$2:$M$1705,0)),"")</f>
        <v/>
      </c>
      <c r="P319" s="1" t="str">
        <f>IF(O319&lt;&gt;"",ROWS($O$2:O319),"")</f>
        <v/>
      </c>
    </row>
    <row r="320" spans="1:16" x14ac:dyDescent="0.2">
      <c r="A320" s="1">
        <f>WorldCupMatches!O320</f>
        <v>1982</v>
      </c>
      <c r="B320" s="1" t="str">
        <f>WorldCupMatches!P320</f>
        <v>Czechoslovakia</v>
      </c>
      <c r="C320" s="1">
        <f>WorldCupMatches!Q320</f>
        <v>1</v>
      </c>
      <c r="D320" s="1">
        <f>WorldCupMatches!R320</f>
        <v>1</v>
      </c>
      <c r="E320" s="1" t="str">
        <f>WorldCupMatches!S320</f>
        <v>Kuwait</v>
      </c>
      <c r="F320" s="1" t="str">
        <f>WorldCupMatches!T320</f>
        <v xml:space="preserve"> </v>
      </c>
      <c r="G320" s="1" t="str">
        <f>WorldCupMatches!U320</f>
        <v>Group stages</v>
      </c>
      <c r="J320" s="1">
        <f>COUNTIF($L$2:L320,L320)</f>
        <v>9</v>
      </c>
      <c r="K320" s="1">
        <f>Table3[[#This Row],[Year]]</f>
        <v>1982</v>
      </c>
      <c r="L320" s="1" t="str">
        <f>Table3[[#This Row],[Hometeam]]</f>
        <v>Czechoslovakia</v>
      </c>
      <c r="M320" s="1" t="str">
        <f>IF(J320=1,J320+ROWS($J$2:J320)/10000,"")</f>
        <v/>
      </c>
      <c r="N320" s="1" t="str">
        <f>IFERROR(SMALL($M$2:$M$1705,ROWS($M$2:M320)),"")</f>
        <v/>
      </c>
      <c r="O320" s="1" t="str">
        <f>IF(N320&lt;&gt;"",INDEX($L$2:$L$1705,MATCH(N320,$M$2:$M$1705,0)),"")</f>
        <v/>
      </c>
      <c r="P320" s="1" t="str">
        <f>IF(O320&lt;&gt;"",ROWS($O$2:O320),"")</f>
        <v/>
      </c>
    </row>
    <row r="321" spans="1:16" x14ac:dyDescent="0.2">
      <c r="A321" s="1">
        <f>WorldCupMatches!O321</f>
        <v>1982</v>
      </c>
      <c r="B321" s="1" t="str">
        <f>WorldCupMatches!P321</f>
        <v>Yugoslavia</v>
      </c>
      <c r="C321" s="1">
        <f>WorldCupMatches!Q321</f>
        <v>0</v>
      </c>
      <c r="D321" s="1">
        <f>WorldCupMatches!R321</f>
        <v>0</v>
      </c>
      <c r="E321" s="1" t="str">
        <f>WorldCupMatches!S321</f>
        <v>Northern Ireland</v>
      </c>
      <c r="F321" s="1" t="str">
        <f>WorldCupMatches!T321</f>
        <v xml:space="preserve"> </v>
      </c>
      <c r="G321" s="1" t="str">
        <f>WorldCupMatches!U321</f>
        <v>Group stages</v>
      </c>
      <c r="J321" s="1">
        <f>COUNTIF($L$2:L321,L321)</f>
        <v>13</v>
      </c>
      <c r="K321" s="1">
        <f>Table3[[#This Row],[Year]]</f>
        <v>1982</v>
      </c>
      <c r="L321" s="1" t="str">
        <f>Table3[[#This Row],[Hometeam]]</f>
        <v>Yugoslavia</v>
      </c>
      <c r="M321" s="1" t="str">
        <f>IF(J321=1,J321+ROWS($J$2:J321)/10000,"")</f>
        <v/>
      </c>
      <c r="N321" s="1" t="str">
        <f>IFERROR(SMALL($M$2:$M$1705,ROWS($M$2:M321)),"")</f>
        <v/>
      </c>
      <c r="O321" s="1" t="str">
        <f>IF(N321&lt;&gt;"",INDEX($L$2:$L$1705,MATCH(N321,$M$2:$M$1705,0)),"")</f>
        <v/>
      </c>
      <c r="P321" s="1" t="str">
        <f>IF(O321&lt;&gt;"",ROWS($O$2:O321),"")</f>
        <v/>
      </c>
    </row>
    <row r="322" spans="1:16" x14ac:dyDescent="0.2">
      <c r="A322" s="1">
        <f>WorldCupMatches!O322</f>
        <v>1982</v>
      </c>
      <c r="B322" s="1" t="str">
        <f>WorldCupMatches!P322</f>
        <v>Italy</v>
      </c>
      <c r="C322" s="1">
        <f>WorldCupMatches!Q322</f>
        <v>1</v>
      </c>
      <c r="D322" s="1">
        <f>WorldCupMatches!R322</f>
        <v>1</v>
      </c>
      <c r="E322" s="1" t="str">
        <f>WorldCupMatches!S322</f>
        <v>Peru</v>
      </c>
      <c r="F322" s="1" t="str">
        <f>WorldCupMatches!T322</f>
        <v xml:space="preserve"> </v>
      </c>
      <c r="G322" s="1" t="str">
        <f>WorldCupMatches!U322</f>
        <v>Group stages</v>
      </c>
      <c r="J322" s="1">
        <f>COUNTIF($L$2:L322,L322)</f>
        <v>24</v>
      </c>
      <c r="K322" s="1">
        <f>Table3[[#This Row],[Year]]</f>
        <v>1982</v>
      </c>
      <c r="L322" s="1" t="str">
        <f>Table3[[#This Row],[Hometeam]]</f>
        <v>Italy</v>
      </c>
      <c r="M322" s="1" t="str">
        <f>IF(J322=1,J322+ROWS($J$2:J322)/10000,"")</f>
        <v/>
      </c>
      <c r="N322" s="1" t="str">
        <f>IFERROR(SMALL($M$2:$M$1705,ROWS($M$2:M322)),"")</f>
        <v/>
      </c>
      <c r="O322" s="1" t="str">
        <f>IF(N322&lt;&gt;"",INDEX($L$2:$L$1705,MATCH(N322,$M$2:$M$1705,0)),"")</f>
        <v/>
      </c>
      <c r="P322" s="1" t="str">
        <f>IF(O322&lt;&gt;"",ROWS($O$2:O322),"")</f>
        <v/>
      </c>
    </row>
    <row r="323" spans="1:16" x14ac:dyDescent="0.2">
      <c r="A323" s="1">
        <f>WorldCupMatches!O323</f>
        <v>1982</v>
      </c>
      <c r="B323" s="1" t="str">
        <f>WorldCupMatches!P323</f>
        <v>Argentina</v>
      </c>
      <c r="C323" s="1">
        <f>WorldCupMatches!Q323</f>
        <v>4</v>
      </c>
      <c r="D323" s="1">
        <f>WorldCupMatches!R323</f>
        <v>1</v>
      </c>
      <c r="E323" s="1" t="str">
        <f>WorldCupMatches!S323</f>
        <v>Hungary</v>
      </c>
      <c r="F323" s="1" t="str">
        <f>WorldCupMatches!T323</f>
        <v xml:space="preserve"> </v>
      </c>
      <c r="G323" s="1" t="str">
        <f>WorldCupMatches!U323</f>
        <v>Group stages</v>
      </c>
      <c r="J323" s="1">
        <f>COUNTIF($L$2:L323,L323)</f>
        <v>21</v>
      </c>
      <c r="K323" s="1">
        <f>Table3[[#This Row],[Year]]</f>
        <v>1982</v>
      </c>
      <c r="L323" s="1" t="str">
        <f>Table3[[#This Row],[Hometeam]]</f>
        <v>Argentina</v>
      </c>
      <c r="M323" s="1" t="str">
        <f>IF(J323=1,J323+ROWS($J$2:J323)/10000,"")</f>
        <v/>
      </c>
      <c r="N323" s="1" t="str">
        <f>IFERROR(SMALL($M$2:$M$1705,ROWS($M$2:M323)),"")</f>
        <v/>
      </c>
      <c r="O323" s="1" t="str">
        <f>IF(N323&lt;&gt;"",INDEX($L$2:$L$1705,MATCH(N323,$M$2:$M$1705,0)),"")</f>
        <v/>
      </c>
      <c r="P323" s="1" t="str">
        <f>IF(O323&lt;&gt;"",ROWS($O$2:O323),"")</f>
        <v/>
      </c>
    </row>
    <row r="324" spans="1:16" x14ac:dyDescent="0.2">
      <c r="A324" s="1">
        <f>WorldCupMatches!O324</f>
        <v>1982</v>
      </c>
      <c r="B324" s="1" t="str">
        <f>WorldCupMatches!P324</f>
        <v>Brazil</v>
      </c>
      <c r="C324" s="1">
        <f>WorldCupMatches!Q324</f>
        <v>4</v>
      </c>
      <c r="D324" s="1">
        <f>WorldCupMatches!R324</f>
        <v>1</v>
      </c>
      <c r="E324" s="1" t="str">
        <f>WorldCupMatches!S324</f>
        <v>Scotland</v>
      </c>
      <c r="F324" s="1" t="str">
        <f>WorldCupMatches!T324</f>
        <v xml:space="preserve"> </v>
      </c>
      <c r="G324" s="1" t="str">
        <f>WorldCupMatches!U324</f>
        <v>Group stages</v>
      </c>
      <c r="J324" s="1">
        <f>COUNTIF($L$2:L324,L324)</f>
        <v>41</v>
      </c>
      <c r="K324" s="1">
        <f>Table3[[#This Row],[Year]]</f>
        <v>1982</v>
      </c>
      <c r="L324" s="1" t="str">
        <f>Table3[[#This Row],[Hometeam]]</f>
        <v>Brazil</v>
      </c>
      <c r="M324" s="1" t="str">
        <f>IF(J324=1,J324+ROWS($J$2:J324)/10000,"")</f>
        <v/>
      </c>
      <c r="N324" s="1" t="str">
        <f>IFERROR(SMALL($M$2:$M$1705,ROWS($M$2:M324)),"")</f>
        <v/>
      </c>
      <c r="O324" s="1" t="str">
        <f>IF(N324&lt;&gt;"",INDEX($L$2:$L$1705,MATCH(N324,$M$2:$M$1705,0)),"")</f>
        <v/>
      </c>
      <c r="P324" s="1" t="str">
        <f>IF(O324&lt;&gt;"",ROWS($O$2:O324),"")</f>
        <v/>
      </c>
    </row>
    <row r="325" spans="1:16" x14ac:dyDescent="0.2">
      <c r="A325" s="1">
        <f>WorldCupMatches!O325</f>
        <v>1982</v>
      </c>
      <c r="B325" s="1" t="str">
        <f>WorldCupMatches!P325</f>
        <v>Poland</v>
      </c>
      <c r="C325" s="1">
        <f>WorldCupMatches!Q325</f>
        <v>0</v>
      </c>
      <c r="D325" s="1">
        <f>WorldCupMatches!R325</f>
        <v>0</v>
      </c>
      <c r="E325" s="1" t="str">
        <f>WorldCupMatches!S325</f>
        <v>Cameroon</v>
      </c>
      <c r="F325" s="1" t="str">
        <f>WorldCupMatches!T325</f>
        <v xml:space="preserve"> </v>
      </c>
      <c r="G325" s="1" t="str">
        <f>WorldCupMatches!U325</f>
        <v>Group stages</v>
      </c>
      <c r="J325" s="1">
        <f>COUNTIF($L$2:L325,L325)</f>
        <v>8</v>
      </c>
      <c r="K325" s="1">
        <f>Table3[[#This Row],[Year]]</f>
        <v>1982</v>
      </c>
      <c r="L325" s="1" t="str">
        <f>Table3[[#This Row],[Hometeam]]</f>
        <v>Poland</v>
      </c>
      <c r="M325" s="1" t="str">
        <f>IF(J325=1,J325+ROWS($J$2:J325)/10000,"")</f>
        <v/>
      </c>
      <c r="N325" s="1" t="str">
        <f>IFERROR(SMALL($M$2:$M$1705,ROWS($M$2:M325)),"")</f>
        <v/>
      </c>
      <c r="O325" s="1" t="str">
        <f>IF(N325&lt;&gt;"",INDEX($L$2:$L$1705,MATCH(N325,$M$2:$M$1705,0)),"")</f>
        <v/>
      </c>
      <c r="P325" s="1" t="str">
        <f>IF(O325&lt;&gt;"",ROWS($O$2:O325),"")</f>
        <v/>
      </c>
    </row>
    <row r="326" spans="1:16" x14ac:dyDescent="0.2">
      <c r="A326" s="1">
        <f>WorldCupMatches!O326</f>
        <v>1982</v>
      </c>
      <c r="B326" s="1" t="str">
        <f>WorldCupMatches!P326</f>
        <v>Belgium</v>
      </c>
      <c r="C326" s="1">
        <f>WorldCupMatches!Q326</f>
        <v>1</v>
      </c>
      <c r="D326" s="1">
        <f>WorldCupMatches!R326</f>
        <v>0</v>
      </c>
      <c r="E326" s="1" t="str">
        <f>WorldCupMatches!S326</f>
        <v>El Salvador</v>
      </c>
      <c r="F326" s="1" t="str">
        <f>WorldCupMatches!T326</f>
        <v xml:space="preserve"> </v>
      </c>
      <c r="G326" s="1" t="str">
        <f>WorldCupMatches!U326</f>
        <v>Group stages</v>
      </c>
      <c r="J326" s="1">
        <f>COUNTIF($L$2:L326,L326)</f>
        <v>2</v>
      </c>
      <c r="K326" s="1">
        <f>Table3[[#This Row],[Year]]</f>
        <v>1982</v>
      </c>
      <c r="L326" s="1" t="str">
        <f>Table3[[#This Row],[Hometeam]]</f>
        <v>Belgium</v>
      </c>
      <c r="M326" s="1" t="str">
        <f>IF(J326=1,J326+ROWS($J$2:J326)/10000,"")</f>
        <v/>
      </c>
      <c r="N326" s="1" t="str">
        <f>IFERROR(SMALL($M$2:$M$1705,ROWS($M$2:M326)),"")</f>
        <v/>
      </c>
      <c r="O326" s="1" t="str">
        <f>IF(N326&lt;&gt;"",INDEX($L$2:$L$1705,MATCH(N326,$M$2:$M$1705,0)),"")</f>
        <v/>
      </c>
      <c r="P326" s="1" t="str">
        <f>IF(O326&lt;&gt;"",ROWS($O$2:O326),"")</f>
        <v/>
      </c>
    </row>
    <row r="327" spans="1:16" x14ac:dyDescent="0.2">
      <c r="A327" s="1">
        <f>WorldCupMatches!O327</f>
        <v>1982</v>
      </c>
      <c r="B327" s="1" t="str">
        <f>WorldCupMatches!P327</f>
        <v>Soviet Union</v>
      </c>
      <c r="C327" s="1">
        <f>WorldCupMatches!Q327</f>
        <v>3</v>
      </c>
      <c r="D327" s="1">
        <f>WorldCupMatches!R327</f>
        <v>0</v>
      </c>
      <c r="E327" s="1" t="str">
        <f>WorldCupMatches!S327</f>
        <v>New Zealand</v>
      </c>
      <c r="F327" s="1" t="str">
        <f>WorldCupMatches!T327</f>
        <v xml:space="preserve"> </v>
      </c>
      <c r="G327" s="1" t="str">
        <f>WorldCupMatches!U327</f>
        <v>Group stages</v>
      </c>
      <c r="J327" s="1">
        <f>COUNTIF($L$2:L327,L327)</f>
        <v>13</v>
      </c>
      <c r="K327" s="1">
        <f>Table3[[#This Row],[Year]]</f>
        <v>1982</v>
      </c>
      <c r="L327" s="1" t="str">
        <f>Table3[[#This Row],[Hometeam]]</f>
        <v>Soviet Union</v>
      </c>
      <c r="M327" s="1" t="str">
        <f>IF(J327=1,J327+ROWS($J$2:J327)/10000,"")</f>
        <v/>
      </c>
      <c r="N327" s="1" t="str">
        <f>IFERROR(SMALL($M$2:$M$1705,ROWS($M$2:M327)),"")</f>
        <v/>
      </c>
      <c r="O327" s="1" t="str">
        <f>IF(N327&lt;&gt;"",INDEX($L$2:$L$1705,MATCH(N327,$M$2:$M$1705,0)),"")</f>
        <v/>
      </c>
      <c r="P327" s="1" t="str">
        <f>IF(O327&lt;&gt;"",ROWS($O$2:O327),"")</f>
        <v/>
      </c>
    </row>
    <row r="328" spans="1:16" x14ac:dyDescent="0.2">
      <c r="A328" s="1">
        <f>WorldCupMatches!O328</f>
        <v>1982</v>
      </c>
      <c r="B328" s="1" t="str">
        <f>WorldCupMatches!P328</f>
        <v>Germany FR</v>
      </c>
      <c r="C328" s="1">
        <f>WorldCupMatches!Q328</f>
        <v>4</v>
      </c>
      <c r="D328" s="1">
        <f>WorldCupMatches!R328</f>
        <v>1</v>
      </c>
      <c r="E328" s="1" t="str">
        <f>WorldCupMatches!S328</f>
        <v>Chile</v>
      </c>
      <c r="F328" s="1" t="str">
        <f>WorldCupMatches!T328</f>
        <v xml:space="preserve"> </v>
      </c>
      <c r="G328" s="1" t="str">
        <f>WorldCupMatches!U328</f>
        <v>Group stages</v>
      </c>
      <c r="J328" s="1">
        <f>COUNTIF($L$2:L328,L328)</f>
        <v>30</v>
      </c>
      <c r="K328" s="1">
        <f>Table3[[#This Row],[Year]]</f>
        <v>1982</v>
      </c>
      <c r="L328" s="1" t="str">
        <f>Table3[[#This Row],[Hometeam]]</f>
        <v>Germany FR</v>
      </c>
      <c r="M328" s="1" t="str">
        <f>IF(J328=1,J328+ROWS($J$2:J328)/10000,"")</f>
        <v/>
      </c>
      <c r="N328" s="1" t="str">
        <f>IFERROR(SMALL($M$2:$M$1705,ROWS($M$2:M328)),"")</f>
        <v/>
      </c>
      <c r="O328" s="1" t="str">
        <f>IF(N328&lt;&gt;"",INDEX($L$2:$L$1705,MATCH(N328,$M$2:$M$1705,0)),"")</f>
        <v/>
      </c>
      <c r="P328" s="1" t="str">
        <f>IF(O328&lt;&gt;"",ROWS($O$2:O328),"")</f>
        <v/>
      </c>
    </row>
    <row r="329" spans="1:16" x14ac:dyDescent="0.2">
      <c r="A329" s="1">
        <f>WorldCupMatches!O329</f>
        <v>1982</v>
      </c>
      <c r="B329" s="1" t="str">
        <f>WorldCupMatches!P329</f>
        <v>England</v>
      </c>
      <c r="C329" s="1">
        <f>WorldCupMatches!Q329</f>
        <v>2</v>
      </c>
      <c r="D329" s="1">
        <f>WorldCupMatches!R329</f>
        <v>0</v>
      </c>
      <c r="E329" s="1" t="str">
        <f>WorldCupMatches!S329</f>
        <v>Czechoslovakia</v>
      </c>
      <c r="F329" s="1" t="str">
        <f>WorldCupMatches!T329</f>
        <v xml:space="preserve"> </v>
      </c>
      <c r="G329" s="1" t="str">
        <f>WorldCupMatches!U329</f>
        <v>Group stages</v>
      </c>
      <c r="J329" s="1">
        <f>COUNTIF($L$2:L329,L329)</f>
        <v>16</v>
      </c>
      <c r="K329" s="1">
        <f>Table3[[#This Row],[Year]]</f>
        <v>1982</v>
      </c>
      <c r="L329" s="1" t="str">
        <f>Table3[[#This Row],[Hometeam]]</f>
        <v>England</v>
      </c>
      <c r="M329" s="1" t="str">
        <f>IF(J329=1,J329+ROWS($J$2:J329)/10000,"")</f>
        <v/>
      </c>
      <c r="N329" s="1" t="str">
        <f>IFERROR(SMALL($M$2:$M$1705,ROWS($M$2:M329)),"")</f>
        <v/>
      </c>
      <c r="O329" s="1" t="str">
        <f>IF(N329&lt;&gt;"",INDEX($L$2:$L$1705,MATCH(N329,$M$2:$M$1705,0)),"")</f>
        <v/>
      </c>
      <c r="P329" s="1" t="str">
        <f>IF(O329&lt;&gt;"",ROWS($O$2:O329),"")</f>
        <v/>
      </c>
    </row>
    <row r="330" spans="1:16" x14ac:dyDescent="0.2">
      <c r="A330" s="1">
        <f>WorldCupMatches!O330</f>
        <v>1982</v>
      </c>
      <c r="B330" s="1" t="str">
        <f>WorldCupMatches!P330</f>
        <v>Spain</v>
      </c>
      <c r="C330" s="1">
        <f>WorldCupMatches!Q330</f>
        <v>2</v>
      </c>
      <c r="D330" s="1">
        <f>WorldCupMatches!R330</f>
        <v>1</v>
      </c>
      <c r="E330" s="1" t="str">
        <f>WorldCupMatches!S330</f>
        <v>Yugoslavia</v>
      </c>
      <c r="F330" s="1" t="str">
        <f>WorldCupMatches!T330</f>
        <v xml:space="preserve"> </v>
      </c>
      <c r="G330" s="1" t="str">
        <f>WorldCupMatches!U330</f>
        <v>Group stages</v>
      </c>
      <c r="J330" s="1">
        <f>COUNTIF($L$2:L330,L330)</f>
        <v>9</v>
      </c>
      <c r="K330" s="1">
        <f>Table3[[#This Row],[Year]]</f>
        <v>1982</v>
      </c>
      <c r="L330" s="1" t="str">
        <f>Table3[[#This Row],[Hometeam]]</f>
        <v>Spain</v>
      </c>
      <c r="M330" s="1" t="str">
        <f>IF(J330=1,J330+ROWS($J$2:J330)/10000,"")</f>
        <v/>
      </c>
      <c r="N330" s="1" t="str">
        <f>IFERROR(SMALL($M$2:$M$1705,ROWS($M$2:M330)),"")</f>
        <v/>
      </c>
      <c r="O330" s="1" t="str">
        <f>IF(N330&lt;&gt;"",INDEX($L$2:$L$1705,MATCH(N330,$M$2:$M$1705,0)),"")</f>
        <v/>
      </c>
      <c r="P330" s="1" t="str">
        <f>IF(O330&lt;&gt;"",ROWS($O$2:O330),"")</f>
        <v/>
      </c>
    </row>
    <row r="331" spans="1:16" x14ac:dyDescent="0.2">
      <c r="A331" s="1">
        <f>WorldCupMatches!O331</f>
        <v>1982</v>
      </c>
      <c r="B331" s="1" t="str">
        <f>WorldCupMatches!P331</f>
        <v>Algeria</v>
      </c>
      <c r="C331" s="1">
        <f>WorldCupMatches!Q331</f>
        <v>0</v>
      </c>
      <c r="D331" s="1">
        <f>WorldCupMatches!R331</f>
        <v>2</v>
      </c>
      <c r="E331" s="1" t="str">
        <f>WorldCupMatches!S331</f>
        <v>Austria</v>
      </c>
      <c r="F331" s="1" t="str">
        <f>WorldCupMatches!T331</f>
        <v xml:space="preserve"> </v>
      </c>
      <c r="G331" s="1" t="str">
        <f>WorldCupMatches!U331</f>
        <v>Group stages</v>
      </c>
      <c r="J331" s="1">
        <f>COUNTIF($L$2:L331,L331)</f>
        <v>1</v>
      </c>
      <c r="K331" s="1">
        <f>Table3[[#This Row],[Year]]</f>
        <v>1982</v>
      </c>
      <c r="L331" s="1" t="str">
        <f>Table3[[#This Row],[Hometeam]]</f>
        <v>Algeria</v>
      </c>
      <c r="M331" s="1">
        <f>IF(J331=1,J331+ROWS($J$2:J331)/10000,"")</f>
        <v>1.0329999999999999</v>
      </c>
      <c r="N331" s="1" t="str">
        <f>IFERROR(SMALL($M$2:$M$1705,ROWS($M$2:M331)),"")</f>
        <v/>
      </c>
      <c r="O331" s="1" t="str">
        <f>IF(N331&lt;&gt;"",INDEX($L$2:$L$1705,MATCH(N331,$M$2:$M$1705,0)),"")</f>
        <v/>
      </c>
      <c r="P331" s="1" t="str">
        <f>IF(O331&lt;&gt;"",ROWS($O$2:O331),"")</f>
        <v/>
      </c>
    </row>
    <row r="332" spans="1:16" x14ac:dyDescent="0.2">
      <c r="A332" s="1">
        <f>WorldCupMatches!O332</f>
        <v>1982</v>
      </c>
      <c r="B332" s="1" t="str">
        <f>WorldCupMatches!P332</f>
        <v>France</v>
      </c>
      <c r="C332" s="1">
        <f>WorldCupMatches!Q332</f>
        <v>4</v>
      </c>
      <c r="D332" s="1">
        <f>WorldCupMatches!R332</f>
        <v>1</v>
      </c>
      <c r="E332" s="1" t="str">
        <f>WorldCupMatches!S332</f>
        <v>Kuwait</v>
      </c>
      <c r="F332" s="1" t="str">
        <f>WorldCupMatches!T332</f>
        <v xml:space="preserve"> </v>
      </c>
      <c r="G332" s="1" t="str">
        <f>WorldCupMatches!U332</f>
        <v>Group stages</v>
      </c>
      <c r="J332" s="1">
        <f>COUNTIF($L$2:L332,L332)</f>
        <v>10</v>
      </c>
      <c r="K332" s="1">
        <f>Table3[[#This Row],[Year]]</f>
        <v>1982</v>
      </c>
      <c r="L332" s="1" t="str">
        <f>Table3[[#This Row],[Hometeam]]</f>
        <v>France</v>
      </c>
      <c r="M332" s="1" t="str">
        <f>IF(J332=1,J332+ROWS($J$2:J332)/10000,"")</f>
        <v/>
      </c>
      <c r="N332" s="1" t="str">
        <f>IFERROR(SMALL($M$2:$M$1705,ROWS($M$2:M332)),"")</f>
        <v/>
      </c>
      <c r="O332" s="1" t="str">
        <f>IF(N332&lt;&gt;"",INDEX($L$2:$L$1705,MATCH(N332,$M$2:$M$1705,0)),"")</f>
        <v/>
      </c>
      <c r="P332" s="1" t="str">
        <f>IF(O332&lt;&gt;"",ROWS($O$2:O332),"")</f>
        <v/>
      </c>
    </row>
    <row r="333" spans="1:16" x14ac:dyDescent="0.2">
      <c r="A333" s="1">
        <f>WorldCupMatches!O333</f>
        <v>1982</v>
      </c>
      <c r="B333" s="1" t="str">
        <f>WorldCupMatches!P333</f>
        <v>Honduras</v>
      </c>
      <c r="C333" s="1">
        <f>WorldCupMatches!Q333</f>
        <v>1</v>
      </c>
      <c r="D333" s="1">
        <f>WorldCupMatches!R333</f>
        <v>1</v>
      </c>
      <c r="E333" s="1" t="str">
        <f>WorldCupMatches!S333</f>
        <v>Northern Ireland</v>
      </c>
      <c r="F333" s="1" t="str">
        <f>WorldCupMatches!T333</f>
        <v xml:space="preserve"> </v>
      </c>
      <c r="G333" s="1" t="str">
        <f>WorldCupMatches!U333</f>
        <v>Group stages</v>
      </c>
      <c r="J333" s="1">
        <f>COUNTIF($L$2:L333,L333)</f>
        <v>1</v>
      </c>
      <c r="K333" s="1">
        <f>Table3[[#This Row],[Year]]</f>
        <v>1982</v>
      </c>
      <c r="L333" s="1" t="str">
        <f>Table3[[#This Row],[Hometeam]]</f>
        <v>Honduras</v>
      </c>
      <c r="M333" s="1">
        <f>IF(J333=1,J333+ROWS($J$2:J333)/10000,"")</f>
        <v>1.0331999999999999</v>
      </c>
      <c r="N333" s="1" t="str">
        <f>IFERROR(SMALL($M$2:$M$1705,ROWS($M$2:M333)),"")</f>
        <v/>
      </c>
      <c r="O333" s="1" t="str">
        <f>IF(N333&lt;&gt;"",INDEX($L$2:$L$1705,MATCH(N333,$M$2:$M$1705,0)),"")</f>
        <v/>
      </c>
      <c r="P333" s="1" t="str">
        <f>IF(O333&lt;&gt;"",ROWS($O$2:O333),"")</f>
        <v/>
      </c>
    </row>
    <row r="334" spans="1:16" x14ac:dyDescent="0.2">
      <c r="A334" s="1">
        <f>WorldCupMatches!O334</f>
        <v>1982</v>
      </c>
      <c r="B334" s="1" t="str">
        <f>WorldCupMatches!P334</f>
        <v>Poland</v>
      </c>
      <c r="C334" s="1">
        <f>WorldCupMatches!Q334</f>
        <v>5</v>
      </c>
      <c r="D334" s="1">
        <f>WorldCupMatches!R334</f>
        <v>1</v>
      </c>
      <c r="E334" s="1" t="str">
        <f>WorldCupMatches!S334</f>
        <v>Peru</v>
      </c>
      <c r="F334" s="1" t="str">
        <f>WorldCupMatches!T334</f>
        <v xml:space="preserve"> </v>
      </c>
      <c r="G334" s="1" t="str">
        <f>WorldCupMatches!U334</f>
        <v>Group stages</v>
      </c>
      <c r="J334" s="1">
        <f>COUNTIF($L$2:L334,L334)</f>
        <v>9</v>
      </c>
      <c r="K334" s="1">
        <f>Table3[[#This Row],[Year]]</f>
        <v>1982</v>
      </c>
      <c r="L334" s="1" t="str">
        <f>Table3[[#This Row],[Hometeam]]</f>
        <v>Poland</v>
      </c>
      <c r="M334" s="1" t="str">
        <f>IF(J334=1,J334+ROWS($J$2:J334)/10000,"")</f>
        <v/>
      </c>
      <c r="N334" s="1" t="str">
        <f>IFERROR(SMALL($M$2:$M$1705,ROWS($M$2:M334)),"")</f>
        <v/>
      </c>
      <c r="O334" s="1" t="str">
        <f>IF(N334&lt;&gt;"",INDEX($L$2:$L$1705,MATCH(N334,$M$2:$M$1705,0)),"")</f>
        <v/>
      </c>
      <c r="P334" s="1" t="str">
        <f>IF(O334&lt;&gt;"",ROWS($O$2:O334),"")</f>
        <v/>
      </c>
    </row>
    <row r="335" spans="1:16" x14ac:dyDescent="0.2">
      <c r="A335" s="1">
        <f>WorldCupMatches!O335</f>
        <v>1982</v>
      </c>
      <c r="B335" s="1" t="str">
        <f>WorldCupMatches!P335</f>
        <v>Belgium</v>
      </c>
      <c r="C335" s="1">
        <f>WorldCupMatches!Q335</f>
        <v>1</v>
      </c>
      <c r="D335" s="1">
        <f>WorldCupMatches!R335</f>
        <v>1</v>
      </c>
      <c r="E335" s="1" t="str">
        <f>WorldCupMatches!S335</f>
        <v>Hungary</v>
      </c>
      <c r="F335" s="1" t="str">
        <f>WorldCupMatches!T335</f>
        <v xml:space="preserve"> </v>
      </c>
      <c r="G335" s="1" t="str">
        <f>WorldCupMatches!U335</f>
        <v>Group stages</v>
      </c>
      <c r="J335" s="1">
        <f>COUNTIF($L$2:L335,L335)</f>
        <v>3</v>
      </c>
      <c r="K335" s="1">
        <f>Table3[[#This Row],[Year]]</f>
        <v>1982</v>
      </c>
      <c r="L335" s="1" t="str">
        <f>Table3[[#This Row],[Hometeam]]</f>
        <v>Belgium</v>
      </c>
      <c r="M335" s="1" t="str">
        <f>IF(J335=1,J335+ROWS($J$2:J335)/10000,"")</f>
        <v/>
      </c>
      <c r="N335" s="1" t="str">
        <f>IFERROR(SMALL($M$2:$M$1705,ROWS($M$2:M335)),"")</f>
        <v/>
      </c>
      <c r="O335" s="1" t="str">
        <f>IF(N335&lt;&gt;"",INDEX($L$2:$L$1705,MATCH(N335,$M$2:$M$1705,0)),"")</f>
        <v/>
      </c>
      <c r="P335" s="1" t="str">
        <f>IF(O335&lt;&gt;"",ROWS($O$2:O335),"")</f>
        <v/>
      </c>
    </row>
    <row r="336" spans="1:16" x14ac:dyDescent="0.2">
      <c r="A336" s="1">
        <f>WorldCupMatches!O336</f>
        <v>1982</v>
      </c>
      <c r="B336" s="1" t="str">
        <f>WorldCupMatches!P336</f>
        <v>Soviet Union</v>
      </c>
      <c r="C336" s="1">
        <f>WorldCupMatches!Q336</f>
        <v>2</v>
      </c>
      <c r="D336" s="1">
        <f>WorldCupMatches!R336</f>
        <v>2</v>
      </c>
      <c r="E336" s="1" t="str">
        <f>WorldCupMatches!S336</f>
        <v>Scotland</v>
      </c>
      <c r="F336" s="1" t="str">
        <f>WorldCupMatches!T336</f>
        <v xml:space="preserve"> </v>
      </c>
      <c r="G336" s="1" t="str">
        <f>WorldCupMatches!U336</f>
        <v>Group stages</v>
      </c>
      <c r="J336" s="1">
        <f>COUNTIF($L$2:L336,L336)</f>
        <v>14</v>
      </c>
      <c r="K336" s="1">
        <f>Table3[[#This Row],[Year]]</f>
        <v>1982</v>
      </c>
      <c r="L336" s="1" t="str">
        <f>Table3[[#This Row],[Hometeam]]</f>
        <v>Soviet Union</v>
      </c>
      <c r="M336" s="1" t="str">
        <f>IF(J336=1,J336+ROWS($J$2:J336)/10000,"")</f>
        <v/>
      </c>
      <c r="N336" s="1" t="str">
        <f>IFERROR(SMALL($M$2:$M$1705,ROWS($M$2:M336)),"")</f>
        <v/>
      </c>
      <c r="O336" s="1" t="str">
        <f>IF(N336&lt;&gt;"",INDEX($L$2:$L$1705,MATCH(N336,$M$2:$M$1705,0)),"")</f>
        <v/>
      </c>
      <c r="P336" s="1" t="str">
        <f>IF(O336&lt;&gt;"",ROWS($O$2:O336),"")</f>
        <v/>
      </c>
    </row>
    <row r="337" spans="1:16" x14ac:dyDescent="0.2">
      <c r="A337" s="1">
        <f>WorldCupMatches!O337</f>
        <v>1982</v>
      </c>
      <c r="B337" s="1" t="str">
        <f>WorldCupMatches!P337</f>
        <v>Italy</v>
      </c>
      <c r="C337" s="1">
        <f>WorldCupMatches!Q337</f>
        <v>1</v>
      </c>
      <c r="D337" s="1">
        <f>WorldCupMatches!R337</f>
        <v>1</v>
      </c>
      <c r="E337" s="1" t="str">
        <f>WorldCupMatches!S337</f>
        <v>Cameroon</v>
      </c>
      <c r="F337" s="1" t="str">
        <f>WorldCupMatches!T337</f>
        <v xml:space="preserve"> </v>
      </c>
      <c r="G337" s="1" t="str">
        <f>WorldCupMatches!U337</f>
        <v>Group stages</v>
      </c>
      <c r="J337" s="1">
        <f>COUNTIF($L$2:L337,L337)</f>
        <v>25</v>
      </c>
      <c r="K337" s="1">
        <f>Table3[[#This Row],[Year]]</f>
        <v>1982</v>
      </c>
      <c r="L337" s="1" t="str">
        <f>Table3[[#This Row],[Hometeam]]</f>
        <v>Italy</v>
      </c>
      <c r="M337" s="1" t="str">
        <f>IF(J337=1,J337+ROWS($J$2:J337)/10000,"")</f>
        <v/>
      </c>
      <c r="N337" s="1" t="str">
        <f>IFERROR(SMALL($M$2:$M$1705,ROWS($M$2:M337)),"")</f>
        <v/>
      </c>
      <c r="O337" s="1" t="str">
        <f>IF(N337&lt;&gt;"",INDEX($L$2:$L$1705,MATCH(N337,$M$2:$M$1705,0)),"")</f>
        <v/>
      </c>
      <c r="P337" s="1" t="str">
        <f>IF(O337&lt;&gt;"",ROWS($O$2:O337),"")</f>
        <v/>
      </c>
    </row>
    <row r="338" spans="1:16" x14ac:dyDescent="0.2">
      <c r="A338" s="1">
        <f>WorldCupMatches!O338</f>
        <v>1982</v>
      </c>
      <c r="B338" s="1" t="str">
        <f>WorldCupMatches!P338</f>
        <v>Argentina</v>
      </c>
      <c r="C338" s="1">
        <f>WorldCupMatches!Q338</f>
        <v>2</v>
      </c>
      <c r="D338" s="1">
        <f>WorldCupMatches!R338</f>
        <v>0</v>
      </c>
      <c r="E338" s="1" t="str">
        <f>WorldCupMatches!S338</f>
        <v>El Salvador</v>
      </c>
      <c r="F338" s="1" t="str">
        <f>WorldCupMatches!T338</f>
        <v xml:space="preserve"> </v>
      </c>
      <c r="G338" s="1" t="str">
        <f>WorldCupMatches!U338</f>
        <v>Group stages</v>
      </c>
      <c r="J338" s="1">
        <f>COUNTIF($L$2:L338,L338)</f>
        <v>22</v>
      </c>
      <c r="K338" s="1">
        <f>Table3[[#This Row],[Year]]</f>
        <v>1982</v>
      </c>
      <c r="L338" s="1" t="str">
        <f>Table3[[#This Row],[Hometeam]]</f>
        <v>Argentina</v>
      </c>
      <c r="M338" s="1" t="str">
        <f>IF(J338=1,J338+ROWS($J$2:J338)/10000,"")</f>
        <v/>
      </c>
      <c r="N338" s="1" t="str">
        <f>IFERROR(SMALL($M$2:$M$1705,ROWS($M$2:M338)),"")</f>
        <v/>
      </c>
      <c r="O338" s="1" t="str">
        <f>IF(N338&lt;&gt;"",INDEX($L$2:$L$1705,MATCH(N338,$M$2:$M$1705,0)),"")</f>
        <v/>
      </c>
      <c r="P338" s="1" t="str">
        <f>IF(O338&lt;&gt;"",ROWS($O$2:O338),"")</f>
        <v/>
      </c>
    </row>
    <row r="339" spans="1:16" x14ac:dyDescent="0.2">
      <c r="A339" s="1">
        <f>WorldCupMatches!O339</f>
        <v>1982</v>
      </c>
      <c r="B339" s="1" t="str">
        <f>WorldCupMatches!P339</f>
        <v>Brazil</v>
      </c>
      <c r="C339" s="1">
        <f>WorldCupMatches!Q339</f>
        <v>4</v>
      </c>
      <c r="D339" s="1">
        <f>WorldCupMatches!R339</f>
        <v>0</v>
      </c>
      <c r="E339" s="1" t="str">
        <f>WorldCupMatches!S339</f>
        <v>New Zealand</v>
      </c>
      <c r="F339" s="1" t="str">
        <f>WorldCupMatches!T339</f>
        <v xml:space="preserve"> </v>
      </c>
      <c r="G339" s="1" t="str">
        <f>WorldCupMatches!U339</f>
        <v>Group stages</v>
      </c>
      <c r="J339" s="1">
        <f>COUNTIF($L$2:L339,L339)</f>
        <v>42</v>
      </c>
      <c r="K339" s="1">
        <f>Table3[[#This Row],[Year]]</f>
        <v>1982</v>
      </c>
      <c r="L339" s="1" t="str">
        <f>Table3[[#This Row],[Hometeam]]</f>
        <v>Brazil</v>
      </c>
      <c r="M339" s="1" t="str">
        <f>IF(J339=1,J339+ROWS($J$2:J339)/10000,"")</f>
        <v/>
      </c>
      <c r="N339" s="1" t="str">
        <f>IFERROR(SMALL($M$2:$M$1705,ROWS($M$2:M339)),"")</f>
        <v/>
      </c>
      <c r="O339" s="1" t="str">
        <f>IF(N339&lt;&gt;"",INDEX($L$2:$L$1705,MATCH(N339,$M$2:$M$1705,0)),"")</f>
        <v/>
      </c>
      <c r="P339" s="1" t="str">
        <f>IF(O339&lt;&gt;"",ROWS($O$2:O339),"")</f>
        <v/>
      </c>
    </row>
    <row r="340" spans="1:16" x14ac:dyDescent="0.2">
      <c r="A340" s="1">
        <f>WorldCupMatches!O340</f>
        <v>1982</v>
      </c>
      <c r="B340" s="1" t="str">
        <f>WorldCupMatches!P340</f>
        <v>Algeria</v>
      </c>
      <c r="C340" s="1">
        <f>WorldCupMatches!Q340</f>
        <v>3</v>
      </c>
      <c r="D340" s="1">
        <f>WorldCupMatches!R340</f>
        <v>2</v>
      </c>
      <c r="E340" s="1" t="str">
        <f>WorldCupMatches!S340</f>
        <v>Chile</v>
      </c>
      <c r="F340" s="1" t="str">
        <f>WorldCupMatches!T340</f>
        <v xml:space="preserve"> </v>
      </c>
      <c r="G340" s="1" t="str">
        <f>WorldCupMatches!U340</f>
        <v>Group stages</v>
      </c>
      <c r="J340" s="1">
        <f>COUNTIF($L$2:L340,L340)</f>
        <v>2</v>
      </c>
      <c r="K340" s="1">
        <f>Table3[[#This Row],[Year]]</f>
        <v>1982</v>
      </c>
      <c r="L340" s="1" t="str">
        <f>Table3[[#This Row],[Hometeam]]</f>
        <v>Algeria</v>
      </c>
      <c r="M340" s="1" t="str">
        <f>IF(J340=1,J340+ROWS($J$2:J340)/10000,"")</f>
        <v/>
      </c>
      <c r="N340" s="1" t="str">
        <f>IFERROR(SMALL($M$2:$M$1705,ROWS($M$2:M340)),"")</f>
        <v/>
      </c>
      <c r="O340" s="1" t="str">
        <f>IF(N340&lt;&gt;"",INDEX($L$2:$L$1705,MATCH(N340,$M$2:$M$1705,0)),"")</f>
        <v/>
      </c>
      <c r="P340" s="1" t="str">
        <f>IF(O340&lt;&gt;"",ROWS($O$2:O340),"")</f>
        <v/>
      </c>
    </row>
    <row r="341" spans="1:16" x14ac:dyDescent="0.2">
      <c r="A341" s="1">
        <f>WorldCupMatches!O341</f>
        <v>1982</v>
      </c>
      <c r="B341" s="1" t="str">
        <f>WorldCupMatches!P341</f>
        <v>France</v>
      </c>
      <c r="C341" s="1">
        <f>WorldCupMatches!Q341</f>
        <v>1</v>
      </c>
      <c r="D341" s="1">
        <f>WorldCupMatches!R341</f>
        <v>1</v>
      </c>
      <c r="E341" s="1" t="str">
        <f>WorldCupMatches!S341</f>
        <v>Czechoslovakia</v>
      </c>
      <c r="F341" s="1" t="str">
        <f>WorldCupMatches!T341</f>
        <v xml:space="preserve"> </v>
      </c>
      <c r="G341" s="1" t="str">
        <f>WorldCupMatches!U341</f>
        <v>Group stages</v>
      </c>
      <c r="J341" s="1">
        <f>COUNTIF($L$2:L341,L341)</f>
        <v>11</v>
      </c>
      <c r="K341" s="1">
        <f>Table3[[#This Row],[Year]]</f>
        <v>1982</v>
      </c>
      <c r="L341" s="1" t="str">
        <f>Table3[[#This Row],[Hometeam]]</f>
        <v>France</v>
      </c>
      <c r="M341" s="1" t="str">
        <f>IF(J341=1,J341+ROWS($J$2:J341)/10000,"")</f>
        <v/>
      </c>
      <c r="N341" s="1" t="str">
        <f>IFERROR(SMALL($M$2:$M$1705,ROWS($M$2:M341)),"")</f>
        <v/>
      </c>
      <c r="O341" s="1" t="str">
        <f>IF(N341&lt;&gt;"",INDEX($L$2:$L$1705,MATCH(N341,$M$2:$M$1705,0)),"")</f>
        <v/>
      </c>
      <c r="P341" s="1" t="str">
        <f>IF(O341&lt;&gt;"",ROWS($O$2:O341),"")</f>
        <v/>
      </c>
    </row>
    <row r="342" spans="1:16" x14ac:dyDescent="0.2">
      <c r="A342" s="1">
        <f>WorldCupMatches!O342</f>
        <v>1982</v>
      </c>
      <c r="B342" s="1" t="str">
        <f>WorldCupMatches!P342</f>
        <v>Honduras</v>
      </c>
      <c r="C342" s="1">
        <f>WorldCupMatches!Q342</f>
        <v>0</v>
      </c>
      <c r="D342" s="1">
        <f>WorldCupMatches!R342</f>
        <v>1</v>
      </c>
      <c r="E342" s="1" t="str">
        <f>WorldCupMatches!S342</f>
        <v>Yugoslavia</v>
      </c>
      <c r="F342" s="1" t="str">
        <f>WorldCupMatches!T342</f>
        <v xml:space="preserve"> </v>
      </c>
      <c r="G342" s="1" t="str">
        <f>WorldCupMatches!U342</f>
        <v>Group stages</v>
      </c>
      <c r="J342" s="1">
        <f>COUNTIF($L$2:L342,L342)</f>
        <v>2</v>
      </c>
      <c r="K342" s="1">
        <f>Table3[[#This Row],[Year]]</f>
        <v>1982</v>
      </c>
      <c r="L342" s="1" t="str">
        <f>Table3[[#This Row],[Hometeam]]</f>
        <v>Honduras</v>
      </c>
      <c r="M342" s="1" t="str">
        <f>IF(J342=1,J342+ROWS($J$2:J342)/10000,"")</f>
        <v/>
      </c>
      <c r="N342" s="1" t="str">
        <f>IFERROR(SMALL($M$2:$M$1705,ROWS($M$2:M342)),"")</f>
        <v/>
      </c>
      <c r="O342" s="1" t="str">
        <f>IF(N342&lt;&gt;"",INDEX($L$2:$L$1705,MATCH(N342,$M$2:$M$1705,0)),"")</f>
        <v/>
      </c>
      <c r="P342" s="1" t="str">
        <f>IF(O342&lt;&gt;"",ROWS($O$2:O342),"")</f>
        <v/>
      </c>
    </row>
    <row r="343" spans="1:16" x14ac:dyDescent="0.2">
      <c r="A343" s="1">
        <f>WorldCupMatches!O343</f>
        <v>1982</v>
      </c>
      <c r="B343" s="1" t="str">
        <f>WorldCupMatches!P343</f>
        <v>Germany FR</v>
      </c>
      <c r="C343" s="1">
        <f>WorldCupMatches!Q343</f>
        <v>1</v>
      </c>
      <c r="D343" s="1">
        <f>WorldCupMatches!R343</f>
        <v>0</v>
      </c>
      <c r="E343" s="1" t="str">
        <f>WorldCupMatches!S343</f>
        <v>Austria</v>
      </c>
      <c r="F343" s="1" t="str">
        <f>WorldCupMatches!T343</f>
        <v xml:space="preserve"> </v>
      </c>
      <c r="G343" s="1" t="str">
        <f>WorldCupMatches!U343</f>
        <v>Group stages</v>
      </c>
      <c r="J343" s="1">
        <f>COUNTIF($L$2:L343,L343)</f>
        <v>31</v>
      </c>
      <c r="K343" s="1">
        <f>Table3[[#This Row],[Year]]</f>
        <v>1982</v>
      </c>
      <c r="L343" s="1" t="str">
        <f>Table3[[#This Row],[Hometeam]]</f>
        <v>Germany FR</v>
      </c>
      <c r="M343" s="1" t="str">
        <f>IF(J343=1,J343+ROWS($J$2:J343)/10000,"")</f>
        <v/>
      </c>
      <c r="N343" s="1" t="str">
        <f>IFERROR(SMALL($M$2:$M$1705,ROWS($M$2:M343)),"")</f>
        <v/>
      </c>
      <c r="O343" s="1" t="str">
        <f>IF(N343&lt;&gt;"",INDEX($L$2:$L$1705,MATCH(N343,$M$2:$M$1705,0)),"")</f>
        <v/>
      </c>
      <c r="P343" s="1" t="str">
        <f>IF(O343&lt;&gt;"",ROWS($O$2:O343),"")</f>
        <v/>
      </c>
    </row>
    <row r="344" spans="1:16" x14ac:dyDescent="0.2">
      <c r="A344" s="1">
        <f>WorldCupMatches!O344</f>
        <v>1982</v>
      </c>
      <c r="B344" s="1" t="str">
        <f>WorldCupMatches!P344</f>
        <v>England</v>
      </c>
      <c r="C344" s="1">
        <f>WorldCupMatches!Q344</f>
        <v>1</v>
      </c>
      <c r="D344" s="1">
        <f>WorldCupMatches!R344</f>
        <v>0</v>
      </c>
      <c r="E344" s="1" t="str">
        <f>WorldCupMatches!S344</f>
        <v>Kuwait</v>
      </c>
      <c r="F344" s="1" t="str">
        <f>WorldCupMatches!T344</f>
        <v xml:space="preserve"> </v>
      </c>
      <c r="G344" s="1" t="str">
        <f>WorldCupMatches!U344</f>
        <v>Group stages</v>
      </c>
      <c r="J344" s="1">
        <f>COUNTIF($L$2:L344,L344)</f>
        <v>17</v>
      </c>
      <c r="K344" s="1">
        <f>Table3[[#This Row],[Year]]</f>
        <v>1982</v>
      </c>
      <c r="L344" s="1" t="str">
        <f>Table3[[#This Row],[Hometeam]]</f>
        <v>England</v>
      </c>
      <c r="M344" s="1" t="str">
        <f>IF(J344=1,J344+ROWS($J$2:J344)/10000,"")</f>
        <v/>
      </c>
      <c r="N344" s="1" t="str">
        <f>IFERROR(SMALL($M$2:$M$1705,ROWS($M$2:M344)),"")</f>
        <v/>
      </c>
      <c r="O344" s="1" t="str">
        <f>IF(N344&lt;&gt;"",INDEX($L$2:$L$1705,MATCH(N344,$M$2:$M$1705,0)),"")</f>
        <v/>
      </c>
      <c r="P344" s="1" t="str">
        <f>IF(O344&lt;&gt;"",ROWS($O$2:O344),"")</f>
        <v/>
      </c>
    </row>
    <row r="345" spans="1:16" x14ac:dyDescent="0.2">
      <c r="A345" s="1">
        <f>WorldCupMatches!O345</f>
        <v>1982</v>
      </c>
      <c r="B345" s="1" t="str">
        <f>WorldCupMatches!P345</f>
        <v>Northern Ireland</v>
      </c>
      <c r="C345" s="1">
        <f>WorldCupMatches!Q345</f>
        <v>1</v>
      </c>
      <c r="D345" s="1">
        <f>WorldCupMatches!R345</f>
        <v>0</v>
      </c>
      <c r="E345" s="1" t="str">
        <f>WorldCupMatches!S345</f>
        <v>Spain</v>
      </c>
      <c r="F345" s="1" t="str">
        <f>WorldCupMatches!T345</f>
        <v xml:space="preserve"> </v>
      </c>
      <c r="G345" s="1" t="str">
        <f>WorldCupMatches!U345</f>
        <v>Group stages</v>
      </c>
      <c r="J345" s="1">
        <f>COUNTIF($L$2:L345,L345)</f>
        <v>3</v>
      </c>
      <c r="K345" s="1">
        <f>Table3[[#This Row],[Year]]</f>
        <v>1982</v>
      </c>
      <c r="L345" s="1" t="str">
        <f>Table3[[#This Row],[Hometeam]]</f>
        <v>Northern Ireland</v>
      </c>
      <c r="M345" s="1" t="str">
        <f>IF(J345=1,J345+ROWS($J$2:J345)/10000,"")</f>
        <v/>
      </c>
      <c r="N345" s="1" t="str">
        <f>IFERROR(SMALL($M$2:$M$1705,ROWS($M$2:M345)),"")</f>
        <v/>
      </c>
      <c r="O345" s="1" t="str">
        <f>IF(N345&lt;&gt;"",INDEX($L$2:$L$1705,MATCH(N345,$M$2:$M$1705,0)),"")</f>
        <v/>
      </c>
      <c r="P345" s="1" t="str">
        <f>IF(O345&lt;&gt;"",ROWS($O$2:O345),"")</f>
        <v/>
      </c>
    </row>
    <row r="346" spans="1:16" x14ac:dyDescent="0.2">
      <c r="A346" s="1">
        <f>WorldCupMatches!O346</f>
        <v>1982</v>
      </c>
      <c r="B346" s="1" t="str">
        <f>WorldCupMatches!P346</f>
        <v>Austria</v>
      </c>
      <c r="C346" s="1">
        <f>WorldCupMatches!Q346</f>
        <v>0</v>
      </c>
      <c r="D346" s="1">
        <f>WorldCupMatches!R346</f>
        <v>1</v>
      </c>
      <c r="E346" s="1" t="str">
        <f>WorldCupMatches!S346</f>
        <v>France</v>
      </c>
      <c r="F346" s="1" t="str">
        <f>WorldCupMatches!T346</f>
        <v xml:space="preserve"> </v>
      </c>
      <c r="G346" s="1" t="str">
        <f>WorldCupMatches!U346</f>
        <v>Group stages</v>
      </c>
      <c r="J346" s="1">
        <f>COUNTIF($L$2:L346,L346)</f>
        <v>10</v>
      </c>
      <c r="K346" s="1">
        <f>Table3[[#This Row],[Year]]</f>
        <v>1982</v>
      </c>
      <c r="L346" s="1" t="str">
        <f>Table3[[#This Row],[Hometeam]]</f>
        <v>Austria</v>
      </c>
      <c r="M346" s="1" t="str">
        <f>IF(J346=1,J346+ROWS($J$2:J346)/10000,"")</f>
        <v/>
      </c>
      <c r="N346" s="1" t="str">
        <f>IFERROR(SMALL($M$2:$M$1705,ROWS($M$2:M346)),"")</f>
        <v/>
      </c>
      <c r="O346" s="1" t="str">
        <f>IF(N346&lt;&gt;"",INDEX($L$2:$L$1705,MATCH(N346,$M$2:$M$1705,0)),"")</f>
        <v/>
      </c>
      <c r="P346" s="1" t="str">
        <f>IF(O346&lt;&gt;"",ROWS($O$2:O346),"")</f>
        <v/>
      </c>
    </row>
    <row r="347" spans="1:16" x14ac:dyDescent="0.2">
      <c r="A347" s="1">
        <f>WorldCupMatches!O347</f>
        <v>1982</v>
      </c>
      <c r="B347" s="1" t="str">
        <f>WorldCupMatches!P347</f>
        <v>Poland</v>
      </c>
      <c r="C347" s="1">
        <f>WorldCupMatches!Q347</f>
        <v>3</v>
      </c>
      <c r="D347" s="1">
        <f>WorldCupMatches!R347</f>
        <v>0</v>
      </c>
      <c r="E347" s="1" t="str">
        <f>WorldCupMatches!S347</f>
        <v>Belgium</v>
      </c>
      <c r="F347" s="1" t="str">
        <f>WorldCupMatches!T347</f>
        <v xml:space="preserve"> </v>
      </c>
      <c r="G347" s="1" t="str">
        <f>WorldCupMatches!U347</f>
        <v>Group stages</v>
      </c>
      <c r="J347" s="1">
        <f>COUNTIF($L$2:L347,L347)</f>
        <v>10</v>
      </c>
      <c r="K347" s="1">
        <f>Table3[[#This Row],[Year]]</f>
        <v>1982</v>
      </c>
      <c r="L347" s="1" t="str">
        <f>Table3[[#This Row],[Hometeam]]</f>
        <v>Poland</v>
      </c>
      <c r="M347" s="1" t="str">
        <f>IF(J347=1,J347+ROWS($J$2:J347)/10000,"")</f>
        <v/>
      </c>
      <c r="N347" s="1" t="str">
        <f>IFERROR(SMALL($M$2:$M$1705,ROWS($M$2:M347)),"")</f>
        <v/>
      </c>
      <c r="O347" s="1" t="str">
        <f>IF(N347&lt;&gt;"",INDEX($L$2:$L$1705,MATCH(N347,$M$2:$M$1705,0)),"")</f>
        <v/>
      </c>
      <c r="P347" s="1" t="str">
        <f>IF(O347&lt;&gt;"",ROWS($O$2:O347),"")</f>
        <v/>
      </c>
    </row>
    <row r="348" spans="1:16" x14ac:dyDescent="0.2">
      <c r="A348" s="1">
        <f>WorldCupMatches!O348</f>
        <v>1982</v>
      </c>
      <c r="B348" s="1" t="str">
        <f>WorldCupMatches!P348</f>
        <v>Italy</v>
      </c>
      <c r="C348" s="1">
        <f>WorldCupMatches!Q348</f>
        <v>2</v>
      </c>
      <c r="D348" s="1">
        <f>WorldCupMatches!R348</f>
        <v>1</v>
      </c>
      <c r="E348" s="1" t="str">
        <f>WorldCupMatches!S348</f>
        <v>Argentina</v>
      </c>
      <c r="F348" s="1" t="str">
        <f>WorldCupMatches!T348</f>
        <v xml:space="preserve"> </v>
      </c>
      <c r="G348" s="1" t="str">
        <f>WorldCupMatches!U348</f>
        <v>Group stages</v>
      </c>
      <c r="J348" s="1">
        <f>COUNTIF($L$2:L348,L348)</f>
        <v>26</v>
      </c>
      <c r="K348" s="1">
        <f>Table3[[#This Row],[Year]]</f>
        <v>1982</v>
      </c>
      <c r="L348" s="1" t="str">
        <f>Table3[[#This Row],[Hometeam]]</f>
        <v>Italy</v>
      </c>
      <c r="M348" s="1" t="str">
        <f>IF(J348=1,J348+ROWS($J$2:J348)/10000,"")</f>
        <v/>
      </c>
      <c r="N348" s="1" t="str">
        <f>IFERROR(SMALL($M$2:$M$1705,ROWS($M$2:M348)),"")</f>
        <v/>
      </c>
      <c r="O348" s="1" t="str">
        <f>IF(N348&lt;&gt;"",INDEX($L$2:$L$1705,MATCH(N348,$M$2:$M$1705,0)),"")</f>
        <v/>
      </c>
      <c r="P348" s="1" t="str">
        <f>IF(O348&lt;&gt;"",ROWS($O$2:O348),"")</f>
        <v/>
      </c>
    </row>
    <row r="349" spans="1:16" x14ac:dyDescent="0.2">
      <c r="A349" s="1">
        <f>WorldCupMatches!O349</f>
        <v>1982</v>
      </c>
      <c r="B349" s="1" t="str">
        <f>WorldCupMatches!P349</f>
        <v>Germany FR</v>
      </c>
      <c r="C349" s="1">
        <f>WorldCupMatches!Q349</f>
        <v>0</v>
      </c>
      <c r="D349" s="1">
        <f>WorldCupMatches!R349</f>
        <v>0</v>
      </c>
      <c r="E349" s="1" t="str">
        <f>WorldCupMatches!S349</f>
        <v>England</v>
      </c>
      <c r="F349" s="1" t="str">
        <f>WorldCupMatches!T349</f>
        <v xml:space="preserve"> </v>
      </c>
      <c r="G349" s="1" t="str">
        <f>WorldCupMatches!U349</f>
        <v>Group stages</v>
      </c>
      <c r="J349" s="1">
        <f>COUNTIF($L$2:L349,L349)</f>
        <v>32</v>
      </c>
      <c r="K349" s="1">
        <f>Table3[[#This Row],[Year]]</f>
        <v>1982</v>
      </c>
      <c r="L349" s="1" t="str">
        <f>Table3[[#This Row],[Hometeam]]</f>
        <v>Germany FR</v>
      </c>
      <c r="M349" s="1" t="str">
        <f>IF(J349=1,J349+ROWS($J$2:J349)/10000,"")</f>
        <v/>
      </c>
      <c r="N349" s="1" t="str">
        <f>IFERROR(SMALL($M$2:$M$1705,ROWS($M$2:M349)),"")</f>
        <v/>
      </c>
      <c r="O349" s="1" t="str">
        <f>IF(N349&lt;&gt;"",INDEX($L$2:$L$1705,MATCH(N349,$M$2:$M$1705,0)),"")</f>
        <v/>
      </c>
      <c r="P349" s="1" t="str">
        <f>IF(O349&lt;&gt;"",ROWS($O$2:O349),"")</f>
        <v/>
      </c>
    </row>
    <row r="350" spans="1:16" x14ac:dyDescent="0.2">
      <c r="A350" s="1">
        <f>WorldCupMatches!O350</f>
        <v>1982</v>
      </c>
      <c r="B350" s="1" t="str">
        <f>WorldCupMatches!P350</f>
        <v>Austria</v>
      </c>
      <c r="C350" s="1">
        <f>WorldCupMatches!Q350</f>
        <v>2</v>
      </c>
      <c r="D350" s="1">
        <f>WorldCupMatches!R350</f>
        <v>2</v>
      </c>
      <c r="E350" s="1" t="str">
        <f>WorldCupMatches!S350</f>
        <v>Northern Ireland</v>
      </c>
      <c r="F350" s="1" t="str">
        <f>WorldCupMatches!T350</f>
        <v xml:space="preserve"> </v>
      </c>
      <c r="G350" s="1" t="str">
        <f>WorldCupMatches!U350</f>
        <v>Group stages</v>
      </c>
      <c r="J350" s="1">
        <f>COUNTIF($L$2:L350,L350)</f>
        <v>11</v>
      </c>
      <c r="K350" s="1">
        <f>Table3[[#This Row],[Year]]</f>
        <v>1982</v>
      </c>
      <c r="L350" s="1" t="str">
        <f>Table3[[#This Row],[Hometeam]]</f>
        <v>Austria</v>
      </c>
      <c r="M350" s="1" t="str">
        <f>IF(J350=1,J350+ROWS($J$2:J350)/10000,"")</f>
        <v/>
      </c>
      <c r="N350" s="1" t="str">
        <f>IFERROR(SMALL($M$2:$M$1705,ROWS($M$2:M350)),"")</f>
        <v/>
      </c>
      <c r="O350" s="1" t="str">
        <f>IF(N350&lt;&gt;"",INDEX($L$2:$L$1705,MATCH(N350,$M$2:$M$1705,0)),"")</f>
        <v/>
      </c>
      <c r="P350" s="1" t="str">
        <f>IF(O350&lt;&gt;"",ROWS($O$2:O350),"")</f>
        <v/>
      </c>
    </row>
    <row r="351" spans="1:16" x14ac:dyDescent="0.2">
      <c r="A351" s="1">
        <f>WorldCupMatches!O351</f>
        <v>1982</v>
      </c>
      <c r="B351" s="1" t="str">
        <f>WorldCupMatches!P351</f>
        <v>Belgium</v>
      </c>
      <c r="C351" s="1">
        <f>WorldCupMatches!Q351</f>
        <v>0</v>
      </c>
      <c r="D351" s="1">
        <f>WorldCupMatches!R351</f>
        <v>1</v>
      </c>
      <c r="E351" s="1" t="str">
        <f>WorldCupMatches!S351</f>
        <v>Soviet Union</v>
      </c>
      <c r="F351" s="1" t="str">
        <f>WorldCupMatches!T351</f>
        <v xml:space="preserve"> </v>
      </c>
      <c r="G351" s="1" t="str">
        <f>WorldCupMatches!U351</f>
        <v>Group stages</v>
      </c>
      <c r="J351" s="1">
        <f>COUNTIF($L$2:L351,L351)</f>
        <v>4</v>
      </c>
      <c r="K351" s="1">
        <f>Table3[[#This Row],[Year]]</f>
        <v>1982</v>
      </c>
      <c r="L351" s="1" t="str">
        <f>Table3[[#This Row],[Hometeam]]</f>
        <v>Belgium</v>
      </c>
      <c r="M351" s="1" t="str">
        <f>IF(J351=1,J351+ROWS($J$2:J351)/10000,"")</f>
        <v/>
      </c>
      <c r="N351" s="1" t="str">
        <f>IFERROR(SMALL($M$2:$M$1705,ROWS($M$2:M351)),"")</f>
        <v/>
      </c>
      <c r="O351" s="1" t="str">
        <f>IF(N351&lt;&gt;"",INDEX($L$2:$L$1705,MATCH(N351,$M$2:$M$1705,0)),"")</f>
        <v/>
      </c>
      <c r="P351" s="1" t="str">
        <f>IF(O351&lt;&gt;"",ROWS($O$2:O351),"")</f>
        <v/>
      </c>
    </row>
    <row r="352" spans="1:16" x14ac:dyDescent="0.2">
      <c r="A352" s="1">
        <f>WorldCupMatches!O352</f>
        <v>1982</v>
      </c>
      <c r="B352" s="1" t="str">
        <f>WorldCupMatches!P352</f>
        <v>Argentina</v>
      </c>
      <c r="C352" s="1">
        <f>WorldCupMatches!Q352</f>
        <v>1</v>
      </c>
      <c r="D352" s="1">
        <f>WorldCupMatches!R352</f>
        <v>3</v>
      </c>
      <c r="E352" s="1" t="str">
        <f>WorldCupMatches!S352</f>
        <v>Brazil</v>
      </c>
      <c r="F352" s="1" t="str">
        <f>WorldCupMatches!T352</f>
        <v xml:space="preserve"> </v>
      </c>
      <c r="G352" s="1" t="str">
        <f>WorldCupMatches!U352</f>
        <v>Group stages</v>
      </c>
      <c r="J352" s="1">
        <f>COUNTIF($L$2:L352,L352)</f>
        <v>23</v>
      </c>
      <c r="K352" s="1">
        <f>Table3[[#This Row],[Year]]</f>
        <v>1982</v>
      </c>
      <c r="L352" s="1" t="str">
        <f>Table3[[#This Row],[Hometeam]]</f>
        <v>Argentina</v>
      </c>
      <c r="M352" s="1" t="str">
        <f>IF(J352=1,J352+ROWS($J$2:J352)/10000,"")</f>
        <v/>
      </c>
      <c r="N352" s="1" t="str">
        <f>IFERROR(SMALL($M$2:$M$1705,ROWS($M$2:M352)),"")</f>
        <v/>
      </c>
      <c r="O352" s="1" t="str">
        <f>IF(N352&lt;&gt;"",INDEX($L$2:$L$1705,MATCH(N352,$M$2:$M$1705,0)),"")</f>
        <v/>
      </c>
      <c r="P352" s="1" t="str">
        <f>IF(O352&lt;&gt;"",ROWS($O$2:O352),"")</f>
        <v/>
      </c>
    </row>
    <row r="353" spans="1:16" x14ac:dyDescent="0.2">
      <c r="A353" s="1">
        <f>WorldCupMatches!O353</f>
        <v>1982</v>
      </c>
      <c r="B353" s="1" t="str">
        <f>WorldCupMatches!P353</f>
        <v>Germany FR</v>
      </c>
      <c r="C353" s="1">
        <f>WorldCupMatches!Q353</f>
        <v>2</v>
      </c>
      <c r="D353" s="1">
        <f>WorldCupMatches!R353</f>
        <v>1</v>
      </c>
      <c r="E353" s="1" t="str">
        <f>WorldCupMatches!S353</f>
        <v>Spain</v>
      </c>
      <c r="F353" s="1" t="str">
        <f>WorldCupMatches!T353</f>
        <v xml:space="preserve"> </v>
      </c>
      <c r="G353" s="1" t="str">
        <f>WorldCupMatches!U353</f>
        <v>Group stages</v>
      </c>
      <c r="J353" s="1">
        <f>COUNTIF($L$2:L353,L353)</f>
        <v>33</v>
      </c>
      <c r="K353" s="1">
        <f>Table3[[#This Row],[Year]]</f>
        <v>1982</v>
      </c>
      <c r="L353" s="1" t="str">
        <f>Table3[[#This Row],[Hometeam]]</f>
        <v>Germany FR</v>
      </c>
      <c r="M353" s="1" t="str">
        <f>IF(J353=1,J353+ROWS($J$2:J353)/10000,"")</f>
        <v/>
      </c>
      <c r="N353" s="1" t="str">
        <f>IFERROR(SMALL($M$2:$M$1705,ROWS($M$2:M353)),"")</f>
        <v/>
      </c>
      <c r="O353" s="1" t="str">
        <f>IF(N353&lt;&gt;"",INDEX($L$2:$L$1705,MATCH(N353,$M$2:$M$1705,0)),"")</f>
        <v/>
      </c>
      <c r="P353" s="1" t="str">
        <f>IF(O353&lt;&gt;"",ROWS($O$2:O353),"")</f>
        <v/>
      </c>
    </row>
    <row r="354" spans="1:16" x14ac:dyDescent="0.2">
      <c r="A354" s="1">
        <f>WorldCupMatches!O354</f>
        <v>1982</v>
      </c>
      <c r="B354" s="1" t="str">
        <f>WorldCupMatches!P354</f>
        <v>France</v>
      </c>
      <c r="C354" s="1">
        <f>WorldCupMatches!Q354</f>
        <v>4</v>
      </c>
      <c r="D354" s="1">
        <f>WorldCupMatches!R354</f>
        <v>1</v>
      </c>
      <c r="E354" s="1" t="str">
        <f>WorldCupMatches!S354</f>
        <v>Northern Ireland</v>
      </c>
      <c r="F354" s="1" t="str">
        <f>WorldCupMatches!T354</f>
        <v xml:space="preserve"> </v>
      </c>
      <c r="G354" s="1" t="str">
        <f>WorldCupMatches!U354</f>
        <v>Group stages</v>
      </c>
      <c r="J354" s="1">
        <f>COUNTIF($L$2:L354,L354)</f>
        <v>12</v>
      </c>
      <c r="K354" s="1">
        <f>Table3[[#This Row],[Year]]</f>
        <v>1982</v>
      </c>
      <c r="L354" s="1" t="str">
        <f>Table3[[#This Row],[Hometeam]]</f>
        <v>France</v>
      </c>
      <c r="M354" s="1" t="str">
        <f>IF(J354=1,J354+ROWS($J$2:J354)/10000,"")</f>
        <v/>
      </c>
      <c r="N354" s="1" t="str">
        <f>IFERROR(SMALL($M$2:$M$1705,ROWS($M$2:M354)),"")</f>
        <v/>
      </c>
      <c r="O354" s="1" t="str">
        <f>IF(N354&lt;&gt;"",INDEX($L$2:$L$1705,MATCH(N354,$M$2:$M$1705,0)),"")</f>
        <v/>
      </c>
      <c r="P354" s="1" t="str">
        <f>IF(O354&lt;&gt;"",ROWS($O$2:O354),"")</f>
        <v/>
      </c>
    </row>
    <row r="355" spans="1:16" x14ac:dyDescent="0.2">
      <c r="A355" s="1">
        <f>WorldCupMatches!O355</f>
        <v>1982</v>
      </c>
      <c r="B355" s="1" t="str">
        <f>WorldCupMatches!P355</f>
        <v>Poland</v>
      </c>
      <c r="C355" s="1">
        <f>WorldCupMatches!Q355</f>
        <v>0</v>
      </c>
      <c r="D355" s="1">
        <f>WorldCupMatches!R355</f>
        <v>0</v>
      </c>
      <c r="E355" s="1" t="str">
        <f>WorldCupMatches!S355</f>
        <v>Soviet Union</v>
      </c>
      <c r="F355" s="1" t="str">
        <f>WorldCupMatches!T355</f>
        <v xml:space="preserve"> </v>
      </c>
      <c r="G355" s="1" t="str">
        <f>WorldCupMatches!U355</f>
        <v>Group stages</v>
      </c>
      <c r="J355" s="1">
        <f>COUNTIF($L$2:L355,L355)</f>
        <v>11</v>
      </c>
      <c r="K355" s="1">
        <f>Table3[[#This Row],[Year]]</f>
        <v>1982</v>
      </c>
      <c r="L355" s="1" t="str">
        <f>Table3[[#This Row],[Hometeam]]</f>
        <v>Poland</v>
      </c>
      <c r="M355" s="1" t="str">
        <f>IF(J355=1,J355+ROWS($J$2:J355)/10000,"")</f>
        <v/>
      </c>
      <c r="N355" s="1" t="str">
        <f>IFERROR(SMALL($M$2:$M$1705,ROWS($M$2:M355)),"")</f>
        <v/>
      </c>
      <c r="O355" s="1" t="str">
        <f>IF(N355&lt;&gt;"",INDEX($L$2:$L$1705,MATCH(N355,$M$2:$M$1705,0)),"")</f>
        <v/>
      </c>
      <c r="P355" s="1" t="str">
        <f>IF(O355&lt;&gt;"",ROWS($O$2:O355),"")</f>
        <v/>
      </c>
    </row>
    <row r="356" spans="1:16" x14ac:dyDescent="0.2">
      <c r="A356" s="1">
        <f>WorldCupMatches!O356</f>
        <v>1982</v>
      </c>
      <c r="B356" s="1" t="str">
        <f>WorldCupMatches!P356</f>
        <v>Italy</v>
      </c>
      <c r="C356" s="1">
        <f>WorldCupMatches!Q356</f>
        <v>3</v>
      </c>
      <c r="D356" s="1">
        <f>WorldCupMatches!R356</f>
        <v>2</v>
      </c>
      <c r="E356" s="1" t="str">
        <f>WorldCupMatches!S356</f>
        <v>Brazil</v>
      </c>
      <c r="F356" s="1" t="str">
        <f>WorldCupMatches!T356</f>
        <v xml:space="preserve"> </v>
      </c>
      <c r="G356" s="1" t="str">
        <f>WorldCupMatches!U356</f>
        <v>Group stages</v>
      </c>
      <c r="J356" s="1">
        <f>COUNTIF($L$2:L356,L356)</f>
        <v>27</v>
      </c>
      <c r="K356" s="1">
        <f>Table3[[#This Row],[Year]]</f>
        <v>1982</v>
      </c>
      <c r="L356" s="1" t="str">
        <f>Table3[[#This Row],[Hometeam]]</f>
        <v>Italy</v>
      </c>
      <c r="M356" s="1" t="str">
        <f>IF(J356=1,J356+ROWS($J$2:J356)/10000,"")</f>
        <v/>
      </c>
      <c r="N356" s="1" t="str">
        <f>IFERROR(SMALL($M$2:$M$1705,ROWS($M$2:M356)),"")</f>
        <v/>
      </c>
      <c r="O356" s="1" t="str">
        <f>IF(N356&lt;&gt;"",INDEX($L$2:$L$1705,MATCH(N356,$M$2:$M$1705,0)),"")</f>
        <v/>
      </c>
      <c r="P356" s="1" t="str">
        <f>IF(O356&lt;&gt;"",ROWS($O$2:O356),"")</f>
        <v/>
      </c>
    </row>
    <row r="357" spans="1:16" x14ac:dyDescent="0.2">
      <c r="A357" s="1">
        <f>WorldCupMatches!O357</f>
        <v>1982</v>
      </c>
      <c r="B357" s="1" t="str">
        <f>WorldCupMatches!P357</f>
        <v>Spain</v>
      </c>
      <c r="C357" s="1">
        <f>WorldCupMatches!Q357</f>
        <v>0</v>
      </c>
      <c r="D357" s="1">
        <f>WorldCupMatches!R357</f>
        <v>0</v>
      </c>
      <c r="E357" s="1" t="str">
        <f>WorldCupMatches!S357</f>
        <v>England</v>
      </c>
      <c r="F357" s="1" t="str">
        <f>WorldCupMatches!T357</f>
        <v xml:space="preserve"> </v>
      </c>
      <c r="G357" s="1" t="str">
        <f>WorldCupMatches!U357</f>
        <v>Group stages</v>
      </c>
      <c r="J357" s="1">
        <f>COUNTIF($L$2:L357,L357)</f>
        <v>10</v>
      </c>
      <c r="K357" s="1">
        <f>Table3[[#This Row],[Year]]</f>
        <v>1982</v>
      </c>
      <c r="L357" s="1" t="str">
        <f>Table3[[#This Row],[Hometeam]]</f>
        <v>Spain</v>
      </c>
      <c r="M357" s="1" t="str">
        <f>IF(J357=1,J357+ROWS($J$2:J357)/10000,"")</f>
        <v/>
      </c>
      <c r="N357" s="1" t="str">
        <f>IFERROR(SMALL($M$2:$M$1705,ROWS($M$2:M357)),"")</f>
        <v/>
      </c>
      <c r="O357" s="1" t="str">
        <f>IF(N357&lt;&gt;"",INDEX($L$2:$L$1705,MATCH(N357,$M$2:$M$1705,0)),"")</f>
        <v/>
      </c>
      <c r="P357" s="1" t="str">
        <f>IF(O357&lt;&gt;"",ROWS($O$2:O357),"")</f>
        <v/>
      </c>
    </row>
    <row r="358" spans="1:16" x14ac:dyDescent="0.2">
      <c r="A358" s="1">
        <f>WorldCupMatches!O358</f>
        <v>1982</v>
      </c>
      <c r="B358" s="1" t="str">
        <f>WorldCupMatches!P358</f>
        <v>Poland</v>
      </c>
      <c r="C358" s="1">
        <f>WorldCupMatches!Q358</f>
        <v>0</v>
      </c>
      <c r="D358" s="1">
        <f>WorldCupMatches!R358</f>
        <v>2</v>
      </c>
      <c r="E358" s="1" t="str">
        <f>WorldCupMatches!S358</f>
        <v>Italy</v>
      </c>
      <c r="F358" s="1" t="str">
        <f>WorldCupMatches!T358</f>
        <v xml:space="preserve"> </v>
      </c>
      <c r="G358" s="1" t="str">
        <f>WorldCupMatches!U358</f>
        <v>Semi-finals</v>
      </c>
      <c r="J358" s="1">
        <f>COUNTIF($L$2:L358,L358)</f>
        <v>12</v>
      </c>
      <c r="K358" s="1">
        <f>Table3[[#This Row],[Year]]</f>
        <v>1982</v>
      </c>
      <c r="L358" s="1" t="str">
        <f>Table3[[#This Row],[Hometeam]]</f>
        <v>Poland</v>
      </c>
      <c r="M358" s="1" t="str">
        <f>IF(J358=1,J358+ROWS($J$2:J358)/10000,"")</f>
        <v/>
      </c>
      <c r="N358" s="1" t="str">
        <f>IFERROR(SMALL($M$2:$M$1705,ROWS($M$2:M358)),"")</f>
        <v/>
      </c>
      <c r="O358" s="1" t="str">
        <f>IF(N358&lt;&gt;"",INDEX($L$2:$L$1705,MATCH(N358,$M$2:$M$1705,0)),"")</f>
        <v/>
      </c>
      <c r="P358" s="1" t="str">
        <f>IF(O358&lt;&gt;"",ROWS($O$2:O358),"")</f>
        <v/>
      </c>
    </row>
    <row r="359" spans="1:16" x14ac:dyDescent="0.2">
      <c r="A359" s="1">
        <f>WorldCupMatches!O359</f>
        <v>1982</v>
      </c>
      <c r="B359" s="1" t="str">
        <f>WorldCupMatches!P359</f>
        <v>Germany FR</v>
      </c>
      <c r="C359" s="1">
        <f>WorldCupMatches!Q359</f>
        <v>3</v>
      </c>
      <c r="D359" s="1">
        <f>WorldCupMatches!R359</f>
        <v>3</v>
      </c>
      <c r="E359" s="1" t="str">
        <f>WorldCupMatches!S359</f>
        <v>France</v>
      </c>
      <c r="F359" s="1" t="str">
        <f>WorldCupMatches!T359</f>
        <v xml:space="preserve"> win on penalties (5 - 4) </v>
      </c>
      <c r="G359" s="1" t="str">
        <f>WorldCupMatches!U359</f>
        <v>Semi-finals</v>
      </c>
      <c r="J359" s="1">
        <f>COUNTIF($L$2:L359,L359)</f>
        <v>34</v>
      </c>
      <c r="K359" s="1">
        <f>Table3[[#This Row],[Year]]</f>
        <v>1982</v>
      </c>
      <c r="L359" s="1" t="str">
        <f>Table3[[#This Row],[Hometeam]]</f>
        <v>Germany FR</v>
      </c>
      <c r="M359" s="1" t="str">
        <f>IF(J359=1,J359+ROWS($J$2:J359)/10000,"")</f>
        <v/>
      </c>
      <c r="N359" s="1" t="str">
        <f>IFERROR(SMALL($M$2:$M$1705,ROWS($M$2:M359)),"")</f>
        <v/>
      </c>
      <c r="O359" s="1" t="str">
        <f>IF(N359&lt;&gt;"",INDEX($L$2:$L$1705,MATCH(N359,$M$2:$M$1705,0)),"")</f>
        <v/>
      </c>
      <c r="P359" s="1" t="str">
        <f>IF(O359&lt;&gt;"",ROWS($O$2:O359),"")</f>
        <v/>
      </c>
    </row>
    <row r="360" spans="1:16" x14ac:dyDescent="0.2">
      <c r="A360" s="1">
        <f>WorldCupMatches!O360</f>
        <v>1982</v>
      </c>
      <c r="B360" s="1" t="str">
        <f>WorldCupMatches!P360</f>
        <v>Poland</v>
      </c>
      <c r="C360" s="1">
        <f>WorldCupMatches!Q360</f>
        <v>3</v>
      </c>
      <c r="D360" s="1">
        <f>WorldCupMatches!R360</f>
        <v>2</v>
      </c>
      <c r="E360" s="1" t="str">
        <f>WorldCupMatches!S360</f>
        <v>France</v>
      </c>
      <c r="F360" s="1" t="str">
        <f>WorldCupMatches!T360</f>
        <v xml:space="preserve"> </v>
      </c>
      <c r="G360" s="1" t="str">
        <f>WorldCupMatches!U360</f>
        <v>Match for third place</v>
      </c>
      <c r="J360" s="1">
        <f>COUNTIF($L$2:L360,L360)</f>
        <v>13</v>
      </c>
      <c r="K360" s="1">
        <f>Table3[[#This Row],[Year]]</f>
        <v>1982</v>
      </c>
      <c r="L360" s="1" t="str">
        <f>Table3[[#This Row],[Hometeam]]</f>
        <v>Poland</v>
      </c>
      <c r="M360" s="1" t="str">
        <f>IF(J360=1,J360+ROWS($J$2:J360)/10000,"")</f>
        <v/>
      </c>
      <c r="N360" s="1" t="str">
        <f>IFERROR(SMALL($M$2:$M$1705,ROWS($M$2:M360)),"")</f>
        <v/>
      </c>
      <c r="O360" s="1" t="str">
        <f>IF(N360&lt;&gt;"",INDEX($L$2:$L$1705,MATCH(N360,$M$2:$M$1705,0)),"")</f>
        <v/>
      </c>
      <c r="P360" s="1" t="str">
        <f>IF(O360&lt;&gt;"",ROWS($O$2:O360),"")</f>
        <v/>
      </c>
    </row>
    <row r="361" spans="1:16" x14ac:dyDescent="0.2">
      <c r="A361" s="1">
        <f>WorldCupMatches!O361</f>
        <v>1982</v>
      </c>
      <c r="B361" s="1" t="str">
        <f>WorldCupMatches!P361</f>
        <v>Italy</v>
      </c>
      <c r="C361" s="1">
        <f>WorldCupMatches!Q361</f>
        <v>3</v>
      </c>
      <c r="D361" s="1">
        <f>WorldCupMatches!R361</f>
        <v>1</v>
      </c>
      <c r="E361" s="1" t="str">
        <f>WorldCupMatches!S361</f>
        <v>Germany FR</v>
      </c>
      <c r="F361" s="1" t="str">
        <f>WorldCupMatches!T361</f>
        <v xml:space="preserve"> </v>
      </c>
      <c r="G361" s="1" t="str">
        <f>WorldCupMatches!U361</f>
        <v>Final</v>
      </c>
      <c r="J361" s="1">
        <f>COUNTIF($L$2:L361,L361)</f>
        <v>28</v>
      </c>
      <c r="K361" s="1">
        <f>Table3[[#This Row],[Year]]</f>
        <v>1982</v>
      </c>
      <c r="L361" s="1" t="str">
        <f>Table3[[#This Row],[Hometeam]]</f>
        <v>Italy</v>
      </c>
      <c r="M361" s="1" t="str">
        <f>IF(J361=1,J361+ROWS($J$2:J361)/10000,"")</f>
        <v/>
      </c>
      <c r="N361" s="1" t="str">
        <f>IFERROR(SMALL($M$2:$M$1705,ROWS($M$2:M361)),"")</f>
        <v/>
      </c>
      <c r="O361" s="1" t="str">
        <f>IF(N361&lt;&gt;"",INDEX($L$2:$L$1705,MATCH(N361,$M$2:$M$1705,0)),"")</f>
        <v/>
      </c>
      <c r="P361" s="1" t="str">
        <f>IF(O361&lt;&gt;"",ROWS($O$2:O361),"")</f>
        <v/>
      </c>
    </row>
    <row r="362" spans="1:16" x14ac:dyDescent="0.2">
      <c r="A362" s="1">
        <f>WorldCupMatches!O362</f>
        <v>1986</v>
      </c>
      <c r="B362" s="1" t="str">
        <f>WorldCupMatches!P362</f>
        <v>Bulgaria</v>
      </c>
      <c r="C362" s="1">
        <f>WorldCupMatches!Q362</f>
        <v>1</v>
      </c>
      <c r="D362" s="1">
        <f>WorldCupMatches!R362</f>
        <v>1</v>
      </c>
      <c r="E362" s="1" t="str">
        <f>WorldCupMatches!S362</f>
        <v>Italy</v>
      </c>
      <c r="F362" s="1" t="str">
        <f>WorldCupMatches!T362</f>
        <v xml:space="preserve"> </v>
      </c>
      <c r="G362" s="1" t="str">
        <f>WorldCupMatches!U362</f>
        <v>Group stages</v>
      </c>
      <c r="J362" s="1">
        <f>COUNTIF($L$2:L362,L362)</f>
        <v>4</v>
      </c>
      <c r="K362" s="1">
        <f>Table3[[#This Row],[Year]]</f>
        <v>1986</v>
      </c>
      <c r="L362" s="1" t="str">
        <f>Table3[[#This Row],[Hometeam]]</f>
        <v>Bulgaria</v>
      </c>
      <c r="M362" s="1" t="str">
        <f>IF(J362=1,J362+ROWS($J$2:J362)/10000,"")</f>
        <v/>
      </c>
      <c r="N362" s="1" t="str">
        <f>IFERROR(SMALL($M$2:$M$1705,ROWS($M$2:M362)),"")</f>
        <v/>
      </c>
      <c r="O362" s="1" t="str">
        <f>IF(N362&lt;&gt;"",INDEX($L$2:$L$1705,MATCH(N362,$M$2:$M$1705,0)),"")</f>
        <v/>
      </c>
      <c r="P362" s="1" t="str">
        <f>IF(O362&lt;&gt;"",ROWS($O$2:O362),"")</f>
        <v/>
      </c>
    </row>
    <row r="363" spans="1:16" x14ac:dyDescent="0.2">
      <c r="A363" s="1">
        <f>WorldCupMatches!O363</f>
        <v>1986</v>
      </c>
      <c r="B363" s="1" t="str">
        <f>WorldCupMatches!P363</f>
        <v>Canada</v>
      </c>
      <c r="C363" s="1">
        <f>WorldCupMatches!Q363</f>
        <v>0</v>
      </c>
      <c r="D363" s="1">
        <f>WorldCupMatches!R363</f>
        <v>1</v>
      </c>
      <c r="E363" s="1" t="str">
        <f>WorldCupMatches!S363</f>
        <v>France</v>
      </c>
      <c r="F363" s="1" t="str">
        <f>WorldCupMatches!T363</f>
        <v xml:space="preserve"> </v>
      </c>
      <c r="G363" s="1" t="str">
        <f>WorldCupMatches!U363</f>
        <v>Group stages</v>
      </c>
      <c r="J363" s="1">
        <f>COUNTIF($L$2:L363,L363)</f>
        <v>1</v>
      </c>
      <c r="K363" s="1">
        <f>Table3[[#This Row],[Year]]</f>
        <v>1986</v>
      </c>
      <c r="L363" s="1" t="str">
        <f>Table3[[#This Row],[Hometeam]]</f>
        <v>Canada</v>
      </c>
      <c r="M363" s="1">
        <f>IF(J363=1,J363+ROWS($J$2:J363)/10000,"")</f>
        <v>1.0362</v>
      </c>
      <c r="N363" s="1" t="str">
        <f>IFERROR(SMALL($M$2:$M$1705,ROWS($M$2:M363)),"")</f>
        <v/>
      </c>
      <c r="O363" s="1" t="str">
        <f>IF(N363&lt;&gt;"",INDEX($L$2:$L$1705,MATCH(N363,$M$2:$M$1705,0)),"")</f>
        <v/>
      </c>
      <c r="P363" s="1" t="str">
        <f>IF(O363&lt;&gt;"",ROWS($O$2:O363),"")</f>
        <v/>
      </c>
    </row>
    <row r="364" spans="1:16" x14ac:dyDescent="0.2">
      <c r="A364" s="1">
        <f>WorldCupMatches!O364</f>
        <v>1986</v>
      </c>
      <c r="B364" s="1" t="str">
        <f>WorldCupMatches!P364</f>
        <v>Spain</v>
      </c>
      <c r="C364" s="1">
        <f>WorldCupMatches!Q364</f>
        <v>0</v>
      </c>
      <c r="D364" s="1">
        <f>WorldCupMatches!R364</f>
        <v>1</v>
      </c>
      <c r="E364" s="1" t="str">
        <f>WorldCupMatches!S364</f>
        <v>Brazil</v>
      </c>
      <c r="F364" s="1" t="str">
        <f>WorldCupMatches!T364</f>
        <v xml:space="preserve"> </v>
      </c>
      <c r="G364" s="1" t="str">
        <f>WorldCupMatches!U364</f>
        <v>Group stages</v>
      </c>
      <c r="J364" s="1">
        <f>COUNTIF($L$2:L364,L364)</f>
        <v>11</v>
      </c>
      <c r="K364" s="1">
        <f>Table3[[#This Row],[Year]]</f>
        <v>1986</v>
      </c>
      <c r="L364" s="1" t="str">
        <f>Table3[[#This Row],[Hometeam]]</f>
        <v>Spain</v>
      </c>
      <c r="M364" s="1" t="str">
        <f>IF(J364=1,J364+ROWS($J$2:J364)/10000,"")</f>
        <v/>
      </c>
      <c r="N364" s="1" t="str">
        <f>IFERROR(SMALL($M$2:$M$1705,ROWS($M$2:M364)),"")</f>
        <v/>
      </c>
      <c r="O364" s="1" t="str">
        <f>IF(N364&lt;&gt;"",INDEX($L$2:$L$1705,MATCH(N364,$M$2:$M$1705,0)),"")</f>
        <v/>
      </c>
      <c r="P364" s="1" t="str">
        <f>IF(O364&lt;&gt;"",ROWS($O$2:O364),"")</f>
        <v/>
      </c>
    </row>
    <row r="365" spans="1:16" x14ac:dyDescent="0.2">
      <c r="A365" s="1">
        <f>WorldCupMatches!O365</f>
        <v>1986</v>
      </c>
      <c r="B365" s="1" t="str">
        <f>WorldCupMatches!P365</f>
        <v>Soviet Union</v>
      </c>
      <c r="C365" s="1">
        <f>WorldCupMatches!Q365</f>
        <v>6</v>
      </c>
      <c r="D365" s="1">
        <f>WorldCupMatches!R365</f>
        <v>0</v>
      </c>
      <c r="E365" s="1" t="str">
        <f>WorldCupMatches!S365</f>
        <v>Hungary</v>
      </c>
      <c r="F365" s="1" t="str">
        <f>WorldCupMatches!T365</f>
        <v xml:space="preserve"> </v>
      </c>
      <c r="G365" s="1" t="str">
        <f>WorldCupMatches!U365</f>
        <v>Group stages</v>
      </c>
      <c r="J365" s="1">
        <f>COUNTIF($L$2:L365,L365)</f>
        <v>15</v>
      </c>
      <c r="K365" s="1">
        <f>Table3[[#This Row],[Year]]</f>
        <v>1986</v>
      </c>
      <c r="L365" s="1" t="str">
        <f>Table3[[#This Row],[Hometeam]]</f>
        <v>Soviet Union</v>
      </c>
      <c r="M365" s="1" t="str">
        <f>IF(J365=1,J365+ROWS($J$2:J365)/10000,"")</f>
        <v/>
      </c>
      <c r="N365" s="1" t="str">
        <f>IFERROR(SMALL($M$2:$M$1705,ROWS($M$2:M365)),"")</f>
        <v/>
      </c>
      <c r="O365" s="1" t="str">
        <f>IF(N365&lt;&gt;"",INDEX($L$2:$L$1705,MATCH(N365,$M$2:$M$1705,0)),"")</f>
        <v/>
      </c>
      <c r="P365" s="1" t="str">
        <f>IF(O365&lt;&gt;"",ROWS($O$2:O365),"")</f>
        <v/>
      </c>
    </row>
    <row r="366" spans="1:16" x14ac:dyDescent="0.2">
      <c r="A366" s="1">
        <f>WorldCupMatches!O366</f>
        <v>1986</v>
      </c>
      <c r="B366" s="1" t="str">
        <f>WorldCupMatches!P366</f>
        <v>Argentina</v>
      </c>
      <c r="C366" s="1">
        <f>WorldCupMatches!Q366</f>
        <v>3</v>
      </c>
      <c r="D366" s="1">
        <f>WorldCupMatches!R366</f>
        <v>1</v>
      </c>
      <c r="E366" s="1" t="str">
        <f>WorldCupMatches!S366</f>
        <v>Korea Republic</v>
      </c>
      <c r="F366" s="1" t="str">
        <f>WorldCupMatches!T366</f>
        <v xml:space="preserve"> </v>
      </c>
      <c r="G366" s="1" t="str">
        <f>WorldCupMatches!U366</f>
        <v>Group stages</v>
      </c>
      <c r="J366" s="1">
        <f>COUNTIF($L$2:L366,L366)</f>
        <v>24</v>
      </c>
      <c r="K366" s="1">
        <f>Table3[[#This Row],[Year]]</f>
        <v>1986</v>
      </c>
      <c r="L366" s="1" t="str">
        <f>Table3[[#This Row],[Hometeam]]</f>
        <v>Argentina</v>
      </c>
      <c r="M366" s="1" t="str">
        <f>IF(J366=1,J366+ROWS($J$2:J366)/10000,"")</f>
        <v/>
      </c>
      <c r="N366" s="1" t="str">
        <f>IFERROR(SMALL($M$2:$M$1705,ROWS($M$2:M366)),"")</f>
        <v/>
      </c>
      <c r="O366" s="1" t="str">
        <f>IF(N366&lt;&gt;"",INDEX($L$2:$L$1705,MATCH(N366,$M$2:$M$1705,0)),"")</f>
        <v/>
      </c>
      <c r="P366" s="1" t="str">
        <f>IF(O366&lt;&gt;"",ROWS($O$2:O366),"")</f>
        <v/>
      </c>
    </row>
    <row r="367" spans="1:16" x14ac:dyDescent="0.2">
      <c r="A367" s="1">
        <f>WorldCupMatches!O367</f>
        <v>1986</v>
      </c>
      <c r="B367" s="1" t="str">
        <f>WorldCupMatches!P367</f>
        <v>Morocco</v>
      </c>
      <c r="C367" s="1">
        <f>WorldCupMatches!Q367</f>
        <v>0</v>
      </c>
      <c r="D367" s="1">
        <f>WorldCupMatches!R367</f>
        <v>0</v>
      </c>
      <c r="E367" s="1" t="str">
        <f>WorldCupMatches!S367</f>
        <v>Poland</v>
      </c>
      <c r="F367" s="1" t="str">
        <f>WorldCupMatches!T367</f>
        <v xml:space="preserve"> </v>
      </c>
      <c r="G367" s="1" t="str">
        <f>WorldCupMatches!U367</f>
        <v>Group stages</v>
      </c>
      <c r="J367" s="1">
        <f>COUNTIF($L$2:L367,L367)</f>
        <v>1</v>
      </c>
      <c r="K367" s="1">
        <f>Table3[[#This Row],[Year]]</f>
        <v>1986</v>
      </c>
      <c r="L367" s="1" t="str">
        <f>Table3[[#This Row],[Hometeam]]</f>
        <v>Morocco</v>
      </c>
      <c r="M367" s="1">
        <f>IF(J367=1,J367+ROWS($J$2:J367)/10000,"")</f>
        <v>1.0366</v>
      </c>
      <c r="N367" s="1" t="str">
        <f>IFERROR(SMALL($M$2:$M$1705,ROWS($M$2:M367)),"")</f>
        <v/>
      </c>
      <c r="O367" s="1" t="str">
        <f>IF(N367&lt;&gt;"",INDEX($L$2:$L$1705,MATCH(N367,$M$2:$M$1705,0)),"")</f>
        <v/>
      </c>
      <c r="P367" s="1" t="str">
        <f>IF(O367&lt;&gt;"",ROWS($O$2:O367),"")</f>
        <v/>
      </c>
    </row>
    <row r="368" spans="1:16" x14ac:dyDescent="0.2">
      <c r="A368" s="1">
        <f>WorldCupMatches!O368</f>
        <v>1986</v>
      </c>
      <c r="B368" s="1" t="str">
        <f>WorldCupMatches!P368</f>
        <v>Algeria</v>
      </c>
      <c r="C368" s="1">
        <f>WorldCupMatches!Q368</f>
        <v>1</v>
      </c>
      <c r="D368" s="1">
        <f>WorldCupMatches!R368</f>
        <v>1</v>
      </c>
      <c r="E368" s="1" t="str">
        <f>WorldCupMatches!S368</f>
        <v>Northern Ireland</v>
      </c>
      <c r="F368" s="1" t="str">
        <f>WorldCupMatches!T368</f>
        <v xml:space="preserve"> </v>
      </c>
      <c r="G368" s="1" t="str">
        <f>WorldCupMatches!U368</f>
        <v>Group stages</v>
      </c>
      <c r="J368" s="1">
        <f>COUNTIF($L$2:L368,L368)</f>
        <v>3</v>
      </c>
      <c r="K368" s="1">
        <f>Table3[[#This Row],[Year]]</f>
        <v>1986</v>
      </c>
      <c r="L368" s="1" t="str">
        <f>Table3[[#This Row],[Hometeam]]</f>
        <v>Algeria</v>
      </c>
      <c r="M368" s="1" t="str">
        <f>IF(J368=1,J368+ROWS($J$2:J368)/10000,"")</f>
        <v/>
      </c>
      <c r="N368" s="1" t="str">
        <f>IFERROR(SMALL($M$2:$M$1705,ROWS($M$2:M368)),"")</f>
        <v/>
      </c>
      <c r="O368" s="1" t="str">
        <f>IF(N368&lt;&gt;"",INDEX($L$2:$L$1705,MATCH(N368,$M$2:$M$1705,0)),"")</f>
        <v/>
      </c>
      <c r="P368" s="1" t="str">
        <f>IF(O368&lt;&gt;"",ROWS($O$2:O368),"")</f>
        <v/>
      </c>
    </row>
    <row r="369" spans="1:16" x14ac:dyDescent="0.2">
      <c r="A369" s="1">
        <f>WorldCupMatches!O369</f>
        <v>1986</v>
      </c>
      <c r="B369" s="1" t="str">
        <f>WorldCupMatches!P369</f>
        <v>Belgium</v>
      </c>
      <c r="C369" s="1">
        <f>WorldCupMatches!Q369</f>
        <v>1</v>
      </c>
      <c r="D369" s="1">
        <f>WorldCupMatches!R369</f>
        <v>2</v>
      </c>
      <c r="E369" s="1" t="str">
        <f>WorldCupMatches!S369</f>
        <v>Mexico</v>
      </c>
      <c r="F369" s="1" t="str">
        <f>WorldCupMatches!T369</f>
        <v xml:space="preserve"> </v>
      </c>
      <c r="G369" s="1" t="str">
        <f>WorldCupMatches!U369</f>
        <v>Group stages</v>
      </c>
      <c r="J369" s="1">
        <f>COUNTIF($L$2:L369,L369)</f>
        <v>5</v>
      </c>
      <c r="K369" s="1">
        <f>Table3[[#This Row],[Year]]</f>
        <v>1986</v>
      </c>
      <c r="L369" s="1" t="str">
        <f>Table3[[#This Row],[Hometeam]]</f>
        <v>Belgium</v>
      </c>
      <c r="M369" s="1" t="str">
        <f>IF(J369=1,J369+ROWS($J$2:J369)/10000,"")</f>
        <v/>
      </c>
      <c r="N369" s="1" t="str">
        <f>IFERROR(SMALL($M$2:$M$1705,ROWS($M$2:M369)),"")</f>
        <v/>
      </c>
      <c r="O369" s="1" t="str">
        <f>IF(N369&lt;&gt;"",INDEX($L$2:$L$1705,MATCH(N369,$M$2:$M$1705,0)),"")</f>
        <v/>
      </c>
      <c r="P369" s="1" t="str">
        <f>IF(O369&lt;&gt;"",ROWS($O$2:O369),"")</f>
        <v/>
      </c>
    </row>
    <row r="370" spans="1:16" x14ac:dyDescent="0.2">
      <c r="A370" s="1">
        <f>WorldCupMatches!O370</f>
        <v>1986</v>
      </c>
      <c r="B370" s="1" t="str">
        <f>WorldCupMatches!P370</f>
        <v>Portugal</v>
      </c>
      <c r="C370" s="1">
        <f>WorldCupMatches!Q370</f>
        <v>1</v>
      </c>
      <c r="D370" s="1">
        <f>WorldCupMatches!R370</f>
        <v>0</v>
      </c>
      <c r="E370" s="1" t="str">
        <f>WorldCupMatches!S370</f>
        <v>England</v>
      </c>
      <c r="F370" s="1" t="str">
        <f>WorldCupMatches!T370</f>
        <v xml:space="preserve"> </v>
      </c>
      <c r="G370" s="1" t="str">
        <f>WorldCupMatches!U370</f>
        <v>Group stages</v>
      </c>
      <c r="J370" s="1">
        <f>COUNTIF($L$2:L370,L370)</f>
        <v>6</v>
      </c>
      <c r="K370" s="1">
        <f>Table3[[#This Row],[Year]]</f>
        <v>1986</v>
      </c>
      <c r="L370" s="1" t="str">
        <f>Table3[[#This Row],[Hometeam]]</f>
        <v>Portugal</v>
      </c>
      <c r="M370" s="1" t="str">
        <f>IF(J370=1,J370+ROWS($J$2:J370)/10000,"")</f>
        <v/>
      </c>
      <c r="N370" s="1" t="str">
        <f>IFERROR(SMALL($M$2:$M$1705,ROWS($M$2:M370)),"")</f>
        <v/>
      </c>
      <c r="O370" s="1" t="str">
        <f>IF(N370&lt;&gt;"",INDEX($L$2:$L$1705,MATCH(N370,$M$2:$M$1705,0)),"")</f>
        <v/>
      </c>
      <c r="P370" s="1" t="str">
        <f>IF(O370&lt;&gt;"",ROWS($O$2:O370),"")</f>
        <v/>
      </c>
    </row>
    <row r="371" spans="1:16" x14ac:dyDescent="0.2">
      <c r="A371" s="1">
        <f>WorldCupMatches!O371</f>
        <v>1986</v>
      </c>
      <c r="B371" s="1" t="str">
        <f>WorldCupMatches!P371</f>
        <v>Paraguay</v>
      </c>
      <c r="C371" s="1">
        <f>WorldCupMatches!Q371</f>
        <v>1</v>
      </c>
      <c r="D371" s="1">
        <f>WorldCupMatches!R371</f>
        <v>0</v>
      </c>
      <c r="E371" s="1" t="str">
        <f>WorldCupMatches!S371</f>
        <v>Iraq</v>
      </c>
      <c r="F371" s="1" t="str">
        <f>WorldCupMatches!T371</f>
        <v xml:space="preserve"> </v>
      </c>
      <c r="G371" s="1" t="str">
        <f>WorldCupMatches!U371</f>
        <v>Group stages</v>
      </c>
      <c r="J371" s="1">
        <f>COUNTIF($L$2:L371,L371)</f>
        <v>4</v>
      </c>
      <c r="K371" s="1">
        <f>Table3[[#This Row],[Year]]</f>
        <v>1986</v>
      </c>
      <c r="L371" s="1" t="str">
        <f>Table3[[#This Row],[Hometeam]]</f>
        <v>Paraguay</v>
      </c>
      <c r="M371" s="1" t="str">
        <f>IF(J371=1,J371+ROWS($J$2:J371)/10000,"")</f>
        <v/>
      </c>
      <c r="N371" s="1" t="str">
        <f>IFERROR(SMALL($M$2:$M$1705,ROWS($M$2:M371)),"")</f>
        <v/>
      </c>
      <c r="O371" s="1" t="str">
        <f>IF(N371&lt;&gt;"",INDEX($L$2:$L$1705,MATCH(N371,$M$2:$M$1705,0)),"")</f>
        <v/>
      </c>
      <c r="P371" s="1" t="str">
        <f>IF(O371&lt;&gt;"",ROWS($O$2:O371),"")</f>
        <v/>
      </c>
    </row>
    <row r="372" spans="1:16" x14ac:dyDescent="0.2">
      <c r="A372" s="1">
        <f>WorldCupMatches!O372</f>
        <v>1986</v>
      </c>
      <c r="B372" s="1" t="str">
        <f>WorldCupMatches!P372</f>
        <v>Scotland</v>
      </c>
      <c r="C372" s="1">
        <f>WorldCupMatches!Q372</f>
        <v>0</v>
      </c>
      <c r="D372" s="1">
        <f>WorldCupMatches!R372</f>
        <v>1</v>
      </c>
      <c r="E372" s="1" t="str">
        <f>WorldCupMatches!S372</f>
        <v>Denmark</v>
      </c>
      <c r="F372" s="1" t="str">
        <f>WorldCupMatches!T372</f>
        <v xml:space="preserve"> </v>
      </c>
      <c r="G372" s="1" t="str">
        <f>WorldCupMatches!U372</f>
        <v>Group stages</v>
      </c>
      <c r="J372" s="1">
        <f>COUNTIF($L$2:L372,L372)</f>
        <v>6</v>
      </c>
      <c r="K372" s="1">
        <f>Table3[[#This Row],[Year]]</f>
        <v>1986</v>
      </c>
      <c r="L372" s="1" t="str">
        <f>Table3[[#This Row],[Hometeam]]</f>
        <v>Scotland</v>
      </c>
      <c r="M372" s="1" t="str">
        <f>IF(J372=1,J372+ROWS($J$2:J372)/10000,"")</f>
        <v/>
      </c>
      <c r="N372" s="1" t="str">
        <f>IFERROR(SMALL($M$2:$M$1705,ROWS($M$2:M372)),"")</f>
        <v/>
      </c>
      <c r="O372" s="1" t="str">
        <f>IF(N372&lt;&gt;"",INDEX($L$2:$L$1705,MATCH(N372,$M$2:$M$1705,0)),"")</f>
        <v/>
      </c>
      <c r="P372" s="1" t="str">
        <f>IF(O372&lt;&gt;"",ROWS($O$2:O372),"")</f>
        <v/>
      </c>
    </row>
    <row r="373" spans="1:16" x14ac:dyDescent="0.2">
      <c r="A373" s="1">
        <f>WorldCupMatches!O373</f>
        <v>1986</v>
      </c>
      <c r="B373" s="1" t="str">
        <f>WorldCupMatches!P373</f>
        <v>Uruguay</v>
      </c>
      <c r="C373" s="1">
        <f>WorldCupMatches!Q373</f>
        <v>1</v>
      </c>
      <c r="D373" s="1">
        <f>WorldCupMatches!R373</f>
        <v>1</v>
      </c>
      <c r="E373" s="1" t="str">
        <f>WorldCupMatches!S373</f>
        <v>Germany FR</v>
      </c>
      <c r="F373" s="1" t="str">
        <f>WorldCupMatches!T373</f>
        <v xml:space="preserve"> </v>
      </c>
      <c r="G373" s="1" t="str">
        <f>WorldCupMatches!U373</f>
        <v>Group stages</v>
      </c>
      <c r="J373" s="1">
        <f>COUNTIF($L$2:L373,L373)</f>
        <v>19</v>
      </c>
      <c r="K373" s="1">
        <f>Table3[[#This Row],[Year]]</f>
        <v>1986</v>
      </c>
      <c r="L373" s="1" t="str">
        <f>Table3[[#This Row],[Hometeam]]</f>
        <v>Uruguay</v>
      </c>
      <c r="M373" s="1" t="str">
        <f>IF(J373=1,J373+ROWS($J$2:J373)/10000,"")</f>
        <v/>
      </c>
      <c r="N373" s="1" t="str">
        <f>IFERROR(SMALL($M$2:$M$1705,ROWS($M$2:M373)),"")</f>
        <v/>
      </c>
      <c r="O373" s="1" t="str">
        <f>IF(N373&lt;&gt;"",INDEX($L$2:$L$1705,MATCH(N373,$M$2:$M$1705,0)),"")</f>
        <v/>
      </c>
      <c r="P373" s="1" t="str">
        <f>IF(O373&lt;&gt;"",ROWS($O$2:O373),"")</f>
        <v/>
      </c>
    </row>
    <row r="374" spans="1:16" x14ac:dyDescent="0.2">
      <c r="A374" s="1">
        <f>WorldCupMatches!O374</f>
        <v>1986</v>
      </c>
      <c r="B374" s="1" t="str">
        <f>WorldCupMatches!P374</f>
        <v>Italy</v>
      </c>
      <c r="C374" s="1">
        <f>WorldCupMatches!Q374</f>
        <v>1</v>
      </c>
      <c r="D374" s="1">
        <f>WorldCupMatches!R374</f>
        <v>1</v>
      </c>
      <c r="E374" s="1" t="str">
        <f>WorldCupMatches!S374</f>
        <v>Argentina</v>
      </c>
      <c r="F374" s="1" t="str">
        <f>WorldCupMatches!T374</f>
        <v xml:space="preserve"> </v>
      </c>
      <c r="G374" s="1" t="str">
        <f>WorldCupMatches!U374</f>
        <v>Group stages</v>
      </c>
      <c r="J374" s="1">
        <f>COUNTIF($L$2:L374,L374)</f>
        <v>29</v>
      </c>
      <c r="K374" s="1">
        <f>Table3[[#This Row],[Year]]</f>
        <v>1986</v>
      </c>
      <c r="L374" s="1" t="str">
        <f>Table3[[#This Row],[Hometeam]]</f>
        <v>Italy</v>
      </c>
      <c r="M374" s="1" t="str">
        <f>IF(J374=1,J374+ROWS($J$2:J374)/10000,"")</f>
        <v/>
      </c>
      <c r="N374" s="1" t="str">
        <f>IFERROR(SMALL($M$2:$M$1705,ROWS($M$2:M374)),"")</f>
        <v/>
      </c>
      <c r="O374" s="1" t="str">
        <f>IF(N374&lt;&gt;"",INDEX($L$2:$L$1705,MATCH(N374,$M$2:$M$1705,0)),"")</f>
        <v/>
      </c>
      <c r="P374" s="1" t="str">
        <f>IF(O374&lt;&gt;"",ROWS($O$2:O374),"")</f>
        <v/>
      </c>
    </row>
    <row r="375" spans="1:16" x14ac:dyDescent="0.2">
      <c r="A375" s="1">
        <f>WorldCupMatches!O375</f>
        <v>1986</v>
      </c>
      <c r="B375" s="1" t="str">
        <f>WorldCupMatches!P375</f>
        <v>France</v>
      </c>
      <c r="C375" s="1">
        <f>WorldCupMatches!Q375</f>
        <v>1</v>
      </c>
      <c r="D375" s="1">
        <f>WorldCupMatches!R375</f>
        <v>1</v>
      </c>
      <c r="E375" s="1" t="str">
        <f>WorldCupMatches!S375</f>
        <v>Soviet Union</v>
      </c>
      <c r="F375" s="1" t="str">
        <f>WorldCupMatches!T375</f>
        <v xml:space="preserve"> </v>
      </c>
      <c r="G375" s="1" t="str">
        <f>WorldCupMatches!U375</f>
        <v>Group stages</v>
      </c>
      <c r="J375" s="1">
        <f>COUNTIF($L$2:L375,L375)</f>
        <v>13</v>
      </c>
      <c r="K375" s="1">
        <f>Table3[[#This Row],[Year]]</f>
        <v>1986</v>
      </c>
      <c r="L375" s="1" t="str">
        <f>Table3[[#This Row],[Hometeam]]</f>
        <v>France</v>
      </c>
      <c r="M375" s="1" t="str">
        <f>IF(J375=1,J375+ROWS($J$2:J375)/10000,"")</f>
        <v/>
      </c>
      <c r="N375" s="1" t="str">
        <f>IFERROR(SMALL($M$2:$M$1705,ROWS($M$2:M375)),"")</f>
        <v/>
      </c>
      <c r="O375" s="1" t="str">
        <f>IF(N375&lt;&gt;"",INDEX($L$2:$L$1705,MATCH(N375,$M$2:$M$1705,0)),"")</f>
        <v/>
      </c>
      <c r="P375" s="1" t="str">
        <f>IF(O375&lt;&gt;"",ROWS($O$2:O375),"")</f>
        <v/>
      </c>
    </row>
    <row r="376" spans="1:16" x14ac:dyDescent="0.2">
      <c r="A376" s="1">
        <f>WorldCupMatches!O376</f>
        <v>1986</v>
      </c>
      <c r="B376" s="1" t="str">
        <f>WorldCupMatches!P376</f>
        <v>Korea Republic</v>
      </c>
      <c r="C376" s="1">
        <f>WorldCupMatches!Q376</f>
        <v>1</v>
      </c>
      <c r="D376" s="1">
        <f>WorldCupMatches!R376</f>
        <v>1</v>
      </c>
      <c r="E376" s="1" t="str">
        <f>WorldCupMatches!S376</f>
        <v>Bulgaria</v>
      </c>
      <c r="F376" s="1" t="str">
        <f>WorldCupMatches!T376</f>
        <v xml:space="preserve"> </v>
      </c>
      <c r="G376" s="1" t="str">
        <f>WorldCupMatches!U376</f>
        <v>Group stages</v>
      </c>
      <c r="J376" s="1">
        <f>COUNTIF($L$2:L376,L376)</f>
        <v>1</v>
      </c>
      <c r="K376" s="1">
        <f>Table3[[#This Row],[Year]]</f>
        <v>1986</v>
      </c>
      <c r="L376" s="1" t="str">
        <f>Table3[[#This Row],[Hometeam]]</f>
        <v>Korea Republic</v>
      </c>
      <c r="M376" s="1">
        <f>IF(J376=1,J376+ROWS($J$2:J376)/10000,"")</f>
        <v>1.0375000000000001</v>
      </c>
      <c r="N376" s="1" t="str">
        <f>IFERROR(SMALL($M$2:$M$1705,ROWS($M$2:M376)),"")</f>
        <v/>
      </c>
      <c r="O376" s="1" t="str">
        <f>IF(N376&lt;&gt;"",INDEX($L$2:$L$1705,MATCH(N376,$M$2:$M$1705,0)),"")</f>
        <v/>
      </c>
      <c r="P376" s="1" t="str">
        <f>IF(O376&lt;&gt;"",ROWS($O$2:O376),"")</f>
        <v/>
      </c>
    </row>
    <row r="377" spans="1:16" x14ac:dyDescent="0.2">
      <c r="A377" s="1">
        <f>WorldCupMatches!O377</f>
        <v>1986</v>
      </c>
      <c r="B377" s="1" t="str">
        <f>WorldCupMatches!P377</f>
        <v>Hungary</v>
      </c>
      <c r="C377" s="1">
        <f>WorldCupMatches!Q377</f>
        <v>2</v>
      </c>
      <c r="D377" s="1">
        <f>WorldCupMatches!R377</f>
        <v>0</v>
      </c>
      <c r="E377" s="1" t="str">
        <f>WorldCupMatches!S377</f>
        <v>Canada</v>
      </c>
      <c r="F377" s="1" t="str">
        <f>WorldCupMatches!T377</f>
        <v xml:space="preserve"> </v>
      </c>
      <c r="G377" s="1" t="str">
        <f>WorldCupMatches!U377</f>
        <v>Group stages</v>
      </c>
      <c r="J377" s="1">
        <f>COUNTIF($L$2:L377,L377)</f>
        <v>17</v>
      </c>
      <c r="K377" s="1">
        <f>Table3[[#This Row],[Year]]</f>
        <v>1986</v>
      </c>
      <c r="L377" s="1" t="str">
        <f>Table3[[#This Row],[Hometeam]]</f>
        <v>Hungary</v>
      </c>
      <c r="M377" s="1" t="str">
        <f>IF(J377=1,J377+ROWS($J$2:J377)/10000,"")</f>
        <v/>
      </c>
      <c r="N377" s="1" t="str">
        <f>IFERROR(SMALL($M$2:$M$1705,ROWS($M$2:M377)),"")</f>
        <v/>
      </c>
      <c r="O377" s="1" t="str">
        <f>IF(N377&lt;&gt;"",INDEX($L$2:$L$1705,MATCH(N377,$M$2:$M$1705,0)),"")</f>
        <v/>
      </c>
      <c r="P377" s="1" t="str">
        <f>IF(O377&lt;&gt;"",ROWS($O$2:O377),"")</f>
        <v/>
      </c>
    </row>
    <row r="378" spans="1:16" x14ac:dyDescent="0.2">
      <c r="A378" s="1">
        <f>WorldCupMatches!O378</f>
        <v>1986</v>
      </c>
      <c r="B378" s="1" t="str">
        <f>WorldCupMatches!P378</f>
        <v>Brazil</v>
      </c>
      <c r="C378" s="1">
        <f>WorldCupMatches!Q378</f>
        <v>1</v>
      </c>
      <c r="D378" s="1">
        <f>WorldCupMatches!R378</f>
        <v>0</v>
      </c>
      <c r="E378" s="1" t="str">
        <f>WorldCupMatches!S378</f>
        <v>Algeria</v>
      </c>
      <c r="F378" s="1" t="str">
        <f>WorldCupMatches!T378</f>
        <v xml:space="preserve"> </v>
      </c>
      <c r="G378" s="1" t="str">
        <f>WorldCupMatches!U378</f>
        <v>Group stages</v>
      </c>
      <c r="J378" s="1">
        <f>COUNTIF($L$2:L378,L378)</f>
        <v>43</v>
      </c>
      <c r="K378" s="1">
        <f>Table3[[#This Row],[Year]]</f>
        <v>1986</v>
      </c>
      <c r="L378" s="1" t="str">
        <f>Table3[[#This Row],[Hometeam]]</f>
        <v>Brazil</v>
      </c>
      <c r="M378" s="1" t="str">
        <f>IF(J378=1,J378+ROWS($J$2:J378)/10000,"")</f>
        <v/>
      </c>
      <c r="N378" s="1" t="str">
        <f>IFERROR(SMALL($M$2:$M$1705,ROWS($M$2:M378)),"")</f>
        <v/>
      </c>
      <c r="O378" s="1" t="str">
        <f>IF(N378&lt;&gt;"",INDEX($L$2:$L$1705,MATCH(N378,$M$2:$M$1705,0)),"")</f>
        <v/>
      </c>
      <c r="P378" s="1" t="str">
        <f>IF(O378&lt;&gt;"",ROWS($O$2:O378),"")</f>
        <v/>
      </c>
    </row>
    <row r="379" spans="1:16" x14ac:dyDescent="0.2">
      <c r="A379" s="1">
        <f>WorldCupMatches!O379</f>
        <v>1986</v>
      </c>
      <c r="B379" s="1" t="str">
        <f>WorldCupMatches!P379</f>
        <v>England</v>
      </c>
      <c r="C379" s="1">
        <f>WorldCupMatches!Q379</f>
        <v>0</v>
      </c>
      <c r="D379" s="1">
        <f>WorldCupMatches!R379</f>
        <v>0</v>
      </c>
      <c r="E379" s="1" t="str">
        <f>WorldCupMatches!S379</f>
        <v>Morocco</v>
      </c>
      <c r="F379" s="1" t="str">
        <f>WorldCupMatches!T379</f>
        <v xml:space="preserve"> </v>
      </c>
      <c r="G379" s="1" t="str">
        <f>WorldCupMatches!U379</f>
        <v>Group stages</v>
      </c>
      <c r="J379" s="1">
        <f>COUNTIF($L$2:L379,L379)</f>
        <v>18</v>
      </c>
      <c r="K379" s="1">
        <f>Table3[[#This Row],[Year]]</f>
        <v>1986</v>
      </c>
      <c r="L379" s="1" t="str">
        <f>Table3[[#This Row],[Hometeam]]</f>
        <v>England</v>
      </c>
      <c r="M379" s="1" t="str">
        <f>IF(J379=1,J379+ROWS($J$2:J379)/10000,"")</f>
        <v/>
      </c>
      <c r="N379" s="1" t="str">
        <f>IFERROR(SMALL($M$2:$M$1705,ROWS($M$2:M379)),"")</f>
        <v/>
      </c>
      <c r="O379" s="1" t="str">
        <f>IF(N379&lt;&gt;"",INDEX($L$2:$L$1705,MATCH(N379,$M$2:$M$1705,0)),"")</f>
        <v/>
      </c>
      <c r="P379" s="1" t="str">
        <f>IF(O379&lt;&gt;"",ROWS($O$2:O379),"")</f>
        <v/>
      </c>
    </row>
    <row r="380" spans="1:16" x14ac:dyDescent="0.2">
      <c r="A380" s="1">
        <f>WorldCupMatches!O380</f>
        <v>1986</v>
      </c>
      <c r="B380" s="1" t="str">
        <f>WorldCupMatches!P380</f>
        <v>Northern Ireland</v>
      </c>
      <c r="C380" s="1">
        <f>WorldCupMatches!Q380</f>
        <v>1</v>
      </c>
      <c r="D380" s="1">
        <f>WorldCupMatches!R380</f>
        <v>2</v>
      </c>
      <c r="E380" s="1" t="str">
        <f>WorldCupMatches!S380</f>
        <v>Spain</v>
      </c>
      <c r="F380" s="1" t="str">
        <f>WorldCupMatches!T380</f>
        <v xml:space="preserve"> </v>
      </c>
      <c r="G380" s="1" t="str">
        <f>WorldCupMatches!U380</f>
        <v>Group stages</v>
      </c>
      <c r="J380" s="1">
        <f>COUNTIF($L$2:L380,L380)</f>
        <v>4</v>
      </c>
      <c r="K380" s="1">
        <f>Table3[[#This Row],[Year]]</f>
        <v>1986</v>
      </c>
      <c r="L380" s="1" t="str">
        <f>Table3[[#This Row],[Hometeam]]</f>
        <v>Northern Ireland</v>
      </c>
      <c r="M380" s="1" t="str">
        <f>IF(J380=1,J380+ROWS($J$2:J380)/10000,"")</f>
        <v/>
      </c>
      <c r="N380" s="1" t="str">
        <f>IFERROR(SMALL($M$2:$M$1705,ROWS($M$2:M380)),"")</f>
        <v/>
      </c>
      <c r="O380" s="1" t="str">
        <f>IF(N380&lt;&gt;"",INDEX($L$2:$L$1705,MATCH(N380,$M$2:$M$1705,0)),"")</f>
        <v/>
      </c>
      <c r="P380" s="1" t="str">
        <f>IF(O380&lt;&gt;"",ROWS($O$2:O380),"")</f>
        <v/>
      </c>
    </row>
    <row r="381" spans="1:16" x14ac:dyDescent="0.2">
      <c r="A381" s="1">
        <f>WorldCupMatches!O381</f>
        <v>1986</v>
      </c>
      <c r="B381" s="1" t="str">
        <f>WorldCupMatches!P381</f>
        <v>Mexico</v>
      </c>
      <c r="C381" s="1">
        <f>WorldCupMatches!Q381</f>
        <v>1</v>
      </c>
      <c r="D381" s="1">
        <f>WorldCupMatches!R381</f>
        <v>1</v>
      </c>
      <c r="E381" s="1" t="str">
        <f>WorldCupMatches!S381</f>
        <v>Paraguay</v>
      </c>
      <c r="F381" s="1" t="str">
        <f>WorldCupMatches!T381</f>
        <v xml:space="preserve"> </v>
      </c>
      <c r="G381" s="1" t="str">
        <f>WorldCupMatches!U381</f>
        <v>Group stages</v>
      </c>
      <c r="J381" s="1">
        <f>COUNTIF($L$2:L381,L381)</f>
        <v>6</v>
      </c>
      <c r="K381" s="1">
        <f>Table3[[#This Row],[Year]]</f>
        <v>1986</v>
      </c>
      <c r="L381" s="1" t="str">
        <f>Table3[[#This Row],[Hometeam]]</f>
        <v>Mexico</v>
      </c>
      <c r="M381" s="1" t="str">
        <f>IF(J381=1,J381+ROWS($J$2:J381)/10000,"")</f>
        <v/>
      </c>
      <c r="N381" s="1" t="str">
        <f>IFERROR(SMALL($M$2:$M$1705,ROWS($M$2:M381)),"")</f>
        <v/>
      </c>
      <c r="O381" s="1" t="str">
        <f>IF(N381&lt;&gt;"",INDEX($L$2:$L$1705,MATCH(N381,$M$2:$M$1705,0)),"")</f>
        <v/>
      </c>
      <c r="P381" s="1" t="str">
        <f>IF(O381&lt;&gt;"",ROWS($O$2:O381),"")</f>
        <v/>
      </c>
    </row>
    <row r="382" spans="1:16" x14ac:dyDescent="0.2">
      <c r="A382" s="1">
        <f>WorldCupMatches!O382</f>
        <v>1986</v>
      </c>
      <c r="B382" s="1" t="str">
        <f>WorldCupMatches!P382</f>
        <v>Poland</v>
      </c>
      <c r="C382" s="1">
        <f>WorldCupMatches!Q382</f>
        <v>1</v>
      </c>
      <c r="D382" s="1">
        <f>WorldCupMatches!R382</f>
        <v>0</v>
      </c>
      <c r="E382" s="1" t="str">
        <f>WorldCupMatches!S382</f>
        <v>Portugal</v>
      </c>
      <c r="F382" s="1" t="str">
        <f>WorldCupMatches!T382</f>
        <v xml:space="preserve"> </v>
      </c>
      <c r="G382" s="1" t="str">
        <f>WorldCupMatches!U382</f>
        <v>Group stages</v>
      </c>
      <c r="J382" s="1">
        <f>COUNTIF($L$2:L382,L382)</f>
        <v>14</v>
      </c>
      <c r="K382" s="1">
        <f>Table3[[#This Row],[Year]]</f>
        <v>1986</v>
      </c>
      <c r="L382" s="1" t="str">
        <f>Table3[[#This Row],[Hometeam]]</f>
        <v>Poland</v>
      </c>
      <c r="M382" s="1" t="str">
        <f>IF(J382=1,J382+ROWS($J$2:J382)/10000,"")</f>
        <v/>
      </c>
      <c r="N382" s="1" t="str">
        <f>IFERROR(SMALL($M$2:$M$1705,ROWS($M$2:M382)),"")</f>
        <v/>
      </c>
      <c r="O382" s="1" t="str">
        <f>IF(N382&lt;&gt;"",INDEX($L$2:$L$1705,MATCH(N382,$M$2:$M$1705,0)),"")</f>
        <v/>
      </c>
      <c r="P382" s="1" t="str">
        <f>IF(O382&lt;&gt;"",ROWS($O$2:O382),"")</f>
        <v/>
      </c>
    </row>
    <row r="383" spans="1:16" x14ac:dyDescent="0.2">
      <c r="A383" s="1">
        <f>WorldCupMatches!O383</f>
        <v>1986</v>
      </c>
      <c r="B383" s="1" t="str">
        <f>WorldCupMatches!P383</f>
        <v>Iraq</v>
      </c>
      <c r="C383" s="1">
        <f>WorldCupMatches!Q383</f>
        <v>1</v>
      </c>
      <c r="D383" s="1">
        <f>WorldCupMatches!R383</f>
        <v>2</v>
      </c>
      <c r="E383" s="1" t="str">
        <f>WorldCupMatches!S383</f>
        <v>Belgium</v>
      </c>
      <c r="F383" s="1" t="str">
        <f>WorldCupMatches!T383</f>
        <v xml:space="preserve"> </v>
      </c>
      <c r="G383" s="1" t="str">
        <f>WorldCupMatches!U383</f>
        <v>Group stages</v>
      </c>
      <c r="J383" s="1">
        <f>COUNTIF($L$2:L383,L383)</f>
        <v>1</v>
      </c>
      <c r="K383" s="1">
        <f>Table3[[#This Row],[Year]]</f>
        <v>1986</v>
      </c>
      <c r="L383" s="1" t="str">
        <f>Table3[[#This Row],[Hometeam]]</f>
        <v>Iraq</v>
      </c>
      <c r="M383" s="1">
        <f>IF(J383=1,J383+ROWS($J$2:J383)/10000,"")</f>
        <v>1.0382</v>
      </c>
      <c r="N383" s="1" t="str">
        <f>IFERROR(SMALL($M$2:$M$1705,ROWS($M$2:M383)),"")</f>
        <v/>
      </c>
      <c r="O383" s="1" t="str">
        <f>IF(N383&lt;&gt;"",INDEX($L$2:$L$1705,MATCH(N383,$M$2:$M$1705,0)),"")</f>
        <v/>
      </c>
      <c r="P383" s="1" t="str">
        <f>IF(O383&lt;&gt;"",ROWS($O$2:O383),"")</f>
        <v/>
      </c>
    </row>
    <row r="384" spans="1:16" x14ac:dyDescent="0.2">
      <c r="A384" s="1">
        <f>WorldCupMatches!O384</f>
        <v>1986</v>
      </c>
      <c r="B384" s="1" t="str">
        <f>WorldCupMatches!P384</f>
        <v>Denmark</v>
      </c>
      <c r="C384" s="1">
        <f>WorldCupMatches!Q384</f>
        <v>6</v>
      </c>
      <c r="D384" s="1">
        <f>WorldCupMatches!R384</f>
        <v>1</v>
      </c>
      <c r="E384" s="1" t="str">
        <f>WorldCupMatches!S384</f>
        <v>Uruguay</v>
      </c>
      <c r="F384" s="1" t="str">
        <f>WorldCupMatches!T384</f>
        <v xml:space="preserve"> </v>
      </c>
      <c r="G384" s="1" t="str">
        <f>WorldCupMatches!U384</f>
        <v>Group stages</v>
      </c>
      <c r="J384" s="1">
        <f>COUNTIF($L$2:L384,L384)</f>
        <v>1</v>
      </c>
      <c r="K384" s="1">
        <f>Table3[[#This Row],[Year]]</f>
        <v>1986</v>
      </c>
      <c r="L384" s="1" t="str">
        <f>Table3[[#This Row],[Hometeam]]</f>
        <v>Denmark</v>
      </c>
      <c r="M384" s="1">
        <f>IF(J384=1,J384+ROWS($J$2:J384)/10000,"")</f>
        <v>1.0383</v>
      </c>
      <c r="N384" s="1" t="str">
        <f>IFERROR(SMALL($M$2:$M$1705,ROWS($M$2:M384)),"")</f>
        <v/>
      </c>
      <c r="O384" s="1" t="str">
        <f>IF(N384&lt;&gt;"",INDEX($L$2:$L$1705,MATCH(N384,$M$2:$M$1705,0)),"")</f>
        <v/>
      </c>
      <c r="P384" s="1" t="str">
        <f>IF(O384&lt;&gt;"",ROWS($O$2:O384),"")</f>
        <v/>
      </c>
    </row>
    <row r="385" spans="1:16" x14ac:dyDescent="0.2">
      <c r="A385" s="1">
        <f>WorldCupMatches!O385</f>
        <v>1986</v>
      </c>
      <c r="B385" s="1" t="str">
        <f>WorldCupMatches!P385</f>
        <v>Germany FR</v>
      </c>
      <c r="C385" s="1">
        <f>WorldCupMatches!Q385</f>
        <v>2</v>
      </c>
      <c r="D385" s="1">
        <f>WorldCupMatches!R385</f>
        <v>1</v>
      </c>
      <c r="E385" s="1" t="str">
        <f>WorldCupMatches!S385</f>
        <v>Scotland</v>
      </c>
      <c r="F385" s="1" t="str">
        <f>WorldCupMatches!T385</f>
        <v xml:space="preserve"> </v>
      </c>
      <c r="G385" s="1" t="str">
        <f>WorldCupMatches!U385</f>
        <v>Group stages</v>
      </c>
      <c r="J385" s="1">
        <f>COUNTIF($L$2:L385,L385)</f>
        <v>35</v>
      </c>
      <c r="K385" s="1">
        <f>Table3[[#This Row],[Year]]</f>
        <v>1986</v>
      </c>
      <c r="L385" s="1" t="str">
        <f>Table3[[#This Row],[Hometeam]]</f>
        <v>Germany FR</v>
      </c>
      <c r="M385" s="1" t="str">
        <f>IF(J385=1,J385+ROWS($J$2:J385)/10000,"")</f>
        <v/>
      </c>
      <c r="N385" s="1" t="str">
        <f>IFERROR(SMALL($M$2:$M$1705,ROWS($M$2:M385)),"")</f>
        <v/>
      </c>
      <c r="O385" s="1" t="str">
        <f>IF(N385&lt;&gt;"",INDEX($L$2:$L$1705,MATCH(N385,$M$2:$M$1705,0)),"")</f>
        <v/>
      </c>
      <c r="P385" s="1" t="str">
        <f>IF(O385&lt;&gt;"",ROWS($O$2:O385),"")</f>
        <v/>
      </c>
    </row>
    <row r="386" spans="1:16" x14ac:dyDescent="0.2">
      <c r="A386" s="1">
        <f>WorldCupMatches!O386</f>
        <v>1986</v>
      </c>
      <c r="B386" s="1" t="str">
        <f>WorldCupMatches!P386</f>
        <v>Hungary</v>
      </c>
      <c r="C386" s="1">
        <f>WorldCupMatches!Q386</f>
        <v>0</v>
      </c>
      <c r="D386" s="1">
        <f>WorldCupMatches!R386</f>
        <v>3</v>
      </c>
      <c r="E386" s="1" t="str">
        <f>WorldCupMatches!S386</f>
        <v>France</v>
      </c>
      <c r="F386" s="1" t="str">
        <f>WorldCupMatches!T386</f>
        <v xml:space="preserve"> </v>
      </c>
      <c r="G386" s="1" t="str">
        <f>WorldCupMatches!U386</f>
        <v>Group stages</v>
      </c>
      <c r="J386" s="1">
        <f>COUNTIF($L$2:L386,L386)</f>
        <v>18</v>
      </c>
      <c r="K386" s="1">
        <f>Table3[[#This Row],[Year]]</f>
        <v>1986</v>
      </c>
      <c r="L386" s="1" t="str">
        <f>Table3[[#This Row],[Hometeam]]</f>
        <v>Hungary</v>
      </c>
      <c r="M386" s="1" t="str">
        <f>IF(J386=1,J386+ROWS($J$2:J386)/10000,"")</f>
        <v/>
      </c>
      <c r="N386" s="1" t="str">
        <f>IFERROR(SMALL($M$2:$M$1705,ROWS($M$2:M386)),"")</f>
        <v/>
      </c>
      <c r="O386" s="1" t="str">
        <f>IF(N386&lt;&gt;"",INDEX($L$2:$L$1705,MATCH(N386,$M$2:$M$1705,0)),"")</f>
        <v/>
      </c>
      <c r="P386" s="1" t="str">
        <f>IF(O386&lt;&gt;"",ROWS($O$2:O386),"")</f>
        <v/>
      </c>
    </row>
    <row r="387" spans="1:16" x14ac:dyDescent="0.2">
      <c r="A387" s="1">
        <f>WorldCupMatches!O387</f>
        <v>1986</v>
      </c>
      <c r="B387" s="1" t="str">
        <f>WorldCupMatches!P387</f>
        <v>Soviet Union</v>
      </c>
      <c r="C387" s="1">
        <f>WorldCupMatches!Q387</f>
        <v>2</v>
      </c>
      <c r="D387" s="1">
        <f>WorldCupMatches!R387</f>
        <v>0</v>
      </c>
      <c r="E387" s="1" t="str">
        <f>WorldCupMatches!S387</f>
        <v>Canada</v>
      </c>
      <c r="F387" s="1" t="str">
        <f>WorldCupMatches!T387</f>
        <v xml:space="preserve"> </v>
      </c>
      <c r="G387" s="1" t="str">
        <f>WorldCupMatches!U387</f>
        <v>Group stages</v>
      </c>
      <c r="J387" s="1">
        <f>COUNTIF($L$2:L387,L387)</f>
        <v>16</v>
      </c>
      <c r="K387" s="1">
        <f>Table3[[#This Row],[Year]]</f>
        <v>1986</v>
      </c>
      <c r="L387" s="1" t="str">
        <f>Table3[[#This Row],[Hometeam]]</f>
        <v>Soviet Union</v>
      </c>
      <c r="M387" s="1" t="str">
        <f>IF(J387=1,J387+ROWS($J$2:J387)/10000,"")</f>
        <v/>
      </c>
      <c r="N387" s="1" t="str">
        <f>IFERROR(SMALL($M$2:$M$1705,ROWS($M$2:M387)),"")</f>
        <v/>
      </c>
      <c r="O387" s="1" t="str">
        <f>IF(N387&lt;&gt;"",INDEX($L$2:$L$1705,MATCH(N387,$M$2:$M$1705,0)),"")</f>
        <v/>
      </c>
      <c r="P387" s="1" t="str">
        <f>IF(O387&lt;&gt;"",ROWS($O$2:O387),"")</f>
        <v/>
      </c>
    </row>
    <row r="388" spans="1:16" x14ac:dyDescent="0.2">
      <c r="A388" s="1">
        <f>WorldCupMatches!O388</f>
        <v>1986</v>
      </c>
      <c r="B388" s="1" t="str">
        <f>WorldCupMatches!P388</f>
        <v>Korea Republic</v>
      </c>
      <c r="C388" s="1">
        <f>WorldCupMatches!Q388</f>
        <v>2</v>
      </c>
      <c r="D388" s="1">
        <f>WorldCupMatches!R388</f>
        <v>3</v>
      </c>
      <c r="E388" s="1" t="str">
        <f>WorldCupMatches!S388</f>
        <v>Italy</v>
      </c>
      <c r="F388" s="1" t="str">
        <f>WorldCupMatches!T388</f>
        <v xml:space="preserve"> </v>
      </c>
      <c r="G388" s="1" t="str">
        <f>WorldCupMatches!U388</f>
        <v>Group stages</v>
      </c>
      <c r="J388" s="1">
        <f>COUNTIF($L$2:L388,L388)</f>
        <v>2</v>
      </c>
      <c r="K388" s="1">
        <f>Table3[[#This Row],[Year]]</f>
        <v>1986</v>
      </c>
      <c r="L388" s="1" t="str">
        <f>Table3[[#This Row],[Hometeam]]</f>
        <v>Korea Republic</v>
      </c>
      <c r="M388" s="1" t="str">
        <f>IF(J388=1,J388+ROWS($J$2:J388)/10000,"")</f>
        <v/>
      </c>
      <c r="N388" s="1" t="str">
        <f>IFERROR(SMALL($M$2:$M$1705,ROWS($M$2:M388)),"")</f>
        <v/>
      </c>
      <c r="O388" s="1" t="str">
        <f>IF(N388&lt;&gt;"",INDEX($L$2:$L$1705,MATCH(N388,$M$2:$M$1705,0)),"")</f>
        <v/>
      </c>
      <c r="P388" s="1" t="str">
        <f>IF(O388&lt;&gt;"",ROWS($O$2:O388),"")</f>
        <v/>
      </c>
    </row>
    <row r="389" spans="1:16" x14ac:dyDescent="0.2">
      <c r="A389" s="1">
        <f>WorldCupMatches!O389</f>
        <v>1986</v>
      </c>
      <c r="B389" s="1" t="str">
        <f>WorldCupMatches!P389</f>
        <v>Argentina</v>
      </c>
      <c r="C389" s="1">
        <f>WorldCupMatches!Q389</f>
        <v>2</v>
      </c>
      <c r="D389" s="1">
        <f>WorldCupMatches!R389</f>
        <v>0</v>
      </c>
      <c r="E389" s="1" t="str">
        <f>WorldCupMatches!S389</f>
        <v>Bulgaria</v>
      </c>
      <c r="F389" s="1" t="str">
        <f>WorldCupMatches!T389</f>
        <v xml:space="preserve"> </v>
      </c>
      <c r="G389" s="1" t="str">
        <f>WorldCupMatches!U389</f>
        <v>Group stages</v>
      </c>
      <c r="J389" s="1">
        <f>COUNTIF($L$2:L389,L389)</f>
        <v>25</v>
      </c>
      <c r="K389" s="1">
        <f>Table3[[#This Row],[Year]]</f>
        <v>1986</v>
      </c>
      <c r="L389" s="1" t="str">
        <f>Table3[[#This Row],[Hometeam]]</f>
        <v>Argentina</v>
      </c>
      <c r="M389" s="1" t="str">
        <f>IF(J389=1,J389+ROWS($J$2:J389)/10000,"")</f>
        <v/>
      </c>
      <c r="N389" s="1" t="str">
        <f>IFERROR(SMALL($M$2:$M$1705,ROWS($M$2:M389)),"")</f>
        <v/>
      </c>
      <c r="O389" s="1" t="str">
        <f>IF(N389&lt;&gt;"",INDEX($L$2:$L$1705,MATCH(N389,$M$2:$M$1705,0)),"")</f>
        <v/>
      </c>
      <c r="P389" s="1" t="str">
        <f>IF(O389&lt;&gt;"",ROWS($O$2:O389),"")</f>
        <v/>
      </c>
    </row>
    <row r="390" spans="1:16" x14ac:dyDescent="0.2">
      <c r="A390" s="1">
        <f>WorldCupMatches!O390</f>
        <v>1986</v>
      </c>
      <c r="B390" s="1" t="str">
        <f>WorldCupMatches!P390</f>
        <v>Paraguay</v>
      </c>
      <c r="C390" s="1">
        <f>WorldCupMatches!Q390</f>
        <v>2</v>
      </c>
      <c r="D390" s="1">
        <f>WorldCupMatches!R390</f>
        <v>2</v>
      </c>
      <c r="E390" s="1" t="str">
        <f>WorldCupMatches!S390</f>
        <v>Belgium</v>
      </c>
      <c r="F390" s="1" t="str">
        <f>WorldCupMatches!T390</f>
        <v xml:space="preserve"> </v>
      </c>
      <c r="G390" s="1" t="str">
        <f>WorldCupMatches!U390</f>
        <v>Group stages</v>
      </c>
      <c r="J390" s="1">
        <f>COUNTIF($L$2:L390,L390)</f>
        <v>5</v>
      </c>
      <c r="K390" s="1">
        <f>Table3[[#This Row],[Year]]</f>
        <v>1986</v>
      </c>
      <c r="L390" s="1" t="str">
        <f>Table3[[#This Row],[Hometeam]]</f>
        <v>Paraguay</v>
      </c>
      <c r="M390" s="1" t="str">
        <f>IF(J390=1,J390+ROWS($J$2:J390)/10000,"")</f>
        <v/>
      </c>
      <c r="N390" s="1" t="str">
        <f>IFERROR(SMALL($M$2:$M$1705,ROWS($M$2:M390)),"")</f>
        <v/>
      </c>
      <c r="O390" s="1" t="str">
        <f>IF(N390&lt;&gt;"",INDEX($L$2:$L$1705,MATCH(N390,$M$2:$M$1705,0)),"")</f>
        <v/>
      </c>
      <c r="P390" s="1" t="str">
        <f>IF(O390&lt;&gt;"",ROWS($O$2:O390),"")</f>
        <v/>
      </c>
    </row>
    <row r="391" spans="1:16" x14ac:dyDescent="0.2">
      <c r="A391" s="1">
        <f>WorldCupMatches!O391</f>
        <v>1986</v>
      </c>
      <c r="B391" s="1" t="str">
        <f>WorldCupMatches!P391</f>
        <v>Iraq</v>
      </c>
      <c r="C391" s="1">
        <f>WorldCupMatches!Q391</f>
        <v>0</v>
      </c>
      <c r="D391" s="1">
        <f>WorldCupMatches!R391</f>
        <v>1</v>
      </c>
      <c r="E391" s="1" t="str">
        <f>WorldCupMatches!S391</f>
        <v>Mexico</v>
      </c>
      <c r="F391" s="1" t="str">
        <f>WorldCupMatches!T391</f>
        <v xml:space="preserve"> </v>
      </c>
      <c r="G391" s="1" t="str">
        <f>WorldCupMatches!U391</f>
        <v>Group stages</v>
      </c>
      <c r="J391" s="1">
        <f>COUNTIF($L$2:L391,L391)</f>
        <v>2</v>
      </c>
      <c r="K391" s="1">
        <f>Table3[[#This Row],[Year]]</f>
        <v>1986</v>
      </c>
      <c r="L391" s="1" t="str">
        <f>Table3[[#This Row],[Hometeam]]</f>
        <v>Iraq</v>
      </c>
      <c r="M391" s="1" t="str">
        <f>IF(J391=1,J391+ROWS($J$2:J391)/10000,"")</f>
        <v/>
      </c>
      <c r="N391" s="1" t="str">
        <f>IFERROR(SMALL($M$2:$M$1705,ROWS($M$2:M391)),"")</f>
        <v/>
      </c>
      <c r="O391" s="1" t="str">
        <f>IF(N391&lt;&gt;"",INDEX($L$2:$L$1705,MATCH(N391,$M$2:$M$1705,0)),"")</f>
        <v/>
      </c>
      <c r="P391" s="1" t="str">
        <f>IF(O391&lt;&gt;"",ROWS($O$2:O391),"")</f>
        <v/>
      </c>
    </row>
    <row r="392" spans="1:16" x14ac:dyDescent="0.2">
      <c r="A392" s="1">
        <f>WorldCupMatches!O392</f>
        <v>1986</v>
      </c>
      <c r="B392" s="1" t="str">
        <f>WorldCupMatches!P392</f>
        <v>Portugal</v>
      </c>
      <c r="C392" s="1">
        <f>WorldCupMatches!Q392</f>
        <v>1</v>
      </c>
      <c r="D392" s="1">
        <f>WorldCupMatches!R392</f>
        <v>3</v>
      </c>
      <c r="E392" s="1" t="str">
        <f>WorldCupMatches!S392</f>
        <v>Morocco</v>
      </c>
      <c r="F392" s="1" t="str">
        <f>WorldCupMatches!T392</f>
        <v xml:space="preserve"> </v>
      </c>
      <c r="G392" s="1" t="str">
        <f>WorldCupMatches!U392</f>
        <v>Group stages</v>
      </c>
      <c r="J392" s="1">
        <f>COUNTIF($L$2:L392,L392)</f>
        <v>7</v>
      </c>
      <c r="K392" s="1">
        <f>Table3[[#This Row],[Year]]</f>
        <v>1986</v>
      </c>
      <c r="L392" s="1" t="str">
        <f>Table3[[#This Row],[Hometeam]]</f>
        <v>Portugal</v>
      </c>
      <c r="M392" s="1" t="str">
        <f>IF(J392=1,J392+ROWS($J$2:J392)/10000,"")</f>
        <v/>
      </c>
      <c r="N392" s="1" t="str">
        <f>IFERROR(SMALL($M$2:$M$1705,ROWS($M$2:M392)),"")</f>
        <v/>
      </c>
      <c r="O392" s="1" t="str">
        <f>IF(N392&lt;&gt;"",INDEX($L$2:$L$1705,MATCH(N392,$M$2:$M$1705,0)),"")</f>
        <v/>
      </c>
      <c r="P392" s="1" t="str">
        <f>IF(O392&lt;&gt;"",ROWS($O$2:O392),"")</f>
        <v/>
      </c>
    </row>
    <row r="393" spans="1:16" x14ac:dyDescent="0.2">
      <c r="A393" s="1">
        <f>WorldCupMatches!O393</f>
        <v>1986</v>
      </c>
      <c r="B393" s="1" t="str">
        <f>WorldCupMatches!P393</f>
        <v>England</v>
      </c>
      <c r="C393" s="1">
        <f>WorldCupMatches!Q393</f>
        <v>3</v>
      </c>
      <c r="D393" s="1">
        <f>WorldCupMatches!R393</f>
        <v>0</v>
      </c>
      <c r="E393" s="1" t="str">
        <f>WorldCupMatches!S393</f>
        <v>Poland</v>
      </c>
      <c r="F393" s="1" t="str">
        <f>WorldCupMatches!T393</f>
        <v xml:space="preserve"> </v>
      </c>
      <c r="G393" s="1" t="str">
        <f>WorldCupMatches!U393</f>
        <v>Group stages</v>
      </c>
      <c r="J393" s="1">
        <f>COUNTIF($L$2:L393,L393)</f>
        <v>19</v>
      </c>
      <c r="K393" s="1">
        <f>Table3[[#This Row],[Year]]</f>
        <v>1986</v>
      </c>
      <c r="L393" s="1" t="str">
        <f>Table3[[#This Row],[Hometeam]]</f>
        <v>England</v>
      </c>
      <c r="M393" s="1" t="str">
        <f>IF(J393=1,J393+ROWS($J$2:J393)/10000,"")</f>
        <v/>
      </c>
      <c r="N393" s="1" t="str">
        <f>IFERROR(SMALL($M$2:$M$1705,ROWS($M$2:M393)),"")</f>
        <v/>
      </c>
      <c r="O393" s="1" t="str">
        <f>IF(N393&lt;&gt;"",INDEX($L$2:$L$1705,MATCH(N393,$M$2:$M$1705,0)),"")</f>
        <v/>
      </c>
      <c r="P393" s="1" t="str">
        <f>IF(O393&lt;&gt;"",ROWS($O$2:O393),"")</f>
        <v/>
      </c>
    </row>
    <row r="394" spans="1:16" x14ac:dyDescent="0.2">
      <c r="A394" s="1">
        <f>WorldCupMatches!O394</f>
        <v>1986</v>
      </c>
      <c r="B394" s="1" t="str">
        <f>WorldCupMatches!P394</f>
        <v>Northern Ireland</v>
      </c>
      <c r="C394" s="1">
        <f>WorldCupMatches!Q394</f>
        <v>0</v>
      </c>
      <c r="D394" s="1">
        <f>WorldCupMatches!R394</f>
        <v>3</v>
      </c>
      <c r="E394" s="1" t="str">
        <f>WorldCupMatches!S394</f>
        <v>Brazil</v>
      </c>
      <c r="F394" s="1" t="str">
        <f>WorldCupMatches!T394</f>
        <v xml:space="preserve"> </v>
      </c>
      <c r="G394" s="1" t="str">
        <f>WorldCupMatches!U394</f>
        <v>Group stages</v>
      </c>
      <c r="J394" s="1">
        <f>COUNTIF($L$2:L394,L394)</f>
        <v>5</v>
      </c>
      <c r="K394" s="1">
        <f>Table3[[#This Row],[Year]]</f>
        <v>1986</v>
      </c>
      <c r="L394" s="1" t="str">
        <f>Table3[[#This Row],[Hometeam]]</f>
        <v>Northern Ireland</v>
      </c>
      <c r="M394" s="1" t="str">
        <f>IF(J394=1,J394+ROWS($J$2:J394)/10000,"")</f>
        <v/>
      </c>
      <c r="N394" s="1" t="str">
        <f>IFERROR(SMALL($M$2:$M$1705,ROWS($M$2:M394)),"")</f>
        <v/>
      </c>
      <c r="O394" s="1" t="str">
        <f>IF(N394&lt;&gt;"",INDEX($L$2:$L$1705,MATCH(N394,$M$2:$M$1705,0)),"")</f>
        <v/>
      </c>
      <c r="P394" s="1" t="str">
        <f>IF(O394&lt;&gt;"",ROWS($O$2:O394),"")</f>
        <v/>
      </c>
    </row>
    <row r="395" spans="1:16" x14ac:dyDescent="0.2">
      <c r="A395" s="1">
        <f>WorldCupMatches!O395</f>
        <v>1986</v>
      </c>
      <c r="B395" s="1" t="str">
        <f>WorldCupMatches!P395</f>
        <v>Algeria</v>
      </c>
      <c r="C395" s="1">
        <f>WorldCupMatches!Q395</f>
        <v>0</v>
      </c>
      <c r="D395" s="1">
        <f>WorldCupMatches!R395</f>
        <v>3</v>
      </c>
      <c r="E395" s="1" t="str">
        <f>WorldCupMatches!S395</f>
        <v>Spain</v>
      </c>
      <c r="F395" s="1" t="str">
        <f>WorldCupMatches!T395</f>
        <v xml:space="preserve"> </v>
      </c>
      <c r="G395" s="1" t="str">
        <f>WorldCupMatches!U395</f>
        <v>Group stages</v>
      </c>
      <c r="J395" s="1">
        <f>COUNTIF($L$2:L395,L395)</f>
        <v>4</v>
      </c>
      <c r="K395" s="1">
        <f>Table3[[#This Row],[Year]]</f>
        <v>1986</v>
      </c>
      <c r="L395" s="1" t="str">
        <f>Table3[[#This Row],[Hometeam]]</f>
        <v>Algeria</v>
      </c>
      <c r="M395" s="1" t="str">
        <f>IF(J395=1,J395+ROWS($J$2:J395)/10000,"")</f>
        <v/>
      </c>
      <c r="N395" s="1" t="str">
        <f>IFERROR(SMALL($M$2:$M$1705,ROWS($M$2:M395)),"")</f>
        <v/>
      </c>
      <c r="O395" s="1" t="str">
        <f>IF(N395&lt;&gt;"",INDEX($L$2:$L$1705,MATCH(N395,$M$2:$M$1705,0)),"")</f>
        <v/>
      </c>
      <c r="P395" s="1" t="str">
        <f>IF(O395&lt;&gt;"",ROWS($O$2:O395),"")</f>
        <v/>
      </c>
    </row>
    <row r="396" spans="1:16" x14ac:dyDescent="0.2">
      <c r="A396" s="1">
        <f>WorldCupMatches!O396</f>
        <v>1986</v>
      </c>
      <c r="B396" s="1" t="str">
        <f>WorldCupMatches!P396</f>
        <v>Scotland</v>
      </c>
      <c r="C396" s="1">
        <f>WorldCupMatches!Q396</f>
        <v>0</v>
      </c>
      <c r="D396" s="1">
        <f>WorldCupMatches!R396</f>
        <v>0</v>
      </c>
      <c r="E396" s="1" t="str">
        <f>WorldCupMatches!S396</f>
        <v>Uruguay</v>
      </c>
      <c r="F396" s="1" t="str">
        <f>WorldCupMatches!T396</f>
        <v xml:space="preserve"> </v>
      </c>
      <c r="G396" s="1" t="str">
        <f>WorldCupMatches!U396</f>
        <v>Group stages</v>
      </c>
      <c r="J396" s="1">
        <f>COUNTIF($L$2:L396,L396)</f>
        <v>7</v>
      </c>
      <c r="K396" s="1">
        <f>Table3[[#This Row],[Year]]</f>
        <v>1986</v>
      </c>
      <c r="L396" s="1" t="str">
        <f>Table3[[#This Row],[Hometeam]]</f>
        <v>Scotland</v>
      </c>
      <c r="M396" s="1" t="str">
        <f>IF(J396=1,J396+ROWS($J$2:J396)/10000,"")</f>
        <v/>
      </c>
      <c r="N396" s="1" t="str">
        <f>IFERROR(SMALL($M$2:$M$1705,ROWS($M$2:M396)),"")</f>
        <v/>
      </c>
      <c r="O396" s="1" t="str">
        <f>IF(N396&lt;&gt;"",INDEX($L$2:$L$1705,MATCH(N396,$M$2:$M$1705,0)),"")</f>
        <v/>
      </c>
      <c r="P396" s="1" t="str">
        <f>IF(O396&lt;&gt;"",ROWS($O$2:O396),"")</f>
        <v/>
      </c>
    </row>
    <row r="397" spans="1:16" x14ac:dyDescent="0.2">
      <c r="A397" s="1">
        <f>WorldCupMatches!O397</f>
        <v>1986</v>
      </c>
      <c r="B397" s="1" t="str">
        <f>WorldCupMatches!P397</f>
        <v>Denmark</v>
      </c>
      <c r="C397" s="1">
        <f>WorldCupMatches!Q397</f>
        <v>2</v>
      </c>
      <c r="D397" s="1">
        <f>WorldCupMatches!R397</f>
        <v>0</v>
      </c>
      <c r="E397" s="1" t="str">
        <f>WorldCupMatches!S397</f>
        <v>Germany FR</v>
      </c>
      <c r="F397" s="1" t="str">
        <f>WorldCupMatches!T397</f>
        <v xml:space="preserve"> </v>
      </c>
      <c r="G397" s="1" t="str">
        <f>WorldCupMatches!U397</f>
        <v>Group stages</v>
      </c>
      <c r="J397" s="1">
        <f>COUNTIF($L$2:L397,L397)</f>
        <v>2</v>
      </c>
      <c r="K397" s="1">
        <f>Table3[[#This Row],[Year]]</f>
        <v>1986</v>
      </c>
      <c r="L397" s="1" t="str">
        <f>Table3[[#This Row],[Hometeam]]</f>
        <v>Denmark</v>
      </c>
      <c r="M397" s="1" t="str">
        <f>IF(J397=1,J397+ROWS($J$2:J397)/10000,"")</f>
        <v/>
      </c>
      <c r="N397" s="1" t="str">
        <f>IFERROR(SMALL($M$2:$M$1705,ROWS($M$2:M397)),"")</f>
        <v/>
      </c>
      <c r="O397" s="1" t="str">
        <f>IF(N397&lt;&gt;"",INDEX($L$2:$L$1705,MATCH(N397,$M$2:$M$1705,0)),"")</f>
        <v/>
      </c>
      <c r="P397" s="1" t="str">
        <f>IF(O397&lt;&gt;"",ROWS($O$2:O397),"")</f>
        <v/>
      </c>
    </row>
    <row r="398" spans="1:16" x14ac:dyDescent="0.2">
      <c r="A398" s="1">
        <f>WorldCupMatches!O398</f>
        <v>1986</v>
      </c>
      <c r="B398" s="1" t="str">
        <f>WorldCupMatches!P398</f>
        <v>Soviet Union</v>
      </c>
      <c r="C398" s="1">
        <f>WorldCupMatches!Q398</f>
        <v>3</v>
      </c>
      <c r="D398" s="1">
        <f>WorldCupMatches!R398</f>
        <v>4</v>
      </c>
      <c r="E398" s="1" t="str">
        <f>WorldCupMatches!S398</f>
        <v>Belgium</v>
      </c>
      <c r="F398" s="1" t="str">
        <f>WorldCupMatches!T398</f>
        <v xml:space="preserve">Belgium win after extra time </v>
      </c>
      <c r="G398" s="1" t="str">
        <f>WorldCupMatches!U398</f>
        <v>Round of 16</v>
      </c>
      <c r="J398" s="1">
        <f>COUNTIF($L$2:L398,L398)</f>
        <v>17</v>
      </c>
      <c r="K398" s="1">
        <f>Table3[[#This Row],[Year]]</f>
        <v>1986</v>
      </c>
      <c r="L398" s="1" t="str">
        <f>Table3[[#This Row],[Hometeam]]</f>
        <v>Soviet Union</v>
      </c>
      <c r="M398" s="1" t="str">
        <f>IF(J398=1,J398+ROWS($J$2:J398)/10000,"")</f>
        <v/>
      </c>
      <c r="N398" s="1" t="str">
        <f>IFERROR(SMALL($M$2:$M$1705,ROWS($M$2:M398)),"")</f>
        <v/>
      </c>
      <c r="O398" s="1" t="str">
        <f>IF(N398&lt;&gt;"",INDEX($L$2:$L$1705,MATCH(N398,$M$2:$M$1705,0)),"")</f>
        <v/>
      </c>
      <c r="P398" s="1" t="str">
        <f>IF(O398&lt;&gt;"",ROWS($O$2:O398),"")</f>
        <v/>
      </c>
    </row>
    <row r="399" spans="1:16" x14ac:dyDescent="0.2">
      <c r="A399" s="1">
        <f>WorldCupMatches!O399</f>
        <v>1986</v>
      </c>
      <c r="B399" s="1" t="str">
        <f>WorldCupMatches!P399</f>
        <v>Mexico</v>
      </c>
      <c r="C399" s="1">
        <f>WorldCupMatches!Q399</f>
        <v>2</v>
      </c>
      <c r="D399" s="1">
        <f>WorldCupMatches!R399</f>
        <v>0</v>
      </c>
      <c r="E399" s="1" t="str">
        <f>WorldCupMatches!S399</f>
        <v>Bulgaria</v>
      </c>
      <c r="F399" s="1" t="str">
        <f>WorldCupMatches!T399</f>
        <v xml:space="preserve"> </v>
      </c>
      <c r="G399" s="1" t="str">
        <f>WorldCupMatches!U399</f>
        <v>Round of 16</v>
      </c>
      <c r="J399" s="1">
        <f>COUNTIF($L$2:L399,L399)</f>
        <v>7</v>
      </c>
      <c r="K399" s="1">
        <f>Table3[[#This Row],[Year]]</f>
        <v>1986</v>
      </c>
      <c r="L399" s="1" t="str">
        <f>Table3[[#This Row],[Hometeam]]</f>
        <v>Mexico</v>
      </c>
      <c r="M399" s="1" t="str">
        <f>IF(J399=1,J399+ROWS($J$2:J399)/10000,"")</f>
        <v/>
      </c>
      <c r="N399" s="1" t="str">
        <f>IFERROR(SMALL($M$2:$M$1705,ROWS($M$2:M399)),"")</f>
        <v/>
      </c>
      <c r="O399" s="1" t="str">
        <f>IF(N399&lt;&gt;"",INDEX($L$2:$L$1705,MATCH(N399,$M$2:$M$1705,0)),"")</f>
        <v/>
      </c>
      <c r="P399" s="1" t="str">
        <f>IF(O399&lt;&gt;"",ROWS($O$2:O399),"")</f>
        <v/>
      </c>
    </row>
    <row r="400" spans="1:16" x14ac:dyDescent="0.2">
      <c r="A400" s="1">
        <f>WorldCupMatches!O400</f>
        <v>1986</v>
      </c>
      <c r="B400" s="1" t="str">
        <f>WorldCupMatches!P400</f>
        <v>Argentina</v>
      </c>
      <c r="C400" s="1">
        <f>WorldCupMatches!Q400</f>
        <v>1</v>
      </c>
      <c r="D400" s="1">
        <f>WorldCupMatches!R400</f>
        <v>0</v>
      </c>
      <c r="E400" s="1" t="str">
        <f>WorldCupMatches!S400</f>
        <v>Uruguay</v>
      </c>
      <c r="F400" s="1" t="str">
        <f>WorldCupMatches!T400</f>
        <v xml:space="preserve"> </v>
      </c>
      <c r="G400" s="1" t="str">
        <f>WorldCupMatches!U400</f>
        <v>Round of 16</v>
      </c>
      <c r="J400" s="1">
        <f>COUNTIF($L$2:L400,L400)</f>
        <v>26</v>
      </c>
      <c r="K400" s="1">
        <f>Table3[[#This Row],[Year]]</f>
        <v>1986</v>
      </c>
      <c r="L400" s="1" t="str">
        <f>Table3[[#This Row],[Hometeam]]</f>
        <v>Argentina</v>
      </c>
      <c r="M400" s="1" t="str">
        <f>IF(J400=1,J400+ROWS($J$2:J400)/10000,"")</f>
        <v/>
      </c>
      <c r="N400" s="1" t="str">
        <f>IFERROR(SMALL($M$2:$M$1705,ROWS($M$2:M400)),"")</f>
        <v/>
      </c>
      <c r="O400" s="1" t="str">
        <f>IF(N400&lt;&gt;"",INDEX($L$2:$L$1705,MATCH(N400,$M$2:$M$1705,0)),"")</f>
        <v/>
      </c>
      <c r="P400" s="1" t="str">
        <f>IF(O400&lt;&gt;"",ROWS($O$2:O400),"")</f>
        <v/>
      </c>
    </row>
    <row r="401" spans="1:16" x14ac:dyDescent="0.2">
      <c r="A401" s="1">
        <f>WorldCupMatches!O401</f>
        <v>1986</v>
      </c>
      <c r="B401" s="1" t="str">
        <f>WorldCupMatches!P401</f>
        <v>Brazil</v>
      </c>
      <c r="C401" s="1">
        <f>WorldCupMatches!Q401</f>
        <v>4</v>
      </c>
      <c r="D401" s="1">
        <f>WorldCupMatches!R401</f>
        <v>0</v>
      </c>
      <c r="E401" s="1" t="str">
        <f>WorldCupMatches!S401</f>
        <v>Poland</v>
      </c>
      <c r="F401" s="1" t="str">
        <f>WorldCupMatches!T401</f>
        <v xml:space="preserve"> </v>
      </c>
      <c r="G401" s="1" t="str">
        <f>WorldCupMatches!U401</f>
        <v>Round of 16</v>
      </c>
      <c r="J401" s="1">
        <f>COUNTIF($L$2:L401,L401)</f>
        <v>44</v>
      </c>
      <c r="K401" s="1">
        <f>Table3[[#This Row],[Year]]</f>
        <v>1986</v>
      </c>
      <c r="L401" s="1" t="str">
        <f>Table3[[#This Row],[Hometeam]]</f>
        <v>Brazil</v>
      </c>
      <c r="M401" s="1" t="str">
        <f>IF(J401=1,J401+ROWS($J$2:J401)/10000,"")</f>
        <v/>
      </c>
      <c r="N401" s="1" t="str">
        <f>IFERROR(SMALL($M$2:$M$1705,ROWS($M$2:M401)),"")</f>
        <v/>
      </c>
      <c r="O401" s="1" t="str">
        <f>IF(N401&lt;&gt;"",INDEX($L$2:$L$1705,MATCH(N401,$M$2:$M$1705,0)),"")</f>
        <v/>
      </c>
      <c r="P401" s="1" t="str">
        <f>IF(O401&lt;&gt;"",ROWS($O$2:O401),"")</f>
        <v/>
      </c>
    </row>
    <row r="402" spans="1:16" x14ac:dyDescent="0.2">
      <c r="A402" s="1">
        <f>WorldCupMatches!O402</f>
        <v>1986</v>
      </c>
      <c r="B402" s="1" t="str">
        <f>WorldCupMatches!P402</f>
        <v>Italy</v>
      </c>
      <c r="C402" s="1">
        <f>WorldCupMatches!Q402</f>
        <v>0</v>
      </c>
      <c r="D402" s="1">
        <f>WorldCupMatches!R402</f>
        <v>2</v>
      </c>
      <c r="E402" s="1" t="str">
        <f>WorldCupMatches!S402</f>
        <v>France</v>
      </c>
      <c r="F402" s="1" t="str">
        <f>WorldCupMatches!T402</f>
        <v xml:space="preserve"> </v>
      </c>
      <c r="G402" s="1" t="str">
        <f>WorldCupMatches!U402</f>
        <v>Round of 16</v>
      </c>
      <c r="J402" s="1">
        <f>COUNTIF($L$2:L402,L402)</f>
        <v>30</v>
      </c>
      <c r="K402" s="1">
        <f>Table3[[#This Row],[Year]]</f>
        <v>1986</v>
      </c>
      <c r="L402" s="1" t="str">
        <f>Table3[[#This Row],[Hometeam]]</f>
        <v>Italy</v>
      </c>
      <c r="M402" s="1" t="str">
        <f>IF(J402=1,J402+ROWS($J$2:J402)/10000,"")</f>
        <v/>
      </c>
      <c r="N402" s="1" t="str">
        <f>IFERROR(SMALL($M$2:$M$1705,ROWS($M$2:M402)),"")</f>
        <v/>
      </c>
      <c r="O402" s="1" t="str">
        <f>IF(N402&lt;&gt;"",INDEX($L$2:$L$1705,MATCH(N402,$M$2:$M$1705,0)),"")</f>
        <v/>
      </c>
      <c r="P402" s="1" t="str">
        <f>IF(O402&lt;&gt;"",ROWS($O$2:O402),"")</f>
        <v/>
      </c>
    </row>
    <row r="403" spans="1:16" x14ac:dyDescent="0.2">
      <c r="A403" s="1">
        <f>WorldCupMatches!O403</f>
        <v>1986</v>
      </c>
      <c r="B403" s="1" t="str">
        <f>WorldCupMatches!P403</f>
        <v>Morocco</v>
      </c>
      <c r="C403" s="1">
        <f>WorldCupMatches!Q403</f>
        <v>0</v>
      </c>
      <c r="D403" s="1">
        <f>WorldCupMatches!R403</f>
        <v>1</v>
      </c>
      <c r="E403" s="1" t="str">
        <f>WorldCupMatches!S403</f>
        <v>Germany FR</v>
      </c>
      <c r="F403" s="1" t="str">
        <f>WorldCupMatches!T403</f>
        <v xml:space="preserve"> </v>
      </c>
      <c r="G403" s="1" t="str">
        <f>WorldCupMatches!U403</f>
        <v>Round of 16</v>
      </c>
      <c r="J403" s="1">
        <f>COUNTIF($L$2:L403,L403)</f>
        <v>2</v>
      </c>
      <c r="K403" s="1">
        <f>Table3[[#This Row],[Year]]</f>
        <v>1986</v>
      </c>
      <c r="L403" s="1" t="str">
        <f>Table3[[#This Row],[Hometeam]]</f>
        <v>Morocco</v>
      </c>
      <c r="M403" s="1" t="str">
        <f>IF(J403=1,J403+ROWS($J$2:J403)/10000,"")</f>
        <v/>
      </c>
      <c r="N403" s="1" t="str">
        <f>IFERROR(SMALL($M$2:$M$1705,ROWS($M$2:M403)),"")</f>
        <v/>
      </c>
      <c r="O403" s="1" t="str">
        <f>IF(N403&lt;&gt;"",INDEX($L$2:$L$1705,MATCH(N403,$M$2:$M$1705,0)),"")</f>
        <v/>
      </c>
      <c r="P403" s="1" t="str">
        <f>IF(O403&lt;&gt;"",ROWS($O$2:O403),"")</f>
        <v/>
      </c>
    </row>
    <row r="404" spans="1:16" x14ac:dyDescent="0.2">
      <c r="A404" s="1">
        <f>WorldCupMatches!O404</f>
        <v>1986</v>
      </c>
      <c r="B404" s="1" t="str">
        <f>WorldCupMatches!P404</f>
        <v>England</v>
      </c>
      <c r="C404" s="1">
        <f>WorldCupMatches!Q404</f>
        <v>3</v>
      </c>
      <c r="D404" s="1">
        <f>WorldCupMatches!R404</f>
        <v>0</v>
      </c>
      <c r="E404" s="1" t="str">
        <f>WorldCupMatches!S404</f>
        <v>Paraguay</v>
      </c>
      <c r="F404" s="1" t="str">
        <f>WorldCupMatches!T404</f>
        <v xml:space="preserve"> </v>
      </c>
      <c r="G404" s="1" t="str">
        <f>WorldCupMatches!U404</f>
        <v>Round of 16</v>
      </c>
      <c r="J404" s="1">
        <f>COUNTIF($L$2:L404,L404)</f>
        <v>20</v>
      </c>
      <c r="K404" s="1">
        <f>Table3[[#This Row],[Year]]</f>
        <v>1986</v>
      </c>
      <c r="L404" s="1" t="str">
        <f>Table3[[#This Row],[Hometeam]]</f>
        <v>England</v>
      </c>
      <c r="M404" s="1" t="str">
        <f>IF(J404=1,J404+ROWS($J$2:J404)/10000,"")</f>
        <v/>
      </c>
      <c r="N404" s="1" t="str">
        <f>IFERROR(SMALL($M$2:$M$1705,ROWS($M$2:M404)),"")</f>
        <v/>
      </c>
      <c r="O404" s="1" t="str">
        <f>IF(N404&lt;&gt;"",INDEX($L$2:$L$1705,MATCH(N404,$M$2:$M$1705,0)),"")</f>
        <v/>
      </c>
      <c r="P404" s="1" t="str">
        <f>IF(O404&lt;&gt;"",ROWS($O$2:O404),"")</f>
        <v/>
      </c>
    </row>
    <row r="405" spans="1:16" x14ac:dyDescent="0.2">
      <c r="A405" s="1">
        <f>WorldCupMatches!O405</f>
        <v>1986</v>
      </c>
      <c r="B405" s="1" t="str">
        <f>WorldCupMatches!P405</f>
        <v>Denmark</v>
      </c>
      <c r="C405" s="1">
        <f>WorldCupMatches!Q405</f>
        <v>1</v>
      </c>
      <c r="D405" s="1">
        <f>WorldCupMatches!R405</f>
        <v>5</v>
      </c>
      <c r="E405" s="1" t="str">
        <f>WorldCupMatches!S405</f>
        <v>Spain</v>
      </c>
      <c r="F405" s="1" t="str">
        <f>WorldCupMatches!T405</f>
        <v xml:space="preserve"> </v>
      </c>
      <c r="G405" s="1" t="str">
        <f>WorldCupMatches!U405</f>
        <v>Round of 16</v>
      </c>
      <c r="J405" s="1">
        <f>COUNTIF($L$2:L405,L405)</f>
        <v>3</v>
      </c>
      <c r="K405" s="1">
        <f>Table3[[#This Row],[Year]]</f>
        <v>1986</v>
      </c>
      <c r="L405" s="1" t="str">
        <f>Table3[[#This Row],[Hometeam]]</f>
        <v>Denmark</v>
      </c>
      <c r="M405" s="1" t="str">
        <f>IF(J405=1,J405+ROWS($J$2:J405)/10000,"")</f>
        <v/>
      </c>
      <c r="N405" s="1" t="str">
        <f>IFERROR(SMALL($M$2:$M$1705,ROWS($M$2:M405)),"")</f>
        <v/>
      </c>
      <c r="O405" s="1" t="str">
        <f>IF(N405&lt;&gt;"",INDEX($L$2:$L$1705,MATCH(N405,$M$2:$M$1705,0)),"")</f>
        <v/>
      </c>
      <c r="P405" s="1" t="str">
        <f>IF(O405&lt;&gt;"",ROWS($O$2:O405),"")</f>
        <v/>
      </c>
    </row>
    <row r="406" spans="1:16" x14ac:dyDescent="0.2">
      <c r="A406" s="1">
        <f>WorldCupMatches!O406</f>
        <v>1986</v>
      </c>
      <c r="B406" s="1" t="str">
        <f>WorldCupMatches!P406</f>
        <v>Brazil</v>
      </c>
      <c r="C406" s="1">
        <f>WorldCupMatches!Q406</f>
        <v>1</v>
      </c>
      <c r="D406" s="1">
        <f>WorldCupMatches!R406</f>
        <v>1</v>
      </c>
      <c r="E406" s="1" t="str">
        <f>WorldCupMatches!S406</f>
        <v>France</v>
      </c>
      <c r="F406" s="1" t="str">
        <f>WorldCupMatches!T406</f>
        <v xml:space="preserve">France win on penalties (3 - 4) </v>
      </c>
      <c r="G406" s="1" t="str">
        <f>WorldCupMatches!U406</f>
        <v>Quarter-finals</v>
      </c>
      <c r="J406" s="1">
        <f>COUNTIF($L$2:L406,L406)</f>
        <v>45</v>
      </c>
      <c r="K406" s="1">
        <f>Table3[[#This Row],[Year]]</f>
        <v>1986</v>
      </c>
      <c r="L406" s="1" t="str">
        <f>Table3[[#This Row],[Hometeam]]</f>
        <v>Brazil</v>
      </c>
      <c r="M406" s="1" t="str">
        <f>IF(J406=1,J406+ROWS($J$2:J406)/10000,"")</f>
        <v/>
      </c>
      <c r="N406" s="1" t="str">
        <f>IFERROR(SMALL($M$2:$M$1705,ROWS($M$2:M406)),"")</f>
        <v/>
      </c>
      <c r="O406" s="1" t="str">
        <f>IF(N406&lt;&gt;"",INDEX($L$2:$L$1705,MATCH(N406,$M$2:$M$1705,0)),"")</f>
        <v/>
      </c>
      <c r="P406" s="1" t="str">
        <f>IF(O406&lt;&gt;"",ROWS($O$2:O406),"")</f>
        <v/>
      </c>
    </row>
    <row r="407" spans="1:16" x14ac:dyDescent="0.2">
      <c r="A407" s="1">
        <f>WorldCupMatches!O407</f>
        <v>1986</v>
      </c>
      <c r="B407" s="1" t="str">
        <f>WorldCupMatches!P407</f>
        <v>Germany FR</v>
      </c>
      <c r="C407" s="1">
        <f>WorldCupMatches!Q407</f>
        <v>0</v>
      </c>
      <c r="D407" s="1">
        <f>WorldCupMatches!R407</f>
        <v>0</v>
      </c>
      <c r="E407" s="1" t="str">
        <f>WorldCupMatches!S407</f>
        <v>Mexico</v>
      </c>
      <c r="F407" s="1" t="str">
        <f>WorldCupMatches!T407</f>
        <v xml:space="preserve">Germany FR win on penalties (4 - 1) </v>
      </c>
      <c r="G407" s="1" t="str">
        <f>WorldCupMatches!U407</f>
        <v>Quarter-finals</v>
      </c>
      <c r="J407" s="1">
        <f>COUNTIF($L$2:L407,L407)</f>
        <v>36</v>
      </c>
      <c r="K407" s="1">
        <f>Table3[[#This Row],[Year]]</f>
        <v>1986</v>
      </c>
      <c r="L407" s="1" t="str">
        <f>Table3[[#This Row],[Hometeam]]</f>
        <v>Germany FR</v>
      </c>
      <c r="M407" s="1" t="str">
        <f>IF(J407=1,J407+ROWS($J$2:J407)/10000,"")</f>
        <v/>
      </c>
      <c r="N407" s="1" t="str">
        <f>IFERROR(SMALL($M$2:$M$1705,ROWS($M$2:M407)),"")</f>
        <v/>
      </c>
      <c r="O407" s="1" t="str">
        <f>IF(N407&lt;&gt;"",INDEX($L$2:$L$1705,MATCH(N407,$M$2:$M$1705,0)),"")</f>
        <v/>
      </c>
      <c r="P407" s="1" t="str">
        <f>IF(O407&lt;&gt;"",ROWS($O$2:O407),"")</f>
        <v/>
      </c>
    </row>
    <row r="408" spans="1:16" x14ac:dyDescent="0.2">
      <c r="A408" s="1">
        <f>WorldCupMatches!O408</f>
        <v>1986</v>
      </c>
      <c r="B408" s="1" t="str">
        <f>WorldCupMatches!P408</f>
        <v>Spain</v>
      </c>
      <c r="C408" s="1">
        <f>WorldCupMatches!Q408</f>
        <v>1</v>
      </c>
      <c r="D408" s="1">
        <f>WorldCupMatches!R408</f>
        <v>1</v>
      </c>
      <c r="E408" s="1" t="str">
        <f>WorldCupMatches!S408</f>
        <v>Belgium</v>
      </c>
      <c r="F408" s="1" t="str">
        <f>WorldCupMatches!T408</f>
        <v xml:space="preserve">Belgium win on penalties (4 - 5) </v>
      </c>
      <c r="G408" s="1" t="str">
        <f>WorldCupMatches!U408</f>
        <v>Quarter-finals</v>
      </c>
      <c r="J408" s="1">
        <f>COUNTIF($L$2:L408,L408)</f>
        <v>12</v>
      </c>
      <c r="K408" s="1">
        <f>Table3[[#This Row],[Year]]</f>
        <v>1986</v>
      </c>
      <c r="L408" s="1" t="str">
        <f>Table3[[#This Row],[Hometeam]]</f>
        <v>Spain</v>
      </c>
      <c r="M408" s="1" t="str">
        <f>IF(J408=1,J408+ROWS($J$2:J408)/10000,"")</f>
        <v/>
      </c>
      <c r="N408" s="1" t="str">
        <f>IFERROR(SMALL($M$2:$M$1705,ROWS($M$2:M408)),"")</f>
        <v/>
      </c>
      <c r="O408" s="1" t="str">
        <f>IF(N408&lt;&gt;"",INDEX($L$2:$L$1705,MATCH(N408,$M$2:$M$1705,0)),"")</f>
        <v/>
      </c>
      <c r="P408" s="1" t="str">
        <f>IF(O408&lt;&gt;"",ROWS($O$2:O408),"")</f>
        <v/>
      </c>
    </row>
    <row r="409" spans="1:16" x14ac:dyDescent="0.2">
      <c r="A409" s="1">
        <f>WorldCupMatches!O409</f>
        <v>1986</v>
      </c>
      <c r="B409" s="1" t="str">
        <f>WorldCupMatches!P409</f>
        <v>Argentina</v>
      </c>
      <c r="C409" s="1">
        <f>WorldCupMatches!Q409</f>
        <v>2</v>
      </c>
      <c r="D409" s="1">
        <f>WorldCupMatches!R409</f>
        <v>1</v>
      </c>
      <c r="E409" s="1" t="str">
        <f>WorldCupMatches!S409</f>
        <v>England</v>
      </c>
      <c r="F409" s="1" t="str">
        <f>WorldCupMatches!T409</f>
        <v xml:space="preserve"> </v>
      </c>
      <c r="G409" s="1" t="str">
        <f>WorldCupMatches!U409</f>
        <v>Quarter-finals</v>
      </c>
      <c r="J409" s="1">
        <f>COUNTIF($L$2:L409,L409)</f>
        <v>27</v>
      </c>
      <c r="K409" s="1">
        <f>Table3[[#This Row],[Year]]</f>
        <v>1986</v>
      </c>
      <c r="L409" s="1" t="str">
        <f>Table3[[#This Row],[Hometeam]]</f>
        <v>Argentina</v>
      </c>
      <c r="M409" s="1" t="str">
        <f>IF(J409=1,J409+ROWS($J$2:J409)/10000,"")</f>
        <v/>
      </c>
      <c r="N409" s="1" t="str">
        <f>IFERROR(SMALL($M$2:$M$1705,ROWS($M$2:M409)),"")</f>
        <v/>
      </c>
      <c r="O409" s="1" t="str">
        <f>IF(N409&lt;&gt;"",INDEX($L$2:$L$1705,MATCH(N409,$M$2:$M$1705,0)),"")</f>
        <v/>
      </c>
      <c r="P409" s="1" t="str">
        <f>IF(O409&lt;&gt;"",ROWS($O$2:O409),"")</f>
        <v/>
      </c>
    </row>
    <row r="410" spans="1:16" x14ac:dyDescent="0.2">
      <c r="A410" s="1">
        <f>WorldCupMatches!O410</f>
        <v>1986</v>
      </c>
      <c r="B410" s="1" t="str">
        <f>WorldCupMatches!P410</f>
        <v>France</v>
      </c>
      <c r="C410" s="1">
        <f>WorldCupMatches!Q410</f>
        <v>0</v>
      </c>
      <c r="D410" s="1">
        <f>WorldCupMatches!R410</f>
        <v>2</v>
      </c>
      <c r="E410" s="1" t="str">
        <f>WorldCupMatches!S410</f>
        <v>Germany FR</v>
      </c>
      <c r="F410" s="1" t="str">
        <f>WorldCupMatches!T410</f>
        <v xml:space="preserve"> </v>
      </c>
      <c r="G410" s="1" t="str">
        <f>WorldCupMatches!U410</f>
        <v>Semi-finals</v>
      </c>
      <c r="J410" s="1">
        <f>COUNTIF($L$2:L410,L410)</f>
        <v>14</v>
      </c>
      <c r="K410" s="1">
        <f>Table3[[#This Row],[Year]]</f>
        <v>1986</v>
      </c>
      <c r="L410" s="1" t="str">
        <f>Table3[[#This Row],[Hometeam]]</f>
        <v>France</v>
      </c>
      <c r="M410" s="1" t="str">
        <f>IF(J410=1,J410+ROWS($J$2:J410)/10000,"")</f>
        <v/>
      </c>
      <c r="N410" s="1" t="str">
        <f>IFERROR(SMALL($M$2:$M$1705,ROWS($M$2:M410)),"")</f>
        <v/>
      </c>
      <c r="O410" s="1" t="str">
        <f>IF(N410&lt;&gt;"",INDEX($L$2:$L$1705,MATCH(N410,$M$2:$M$1705,0)),"")</f>
        <v/>
      </c>
      <c r="P410" s="1" t="str">
        <f>IF(O410&lt;&gt;"",ROWS($O$2:O410),"")</f>
        <v/>
      </c>
    </row>
    <row r="411" spans="1:16" x14ac:dyDescent="0.2">
      <c r="A411" s="1">
        <f>WorldCupMatches!O411</f>
        <v>1986</v>
      </c>
      <c r="B411" s="1" t="str">
        <f>WorldCupMatches!P411</f>
        <v>Argentina</v>
      </c>
      <c r="C411" s="1">
        <f>WorldCupMatches!Q411</f>
        <v>2</v>
      </c>
      <c r="D411" s="1">
        <f>WorldCupMatches!R411</f>
        <v>0</v>
      </c>
      <c r="E411" s="1" t="str">
        <f>WorldCupMatches!S411</f>
        <v>Belgium</v>
      </c>
      <c r="F411" s="1" t="str">
        <f>WorldCupMatches!T411</f>
        <v xml:space="preserve"> </v>
      </c>
      <c r="G411" s="1" t="str">
        <f>WorldCupMatches!U411</f>
        <v>Semi-finals</v>
      </c>
      <c r="J411" s="1">
        <f>COUNTIF($L$2:L411,L411)</f>
        <v>28</v>
      </c>
      <c r="K411" s="1">
        <f>Table3[[#This Row],[Year]]</f>
        <v>1986</v>
      </c>
      <c r="L411" s="1" t="str">
        <f>Table3[[#This Row],[Hometeam]]</f>
        <v>Argentina</v>
      </c>
      <c r="M411" s="1" t="str">
        <f>IF(J411=1,J411+ROWS($J$2:J411)/10000,"")</f>
        <v/>
      </c>
      <c r="N411" s="1" t="str">
        <f>IFERROR(SMALL($M$2:$M$1705,ROWS($M$2:M411)),"")</f>
        <v/>
      </c>
      <c r="O411" s="1" t="str">
        <f>IF(N411&lt;&gt;"",INDEX($L$2:$L$1705,MATCH(N411,$M$2:$M$1705,0)),"")</f>
        <v/>
      </c>
      <c r="P411" s="1" t="str">
        <f>IF(O411&lt;&gt;"",ROWS($O$2:O411),"")</f>
        <v/>
      </c>
    </row>
    <row r="412" spans="1:16" x14ac:dyDescent="0.2">
      <c r="A412" s="1">
        <f>WorldCupMatches!O412</f>
        <v>1986</v>
      </c>
      <c r="B412" s="1" t="str">
        <f>WorldCupMatches!P412</f>
        <v>France</v>
      </c>
      <c r="C412" s="1">
        <f>WorldCupMatches!Q412</f>
        <v>4</v>
      </c>
      <c r="D412" s="1">
        <f>WorldCupMatches!R412</f>
        <v>2</v>
      </c>
      <c r="E412" s="1" t="str">
        <f>WorldCupMatches!S412</f>
        <v>Belgium</v>
      </c>
      <c r="F412" s="1" t="str">
        <f>WorldCupMatches!T412</f>
        <v xml:space="preserve">France win after extra time </v>
      </c>
      <c r="G412" s="1" t="str">
        <f>WorldCupMatches!U412</f>
        <v>Match for third place</v>
      </c>
      <c r="J412" s="1">
        <f>COUNTIF($L$2:L412,L412)</f>
        <v>15</v>
      </c>
      <c r="K412" s="1">
        <f>Table3[[#This Row],[Year]]</f>
        <v>1986</v>
      </c>
      <c r="L412" s="1" t="str">
        <f>Table3[[#This Row],[Hometeam]]</f>
        <v>France</v>
      </c>
      <c r="M412" s="1" t="str">
        <f>IF(J412=1,J412+ROWS($J$2:J412)/10000,"")</f>
        <v/>
      </c>
      <c r="N412" s="1" t="str">
        <f>IFERROR(SMALL($M$2:$M$1705,ROWS($M$2:M412)),"")</f>
        <v/>
      </c>
      <c r="O412" s="1" t="str">
        <f>IF(N412&lt;&gt;"",INDEX($L$2:$L$1705,MATCH(N412,$M$2:$M$1705,0)),"")</f>
        <v/>
      </c>
      <c r="P412" s="1" t="str">
        <f>IF(O412&lt;&gt;"",ROWS($O$2:O412),"")</f>
        <v/>
      </c>
    </row>
    <row r="413" spans="1:16" x14ac:dyDescent="0.2">
      <c r="A413" s="1">
        <f>WorldCupMatches!O413</f>
        <v>1986</v>
      </c>
      <c r="B413" s="1" t="str">
        <f>WorldCupMatches!P413</f>
        <v>Argentina</v>
      </c>
      <c r="C413" s="1">
        <f>WorldCupMatches!Q413</f>
        <v>3</v>
      </c>
      <c r="D413" s="1">
        <f>WorldCupMatches!R413</f>
        <v>2</v>
      </c>
      <c r="E413" s="1" t="str">
        <f>WorldCupMatches!S413</f>
        <v>Germany FR</v>
      </c>
      <c r="F413" s="1" t="str">
        <f>WorldCupMatches!T413</f>
        <v xml:space="preserve"> </v>
      </c>
      <c r="G413" s="1" t="str">
        <f>WorldCupMatches!U413</f>
        <v>Final</v>
      </c>
      <c r="J413" s="1">
        <f>COUNTIF($L$2:L413,L413)</f>
        <v>29</v>
      </c>
      <c r="K413" s="1">
        <f>Table3[[#This Row],[Year]]</f>
        <v>1986</v>
      </c>
      <c r="L413" s="1" t="str">
        <f>Table3[[#This Row],[Hometeam]]</f>
        <v>Argentina</v>
      </c>
      <c r="M413" s="1" t="str">
        <f>IF(J413=1,J413+ROWS($J$2:J413)/10000,"")</f>
        <v/>
      </c>
      <c r="N413" s="1" t="str">
        <f>IFERROR(SMALL($M$2:$M$1705,ROWS($M$2:M413)),"")</f>
        <v/>
      </c>
      <c r="O413" s="1" t="str">
        <f>IF(N413&lt;&gt;"",INDEX($L$2:$L$1705,MATCH(N413,$M$2:$M$1705,0)),"")</f>
        <v/>
      </c>
      <c r="P413" s="1" t="str">
        <f>IF(O413&lt;&gt;"",ROWS($O$2:O413),"")</f>
        <v/>
      </c>
    </row>
    <row r="414" spans="1:16" x14ac:dyDescent="0.2">
      <c r="A414" s="1">
        <f>WorldCupMatches!O414</f>
        <v>1990</v>
      </c>
      <c r="B414" s="1" t="str">
        <f>WorldCupMatches!P414</f>
        <v>Argentina</v>
      </c>
      <c r="C414" s="1">
        <f>WorldCupMatches!Q414</f>
        <v>0</v>
      </c>
      <c r="D414" s="1">
        <f>WorldCupMatches!R414</f>
        <v>1</v>
      </c>
      <c r="E414" s="1" t="str">
        <f>WorldCupMatches!S414</f>
        <v>Cameroon</v>
      </c>
      <c r="F414" s="1" t="str">
        <f>WorldCupMatches!T414</f>
        <v xml:space="preserve"> </v>
      </c>
      <c r="G414" s="1" t="str">
        <f>WorldCupMatches!U414</f>
        <v>Group stages</v>
      </c>
      <c r="J414" s="1">
        <f>COUNTIF($L$2:L414,L414)</f>
        <v>30</v>
      </c>
      <c r="K414" s="1">
        <f>Table3[[#This Row],[Year]]</f>
        <v>1990</v>
      </c>
      <c r="L414" s="1" t="str">
        <f>Table3[[#This Row],[Hometeam]]</f>
        <v>Argentina</v>
      </c>
      <c r="M414" s="1" t="str">
        <f>IF(J414=1,J414+ROWS($J$2:J414)/10000,"")</f>
        <v/>
      </c>
      <c r="N414" s="1" t="str">
        <f>IFERROR(SMALL($M$2:$M$1705,ROWS($M$2:M414)),"")</f>
        <v/>
      </c>
      <c r="O414" s="1" t="str">
        <f>IF(N414&lt;&gt;"",INDEX($L$2:$L$1705,MATCH(N414,$M$2:$M$1705,0)),"")</f>
        <v/>
      </c>
      <c r="P414" s="1" t="str">
        <f>IF(O414&lt;&gt;"",ROWS($O$2:O414),"")</f>
        <v/>
      </c>
    </row>
    <row r="415" spans="1:16" x14ac:dyDescent="0.2">
      <c r="A415" s="1">
        <f>WorldCupMatches!O415</f>
        <v>1990</v>
      </c>
      <c r="B415" s="1" t="str">
        <f>WorldCupMatches!P415</f>
        <v>Soviet Union</v>
      </c>
      <c r="C415" s="1">
        <f>WorldCupMatches!Q415</f>
        <v>0</v>
      </c>
      <c r="D415" s="1">
        <f>WorldCupMatches!R415</f>
        <v>2</v>
      </c>
      <c r="E415" s="1" t="str">
        <f>WorldCupMatches!S415</f>
        <v>Romania</v>
      </c>
      <c r="F415" s="1" t="str">
        <f>WorldCupMatches!T415</f>
        <v xml:space="preserve"> </v>
      </c>
      <c r="G415" s="1" t="str">
        <f>WorldCupMatches!U415</f>
        <v>Group stages</v>
      </c>
      <c r="J415" s="1">
        <f>COUNTIF($L$2:L415,L415)</f>
        <v>18</v>
      </c>
      <c r="K415" s="1">
        <f>Table3[[#This Row],[Year]]</f>
        <v>1990</v>
      </c>
      <c r="L415" s="1" t="str">
        <f>Table3[[#This Row],[Hometeam]]</f>
        <v>Soviet Union</v>
      </c>
      <c r="M415" s="1" t="str">
        <f>IF(J415=1,J415+ROWS($J$2:J415)/10000,"")</f>
        <v/>
      </c>
      <c r="N415" s="1" t="str">
        <f>IFERROR(SMALL($M$2:$M$1705,ROWS($M$2:M415)),"")</f>
        <v/>
      </c>
      <c r="O415" s="1" t="str">
        <f>IF(N415&lt;&gt;"",INDEX($L$2:$L$1705,MATCH(N415,$M$2:$M$1705,0)),"")</f>
        <v/>
      </c>
      <c r="P415" s="1" t="str">
        <f>IF(O415&lt;&gt;"",ROWS($O$2:O415),"")</f>
        <v/>
      </c>
    </row>
    <row r="416" spans="1:16" x14ac:dyDescent="0.2">
      <c r="A416" s="1">
        <f>WorldCupMatches!O416</f>
        <v>1990</v>
      </c>
      <c r="B416" s="1" t="str">
        <f>WorldCupMatches!P416</f>
        <v>United Arab Emirates</v>
      </c>
      <c r="C416" s="1">
        <f>WorldCupMatches!Q416</f>
        <v>0</v>
      </c>
      <c r="D416" s="1">
        <f>WorldCupMatches!R416</f>
        <v>2</v>
      </c>
      <c r="E416" s="1" t="str">
        <f>WorldCupMatches!S416</f>
        <v>Colombia</v>
      </c>
      <c r="F416" s="1" t="str">
        <f>WorldCupMatches!T416</f>
        <v xml:space="preserve"> </v>
      </c>
      <c r="G416" s="1" t="str">
        <f>WorldCupMatches!U416</f>
        <v>Group stages</v>
      </c>
      <c r="J416" s="1">
        <f>COUNTIF($L$2:L416,L416)</f>
        <v>1</v>
      </c>
      <c r="K416" s="1">
        <f>Table3[[#This Row],[Year]]</f>
        <v>1990</v>
      </c>
      <c r="L416" s="1" t="str">
        <f>Table3[[#This Row],[Hometeam]]</f>
        <v>United Arab Emirates</v>
      </c>
      <c r="M416" s="1">
        <f>IF(J416=1,J416+ROWS($J$2:J416)/10000,"")</f>
        <v>1.0415000000000001</v>
      </c>
      <c r="N416" s="1" t="str">
        <f>IFERROR(SMALL($M$2:$M$1705,ROWS($M$2:M416)),"")</f>
        <v/>
      </c>
      <c r="O416" s="1" t="str">
        <f>IF(N416&lt;&gt;"",INDEX($L$2:$L$1705,MATCH(N416,$M$2:$M$1705,0)),"")</f>
        <v/>
      </c>
      <c r="P416" s="1" t="str">
        <f>IF(O416&lt;&gt;"",ROWS($O$2:O416),"")</f>
        <v/>
      </c>
    </row>
    <row r="417" spans="1:16" x14ac:dyDescent="0.2">
      <c r="A417" s="1">
        <f>WorldCupMatches!O417</f>
        <v>1990</v>
      </c>
      <c r="B417" s="1" t="str">
        <f>WorldCupMatches!P417</f>
        <v>Italy</v>
      </c>
      <c r="C417" s="1">
        <f>WorldCupMatches!Q417</f>
        <v>1</v>
      </c>
      <c r="D417" s="1">
        <f>WorldCupMatches!R417</f>
        <v>0</v>
      </c>
      <c r="E417" s="1" t="str">
        <f>WorldCupMatches!S417</f>
        <v>Austria</v>
      </c>
      <c r="F417" s="1" t="str">
        <f>WorldCupMatches!T417</f>
        <v xml:space="preserve"> </v>
      </c>
      <c r="G417" s="1" t="str">
        <f>WorldCupMatches!U417</f>
        <v>Group stages</v>
      </c>
      <c r="J417" s="1">
        <f>COUNTIF($L$2:L417,L417)</f>
        <v>31</v>
      </c>
      <c r="K417" s="1">
        <f>Table3[[#This Row],[Year]]</f>
        <v>1990</v>
      </c>
      <c r="L417" s="1" t="str">
        <f>Table3[[#This Row],[Hometeam]]</f>
        <v>Italy</v>
      </c>
      <c r="M417" s="1" t="str">
        <f>IF(J417=1,J417+ROWS($J$2:J417)/10000,"")</f>
        <v/>
      </c>
      <c r="N417" s="1" t="str">
        <f>IFERROR(SMALL($M$2:$M$1705,ROWS($M$2:M417)),"")</f>
        <v/>
      </c>
      <c r="O417" s="1" t="str">
        <f>IF(N417&lt;&gt;"",INDEX($L$2:$L$1705,MATCH(N417,$M$2:$M$1705,0)),"")</f>
        <v/>
      </c>
      <c r="P417" s="1" t="str">
        <f>IF(O417&lt;&gt;"",ROWS($O$2:O417),"")</f>
        <v/>
      </c>
    </row>
    <row r="418" spans="1:16" x14ac:dyDescent="0.2">
      <c r="A418" s="1">
        <f>WorldCupMatches!O418</f>
        <v>1990</v>
      </c>
      <c r="B418" s="1" t="str">
        <f>WorldCupMatches!P418</f>
        <v>USA</v>
      </c>
      <c r="C418" s="1">
        <f>WorldCupMatches!Q418</f>
        <v>1</v>
      </c>
      <c r="D418" s="1">
        <f>WorldCupMatches!R418</f>
        <v>5</v>
      </c>
      <c r="E418" s="1" t="str">
        <f>WorldCupMatches!S418</f>
        <v>Czechoslovakia</v>
      </c>
      <c r="F418" s="1" t="str">
        <f>WorldCupMatches!T418</f>
        <v xml:space="preserve"> </v>
      </c>
      <c r="G418" s="1" t="str">
        <f>WorldCupMatches!U418</f>
        <v>Group stages</v>
      </c>
      <c r="J418" s="1">
        <f>COUNTIF($L$2:L418,L418)</f>
        <v>4</v>
      </c>
      <c r="K418" s="1">
        <f>Table3[[#This Row],[Year]]</f>
        <v>1990</v>
      </c>
      <c r="L418" s="1" t="str">
        <f>Table3[[#This Row],[Hometeam]]</f>
        <v>USA</v>
      </c>
      <c r="M418" s="1" t="str">
        <f>IF(J418=1,J418+ROWS($J$2:J418)/10000,"")</f>
        <v/>
      </c>
      <c r="N418" s="1" t="str">
        <f>IFERROR(SMALL($M$2:$M$1705,ROWS($M$2:M418)),"")</f>
        <v/>
      </c>
      <c r="O418" s="1" t="str">
        <f>IF(N418&lt;&gt;"",INDEX($L$2:$L$1705,MATCH(N418,$M$2:$M$1705,0)),"")</f>
        <v/>
      </c>
      <c r="P418" s="1" t="str">
        <f>IF(O418&lt;&gt;"",ROWS($O$2:O418),"")</f>
        <v/>
      </c>
    </row>
    <row r="419" spans="1:16" x14ac:dyDescent="0.2">
      <c r="A419" s="1">
        <f>WorldCupMatches!O419</f>
        <v>1990</v>
      </c>
      <c r="B419" s="1" t="str">
        <f>WorldCupMatches!P419</f>
        <v>Brazil</v>
      </c>
      <c r="C419" s="1">
        <f>WorldCupMatches!Q419</f>
        <v>2</v>
      </c>
      <c r="D419" s="1">
        <f>WorldCupMatches!R419</f>
        <v>1</v>
      </c>
      <c r="E419" s="1" t="str">
        <f>WorldCupMatches!S419</f>
        <v>Sweden</v>
      </c>
      <c r="F419" s="1" t="str">
        <f>WorldCupMatches!T419</f>
        <v xml:space="preserve"> </v>
      </c>
      <c r="G419" s="1" t="str">
        <f>WorldCupMatches!U419</f>
        <v>Group stages</v>
      </c>
      <c r="J419" s="1">
        <f>COUNTIF($L$2:L419,L419)</f>
        <v>46</v>
      </c>
      <c r="K419" s="1">
        <f>Table3[[#This Row],[Year]]</f>
        <v>1990</v>
      </c>
      <c r="L419" s="1" t="str">
        <f>Table3[[#This Row],[Hometeam]]</f>
        <v>Brazil</v>
      </c>
      <c r="M419" s="1" t="str">
        <f>IF(J419=1,J419+ROWS($J$2:J419)/10000,"")</f>
        <v/>
      </c>
      <c r="N419" s="1" t="str">
        <f>IFERROR(SMALL($M$2:$M$1705,ROWS($M$2:M419)),"")</f>
        <v/>
      </c>
      <c r="O419" s="1" t="str">
        <f>IF(N419&lt;&gt;"",INDEX($L$2:$L$1705,MATCH(N419,$M$2:$M$1705,0)),"")</f>
        <v/>
      </c>
      <c r="P419" s="1" t="str">
        <f>IF(O419&lt;&gt;"",ROWS($O$2:O419),"")</f>
        <v/>
      </c>
    </row>
    <row r="420" spans="1:16" x14ac:dyDescent="0.2">
      <c r="A420" s="1">
        <f>WorldCupMatches!O420</f>
        <v>1990</v>
      </c>
      <c r="B420" s="1" t="str">
        <f>WorldCupMatches!P420</f>
        <v>Germany FR</v>
      </c>
      <c r="C420" s="1">
        <f>WorldCupMatches!Q420</f>
        <v>4</v>
      </c>
      <c r="D420" s="1">
        <f>WorldCupMatches!R420</f>
        <v>1</v>
      </c>
      <c r="E420" s="1" t="str">
        <f>WorldCupMatches!S420</f>
        <v>Yugoslavia</v>
      </c>
      <c r="F420" s="1" t="str">
        <f>WorldCupMatches!T420</f>
        <v xml:space="preserve"> </v>
      </c>
      <c r="G420" s="1" t="str">
        <f>WorldCupMatches!U420</f>
        <v>Group stages</v>
      </c>
      <c r="J420" s="1">
        <f>COUNTIF($L$2:L420,L420)</f>
        <v>37</v>
      </c>
      <c r="K420" s="1">
        <f>Table3[[#This Row],[Year]]</f>
        <v>1990</v>
      </c>
      <c r="L420" s="1" t="str">
        <f>Table3[[#This Row],[Hometeam]]</f>
        <v>Germany FR</v>
      </c>
      <c r="M420" s="1" t="str">
        <f>IF(J420=1,J420+ROWS($J$2:J420)/10000,"")</f>
        <v/>
      </c>
      <c r="N420" s="1" t="str">
        <f>IFERROR(SMALL($M$2:$M$1705,ROWS($M$2:M420)),"")</f>
        <v/>
      </c>
      <c r="O420" s="1" t="str">
        <f>IF(N420&lt;&gt;"",INDEX($L$2:$L$1705,MATCH(N420,$M$2:$M$1705,0)),"")</f>
        <v/>
      </c>
      <c r="P420" s="1" t="str">
        <f>IF(O420&lt;&gt;"",ROWS($O$2:O420),"")</f>
        <v/>
      </c>
    </row>
    <row r="421" spans="1:16" x14ac:dyDescent="0.2">
      <c r="A421" s="1">
        <f>WorldCupMatches!O421</f>
        <v>1990</v>
      </c>
      <c r="B421" s="1" t="str">
        <f>WorldCupMatches!P421</f>
        <v>Costa Rica</v>
      </c>
      <c r="C421" s="1">
        <f>WorldCupMatches!Q421</f>
        <v>1</v>
      </c>
      <c r="D421" s="1">
        <f>WorldCupMatches!R421</f>
        <v>0</v>
      </c>
      <c r="E421" s="1" t="str">
        <f>WorldCupMatches!S421</f>
        <v>Scotland</v>
      </c>
      <c r="F421" s="1" t="str">
        <f>WorldCupMatches!T421</f>
        <v xml:space="preserve"> </v>
      </c>
      <c r="G421" s="1" t="str">
        <f>WorldCupMatches!U421</f>
        <v>Group stages</v>
      </c>
      <c r="J421" s="1">
        <f>COUNTIF($L$2:L421,L421)</f>
        <v>1</v>
      </c>
      <c r="K421" s="1">
        <f>Table3[[#This Row],[Year]]</f>
        <v>1990</v>
      </c>
      <c r="L421" s="1" t="str">
        <f>Table3[[#This Row],[Hometeam]]</f>
        <v>Costa Rica</v>
      </c>
      <c r="M421" s="1">
        <f>IF(J421=1,J421+ROWS($J$2:J421)/10000,"")</f>
        <v>1.042</v>
      </c>
      <c r="N421" s="1" t="str">
        <f>IFERROR(SMALL($M$2:$M$1705,ROWS($M$2:M421)),"")</f>
        <v/>
      </c>
      <c r="O421" s="1" t="str">
        <f>IF(N421&lt;&gt;"",INDEX($L$2:$L$1705,MATCH(N421,$M$2:$M$1705,0)),"")</f>
        <v/>
      </c>
      <c r="P421" s="1" t="str">
        <f>IF(O421&lt;&gt;"",ROWS($O$2:O421),"")</f>
        <v/>
      </c>
    </row>
    <row r="422" spans="1:16" x14ac:dyDescent="0.2">
      <c r="A422" s="1">
        <f>WorldCupMatches!O422</f>
        <v>1990</v>
      </c>
      <c r="B422" s="1" t="str">
        <f>WorldCupMatches!P422</f>
        <v>England</v>
      </c>
      <c r="C422" s="1">
        <f>WorldCupMatches!Q422</f>
        <v>1</v>
      </c>
      <c r="D422" s="1">
        <f>WorldCupMatches!R422</f>
        <v>1</v>
      </c>
      <c r="E422" s="1" t="str">
        <f>WorldCupMatches!S422</f>
        <v>Republic of Ireland</v>
      </c>
      <c r="F422" s="1" t="str">
        <f>WorldCupMatches!T422</f>
        <v xml:space="preserve"> </v>
      </c>
      <c r="G422" s="1" t="str">
        <f>WorldCupMatches!U422</f>
        <v>Group stages</v>
      </c>
      <c r="J422" s="1">
        <f>COUNTIF($L$2:L422,L422)</f>
        <v>21</v>
      </c>
      <c r="K422" s="1">
        <f>Table3[[#This Row],[Year]]</f>
        <v>1990</v>
      </c>
      <c r="L422" s="1" t="str">
        <f>Table3[[#This Row],[Hometeam]]</f>
        <v>England</v>
      </c>
      <c r="M422" s="1" t="str">
        <f>IF(J422=1,J422+ROWS($J$2:J422)/10000,"")</f>
        <v/>
      </c>
      <c r="N422" s="1" t="str">
        <f>IFERROR(SMALL($M$2:$M$1705,ROWS($M$2:M422)),"")</f>
        <v/>
      </c>
      <c r="O422" s="1" t="str">
        <f>IF(N422&lt;&gt;"",INDEX($L$2:$L$1705,MATCH(N422,$M$2:$M$1705,0)),"")</f>
        <v/>
      </c>
      <c r="P422" s="1" t="str">
        <f>IF(O422&lt;&gt;"",ROWS($O$2:O422),"")</f>
        <v/>
      </c>
    </row>
    <row r="423" spans="1:16" x14ac:dyDescent="0.2">
      <c r="A423" s="1">
        <f>WorldCupMatches!O423</f>
        <v>1990</v>
      </c>
      <c r="B423" s="1" t="str">
        <f>WorldCupMatches!P423</f>
        <v>Belgium</v>
      </c>
      <c r="C423" s="1">
        <f>WorldCupMatches!Q423</f>
        <v>2</v>
      </c>
      <c r="D423" s="1">
        <f>WorldCupMatches!R423</f>
        <v>0</v>
      </c>
      <c r="E423" s="1" t="str">
        <f>WorldCupMatches!S423</f>
        <v>Korea Republic</v>
      </c>
      <c r="F423" s="1" t="str">
        <f>WorldCupMatches!T423</f>
        <v xml:space="preserve"> </v>
      </c>
      <c r="G423" s="1" t="str">
        <f>WorldCupMatches!U423</f>
        <v>Group stages</v>
      </c>
      <c r="J423" s="1">
        <f>COUNTIF($L$2:L423,L423)</f>
        <v>6</v>
      </c>
      <c r="K423" s="1">
        <f>Table3[[#This Row],[Year]]</f>
        <v>1990</v>
      </c>
      <c r="L423" s="1" t="str">
        <f>Table3[[#This Row],[Hometeam]]</f>
        <v>Belgium</v>
      </c>
      <c r="M423" s="1" t="str">
        <f>IF(J423=1,J423+ROWS($J$2:J423)/10000,"")</f>
        <v/>
      </c>
      <c r="N423" s="1" t="str">
        <f>IFERROR(SMALL($M$2:$M$1705,ROWS($M$2:M423)),"")</f>
        <v/>
      </c>
      <c r="O423" s="1" t="str">
        <f>IF(N423&lt;&gt;"",INDEX($L$2:$L$1705,MATCH(N423,$M$2:$M$1705,0)),"")</f>
        <v/>
      </c>
      <c r="P423" s="1" t="str">
        <f>IF(O423&lt;&gt;"",ROWS($O$2:O423),"")</f>
        <v/>
      </c>
    </row>
    <row r="424" spans="1:16" x14ac:dyDescent="0.2">
      <c r="A424" s="1">
        <f>WorldCupMatches!O424</f>
        <v>1990</v>
      </c>
      <c r="B424" s="1" t="str">
        <f>WorldCupMatches!P424</f>
        <v>Netherlands</v>
      </c>
      <c r="C424" s="1">
        <f>WorldCupMatches!Q424</f>
        <v>1</v>
      </c>
      <c r="D424" s="1">
        <f>WorldCupMatches!R424</f>
        <v>1</v>
      </c>
      <c r="E424" s="1" t="str">
        <f>WorldCupMatches!S424</f>
        <v>Egypt</v>
      </c>
      <c r="F424" s="1" t="str">
        <f>WorldCupMatches!T424</f>
        <v xml:space="preserve"> </v>
      </c>
      <c r="G424" s="1" t="str">
        <f>WorldCupMatches!U424</f>
        <v>Group stages</v>
      </c>
      <c r="J424" s="1">
        <f>COUNTIF($L$2:L424,L424)</f>
        <v>9</v>
      </c>
      <c r="K424" s="1">
        <f>Table3[[#This Row],[Year]]</f>
        <v>1990</v>
      </c>
      <c r="L424" s="1" t="str">
        <f>Table3[[#This Row],[Hometeam]]</f>
        <v>Netherlands</v>
      </c>
      <c r="M424" s="1" t="str">
        <f>IF(J424=1,J424+ROWS($J$2:J424)/10000,"")</f>
        <v/>
      </c>
      <c r="N424" s="1" t="str">
        <f>IFERROR(SMALL($M$2:$M$1705,ROWS($M$2:M424)),"")</f>
        <v/>
      </c>
      <c r="O424" s="1" t="str">
        <f>IF(N424&lt;&gt;"",INDEX($L$2:$L$1705,MATCH(N424,$M$2:$M$1705,0)),"")</f>
        <v/>
      </c>
      <c r="P424" s="1" t="str">
        <f>IF(O424&lt;&gt;"",ROWS($O$2:O424),"")</f>
        <v/>
      </c>
    </row>
    <row r="425" spans="1:16" x14ac:dyDescent="0.2">
      <c r="A425" s="1">
        <f>WorldCupMatches!O425</f>
        <v>1990</v>
      </c>
      <c r="B425" s="1" t="str">
        <f>WorldCupMatches!P425</f>
        <v>Uruguay</v>
      </c>
      <c r="C425" s="1">
        <f>WorldCupMatches!Q425</f>
        <v>0</v>
      </c>
      <c r="D425" s="1">
        <f>WorldCupMatches!R425</f>
        <v>0</v>
      </c>
      <c r="E425" s="1" t="str">
        <f>WorldCupMatches!S425</f>
        <v>Spain</v>
      </c>
      <c r="F425" s="1" t="str">
        <f>WorldCupMatches!T425</f>
        <v xml:space="preserve"> </v>
      </c>
      <c r="G425" s="1" t="str">
        <f>WorldCupMatches!U425</f>
        <v>Group stages</v>
      </c>
      <c r="J425" s="1">
        <f>COUNTIF($L$2:L425,L425)</f>
        <v>20</v>
      </c>
      <c r="K425" s="1">
        <f>Table3[[#This Row],[Year]]</f>
        <v>1990</v>
      </c>
      <c r="L425" s="1" t="str">
        <f>Table3[[#This Row],[Hometeam]]</f>
        <v>Uruguay</v>
      </c>
      <c r="M425" s="1" t="str">
        <f>IF(J425=1,J425+ROWS($J$2:J425)/10000,"")</f>
        <v/>
      </c>
      <c r="N425" s="1" t="str">
        <f>IFERROR(SMALL($M$2:$M$1705,ROWS($M$2:M425)),"")</f>
        <v/>
      </c>
      <c r="O425" s="1" t="str">
        <f>IF(N425&lt;&gt;"",INDEX($L$2:$L$1705,MATCH(N425,$M$2:$M$1705,0)),"")</f>
        <v/>
      </c>
      <c r="P425" s="1" t="str">
        <f>IF(O425&lt;&gt;"",ROWS($O$2:O425),"")</f>
        <v/>
      </c>
    </row>
    <row r="426" spans="1:16" x14ac:dyDescent="0.2">
      <c r="A426" s="1">
        <f>WorldCupMatches!O426</f>
        <v>1990</v>
      </c>
      <c r="B426" s="1" t="str">
        <f>WorldCupMatches!P426</f>
        <v>Argentina</v>
      </c>
      <c r="C426" s="1">
        <f>WorldCupMatches!Q426</f>
        <v>2</v>
      </c>
      <c r="D426" s="1">
        <f>WorldCupMatches!R426</f>
        <v>0</v>
      </c>
      <c r="E426" s="1" t="str">
        <f>WorldCupMatches!S426</f>
        <v>Soviet Union</v>
      </c>
      <c r="F426" s="1" t="str">
        <f>WorldCupMatches!T426</f>
        <v xml:space="preserve"> </v>
      </c>
      <c r="G426" s="1" t="str">
        <f>WorldCupMatches!U426</f>
        <v>Group stages</v>
      </c>
      <c r="J426" s="1">
        <f>COUNTIF($L$2:L426,L426)</f>
        <v>31</v>
      </c>
      <c r="K426" s="1">
        <f>Table3[[#This Row],[Year]]</f>
        <v>1990</v>
      </c>
      <c r="L426" s="1" t="str">
        <f>Table3[[#This Row],[Hometeam]]</f>
        <v>Argentina</v>
      </c>
      <c r="M426" s="1" t="str">
        <f>IF(J426=1,J426+ROWS($J$2:J426)/10000,"")</f>
        <v/>
      </c>
      <c r="N426" s="1" t="str">
        <f>IFERROR(SMALL($M$2:$M$1705,ROWS($M$2:M426)),"")</f>
        <v/>
      </c>
      <c r="O426" s="1" t="str">
        <f>IF(N426&lt;&gt;"",INDEX($L$2:$L$1705,MATCH(N426,$M$2:$M$1705,0)),"")</f>
        <v/>
      </c>
      <c r="P426" s="1" t="str">
        <f>IF(O426&lt;&gt;"",ROWS($O$2:O426),"")</f>
        <v/>
      </c>
    </row>
    <row r="427" spans="1:16" x14ac:dyDescent="0.2">
      <c r="A427" s="1">
        <f>WorldCupMatches!O427</f>
        <v>1990</v>
      </c>
      <c r="B427" s="1" t="str">
        <f>WorldCupMatches!P427</f>
        <v>Cameroon</v>
      </c>
      <c r="C427" s="1">
        <f>WorldCupMatches!Q427</f>
        <v>2</v>
      </c>
      <c r="D427" s="1">
        <f>WorldCupMatches!R427</f>
        <v>1</v>
      </c>
      <c r="E427" s="1" t="str">
        <f>WorldCupMatches!S427</f>
        <v>Romania</v>
      </c>
      <c r="F427" s="1" t="str">
        <f>WorldCupMatches!T427</f>
        <v xml:space="preserve"> </v>
      </c>
      <c r="G427" s="1" t="str">
        <f>WorldCupMatches!U427</f>
        <v>Group stages</v>
      </c>
      <c r="J427" s="1">
        <f>COUNTIF($L$2:L427,L427)</f>
        <v>1</v>
      </c>
      <c r="K427" s="1">
        <f>Table3[[#This Row],[Year]]</f>
        <v>1990</v>
      </c>
      <c r="L427" s="1" t="str">
        <f>Table3[[#This Row],[Hometeam]]</f>
        <v>Cameroon</v>
      </c>
      <c r="M427" s="1">
        <f>IF(J427=1,J427+ROWS($J$2:J427)/10000,"")</f>
        <v>1.0426</v>
      </c>
      <c r="N427" s="1" t="str">
        <f>IFERROR(SMALL($M$2:$M$1705,ROWS($M$2:M427)),"")</f>
        <v/>
      </c>
      <c r="O427" s="1" t="str">
        <f>IF(N427&lt;&gt;"",INDEX($L$2:$L$1705,MATCH(N427,$M$2:$M$1705,0)),"")</f>
        <v/>
      </c>
      <c r="P427" s="1" t="str">
        <f>IF(O427&lt;&gt;"",ROWS($O$2:O427),"")</f>
        <v/>
      </c>
    </row>
    <row r="428" spans="1:16" x14ac:dyDescent="0.2">
      <c r="A428" s="1">
        <f>WorldCupMatches!O428</f>
        <v>1990</v>
      </c>
      <c r="B428" s="1" t="str">
        <f>WorldCupMatches!P428</f>
        <v>Yugoslavia</v>
      </c>
      <c r="C428" s="1">
        <f>WorldCupMatches!Q428</f>
        <v>1</v>
      </c>
      <c r="D428" s="1">
        <f>WorldCupMatches!R428</f>
        <v>0</v>
      </c>
      <c r="E428" s="1" t="str">
        <f>WorldCupMatches!S428</f>
        <v>Colombia</v>
      </c>
      <c r="F428" s="1" t="str">
        <f>WorldCupMatches!T428</f>
        <v xml:space="preserve"> </v>
      </c>
      <c r="G428" s="1" t="str">
        <f>WorldCupMatches!U428</f>
        <v>Group stages</v>
      </c>
      <c r="J428" s="1">
        <f>COUNTIF($L$2:L428,L428)</f>
        <v>14</v>
      </c>
      <c r="K428" s="1">
        <f>Table3[[#This Row],[Year]]</f>
        <v>1990</v>
      </c>
      <c r="L428" s="1" t="str">
        <f>Table3[[#This Row],[Hometeam]]</f>
        <v>Yugoslavia</v>
      </c>
      <c r="M428" s="1" t="str">
        <f>IF(J428=1,J428+ROWS($J$2:J428)/10000,"")</f>
        <v/>
      </c>
      <c r="N428" s="1" t="str">
        <f>IFERROR(SMALL($M$2:$M$1705,ROWS($M$2:M428)),"")</f>
        <v/>
      </c>
      <c r="O428" s="1" t="str">
        <f>IF(N428&lt;&gt;"",INDEX($L$2:$L$1705,MATCH(N428,$M$2:$M$1705,0)),"")</f>
        <v/>
      </c>
      <c r="P428" s="1" t="str">
        <f>IF(O428&lt;&gt;"",ROWS($O$2:O428),"")</f>
        <v/>
      </c>
    </row>
    <row r="429" spans="1:16" x14ac:dyDescent="0.2">
      <c r="A429" s="1">
        <f>WorldCupMatches!O429</f>
        <v>1990</v>
      </c>
      <c r="B429" s="1" t="str">
        <f>WorldCupMatches!P429</f>
        <v>Italy</v>
      </c>
      <c r="C429" s="1">
        <f>WorldCupMatches!Q429</f>
        <v>1</v>
      </c>
      <c r="D429" s="1">
        <f>WorldCupMatches!R429</f>
        <v>0</v>
      </c>
      <c r="E429" s="1" t="str">
        <f>WorldCupMatches!S429</f>
        <v>USA</v>
      </c>
      <c r="F429" s="1" t="str">
        <f>WorldCupMatches!T429</f>
        <v xml:space="preserve"> </v>
      </c>
      <c r="G429" s="1" t="str">
        <f>WorldCupMatches!U429</f>
        <v>Group stages</v>
      </c>
      <c r="J429" s="1">
        <f>COUNTIF($L$2:L429,L429)</f>
        <v>32</v>
      </c>
      <c r="K429" s="1">
        <f>Table3[[#This Row],[Year]]</f>
        <v>1990</v>
      </c>
      <c r="L429" s="1" t="str">
        <f>Table3[[#This Row],[Hometeam]]</f>
        <v>Italy</v>
      </c>
      <c r="M429" s="1" t="str">
        <f>IF(J429=1,J429+ROWS($J$2:J429)/10000,"")</f>
        <v/>
      </c>
      <c r="N429" s="1" t="str">
        <f>IFERROR(SMALL($M$2:$M$1705,ROWS($M$2:M429)),"")</f>
        <v/>
      </c>
      <c r="O429" s="1" t="str">
        <f>IF(N429&lt;&gt;"",INDEX($L$2:$L$1705,MATCH(N429,$M$2:$M$1705,0)),"")</f>
        <v/>
      </c>
      <c r="P429" s="1" t="str">
        <f>IF(O429&lt;&gt;"",ROWS($O$2:O429),"")</f>
        <v/>
      </c>
    </row>
    <row r="430" spans="1:16" x14ac:dyDescent="0.2">
      <c r="A430" s="1">
        <f>WorldCupMatches!O430</f>
        <v>1990</v>
      </c>
      <c r="B430" s="1" t="str">
        <f>WorldCupMatches!P430</f>
        <v>Austria</v>
      </c>
      <c r="C430" s="1">
        <f>WorldCupMatches!Q430</f>
        <v>0</v>
      </c>
      <c r="D430" s="1">
        <f>WorldCupMatches!R430</f>
        <v>1</v>
      </c>
      <c r="E430" s="1" t="str">
        <f>WorldCupMatches!S430</f>
        <v>Czechoslovakia</v>
      </c>
      <c r="F430" s="1" t="str">
        <f>WorldCupMatches!T430</f>
        <v xml:space="preserve"> </v>
      </c>
      <c r="G430" s="1" t="str">
        <f>WorldCupMatches!U430</f>
        <v>Group stages</v>
      </c>
      <c r="J430" s="1">
        <f>COUNTIF($L$2:L430,L430)</f>
        <v>12</v>
      </c>
      <c r="K430" s="1">
        <f>Table3[[#This Row],[Year]]</f>
        <v>1990</v>
      </c>
      <c r="L430" s="1" t="str">
        <f>Table3[[#This Row],[Hometeam]]</f>
        <v>Austria</v>
      </c>
      <c r="M430" s="1" t="str">
        <f>IF(J430=1,J430+ROWS($J$2:J430)/10000,"")</f>
        <v/>
      </c>
      <c r="N430" s="1" t="str">
        <f>IFERROR(SMALL($M$2:$M$1705,ROWS($M$2:M430)),"")</f>
        <v/>
      </c>
      <c r="O430" s="1" t="str">
        <f>IF(N430&lt;&gt;"",INDEX($L$2:$L$1705,MATCH(N430,$M$2:$M$1705,0)),"")</f>
        <v/>
      </c>
      <c r="P430" s="1" t="str">
        <f>IF(O430&lt;&gt;"",ROWS($O$2:O430),"")</f>
        <v/>
      </c>
    </row>
    <row r="431" spans="1:16" x14ac:dyDescent="0.2">
      <c r="A431" s="1">
        <f>WorldCupMatches!O431</f>
        <v>1990</v>
      </c>
      <c r="B431" s="1" t="str">
        <f>WorldCupMatches!P431</f>
        <v>Germany FR</v>
      </c>
      <c r="C431" s="1">
        <f>WorldCupMatches!Q431</f>
        <v>5</v>
      </c>
      <c r="D431" s="1">
        <f>WorldCupMatches!R431</f>
        <v>1</v>
      </c>
      <c r="E431" s="1" t="str">
        <f>WorldCupMatches!S431</f>
        <v>United Arab Emirates</v>
      </c>
      <c r="F431" s="1" t="str">
        <f>WorldCupMatches!T431</f>
        <v xml:space="preserve"> </v>
      </c>
      <c r="G431" s="1" t="str">
        <f>WorldCupMatches!U431</f>
        <v>Group stages</v>
      </c>
      <c r="J431" s="1">
        <f>COUNTIF($L$2:L431,L431)</f>
        <v>38</v>
      </c>
      <c r="K431" s="1">
        <f>Table3[[#This Row],[Year]]</f>
        <v>1990</v>
      </c>
      <c r="L431" s="1" t="str">
        <f>Table3[[#This Row],[Hometeam]]</f>
        <v>Germany FR</v>
      </c>
      <c r="M431" s="1" t="str">
        <f>IF(J431=1,J431+ROWS($J$2:J431)/10000,"")</f>
        <v/>
      </c>
      <c r="N431" s="1" t="str">
        <f>IFERROR(SMALL($M$2:$M$1705,ROWS($M$2:M431)),"")</f>
        <v/>
      </c>
      <c r="O431" s="1" t="str">
        <f>IF(N431&lt;&gt;"",INDEX($L$2:$L$1705,MATCH(N431,$M$2:$M$1705,0)),"")</f>
        <v/>
      </c>
      <c r="P431" s="1" t="str">
        <f>IF(O431&lt;&gt;"",ROWS($O$2:O431),"")</f>
        <v/>
      </c>
    </row>
    <row r="432" spans="1:16" x14ac:dyDescent="0.2">
      <c r="A432" s="1">
        <f>WorldCupMatches!O432</f>
        <v>1990</v>
      </c>
      <c r="B432" s="1" t="str">
        <f>WorldCupMatches!P432</f>
        <v>Brazil</v>
      </c>
      <c r="C432" s="1">
        <f>WorldCupMatches!Q432</f>
        <v>1</v>
      </c>
      <c r="D432" s="1">
        <f>WorldCupMatches!R432</f>
        <v>0</v>
      </c>
      <c r="E432" s="1" t="str">
        <f>WorldCupMatches!S432</f>
        <v>Costa Rica</v>
      </c>
      <c r="F432" s="1" t="str">
        <f>WorldCupMatches!T432</f>
        <v xml:space="preserve"> </v>
      </c>
      <c r="G432" s="1" t="str">
        <f>WorldCupMatches!U432</f>
        <v>Group stages</v>
      </c>
      <c r="J432" s="1">
        <f>COUNTIF($L$2:L432,L432)</f>
        <v>47</v>
      </c>
      <c r="K432" s="1">
        <f>Table3[[#This Row],[Year]]</f>
        <v>1990</v>
      </c>
      <c r="L432" s="1" t="str">
        <f>Table3[[#This Row],[Hometeam]]</f>
        <v>Brazil</v>
      </c>
      <c r="M432" s="1" t="str">
        <f>IF(J432=1,J432+ROWS($J$2:J432)/10000,"")</f>
        <v/>
      </c>
      <c r="N432" s="1" t="str">
        <f>IFERROR(SMALL($M$2:$M$1705,ROWS($M$2:M432)),"")</f>
        <v/>
      </c>
      <c r="O432" s="1" t="str">
        <f>IF(N432&lt;&gt;"",INDEX($L$2:$L$1705,MATCH(N432,$M$2:$M$1705,0)),"")</f>
        <v/>
      </c>
      <c r="P432" s="1" t="str">
        <f>IF(O432&lt;&gt;"",ROWS($O$2:O432),"")</f>
        <v/>
      </c>
    </row>
    <row r="433" spans="1:16" x14ac:dyDescent="0.2">
      <c r="A433" s="1">
        <f>WorldCupMatches!O433</f>
        <v>1990</v>
      </c>
      <c r="B433" s="1" t="str">
        <f>WorldCupMatches!P433</f>
        <v>Sweden</v>
      </c>
      <c r="C433" s="1">
        <f>WorldCupMatches!Q433</f>
        <v>1</v>
      </c>
      <c r="D433" s="1">
        <f>WorldCupMatches!R433</f>
        <v>2</v>
      </c>
      <c r="E433" s="1" t="str">
        <f>WorldCupMatches!S433</f>
        <v>Scotland</v>
      </c>
      <c r="F433" s="1" t="str">
        <f>WorldCupMatches!T433</f>
        <v xml:space="preserve"> </v>
      </c>
      <c r="G433" s="1" t="str">
        <f>WorldCupMatches!U433</f>
        <v>Group stages</v>
      </c>
      <c r="J433" s="1">
        <f>COUNTIF($L$2:L433,L433)</f>
        <v>18</v>
      </c>
      <c r="K433" s="1">
        <f>Table3[[#This Row],[Year]]</f>
        <v>1990</v>
      </c>
      <c r="L433" s="1" t="str">
        <f>Table3[[#This Row],[Hometeam]]</f>
        <v>Sweden</v>
      </c>
      <c r="M433" s="1" t="str">
        <f>IF(J433=1,J433+ROWS($J$2:J433)/10000,"")</f>
        <v/>
      </c>
      <c r="N433" s="1" t="str">
        <f>IFERROR(SMALL($M$2:$M$1705,ROWS($M$2:M433)),"")</f>
        <v/>
      </c>
      <c r="O433" s="1" t="str">
        <f>IF(N433&lt;&gt;"",INDEX($L$2:$L$1705,MATCH(N433,$M$2:$M$1705,0)),"")</f>
        <v/>
      </c>
      <c r="P433" s="1" t="str">
        <f>IF(O433&lt;&gt;"",ROWS($O$2:O433),"")</f>
        <v/>
      </c>
    </row>
    <row r="434" spans="1:16" x14ac:dyDescent="0.2">
      <c r="A434" s="1">
        <f>WorldCupMatches!O434</f>
        <v>1990</v>
      </c>
      <c r="B434" s="1" t="str">
        <f>WorldCupMatches!P434</f>
        <v>England</v>
      </c>
      <c r="C434" s="1">
        <f>WorldCupMatches!Q434</f>
        <v>0</v>
      </c>
      <c r="D434" s="1">
        <f>WorldCupMatches!R434</f>
        <v>0</v>
      </c>
      <c r="E434" s="1" t="str">
        <f>WorldCupMatches!S434</f>
        <v>Netherlands</v>
      </c>
      <c r="F434" s="1" t="str">
        <f>WorldCupMatches!T434</f>
        <v xml:space="preserve"> </v>
      </c>
      <c r="G434" s="1" t="str">
        <f>WorldCupMatches!U434</f>
        <v>Group stages</v>
      </c>
      <c r="J434" s="1">
        <f>COUNTIF($L$2:L434,L434)</f>
        <v>22</v>
      </c>
      <c r="K434" s="1">
        <f>Table3[[#This Row],[Year]]</f>
        <v>1990</v>
      </c>
      <c r="L434" s="1" t="str">
        <f>Table3[[#This Row],[Hometeam]]</f>
        <v>England</v>
      </c>
      <c r="M434" s="1" t="str">
        <f>IF(J434=1,J434+ROWS($J$2:J434)/10000,"")</f>
        <v/>
      </c>
      <c r="N434" s="1" t="str">
        <f>IFERROR(SMALL($M$2:$M$1705,ROWS($M$2:M434)),"")</f>
        <v/>
      </c>
      <c r="O434" s="1" t="str">
        <f>IF(N434&lt;&gt;"",INDEX($L$2:$L$1705,MATCH(N434,$M$2:$M$1705,0)),"")</f>
        <v/>
      </c>
      <c r="P434" s="1" t="str">
        <f>IF(O434&lt;&gt;"",ROWS($O$2:O434),"")</f>
        <v/>
      </c>
    </row>
    <row r="435" spans="1:16" x14ac:dyDescent="0.2">
      <c r="A435" s="1">
        <f>WorldCupMatches!O435</f>
        <v>1990</v>
      </c>
      <c r="B435" s="1" t="str">
        <f>WorldCupMatches!P435</f>
        <v>Republic of Ireland</v>
      </c>
      <c r="C435" s="1">
        <f>WorldCupMatches!Q435</f>
        <v>0</v>
      </c>
      <c r="D435" s="1">
        <f>WorldCupMatches!R435</f>
        <v>0</v>
      </c>
      <c r="E435" s="1" t="str">
        <f>WorldCupMatches!S435</f>
        <v>Egypt</v>
      </c>
      <c r="F435" s="1" t="str">
        <f>WorldCupMatches!T435</f>
        <v xml:space="preserve"> </v>
      </c>
      <c r="G435" s="1" t="str">
        <f>WorldCupMatches!U435</f>
        <v>Group stages</v>
      </c>
      <c r="J435" s="1">
        <f>COUNTIF($L$2:L435,L435)</f>
        <v>1</v>
      </c>
      <c r="K435" s="1">
        <f>Table3[[#This Row],[Year]]</f>
        <v>1990</v>
      </c>
      <c r="L435" s="1" t="str">
        <f>Table3[[#This Row],[Hometeam]]</f>
        <v>Republic of Ireland</v>
      </c>
      <c r="M435" s="1">
        <f>IF(J435=1,J435+ROWS($J$2:J435)/10000,"")</f>
        <v>1.0434000000000001</v>
      </c>
      <c r="N435" s="1" t="str">
        <f>IFERROR(SMALL($M$2:$M$1705,ROWS($M$2:M435)),"")</f>
        <v/>
      </c>
      <c r="O435" s="1" t="str">
        <f>IF(N435&lt;&gt;"",INDEX($L$2:$L$1705,MATCH(N435,$M$2:$M$1705,0)),"")</f>
        <v/>
      </c>
      <c r="P435" s="1" t="str">
        <f>IF(O435&lt;&gt;"",ROWS($O$2:O435),"")</f>
        <v/>
      </c>
    </row>
    <row r="436" spans="1:16" x14ac:dyDescent="0.2">
      <c r="A436" s="1">
        <f>WorldCupMatches!O436</f>
        <v>1990</v>
      </c>
      <c r="B436" s="1" t="str">
        <f>WorldCupMatches!P436</f>
        <v>Korea Republic</v>
      </c>
      <c r="C436" s="1">
        <f>WorldCupMatches!Q436</f>
        <v>1</v>
      </c>
      <c r="D436" s="1">
        <f>WorldCupMatches!R436</f>
        <v>3</v>
      </c>
      <c r="E436" s="1" t="str">
        <f>WorldCupMatches!S436</f>
        <v>Spain</v>
      </c>
      <c r="F436" s="1" t="str">
        <f>WorldCupMatches!T436</f>
        <v xml:space="preserve"> </v>
      </c>
      <c r="G436" s="1" t="str">
        <f>WorldCupMatches!U436</f>
        <v>Group stages</v>
      </c>
      <c r="J436" s="1">
        <f>COUNTIF($L$2:L436,L436)</f>
        <v>3</v>
      </c>
      <c r="K436" s="1">
        <f>Table3[[#This Row],[Year]]</f>
        <v>1990</v>
      </c>
      <c r="L436" s="1" t="str">
        <f>Table3[[#This Row],[Hometeam]]</f>
        <v>Korea Republic</v>
      </c>
      <c r="M436" s="1" t="str">
        <f>IF(J436=1,J436+ROWS($J$2:J436)/10000,"")</f>
        <v/>
      </c>
      <c r="N436" s="1" t="str">
        <f>IFERROR(SMALL($M$2:$M$1705,ROWS($M$2:M436)),"")</f>
        <v/>
      </c>
      <c r="O436" s="1" t="str">
        <f>IF(N436&lt;&gt;"",INDEX($L$2:$L$1705,MATCH(N436,$M$2:$M$1705,0)),"")</f>
        <v/>
      </c>
      <c r="P436" s="1" t="str">
        <f>IF(O436&lt;&gt;"",ROWS($O$2:O436),"")</f>
        <v/>
      </c>
    </row>
    <row r="437" spans="1:16" x14ac:dyDescent="0.2">
      <c r="A437" s="1">
        <f>WorldCupMatches!O437</f>
        <v>1990</v>
      </c>
      <c r="B437" s="1" t="str">
        <f>WorldCupMatches!P437</f>
        <v>Belgium</v>
      </c>
      <c r="C437" s="1">
        <f>WorldCupMatches!Q437</f>
        <v>3</v>
      </c>
      <c r="D437" s="1">
        <f>WorldCupMatches!R437</f>
        <v>1</v>
      </c>
      <c r="E437" s="1" t="str">
        <f>WorldCupMatches!S437</f>
        <v>Uruguay</v>
      </c>
      <c r="F437" s="1" t="str">
        <f>WorldCupMatches!T437</f>
        <v xml:space="preserve"> </v>
      </c>
      <c r="G437" s="1" t="str">
        <f>WorldCupMatches!U437</f>
        <v>Group stages</v>
      </c>
      <c r="J437" s="1">
        <f>COUNTIF($L$2:L437,L437)</f>
        <v>7</v>
      </c>
      <c r="K437" s="1">
        <f>Table3[[#This Row],[Year]]</f>
        <v>1990</v>
      </c>
      <c r="L437" s="1" t="str">
        <f>Table3[[#This Row],[Hometeam]]</f>
        <v>Belgium</v>
      </c>
      <c r="M437" s="1" t="str">
        <f>IF(J437=1,J437+ROWS($J$2:J437)/10000,"")</f>
        <v/>
      </c>
      <c r="N437" s="1" t="str">
        <f>IFERROR(SMALL($M$2:$M$1705,ROWS($M$2:M437)),"")</f>
        <v/>
      </c>
      <c r="O437" s="1" t="str">
        <f>IF(N437&lt;&gt;"",INDEX($L$2:$L$1705,MATCH(N437,$M$2:$M$1705,0)),"")</f>
        <v/>
      </c>
      <c r="P437" s="1" t="str">
        <f>IF(O437&lt;&gt;"",ROWS($O$2:O437),"")</f>
        <v/>
      </c>
    </row>
    <row r="438" spans="1:16" x14ac:dyDescent="0.2">
      <c r="A438" s="1">
        <f>WorldCupMatches!O438</f>
        <v>1990</v>
      </c>
      <c r="B438" s="1" t="str">
        <f>WorldCupMatches!P438</f>
        <v>Argentina</v>
      </c>
      <c r="C438" s="1">
        <f>WorldCupMatches!Q438</f>
        <v>1</v>
      </c>
      <c r="D438" s="1">
        <f>WorldCupMatches!R438</f>
        <v>1</v>
      </c>
      <c r="E438" s="1" t="str">
        <f>WorldCupMatches!S438</f>
        <v>Romania</v>
      </c>
      <c r="F438" s="1" t="str">
        <f>WorldCupMatches!T438</f>
        <v xml:space="preserve"> </v>
      </c>
      <c r="G438" s="1" t="str">
        <f>WorldCupMatches!U438</f>
        <v>Group stages</v>
      </c>
      <c r="J438" s="1">
        <f>COUNTIF($L$2:L438,L438)</f>
        <v>32</v>
      </c>
      <c r="K438" s="1">
        <f>Table3[[#This Row],[Year]]</f>
        <v>1990</v>
      </c>
      <c r="L438" s="1" t="str">
        <f>Table3[[#This Row],[Hometeam]]</f>
        <v>Argentina</v>
      </c>
      <c r="M438" s="1" t="str">
        <f>IF(J438=1,J438+ROWS($J$2:J438)/10000,"")</f>
        <v/>
      </c>
      <c r="N438" s="1" t="str">
        <f>IFERROR(SMALL($M$2:$M$1705,ROWS($M$2:M438)),"")</f>
        <v/>
      </c>
      <c r="O438" s="1" t="str">
        <f>IF(N438&lt;&gt;"",INDEX($L$2:$L$1705,MATCH(N438,$M$2:$M$1705,0)),"")</f>
        <v/>
      </c>
      <c r="P438" s="1" t="str">
        <f>IF(O438&lt;&gt;"",ROWS($O$2:O438),"")</f>
        <v/>
      </c>
    </row>
    <row r="439" spans="1:16" x14ac:dyDescent="0.2">
      <c r="A439" s="1">
        <f>WorldCupMatches!O439</f>
        <v>1990</v>
      </c>
      <c r="B439" s="1" t="str">
        <f>WorldCupMatches!P439</f>
        <v>Cameroon</v>
      </c>
      <c r="C439" s="1">
        <f>WorldCupMatches!Q439</f>
        <v>0</v>
      </c>
      <c r="D439" s="1">
        <f>WorldCupMatches!R439</f>
        <v>4</v>
      </c>
      <c r="E439" s="1" t="str">
        <f>WorldCupMatches!S439</f>
        <v>Soviet Union</v>
      </c>
      <c r="F439" s="1" t="str">
        <f>WorldCupMatches!T439</f>
        <v xml:space="preserve"> </v>
      </c>
      <c r="G439" s="1" t="str">
        <f>WorldCupMatches!U439</f>
        <v>Group stages</v>
      </c>
      <c r="J439" s="1">
        <f>COUNTIF($L$2:L439,L439)</f>
        <v>2</v>
      </c>
      <c r="K439" s="1">
        <f>Table3[[#This Row],[Year]]</f>
        <v>1990</v>
      </c>
      <c r="L439" s="1" t="str">
        <f>Table3[[#This Row],[Hometeam]]</f>
        <v>Cameroon</v>
      </c>
      <c r="M439" s="1" t="str">
        <f>IF(J439=1,J439+ROWS($J$2:J439)/10000,"")</f>
        <v/>
      </c>
      <c r="N439" s="1" t="str">
        <f>IFERROR(SMALL($M$2:$M$1705,ROWS($M$2:M439)),"")</f>
        <v/>
      </c>
      <c r="O439" s="1" t="str">
        <f>IF(N439&lt;&gt;"",INDEX($L$2:$L$1705,MATCH(N439,$M$2:$M$1705,0)),"")</f>
        <v/>
      </c>
      <c r="P439" s="1" t="str">
        <f>IF(O439&lt;&gt;"",ROWS($O$2:O439),"")</f>
        <v/>
      </c>
    </row>
    <row r="440" spans="1:16" x14ac:dyDescent="0.2">
      <c r="A440" s="1">
        <f>WorldCupMatches!O440</f>
        <v>1990</v>
      </c>
      <c r="B440" s="1" t="str">
        <f>WorldCupMatches!P440</f>
        <v>Germany FR</v>
      </c>
      <c r="C440" s="1">
        <f>WorldCupMatches!Q440</f>
        <v>1</v>
      </c>
      <c r="D440" s="1">
        <f>WorldCupMatches!R440</f>
        <v>1</v>
      </c>
      <c r="E440" s="1" t="str">
        <f>WorldCupMatches!S440</f>
        <v>Colombia</v>
      </c>
      <c r="F440" s="1" t="str">
        <f>WorldCupMatches!T440</f>
        <v xml:space="preserve"> </v>
      </c>
      <c r="G440" s="1" t="str">
        <f>WorldCupMatches!U440</f>
        <v>Group stages</v>
      </c>
      <c r="J440" s="1">
        <f>COUNTIF($L$2:L440,L440)</f>
        <v>39</v>
      </c>
      <c r="K440" s="1">
        <f>Table3[[#This Row],[Year]]</f>
        <v>1990</v>
      </c>
      <c r="L440" s="1" t="str">
        <f>Table3[[#This Row],[Hometeam]]</f>
        <v>Germany FR</v>
      </c>
      <c r="M440" s="1" t="str">
        <f>IF(J440=1,J440+ROWS($J$2:J440)/10000,"")</f>
        <v/>
      </c>
      <c r="N440" s="1" t="str">
        <f>IFERROR(SMALL($M$2:$M$1705,ROWS($M$2:M440)),"")</f>
        <v/>
      </c>
      <c r="O440" s="1" t="str">
        <f>IF(N440&lt;&gt;"",INDEX($L$2:$L$1705,MATCH(N440,$M$2:$M$1705,0)),"")</f>
        <v/>
      </c>
      <c r="P440" s="1" t="str">
        <f>IF(O440&lt;&gt;"",ROWS($O$2:O440),"")</f>
        <v/>
      </c>
    </row>
    <row r="441" spans="1:16" x14ac:dyDescent="0.2">
      <c r="A441" s="1">
        <f>WorldCupMatches!O441</f>
        <v>1990</v>
      </c>
      <c r="B441" s="1" t="str">
        <f>WorldCupMatches!P441</f>
        <v>Yugoslavia</v>
      </c>
      <c r="C441" s="1">
        <f>WorldCupMatches!Q441</f>
        <v>4</v>
      </c>
      <c r="D441" s="1">
        <f>WorldCupMatches!R441</f>
        <v>1</v>
      </c>
      <c r="E441" s="1" t="str">
        <f>WorldCupMatches!S441</f>
        <v>United Arab Emirates</v>
      </c>
      <c r="F441" s="1" t="str">
        <f>WorldCupMatches!T441</f>
        <v xml:space="preserve"> </v>
      </c>
      <c r="G441" s="1" t="str">
        <f>WorldCupMatches!U441</f>
        <v>Group stages</v>
      </c>
      <c r="J441" s="1">
        <f>COUNTIF($L$2:L441,L441)</f>
        <v>15</v>
      </c>
      <c r="K441" s="1">
        <f>Table3[[#This Row],[Year]]</f>
        <v>1990</v>
      </c>
      <c r="L441" s="1" t="str">
        <f>Table3[[#This Row],[Hometeam]]</f>
        <v>Yugoslavia</v>
      </c>
      <c r="M441" s="1" t="str">
        <f>IF(J441=1,J441+ROWS($J$2:J441)/10000,"")</f>
        <v/>
      </c>
      <c r="N441" s="1" t="str">
        <f>IFERROR(SMALL($M$2:$M$1705,ROWS($M$2:M441)),"")</f>
        <v/>
      </c>
      <c r="O441" s="1" t="str">
        <f>IF(N441&lt;&gt;"",INDEX($L$2:$L$1705,MATCH(N441,$M$2:$M$1705,0)),"")</f>
        <v/>
      </c>
      <c r="P441" s="1" t="str">
        <f>IF(O441&lt;&gt;"",ROWS($O$2:O441),"")</f>
        <v/>
      </c>
    </row>
    <row r="442" spans="1:16" x14ac:dyDescent="0.2">
      <c r="A442" s="1">
        <f>WorldCupMatches!O442</f>
        <v>1990</v>
      </c>
      <c r="B442" s="1" t="str">
        <f>WorldCupMatches!P442</f>
        <v>Italy</v>
      </c>
      <c r="C442" s="1">
        <f>WorldCupMatches!Q442</f>
        <v>2</v>
      </c>
      <c r="D442" s="1">
        <f>WorldCupMatches!R442</f>
        <v>0</v>
      </c>
      <c r="E442" s="1" t="str">
        <f>WorldCupMatches!S442</f>
        <v>Czechoslovakia</v>
      </c>
      <c r="F442" s="1" t="str">
        <f>WorldCupMatches!T442</f>
        <v xml:space="preserve"> </v>
      </c>
      <c r="G442" s="1" t="str">
        <f>WorldCupMatches!U442</f>
        <v>Group stages</v>
      </c>
      <c r="J442" s="1">
        <f>COUNTIF($L$2:L442,L442)</f>
        <v>33</v>
      </c>
      <c r="K442" s="1">
        <f>Table3[[#This Row],[Year]]</f>
        <v>1990</v>
      </c>
      <c r="L442" s="1" t="str">
        <f>Table3[[#This Row],[Hometeam]]</f>
        <v>Italy</v>
      </c>
      <c r="M442" s="1" t="str">
        <f>IF(J442=1,J442+ROWS($J$2:J442)/10000,"")</f>
        <v/>
      </c>
      <c r="N442" s="1" t="str">
        <f>IFERROR(SMALL($M$2:$M$1705,ROWS($M$2:M442)),"")</f>
        <v/>
      </c>
      <c r="O442" s="1" t="str">
        <f>IF(N442&lt;&gt;"",INDEX($L$2:$L$1705,MATCH(N442,$M$2:$M$1705,0)),"")</f>
        <v/>
      </c>
      <c r="P442" s="1" t="str">
        <f>IF(O442&lt;&gt;"",ROWS($O$2:O442),"")</f>
        <v/>
      </c>
    </row>
    <row r="443" spans="1:16" x14ac:dyDescent="0.2">
      <c r="A443" s="1">
        <f>WorldCupMatches!O443</f>
        <v>1990</v>
      </c>
      <c r="B443" s="1" t="str">
        <f>WorldCupMatches!P443</f>
        <v>Austria</v>
      </c>
      <c r="C443" s="1">
        <f>WorldCupMatches!Q443</f>
        <v>2</v>
      </c>
      <c r="D443" s="1">
        <f>WorldCupMatches!R443</f>
        <v>1</v>
      </c>
      <c r="E443" s="1" t="str">
        <f>WorldCupMatches!S443</f>
        <v>USA</v>
      </c>
      <c r="F443" s="1" t="str">
        <f>WorldCupMatches!T443</f>
        <v xml:space="preserve"> </v>
      </c>
      <c r="G443" s="1" t="str">
        <f>WorldCupMatches!U443</f>
        <v>Group stages</v>
      </c>
      <c r="J443" s="1">
        <f>COUNTIF($L$2:L443,L443)</f>
        <v>13</v>
      </c>
      <c r="K443" s="1">
        <f>Table3[[#This Row],[Year]]</f>
        <v>1990</v>
      </c>
      <c r="L443" s="1" t="str">
        <f>Table3[[#This Row],[Hometeam]]</f>
        <v>Austria</v>
      </c>
      <c r="M443" s="1" t="str">
        <f>IF(J443=1,J443+ROWS($J$2:J443)/10000,"")</f>
        <v/>
      </c>
      <c r="N443" s="1" t="str">
        <f>IFERROR(SMALL($M$2:$M$1705,ROWS($M$2:M443)),"")</f>
        <v/>
      </c>
      <c r="O443" s="1" t="str">
        <f>IF(N443&lt;&gt;"",INDEX($L$2:$L$1705,MATCH(N443,$M$2:$M$1705,0)),"")</f>
        <v/>
      </c>
      <c r="P443" s="1" t="str">
        <f>IF(O443&lt;&gt;"",ROWS($O$2:O443),"")</f>
        <v/>
      </c>
    </row>
    <row r="444" spans="1:16" x14ac:dyDescent="0.2">
      <c r="A444" s="1">
        <f>WorldCupMatches!O444</f>
        <v>1990</v>
      </c>
      <c r="B444" s="1" t="str">
        <f>WorldCupMatches!P444</f>
        <v>Brazil</v>
      </c>
      <c r="C444" s="1">
        <f>WorldCupMatches!Q444</f>
        <v>1</v>
      </c>
      <c r="D444" s="1">
        <f>WorldCupMatches!R444</f>
        <v>0</v>
      </c>
      <c r="E444" s="1" t="str">
        <f>WorldCupMatches!S444</f>
        <v>Scotland</v>
      </c>
      <c r="F444" s="1" t="str">
        <f>WorldCupMatches!T444</f>
        <v xml:space="preserve"> </v>
      </c>
      <c r="G444" s="1" t="str">
        <f>WorldCupMatches!U444</f>
        <v>Group stages</v>
      </c>
      <c r="J444" s="1">
        <f>COUNTIF($L$2:L444,L444)</f>
        <v>48</v>
      </c>
      <c r="K444" s="1">
        <f>Table3[[#This Row],[Year]]</f>
        <v>1990</v>
      </c>
      <c r="L444" s="1" t="str">
        <f>Table3[[#This Row],[Hometeam]]</f>
        <v>Brazil</v>
      </c>
      <c r="M444" s="1" t="str">
        <f>IF(J444=1,J444+ROWS($J$2:J444)/10000,"")</f>
        <v/>
      </c>
      <c r="N444" s="1" t="str">
        <f>IFERROR(SMALL($M$2:$M$1705,ROWS($M$2:M444)),"")</f>
        <v/>
      </c>
      <c r="O444" s="1" t="str">
        <f>IF(N444&lt;&gt;"",INDEX($L$2:$L$1705,MATCH(N444,$M$2:$M$1705,0)),"")</f>
        <v/>
      </c>
      <c r="P444" s="1" t="str">
        <f>IF(O444&lt;&gt;"",ROWS($O$2:O444),"")</f>
        <v/>
      </c>
    </row>
    <row r="445" spans="1:16" x14ac:dyDescent="0.2">
      <c r="A445" s="1">
        <f>WorldCupMatches!O445</f>
        <v>1990</v>
      </c>
      <c r="B445" s="1" t="str">
        <f>WorldCupMatches!P445</f>
        <v>Sweden</v>
      </c>
      <c r="C445" s="1">
        <f>WorldCupMatches!Q445</f>
        <v>1</v>
      </c>
      <c r="D445" s="1">
        <f>WorldCupMatches!R445</f>
        <v>2</v>
      </c>
      <c r="E445" s="1" t="str">
        <f>WorldCupMatches!S445</f>
        <v>Costa Rica</v>
      </c>
      <c r="F445" s="1" t="str">
        <f>WorldCupMatches!T445</f>
        <v xml:space="preserve"> </v>
      </c>
      <c r="G445" s="1" t="str">
        <f>WorldCupMatches!U445</f>
        <v>Group stages</v>
      </c>
      <c r="J445" s="1">
        <f>COUNTIF($L$2:L445,L445)</f>
        <v>19</v>
      </c>
      <c r="K445" s="1">
        <f>Table3[[#This Row],[Year]]</f>
        <v>1990</v>
      </c>
      <c r="L445" s="1" t="str">
        <f>Table3[[#This Row],[Hometeam]]</f>
        <v>Sweden</v>
      </c>
      <c r="M445" s="1" t="str">
        <f>IF(J445=1,J445+ROWS($J$2:J445)/10000,"")</f>
        <v/>
      </c>
      <c r="N445" s="1" t="str">
        <f>IFERROR(SMALL($M$2:$M$1705,ROWS($M$2:M445)),"")</f>
        <v/>
      </c>
      <c r="O445" s="1" t="str">
        <f>IF(N445&lt;&gt;"",INDEX($L$2:$L$1705,MATCH(N445,$M$2:$M$1705,0)),"")</f>
        <v/>
      </c>
      <c r="P445" s="1" t="str">
        <f>IF(O445&lt;&gt;"",ROWS($O$2:O445),"")</f>
        <v/>
      </c>
    </row>
    <row r="446" spans="1:16" x14ac:dyDescent="0.2">
      <c r="A446" s="1">
        <f>WorldCupMatches!O446</f>
        <v>1990</v>
      </c>
      <c r="B446" s="1" t="str">
        <f>WorldCupMatches!P446</f>
        <v>Korea Republic</v>
      </c>
      <c r="C446" s="1">
        <f>WorldCupMatches!Q446</f>
        <v>0</v>
      </c>
      <c r="D446" s="1">
        <f>WorldCupMatches!R446</f>
        <v>1</v>
      </c>
      <c r="E446" s="1" t="str">
        <f>WorldCupMatches!S446</f>
        <v>Uruguay</v>
      </c>
      <c r="F446" s="1" t="str">
        <f>WorldCupMatches!T446</f>
        <v xml:space="preserve"> </v>
      </c>
      <c r="G446" s="1" t="str">
        <f>WorldCupMatches!U446</f>
        <v>Group stages</v>
      </c>
      <c r="J446" s="1">
        <f>COUNTIF($L$2:L446,L446)</f>
        <v>4</v>
      </c>
      <c r="K446" s="1">
        <f>Table3[[#This Row],[Year]]</f>
        <v>1990</v>
      </c>
      <c r="L446" s="1" t="str">
        <f>Table3[[#This Row],[Hometeam]]</f>
        <v>Korea Republic</v>
      </c>
      <c r="M446" s="1" t="str">
        <f>IF(J446=1,J446+ROWS($J$2:J446)/10000,"")</f>
        <v/>
      </c>
      <c r="N446" s="1" t="str">
        <f>IFERROR(SMALL($M$2:$M$1705,ROWS($M$2:M446)),"")</f>
        <v/>
      </c>
      <c r="O446" s="1" t="str">
        <f>IF(N446&lt;&gt;"",INDEX($L$2:$L$1705,MATCH(N446,$M$2:$M$1705,0)),"")</f>
        <v/>
      </c>
      <c r="P446" s="1" t="str">
        <f>IF(O446&lt;&gt;"",ROWS($O$2:O446),"")</f>
        <v/>
      </c>
    </row>
    <row r="447" spans="1:16" x14ac:dyDescent="0.2">
      <c r="A447" s="1">
        <f>WorldCupMatches!O447</f>
        <v>1990</v>
      </c>
      <c r="B447" s="1" t="str">
        <f>WorldCupMatches!P447</f>
        <v>Belgium</v>
      </c>
      <c r="C447" s="1">
        <f>WorldCupMatches!Q447</f>
        <v>1</v>
      </c>
      <c r="D447" s="1">
        <f>WorldCupMatches!R447</f>
        <v>2</v>
      </c>
      <c r="E447" s="1" t="str">
        <f>WorldCupMatches!S447</f>
        <v>Spain</v>
      </c>
      <c r="F447" s="1" t="str">
        <f>WorldCupMatches!T447</f>
        <v xml:space="preserve"> </v>
      </c>
      <c r="G447" s="1" t="str">
        <f>WorldCupMatches!U447</f>
        <v>Group stages</v>
      </c>
      <c r="J447" s="1">
        <f>COUNTIF($L$2:L447,L447)</f>
        <v>8</v>
      </c>
      <c r="K447" s="1">
        <f>Table3[[#This Row],[Year]]</f>
        <v>1990</v>
      </c>
      <c r="L447" s="1" t="str">
        <f>Table3[[#This Row],[Hometeam]]</f>
        <v>Belgium</v>
      </c>
      <c r="M447" s="1" t="str">
        <f>IF(J447=1,J447+ROWS($J$2:J447)/10000,"")</f>
        <v/>
      </c>
      <c r="N447" s="1" t="str">
        <f>IFERROR(SMALL($M$2:$M$1705,ROWS($M$2:M447)),"")</f>
        <v/>
      </c>
      <c r="O447" s="1" t="str">
        <f>IF(N447&lt;&gt;"",INDEX($L$2:$L$1705,MATCH(N447,$M$2:$M$1705,0)),"")</f>
        <v/>
      </c>
      <c r="P447" s="1" t="str">
        <f>IF(O447&lt;&gt;"",ROWS($O$2:O447),"")</f>
        <v/>
      </c>
    </row>
    <row r="448" spans="1:16" x14ac:dyDescent="0.2">
      <c r="A448" s="1">
        <f>WorldCupMatches!O448</f>
        <v>1990</v>
      </c>
      <c r="B448" s="1" t="str">
        <f>WorldCupMatches!P448</f>
        <v>Republic of Ireland</v>
      </c>
      <c r="C448" s="1">
        <f>WorldCupMatches!Q448</f>
        <v>1</v>
      </c>
      <c r="D448" s="1">
        <f>WorldCupMatches!R448</f>
        <v>1</v>
      </c>
      <c r="E448" s="1" t="str">
        <f>WorldCupMatches!S448</f>
        <v>Netherlands</v>
      </c>
      <c r="F448" s="1" t="str">
        <f>WorldCupMatches!T448</f>
        <v xml:space="preserve"> </v>
      </c>
      <c r="G448" s="1" t="str">
        <f>WorldCupMatches!U448</f>
        <v>Group stages</v>
      </c>
      <c r="J448" s="1">
        <f>COUNTIF($L$2:L448,L448)</f>
        <v>2</v>
      </c>
      <c r="K448" s="1">
        <f>Table3[[#This Row],[Year]]</f>
        <v>1990</v>
      </c>
      <c r="L448" s="1" t="str">
        <f>Table3[[#This Row],[Hometeam]]</f>
        <v>Republic of Ireland</v>
      </c>
      <c r="M448" s="1" t="str">
        <f>IF(J448=1,J448+ROWS($J$2:J448)/10000,"")</f>
        <v/>
      </c>
      <c r="N448" s="1" t="str">
        <f>IFERROR(SMALL($M$2:$M$1705,ROWS($M$2:M448)),"")</f>
        <v/>
      </c>
      <c r="O448" s="1" t="str">
        <f>IF(N448&lt;&gt;"",INDEX($L$2:$L$1705,MATCH(N448,$M$2:$M$1705,0)),"")</f>
        <v/>
      </c>
      <c r="P448" s="1" t="str">
        <f>IF(O448&lt;&gt;"",ROWS($O$2:O448),"")</f>
        <v/>
      </c>
    </row>
    <row r="449" spans="1:16" x14ac:dyDescent="0.2">
      <c r="A449" s="1">
        <f>WorldCupMatches!O449</f>
        <v>1990</v>
      </c>
      <c r="B449" s="1" t="str">
        <f>WorldCupMatches!P449</f>
        <v>England</v>
      </c>
      <c r="C449" s="1">
        <f>WorldCupMatches!Q449</f>
        <v>1</v>
      </c>
      <c r="D449" s="1">
        <f>WorldCupMatches!R449</f>
        <v>0</v>
      </c>
      <c r="E449" s="1" t="str">
        <f>WorldCupMatches!S449</f>
        <v>Egypt</v>
      </c>
      <c r="F449" s="1" t="str">
        <f>WorldCupMatches!T449</f>
        <v xml:space="preserve"> </v>
      </c>
      <c r="G449" s="1" t="str">
        <f>WorldCupMatches!U449</f>
        <v>Group stages</v>
      </c>
      <c r="J449" s="1">
        <f>COUNTIF($L$2:L449,L449)</f>
        <v>23</v>
      </c>
      <c r="K449" s="1">
        <f>Table3[[#This Row],[Year]]</f>
        <v>1990</v>
      </c>
      <c r="L449" s="1" t="str">
        <f>Table3[[#This Row],[Hometeam]]</f>
        <v>England</v>
      </c>
      <c r="M449" s="1" t="str">
        <f>IF(J449=1,J449+ROWS($J$2:J449)/10000,"")</f>
        <v/>
      </c>
      <c r="N449" s="1" t="str">
        <f>IFERROR(SMALL($M$2:$M$1705,ROWS($M$2:M449)),"")</f>
        <v/>
      </c>
      <c r="O449" s="1" t="str">
        <f>IF(N449&lt;&gt;"",INDEX($L$2:$L$1705,MATCH(N449,$M$2:$M$1705,0)),"")</f>
        <v/>
      </c>
      <c r="P449" s="1" t="str">
        <f>IF(O449&lt;&gt;"",ROWS($O$2:O449),"")</f>
        <v/>
      </c>
    </row>
    <row r="450" spans="1:16" x14ac:dyDescent="0.2">
      <c r="A450" s="1">
        <f>WorldCupMatches!O450</f>
        <v>1990</v>
      </c>
      <c r="B450" s="1" t="str">
        <f>WorldCupMatches!P450</f>
        <v>Cameroon</v>
      </c>
      <c r="C450" s="1">
        <f>WorldCupMatches!Q450</f>
        <v>2</v>
      </c>
      <c r="D450" s="1">
        <f>WorldCupMatches!R450</f>
        <v>1</v>
      </c>
      <c r="E450" s="1" t="str">
        <f>WorldCupMatches!S450</f>
        <v>Colombia</v>
      </c>
      <c r="F450" s="1" t="str">
        <f>WorldCupMatches!T450</f>
        <v xml:space="preserve">Cameroon win after extra time </v>
      </c>
      <c r="G450" s="1" t="str">
        <f>WorldCupMatches!U450</f>
        <v>Round of 16</v>
      </c>
      <c r="J450" s="1">
        <f>COUNTIF($L$2:L450,L450)</f>
        <v>3</v>
      </c>
      <c r="K450" s="1">
        <f>Table3[[#This Row],[Year]]</f>
        <v>1990</v>
      </c>
      <c r="L450" s="1" t="str">
        <f>Table3[[#This Row],[Hometeam]]</f>
        <v>Cameroon</v>
      </c>
      <c r="M450" s="1" t="str">
        <f>IF(J450=1,J450+ROWS($J$2:J450)/10000,"")</f>
        <v/>
      </c>
      <c r="N450" s="1" t="str">
        <f>IFERROR(SMALL($M$2:$M$1705,ROWS($M$2:M450)),"")</f>
        <v/>
      </c>
      <c r="O450" s="1" t="str">
        <f>IF(N450&lt;&gt;"",INDEX($L$2:$L$1705,MATCH(N450,$M$2:$M$1705,0)),"")</f>
        <v/>
      </c>
      <c r="P450" s="1" t="str">
        <f>IF(O450&lt;&gt;"",ROWS($O$2:O450),"")</f>
        <v/>
      </c>
    </row>
    <row r="451" spans="1:16" x14ac:dyDescent="0.2">
      <c r="A451" s="1">
        <f>WorldCupMatches!O451</f>
        <v>1990</v>
      </c>
      <c r="B451" s="1" t="str">
        <f>WorldCupMatches!P451</f>
        <v>Czechoslovakia</v>
      </c>
      <c r="C451" s="1">
        <f>WorldCupMatches!Q451</f>
        <v>4</v>
      </c>
      <c r="D451" s="1">
        <f>WorldCupMatches!R451</f>
        <v>1</v>
      </c>
      <c r="E451" s="1" t="str">
        <f>WorldCupMatches!S451</f>
        <v>Costa Rica</v>
      </c>
      <c r="F451" s="1" t="str">
        <f>WorldCupMatches!T451</f>
        <v xml:space="preserve"> </v>
      </c>
      <c r="G451" s="1" t="str">
        <f>WorldCupMatches!U451</f>
        <v>Round of 16</v>
      </c>
      <c r="J451" s="1">
        <f>COUNTIF($L$2:L451,L451)</f>
        <v>10</v>
      </c>
      <c r="K451" s="1">
        <f>Table3[[#This Row],[Year]]</f>
        <v>1990</v>
      </c>
      <c r="L451" s="1" t="str">
        <f>Table3[[#This Row],[Hometeam]]</f>
        <v>Czechoslovakia</v>
      </c>
      <c r="M451" s="1" t="str">
        <f>IF(J451=1,J451+ROWS($J$2:J451)/10000,"")</f>
        <v/>
      </c>
      <c r="N451" s="1" t="str">
        <f>IFERROR(SMALL($M$2:$M$1705,ROWS($M$2:M451)),"")</f>
        <v/>
      </c>
      <c r="O451" s="1" t="str">
        <f>IF(N451&lt;&gt;"",INDEX($L$2:$L$1705,MATCH(N451,$M$2:$M$1705,0)),"")</f>
        <v/>
      </c>
      <c r="P451" s="1" t="str">
        <f>IF(O451&lt;&gt;"",ROWS($O$2:O451),"")</f>
        <v/>
      </c>
    </row>
    <row r="452" spans="1:16" x14ac:dyDescent="0.2">
      <c r="A452" s="1">
        <f>WorldCupMatches!O452</f>
        <v>1990</v>
      </c>
      <c r="B452" s="1" t="str">
        <f>WorldCupMatches!P452</f>
        <v>Brazil</v>
      </c>
      <c r="C452" s="1">
        <f>WorldCupMatches!Q452</f>
        <v>0</v>
      </c>
      <c r="D452" s="1">
        <f>WorldCupMatches!R452</f>
        <v>1</v>
      </c>
      <c r="E452" s="1" t="str">
        <f>WorldCupMatches!S452</f>
        <v>Argentina</v>
      </c>
      <c r="F452" s="1" t="str">
        <f>WorldCupMatches!T452</f>
        <v xml:space="preserve"> </v>
      </c>
      <c r="G452" s="1" t="str">
        <f>WorldCupMatches!U452</f>
        <v>Round of 16</v>
      </c>
      <c r="J452" s="1">
        <f>COUNTIF($L$2:L452,L452)</f>
        <v>49</v>
      </c>
      <c r="K452" s="1">
        <f>Table3[[#This Row],[Year]]</f>
        <v>1990</v>
      </c>
      <c r="L452" s="1" t="str">
        <f>Table3[[#This Row],[Hometeam]]</f>
        <v>Brazil</v>
      </c>
      <c r="M452" s="1" t="str">
        <f>IF(J452=1,J452+ROWS($J$2:J452)/10000,"")</f>
        <v/>
      </c>
      <c r="N452" s="1" t="str">
        <f>IFERROR(SMALL($M$2:$M$1705,ROWS($M$2:M452)),"")</f>
        <v/>
      </c>
      <c r="O452" s="1" t="str">
        <f>IF(N452&lt;&gt;"",INDEX($L$2:$L$1705,MATCH(N452,$M$2:$M$1705,0)),"")</f>
        <v/>
      </c>
      <c r="P452" s="1" t="str">
        <f>IF(O452&lt;&gt;"",ROWS($O$2:O452),"")</f>
        <v/>
      </c>
    </row>
    <row r="453" spans="1:16" x14ac:dyDescent="0.2">
      <c r="A453" s="1">
        <f>WorldCupMatches!O453</f>
        <v>1990</v>
      </c>
      <c r="B453" s="1" t="str">
        <f>WorldCupMatches!P453</f>
        <v>Germany FR</v>
      </c>
      <c r="C453" s="1">
        <f>WorldCupMatches!Q453</f>
        <v>2</v>
      </c>
      <c r="D453" s="1">
        <f>WorldCupMatches!R453</f>
        <v>1</v>
      </c>
      <c r="E453" s="1" t="str">
        <f>WorldCupMatches!S453</f>
        <v>Netherlands</v>
      </c>
      <c r="F453" s="1" t="str">
        <f>WorldCupMatches!T453</f>
        <v xml:space="preserve"> </v>
      </c>
      <c r="G453" s="1" t="str">
        <f>WorldCupMatches!U453</f>
        <v>Round of 16</v>
      </c>
      <c r="J453" s="1">
        <f>COUNTIF($L$2:L453,L453)</f>
        <v>40</v>
      </c>
      <c r="K453" s="1">
        <f>Table3[[#This Row],[Year]]</f>
        <v>1990</v>
      </c>
      <c r="L453" s="1" t="str">
        <f>Table3[[#This Row],[Hometeam]]</f>
        <v>Germany FR</v>
      </c>
      <c r="M453" s="1" t="str">
        <f>IF(J453=1,J453+ROWS($J$2:J453)/10000,"")</f>
        <v/>
      </c>
      <c r="N453" s="1" t="str">
        <f>IFERROR(SMALL($M$2:$M$1705,ROWS($M$2:M453)),"")</f>
        <v/>
      </c>
      <c r="O453" s="1" t="str">
        <f>IF(N453&lt;&gt;"",INDEX($L$2:$L$1705,MATCH(N453,$M$2:$M$1705,0)),"")</f>
        <v/>
      </c>
      <c r="P453" s="1" t="str">
        <f>IF(O453&lt;&gt;"",ROWS($O$2:O453),"")</f>
        <v/>
      </c>
    </row>
    <row r="454" spans="1:16" x14ac:dyDescent="0.2">
      <c r="A454" s="1">
        <f>WorldCupMatches!O454</f>
        <v>1990</v>
      </c>
      <c r="B454" s="1" t="str">
        <f>WorldCupMatches!P454</f>
        <v>Republic of Ireland</v>
      </c>
      <c r="C454" s="1">
        <f>WorldCupMatches!Q454</f>
        <v>0</v>
      </c>
      <c r="D454" s="1">
        <f>WorldCupMatches!R454</f>
        <v>0</v>
      </c>
      <c r="E454" s="1" t="str">
        <f>WorldCupMatches!S454</f>
        <v>Romania</v>
      </c>
      <c r="F454" s="1" t="str">
        <f>WorldCupMatches!T454</f>
        <v xml:space="preserve">Republic of Ireland win on penalties (5 - 4) </v>
      </c>
      <c r="G454" s="1" t="str">
        <f>WorldCupMatches!U454</f>
        <v>Round of 16</v>
      </c>
      <c r="J454" s="1">
        <f>COUNTIF($L$2:L454,L454)</f>
        <v>3</v>
      </c>
      <c r="K454" s="1">
        <f>Table3[[#This Row],[Year]]</f>
        <v>1990</v>
      </c>
      <c r="L454" s="1" t="str">
        <f>Table3[[#This Row],[Hometeam]]</f>
        <v>Republic of Ireland</v>
      </c>
      <c r="M454" s="1" t="str">
        <f>IF(J454=1,J454+ROWS($J$2:J454)/10000,"")</f>
        <v/>
      </c>
      <c r="N454" s="1" t="str">
        <f>IFERROR(SMALL($M$2:$M$1705,ROWS($M$2:M454)),"")</f>
        <v/>
      </c>
      <c r="O454" s="1" t="str">
        <f>IF(N454&lt;&gt;"",INDEX($L$2:$L$1705,MATCH(N454,$M$2:$M$1705,0)),"")</f>
        <v/>
      </c>
      <c r="P454" s="1" t="str">
        <f>IF(O454&lt;&gt;"",ROWS($O$2:O454),"")</f>
        <v/>
      </c>
    </row>
    <row r="455" spans="1:16" x14ac:dyDescent="0.2">
      <c r="A455" s="1">
        <f>WorldCupMatches!O455</f>
        <v>1990</v>
      </c>
      <c r="B455" s="1" t="str">
        <f>WorldCupMatches!P455</f>
        <v>Italy</v>
      </c>
      <c r="C455" s="1">
        <f>WorldCupMatches!Q455</f>
        <v>2</v>
      </c>
      <c r="D455" s="1">
        <f>WorldCupMatches!R455</f>
        <v>0</v>
      </c>
      <c r="E455" s="1" t="str">
        <f>WorldCupMatches!S455</f>
        <v>Uruguay</v>
      </c>
      <c r="F455" s="1" t="str">
        <f>WorldCupMatches!T455</f>
        <v xml:space="preserve"> </v>
      </c>
      <c r="G455" s="1" t="str">
        <f>WorldCupMatches!U455</f>
        <v>Round of 16</v>
      </c>
      <c r="J455" s="1">
        <f>COUNTIF($L$2:L455,L455)</f>
        <v>34</v>
      </c>
      <c r="K455" s="1">
        <f>Table3[[#This Row],[Year]]</f>
        <v>1990</v>
      </c>
      <c r="L455" s="1" t="str">
        <f>Table3[[#This Row],[Hometeam]]</f>
        <v>Italy</v>
      </c>
      <c r="M455" s="1" t="str">
        <f>IF(J455=1,J455+ROWS($J$2:J455)/10000,"")</f>
        <v/>
      </c>
      <c r="N455" s="1" t="str">
        <f>IFERROR(SMALL($M$2:$M$1705,ROWS($M$2:M455)),"")</f>
        <v/>
      </c>
      <c r="O455" s="1" t="str">
        <f>IF(N455&lt;&gt;"",INDEX($L$2:$L$1705,MATCH(N455,$M$2:$M$1705,0)),"")</f>
        <v/>
      </c>
      <c r="P455" s="1" t="str">
        <f>IF(O455&lt;&gt;"",ROWS($O$2:O455),"")</f>
        <v/>
      </c>
    </row>
    <row r="456" spans="1:16" x14ac:dyDescent="0.2">
      <c r="A456" s="1">
        <f>WorldCupMatches!O456</f>
        <v>1990</v>
      </c>
      <c r="B456" s="1" t="str">
        <f>WorldCupMatches!P456</f>
        <v>Spain</v>
      </c>
      <c r="C456" s="1">
        <f>WorldCupMatches!Q456</f>
        <v>1</v>
      </c>
      <c r="D456" s="1">
        <f>WorldCupMatches!R456</f>
        <v>2</v>
      </c>
      <c r="E456" s="1" t="str">
        <f>WorldCupMatches!S456</f>
        <v>Yugoslavia</v>
      </c>
      <c r="F456" s="1" t="str">
        <f>WorldCupMatches!T456</f>
        <v xml:space="preserve">Yugoslavia win after extra time </v>
      </c>
      <c r="G456" s="1" t="str">
        <f>WorldCupMatches!U456</f>
        <v>Round of 16</v>
      </c>
      <c r="J456" s="1">
        <f>COUNTIF($L$2:L456,L456)</f>
        <v>13</v>
      </c>
      <c r="K456" s="1">
        <f>Table3[[#This Row],[Year]]</f>
        <v>1990</v>
      </c>
      <c r="L456" s="1" t="str">
        <f>Table3[[#This Row],[Hometeam]]</f>
        <v>Spain</v>
      </c>
      <c r="M456" s="1" t="str">
        <f>IF(J456=1,J456+ROWS($J$2:J456)/10000,"")</f>
        <v/>
      </c>
      <c r="N456" s="1" t="str">
        <f>IFERROR(SMALL($M$2:$M$1705,ROWS($M$2:M456)),"")</f>
        <v/>
      </c>
      <c r="O456" s="1" t="str">
        <f>IF(N456&lt;&gt;"",INDEX($L$2:$L$1705,MATCH(N456,$M$2:$M$1705,0)),"")</f>
        <v/>
      </c>
      <c r="P456" s="1" t="str">
        <f>IF(O456&lt;&gt;"",ROWS($O$2:O456),"")</f>
        <v/>
      </c>
    </row>
    <row r="457" spans="1:16" x14ac:dyDescent="0.2">
      <c r="A457" s="1">
        <f>WorldCupMatches!O457</f>
        <v>1990</v>
      </c>
      <c r="B457" s="1" t="str">
        <f>WorldCupMatches!P457</f>
        <v>England</v>
      </c>
      <c r="C457" s="1">
        <f>WorldCupMatches!Q457</f>
        <v>1</v>
      </c>
      <c r="D457" s="1">
        <f>WorldCupMatches!R457</f>
        <v>0</v>
      </c>
      <c r="E457" s="1" t="str">
        <f>WorldCupMatches!S457</f>
        <v>Belgium</v>
      </c>
      <c r="F457" s="1" t="str">
        <f>WorldCupMatches!T457</f>
        <v xml:space="preserve">England win after extra time </v>
      </c>
      <c r="G457" s="1" t="str">
        <f>WorldCupMatches!U457</f>
        <v>Round of 16</v>
      </c>
      <c r="J457" s="1">
        <f>COUNTIF($L$2:L457,L457)</f>
        <v>24</v>
      </c>
      <c r="K457" s="1">
        <f>Table3[[#This Row],[Year]]</f>
        <v>1990</v>
      </c>
      <c r="L457" s="1" t="str">
        <f>Table3[[#This Row],[Hometeam]]</f>
        <v>England</v>
      </c>
      <c r="M457" s="1" t="str">
        <f>IF(J457=1,J457+ROWS($J$2:J457)/10000,"")</f>
        <v/>
      </c>
      <c r="N457" s="1" t="str">
        <f>IFERROR(SMALL($M$2:$M$1705,ROWS($M$2:M457)),"")</f>
        <v/>
      </c>
      <c r="O457" s="1" t="str">
        <f>IF(N457&lt;&gt;"",INDEX($L$2:$L$1705,MATCH(N457,$M$2:$M$1705,0)),"")</f>
        <v/>
      </c>
      <c r="P457" s="1" t="str">
        <f>IF(O457&lt;&gt;"",ROWS($O$2:O457),"")</f>
        <v/>
      </c>
    </row>
    <row r="458" spans="1:16" x14ac:dyDescent="0.2">
      <c r="A458" s="1">
        <f>WorldCupMatches!O458</f>
        <v>1990</v>
      </c>
      <c r="B458" s="1" t="str">
        <f>WorldCupMatches!P458</f>
        <v>Yugoslavia</v>
      </c>
      <c r="C458" s="1">
        <f>WorldCupMatches!Q458</f>
        <v>0</v>
      </c>
      <c r="D458" s="1">
        <f>WorldCupMatches!R458</f>
        <v>0</v>
      </c>
      <c r="E458" s="1" t="str">
        <f>WorldCupMatches!S458</f>
        <v>Argentina</v>
      </c>
      <c r="F458" s="1" t="str">
        <f>WorldCupMatches!T458</f>
        <v xml:space="preserve"> win on penalties (2 - 3) </v>
      </c>
      <c r="G458" s="1" t="str">
        <f>WorldCupMatches!U458</f>
        <v>Quarter-finals</v>
      </c>
      <c r="J458" s="1">
        <f>COUNTIF($L$2:L458,L458)</f>
        <v>16</v>
      </c>
      <c r="K458" s="1">
        <f>Table3[[#This Row],[Year]]</f>
        <v>1990</v>
      </c>
      <c r="L458" s="1" t="str">
        <f>Table3[[#This Row],[Hometeam]]</f>
        <v>Yugoslavia</v>
      </c>
      <c r="M458" s="1" t="str">
        <f>IF(J458=1,J458+ROWS($J$2:J458)/10000,"")</f>
        <v/>
      </c>
      <c r="N458" s="1" t="str">
        <f>IFERROR(SMALL($M$2:$M$1705,ROWS($M$2:M458)),"")</f>
        <v/>
      </c>
      <c r="O458" s="1" t="str">
        <f>IF(N458&lt;&gt;"",INDEX($L$2:$L$1705,MATCH(N458,$M$2:$M$1705,0)),"")</f>
        <v/>
      </c>
      <c r="P458" s="1" t="str">
        <f>IF(O458&lt;&gt;"",ROWS($O$2:O458),"")</f>
        <v/>
      </c>
    </row>
    <row r="459" spans="1:16" x14ac:dyDescent="0.2">
      <c r="A459" s="1">
        <f>WorldCupMatches!O459</f>
        <v>1990</v>
      </c>
      <c r="B459" s="1" t="str">
        <f>WorldCupMatches!P459</f>
        <v>Italy</v>
      </c>
      <c r="C459" s="1">
        <f>WorldCupMatches!Q459</f>
        <v>1</v>
      </c>
      <c r="D459" s="1">
        <f>WorldCupMatches!R459</f>
        <v>0</v>
      </c>
      <c r="E459" s="1" t="str">
        <f>WorldCupMatches!S459</f>
        <v>Republic of Ireland</v>
      </c>
      <c r="F459" s="1" t="str">
        <f>WorldCupMatches!T459</f>
        <v xml:space="preserve"> </v>
      </c>
      <c r="G459" s="1" t="str">
        <f>WorldCupMatches!U459</f>
        <v>Quarter-finals</v>
      </c>
      <c r="J459" s="1">
        <f>COUNTIF($L$2:L459,L459)</f>
        <v>35</v>
      </c>
      <c r="K459" s="1">
        <f>Table3[[#This Row],[Year]]</f>
        <v>1990</v>
      </c>
      <c r="L459" s="1" t="str">
        <f>Table3[[#This Row],[Hometeam]]</f>
        <v>Italy</v>
      </c>
      <c r="M459" s="1" t="str">
        <f>IF(J459=1,J459+ROWS($J$2:J459)/10000,"")</f>
        <v/>
      </c>
      <c r="N459" s="1" t="str">
        <f>IFERROR(SMALL($M$2:$M$1705,ROWS($M$2:M459)),"")</f>
        <v/>
      </c>
      <c r="O459" s="1" t="str">
        <f>IF(N459&lt;&gt;"",INDEX($L$2:$L$1705,MATCH(N459,$M$2:$M$1705,0)),"")</f>
        <v/>
      </c>
      <c r="P459" s="1" t="str">
        <f>IF(O459&lt;&gt;"",ROWS($O$2:O459),"")</f>
        <v/>
      </c>
    </row>
    <row r="460" spans="1:16" x14ac:dyDescent="0.2">
      <c r="A460" s="1">
        <f>WorldCupMatches!O460</f>
        <v>1990</v>
      </c>
      <c r="B460" s="1" t="str">
        <f>WorldCupMatches!P460</f>
        <v>Germany FR</v>
      </c>
      <c r="C460" s="1">
        <f>WorldCupMatches!Q460</f>
        <v>1</v>
      </c>
      <c r="D460" s="1">
        <f>WorldCupMatches!R460</f>
        <v>0</v>
      </c>
      <c r="E460" s="1" t="str">
        <f>WorldCupMatches!S460</f>
        <v>Czechoslovakia</v>
      </c>
      <c r="F460" s="1" t="str">
        <f>WorldCupMatches!T460</f>
        <v xml:space="preserve"> </v>
      </c>
      <c r="G460" s="1" t="str">
        <f>WorldCupMatches!U460</f>
        <v>Quarter-finals</v>
      </c>
      <c r="J460" s="1">
        <f>COUNTIF($L$2:L460,L460)</f>
        <v>41</v>
      </c>
      <c r="K460" s="1">
        <f>Table3[[#This Row],[Year]]</f>
        <v>1990</v>
      </c>
      <c r="L460" s="1" t="str">
        <f>Table3[[#This Row],[Hometeam]]</f>
        <v>Germany FR</v>
      </c>
      <c r="M460" s="1" t="str">
        <f>IF(J460=1,J460+ROWS($J$2:J460)/10000,"")</f>
        <v/>
      </c>
      <c r="N460" s="1" t="str">
        <f>IFERROR(SMALL($M$2:$M$1705,ROWS($M$2:M460)),"")</f>
        <v/>
      </c>
      <c r="O460" s="1" t="str">
        <f>IF(N460&lt;&gt;"",INDEX($L$2:$L$1705,MATCH(N460,$M$2:$M$1705,0)),"")</f>
        <v/>
      </c>
      <c r="P460" s="1" t="str">
        <f>IF(O460&lt;&gt;"",ROWS($O$2:O460),"")</f>
        <v/>
      </c>
    </row>
    <row r="461" spans="1:16" x14ac:dyDescent="0.2">
      <c r="A461" s="1">
        <f>WorldCupMatches!O461</f>
        <v>1990</v>
      </c>
      <c r="B461" s="1" t="str">
        <f>WorldCupMatches!P461</f>
        <v>England</v>
      </c>
      <c r="C461" s="1">
        <f>WorldCupMatches!Q461</f>
        <v>3</v>
      </c>
      <c r="D461" s="1">
        <f>WorldCupMatches!R461</f>
        <v>2</v>
      </c>
      <c r="E461" s="1" t="str">
        <f>WorldCupMatches!S461</f>
        <v>Cameroon</v>
      </c>
      <c r="F461" s="1" t="str">
        <f>WorldCupMatches!T461</f>
        <v xml:space="preserve">England win after extra time </v>
      </c>
      <c r="G461" s="1" t="str">
        <f>WorldCupMatches!U461</f>
        <v>Quarter-finals</v>
      </c>
      <c r="J461" s="1">
        <f>COUNTIF($L$2:L461,L461)</f>
        <v>25</v>
      </c>
      <c r="K461" s="1">
        <f>Table3[[#This Row],[Year]]</f>
        <v>1990</v>
      </c>
      <c r="L461" s="1" t="str">
        <f>Table3[[#This Row],[Hometeam]]</f>
        <v>England</v>
      </c>
      <c r="M461" s="1" t="str">
        <f>IF(J461=1,J461+ROWS($J$2:J461)/10000,"")</f>
        <v/>
      </c>
      <c r="N461" s="1" t="str">
        <f>IFERROR(SMALL($M$2:$M$1705,ROWS($M$2:M461)),"")</f>
        <v/>
      </c>
      <c r="O461" s="1" t="str">
        <f>IF(N461&lt;&gt;"",INDEX($L$2:$L$1705,MATCH(N461,$M$2:$M$1705,0)),"")</f>
        <v/>
      </c>
      <c r="P461" s="1" t="str">
        <f>IF(O461&lt;&gt;"",ROWS($O$2:O461),"")</f>
        <v/>
      </c>
    </row>
    <row r="462" spans="1:16" x14ac:dyDescent="0.2">
      <c r="A462" s="1">
        <f>WorldCupMatches!O462</f>
        <v>1990</v>
      </c>
      <c r="B462" s="1" t="str">
        <f>WorldCupMatches!P462</f>
        <v>Italy</v>
      </c>
      <c r="C462" s="1">
        <f>WorldCupMatches!Q462</f>
        <v>1</v>
      </c>
      <c r="D462" s="1">
        <f>WorldCupMatches!R462</f>
        <v>1</v>
      </c>
      <c r="E462" s="1" t="str">
        <f>WorldCupMatches!S462</f>
        <v>Argentina</v>
      </c>
      <c r="F462" s="1" t="str">
        <f>WorldCupMatches!T462</f>
        <v xml:space="preserve"> win on penalties (3 - 4) </v>
      </c>
      <c r="G462" s="1" t="str">
        <f>WorldCupMatches!U462</f>
        <v>Semi-finals</v>
      </c>
      <c r="J462" s="1">
        <f>COUNTIF($L$2:L462,L462)</f>
        <v>36</v>
      </c>
      <c r="K462" s="1">
        <f>Table3[[#This Row],[Year]]</f>
        <v>1990</v>
      </c>
      <c r="L462" s="1" t="str">
        <f>Table3[[#This Row],[Hometeam]]</f>
        <v>Italy</v>
      </c>
      <c r="M462" s="1" t="str">
        <f>IF(J462=1,J462+ROWS($J$2:J462)/10000,"")</f>
        <v/>
      </c>
      <c r="N462" s="1" t="str">
        <f>IFERROR(SMALL($M$2:$M$1705,ROWS($M$2:M462)),"")</f>
        <v/>
      </c>
      <c r="O462" s="1" t="str">
        <f>IF(N462&lt;&gt;"",INDEX($L$2:$L$1705,MATCH(N462,$M$2:$M$1705,0)),"")</f>
        <v/>
      </c>
      <c r="P462" s="1" t="str">
        <f>IF(O462&lt;&gt;"",ROWS($O$2:O462),"")</f>
        <v/>
      </c>
    </row>
    <row r="463" spans="1:16" x14ac:dyDescent="0.2">
      <c r="A463" s="1">
        <f>WorldCupMatches!O463</f>
        <v>1990</v>
      </c>
      <c r="B463" s="1" t="str">
        <f>WorldCupMatches!P463</f>
        <v>Germany FR</v>
      </c>
      <c r="C463" s="1">
        <f>WorldCupMatches!Q463</f>
        <v>1</v>
      </c>
      <c r="D463" s="1">
        <f>WorldCupMatches!R463</f>
        <v>1</v>
      </c>
      <c r="E463" s="1" t="str">
        <f>WorldCupMatches!S463</f>
        <v>England</v>
      </c>
      <c r="F463" s="1" t="str">
        <f>WorldCupMatches!T463</f>
        <v xml:space="preserve"> win on penalties (4 - 3) </v>
      </c>
      <c r="G463" s="1" t="str">
        <f>WorldCupMatches!U463</f>
        <v>Semi-finals</v>
      </c>
      <c r="J463" s="1">
        <f>COUNTIF($L$2:L463,L463)</f>
        <v>42</v>
      </c>
      <c r="K463" s="1">
        <f>Table3[[#This Row],[Year]]</f>
        <v>1990</v>
      </c>
      <c r="L463" s="1" t="str">
        <f>Table3[[#This Row],[Hometeam]]</f>
        <v>Germany FR</v>
      </c>
      <c r="M463" s="1" t="str">
        <f>IF(J463=1,J463+ROWS($J$2:J463)/10000,"")</f>
        <v/>
      </c>
      <c r="N463" s="1" t="str">
        <f>IFERROR(SMALL($M$2:$M$1705,ROWS($M$2:M463)),"")</f>
        <v/>
      </c>
      <c r="O463" s="1" t="str">
        <f>IF(N463&lt;&gt;"",INDEX($L$2:$L$1705,MATCH(N463,$M$2:$M$1705,0)),"")</f>
        <v/>
      </c>
      <c r="P463" s="1" t="str">
        <f>IF(O463&lt;&gt;"",ROWS($O$2:O463),"")</f>
        <v/>
      </c>
    </row>
    <row r="464" spans="1:16" x14ac:dyDescent="0.2">
      <c r="A464" s="1">
        <f>WorldCupMatches!O464</f>
        <v>1990</v>
      </c>
      <c r="B464" s="1" t="str">
        <f>WorldCupMatches!P464</f>
        <v>Italy</v>
      </c>
      <c r="C464" s="1">
        <f>WorldCupMatches!Q464</f>
        <v>2</v>
      </c>
      <c r="D464" s="1">
        <f>WorldCupMatches!R464</f>
        <v>1</v>
      </c>
      <c r="E464" s="1" t="str">
        <f>WorldCupMatches!S464</f>
        <v>England</v>
      </c>
      <c r="F464" s="1" t="str">
        <f>WorldCupMatches!T464</f>
        <v xml:space="preserve"> </v>
      </c>
      <c r="G464" s="1" t="str">
        <f>WorldCupMatches!U464</f>
        <v>Match for third place</v>
      </c>
      <c r="J464" s="1">
        <f>COUNTIF($L$2:L464,L464)</f>
        <v>37</v>
      </c>
      <c r="K464" s="1">
        <f>Table3[[#This Row],[Year]]</f>
        <v>1990</v>
      </c>
      <c r="L464" s="1" t="str">
        <f>Table3[[#This Row],[Hometeam]]</f>
        <v>Italy</v>
      </c>
      <c r="M464" s="1" t="str">
        <f>IF(J464=1,J464+ROWS($J$2:J464)/10000,"")</f>
        <v/>
      </c>
      <c r="N464" s="1" t="str">
        <f>IFERROR(SMALL($M$2:$M$1705,ROWS($M$2:M464)),"")</f>
        <v/>
      </c>
      <c r="O464" s="1" t="str">
        <f>IF(N464&lt;&gt;"",INDEX($L$2:$L$1705,MATCH(N464,$M$2:$M$1705,0)),"")</f>
        <v/>
      </c>
      <c r="P464" s="1" t="str">
        <f>IF(O464&lt;&gt;"",ROWS($O$2:O464),"")</f>
        <v/>
      </c>
    </row>
    <row r="465" spans="1:16" x14ac:dyDescent="0.2">
      <c r="A465" s="1">
        <f>WorldCupMatches!O465</f>
        <v>1990</v>
      </c>
      <c r="B465" s="1" t="str">
        <f>WorldCupMatches!P465</f>
        <v>Germany FR</v>
      </c>
      <c r="C465" s="1">
        <f>WorldCupMatches!Q465</f>
        <v>1</v>
      </c>
      <c r="D465" s="1">
        <f>WorldCupMatches!R465</f>
        <v>0</v>
      </c>
      <c r="E465" s="1" t="str">
        <f>WorldCupMatches!S465</f>
        <v>Argentina</v>
      </c>
      <c r="F465" s="1" t="str">
        <f>WorldCupMatches!T465</f>
        <v xml:space="preserve"> </v>
      </c>
      <c r="G465" s="1" t="str">
        <f>WorldCupMatches!U465</f>
        <v>Final</v>
      </c>
      <c r="J465" s="1">
        <f>COUNTIF($L$2:L465,L465)</f>
        <v>43</v>
      </c>
      <c r="K465" s="1">
        <f>Table3[[#This Row],[Year]]</f>
        <v>1990</v>
      </c>
      <c r="L465" s="1" t="str">
        <f>Table3[[#This Row],[Hometeam]]</f>
        <v>Germany FR</v>
      </c>
      <c r="M465" s="1" t="str">
        <f>IF(J465=1,J465+ROWS($J$2:J465)/10000,"")</f>
        <v/>
      </c>
      <c r="N465" s="1" t="str">
        <f>IFERROR(SMALL($M$2:$M$1705,ROWS($M$2:M465)),"")</f>
        <v/>
      </c>
      <c r="O465" s="1" t="str">
        <f>IF(N465&lt;&gt;"",INDEX($L$2:$L$1705,MATCH(N465,$M$2:$M$1705,0)),"")</f>
        <v/>
      </c>
      <c r="P465" s="1" t="str">
        <f>IF(O465&lt;&gt;"",ROWS($O$2:O465),"")</f>
        <v/>
      </c>
    </row>
    <row r="466" spans="1:16" x14ac:dyDescent="0.2">
      <c r="A466" s="1">
        <f>WorldCupMatches!O466</f>
        <v>1994</v>
      </c>
      <c r="B466" s="1" t="str">
        <f>WorldCupMatches!P466</f>
        <v>Spain</v>
      </c>
      <c r="C466" s="1">
        <f>WorldCupMatches!Q466</f>
        <v>2</v>
      </c>
      <c r="D466" s="1">
        <f>WorldCupMatches!R466</f>
        <v>2</v>
      </c>
      <c r="E466" s="1" t="str">
        <f>WorldCupMatches!S466</f>
        <v>Korea Republic</v>
      </c>
      <c r="F466" s="1" t="str">
        <f>WorldCupMatches!T466</f>
        <v xml:space="preserve"> </v>
      </c>
      <c r="G466" s="1" t="str">
        <f>WorldCupMatches!U466</f>
        <v>Group stages</v>
      </c>
      <c r="J466" s="1">
        <f>COUNTIF($L$2:L466,L466)</f>
        <v>14</v>
      </c>
      <c r="K466" s="1">
        <f>Table3[[#This Row],[Year]]</f>
        <v>1994</v>
      </c>
      <c r="L466" s="1" t="str">
        <f>Table3[[#This Row],[Hometeam]]</f>
        <v>Spain</v>
      </c>
      <c r="M466" s="1" t="str">
        <f>IF(J466=1,J466+ROWS($J$2:J466)/10000,"")</f>
        <v/>
      </c>
      <c r="N466" s="1" t="str">
        <f>IFERROR(SMALL($M$2:$M$1705,ROWS($M$2:M466)),"")</f>
        <v/>
      </c>
      <c r="O466" s="1" t="str">
        <f>IF(N466&lt;&gt;"",INDEX($L$2:$L$1705,MATCH(N466,$M$2:$M$1705,0)),"")</f>
        <v/>
      </c>
      <c r="P466" s="1" t="str">
        <f>IF(O466&lt;&gt;"",ROWS($O$2:O466),"")</f>
        <v/>
      </c>
    </row>
    <row r="467" spans="1:16" x14ac:dyDescent="0.2">
      <c r="A467" s="1">
        <f>WorldCupMatches!O467</f>
        <v>1994</v>
      </c>
      <c r="B467" s="1" t="str">
        <f>WorldCupMatches!P467</f>
        <v>Germany</v>
      </c>
      <c r="C467" s="1">
        <f>WorldCupMatches!Q467</f>
        <v>1</v>
      </c>
      <c r="D467" s="1">
        <f>WorldCupMatches!R467</f>
        <v>0</v>
      </c>
      <c r="E467" s="1" t="str">
        <f>WorldCupMatches!S467</f>
        <v>Bolivia</v>
      </c>
      <c r="F467" s="1" t="str">
        <f>WorldCupMatches!T467</f>
        <v xml:space="preserve"> </v>
      </c>
      <c r="G467" s="1" t="str">
        <f>WorldCupMatches!U467</f>
        <v>Group stages</v>
      </c>
      <c r="J467" s="1">
        <f>COUNTIF($L$2:L467,L467)</f>
        <v>4</v>
      </c>
      <c r="K467" s="1">
        <f>Table3[[#This Row],[Year]]</f>
        <v>1994</v>
      </c>
      <c r="L467" s="1" t="str">
        <f>Table3[[#This Row],[Hometeam]]</f>
        <v>Germany</v>
      </c>
      <c r="M467" s="1" t="str">
        <f>IF(J467=1,J467+ROWS($J$2:J467)/10000,"")</f>
        <v/>
      </c>
      <c r="N467" s="1" t="str">
        <f>IFERROR(SMALL($M$2:$M$1705,ROWS($M$2:M467)),"")</f>
        <v/>
      </c>
      <c r="O467" s="1" t="str">
        <f>IF(N467&lt;&gt;"",INDEX($L$2:$L$1705,MATCH(N467,$M$2:$M$1705,0)),"")</f>
        <v/>
      </c>
      <c r="P467" s="1" t="str">
        <f>IF(O467&lt;&gt;"",ROWS($O$2:O467),"")</f>
        <v/>
      </c>
    </row>
    <row r="468" spans="1:16" x14ac:dyDescent="0.2">
      <c r="A468" s="1">
        <f>WorldCupMatches!O468</f>
        <v>1994</v>
      </c>
      <c r="B468" s="1" t="str">
        <f>WorldCupMatches!P468</f>
        <v>USA</v>
      </c>
      <c r="C468" s="1">
        <f>WorldCupMatches!Q468</f>
        <v>1</v>
      </c>
      <c r="D468" s="1">
        <f>WorldCupMatches!R468</f>
        <v>1</v>
      </c>
      <c r="E468" s="1" t="str">
        <f>WorldCupMatches!S468</f>
        <v>Switzerland</v>
      </c>
      <c r="F468" s="1" t="str">
        <f>WorldCupMatches!T468</f>
        <v xml:space="preserve"> </v>
      </c>
      <c r="G468" s="1" t="str">
        <f>WorldCupMatches!U468</f>
        <v>Group stages</v>
      </c>
      <c r="J468" s="1">
        <f>COUNTIF($L$2:L468,L468)</f>
        <v>5</v>
      </c>
      <c r="K468" s="1">
        <f>Table3[[#This Row],[Year]]</f>
        <v>1994</v>
      </c>
      <c r="L468" s="1" t="str">
        <f>Table3[[#This Row],[Hometeam]]</f>
        <v>USA</v>
      </c>
      <c r="M468" s="1" t="str">
        <f>IF(J468=1,J468+ROWS($J$2:J468)/10000,"")</f>
        <v/>
      </c>
      <c r="N468" s="1" t="str">
        <f>IFERROR(SMALL($M$2:$M$1705,ROWS($M$2:M468)),"")</f>
        <v/>
      </c>
      <c r="O468" s="1" t="str">
        <f>IF(N468&lt;&gt;"",INDEX($L$2:$L$1705,MATCH(N468,$M$2:$M$1705,0)),"")</f>
        <v/>
      </c>
      <c r="P468" s="1" t="str">
        <f>IF(O468&lt;&gt;"",ROWS($O$2:O468),"")</f>
        <v/>
      </c>
    </row>
    <row r="469" spans="1:16" x14ac:dyDescent="0.2">
      <c r="A469" s="1">
        <f>WorldCupMatches!O469</f>
        <v>1994</v>
      </c>
      <c r="B469" s="1" t="str">
        <f>WorldCupMatches!P469</f>
        <v>Italy</v>
      </c>
      <c r="C469" s="1">
        <f>WorldCupMatches!Q469</f>
        <v>0</v>
      </c>
      <c r="D469" s="1">
        <f>WorldCupMatches!R469</f>
        <v>1</v>
      </c>
      <c r="E469" s="1" t="str">
        <f>WorldCupMatches!S469</f>
        <v>Republic of Ireland</v>
      </c>
      <c r="F469" s="1" t="str">
        <f>WorldCupMatches!T469</f>
        <v xml:space="preserve"> </v>
      </c>
      <c r="G469" s="1" t="str">
        <f>WorldCupMatches!U469</f>
        <v>Group stages</v>
      </c>
      <c r="J469" s="1">
        <f>COUNTIF($L$2:L469,L469)</f>
        <v>38</v>
      </c>
      <c r="K469" s="1">
        <f>Table3[[#This Row],[Year]]</f>
        <v>1994</v>
      </c>
      <c r="L469" s="1" t="str">
        <f>Table3[[#This Row],[Hometeam]]</f>
        <v>Italy</v>
      </c>
      <c r="M469" s="1" t="str">
        <f>IF(J469=1,J469+ROWS($J$2:J469)/10000,"")</f>
        <v/>
      </c>
      <c r="N469" s="1" t="str">
        <f>IFERROR(SMALL($M$2:$M$1705,ROWS($M$2:M469)),"")</f>
        <v/>
      </c>
      <c r="O469" s="1" t="str">
        <f>IF(N469&lt;&gt;"",INDEX($L$2:$L$1705,MATCH(N469,$M$2:$M$1705,0)),"")</f>
        <v/>
      </c>
      <c r="P469" s="1" t="str">
        <f>IF(O469&lt;&gt;"",ROWS($O$2:O469),"")</f>
        <v/>
      </c>
    </row>
    <row r="470" spans="1:16" x14ac:dyDescent="0.2">
      <c r="A470" s="1">
        <f>WorldCupMatches!O470</f>
        <v>1994</v>
      </c>
      <c r="B470" s="1" t="str">
        <f>WorldCupMatches!P470</f>
        <v>Colombia</v>
      </c>
      <c r="C470" s="1">
        <f>WorldCupMatches!Q470</f>
        <v>1</v>
      </c>
      <c r="D470" s="1">
        <f>WorldCupMatches!R470</f>
        <v>3</v>
      </c>
      <c r="E470" s="1" t="str">
        <f>WorldCupMatches!S470</f>
        <v>Romania</v>
      </c>
      <c r="F470" s="1" t="str">
        <f>WorldCupMatches!T470</f>
        <v xml:space="preserve"> </v>
      </c>
      <c r="G470" s="1" t="str">
        <f>WorldCupMatches!U470</f>
        <v>Group stages</v>
      </c>
      <c r="J470" s="1">
        <f>COUNTIF($L$2:L470,L470)</f>
        <v>1</v>
      </c>
      <c r="K470" s="1">
        <f>Table3[[#This Row],[Year]]</f>
        <v>1994</v>
      </c>
      <c r="L470" s="1" t="str">
        <f>Table3[[#This Row],[Hometeam]]</f>
        <v>Colombia</v>
      </c>
      <c r="M470" s="1">
        <f>IF(J470=1,J470+ROWS($J$2:J470)/10000,"")</f>
        <v>1.0468999999999999</v>
      </c>
      <c r="N470" s="1" t="str">
        <f>IFERROR(SMALL($M$2:$M$1705,ROWS($M$2:M470)),"")</f>
        <v/>
      </c>
      <c r="O470" s="1" t="str">
        <f>IF(N470&lt;&gt;"",INDEX($L$2:$L$1705,MATCH(N470,$M$2:$M$1705,0)),"")</f>
        <v/>
      </c>
      <c r="P470" s="1" t="str">
        <f>IF(O470&lt;&gt;"",ROWS($O$2:O470),"")</f>
        <v/>
      </c>
    </row>
    <row r="471" spans="1:16" x14ac:dyDescent="0.2">
      <c r="A471" s="1">
        <f>WorldCupMatches!O471</f>
        <v>1994</v>
      </c>
      <c r="B471" s="1" t="str">
        <f>WorldCupMatches!P471</f>
        <v>Belgium</v>
      </c>
      <c r="C471" s="1">
        <f>WorldCupMatches!Q471</f>
        <v>1</v>
      </c>
      <c r="D471" s="1">
        <f>WorldCupMatches!R471</f>
        <v>0</v>
      </c>
      <c r="E471" s="1" t="str">
        <f>WorldCupMatches!S471</f>
        <v>Morocco</v>
      </c>
      <c r="F471" s="1" t="str">
        <f>WorldCupMatches!T471</f>
        <v xml:space="preserve"> </v>
      </c>
      <c r="G471" s="1" t="str">
        <f>WorldCupMatches!U471</f>
        <v>Group stages</v>
      </c>
      <c r="J471" s="1">
        <f>COUNTIF($L$2:L471,L471)</f>
        <v>9</v>
      </c>
      <c r="K471" s="1">
        <f>Table3[[#This Row],[Year]]</f>
        <v>1994</v>
      </c>
      <c r="L471" s="1" t="str">
        <f>Table3[[#This Row],[Hometeam]]</f>
        <v>Belgium</v>
      </c>
      <c r="M471" s="1" t="str">
        <f>IF(J471=1,J471+ROWS($J$2:J471)/10000,"")</f>
        <v/>
      </c>
      <c r="N471" s="1" t="str">
        <f>IFERROR(SMALL($M$2:$M$1705,ROWS($M$2:M471)),"")</f>
        <v/>
      </c>
      <c r="O471" s="1" t="str">
        <f>IF(N471&lt;&gt;"",INDEX($L$2:$L$1705,MATCH(N471,$M$2:$M$1705,0)),"")</f>
        <v/>
      </c>
      <c r="P471" s="1" t="str">
        <f>IF(O471&lt;&gt;"",ROWS($O$2:O471),"")</f>
        <v/>
      </c>
    </row>
    <row r="472" spans="1:16" x14ac:dyDescent="0.2">
      <c r="A472" s="1">
        <f>WorldCupMatches!O472</f>
        <v>1994</v>
      </c>
      <c r="B472" s="1" t="str">
        <f>WorldCupMatches!P472</f>
        <v>Norway</v>
      </c>
      <c r="C472" s="1">
        <f>WorldCupMatches!Q472</f>
        <v>1</v>
      </c>
      <c r="D472" s="1">
        <f>WorldCupMatches!R472</f>
        <v>0</v>
      </c>
      <c r="E472" s="1" t="str">
        <f>WorldCupMatches!S472</f>
        <v>Mexico</v>
      </c>
      <c r="F472" s="1" t="str">
        <f>WorldCupMatches!T472</f>
        <v xml:space="preserve"> </v>
      </c>
      <c r="G472" s="1" t="str">
        <f>WorldCupMatches!U472</f>
        <v>Group stages</v>
      </c>
      <c r="J472" s="1">
        <f>COUNTIF($L$2:L472,L472)</f>
        <v>1</v>
      </c>
      <c r="K472" s="1">
        <f>Table3[[#This Row],[Year]]</f>
        <v>1994</v>
      </c>
      <c r="L472" s="1" t="str">
        <f>Table3[[#This Row],[Hometeam]]</f>
        <v>Norway</v>
      </c>
      <c r="M472" s="1">
        <f>IF(J472=1,J472+ROWS($J$2:J472)/10000,"")</f>
        <v>1.0470999999999999</v>
      </c>
      <c r="N472" s="1" t="str">
        <f>IFERROR(SMALL($M$2:$M$1705,ROWS($M$2:M472)),"")</f>
        <v/>
      </c>
      <c r="O472" s="1" t="str">
        <f>IF(N472&lt;&gt;"",INDEX($L$2:$L$1705,MATCH(N472,$M$2:$M$1705,0)),"")</f>
        <v/>
      </c>
      <c r="P472" s="1" t="str">
        <f>IF(O472&lt;&gt;"",ROWS($O$2:O472),"")</f>
        <v/>
      </c>
    </row>
    <row r="473" spans="1:16" x14ac:dyDescent="0.2">
      <c r="A473" s="1">
        <f>WorldCupMatches!O473</f>
        <v>1994</v>
      </c>
      <c r="B473" s="1" t="str">
        <f>WorldCupMatches!P473</f>
        <v>Cameroon</v>
      </c>
      <c r="C473" s="1">
        <f>WorldCupMatches!Q473</f>
        <v>2</v>
      </c>
      <c r="D473" s="1">
        <f>WorldCupMatches!R473</f>
        <v>2</v>
      </c>
      <c r="E473" s="1" t="str">
        <f>WorldCupMatches!S473</f>
        <v>Sweden</v>
      </c>
      <c r="F473" s="1" t="str">
        <f>WorldCupMatches!T473</f>
        <v xml:space="preserve"> </v>
      </c>
      <c r="G473" s="1" t="str">
        <f>WorldCupMatches!U473</f>
        <v>Group stages</v>
      </c>
      <c r="J473" s="1">
        <f>COUNTIF($L$2:L473,L473)</f>
        <v>4</v>
      </c>
      <c r="K473" s="1">
        <f>Table3[[#This Row],[Year]]</f>
        <v>1994</v>
      </c>
      <c r="L473" s="1" t="str">
        <f>Table3[[#This Row],[Hometeam]]</f>
        <v>Cameroon</v>
      </c>
      <c r="M473" s="1" t="str">
        <f>IF(J473=1,J473+ROWS($J$2:J473)/10000,"")</f>
        <v/>
      </c>
      <c r="N473" s="1" t="str">
        <f>IFERROR(SMALL($M$2:$M$1705,ROWS($M$2:M473)),"")</f>
        <v/>
      </c>
      <c r="O473" s="1" t="str">
        <f>IF(N473&lt;&gt;"",INDEX($L$2:$L$1705,MATCH(N473,$M$2:$M$1705,0)),"")</f>
        <v/>
      </c>
      <c r="P473" s="1" t="str">
        <f>IF(O473&lt;&gt;"",ROWS($O$2:O473),"")</f>
        <v/>
      </c>
    </row>
    <row r="474" spans="1:16" x14ac:dyDescent="0.2">
      <c r="A474" s="1">
        <f>WorldCupMatches!O474</f>
        <v>1994</v>
      </c>
      <c r="B474" s="1" t="str">
        <f>WorldCupMatches!P474</f>
        <v>Netherlands</v>
      </c>
      <c r="C474" s="1">
        <f>WorldCupMatches!Q474</f>
        <v>2</v>
      </c>
      <c r="D474" s="1">
        <f>WorldCupMatches!R474</f>
        <v>1</v>
      </c>
      <c r="E474" s="1" t="str">
        <f>WorldCupMatches!S474</f>
        <v>Saudi Arabia</v>
      </c>
      <c r="F474" s="1" t="str">
        <f>WorldCupMatches!T474</f>
        <v xml:space="preserve"> </v>
      </c>
      <c r="G474" s="1" t="str">
        <f>WorldCupMatches!U474</f>
        <v>Group stages</v>
      </c>
      <c r="J474" s="1">
        <f>COUNTIF($L$2:L474,L474)</f>
        <v>10</v>
      </c>
      <c r="K474" s="1">
        <f>Table3[[#This Row],[Year]]</f>
        <v>1994</v>
      </c>
      <c r="L474" s="1" t="str">
        <f>Table3[[#This Row],[Hometeam]]</f>
        <v>Netherlands</v>
      </c>
      <c r="M474" s="1" t="str">
        <f>IF(J474=1,J474+ROWS($J$2:J474)/10000,"")</f>
        <v/>
      </c>
      <c r="N474" s="1" t="str">
        <f>IFERROR(SMALL($M$2:$M$1705,ROWS($M$2:M474)),"")</f>
        <v/>
      </c>
      <c r="O474" s="1" t="str">
        <f>IF(N474&lt;&gt;"",INDEX($L$2:$L$1705,MATCH(N474,$M$2:$M$1705,0)),"")</f>
        <v/>
      </c>
      <c r="P474" s="1" t="str">
        <f>IF(O474&lt;&gt;"",ROWS($O$2:O474),"")</f>
        <v/>
      </c>
    </row>
    <row r="475" spans="1:16" x14ac:dyDescent="0.2">
      <c r="A475" s="1">
        <f>WorldCupMatches!O475</f>
        <v>1994</v>
      </c>
      <c r="B475" s="1" t="str">
        <f>WorldCupMatches!P475</f>
        <v>Brazil</v>
      </c>
      <c r="C475" s="1">
        <f>WorldCupMatches!Q475</f>
        <v>2</v>
      </c>
      <c r="D475" s="1">
        <f>WorldCupMatches!R475</f>
        <v>0</v>
      </c>
      <c r="E475" s="1" t="str">
        <f>WorldCupMatches!S475</f>
        <v>Russia</v>
      </c>
      <c r="F475" s="1" t="str">
        <f>WorldCupMatches!T475</f>
        <v xml:space="preserve"> </v>
      </c>
      <c r="G475" s="1" t="str">
        <f>WorldCupMatches!U475</f>
        <v>Group stages</v>
      </c>
      <c r="J475" s="1">
        <f>COUNTIF($L$2:L475,L475)</f>
        <v>50</v>
      </c>
      <c r="K475" s="1">
        <f>Table3[[#This Row],[Year]]</f>
        <v>1994</v>
      </c>
      <c r="L475" s="1" t="str">
        <f>Table3[[#This Row],[Hometeam]]</f>
        <v>Brazil</v>
      </c>
      <c r="M475" s="1" t="str">
        <f>IF(J475=1,J475+ROWS($J$2:J475)/10000,"")</f>
        <v/>
      </c>
      <c r="N475" s="1" t="str">
        <f>IFERROR(SMALL($M$2:$M$1705,ROWS($M$2:M475)),"")</f>
        <v/>
      </c>
      <c r="O475" s="1" t="str">
        <f>IF(N475&lt;&gt;"",INDEX($L$2:$L$1705,MATCH(N475,$M$2:$M$1705,0)),"")</f>
        <v/>
      </c>
      <c r="P475" s="1" t="str">
        <f>IF(O475&lt;&gt;"",ROWS($O$2:O475),"")</f>
        <v/>
      </c>
    </row>
    <row r="476" spans="1:16" x14ac:dyDescent="0.2">
      <c r="A476" s="1">
        <f>WorldCupMatches!O476</f>
        <v>1994</v>
      </c>
      <c r="B476" s="1" t="str">
        <f>WorldCupMatches!P476</f>
        <v>Argentina</v>
      </c>
      <c r="C476" s="1">
        <f>WorldCupMatches!Q476</f>
        <v>4</v>
      </c>
      <c r="D476" s="1">
        <f>WorldCupMatches!R476</f>
        <v>0</v>
      </c>
      <c r="E476" s="1" t="str">
        <f>WorldCupMatches!S476</f>
        <v>Greece</v>
      </c>
      <c r="F476" s="1" t="str">
        <f>WorldCupMatches!T476</f>
        <v xml:space="preserve"> </v>
      </c>
      <c r="G476" s="1" t="str">
        <f>WorldCupMatches!U476</f>
        <v>Group stages</v>
      </c>
      <c r="J476" s="1">
        <f>COUNTIF($L$2:L476,L476)</f>
        <v>33</v>
      </c>
      <c r="K476" s="1">
        <f>Table3[[#This Row],[Year]]</f>
        <v>1994</v>
      </c>
      <c r="L476" s="1" t="str">
        <f>Table3[[#This Row],[Hometeam]]</f>
        <v>Argentina</v>
      </c>
      <c r="M476" s="1" t="str">
        <f>IF(J476=1,J476+ROWS($J$2:J476)/10000,"")</f>
        <v/>
      </c>
      <c r="N476" s="1" t="str">
        <f>IFERROR(SMALL($M$2:$M$1705,ROWS($M$2:M476)),"")</f>
        <v/>
      </c>
      <c r="O476" s="1" t="str">
        <f>IF(N476&lt;&gt;"",INDEX($L$2:$L$1705,MATCH(N476,$M$2:$M$1705,0)),"")</f>
        <v/>
      </c>
      <c r="P476" s="1" t="str">
        <f>IF(O476&lt;&gt;"",ROWS($O$2:O476),"")</f>
        <v/>
      </c>
    </row>
    <row r="477" spans="1:16" x14ac:dyDescent="0.2">
      <c r="A477" s="1">
        <f>WorldCupMatches!O477</f>
        <v>1994</v>
      </c>
      <c r="B477" s="1" t="str">
        <f>WorldCupMatches!P477</f>
        <v>Nigeria</v>
      </c>
      <c r="C477" s="1">
        <f>WorldCupMatches!Q477</f>
        <v>3</v>
      </c>
      <c r="D477" s="1">
        <f>WorldCupMatches!R477</f>
        <v>0</v>
      </c>
      <c r="E477" s="1" t="str">
        <f>WorldCupMatches!S477</f>
        <v>Bulgaria</v>
      </c>
      <c r="F477" s="1" t="str">
        <f>WorldCupMatches!T477</f>
        <v xml:space="preserve"> </v>
      </c>
      <c r="G477" s="1" t="str">
        <f>WorldCupMatches!U477</f>
        <v>Group stages</v>
      </c>
      <c r="J477" s="1">
        <f>COUNTIF($L$2:L477,L477)</f>
        <v>1</v>
      </c>
      <c r="K477" s="1">
        <f>Table3[[#This Row],[Year]]</f>
        <v>1994</v>
      </c>
      <c r="L477" s="1" t="str">
        <f>Table3[[#This Row],[Hometeam]]</f>
        <v>Nigeria</v>
      </c>
      <c r="M477" s="1">
        <f>IF(J477=1,J477+ROWS($J$2:J477)/10000,"")</f>
        <v>1.0476000000000001</v>
      </c>
      <c r="N477" s="1" t="str">
        <f>IFERROR(SMALL($M$2:$M$1705,ROWS($M$2:M477)),"")</f>
        <v/>
      </c>
      <c r="O477" s="1" t="str">
        <f>IF(N477&lt;&gt;"",INDEX($L$2:$L$1705,MATCH(N477,$M$2:$M$1705,0)),"")</f>
        <v/>
      </c>
      <c r="P477" s="1" t="str">
        <f>IF(O477&lt;&gt;"",ROWS($O$2:O477),"")</f>
        <v/>
      </c>
    </row>
    <row r="478" spans="1:16" x14ac:dyDescent="0.2">
      <c r="A478" s="1">
        <f>WorldCupMatches!O478</f>
        <v>1994</v>
      </c>
      <c r="B478" s="1" t="str">
        <f>WorldCupMatches!P478</f>
        <v>Germany</v>
      </c>
      <c r="C478" s="1">
        <f>WorldCupMatches!Q478</f>
        <v>1</v>
      </c>
      <c r="D478" s="1">
        <f>WorldCupMatches!R478</f>
        <v>1</v>
      </c>
      <c r="E478" s="1" t="str">
        <f>WorldCupMatches!S478</f>
        <v>Spain</v>
      </c>
      <c r="F478" s="1" t="str">
        <f>WorldCupMatches!T478</f>
        <v xml:space="preserve"> </v>
      </c>
      <c r="G478" s="1" t="str">
        <f>WorldCupMatches!U478</f>
        <v>Group stages</v>
      </c>
      <c r="J478" s="1">
        <f>COUNTIF($L$2:L478,L478)</f>
        <v>5</v>
      </c>
      <c r="K478" s="1">
        <f>Table3[[#This Row],[Year]]</f>
        <v>1994</v>
      </c>
      <c r="L478" s="1" t="str">
        <f>Table3[[#This Row],[Hometeam]]</f>
        <v>Germany</v>
      </c>
      <c r="M478" s="1" t="str">
        <f>IF(J478=1,J478+ROWS($J$2:J478)/10000,"")</f>
        <v/>
      </c>
      <c r="N478" s="1" t="str">
        <f>IFERROR(SMALL($M$2:$M$1705,ROWS($M$2:M478)),"")</f>
        <v/>
      </c>
      <c r="O478" s="1" t="str">
        <f>IF(N478&lt;&gt;"",INDEX($L$2:$L$1705,MATCH(N478,$M$2:$M$1705,0)),"")</f>
        <v/>
      </c>
      <c r="P478" s="1" t="str">
        <f>IF(O478&lt;&gt;"",ROWS($O$2:O478),"")</f>
        <v/>
      </c>
    </row>
    <row r="479" spans="1:16" x14ac:dyDescent="0.2">
      <c r="A479" s="1">
        <f>WorldCupMatches!O479</f>
        <v>1994</v>
      </c>
      <c r="B479" s="1" t="str">
        <f>WorldCupMatches!P479</f>
        <v>Romania</v>
      </c>
      <c r="C479" s="1">
        <f>WorldCupMatches!Q479</f>
        <v>1</v>
      </c>
      <c r="D479" s="1">
        <f>WorldCupMatches!R479</f>
        <v>4</v>
      </c>
      <c r="E479" s="1" t="str">
        <f>WorldCupMatches!S479</f>
        <v>Switzerland</v>
      </c>
      <c r="F479" s="1" t="str">
        <f>WorldCupMatches!T479</f>
        <v xml:space="preserve"> </v>
      </c>
      <c r="G479" s="1" t="str">
        <f>WorldCupMatches!U479</f>
        <v>Group stages</v>
      </c>
      <c r="J479" s="1">
        <f>COUNTIF($L$2:L479,L479)</f>
        <v>3</v>
      </c>
      <c r="K479" s="1">
        <f>Table3[[#This Row],[Year]]</f>
        <v>1994</v>
      </c>
      <c r="L479" s="1" t="str">
        <f>Table3[[#This Row],[Hometeam]]</f>
        <v>Romania</v>
      </c>
      <c r="M479" s="1" t="str">
        <f>IF(J479=1,J479+ROWS($J$2:J479)/10000,"")</f>
        <v/>
      </c>
      <c r="N479" s="1" t="str">
        <f>IFERROR(SMALL($M$2:$M$1705,ROWS($M$2:M479)),"")</f>
        <v/>
      </c>
      <c r="O479" s="1" t="str">
        <f>IF(N479&lt;&gt;"",INDEX($L$2:$L$1705,MATCH(N479,$M$2:$M$1705,0)),"")</f>
        <v/>
      </c>
      <c r="P479" s="1" t="str">
        <f>IF(O479&lt;&gt;"",ROWS($O$2:O479),"")</f>
        <v/>
      </c>
    </row>
    <row r="480" spans="1:16" x14ac:dyDescent="0.2">
      <c r="A480" s="1">
        <f>WorldCupMatches!O480</f>
        <v>1994</v>
      </c>
      <c r="B480" s="1" t="str">
        <f>WorldCupMatches!P480</f>
        <v>USA</v>
      </c>
      <c r="C480" s="1">
        <f>WorldCupMatches!Q480</f>
        <v>2</v>
      </c>
      <c r="D480" s="1">
        <f>WorldCupMatches!R480</f>
        <v>1</v>
      </c>
      <c r="E480" s="1" t="str">
        <f>WorldCupMatches!S480</f>
        <v>Colombia</v>
      </c>
      <c r="F480" s="1" t="str">
        <f>WorldCupMatches!T480</f>
        <v xml:space="preserve"> </v>
      </c>
      <c r="G480" s="1" t="str">
        <f>WorldCupMatches!U480</f>
        <v>Group stages</v>
      </c>
      <c r="J480" s="1">
        <f>COUNTIF($L$2:L480,L480)</f>
        <v>6</v>
      </c>
      <c r="K480" s="1">
        <f>Table3[[#This Row],[Year]]</f>
        <v>1994</v>
      </c>
      <c r="L480" s="1" t="str">
        <f>Table3[[#This Row],[Hometeam]]</f>
        <v>USA</v>
      </c>
      <c r="M480" s="1" t="str">
        <f>IF(J480=1,J480+ROWS($J$2:J480)/10000,"")</f>
        <v/>
      </c>
      <c r="N480" s="1" t="str">
        <f>IFERROR(SMALL($M$2:$M$1705,ROWS($M$2:M480)),"")</f>
        <v/>
      </c>
      <c r="O480" s="1" t="str">
        <f>IF(N480&lt;&gt;"",INDEX($L$2:$L$1705,MATCH(N480,$M$2:$M$1705,0)),"")</f>
        <v/>
      </c>
      <c r="P480" s="1" t="str">
        <f>IF(O480&lt;&gt;"",ROWS($O$2:O480),"")</f>
        <v/>
      </c>
    </row>
    <row r="481" spans="1:16" x14ac:dyDescent="0.2">
      <c r="A481" s="1">
        <f>WorldCupMatches!O481</f>
        <v>1994</v>
      </c>
      <c r="B481" s="1" t="str">
        <f>WorldCupMatches!P481</f>
        <v>Italy</v>
      </c>
      <c r="C481" s="1">
        <f>WorldCupMatches!Q481</f>
        <v>1</v>
      </c>
      <c r="D481" s="1">
        <f>WorldCupMatches!R481</f>
        <v>0</v>
      </c>
      <c r="E481" s="1" t="str">
        <f>WorldCupMatches!S481</f>
        <v>Norway</v>
      </c>
      <c r="F481" s="1" t="str">
        <f>WorldCupMatches!T481</f>
        <v xml:space="preserve"> </v>
      </c>
      <c r="G481" s="1" t="str">
        <f>WorldCupMatches!U481</f>
        <v>Group stages</v>
      </c>
      <c r="J481" s="1">
        <f>COUNTIF($L$2:L481,L481)</f>
        <v>39</v>
      </c>
      <c r="K481" s="1">
        <f>Table3[[#This Row],[Year]]</f>
        <v>1994</v>
      </c>
      <c r="L481" s="1" t="str">
        <f>Table3[[#This Row],[Hometeam]]</f>
        <v>Italy</v>
      </c>
      <c r="M481" s="1" t="str">
        <f>IF(J481=1,J481+ROWS($J$2:J481)/10000,"")</f>
        <v/>
      </c>
      <c r="N481" s="1" t="str">
        <f>IFERROR(SMALL($M$2:$M$1705,ROWS($M$2:M481)),"")</f>
        <v/>
      </c>
      <c r="O481" s="1" t="str">
        <f>IF(N481&lt;&gt;"",INDEX($L$2:$L$1705,MATCH(N481,$M$2:$M$1705,0)),"")</f>
        <v/>
      </c>
      <c r="P481" s="1" t="str">
        <f>IF(O481&lt;&gt;"",ROWS($O$2:O481),"")</f>
        <v/>
      </c>
    </row>
    <row r="482" spans="1:16" x14ac:dyDescent="0.2">
      <c r="A482" s="1">
        <f>WorldCupMatches!O482</f>
        <v>1994</v>
      </c>
      <c r="B482" s="1" t="str">
        <f>WorldCupMatches!P482</f>
        <v>Korea Republic</v>
      </c>
      <c r="C482" s="1">
        <f>WorldCupMatches!Q482</f>
        <v>0</v>
      </c>
      <c r="D482" s="1">
        <f>WorldCupMatches!R482</f>
        <v>0</v>
      </c>
      <c r="E482" s="1" t="str">
        <f>WorldCupMatches!S482</f>
        <v>Bolivia</v>
      </c>
      <c r="F482" s="1" t="str">
        <f>WorldCupMatches!T482</f>
        <v xml:space="preserve"> </v>
      </c>
      <c r="G482" s="1" t="str">
        <f>WorldCupMatches!U482</f>
        <v>Group stages</v>
      </c>
      <c r="J482" s="1">
        <f>COUNTIF($L$2:L482,L482)</f>
        <v>5</v>
      </c>
      <c r="K482" s="1">
        <f>Table3[[#This Row],[Year]]</f>
        <v>1994</v>
      </c>
      <c r="L482" s="1" t="str">
        <f>Table3[[#This Row],[Hometeam]]</f>
        <v>Korea Republic</v>
      </c>
      <c r="M482" s="1" t="str">
        <f>IF(J482=1,J482+ROWS($J$2:J482)/10000,"")</f>
        <v/>
      </c>
      <c r="N482" s="1" t="str">
        <f>IFERROR(SMALL($M$2:$M$1705,ROWS($M$2:M482)),"")</f>
        <v/>
      </c>
      <c r="O482" s="1" t="str">
        <f>IF(N482&lt;&gt;"",INDEX($L$2:$L$1705,MATCH(N482,$M$2:$M$1705,0)),"")</f>
        <v/>
      </c>
      <c r="P482" s="1" t="str">
        <f>IF(O482&lt;&gt;"",ROWS($O$2:O482),"")</f>
        <v/>
      </c>
    </row>
    <row r="483" spans="1:16" x14ac:dyDescent="0.2">
      <c r="A483" s="1">
        <f>WorldCupMatches!O483</f>
        <v>1994</v>
      </c>
      <c r="B483" s="1" t="str">
        <f>WorldCupMatches!P483</f>
        <v>Mexico</v>
      </c>
      <c r="C483" s="1">
        <f>WorldCupMatches!Q483</f>
        <v>2</v>
      </c>
      <c r="D483" s="1">
        <f>WorldCupMatches!R483</f>
        <v>1</v>
      </c>
      <c r="E483" s="1" t="str">
        <f>WorldCupMatches!S483</f>
        <v>Republic of Ireland</v>
      </c>
      <c r="F483" s="1" t="str">
        <f>WorldCupMatches!T483</f>
        <v xml:space="preserve"> </v>
      </c>
      <c r="G483" s="1" t="str">
        <f>WorldCupMatches!U483</f>
        <v>Group stages</v>
      </c>
      <c r="J483" s="1">
        <f>COUNTIF($L$2:L483,L483)</f>
        <v>8</v>
      </c>
      <c r="K483" s="1">
        <f>Table3[[#This Row],[Year]]</f>
        <v>1994</v>
      </c>
      <c r="L483" s="1" t="str">
        <f>Table3[[#This Row],[Hometeam]]</f>
        <v>Mexico</v>
      </c>
      <c r="M483" s="1" t="str">
        <f>IF(J483=1,J483+ROWS($J$2:J483)/10000,"")</f>
        <v/>
      </c>
      <c r="N483" s="1" t="str">
        <f>IFERROR(SMALL($M$2:$M$1705,ROWS($M$2:M483)),"")</f>
        <v/>
      </c>
      <c r="O483" s="1" t="str">
        <f>IF(N483&lt;&gt;"",INDEX($L$2:$L$1705,MATCH(N483,$M$2:$M$1705,0)),"")</f>
        <v/>
      </c>
      <c r="P483" s="1" t="str">
        <f>IF(O483&lt;&gt;"",ROWS($O$2:O483),"")</f>
        <v/>
      </c>
    </row>
    <row r="484" spans="1:16" x14ac:dyDescent="0.2">
      <c r="A484" s="1">
        <f>WorldCupMatches!O484</f>
        <v>1994</v>
      </c>
      <c r="B484" s="1" t="str">
        <f>WorldCupMatches!P484</f>
        <v>Sweden</v>
      </c>
      <c r="C484" s="1">
        <f>WorldCupMatches!Q484</f>
        <v>3</v>
      </c>
      <c r="D484" s="1">
        <f>WorldCupMatches!R484</f>
        <v>1</v>
      </c>
      <c r="E484" s="1" t="str">
        <f>WorldCupMatches!S484</f>
        <v>Russia</v>
      </c>
      <c r="F484" s="1" t="str">
        <f>WorldCupMatches!T484</f>
        <v xml:space="preserve"> </v>
      </c>
      <c r="G484" s="1" t="str">
        <f>WorldCupMatches!U484</f>
        <v>Group stages</v>
      </c>
      <c r="J484" s="1">
        <f>COUNTIF($L$2:L484,L484)</f>
        <v>20</v>
      </c>
      <c r="K484" s="1">
        <f>Table3[[#This Row],[Year]]</f>
        <v>1994</v>
      </c>
      <c r="L484" s="1" t="str">
        <f>Table3[[#This Row],[Hometeam]]</f>
        <v>Sweden</v>
      </c>
      <c r="M484" s="1" t="str">
        <f>IF(J484=1,J484+ROWS($J$2:J484)/10000,"")</f>
        <v/>
      </c>
      <c r="N484" s="1" t="str">
        <f>IFERROR(SMALL($M$2:$M$1705,ROWS($M$2:M484)),"")</f>
        <v/>
      </c>
      <c r="O484" s="1" t="str">
        <f>IF(N484&lt;&gt;"",INDEX($L$2:$L$1705,MATCH(N484,$M$2:$M$1705,0)),"")</f>
        <v/>
      </c>
      <c r="P484" s="1" t="str">
        <f>IF(O484&lt;&gt;"",ROWS($O$2:O484),"")</f>
        <v/>
      </c>
    </row>
    <row r="485" spans="1:16" x14ac:dyDescent="0.2">
      <c r="A485" s="1">
        <f>WorldCupMatches!O485</f>
        <v>1994</v>
      </c>
      <c r="B485" s="1" t="str">
        <f>WorldCupMatches!P485</f>
        <v>Brazil</v>
      </c>
      <c r="C485" s="1">
        <f>WorldCupMatches!Q485</f>
        <v>3</v>
      </c>
      <c r="D485" s="1">
        <f>WorldCupMatches!R485</f>
        <v>0</v>
      </c>
      <c r="E485" s="1" t="str">
        <f>WorldCupMatches!S485</f>
        <v>Cameroon</v>
      </c>
      <c r="F485" s="1" t="str">
        <f>WorldCupMatches!T485</f>
        <v xml:space="preserve"> </v>
      </c>
      <c r="G485" s="1" t="str">
        <f>WorldCupMatches!U485</f>
        <v>Group stages</v>
      </c>
      <c r="J485" s="1">
        <f>COUNTIF($L$2:L485,L485)</f>
        <v>51</v>
      </c>
      <c r="K485" s="1">
        <f>Table3[[#This Row],[Year]]</f>
        <v>1994</v>
      </c>
      <c r="L485" s="1" t="str">
        <f>Table3[[#This Row],[Hometeam]]</f>
        <v>Brazil</v>
      </c>
      <c r="M485" s="1" t="str">
        <f>IF(J485=1,J485+ROWS($J$2:J485)/10000,"")</f>
        <v/>
      </c>
      <c r="N485" s="1" t="str">
        <f>IFERROR(SMALL($M$2:$M$1705,ROWS($M$2:M485)),"")</f>
        <v/>
      </c>
      <c r="O485" s="1" t="str">
        <f>IF(N485&lt;&gt;"",INDEX($L$2:$L$1705,MATCH(N485,$M$2:$M$1705,0)),"")</f>
        <v/>
      </c>
      <c r="P485" s="1" t="str">
        <f>IF(O485&lt;&gt;"",ROWS($O$2:O485),"")</f>
        <v/>
      </c>
    </row>
    <row r="486" spans="1:16" x14ac:dyDescent="0.2">
      <c r="A486" s="1">
        <f>WorldCupMatches!O486</f>
        <v>1994</v>
      </c>
      <c r="B486" s="1" t="str">
        <f>WorldCupMatches!P486</f>
        <v>Belgium</v>
      </c>
      <c r="C486" s="1">
        <f>WorldCupMatches!Q486</f>
        <v>1</v>
      </c>
      <c r="D486" s="1">
        <f>WorldCupMatches!R486</f>
        <v>0</v>
      </c>
      <c r="E486" s="1" t="str">
        <f>WorldCupMatches!S486</f>
        <v>Netherlands</v>
      </c>
      <c r="F486" s="1" t="str">
        <f>WorldCupMatches!T486</f>
        <v xml:space="preserve"> </v>
      </c>
      <c r="G486" s="1" t="str">
        <f>WorldCupMatches!U486</f>
        <v>Group stages</v>
      </c>
      <c r="J486" s="1">
        <f>COUNTIF($L$2:L486,L486)</f>
        <v>10</v>
      </c>
      <c r="K486" s="1">
        <f>Table3[[#This Row],[Year]]</f>
        <v>1994</v>
      </c>
      <c r="L486" s="1" t="str">
        <f>Table3[[#This Row],[Hometeam]]</f>
        <v>Belgium</v>
      </c>
      <c r="M486" s="1" t="str">
        <f>IF(J486=1,J486+ROWS($J$2:J486)/10000,"")</f>
        <v/>
      </c>
      <c r="N486" s="1" t="str">
        <f>IFERROR(SMALL($M$2:$M$1705,ROWS($M$2:M486)),"")</f>
        <v/>
      </c>
      <c r="O486" s="1" t="str">
        <f>IF(N486&lt;&gt;"",INDEX($L$2:$L$1705,MATCH(N486,$M$2:$M$1705,0)),"")</f>
        <v/>
      </c>
      <c r="P486" s="1" t="str">
        <f>IF(O486&lt;&gt;"",ROWS($O$2:O486),"")</f>
        <v/>
      </c>
    </row>
    <row r="487" spans="1:16" x14ac:dyDescent="0.2">
      <c r="A487" s="1">
        <f>WorldCupMatches!O487</f>
        <v>1994</v>
      </c>
      <c r="B487" s="1" t="str">
        <f>WorldCupMatches!P487</f>
        <v>Saudi Arabia</v>
      </c>
      <c r="C487" s="1">
        <f>WorldCupMatches!Q487</f>
        <v>2</v>
      </c>
      <c r="D487" s="1">
        <f>WorldCupMatches!R487</f>
        <v>1</v>
      </c>
      <c r="E487" s="1" t="str">
        <f>WorldCupMatches!S487</f>
        <v>Morocco</v>
      </c>
      <c r="F487" s="1" t="str">
        <f>WorldCupMatches!T487</f>
        <v xml:space="preserve"> </v>
      </c>
      <c r="G487" s="1" t="str">
        <f>WorldCupMatches!U487</f>
        <v>Group stages</v>
      </c>
      <c r="J487" s="1">
        <f>COUNTIF($L$2:L487,L487)</f>
        <v>1</v>
      </c>
      <c r="K487" s="1">
        <f>Table3[[#This Row],[Year]]</f>
        <v>1994</v>
      </c>
      <c r="L487" s="1" t="str">
        <f>Table3[[#This Row],[Hometeam]]</f>
        <v>Saudi Arabia</v>
      </c>
      <c r="M487" s="1">
        <f>IF(J487=1,J487+ROWS($J$2:J487)/10000,"")</f>
        <v>1.0486</v>
      </c>
      <c r="N487" s="1" t="str">
        <f>IFERROR(SMALL($M$2:$M$1705,ROWS($M$2:M487)),"")</f>
        <v/>
      </c>
      <c r="O487" s="1" t="str">
        <f>IF(N487&lt;&gt;"",INDEX($L$2:$L$1705,MATCH(N487,$M$2:$M$1705,0)),"")</f>
        <v/>
      </c>
      <c r="P487" s="1" t="str">
        <f>IF(O487&lt;&gt;"",ROWS($O$2:O487),"")</f>
        <v/>
      </c>
    </row>
    <row r="488" spans="1:16" x14ac:dyDescent="0.2">
      <c r="A488" s="1">
        <f>WorldCupMatches!O488</f>
        <v>1994</v>
      </c>
      <c r="B488" s="1" t="str">
        <f>WorldCupMatches!P488</f>
        <v>Argentina</v>
      </c>
      <c r="C488" s="1">
        <f>WorldCupMatches!Q488</f>
        <v>2</v>
      </c>
      <c r="D488" s="1">
        <f>WorldCupMatches!R488</f>
        <v>1</v>
      </c>
      <c r="E488" s="1" t="str">
        <f>WorldCupMatches!S488</f>
        <v>Nigeria</v>
      </c>
      <c r="F488" s="1" t="str">
        <f>WorldCupMatches!T488</f>
        <v xml:space="preserve"> </v>
      </c>
      <c r="G488" s="1" t="str">
        <f>WorldCupMatches!U488</f>
        <v>Group stages</v>
      </c>
      <c r="J488" s="1">
        <f>COUNTIF($L$2:L488,L488)</f>
        <v>34</v>
      </c>
      <c r="K488" s="1">
        <f>Table3[[#This Row],[Year]]</f>
        <v>1994</v>
      </c>
      <c r="L488" s="1" t="str">
        <f>Table3[[#This Row],[Hometeam]]</f>
        <v>Argentina</v>
      </c>
      <c r="M488" s="1" t="str">
        <f>IF(J488=1,J488+ROWS($J$2:J488)/10000,"")</f>
        <v/>
      </c>
      <c r="N488" s="1" t="str">
        <f>IFERROR(SMALL($M$2:$M$1705,ROWS($M$2:M488)),"")</f>
        <v/>
      </c>
      <c r="O488" s="1" t="str">
        <f>IF(N488&lt;&gt;"",INDEX($L$2:$L$1705,MATCH(N488,$M$2:$M$1705,0)),"")</f>
        <v/>
      </c>
      <c r="P488" s="1" t="str">
        <f>IF(O488&lt;&gt;"",ROWS($O$2:O488),"")</f>
        <v/>
      </c>
    </row>
    <row r="489" spans="1:16" x14ac:dyDescent="0.2">
      <c r="A489" s="1">
        <f>WorldCupMatches!O489</f>
        <v>1994</v>
      </c>
      <c r="B489" s="1" t="str">
        <f>WorldCupMatches!P489</f>
        <v>Bulgaria</v>
      </c>
      <c r="C489" s="1">
        <f>WorldCupMatches!Q489</f>
        <v>4</v>
      </c>
      <c r="D489" s="1">
        <f>WorldCupMatches!R489</f>
        <v>0</v>
      </c>
      <c r="E489" s="1" t="str">
        <f>WorldCupMatches!S489</f>
        <v>Greece</v>
      </c>
      <c r="F489" s="1" t="str">
        <f>WorldCupMatches!T489</f>
        <v xml:space="preserve"> </v>
      </c>
      <c r="G489" s="1" t="str">
        <f>WorldCupMatches!U489</f>
        <v>Group stages</v>
      </c>
      <c r="J489" s="1">
        <f>COUNTIF($L$2:L489,L489)</f>
        <v>5</v>
      </c>
      <c r="K489" s="1">
        <f>Table3[[#This Row],[Year]]</f>
        <v>1994</v>
      </c>
      <c r="L489" s="1" t="str">
        <f>Table3[[#This Row],[Hometeam]]</f>
        <v>Bulgaria</v>
      </c>
      <c r="M489" s="1" t="str">
        <f>IF(J489=1,J489+ROWS($J$2:J489)/10000,"")</f>
        <v/>
      </c>
      <c r="N489" s="1" t="str">
        <f>IFERROR(SMALL($M$2:$M$1705,ROWS($M$2:M489)),"")</f>
        <v/>
      </c>
      <c r="O489" s="1" t="str">
        <f>IF(N489&lt;&gt;"",INDEX($L$2:$L$1705,MATCH(N489,$M$2:$M$1705,0)),"")</f>
        <v/>
      </c>
      <c r="P489" s="1" t="str">
        <f>IF(O489&lt;&gt;"",ROWS($O$2:O489),"")</f>
        <v/>
      </c>
    </row>
    <row r="490" spans="1:16" x14ac:dyDescent="0.2">
      <c r="A490" s="1">
        <f>WorldCupMatches!O490</f>
        <v>1994</v>
      </c>
      <c r="B490" s="1" t="str">
        <f>WorldCupMatches!P490</f>
        <v>USA</v>
      </c>
      <c r="C490" s="1">
        <f>WorldCupMatches!Q490</f>
        <v>0</v>
      </c>
      <c r="D490" s="1">
        <f>WorldCupMatches!R490</f>
        <v>1</v>
      </c>
      <c r="E490" s="1" t="str">
        <f>WorldCupMatches!S490</f>
        <v>Romania</v>
      </c>
      <c r="F490" s="1" t="str">
        <f>WorldCupMatches!T490</f>
        <v xml:space="preserve"> </v>
      </c>
      <c r="G490" s="1" t="str">
        <f>WorldCupMatches!U490</f>
        <v>Group stages</v>
      </c>
      <c r="J490" s="1">
        <f>COUNTIF($L$2:L490,L490)</f>
        <v>7</v>
      </c>
      <c r="K490" s="1">
        <f>Table3[[#This Row],[Year]]</f>
        <v>1994</v>
      </c>
      <c r="L490" s="1" t="str">
        <f>Table3[[#This Row],[Hometeam]]</f>
        <v>USA</v>
      </c>
      <c r="M490" s="1" t="str">
        <f>IF(J490=1,J490+ROWS($J$2:J490)/10000,"")</f>
        <v/>
      </c>
      <c r="N490" s="1" t="str">
        <f>IFERROR(SMALL($M$2:$M$1705,ROWS($M$2:M490)),"")</f>
        <v/>
      </c>
      <c r="O490" s="1" t="str">
        <f>IF(N490&lt;&gt;"",INDEX($L$2:$L$1705,MATCH(N490,$M$2:$M$1705,0)),"")</f>
        <v/>
      </c>
      <c r="P490" s="1" t="str">
        <f>IF(O490&lt;&gt;"",ROWS($O$2:O490),"")</f>
        <v/>
      </c>
    </row>
    <row r="491" spans="1:16" x14ac:dyDescent="0.2">
      <c r="A491" s="1">
        <f>WorldCupMatches!O491</f>
        <v>1994</v>
      </c>
      <c r="B491" s="1" t="str">
        <f>WorldCupMatches!P491</f>
        <v>Switzerland</v>
      </c>
      <c r="C491" s="1">
        <f>WorldCupMatches!Q491</f>
        <v>0</v>
      </c>
      <c r="D491" s="1">
        <f>WorldCupMatches!R491</f>
        <v>2</v>
      </c>
      <c r="E491" s="1" t="str">
        <f>WorldCupMatches!S491</f>
        <v>Colombia</v>
      </c>
      <c r="F491" s="1" t="str">
        <f>WorldCupMatches!T491</f>
        <v xml:space="preserve"> </v>
      </c>
      <c r="G491" s="1" t="str">
        <f>WorldCupMatches!U491</f>
        <v>Group stages</v>
      </c>
      <c r="J491" s="1">
        <f>COUNTIF($L$2:L491,L491)</f>
        <v>7</v>
      </c>
      <c r="K491" s="1">
        <f>Table3[[#This Row],[Year]]</f>
        <v>1994</v>
      </c>
      <c r="L491" s="1" t="str">
        <f>Table3[[#This Row],[Hometeam]]</f>
        <v>Switzerland</v>
      </c>
      <c r="M491" s="1" t="str">
        <f>IF(J491=1,J491+ROWS($J$2:J491)/10000,"")</f>
        <v/>
      </c>
      <c r="N491" s="1" t="str">
        <f>IFERROR(SMALL($M$2:$M$1705,ROWS($M$2:M491)),"")</f>
        <v/>
      </c>
      <c r="O491" s="1" t="str">
        <f>IF(N491&lt;&gt;"",INDEX($L$2:$L$1705,MATCH(N491,$M$2:$M$1705,0)),"")</f>
        <v/>
      </c>
      <c r="P491" s="1" t="str">
        <f>IF(O491&lt;&gt;"",ROWS($O$2:O491),"")</f>
        <v/>
      </c>
    </row>
    <row r="492" spans="1:16" x14ac:dyDescent="0.2">
      <c r="A492" s="1">
        <f>WorldCupMatches!O492</f>
        <v>1994</v>
      </c>
      <c r="B492" s="1" t="str">
        <f>WorldCupMatches!P492</f>
        <v>Germany</v>
      </c>
      <c r="C492" s="1">
        <f>WorldCupMatches!Q492</f>
        <v>3</v>
      </c>
      <c r="D492" s="1">
        <f>WorldCupMatches!R492</f>
        <v>2</v>
      </c>
      <c r="E492" s="1" t="str">
        <f>WorldCupMatches!S492</f>
        <v>Korea Republic</v>
      </c>
      <c r="F492" s="1" t="str">
        <f>WorldCupMatches!T492</f>
        <v xml:space="preserve"> </v>
      </c>
      <c r="G492" s="1" t="str">
        <f>WorldCupMatches!U492</f>
        <v>Group stages</v>
      </c>
      <c r="J492" s="1">
        <f>COUNTIF($L$2:L492,L492)</f>
        <v>6</v>
      </c>
      <c r="K492" s="1">
        <f>Table3[[#This Row],[Year]]</f>
        <v>1994</v>
      </c>
      <c r="L492" s="1" t="str">
        <f>Table3[[#This Row],[Hometeam]]</f>
        <v>Germany</v>
      </c>
      <c r="M492" s="1" t="str">
        <f>IF(J492=1,J492+ROWS($J$2:J492)/10000,"")</f>
        <v/>
      </c>
      <c r="N492" s="1" t="str">
        <f>IFERROR(SMALL($M$2:$M$1705,ROWS($M$2:M492)),"")</f>
        <v/>
      </c>
      <c r="O492" s="1" t="str">
        <f>IF(N492&lt;&gt;"",INDEX($L$2:$L$1705,MATCH(N492,$M$2:$M$1705,0)),"")</f>
        <v/>
      </c>
      <c r="P492" s="1" t="str">
        <f>IF(O492&lt;&gt;"",ROWS($O$2:O492),"")</f>
        <v/>
      </c>
    </row>
    <row r="493" spans="1:16" x14ac:dyDescent="0.2">
      <c r="A493" s="1">
        <f>WorldCupMatches!O493</f>
        <v>1994</v>
      </c>
      <c r="B493" s="1" t="str">
        <f>WorldCupMatches!P493</f>
        <v>Bolivia</v>
      </c>
      <c r="C493" s="1">
        <f>WorldCupMatches!Q493</f>
        <v>1</v>
      </c>
      <c r="D493" s="1">
        <f>WorldCupMatches!R493</f>
        <v>3</v>
      </c>
      <c r="E493" s="1" t="str">
        <f>WorldCupMatches!S493</f>
        <v>Spain</v>
      </c>
      <c r="F493" s="1" t="str">
        <f>WorldCupMatches!T493</f>
        <v xml:space="preserve"> </v>
      </c>
      <c r="G493" s="1" t="str">
        <f>WorldCupMatches!U493</f>
        <v>Group stages</v>
      </c>
      <c r="J493" s="1">
        <f>COUNTIF($L$2:L493,L493)</f>
        <v>1</v>
      </c>
      <c r="K493" s="1">
        <f>Table3[[#This Row],[Year]]</f>
        <v>1994</v>
      </c>
      <c r="L493" s="1" t="str">
        <f>Table3[[#This Row],[Hometeam]]</f>
        <v>Bolivia</v>
      </c>
      <c r="M493" s="1">
        <f>IF(J493=1,J493+ROWS($J$2:J493)/10000,"")</f>
        <v>1.0491999999999999</v>
      </c>
      <c r="N493" s="1" t="str">
        <f>IFERROR(SMALL($M$2:$M$1705,ROWS($M$2:M493)),"")</f>
        <v/>
      </c>
      <c r="O493" s="1" t="str">
        <f>IF(N493&lt;&gt;"",INDEX($L$2:$L$1705,MATCH(N493,$M$2:$M$1705,0)),"")</f>
        <v/>
      </c>
      <c r="P493" s="1" t="str">
        <f>IF(O493&lt;&gt;"",ROWS($O$2:O493),"")</f>
        <v/>
      </c>
    </row>
    <row r="494" spans="1:16" x14ac:dyDescent="0.2">
      <c r="A494" s="1">
        <f>WorldCupMatches!O494</f>
        <v>1994</v>
      </c>
      <c r="B494" s="1" t="str">
        <f>WorldCupMatches!P494</f>
        <v>Republic of Ireland</v>
      </c>
      <c r="C494" s="1">
        <f>WorldCupMatches!Q494</f>
        <v>0</v>
      </c>
      <c r="D494" s="1">
        <f>WorldCupMatches!R494</f>
        <v>0</v>
      </c>
      <c r="E494" s="1" t="str">
        <f>WorldCupMatches!S494</f>
        <v>Norway</v>
      </c>
      <c r="F494" s="1" t="str">
        <f>WorldCupMatches!T494</f>
        <v xml:space="preserve"> </v>
      </c>
      <c r="G494" s="1" t="str">
        <f>WorldCupMatches!U494</f>
        <v>Group stages</v>
      </c>
      <c r="J494" s="1">
        <f>COUNTIF($L$2:L494,L494)</f>
        <v>4</v>
      </c>
      <c r="K494" s="1">
        <f>Table3[[#This Row],[Year]]</f>
        <v>1994</v>
      </c>
      <c r="L494" s="1" t="str">
        <f>Table3[[#This Row],[Hometeam]]</f>
        <v>Republic of Ireland</v>
      </c>
      <c r="M494" s="1" t="str">
        <f>IF(J494=1,J494+ROWS($J$2:J494)/10000,"")</f>
        <v/>
      </c>
      <c r="N494" s="1" t="str">
        <f>IFERROR(SMALL($M$2:$M$1705,ROWS($M$2:M494)),"")</f>
        <v/>
      </c>
      <c r="O494" s="1" t="str">
        <f>IF(N494&lt;&gt;"",INDEX($L$2:$L$1705,MATCH(N494,$M$2:$M$1705,0)),"")</f>
        <v/>
      </c>
      <c r="P494" s="1" t="str">
        <f>IF(O494&lt;&gt;"",ROWS($O$2:O494),"")</f>
        <v/>
      </c>
    </row>
    <row r="495" spans="1:16" x14ac:dyDescent="0.2">
      <c r="A495" s="1">
        <f>WorldCupMatches!O495</f>
        <v>1994</v>
      </c>
      <c r="B495" s="1" t="str">
        <f>WorldCupMatches!P495</f>
        <v>Brazil</v>
      </c>
      <c r="C495" s="1">
        <f>WorldCupMatches!Q495</f>
        <v>1</v>
      </c>
      <c r="D495" s="1">
        <f>WorldCupMatches!R495</f>
        <v>1</v>
      </c>
      <c r="E495" s="1" t="str">
        <f>WorldCupMatches!S495</f>
        <v>Sweden</v>
      </c>
      <c r="F495" s="1" t="str">
        <f>WorldCupMatches!T495</f>
        <v xml:space="preserve"> </v>
      </c>
      <c r="G495" s="1" t="str">
        <f>WorldCupMatches!U495</f>
        <v>Group stages</v>
      </c>
      <c r="J495" s="1">
        <f>COUNTIF($L$2:L495,L495)</f>
        <v>52</v>
      </c>
      <c r="K495" s="1">
        <f>Table3[[#This Row],[Year]]</f>
        <v>1994</v>
      </c>
      <c r="L495" s="1" t="str">
        <f>Table3[[#This Row],[Hometeam]]</f>
        <v>Brazil</v>
      </c>
      <c r="M495" s="1" t="str">
        <f>IF(J495=1,J495+ROWS($J$2:J495)/10000,"")</f>
        <v/>
      </c>
      <c r="N495" s="1" t="str">
        <f>IFERROR(SMALL($M$2:$M$1705,ROWS($M$2:M495)),"")</f>
        <v/>
      </c>
      <c r="O495" s="1" t="str">
        <f>IF(N495&lt;&gt;"",INDEX($L$2:$L$1705,MATCH(N495,$M$2:$M$1705,0)),"")</f>
        <v/>
      </c>
      <c r="P495" s="1" t="str">
        <f>IF(O495&lt;&gt;"",ROWS($O$2:O495),"")</f>
        <v/>
      </c>
    </row>
    <row r="496" spans="1:16" x14ac:dyDescent="0.2">
      <c r="A496" s="1">
        <f>WorldCupMatches!O496</f>
        <v>1994</v>
      </c>
      <c r="B496" s="1" t="str">
        <f>WorldCupMatches!P496</f>
        <v>Italy</v>
      </c>
      <c r="C496" s="1">
        <f>WorldCupMatches!Q496</f>
        <v>1</v>
      </c>
      <c r="D496" s="1">
        <f>WorldCupMatches!R496</f>
        <v>1</v>
      </c>
      <c r="E496" s="1" t="str">
        <f>WorldCupMatches!S496</f>
        <v>Mexico</v>
      </c>
      <c r="F496" s="1" t="str">
        <f>WorldCupMatches!T496</f>
        <v xml:space="preserve"> </v>
      </c>
      <c r="G496" s="1" t="str">
        <f>WorldCupMatches!U496</f>
        <v>Group stages</v>
      </c>
      <c r="J496" s="1">
        <f>COUNTIF($L$2:L496,L496)</f>
        <v>40</v>
      </c>
      <c r="K496" s="1">
        <f>Table3[[#This Row],[Year]]</f>
        <v>1994</v>
      </c>
      <c r="L496" s="1" t="str">
        <f>Table3[[#This Row],[Hometeam]]</f>
        <v>Italy</v>
      </c>
      <c r="M496" s="1" t="str">
        <f>IF(J496=1,J496+ROWS($J$2:J496)/10000,"")</f>
        <v/>
      </c>
      <c r="N496" s="1" t="str">
        <f>IFERROR(SMALL($M$2:$M$1705,ROWS($M$2:M496)),"")</f>
        <v/>
      </c>
      <c r="O496" s="1" t="str">
        <f>IF(N496&lt;&gt;"",INDEX($L$2:$L$1705,MATCH(N496,$M$2:$M$1705,0)),"")</f>
        <v/>
      </c>
      <c r="P496" s="1" t="str">
        <f>IF(O496&lt;&gt;"",ROWS($O$2:O496),"")</f>
        <v/>
      </c>
    </row>
    <row r="497" spans="1:16" x14ac:dyDescent="0.2">
      <c r="A497" s="1">
        <f>WorldCupMatches!O497</f>
        <v>1994</v>
      </c>
      <c r="B497" s="1" t="str">
        <f>WorldCupMatches!P497</f>
        <v>Russia</v>
      </c>
      <c r="C497" s="1">
        <f>WorldCupMatches!Q497</f>
        <v>6</v>
      </c>
      <c r="D497" s="1">
        <f>WorldCupMatches!R497</f>
        <v>1</v>
      </c>
      <c r="E497" s="1" t="str">
        <f>WorldCupMatches!S497</f>
        <v>Cameroon</v>
      </c>
      <c r="F497" s="1" t="str">
        <f>WorldCupMatches!T497</f>
        <v xml:space="preserve"> </v>
      </c>
      <c r="G497" s="1" t="str">
        <f>WorldCupMatches!U497</f>
        <v>Group stages</v>
      </c>
      <c r="J497" s="1">
        <f>COUNTIF($L$2:L497,L497)</f>
        <v>1</v>
      </c>
      <c r="K497" s="1">
        <f>Table3[[#This Row],[Year]]</f>
        <v>1994</v>
      </c>
      <c r="L497" s="1" t="str">
        <f>Table3[[#This Row],[Hometeam]]</f>
        <v>Russia</v>
      </c>
      <c r="M497" s="1">
        <f>IF(J497=1,J497+ROWS($J$2:J497)/10000,"")</f>
        <v>1.0496000000000001</v>
      </c>
      <c r="N497" s="1" t="str">
        <f>IFERROR(SMALL($M$2:$M$1705,ROWS($M$2:M497)),"")</f>
        <v/>
      </c>
      <c r="O497" s="1" t="str">
        <f>IF(N497&lt;&gt;"",INDEX($L$2:$L$1705,MATCH(N497,$M$2:$M$1705,0)),"")</f>
        <v/>
      </c>
      <c r="P497" s="1" t="str">
        <f>IF(O497&lt;&gt;"",ROWS($O$2:O497),"")</f>
        <v/>
      </c>
    </row>
    <row r="498" spans="1:16" x14ac:dyDescent="0.2">
      <c r="A498" s="1">
        <f>WorldCupMatches!O498</f>
        <v>1994</v>
      </c>
      <c r="B498" s="1" t="str">
        <f>WorldCupMatches!P498</f>
        <v>Morocco</v>
      </c>
      <c r="C498" s="1">
        <f>WorldCupMatches!Q498</f>
        <v>1</v>
      </c>
      <c r="D498" s="1">
        <f>WorldCupMatches!R498</f>
        <v>2</v>
      </c>
      <c r="E498" s="1" t="str">
        <f>WorldCupMatches!S498</f>
        <v>Netherlands</v>
      </c>
      <c r="F498" s="1" t="str">
        <f>WorldCupMatches!T498</f>
        <v xml:space="preserve"> </v>
      </c>
      <c r="G498" s="1" t="str">
        <f>WorldCupMatches!U498</f>
        <v>Group stages</v>
      </c>
      <c r="J498" s="1">
        <f>COUNTIF($L$2:L498,L498)</f>
        <v>3</v>
      </c>
      <c r="K498" s="1">
        <f>Table3[[#This Row],[Year]]</f>
        <v>1994</v>
      </c>
      <c r="L498" s="1" t="str">
        <f>Table3[[#This Row],[Hometeam]]</f>
        <v>Morocco</v>
      </c>
      <c r="M498" s="1" t="str">
        <f>IF(J498=1,J498+ROWS($J$2:J498)/10000,"")</f>
        <v/>
      </c>
      <c r="N498" s="1" t="str">
        <f>IFERROR(SMALL($M$2:$M$1705,ROWS($M$2:M498)),"")</f>
        <v/>
      </c>
      <c r="O498" s="1" t="str">
        <f>IF(N498&lt;&gt;"",INDEX($L$2:$L$1705,MATCH(N498,$M$2:$M$1705,0)),"")</f>
        <v/>
      </c>
      <c r="P498" s="1" t="str">
        <f>IF(O498&lt;&gt;"",ROWS($O$2:O498),"")</f>
        <v/>
      </c>
    </row>
    <row r="499" spans="1:16" x14ac:dyDescent="0.2">
      <c r="A499" s="1">
        <f>WorldCupMatches!O499</f>
        <v>1994</v>
      </c>
      <c r="B499" s="1" t="str">
        <f>WorldCupMatches!P499</f>
        <v>Belgium</v>
      </c>
      <c r="C499" s="1">
        <f>WorldCupMatches!Q499</f>
        <v>0</v>
      </c>
      <c r="D499" s="1">
        <f>WorldCupMatches!R499</f>
        <v>1</v>
      </c>
      <c r="E499" s="1" t="str">
        <f>WorldCupMatches!S499</f>
        <v>Saudi Arabia</v>
      </c>
      <c r="F499" s="1" t="str">
        <f>WorldCupMatches!T499</f>
        <v xml:space="preserve"> </v>
      </c>
      <c r="G499" s="1" t="str">
        <f>WorldCupMatches!U499</f>
        <v>Group stages</v>
      </c>
      <c r="J499" s="1">
        <f>COUNTIF($L$2:L499,L499)</f>
        <v>11</v>
      </c>
      <c r="K499" s="1">
        <f>Table3[[#This Row],[Year]]</f>
        <v>1994</v>
      </c>
      <c r="L499" s="1" t="str">
        <f>Table3[[#This Row],[Hometeam]]</f>
        <v>Belgium</v>
      </c>
      <c r="M499" s="1" t="str">
        <f>IF(J499=1,J499+ROWS($J$2:J499)/10000,"")</f>
        <v/>
      </c>
      <c r="N499" s="1" t="str">
        <f>IFERROR(SMALL($M$2:$M$1705,ROWS($M$2:M499)),"")</f>
        <v/>
      </c>
      <c r="O499" s="1" t="str">
        <f>IF(N499&lt;&gt;"",INDEX($L$2:$L$1705,MATCH(N499,$M$2:$M$1705,0)),"")</f>
        <v/>
      </c>
      <c r="P499" s="1" t="str">
        <f>IF(O499&lt;&gt;"",ROWS($O$2:O499),"")</f>
        <v/>
      </c>
    </row>
    <row r="500" spans="1:16" x14ac:dyDescent="0.2">
      <c r="A500" s="1">
        <f>WorldCupMatches!O500</f>
        <v>1994</v>
      </c>
      <c r="B500" s="1" t="str">
        <f>WorldCupMatches!P500</f>
        <v>Greece</v>
      </c>
      <c r="C500" s="1">
        <f>WorldCupMatches!Q500</f>
        <v>0</v>
      </c>
      <c r="D500" s="1">
        <f>WorldCupMatches!R500</f>
        <v>2</v>
      </c>
      <c r="E500" s="1" t="str">
        <f>WorldCupMatches!S500</f>
        <v>Nigeria</v>
      </c>
      <c r="F500" s="1" t="str">
        <f>WorldCupMatches!T500</f>
        <v xml:space="preserve"> </v>
      </c>
      <c r="G500" s="1" t="str">
        <f>WorldCupMatches!U500</f>
        <v>Group stages</v>
      </c>
      <c r="J500" s="1">
        <f>COUNTIF($L$2:L500,L500)</f>
        <v>1</v>
      </c>
      <c r="K500" s="1">
        <f>Table3[[#This Row],[Year]]</f>
        <v>1994</v>
      </c>
      <c r="L500" s="1" t="str">
        <f>Table3[[#This Row],[Hometeam]]</f>
        <v>Greece</v>
      </c>
      <c r="M500" s="1">
        <f>IF(J500=1,J500+ROWS($J$2:J500)/10000,"")</f>
        <v>1.0499000000000001</v>
      </c>
      <c r="N500" s="1" t="str">
        <f>IFERROR(SMALL($M$2:$M$1705,ROWS($M$2:M500)),"")</f>
        <v/>
      </c>
      <c r="O500" s="1" t="str">
        <f>IF(N500&lt;&gt;"",INDEX($L$2:$L$1705,MATCH(N500,$M$2:$M$1705,0)),"")</f>
        <v/>
      </c>
      <c r="P500" s="1" t="str">
        <f>IF(O500&lt;&gt;"",ROWS($O$2:O500),"")</f>
        <v/>
      </c>
    </row>
    <row r="501" spans="1:16" x14ac:dyDescent="0.2">
      <c r="A501" s="1">
        <f>WorldCupMatches!O501</f>
        <v>1994</v>
      </c>
      <c r="B501" s="1" t="str">
        <f>WorldCupMatches!P501</f>
        <v>Argentina</v>
      </c>
      <c r="C501" s="1">
        <f>WorldCupMatches!Q501</f>
        <v>0</v>
      </c>
      <c r="D501" s="1">
        <f>WorldCupMatches!R501</f>
        <v>2</v>
      </c>
      <c r="E501" s="1" t="str">
        <f>WorldCupMatches!S501</f>
        <v>Bulgaria</v>
      </c>
      <c r="F501" s="1" t="str">
        <f>WorldCupMatches!T501</f>
        <v xml:space="preserve"> </v>
      </c>
      <c r="G501" s="1" t="str">
        <f>WorldCupMatches!U501</f>
        <v>Group stages</v>
      </c>
      <c r="J501" s="1">
        <f>COUNTIF($L$2:L501,L501)</f>
        <v>35</v>
      </c>
      <c r="K501" s="1">
        <f>Table3[[#This Row],[Year]]</f>
        <v>1994</v>
      </c>
      <c r="L501" s="1" t="str">
        <f>Table3[[#This Row],[Hometeam]]</f>
        <v>Argentina</v>
      </c>
      <c r="M501" s="1" t="str">
        <f>IF(J501=1,J501+ROWS($J$2:J501)/10000,"")</f>
        <v/>
      </c>
      <c r="N501" s="1" t="str">
        <f>IFERROR(SMALL($M$2:$M$1705,ROWS($M$2:M501)),"")</f>
        <v/>
      </c>
      <c r="O501" s="1" t="str">
        <f>IF(N501&lt;&gt;"",INDEX($L$2:$L$1705,MATCH(N501,$M$2:$M$1705,0)),"")</f>
        <v/>
      </c>
      <c r="P501" s="1" t="str">
        <f>IF(O501&lt;&gt;"",ROWS($O$2:O501),"")</f>
        <v/>
      </c>
    </row>
    <row r="502" spans="1:16" x14ac:dyDescent="0.2">
      <c r="A502" s="1">
        <f>WorldCupMatches!O502</f>
        <v>1994</v>
      </c>
      <c r="B502" s="1" t="str">
        <f>WorldCupMatches!P502</f>
        <v>Germany</v>
      </c>
      <c r="C502" s="1">
        <f>WorldCupMatches!Q502</f>
        <v>3</v>
      </c>
      <c r="D502" s="1">
        <f>WorldCupMatches!R502</f>
        <v>2</v>
      </c>
      <c r="E502" s="1" t="str">
        <f>WorldCupMatches!S502</f>
        <v>Belgium</v>
      </c>
      <c r="F502" s="1" t="str">
        <f>WorldCupMatches!T502</f>
        <v xml:space="preserve"> </v>
      </c>
      <c r="G502" s="1" t="str">
        <f>WorldCupMatches!U502</f>
        <v>Round of 16</v>
      </c>
      <c r="J502" s="1">
        <f>COUNTIF($L$2:L502,L502)</f>
        <v>7</v>
      </c>
      <c r="K502" s="1">
        <f>Table3[[#This Row],[Year]]</f>
        <v>1994</v>
      </c>
      <c r="L502" s="1" t="str">
        <f>Table3[[#This Row],[Hometeam]]</f>
        <v>Germany</v>
      </c>
      <c r="M502" s="1" t="str">
        <f>IF(J502=1,J502+ROWS($J$2:J502)/10000,"")</f>
        <v/>
      </c>
      <c r="N502" s="1" t="str">
        <f>IFERROR(SMALL($M$2:$M$1705,ROWS($M$2:M502)),"")</f>
        <v/>
      </c>
      <c r="O502" s="1" t="str">
        <f>IF(N502&lt;&gt;"",INDEX($L$2:$L$1705,MATCH(N502,$M$2:$M$1705,0)),"")</f>
        <v/>
      </c>
      <c r="P502" s="1" t="str">
        <f>IF(O502&lt;&gt;"",ROWS($O$2:O502),"")</f>
        <v/>
      </c>
    </row>
    <row r="503" spans="1:16" x14ac:dyDescent="0.2">
      <c r="A503" s="1">
        <f>WorldCupMatches!O503</f>
        <v>1994</v>
      </c>
      <c r="B503" s="1" t="str">
        <f>WorldCupMatches!P503</f>
        <v>Spain</v>
      </c>
      <c r="C503" s="1">
        <f>WorldCupMatches!Q503</f>
        <v>3</v>
      </c>
      <c r="D503" s="1">
        <f>WorldCupMatches!R503</f>
        <v>0</v>
      </c>
      <c r="E503" s="1" t="str">
        <f>WorldCupMatches!S503</f>
        <v>Switzerland</v>
      </c>
      <c r="F503" s="1" t="str">
        <f>WorldCupMatches!T503</f>
        <v xml:space="preserve"> </v>
      </c>
      <c r="G503" s="1" t="str">
        <f>WorldCupMatches!U503</f>
        <v>Round of 16</v>
      </c>
      <c r="J503" s="1">
        <f>COUNTIF($L$2:L503,L503)</f>
        <v>15</v>
      </c>
      <c r="K503" s="1">
        <f>Table3[[#This Row],[Year]]</f>
        <v>1994</v>
      </c>
      <c r="L503" s="1" t="str">
        <f>Table3[[#This Row],[Hometeam]]</f>
        <v>Spain</v>
      </c>
      <c r="M503" s="1" t="str">
        <f>IF(J503=1,J503+ROWS($J$2:J503)/10000,"")</f>
        <v/>
      </c>
      <c r="N503" s="1" t="str">
        <f>IFERROR(SMALL($M$2:$M$1705,ROWS($M$2:M503)),"")</f>
        <v/>
      </c>
      <c r="O503" s="1" t="str">
        <f>IF(N503&lt;&gt;"",INDEX($L$2:$L$1705,MATCH(N503,$M$2:$M$1705,0)),"")</f>
        <v/>
      </c>
      <c r="P503" s="1" t="str">
        <f>IF(O503&lt;&gt;"",ROWS($O$2:O503),"")</f>
        <v/>
      </c>
    </row>
    <row r="504" spans="1:16" x14ac:dyDescent="0.2">
      <c r="A504" s="1">
        <f>WorldCupMatches!O504</f>
        <v>1994</v>
      </c>
      <c r="B504" s="1" t="str">
        <f>WorldCupMatches!P504</f>
        <v>Saudi Arabia</v>
      </c>
      <c r="C504" s="1">
        <f>WorldCupMatches!Q504</f>
        <v>1</v>
      </c>
      <c r="D504" s="1">
        <f>WorldCupMatches!R504</f>
        <v>3</v>
      </c>
      <c r="E504" s="1" t="str">
        <f>WorldCupMatches!S504</f>
        <v>Sweden</v>
      </c>
      <c r="F504" s="1" t="str">
        <f>WorldCupMatches!T504</f>
        <v xml:space="preserve"> </v>
      </c>
      <c r="G504" s="1" t="str">
        <f>WorldCupMatches!U504</f>
        <v>Round of 16</v>
      </c>
      <c r="J504" s="1">
        <f>COUNTIF($L$2:L504,L504)</f>
        <v>2</v>
      </c>
      <c r="K504" s="1">
        <f>Table3[[#This Row],[Year]]</f>
        <v>1994</v>
      </c>
      <c r="L504" s="1" t="str">
        <f>Table3[[#This Row],[Hometeam]]</f>
        <v>Saudi Arabia</v>
      </c>
      <c r="M504" s="1" t="str">
        <f>IF(J504=1,J504+ROWS($J$2:J504)/10000,"")</f>
        <v/>
      </c>
      <c r="N504" s="1" t="str">
        <f>IFERROR(SMALL($M$2:$M$1705,ROWS($M$2:M504)),"")</f>
        <v/>
      </c>
      <c r="O504" s="1" t="str">
        <f>IF(N504&lt;&gt;"",INDEX($L$2:$L$1705,MATCH(N504,$M$2:$M$1705,0)),"")</f>
        <v/>
      </c>
      <c r="P504" s="1" t="str">
        <f>IF(O504&lt;&gt;"",ROWS($O$2:O504),"")</f>
        <v/>
      </c>
    </row>
    <row r="505" spans="1:16" x14ac:dyDescent="0.2">
      <c r="A505" s="1">
        <f>WorldCupMatches!O505</f>
        <v>1994</v>
      </c>
      <c r="B505" s="1" t="str">
        <f>WorldCupMatches!P505</f>
        <v>Romania</v>
      </c>
      <c r="C505" s="1">
        <f>WorldCupMatches!Q505</f>
        <v>3</v>
      </c>
      <c r="D505" s="1">
        <f>WorldCupMatches!R505</f>
        <v>2</v>
      </c>
      <c r="E505" s="1" t="str">
        <f>WorldCupMatches!S505</f>
        <v>Argentina</v>
      </c>
      <c r="F505" s="1" t="str">
        <f>WorldCupMatches!T505</f>
        <v xml:space="preserve"> </v>
      </c>
      <c r="G505" s="1" t="str">
        <f>WorldCupMatches!U505</f>
        <v>Round of 16</v>
      </c>
      <c r="J505" s="1">
        <f>COUNTIF($L$2:L505,L505)</f>
        <v>4</v>
      </c>
      <c r="K505" s="1">
        <f>Table3[[#This Row],[Year]]</f>
        <v>1994</v>
      </c>
      <c r="L505" s="1" t="str">
        <f>Table3[[#This Row],[Hometeam]]</f>
        <v>Romania</v>
      </c>
      <c r="M505" s="1" t="str">
        <f>IF(J505=1,J505+ROWS($J$2:J505)/10000,"")</f>
        <v/>
      </c>
      <c r="N505" s="1" t="str">
        <f>IFERROR(SMALL($M$2:$M$1705,ROWS($M$2:M505)),"")</f>
        <v/>
      </c>
      <c r="O505" s="1" t="str">
        <f>IF(N505&lt;&gt;"",INDEX($L$2:$L$1705,MATCH(N505,$M$2:$M$1705,0)),"")</f>
        <v/>
      </c>
      <c r="P505" s="1" t="str">
        <f>IF(O505&lt;&gt;"",ROWS($O$2:O505),"")</f>
        <v/>
      </c>
    </row>
    <row r="506" spans="1:16" x14ac:dyDescent="0.2">
      <c r="A506" s="1">
        <f>WorldCupMatches!O506</f>
        <v>1994</v>
      </c>
      <c r="B506" s="1" t="str">
        <f>WorldCupMatches!P506</f>
        <v>Netherlands</v>
      </c>
      <c r="C506" s="1">
        <f>WorldCupMatches!Q506</f>
        <v>2</v>
      </c>
      <c r="D506" s="1">
        <f>WorldCupMatches!R506</f>
        <v>0</v>
      </c>
      <c r="E506" s="1" t="str">
        <f>WorldCupMatches!S506</f>
        <v>Republic of Ireland</v>
      </c>
      <c r="F506" s="1" t="str">
        <f>WorldCupMatches!T506</f>
        <v xml:space="preserve"> </v>
      </c>
      <c r="G506" s="1" t="str">
        <f>WorldCupMatches!U506</f>
        <v>Round of 16</v>
      </c>
      <c r="J506" s="1">
        <f>COUNTIF($L$2:L506,L506)</f>
        <v>11</v>
      </c>
      <c r="K506" s="1">
        <f>Table3[[#This Row],[Year]]</f>
        <v>1994</v>
      </c>
      <c r="L506" s="1" t="str">
        <f>Table3[[#This Row],[Hometeam]]</f>
        <v>Netherlands</v>
      </c>
      <c r="M506" s="1" t="str">
        <f>IF(J506=1,J506+ROWS($J$2:J506)/10000,"")</f>
        <v/>
      </c>
      <c r="N506" s="1" t="str">
        <f>IFERROR(SMALL($M$2:$M$1705,ROWS($M$2:M506)),"")</f>
        <v/>
      </c>
      <c r="O506" s="1" t="str">
        <f>IF(N506&lt;&gt;"",INDEX($L$2:$L$1705,MATCH(N506,$M$2:$M$1705,0)),"")</f>
        <v/>
      </c>
      <c r="P506" s="1" t="str">
        <f>IF(O506&lt;&gt;"",ROWS($O$2:O506),"")</f>
        <v/>
      </c>
    </row>
    <row r="507" spans="1:16" x14ac:dyDescent="0.2">
      <c r="A507" s="1">
        <f>WorldCupMatches!O507</f>
        <v>1994</v>
      </c>
      <c r="B507" s="1" t="str">
        <f>WorldCupMatches!P507</f>
        <v>Brazil</v>
      </c>
      <c r="C507" s="1">
        <f>WorldCupMatches!Q507</f>
        <v>1</v>
      </c>
      <c r="D507" s="1">
        <f>WorldCupMatches!R507</f>
        <v>0</v>
      </c>
      <c r="E507" s="1" t="str">
        <f>WorldCupMatches!S507</f>
        <v>USA</v>
      </c>
      <c r="F507" s="1" t="str">
        <f>WorldCupMatches!T507</f>
        <v xml:space="preserve"> </v>
      </c>
      <c r="G507" s="1" t="str">
        <f>WorldCupMatches!U507</f>
        <v>Round of 16</v>
      </c>
      <c r="J507" s="1">
        <f>COUNTIF($L$2:L507,L507)</f>
        <v>53</v>
      </c>
      <c r="K507" s="1">
        <f>Table3[[#This Row],[Year]]</f>
        <v>1994</v>
      </c>
      <c r="L507" s="1" t="str">
        <f>Table3[[#This Row],[Hometeam]]</f>
        <v>Brazil</v>
      </c>
      <c r="M507" s="1" t="str">
        <f>IF(J507=1,J507+ROWS($J$2:J507)/10000,"")</f>
        <v/>
      </c>
      <c r="N507" s="1" t="str">
        <f>IFERROR(SMALL($M$2:$M$1705,ROWS($M$2:M507)),"")</f>
        <v/>
      </c>
      <c r="O507" s="1" t="str">
        <f>IF(N507&lt;&gt;"",INDEX($L$2:$L$1705,MATCH(N507,$M$2:$M$1705,0)),"")</f>
        <v/>
      </c>
      <c r="P507" s="1" t="str">
        <f>IF(O507&lt;&gt;"",ROWS($O$2:O507),"")</f>
        <v/>
      </c>
    </row>
    <row r="508" spans="1:16" x14ac:dyDescent="0.2">
      <c r="A508" s="1">
        <f>WorldCupMatches!O508</f>
        <v>1994</v>
      </c>
      <c r="B508" s="1" t="str">
        <f>WorldCupMatches!P508</f>
        <v>Nigeria</v>
      </c>
      <c r="C508" s="1">
        <f>WorldCupMatches!Q508</f>
        <v>1</v>
      </c>
      <c r="D508" s="1">
        <f>WorldCupMatches!R508</f>
        <v>2</v>
      </c>
      <c r="E508" s="1" t="str">
        <f>WorldCupMatches!S508</f>
        <v>Italy</v>
      </c>
      <c r="F508" s="1" t="str">
        <f>WorldCupMatches!T508</f>
        <v xml:space="preserve">Italy win after extra time </v>
      </c>
      <c r="G508" s="1" t="str">
        <f>WorldCupMatches!U508</f>
        <v>Round of 16</v>
      </c>
      <c r="J508" s="1">
        <f>COUNTIF($L$2:L508,L508)</f>
        <v>2</v>
      </c>
      <c r="K508" s="1">
        <f>Table3[[#This Row],[Year]]</f>
        <v>1994</v>
      </c>
      <c r="L508" s="1" t="str">
        <f>Table3[[#This Row],[Hometeam]]</f>
        <v>Nigeria</v>
      </c>
      <c r="M508" s="1" t="str">
        <f>IF(J508=1,J508+ROWS($J$2:J508)/10000,"")</f>
        <v/>
      </c>
      <c r="N508" s="1" t="str">
        <f>IFERROR(SMALL($M$2:$M$1705,ROWS($M$2:M508)),"")</f>
        <v/>
      </c>
      <c r="O508" s="1" t="str">
        <f>IF(N508&lt;&gt;"",INDEX($L$2:$L$1705,MATCH(N508,$M$2:$M$1705,0)),"")</f>
        <v/>
      </c>
      <c r="P508" s="1" t="str">
        <f>IF(O508&lt;&gt;"",ROWS($O$2:O508),"")</f>
        <v/>
      </c>
    </row>
    <row r="509" spans="1:16" x14ac:dyDescent="0.2">
      <c r="A509" s="1">
        <f>WorldCupMatches!O509</f>
        <v>1994</v>
      </c>
      <c r="B509" s="1" t="str">
        <f>WorldCupMatches!P509</f>
        <v>Mexico</v>
      </c>
      <c r="C509" s="1">
        <f>WorldCupMatches!Q509</f>
        <v>1</v>
      </c>
      <c r="D509" s="1">
        <f>WorldCupMatches!R509</f>
        <v>1</v>
      </c>
      <c r="E509" s="1" t="str">
        <f>WorldCupMatches!S509</f>
        <v>Bulgaria</v>
      </c>
      <c r="F509" s="1" t="str">
        <f>WorldCupMatches!T509</f>
        <v xml:space="preserve">Bulgaria win on penalties (1 - 3) </v>
      </c>
      <c r="G509" s="1" t="str">
        <f>WorldCupMatches!U509</f>
        <v>Round of 16</v>
      </c>
      <c r="J509" s="1">
        <f>COUNTIF($L$2:L509,L509)</f>
        <v>9</v>
      </c>
      <c r="K509" s="1">
        <f>Table3[[#This Row],[Year]]</f>
        <v>1994</v>
      </c>
      <c r="L509" s="1" t="str">
        <f>Table3[[#This Row],[Hometeam]]</f>
        <v>Mexico</v>
      </c>
      <c r="M509" s="1" t="str">
        <f>IF(J509=1,J509+ROWS($J$2:J509)/10000,"")</f>
        <v/>
      </c>
      <c r="N509" s="1" t="str">
        <f>IFERROR(SMALL($M$2:$M$1705,ROWS($M$2:M509)),"")</f>
        <v/>
      </c>
      <c r="O509" s="1" t="str">
        <f>IF(N509&lt;&gt;"",INDEX($L$2:$L$1705,MATCH(N509,$M$2:$M$1705,0)),"")</f>
        <v/>
      </c>
      <c r="P509" s="1" t="str">
        <f>IF(O509&lt;&gt;"",ROWS($O$2:O509),"")</f>
        <v/>
      </c>
    </row>
    <row r="510" spans="1:16" x14ac:dyDescent="0.2">
      <c r="A510" s="1">
        <f>WorldCupMatches!O510</f>
        <v>1994</v>
      </c>
      <c r="B510" s="1" t="str">
        <f>WorldCupMatches!P510</f>
        <v>Italy</v>
      </c>
      <c r="C510" s="1">
        <f>WorldCupMatches!Q510</f>
        <v>2</v>
      </c>
      <c r="D510" s="1">
        <f>WorldCupMatches!R510</f>
        <v>1</v>
      </c>
      <c r="E510" s="1" t="str">
        <f>WorldCupMatches!S510</f>
        <v>Spain</v>
      </c>
      <c r="F510" s="1" t="str">
        <f>WorldCupMatches!T510</f>
        <v xml:space="preserve"> </v>
      </c>
      <c r="G510" s="1" t="str">
        <f>WorldCupMatches!U510</f>
        <v>Quarter-finals</v>
      </c>
      <c r="J510" s="1">
        <f>COUNTIF($L$2:L510,L510)</f>
        <v>41</v>
      </c>
      <c r="K510" s="1">
        <f>Table3[[#This Row],[Year]]</f>
        <v>1994</v>
      </c>
      <c r="L510" s="1" t="str">
        <f>Table3[[#This Row],[Hometeam]]</f>
        <v>Italy</v>
      </c>
      <c r="M510" s="1" t="str">
        <f>IF(J510=1,J510+ROWS($J$2:J510)/10000,"")</f>
        <v/>
      </c>
      <c r="N510" s="1" t="str">
        <f>IFERROR(SMALL($M$2:$M$1705,ROWS($M$2:M510)),"")</f>
        <v/>
      </c>
      <c r="O510" s="1" t="str">
        <f>IF(N510&lt;&gt;"",INDEX($L$2:$L$1705,MATCH(N510,$M$2:$M$1705,0)),"")</f>
        <v/>
      </c>
      <c r="P510" s="1" t="str">
        <f>IF(O510&lt;&gt;"",ROWS($O$2:O510),"")</f>
        <v/>
      </c>
    </row>
    <row r="511" spans="1:16" x14ac:dyDescent="0.2">
      <c r="A511" s="1">
        <f>WorldCupMatches!O511</f>
        <v>1994</v>
      </c>
      <c r="B511" s="1" t="str">
        <f>WorldCupMatches!P511</f>
        <v>Netherlands</v>
      </c>
      <c r="C511" s="1">
        <f>WorldCupMatches!Q511</f>
        <v>2</v>
      </c>
      <c r="D511" s="1">
        <f>WorldCupMatches!R511</f>
        <v>3</v>
      </c>
      <c r="E511" s="1" t="str">
        <f>WorldCupMatches!S511</f>
        <v>Brazil</v>
      </c>
      <c r="F511" s="1" t="str">
        <f>WorldCupMatches!T511</f>
        <v xml:space="preserve"> </v>
      </c>
      <c r="G511" s="1" t="str">
        <f>WorldCupMatches!U511</f>
        <v>Quarter-finals</v>
      </c>
      <c r="J511" s="1">
        <f>COUNTIF($L$2:L511,L511)</f>
        <v>12</v>
      </c>
      <c r="K511" s="1">
        <f>Table3[[#This Row],[Year]]</f>
        <v>1994</v>
      </c>
      <c r="L511" s="1" t="str">
        <f>Table3[[#This Row],[Hometeam]]</f>
        <v>Netherlands</v>
      </c>
      <c r="M511" s="1" t="str">
        <f>IF(J511=1,J511+ROWS($J$2:J511)/10000,"")</f>
        <v/>
      </c>
      <c r="N511" s="1" t="str">
        <f>IFERROR(SMALL($M$2:$M$1705,ROWS($M$2:M511)),"")</f>
        <v/>
      </c>
      <c r="O511" s="1" t="str">
        <f>IF(N511&lt;&gt;"",INDEX($L$2:$L$1705,MATCH(N511,$M$2:$M$1705,0)),"")</f>
        <v/>
      </c>
      <c r="P511" s="1" t="str">
        <f>IF(O511&lt;&gt;"",ROWS($O$2:O511),"")</f>
        <v/>
      </c>
    </row>
    <row r="512" spans="1:16" x14ac:dyDescent="0.2">
      <c r="A512" s="1">
        <f>WorldCupMatches!O512</f>
        <v>1994</v>
      </c>
      <c r="B512" s="1" t="str">
        <f>WorldCupMatches!P512</f>
        <v>Bulgaria</v>
      </c>
      <c r="C512" s="1">
        <f>WorldCupMatches!Q512</f>
        <v>2</v>
      </c>
      <c r="D512" s="1">
        <f>WorldCupMatches!R512</f>
        <v>1</v>
      </c>
      <c r="E512" s="1" t="str">
        <f>WorldCupMatches!S512</f>
        <v>Germany</v>
      </c>
      <c r="F512" s="1" t="str">
        <f>WorldCupMatches!T512</f>
        <v xml:space="preserve"> </v>
      </c>
      <c r="G512" s="1" t="str">
        <f>WorldCupMatches!U512</f>
        <v>Quarter-finals</v>
      </c>
      <c r="J512" s="1">
        <f>COUNTIF($L$2:L512,L512)</f>
        <v>6</v>
      </c>
      <c r="K512" s="1">
        <f>Table3[[#This Row],[Year]]</f>
        <v>1994</v>
      </c>
      <c r="L512" s="1" t="str">
        <f>Table3[[#This Row],[Hometeam]]</f>
        <v>Bulgaria</v>
      </c>
      <c r="M512" s="1" t="str">
        <f>IF(J512=1,J512+ROWS($J$2:J512)/10000,"")</f>
        <v/>
      </c>
      <c r="N512" s="1" t="str">
        <f>IFERROR(SMALL($M$2:$M$1705,ROWS($M$2:M512)),"")</f>
        <v/>
      </c>
      <c r="O512" s="1" t="str">
        <f>IF(N512&lt;&gt;"",INDEX($L$2:$L$1705,MATCH(N512,$M$2:$M$1705,0)),"")</f>
        <v/>
      </c>
      <c r="P512" s="1" t="str">
        <f>IF(O512&lt;&gt;"",ROWS($O$2:O512),"")</f>
        <v/>
      </c>
    </row>
    <row r="513" spans="1:16" x14ac:dyDescent="0.2">
      <c r="A513" s="1">
        <f>WorldCupMatches!O513</f>
        <v>1994</v>
      </c>
      <c r="B513" s="1" t="str">
        <f>WorldCupMatches!P513</f>
        <v>Romania</v>
      </c>
      <c r="C513" s="1">
        <f>WorldCupMatches!Q513</f>
        <v>2</v>
      </c>
      <c r="D513" s="1">
        <f>WorldCupMatches!R513</f>
        <v>2</v>
      </c>
      <c r="E513" s="1" t="str">
        <f>WorldCupMatches!S513</f>
        <v>Sweden</v>
      </c>
      <c r="F513" s="1" t="str">
        <f>WorldCupMatches!T513</f>
        <v xml:space="preserve">Sweden win on penalties (4 - 5) </v>
      </c>
      <c r="G513" s="1" t="str">
        <f>WorldCupMatches!U513</f>
        <v>Quarter-finals</v>
      </c>
      <c r="J513" s="1">
        <f>COUNTIF($L$2:L513,L513)</f>
        <v>5</v>
      </c>
      <c r="K513" s="1">
        <f>Table3[[#This Row],[Year]]</f>
        <v>1994</v>
      </c>
      <c r="L513" s="1" t="str">
        <f>Table3[[#This Row],[Hometeam]]</f>
        <v>Romania</v>
      </c>
      <c r="M513" s="1" t="str">
        <f>IF(J513=1,J513+ROWS($J$2:J513)/10000,"")</f>
        <v/>
      </c>
      <c r="N513" s="1" t="str">
        <f>IFERROR(SMALL($M$2:$M$1705,ROWS($M$2:M513)),"")</f>
        <v/>
      </c>
      <c r="O513" s="1" t="str">
        <f>IF(N513&lt;&gt;"",INDEX($L$2:$L$1705,MATCH(N513,$M$2:$M$1705,0)),"")</f>
        <v/>
      </c>
      <c r="P513" s="1" t="str">
        <f>IF(O513&lt;&gt;"",ROWS($O$2:O513),"")</f>
        <v/>
      </c>
    </row>
    <row r="514" spans="1:16" x14ac:dyDescent="0.2">
      <c r="A514" s="1">
        <f>WorldCupMatches!O514</f>
        <v>1994</v>
      </c>
      <c r="B514" s="1" t="str">
        <f>WorldCupMatches!P514</f>
        <v>Bulgaria</v>
      </c>
      <c r="C514" s="1">
        <f>WorldCupMatches!Q514</f>
        <v>1</v>
      </c>
      <c r="D514" s="1">
        <f>WorldCupMatches!R514</f>
        <v>2</v>
      </c>
      <c r="E514" s="1" t="str">
        <f>WorldCupMatches!S514</f>
        <v>Italy</v>
      </c>
      <c r="F514" s="1" t="str">
        <f>WorldCupMatches!T514</f>
        <v xml:space="preserve"> </v>
      </c>
      <c r="G514" s="1" t="str">
        <f>WorldCupMatches!U514</f>
        <v>Semi-finals</v>
      </c>
      <c r="J514" s="1">
        <f>COUNTIF($L$2:L514,L514)</f>
        <v>7</v>
      </c>
      <c r="K514" s="1">
        <f>Table3[[#This Row],[Year]]</f>
        <v>1994</v>
      </c>
      <c r="L514" s="1" t="str">
        <f>Table3[[#This Row],[Hometeam]]</f>
        <v>Bulgaria</v>
      </c>
      <c r="M514" s="1" t="str">
        <f>IF(J514=1,J514+ROWS($J$2:J514)/10000,"")</f>
        <v/>
      </c>
      <c r="N514" s="1" t="str">
        <f>IFERROR(SMALL($M$2:$M$1705,ROWS($M$2:M514)),"")</f>
        <v/>
      </c>
      <c r="O514" s="1" t="str">
        <f>IF(N514&lt;&gt;"",INDEX($L$2:$L$1705,MATCH(N514,$M$2:$M$1705,0)),"")</f>
        <v/>
      </c>
      <c r="P514" s="1" t="str">
        <f>IF(O514&lt;&gt;"",ROWS($O$2:O514),"")</f>
        <v/>
      </c>
    </row>
    <row r="515" spans="1:16" x14ac:dyDescent="0.2">
      <c r="A515" s="1">
        <f>WorldCupMatches!O515</f>
        <v>1994</v>
      </c>
      <c r="B515" s="1" t="str">
        <f>WorldCupMatches!P515</f>
        <v>Sweden</v>
      </c>
      <c r="C515" s="1">
        <f>WorldCupMatches!Q515</f>
        <v>0</v>
      </c>
      <c r="D515" s="1">
        <f>WorldCupMatches!R515</f>
        <v>1</v>
      </c>
      <c r="E515" s="1" t="str">
        <f>WorldCupMatches!S515</f>
        <v>Brazil</v>
      </c>
      <c r="F515" s="1" t="str">
        <f>WorldCupMatches!T515</f>
        <v xml:space="preserve"> </v>
      </c>
      <c r="G515" s="1" t="str">
        <f>WorldCupMatches!U515</f>
        <v>Semi-finals</v>
      </c>
      <c r="J515" s="1">
        <f>COUNTIF($L$2:L515,L515)</f>
        <v>21</v>
      </c>
      <c r="K515" s="1">
        <f>Table3[[#This Row],[Year]]</f>
        <v>1994</v>
      </c>
      <c r="L515" s="1" t="str">
        <f>Table3[[#This Row],[Hometeam]]</f>
        <v>Sweden</v>
      </c>
      <c r="M515" s="1" t="str">
        <f>IF(J515=1,J515+ROWS($J$2:J515)/10000,"")</f>
        <v/>
      </c>
      <c r="N515" s="1" t="str">
        <f>IFERROR(SMALL($M$2:$M$1705,ROWS($M$2:M515)),"")</f>
        <v/>
      </c>
      <c r="O515" s="1" t="str">
        <f>IF(N515&lt;&gt;"",INDEX($L$2:$L$1705,MATCH(N515,$M$2:$M$1705,0)),"")</f>
        <v/>
      </c>
      <c r="P515" s="1" t="str">
        <f>IF(O515&lt;&gt;"",ROWS($O$2:O515),"")</f>
        <v/>
      </c>
    </row>
    <row r="516" spans="1:16" x14ac:dyDescent="0.2">
      <c r="A516" s="1">
        <f>WorldCupMatches!O516</f>
        <v>1994</v>
      </c>
      <c r="B516" s="1" t="str">
        <f>WorldCupMatches!P516</f>
        <v>Sweden</v>
      </c>
      <c r="C516" s="1">
        <f>WorldCupMatches!Q516</f>
        <v>4</v>
      </c>
      <c r="D516" s="1">
        <f>WorldCupMatches!R516</f>
        <v>0</v>
      </c>
      <c r="E516" s="1" t="str">
        <f>WorldCupMatches!S516</f>
        <v>Bulgaria</v>
      </c>
      <c r="F516" s="1" t="str">
        <f>WorldCupMatches!T516</f>
        <v xml:space="preserve"> </v>
      </c>
      <c r="G516" s="1" t="str">
        <f>WorldCupMatches!U516</f>
        <v>Match for third place</v>
      </c>
      <c r="J516" s="1">
        <f>COUNTIF($L$2:L516,L516)</f>
        <v>22</v>
      </c>
      <c r="K516" s="1">
        <f>Table3[[#This Row],[Year]]</f>
        <v>1994</v>
      </c>
      <c r="L516" s="1" t="str">
        <f>Table3[[#This Row],[Hometeam]]</f>
        <v>Sweden</v>
      </c>
      <c r="M516" s="1" t="str">
        <f>IF(J516=1,J516+ROWS($J$2:J516)/10000,"")</f>
        <v/>
      </c>
      <c r="N516" s="1" t="str">
        <f>IFERROR(SMALL($M$2:$M$1705,ROWS($M$2:M516)),"")</f>
        <v/>
      </c>
      <c r="O516" s="1" t="str">
        <f>IF(N516&lt;&gt;"",INDEX($L$2:$L$1705,MATCH(N516,$M$2:$M$1705,0)),"")</f>
        <v/>
      </c>
      <c r="P516" s="1" t="str">
        <f>IF(O516&lt;&gt;"",ROWS($O$2:O516),"")</f>
        <v/>
      </c>
    </row>
    <row r="517" spans="1:16" x14ac:dyDescent="0.2">
      <c r="A517" s="1">
        <f>WorldCupMatches!O517</f>
        <v>1994</v>
      </c>
      <c r="B517" s="1" t="str">
        <f>WorldCupMatches!P517</f>
        <v>Brazil</v>
      </c>
      <c r="C517" s="1">
        <f>WorldCupMatches!Q517</f>
        <v>0</v>
      </c>
      <c r="D517" s="1">
        <f>WorldCupMatches!R517</f>
        <v>0</v>
      </c>
      <c r="E517" s="1" t="str">
        <f>WorldCupMatches!S517</f>
        <v>Italy</v>
      </c>
      <c r="F517" s="1" t="str">
        <f>WorldCupMatches!T517</f>
        <v xml:space="preserve">Brazil win on penalties (3 - 2) </v>
      </c>
      <c r="G517" s="1" t="str">
        <f>WorldCupMatches!U517</f>
        <v>Final</v>
      </c>
      <c r="J517" s="1">
        <f>COUNTIF($L$2:L517,L517)</f>
        <v>54</v>
      </c>
      <c r="K517" s="1">
        <f>Table3[[#This Row],[Year]]</f>
        <v>1994</v>
      </c>
      <c r="L517" s="1" t="str">
        <f>Table3[[#This Row],[Hometeam]]</f>
        <v>Brazil</v>
      </c>
      <c r="M517" s="1" t="str">
        <f>IF(J517=1,J517+ROWS($J$2:J517)/10000,"")</f>
        <v/>
      </c>
      <c r="N517" s="1" t="str">
        <f>IFERROR(SMALL($M$2:$M$1705,ROWS($M$2:M517)),"")</f>
        <v/>
      </c>
      <c r="O517" s="1" t="str">
        <f>IF(N517&lt;&gt;"",INDEX($L$2:$L$1705,MATCH(N517,$M$2:$M$1705,0)),"")</f>
        <v/>
      </c>
      <c r="P517" s="1" t="str">
        <f>IF(O517&lt;&gt;"",ROWS($O$2:O517),"")</f>
        <v/>
      </c>
    </row>
    <row r="518" spans="1:16" x14ac:dyDescent="0.2">
      <c r="A518" s="1">
        <f>WorldCupMatches!O518</f>
        <v>1998</v>
      </c>
      <c r="B518" s="1" t="str">
        <f>WorldCupMatches!P518</f>
        <v>Brazil</v>
      </c>
      <c r="C518" s="1">
        <f>WorldCupMatches!Q518</f>
        <v>2</v>
      </c>
      <c r="D518" s="1">
        <f>WorldCupMatches!R518</f>
        <v>1</v>
      </c>
      <c r="E518" s="1" t="str">
        <f>WorldCupMatches!S518</f>
        <v>Scotland</v>
      </c>
      <c r="F518" s="1" t="str">
        <f>WorldCupMatches!T518</f>
        <v xml:space="preserve"> </v>
      </c>
      <c r="G518" s="1" t="str">
        <f>WorldCupMatches!U518</f>
        <v>Group stages</v>
      </c>
      <c r="J518" s="1">
        <f>COUNTIF($L$2:L518,L518)</f>
        <v>55</v>
      </c>
      <c r="K518" s="1">
        <f>Table3[[#This Row],[Year]]</f>
        <v>1998</v>
      </c>
      <c r="L518" s="1" t="str">
        <f>Table3[[#This Row],[Hometeam]]</f>
        <v>Brazil</v>
      </c>
      <c r="M518" s="1" t="str">
        <f>IF(J518=1,J518+ROWS($J$2:J518)/10000,"")</f>
        <v/>
      </c>
      <c r="N518" s="1" t="str">
        <f>IFERROR(SMALL($M$2:$M$1705,ROWS($M$2:M518)),"")</f>
        <v/>
      </c>
      <c r="O518" s="1" t="str">
        <f>IF(N518&lt;&gt;"",INDEX($L$2:$L$1705,MATCH(N518,$M$2:$M$1705,0)),"")</f>
        <v/>
      </c>
      <c r="P518" s="1" t="str">
        <f>IF(O518&lt;&gt;"",ROWS($O$2:O518),"")</f>
        <v/>
      </c>
    </row>
    <row r="519" spans="1:16" x14ac:dyDescent="0.2">
      <c r="A519" s="1">
        <f>WorldCupMatches!O519</f>
        <v>1998</v>
      </c>
      <c r="B519" s="1" t="str">
        <f>WorldCupMatches!P519</f>
        <v>Morocco</v>
      </c>
      <c r="C519" s="1">
        <f>WorldCupMatches!Q519</f>
        <v>2</v>
      </c>
      <c r="D519" s="1">
        <f>WorldCupMatches!R519</f>
        <v>2</v>
      </c>
      <c r="E519" s="1" t="str">
        <f>WorldCupMatches!S519</f>
        <v>Norway</v>
      </c>
      <c r="F519" s="1" t="str">
        <f>WorldCupMatches!T519</f>
        <v xml:space="preserve"> </v>
      </c>
      <c r="G519" s="1" t="str">
        <f>WorldCupMatches!U519</f>
        <v>Group stages</v>
      </c>
      <c r="J519" s="1">
        <f>COUNTIF($L$2:L519,L519)</f>
        <v>4</v>
      </c>
      <c r="K519" s="1">
        <f>Table3[[#This Row],[Year]]</f>
        <v>1998</v>
      </c>
      <c r="L519" s="1" t="str">
        <f>Table3[[#This Row],[Hometeam]]</f>
        <v>Morocco</v>
      </c>
      <c r="M519" s="1" t="str">
        <f>IF(J519=1,J519+ROWS($J$2:J519)/10000,"")</f>
        <v/>
      </c>
      <c r="N519" s="1" t="str">
        <f>IFERROR(SMALL($M$2:$M$1705,ROWS($M$2:M519)),"")</f>
        <v/>
      </c>
      <c r="O519" s="1" t="str">
        <f>IF(N519&lt;&gt;"",INDEX($L$2:$L$1705,MATCH(N519,$M$2:$M$1705,0)),"")</f>
        <v/>
      </c>
      <c r="P519" s="1" t="str">
        <f>IF(O519&lt;&gt;"",ROWS($O$2:O519),"")</f>
        <v/>
      </c>
    </row>
    <row r="520" spans="1:16" x14ac:dyDescent="0.2">
      <c r="A520" s="1">
        <f>WorldCupMatches!O520</f>
        <v>1998</v>
      </c>
      <c r="B520" s="1" t="str">
        <f>WorldCupMatches!P520</f>
        <v>Italy</v>
      </c>
      <c r="C520" s="1">
        <f>WorldCupMatches!Q520</f>
        <v>2</v>
      </c>
      <c r="D520" s="1">
        <f>WorldCupMatches!R520</f>
        <v>2</v>
      </c>
      <c r="E520" s="1" t="str">
        <f>WorldCupMatches!S520</f>
        <v>Chile</v>
      </c>
      <c r="F520" s="1" t="str">
        <f>WorldCupMatches!T520</f>
        <v xml:space="preserve"> </v>
      </c>
      <c r="G520" s="1" t="str">
        <f>WorldCupMatches!U520</f>
        <v>Group stages</v>
      </c>
      <c r="J520" s="1">
        <f>COUNTIF($L$2:L520,L520)</f>
        <v>42</v>
      </c>
      <c r="K520" s="1">
        <f>Table3[[#This Row],[Year]]</f>
        <v>1998</v>
      </c>
      <c r="L520" s="1" t="str">
        <f>Table3[[#This Row],[Hometeam]]</f>
        <v>Italy</v>
      </c>
      <c r="M520" s="1" t="str">
        <f>IF(J520=1,J520+ROWS($J$2:J520)/10000,"")</f>
        <v/>
      </c>
      <c r="N520" s="1" t="str">
        <f>IFERROR(SMALL($M$2:$M$1705,ROWS($M$2:M520)),"")</f>
        <v/>
      </c>
      <c r="O520" s="1" t="str">
        <f>IF(N520&lt;&gt;"",INDEX($L$2:$L$1705,MATCH(N520,$M$2:$M$1705,0)),"")</f>
        <v/>
      </c>
      <c r="P520" s="1" t="str">
        <f>IF(O520&lt;&gt;"",ROWS($O$2:O520),"")</f>
        <v/>
      </c>
    </row>
    <row r="521" spans="1:16" x14ac:dyDescent="0.2">
      <c r="A521" s="1">
        <f>WorldCupMatches!O521</f>
        <v>1998</v>
      </c>
      <c r="B521" s="1" t="str">
        <f>WorldCupMatches!P521</f>
        <v>Cameroon</v>
      </c>
      <c r="C521" s="1">
        <f>WorldCupMatches!Q521</f>
        <v>1</v>
      </c>
      <c r="D521" s="1">
        <f>WorldCupMatches!R521</f>
        <v>1</v>
      </c>
      <c r="E521" s="1" t="str">
        <f>WorldCupMatches!S521</f>
        <v>Austria</v>
      </c>
      <c r="F521" s="1" t="str">
        <f>WorldCupMatches!T521</f>
        <v xml:space="preserve"> </v>
      </c>
      <c r="G521" s="1" t="str">
        <f>WorldCupMatches!U521</f>
        <v>Group stages</v>
      </c>
      <c r="J521" s="1">
        <f>COUNTIF($L$2:L521,L521)</f>
        <v>5</v>
      </c>
      <c r="K521" s="1">
        <f>Table3[[#This Row],[Year]]</f>
        <v>1998</v>
      </c>
      <c r="L521" s="1" t="str">
        <f>Table3[[#This Row],[Hometeam]]</f>
        <v>Cameroon</v>
      </c>
      <c r="M521" s="1" t="str">
        <f>IF(J521=1,J521+ROWS($J$2:J521)/10000,"")</f>
        <v/>
      </c>
      <c r="N521" s="1" t="str">
        <f>IFERROR(SMALL($M$2:$M$1705,ROWS($M$2:M521)),"")</f>
        <v/>
      </c>
      <c r="O521" s="1" t="str">
        <f>IF(N521&lt;&gt;"",INDEX($L$2:$L$1705,MATCH(N521,$M$2:$M$1705,0)),"")</f>
        <v/>
      </c>
      <c r="P521" s="1" t="str">
        <f>IF(O521&lt;&gt;"",ROWS($O$2:O521),"")</f>
        <v/>
      </c>
    </row>
    <row r="522" spans="1:16" x14ac:dyDescent="0.2">
      <c r="A522" s="1">
        <f>WorldCupMatches!O522</f>
        <v>1998</v>
      </c>
      <c r="B522" s="1" t="str">
        <f>WorldCupMatches!P522</f>
        <v>Paraguay</v>
      </c>
      <c r="C522" s="1">
        <f>WorldCupMatches!Q522</f>
        <v>0</v>
      </c>
      <c r="D522" s="1">
        <f>WorldCupMatches!R522</f>
        <v>0</v>
      </c>
      <c r="E522" s="1" t="str">
        <f>WorldCupMatches!S522</f>
        <v>Bulgaria</v>
      </c>
      <c r="F522" s="1" t="str">
        <f>WorldCupMatches!T522</f>
        <v xml:space="preserve"> </v>
      </c>
      <c r="G522" s="1" t="str">
        <f>WorldCupMatches!U522</f>
        <v>Group stages</v>
      </c>
      <c r="J522" s="1">
        <f>COUNTIF($L$2:L522,L522)</f>
        <v>6</v>
      </c>
      <c r="K522" s="1">
        <f>Table3[[#This Row],[Year]]</f>
        <v>1998</v>
      </c>
      <c r="L522" s="1" t="str">
        <f>Table3[[#This Row],[Hometeam]]</f>
        <v>Paraguay</v>
      </c>
      <c r="M522" s="1" t="str">
        <f>IF(J522=1,J522+ROWS($J$2:J522)/10000,"")</f>
        <v/>
      </c>
      <c r="N522" s="1" t="str">
        <f>IFERROR(SMALL($M$2:$M$1705,ROWS($M$2:M522)),"")</f>
        <v/>
      </c>
      <c r="O522" s="1" t="str">
        <f>IF(N522&lt;&gt;"",INDEX($L$2:$L$1705,MATCH(N522,$M$2:$M$1705,0)),"")</f>
        <v/>
      </c>
      <c r="P522" s="1" t="str">
        <f>IF(O522&lt;&gt;"",ROWS($O$2:O522),"")</f>
        <v/>
      </c>
    </row>
    <row r="523" spans="1:16" x14ac:dyDescent="0.2">
      <c r="A523" s="1">
        <f>WorldCupMatches!O523</f>
        <v>1998</v>
      </c>
      <c r="B523" s="1" t="str">
        <f>WorldCupMatches!P523</f>
        <v>Saudi Arabia</v>
      </c>
      <c r="C523" s="1">
        <f>WorldCupMatches!Q523</f>
        <v>0</v>
      </c>
      <c r="D523" s="1">
        <f>WorldCupMatches!R523</f>
        <v>1</v>
      </c>
      <c r="E523" s="1" t="str">
        <f>WorldCupMatches!S523</f>
        <v>Denmark</v>
      </c>
      <c r="F523" s="1" t="str">
        <f>WorldCupMatches!T523</f>
        <v xml:space="preserve"> </v>
      </c>
      <c r="G523" s="1" t="str">
        <f>WorldCupMatches!U523</f>
        <v>Group stages</v>
      </c>
      <c r="J523" s="1">
        <f>COUNTIF($L$2:L523,L523)</f>
        <v>3</v>
      </c>
      <c r="K523" s="1">
        <f>Table3[[#This Row],[Year]]</f>
        <v>1998</v>
      </c>
      <c r="L523" s="1" t="str">
        <f>Table3[[#This Row],[Hometeam]]</f>
        <v>Saudi Arabia</v>
      </c>
      <c r="M523" s="1" t="str">
        <f>IF(J523=1,J523+ROWS($J$2:J523)/10000,"")</f>
        <v/>
      </c>
      <c r="N523" s="1" t="str">
        <f>IFERROR(SMALL($M$2:$M$1705,ROWS($M$2:M523)),"")</f>
        <v/>
      </c>
      <c r="O523" s="1" t="str">
        <f>IF(N523&lt;&gt;"",INDEX($L$2:$L$1705,MATCH(N523,$M$2:$M$1705,0)),"")</f>
        <v/>
      </c>
      <c r="P523" s="1" t="str">
        <f>IF(O523&lt;&gt;"",ROWS($O$2:O523),"")</f>
        <v/>
      </c>
    </row>
    <row r="524" spans="1:16" x14ac:dyDescent="0.2">
      <c r="A524" s="1">
        <f>WorldCupMatches!O524</f>
        <v>1998</v>
      </c>
      <c r="B524" s="1" t="str">
        <f>WorldCupMatches!P524</f>
        <v>France</v>
      </c>
      <c r="C524" s="1">
        <f>WorldCupMatches!Q524</f>
        <v>3</v>
      </c>
      <c r="D524" s="1">
        <f>WorldCupMatches!R524</f>
        <v>0</v>
      </c>
      <c r="E524" s="1" t="str">
        <f>WorldCupMatches!S524</f>
        <v>South Africa</v>
      </c>
      <c r="F524" s="1" t="str">
        <f>WorldCupMatches!T524</f>
        <v xml:space="preserve"> </v>
      </c>
      <c r="G524" s="1" t="str">
        <f>WorldCupMatches!U524</f>
        <v>Group stages</v>
      </c>
      <c r="J524" s="1">
        <f>COUNTIF($L$2:L524,L524)</f>
        <v>16</v>
      </c>
      <c r="K524" s="1">
        <f>Table3[[#This Row],[Year]]</f>
        <v>1998</v>
      </c>
      <c r="L524" s="1" t="str">
        <f>Table3[[#This Row],[Hometeam]]</f>
        <v>France</v>
      </c>
      <c r="M524" s="1" t="str">
        <f>IF(J524=1,J524+ROWS($J$2:J524)/10000,"")</f>
        <v/>
      </c>
      <c r="N524" s="1" t="str">
        <f>IFERROR(SMALL($M$2:$M$1705,ROWS($M$2:M524)),"")</f>
        <v/>
      </c>
      <c r="O524" s="1" t="str">
        <f>IF(N524&lt;&gt;"",INDEX($L$2:$L$1705,MATCH(N524,$M$2:$M$1705,0)),"")</f>
        <v/>
      </c>
      <c r="P524" s="1" t="str">
        <f>IF(O524&lt;&gt;"",ROWS($O$2:O524),"")</f>
        <v/>
      </c>
    </row>
    <row r="525" spans="1:16" x14ac:dyDescent="0.2">
      <c r="A525" s="1">
        <f>WorldCupMatches!O525</f>
        <v>1998</v>
      </c>
      <c r="B525" s="1" t="str">
        <f>WorldCupMatches!P525</f>
        <v>Spain</v>
      </c>
      <c r="C525" s="1">
        <f>WorldCupMatches!Q525</f>
        <v>2</v>
      </c>
      <c r="D525" s="1">
        <f>WorldCupMatches!R525</f>
        <v>3</v>
      </c>
      <c r="E525" s="1" t="str">
        <f>WorldCupMatches!S525</f>
        <v>Nigeria</v>
      </c>
      <c r="F525" s="1" t="str">
        <f>WorldCupMatches!T525</f>
        <v xml:space="preserve"> </v>
      </c>
      <c r="G525" s="1" t="str">
        <f>WorldCupMatches!U525</f>
        <v>Group stages</v>
      </c>
      <c r="J525" s="1">
        <f>COUNTIF($L$2:L525,L525)</f>
        <v>16</v>
      </c>
      <c r="K525" s="1">
        <f>Table3[[#This Row],[Year]]</f>
        <v>1998</v>
      </c>
      <c r="L525" s="1" t="str">
        <f>Table3[[#This Row],[Hometeam]]</f>
        <v>Spain</v>
      </c>
      <c r="M525" s="1" t="str">
        <f>IF(J525=1,J525+ROWS($J$2:J525)/10000,"")</f>
        <v/>
      </c>
      <c r="N525" s="1" t="str">
        <f>IFERROR(SMALL($M$2:$M$1705,ROWS($M$2:M525)),"")</f>
        <v/>
      </c>
      <c r="O525" s="1" t="str">
        <f>IF(N525&lt;&gt;"",INDEX($L$2:$L$1705,MATCH(N525,$M$2:$M$1705,0)),"")</f>
        <v/>
      </c>
      <c r="P525" s="1" t="str">
        <f>IF(O525&lt;&gt;"",ROWS($O$2:O525),"")</f>
        <v/>
      </c>
    </row>
    <row r="526" spans="1:16" x14ac:dyDescent="0.2">
      <c r="A526" s="1">
        <f>WorldCupMatches!O526</f>
        <v>1998</v>
      </c>
      <c r="B526" s="1" t="str">
        <f>WorldCupMatches!P526</f>
        <v>Korea Republic</v>
      </c>
      <c r="C526" s="1">
        <f>WorldCupMatches!Q526</f>
        <v>1</v>
      </c>
      <c r="D526" s="1">
        <f>WorldCupMatches!R526</f>
        <v>3</v>
      </c>
      <c r="E526" s="1" t="str">
        <f>WorldCupMatches!S526</f>
        <v>Mexico</v>
      </c>
      <c r="F526" s="1" t="str">
        <f>WorldCupMatches!T526</f>
        <v xml:space="preserve"> </v>
      </c>
      <c r="G526" s="1" t="str">
        <f>WorldCupMatches!U526</f>
        <v>Group stages</v>
      </c>
      <c r="J526" s="1">
        <f>COUNTIF($L$2:L526,L526)</f>
        <v>6</v>
      </c>
      <c r="K526" s="1">
        <f>Table3[[#This Row],[Year]]</f>
        <v>1998</v>
      </c>
      <c r="L526" s="1" t="str">
        <f>Table3[[#This Row],[Hometeam]]</f>
        <v>Korea Republic</v>
      </c>
      <c r="M526" s="1" t="str">
        <f>IF(J526=1,J526+ROWS($J$2:J526)/10000,"")</f>
        <v/>
      </c>
      <c r="N526" s="1" t="str">
        <f>IFERROR(SMALL($M$2:$M$1705,ROWS($M$2:M526)),"")</f>
        <v/>
      </c>
      <c r="O526" s="1" t="str">
        <f>IF(N526&lt;&gt;"",INDEX($L$2:$L$1705,MATCH(N526,$M$2:$M$1705,0)),"")</f>
        <v/>
      </c>
      <c r="P526" s="1" t="str">
        <f>IF(O526&lt;&gt;"",ROWS($O$2:O526),"")</f>
        <v/>
      </c>
    </row>
    <row r="527" spans="1:16" x14ac:dyDescent="0.2">
      <c r="A527" s="1">
        <f>WorldCupMatches!O527</f>
        <v>1998</v>
      </c>
      <c r="B527" s="1" t="str">
        <f>WorldCupMatches!P527</f>
        <v>Netherlands</v>
      </c>
      <c r="C527" s="1">
        <f>WorldCupMatches!Q527</f>
        <v>0</v>
      </c>
      <c r="D527" s="1">
        <f>WorldCupMatches!R527</f>
        <v>0</v>
      </c>
      <c r="E527" s="1" t="str">
        <f>WorldCupMatches!S527</f>
        <v>Belgium</v>
      </c>
      <c r="F527" s="1" t="str">
        <f>WorldCupMatches!T527</f>
        <v xml:space="preserve"> </v>
      </c>
      <c r="G527" s="1" t="str">
        <f>WorldCupMatches!U527</f>
        <v>Group stages</v>
      </c>
      <c r="J527" s="1">
        <f>COUNTIF($L$2:L527,L527)</f>
        <v>13</v>
      </c>
      <c r="K527" s="1">
        <f>Table3[[#This Row],[Year]]</f>
        <v>1998</v>
      </c>
      <c r="L527" s="1" t="str">
        <f>Table3[[#This Row],[Hometeam]]</f>
        <v>Netherlands</v>
      </c>
      <c r="M527" s="1" t="str">
        <f>IF(J527=1,J527+ROWS($J$2:J527)/10000,"")</f>
        <v/>
      </c>
      <c r="N527" s="1" t="str">
        <f>IFERROR(SMALL($M$2:$M$1705,ROWS($M$2:M527)),"")</f>
        <v/>
      </c>
      <c r="O527" s="1" t="str">
        <f>IF(N527&lt;&gt;"",INDEX($L$2:$L$1705,MATCH(N527,$M$2:$M$1705,0)),"")</f>
        <v/>
      </c>
      <c r="P527" s="1" t="str">
        <f>IF(O527&lt;&gt;"",ROWS($O$2:O527),"")</f>
        <v/>
      </c>
    </row>
    <row r="528" spans="1:16" x14ac:dyDescent="0.2">
      <c r="A528" s="1">
        <f>WorldCupMatches!O528</f>
        <v>1998</v>
      </c>
      <c r="B528" s="1" t="str">
        <f>WorldCupMatches!P528</f>
        <v>Argentina</v>
      </c>
      <c r="C528" s="1">
        <f>WorldCupMatches!Q528</f>
        <v>1</v>
      </c>
      <c r="D528" s="1">
        <f>WorldCupMatches!R528</f>
        <v>0</v>
      </c>
      <c r="E528" s="1" t="str">
        <f>WorldCupMatches!S528</f>
        <v>Japan</v>
      </c>
      <c r="F528" s="1" t="str">
        <f>WorldCupMatches!T528</f>
        <v xml:space="preserve"> </v>
      </c>
      <c r="G528" s="1" t="str">
        <f>WorldCupMatches!U528</f>
        <v>Group stages</v>
      </c>
      <c r="J528" s="1">
        <f>COUNTIF($L$2:L528,L528)</f>
        <v>36</v>
      </c>
      <c r="K528" s="1">
        <f>Table3[[#This Row],[Year]]</f>
        <v>1998</v>
      </c>
      <c r="L528" s="1" t="str">
        <f>Table3[[#This Row],[Hometeam]]</f>
        <v>Argentina</v>
      </c>
      <c r="M528" s="1" t="str">
        <f>IF(J528=1,J528+ROWS($J$2:J528)/10000,"")</f>
        <v/>
      </c>
      <c r="N528" s="1" t="str">
        <f>IFERROR(SMALL($M$2:$M$1705,ROWS($M$2:M528)),"")</f>
        <v/>
      </c>
      <c r="O528" s="1" t="str">
        <f>IF(N528&lt;&gt;"",INDEX($L$2:$L$1705,MATCH(N528,$M$2:$M$1705,0)),"")</f>
        <v/>
      </c>
      <c r="P528" s="1" t="str">
        <f>IF(O528&lt;&gt;"",ROWS($O$2:O528),"")</f>
        <v/>
      </c>
    </row>
    <row r="529" spans="1:16" x14ac:dyDescent="0.2">
      <c r="A529" s="1">
        <f>WorldCupMatches!O529</f>
        <v>1998</v>
      </c>
      <c r="B529" s="1" t="str">
        <f>WorldCupMatches!P529</f>
        <v>Yugoslavia</v>
      </c>
      <c r="C529" s="1">
        <f>WorldCupMatches!Q529</f>
        <v>1</v>
      </c>
      <c r="D529" s="1">
        <f>WorldCupMatches!R529</f>
        <v>0</v>
      </c>
      <c r="E529" s="1" t="str">
        <f>WorldCupMatches!S529</f>
        <v>Iran</v>
      </c>
      <c r="F529" s="1" t="str">
        <f>WorldCupMatches!T529</f>
        <v xml:space="preserve"> </v>
      </c>
      <c r="G529" s="1" t="str">
        <f>WorldCupMatches!U529</f>
        <v>Group stages</v>
      </c>
      <c r="J529" s="1">
        <f>COUNTIF($L$2:L529,L529)</f>
        <v>17</v>
      </c>
      <c r="K529" s="1">
        <f>Table3[[#This Row],[Year]]</f>
        <v>1998</v>
      </c>
      <c r="L529" s="1" t="str">
        <f>Table3[[#This Row],[Hometeam]]</f>
        <v>Yugoslavia</v>
      </c>
      <c r="M529" s="1" t="str">
        <f>IF(J529=1,J529+ROWS($J$2:J529)/10000,"")</f>
        <v/>
      </c>
      <c r="N529" s="1" t="str">
        <f>IFERROR(SMALL($M$2:$M$1705,ROWS($M$2:M529)),"")</f>
        <v/>
      </c>
      <c r="O529" s="1" t="str">
        <f>IF(N529&lt;&gt;"",INDEX($L$2:$L$1705,MATCH(N529,$M$2:$M$1705,0)),"")</f>
        <v/>
      </c>
      <c r="P529" s="1" t="str">
        <f>IF(O529&lt;&gt;"",ROWS($O$2:O529),"")</f>
        <v/>
      </c>
    </row>
    <row r="530" spans="1:16" x14ac:dyDescent="0.2">
      <c r="A530" s="1">
        <f>WorldCupMatches!O530</f>
        <v>1998</v>
      </c>
      <c r="B530" s="1" t="str">
        <f>WorldCupMatches!P530</f>
        <v>Jamaica</v>
      </c>
      <c r="C530" s="1">
        <f>WorldCupMatches!Q530</f>
        <v>1</v>
      </c>
      <c r="D530" s="1">
        <f>WorldCupMatches!R530</f>
        <v>3</v>
      </c>
      <c r="E530" s="1" t="str">
        <f>WorldCupMatches!S530</f>
        <v>Croatia</v>
      </c>
      <c r="F530" s="1" t="str">
        <f>WorldCupMatches!T530</f>
        <v xml:space="preserve"> </v>
      </c>
      <c r="G530" s="1" t="str">
        <f>WorldCupMatches!U530</f>
        <v>Group stages</v>
      </c>
      <c r="J530" s="1">
        <f>COUNTIF($L$2:L530,L530)</f>
        <v>1</v>
      </c>
      <c r="K530" s="1">
        <f>Table3[[#This Row],[Year]]</f>
        <v>1998</v>
      </c>
      <c r="L530" s="1" t="str">
        <f>Table3[[#This Row],[Hometeam]]</f>
        <v>Jamaica</v>
      </c>
      <c r="M530" s="1">
        <f>IF(J530=1,J530+ROWS($J$2:J530)/10000,"")</f>
        <v>1.0528999999999999</v>
      </c>
      <c r="N530" s="1" t="str">
        <f>IFERROR(SMALL($M$2:$M$1705,ROWS($M$2:M530)),"")</f>
        <v/>
      </c>
      <c r="O530" s="1" t="str">
        <f>IF(N530&lt;&gt;"",INDEX($L$2:$L$1705,MATCH(N530,$M$2:$M$1705,0)),"")</f>
        <v/>
      </c>
      <c r="P530" s="1" t="str">
        <f>IF(O530&lt;&gt;"",ROWS($O$2:O530),"")</f>
        <v/>
      </c>
    </row>
    <row r="531" spans="1:16" x14ac:dyDescent="0.2">
      <c r="A531" s="1">
        <f>WorldCupMatches!O531</f>
        <v>1998</v>
      </c>
      <c r="B531" s="1" t="str">
        <f>WorldCupMatches!P531</f>
        <v>England</v>
      </c>
      <c r="C531" s="1">
        <f>WorldCupMatches!Q531</f>
        <v>2</v>
      </c>
      <c r="D531" s="1">
        <f>WorldCupMatches!R531</f>
        <v>0</v>
      </c>
      <c r="E531" s="1" t="str">
        <f>WorldCupMatches!S531</f>
        <v>Tunisia</v>
      </c>
      <c r="F531" s="1" t="str">
        <f>WorldCupMatches!T531</f>
        <v xml:space="preserve"> </v>
      </c>
      <c r="G531" s="1" t="str">
        <f>WorldCupMatches!U531</f>
        <v>Group stages</v>
      </c>
      <c r="J531" s="1">
        <f>COUNTIF($L$2:L531,L531)</f>
        <v>26</v>
      </c>
      <c r="K531" s="1">
        <f>Table3[[#This Row],[Year]]</f>
        <v>1998</v>
      </c>
      <c r="L531" s="1" t="str">
        <f>Table3[[#This Row],[Hometeam]]</f>
        <v>England</v>
      </c>
      <c r="M531" s="1" t="str">
        <f>IF(J531=1,J531+ROWS($J$2:J531)/10000,"")</f>
        <v/>
      </c>
      <c r="N531" s="1" t="str">
        <f>IFERROR(SMALL($M$2:$M$1705,ROWS($M$2:M531)),"")</f>
        <v/>
      </c>
      <c r="O531" s="1" t="str">
        <f>IF(N531&lt;&gt;"",INDEX($L$2:$L$1705,MATCH(N531,$M$2:$M$1705,0)),"")</f>
        <v/>
      </c>
      <c r="P531" s="1" t="str">
        <f>IF(O531&lt;&gt;"",ROWS($O$2:O531),"")</f>
        <v/>
      </c>
    </row>
    <row r="532" spans="1:16" x14ac:dyDescent="0.2">
      <c r="A532" s="1">
        <f>WorldCupMatches!O532</f>
        <v>1998</v>
      </c>
      <c r="B532" s="1" t="str">
        <f>WorldCupMatches!P532</f>
        <v>Romania</v>
      </c>
      <c r="C532" s="1">
        <f>WorldCupMatches!Q532</f>
        <v>1</v>
      </c>
      <c r="D532" s="1">
        <f>WorldCupMatches!R532</f>
        <v>0</v>
      </c>
      <c r="E532" s="1" t="str">
        <f>WorldCupMatches!S532</f>
        <v>Colombia</v>
      </c>
      <c r="F532" s="1" t="str">
        <f>WorldCupMatches!T532</f>
        <v xml:space="preserve"> </v>
      </c>
      <c r="G532" s="1" t="str">
        <f>WorldCupMatches!U532</f>
        <v>Group stages</v>
      </c>
      <c r="J532" s="1">
        <f>COUNTIF($L$2:L532,L532)</f>
        <v>6</v>
      </c>
      <c r="K532" s="1">
        <f>Table3[[#This Row],[Year]]</f>
        <v>1998</v>
      </c>
      <c r="L532" s="1" t="str">
        <f>Table3[[#This Row],[Hometeam]]</f>
        <v>Romania</v>
      </c>
      <c r="M532" s="1" t="str">
        <f>IF(J532=1,J532+ROWS($J$2:J532)/10000,"")</f>
        <v/>
      </c>
      <c r="N532" s="1" t="str">
        <f>IFERROR(SMALL($M$2:$M$1705,ROWS($M$2:M532)),"")</f>
        <v/>
      </c>
      <c r="O532" s="1" t="str">
        <f>IF(N532&lt;&gt;"",INDEX($L$2:$L$1705,MATCH(N532,$M$2:$M$1705,0)),"")</f>
        <v/>
      </c>
      <c r="P532" s="1" t="str">
        <f>IF(O532&lt;&gt;"",ROWS($O$2:O532),"")</f>
        <v/>
      </c>
    </row>
    <row r="533" spans="1:16" x14ac:dyDescent="0.2">
      <c r="A533" s="1">
        <f>WorldCupMatches!O533</f>
        <v>1998</v>
      </c>
      <c r="B533" s="1" t="str">
        <f>WorldCupMatches!P533</f>
        <v>Germany</v>
      </c>
      <c r="C533" s="1">
        <f>WorldCupMatches!Q533</f>
        <v>2</v>
      </c>
      <c r="D533" s="1">
        <f>WorldCupMatches!R533</f>
        <v>0</v>
      </c>
      <c r="E533" s="1" t="str">
        <f>WorldCupMatches!S533</f>
        <v>USA</v>
      </c>
      <c r="F533" s="1" t="str">
        <f>WorldCupMatches!T533</f>
        <v xml:space="preserve"> </v>
      </c>
      <c r="G533" s="1" t="str">
        <f>WorldCupMatches!U533</f>
        <v>Group stages</v>
      </c>
      <c r="J533" s="1">
        <f>COUNTIF($L$2:L533,L533)</f>
        <v>8</v>
      </c>
      <c r="K533" s="1">
        <f>Table3[[#This Row],[Year]]</f>
        <v>1998</v>
      </c>
      <c r="L533" s="1" t="str">
        <f>Table3[[#This Row],[Hometeam]]</f>
        <v>Germany</v>
      </c>
      <c r="M533" s="1" t="str">
        <f>IF(J533=1,J533+ROWS($J$2:J533)/10000,"")</f>
        <v/>
      </c>
      <c r="N533" s="1" t="str">
        <f>IFERROR(SMALL($M$2:$M$1705,ROWS($M$2:M533)),"")</f>
        <v/>
      </c>
      <c r="O533" s="1" t="str">
        <f>IF(N533&lt;&gt;"",INDEX($L$2:$L$1705,MATCH(N533,$M$2:$M$1705,0)),"")</f>
        <v/>
      </c>
      <c r="P533" s="1" t="str">
        <f>IF(O533&lt;&gt;"",ROWS($O$2:O533),"")</f>
        <v/>
      </c>
    </row>
    <row r="534" spans="1:16" x14ac:dyDescent="0.2">
      <c r="A534" s="1">
        <f>WorldCupMatches!O534</f>
        <v>1998</v>
      </c>
      <c r="B534" s="1" t="str">
        <f>WorldCupMatches!P534</f>
        <v>Scotland</v>
      </c>
      <c r="C534" s="1">
        <f>WorldCupMatches!Q534</f>
        <v>1</v>
      </c>
      <c r="D534" s="1">
        <f>WorldCupMatches!R534</f>
        <v>1</v>
      </c>
      <c r="E534" s="1" t="str">
        <f>WorldCupMatches!S534</f>
        <v>Norway</v>
      </c>
      <c r="F534" s="1" t="str">
        <f>WorldCupMatches!T534</f>
        <v xml:space="preserve"> </v>
      </c>
      <c r="G534" s="1" t="str">
        <f>WorldCupMatches!U534</f>
        <v>Group stages</v>
      </c>
      <c r="J534" s="1">
        <f>COUNTIF($L$2:L534,L534)</f>
        <v>8</v>
      </c>
      <c r="K534" s="1">
        <f>Table3[[#This Row],[Year]]</f>
        <v>1998</v>
      </c>
      <c r="L534" s="1" t="str">
        <f>Table3[[#This Row],[Hometeam]]</f>
        <v>Scotland</v>
      </c>
      <c r="M534" s="1" t="str">
        <f>IF(J534=1,J534+ROWS($J$2:J534)/10000,"")</f>
        <v/>
      </c>
      <c r="N534" s="1" t="str">
        <f>IFERROR(SMALL($M$2:$M$1705,ROWS($M$2:M534)),"")</f>
        <v/>
      </c>
      <c r="O534" s="1" t="str">
        <f>IF(N534&lt;&gt;"",INDEX($L$2:$L$1705,MATCH(N534,$M$2:$M$1705,0)),"")</f>
        <v/>
      </c>
      <c r="P534" s="1" t="str">
        <f>IF(O534&lt;&gt;"",ROWS($O$2:O534),"")</f>
        <v/>
      </c>
    </row>
    <row r="535" spans="1:16" x14ac:dyDescent="0.2">
      <c r="A535" s="1">
        <f>WorldCupMatches!O535</f>
        <v>1998</v>
      </c>
      <c r="B535" s="1" t="str">
        <f>WorldCupMatches!P535</f>
        <v>Brazil</v>
      </c>
      <c r="C535" s="1">
        <f>WorldCupMatches!Q535</f>
        <v>3</v>
      </c>
      <c r="D535" s="1">
        <f>WorldCupMatches!R535</f>
        <v>0</v>
      </c>
      <c r="E535" s="1" t="str">
        <f>WorldCupMatches!S535</f>
        <v>Morocco</v>
      </c>
      <c r="F535" s="1" t="str">
        <f>WorldCupMatches!T535</f>
        <v xml:space="preserve"> </v>
      </c>
      <c r="G535" s="1" t="str">
        <f>WorldCupMatches!U535</f>
        <v>Group stages</v>
      </c>
      <c r="J535" s="1">
        <f>COUNTIF($L$2:L535,L535)</f>
        <v>56</v>
      </c>
      <c r="K535" s="1">
        <f>Table3[[#This Row],[Year]]</f>
        <v>1998</v>
      </c>
      <c r="L535" s="1" t="str">
        <f>Table3[[#This Row],[Hometeam]]</f>
        <v>Brazil</v>
      </c>
      <c r="M535" s="1" t="str">
        <f>IF(J535=1,J535+ROWS($J$2:J535)/10000,"")</f>
        <v/>
      </c>
      <c r="N535" s="1" t="str">
        <f>IFERROR(SMALL($M$2:$M$1705,ROWS($M$2:M535)),"")</f>
        <v/>
      </c>
      <c r="O535" s="1" t="str">
        <f>IF(N535&lt;&gt;"",INDEX($L$2:$L$1705,MATCH(N535,$M$2:$M$1705,0)),"")</f>
        <v/>
      </c>
      <c r="P535" s="1" t="str">
        <f>IF(O535&lt;&gt;"",ROWS($O$2:O535),"")</f>
        <v/>
      </c>
    </row>
    <row r="536" spans="1:16" x14ac:dyDescent="0.2">
      <c r="A536" s="1">
        <f>WorldCupMatches!O536</f>
        <v>1998</v>
      </c>
      <c r="B536" s="1" t="str">
        <f>WorldCupMatches!P536</f>
        <v>Chile</v>
      </c>
      <c r="C536" s="1">
        <f>WorldCupMatches!Q536</f>
        <v>1</v>
      </c>
      <c r="D536" s="1">
        <f>WorldCupMatches!R536</f>
        <v>1</v>
      </c>
      <c r="E536" s="1" t="str">
        <f>WorldCupMatches!S536</f>
        <v>Austria</v>
      </c>
      <c r="F536" s="1" t="str">
        <f>WorldCupMatches!T536</f>
        <v xml:space="preserve"> </v>
      </c>
      <c r="G536" s="1" t="str">
        <f>WorldCupMatches!U536</f>
        <v>Group stages</v>
      </c>
      <c r="J536" s="1">
        <f>COUNTIF($L$2:L536,L536)</f>
        <v>10</v>
      </c>
      <c r="K536" s="1">
        <f>Table3[[#This Row],[Year]]</f>
        <v>1998</v>
      </c>
      <c r="L536" s="1" t="str">
        <f>Table3[[#This Row],[Hometeam]]</f>
        <v>Chile</v>
      </c>
      <c r="M536" s="1" t="str">
        <f>IF(J536=1,J536+ROWS($J$2:J536)/10000,"")</f>
        <v/>
      </c>
      <c r="N536" s="1" t="str">
        <f>IFERROR(SMALL($M$2:$M$1705,ROWS($M$2:M536)),"")</f>
        <v/>
      </c>
      <c r="O536" s="1" t="str">
        <f>IF(N536&lt;&gt;"",INDEX($L$2:$L$1705,MATCH(N536,$M$2:$M$1705,0)),"")</f>
        <v/>
      </c>
      <c r="P536" s="1" t="str">
        <f>IF(O536&lt;&gt;"",ROWS($O$2:O536),"")</f>
        <v/>
      </c>
    </row>
    <row r="537" spans="1:16" x14ac:dyDescent="0.2">
      <c r="A537" s="1">
        <f>WorldCupMatches!O537</f>
        <v>1998</v>
      </c>
      <c r="B537" s="1" t="str">
        <f>WorldCupMatches!P537</f>
        <v>Italy</v>
      </c>
      <c r="C537" s="1">
        <f>WorldCupMatches!Q537</f>
        <v>3</v>
      </c>
      <c r="D537" s="1">
        <f>WorldCupMatches!R537</f>
        <v>0</v>
      </c>
      <c r="E537" s="1" t="str">
        <f>WorldCupMatches!S537</f>
        <v>Cameroon</v>
      </c>
      <c r="F537" s="1" t="str">
        <f>WorldCupMatches!T537</f>
        <v xml:space="preserve"> </v>
      </c>
      <c r="G537" s="1" t="str">
        <f>WorldCupMatches!U537</f>
        <v>Group stages</v>
      </c>
      <c r="J537" s="1">
        <f>COUNTIF($L$2:L537,L537)</f>
        <v>43</v>
      </c>
      <c r="K537" s="1">
        <f>Table3[[#This Row],[Year]]</f>
        <v>1998</v>
      </c>
      <c r="L537" s="1" t="str">
        <f>Table3[[#This Row],[Hometeam]]</f>
        <v>Italy</v>
      </c>
      <c r="M537" s="1" t="str">
        <f>IF(J537=1,J537+ROWS($J$2:J537)/10000,"")</f>
        <v/>
      </c>
      <c r="N537" s="1" t="str">
        <f>IFERROR(SMALL($M$2:$M$1705,ROWS($M$2:M537)),"")</f>
        <v/>
      </c>
      <c r="O537" s="1" t="str">
        <f>IF(N537&lt;&gt;"",INDEX($L$2:$L$1705,MATCH(N537,$M$2:$M$1705,0)),"")</f>
        <v/>
      </c>
      <c r="P537" s="1" t="str">
        <f>IF(O537&lt;&gt;"",ROWS($O$2:O537),"")</f>
        <v/>
      </c>
    </row>
    <row r="538" spans="1:16" x14ac:dyDescent="0.2">
      <c r="A538" s="1">
        <f>WorldCupMatches!O538</f>
        <v>1998</v>
      </c>
      <c r="B538" s="1" t="str">
        <f>WorldCupMatches!P538</f>
        <v>South Africa</v>
      </c>
      <c r="C538" s="1">
        <f>WorldCupMatches!Q538</f>
        <v>1</v>
      </c>
      <c r="D538" s="1">
        <f>WorldCupMatches!R538</f>
        <v>1</v>
      </c>
      <c r="E538" s="1" t="str">
        <f>WorldCupMatches!S538</f>
        <v>Denmark</v>
      </c>
      <c r="F538" s="1" t="str">
        <f>WorldCupMatches!T538</f>
        <v xml:space="preserve"> </v>
      </c>
      <c r="G538" s="1" t="str">
        <f>WorldCupMatches!U538</f>
        <v>Group stages</v>
      </c>
      <c r="J538" s="1">
        <f>COUNTIF($L$2:L538,L538)</f>
        <v>1</v>
      </c>
      <c r="K538" s="1">
        <f>Table3[[#This Row],[Year]]</f>
        <v>1998</v>
      </c>
      <c r="L538" s="1" t="str">
        <f>Table3[[#This Row],[Hometeam]]</f>
        <v>South Africa</v>
      </c>
      <c r="M538" s="1">
        <f>IF(J538=1,J538+ROWS($J$2:J538)/10000,"")</f>
        <v>1.0537000000000001</v>
      </c>
      <c r="N538" s="1" t="str">
        <f>IFERROR(SMALL($M$2:$M$1705,ROWS($M$2:M538)),"")</f>
        <v/>
      </c>
      <c r="O538" s="1" t="str">
        <f>IF(N538&lt;&gt;"",INDEX($L$2:$L$1705,MATCH(N538,$M$2:$M$1705,0)),"")</f>
        <v/>
      </c>
      <c r="P538" s="1" t="str">
        <f>IF(O538&lt;&gt;"",ROWS($O$2:O538),"")</f>
        <v/>
      </c>
    </row>
    <row r="539" spans="1:16" x14ac:dyDescent="0.2">
      <c r="A539" s="1">
        <f>WorldCupMatches!O539</f>
        <v>1998</v>
      </c>
      <c r="B539" s="1" t="str">
        <f>WorldCupMatches!P539</f>
        <v>France</v>
      </c>
      <c r="C539" s="1">
        <f>WorldCupMatches!Q539</f>
        <v>4</v>
      </c>
      <c r="D539" s="1">
        <f>WorldCupMatches!R539</f>
        <v>0</v>
      </c>
      <c r="E539" s="1" t="str">
        <f>WorldCupMatches!S539</f>
        <v>Saudi Arabia</v>
      </c>
      <c r="F539" s="1" t="str">
        <f>WorldCupMatches!T539</f>
        <v xml:space="preserve"> </v>
      </c>
      <c r="G539" s="1" t="str">
        <f>WorldCupMatches!U539</f>
        <v>Group stages</v>
      </c>
      <c r="J539" s="1">
        <f>COUNTIF($L$2:L539,L539)</f>
        <v>17</v>
      </c>
      <c r="K539" s="1">
        <f>Table3[[#This Row],[Year]]</f>
        <v>1998</v>
      </c>
      <c r="L539" s="1" t="str">
        <f>Table3[[#This Row],[Hometeam]]</f>
        <v>France</v>
      </c>
      <c r="M539" s="1" t="str">
        <f>IF(J539=1,J539+ROWS($J$2:J539)/10000,"")</f>
        <v/>
      </c>
      <c r="N539" s="1" t="str">
        <f>IFERROR(SMALL($M$2:$M$1705,ROWS($M$2:M539)),"")</f>
        <v/>
      </c>
      <c r="O539" s="1" t="str">
        <f>IF(N539&lt;&gt;"",INDEX($L$2:$L$1705,MATCH(N539,$M$2:$M$1705,0)),"")</f>
        <v/>
      </c>
      <c r="P539" s="1" t="str">
        <f>IF(O539&lt;&gt;"",ROWS($O$2:O539),"")</f>
        <v/>
      </c>
    </row>
    <row r="540" spans="1:16" x14ac:dyDescent="0.2">
      <c r="A540" s="1">
        <f>WorldCupMatches!O540</f>
        <v>1998</v>
      </c>
      <c r="B540" s="1" t="str">
        <f>WorldCupMatches!P540</f>
        <v>Nigeria</v>
      </c>
      <c r="C540" s="1">
        <f>WorldCupMatches!Q540</f>
        <v>1</v>
      </c>
      <c r="D540" s="1">
        <f>WorldCupMatches!R540</f>
        <v>0</v>
      </c>
      <c r="E540" s="1" t="str">
        <f>WorldCupMatches!S540</f>
        <v>Bulgaria</v>
      </c>
      <c r="F540" s="1" t="str">
        <f>WorldCupMatches!T540</f>
        <v xml:space="preserve"> </v>
      </c>
      <c r="G540" s="1" t="str">
        <f>WorldCupMatches!U540</f>
        <v>Group stages</v>
      </c>
      <c r="J540" s="1">
        <f>COUNTIF($L$2:L540,L540)</f>
        <v>3</v>
      </c>
      <c r="K540" s="1">
        <f>Table3[[#This Row],[Year]]</f>
        <v>1998</v>
      </c>
      <c r="L540" s="1" t="str">
        <f>Table3[[#This Row],[Hometeam]]</f>
        <v>Nigeria</v>
      </c>
      <c r="M540" s="1" t="str">
        <f>IF(J540=1,J540+ROWS($J$2:J540)/10000,"")</f>
        <v/>
      </c>
      <c r="N540" s="1" t="str">
        <f>IFERROR(SMALL($M$2:$M$1705,ROWS($M$2:M540)),"")</f>
        <v/>
      </c>
      <c r="O540" s="1" t="str">
        <f>IF(N540&lt;&gt;"",INDEX($L$2:$L$1705,MATCH(N540,$M$2:$M$1705,0)),"")</f>
        <v/>
      </c>
      <c r="P540" s="1" t="str">
        <f>IF(O540&lt;&gt;"",ROWS($O$2:O540),"")</f>
        <v/>
      </c>
    </row>
    <row r="541" spans="1:16" x14ac:dyDescent="0.2">
      <c r="A541" s="1">
        <f>WorldCupMatches!O541</f>
        <v>1998</v>
      </c>
      <c r="B541" s="1" t="str">
        <f>WorldCupMatches!P541</f>
        <v>Spain</v>
      </c>
      <c r="C541" s="1">
        <f>WorldCupMatches!Q541</f>
        <v>0</v>
      </c>
      <c r="D541" s="1">
        <f>WorldCupMatches!R541</f>
        <v>0</v>
      </c>
      <c r="E541" s="1" t="str">
        <f>WorldCupMatches!S541</f>
        <v>Paraguay</v>
      </c>
      <c r="F541" s="1" t="str">
        <f>WorldCupMatches!T541</f>
        <v xml:space="preserve"> </v>
      </c>
      <c r="G541" s="1" t="str">
        <f>WorldCupMatches!U541</f>
        <v>Group stages</v>
      </c>
      <c r="J541" s="1">
        <f>COUNTIF($L$2:L541,L541)</f>
        <v>17</v>
      </c>
      <c r="K541" s="1">
        <f>Table3[[#This Row],[Year]]</f>
        <v>1998</v>
      </c>
      <c r="L541" s="1" t="str">
        <f>Table3[[#This Row],[Hometeam]]</f>
        <v>Spain</v>
      </c>
      <c r="M541" s="1" t="str">
        <f>IF(J541=1,J541+ROWS($J$2:J541)/10000,"")</f>
        <v/>
      </c>
      <c r="N541" s="1" t="str">
        <f>IFERROR(SMALL($M$2:$M$1705,ROWS($M$2:M541)),"")</f>
        <v/>
      </c>
      <c r="O541" s="1" t="str">
        <f>IF(N541&lt;&gt;"",INDEX($L$2:$L$1705,MATCH(N541,$M$2:$M$1705,0)),"")</f>
        <v/>
      </c>
      <c r="P541" s="1" t="str">
        <f>IF(O541&lt;&gt;"",ROWS($O$2:O541),"")</f>
        <v/>
      </c>
    </row>
    <row r="542" spans="1:16" x14ac:dyDescent="0.2">
      <c r="A542" s="1">
        <f>WorldCupMatches!O542</f>
        <v>1998</v>
      </c>
      <c r="B542" s="1" t="str">
        <f>WorldCupMatches!P542</f>
        <v>Japan</v>
      </c>
      <c r="C542" s="1">
        <f>WorldCupMatches!Q542</f>
        <v>0</v>
      </c>
      <c r="D542" s="1">
        <f>WorldCupMatches!R542</f>
        <v>1</v>
      </c>
      <c r="E542" s="1" t="str">
        <f>WorldCupMatches!S542</f>
        <v>Croatia</v>
      </c>
      <c r="F542" s="1" t="str">
        <f>WorldCupMatches!T542</f>
        <v xml:space="preserve"> </v>
      </c>
      <c r="G542" s="1" t="str">
        <f>WorldCupMatches!U542</f>
        <v>Group stages</v>
      </c>
      <c r="J542" s="1">
        <f>COUNTIF($L$2:L542,L542)</f>
        <v>1</v>
      </c>
      <c r="K542" s="1">
        <f>Table3[[#This Row],[Year]]</f>
        <v>1998</v>
      </c>
      <c r="L542" s="1" t="str">
        <f>Table3[[#This Row],[Hometeam]]</f>
        <v>Japan</v>
      </c>
      <c r="M542" s="1">
        <f>IF(J542=1,J542+ROWS($J$2:J542)/10000,"")</f>
        <v>1.0541</v>
      </c>
      <c r="N542" s="1" t="str">
        <f>IFERROR(SMALL($M$2:$M$1705,ROWS($M$2:M542)),"")</f>
        <v/>
      </c>
      <c r="O542" s="1" t="str">
        <f>IF(N542&lt;&gt;"",INDEX($L$2:$L$1705,MATCH(N542,$M$2:$M$1705,0)),"")</f>
        <v/>
      </c>
      <c r="P542" s="1" t="str">
        <f>IF(O542&lt;&gt;"",ROWS($O$2:O542),"")</f>
        <v/>
      </c>
    </row>
    <row r="543" spans="1:16" x14ac:dyDescent="0.2">
      <c r="A543" s="1">
        <f>WorldCupMatches!O543</f>
        <v>1998</v>
      </c>
      <c r="B543" s="1" t="str">
        <f>WorldCupMatches!P543</f>
        <v>Belgium</v>
      </c>
      <c r="C543" s="1">
        <f>WorldCupMatches!Q543</f>
        <v>2</v>
      </c>
      <c r="D543" s="1">
        <f>WorldCupMatches!R543</f>
        <v>2</v>
      </c>
      <c r="E543" s="1" t="str">
        <f>WorldCupMatches!S543</f>
        <v>Mexico</v>
      </c>
      <c r="F543" s="1" t="str">
        <f>WorldCupMatches!T543</f>
        <v xml:space="preserve"> </v>
      </c>
      <c r="G543" s="1" t="str">
        <f>WorldCupMatches!U543</f>
        <v>Group stages</v>
      </c>
      <c r="J543" s="1">
        <f>COUNTIF($L$2:L543,L543)</f>
        <v>12</v>
      </c>
      <c r="K543" s="1">
        <f>Table3[[#This Row],[Year]]</f>
        <v>1998</v>
      </c>
      <c r="L543" s="1" t="str">
        <f>Table3[[#This Row],[Hometeam]]</f>
        <v>Belgium</v>
      </c>
      <c r="M543" s="1" t="str">
        <f>IF(J543=1,J543+ROWS($J$2:J543)/10000,"")</f>
        <v/>
      </c>
      <c r="N543" s="1" t="str">
        <f>IFERROR(SMALL($M$2:$M$1705,ROWS($M$2:M543)),"")</f>
        <v/>
      </c>
      <c r="O543" s="1" t="str">
        <f>IF(N543&lt;&gt;"",INDEX($L$2:$L$1705,MATCH(N543,$M$2:$M$1705,0)),"")</f>
        <v/>
      </c>
      <c r="P543" s="1" t="str">
        <f>IF(O543&lt;&gt;"",ROWS($O$2:O543),"")</f>
        <v/>
      </c>
    </row>
    <row r="544" spans="1:16" x14ac:dyDescent="0.2">
      <c r="A544" s="1">
        <f>WorldCupMatches!O544</f>
        <v>1998</v>
      </c>
      <c r="B544" s="1" t="str">
        <f>WorldCupMatches!P544</f>
        <v>Netherlands</v>
      </c>
      <c r="C544" s="1">
        <f>WorldCupMatches!Q544</f>
        <v>5</v>
      </c>
      <c r="D544" s="1">
        <f>WorldCupMatches!R544</f>
        <v>0</v>
      </c>
      <c r="E544" s="1" t="str">
        <f>WorldCupMatches!S544</f>
        <v>Korea Republic</v>
      </c>
      <c r="F544" s="1" t="str">
        <f>WorldCupMatches!T544</f>
        <v xml:space="preserve"> </v>
      </c>
      <c r="G544" s="1" t="str">
        <f>WorldCupMatches!U544</f>
        <v>Group stages</v>
      </c>
      <c r="J544" s="1">
        <f>COUNTIF($L$2:L544,L544)</f>
        <v>14</v>
      </c>
      <c r="K544" s="1">
        <f>Table3[[#This Row],[Year]]</f>
        <v>1998</v>
      </c>
      <c r="L544" s="1" t="str">
        <f>Table3[[#This Row],[Hometeam]]</f>
        <v>Netherlands</v>
      </c>
      <c r="M544" s="1" t="str">
        <f>IF(J544=1,J544+ROWS($J$2:J544)/10000,"")</f>
        <v/>
      </c>
      <c r="N544" s="1" t="str">
        <f>IFERROR(SMALL($M$2:$M$1705,ROWS($M$2:M544)),"")</f>
        <v/>
      </c>
      <c r="O544" s="1" t="str">
        <f>IF(N544&lt;&gt;"",INDEX($L$2:$L$1705,MATCH(N544,$M$2:$M$1705,0)),"")</f>
        <v/>
      </c>
      <c r="P544" s="1" t="str">
        <f>IF(O544&lt;&gt;"",ROWS($O$2:O544),"")</f>
        <v/>
      </c>
    </row>
    <row r="545" spans="1:16" x14ac:dyDescent="0.2">
      <c r="A545" s="1">
        <f>WorldCupMatches!O545</f>
        <v>1998</v>
      </c>
      <c r="B545" s="1" t="str">
        <f>WorldCupMatches!P545</f>
        <v>Germany</v>
      </c>
      <c r="C545" s="1">
        <f>WorldCupMatches!Q545</f>
        <v>2</v>
      </c>
      <c r="D545" s="1">
        <f>WorldCupMatches!R545</f>
        <v>2</v>
      </c>
      <c r="E545" s="1" t="str">
        <f>WorldCupMatches!S545</f>
        <v>Yugoslavia</v>
      </c>
      <c r="F545" s="1" t="str">
        <f>WorldCupMatches!T545</f>
        <v xml:space="preserve"> </v>
      </c>
      <c r="G545" s="1" t="str">
        <f>WorldCupMatches!U545</f>
        <v>Group stages</v>
      </c>
      <c r="J545" s="1">
        <f>COUNTIF($L$2:L545,L545)</f>
        <v>9</v>
      </c>
      <c r="K545" s="1">
        <f>Table3[[#This Row],[Year]]</f>
        <v>1998</v>
      </c>
      <c r="L545" s="1" t="str">
        <f>Table3[[#This Row],[Hometeam]]</f>
        <v>Germany</v>
      </c>
      <c r="M545" s="1" t="str">
        <f>IF(J545=1,J545+ROWS($J$2:J545)/10000,"")</f>
        <v/>
      </c>
      <c r="N545" s="1" t="str">
        <f>IFERROR(SMALL($M$2:$M$1705,ROWS($M$2:M545)),"")</f>
        <v/>
      </c>
      <c r="O545" s="1" t="str">
        <f>IF(N545&lt;&gt;"",INDEX($L$2:$L$1705,MATCH(N545,$M$2:$M$1705,0)),"")</f>
        <v/>
      </c>
      <c r="P545" s="1" t="str">
        <f>IF(O545&lt;&gt;"",ROWS($O$2:O545),"")</f>
        <v/>
      </c>
    </row>
    <row r="546" spans="1:16" x14ac:dyDescent="0.2">
      <c r="A546" s="1">
        <f>WorldCupMatches!O546</f>
        <v>1998</v>
      </c>
      <c r="B546" s="1" t="str">
        <f>WorldCupMatches!P546</f>
        <v>Argentina</v>
      </c>
      <c r="C546" s="1">
        <f>WorldCupMatches!Q546</f>
        <v>5</v>
      </c>
      <c r="D546" s="1">
        <f>WorldCupMatches!R546</f>
        <v>0</v>
      </c>
      <c r="E546" s="1" t="str">
        <f>WorldCupMatches!S546</f>
        <v>Jamaica</v>
      </c>
      <c r="F546" s="1" t="str">
        <f>WorldCupMatches!T546</f>
        <v xml:space="preserve"> </v>
      </c>
      <c r="G546" s="1" t="str">
        <f>WorldCupMatches!U546</f>
        <v>Group stages</v>
      </c>
      <c r="J546" s="1">
        <f>COUNTIF($L$2:L546,L546)</f>
        <v>37</v>
      </c>
      <c r="K546" s="1">
        <f>Table3[[#This Row],[Year]]</f>
        <v>1998</v>
      </c>
      <c r="L546" s="1" t="str">
        <f>Table3[[#This Row],[Hometeam]]</f>
        <v>Argentina</v>
      </c>
      <c r="M546" s="1" t="str">
        <f>IF(J546=1,J546+ROWS($J$2:J546)/10000,"")</f>
        <v/>
      </c>
      <c r="N546" s="1" t="str">
        <f>IFERROR(SMALL($M$2:$M$1705,ROWS($M$2:M546)),"")</f>
        <v/>
      </c>
      <c r="O546" s="1" t="str">
        <f>IF(N546&lt;&gt;"",INDEX($L$2:$L$1705,MATCH(N546,$M$2:$M$1705,0)),"")</f>
        <v/>
      </c>
      <c r="P546" s="1" t="str">
        <f>IF(O546&lt;&gt;"",ROWS($O$2:O546),"")</f>
        <v/>
      </c>
    </row>
    <row r="547" spans="1:16" x14ac:dyDescent="0.2">
      <c r="A547" s="1">
        <f>WorldCupMatches!O547</f>
        <v>1998</v>
      </c>
      <c r="B547" s="1" t="str">
        <f>WorldCupMatches!P547</f>
        <v>USA</v>
      </c>
      <c r="C547" s="1">
        <f>WorldCupMatches!Q547</f>
        <v>1</v>
      </c>
      <c r="D547" s="1">
        <f>WorldCupMatches!R547</f>
        <v>2</v>
      </c>
      <c r="E547" s="1" t="str">
        <f>WorldCupMatches!S547</f>
        <v>Iran</v>
      </c>
      <c r="F547" s="1" t="str">
        <f>WorldCupMatches!T547</f>
        <v xml:space="preserve"> </v>
      </c>
      <c r="G547" s="1" t="str">
        <f>WorldCupMatches!U547</f>
        <v>Group stages</v>
      </c>
      <c r="J547" s="1">
        <f>COUNTIF($L$2:L547,L547)</f>
        <v>8</v>
      </c>
      <c r="K547" s="1">
        <f>Table3[[#This Row],[Year]]</f>
        <v>1998</v>
      </c>
      <c r="L547" s="1" t="str">
        <f>Table3[[#This Row],[Hometeam]]</f>
        <v>USA</v>
      </c>
      <c r="M547" s="1" t="str">
        <f>IF(J547=1,J547+ROWS($J$2:J547)/10000,"")</f>
        <v/>
      </c>
      <c r="N547" s="1" t="str">
        <f>IFERROR(SMALL($M$2:$M$1705,ROWS($M$2:M547)),"")</f>
        <v/>
      </c>
      <c r="O547" s="1" t="str">
        <f>IF(N547&lt;&gt;"",INDEX($L$2:$L$1705,MATCH(N547,$M$2:$M$1705,0)),"")</f>
        <v/>
      </c>
      <c r="P547" s="1" t="str">
        <f>IF(O547&lt;&gt;"",ROWS($O$2:O547),"")</f>
        <v/>
      </c>
    </row>
    <row r="548" spans="1:16" x14ac:dyDescent="0.2">
      <c r="A548" s="1">
        <f>WorldCupMatches!O548</f>
        <v>1998</v>
      </c>
      <c r="B548" s="1" t="str">
        <f>WorldCupMatches!P548</f>
        <v>Colombia</v>
      </c>
      <c r="C548" s="1">
        <f>WorldCupMatches!Q548</f>
        <v>1</v>
      </c>
      <c r="D548" s="1">
        <f>WorldCupMatches!R548</f>
        <v>0</v>
      </c>
      <c r="E548" s="1" t="str">
        <f>WorldCupMatches!S548</f>
        <v>Tunisia</v>
      </c>
      <c r="F548" s="1" t="str">
        <f>WorldCupMatches!T548</f>
        <v xml:space="preserve"> </v>
      </c>
      <c r="G548" s="1" t="str">
        <f>WorldCupMatches!U548</f>
        <v>Group stages</v>
      </c>
      <c r="J548" s="1">
        <f>COUNTIF($L$2:L548,L548)</f>
        <v>2</v>
      </c>
      <c r="K548" s="1">
        <f>Table3[[#This Row],[Year]]</f>
        <v>1998</v>
      </c>
      <c r="L548" s="1" t="str">
        <f>Table3[[#This Row],[Hometeam]]</f>
        <v>Colombia</v>
      </c>
      <c r="M548" s="1" t="str">
        <f>IF(J548=1,J548+ROWS($J$2:J548)/10000,"")</f>
        <v/>
      </c>
      <c r="N548" s="1" t="str">
        <f>IFERROR(SMALL($M$2:$M$1705,ROWS($M$2:M548)),"")</f>
        <v/>
      </c>
      <c r="O548" s="1" t="str">
        <f>IF(N548&lt;&gt;"",INDEX($L$2:$L$1705,MATCH(N548,$M$2:$M$1705,0)),"")</f>
        <v/>
      </c>
      <c r="P548" s="1" t="str">
        <f>IF(O548&lt;&gt;"",ROWS($O$2:O548),"")</f>
        <v/>
      </c>
    </row>
    <row r="549" spans="1:16" x14ac:dyDescent="0.2">
      <c r="A549" s="1">
        <f>WorldCupMatches!O549</f>
        <v>1998</v>
      </c>
      <c r="B549" s="1" t="str">
        <f>WorldCupMatches!P549</f>
        <v>Romania</v>
      </c>
      <c r="C549" s="1">
        <f>WorldCupMatches!Q549</f>
        <v>2</v>
      </c>
      <c r="D549" s="1">
        <f>WorldCupMatches!R549</f>
        <v>1</v>
      </c>
      <c r="E549" s="1" t="str">
        <f>WorldCupMatches!S549</f>
        <v>England</v>
      </c>
      <c r="F549" s="1" t="str">
        <f>WorldCupMatches!T549</f>
        <v xml:space="preserve"> </v>
      </c>
      <c r="G549" s="1" t="str">
        <f>WorldCupMatches!U549</f>
        <v>Group stages</v>
      </c>
      <c r="J549" s="1">
        <f>COUNTIF($L$2:L549,L549)</f>
        <v>7</v>
      </c>
      <c r="K549" s="1">
        <f>Table3[[#This Row],[Year]]</f>
        <v>1998</v>
      </c>
      <c r="L549" s="1" t="str">
        <f>Table3[[#This Row],[Hometeam]]</f>
        <v>Romania</v>
      </c>
      <c r="M549" s="1" t="str">
        <f>IF(J549=1,J549+ROWS($J$2:J549)/10000,"")</f>
        <v/>
      </c>
      <c r="N549" s="1" t="str">
        <f>IFERROR(SMALL($M$2:$M$1705,ROWS($M$2:M549)),"")</f>
        <v/>
      </c>
      <c r="O549" s="1" t="str">
        <f>IF(N549&lt;&gt;"",INDEX($L$2:$L$1705,MATCH(N549,$M$2:$M$1705,0)),"")</f>
        <v/>
      </c>
      <c r="P549" s="1" t="str">
        <f>IF(O549&lt;&gt;"",ROWS($O$2:O549),"")</f>
        <v/>
      </c>
    </row>
    <row r="550" spans="1:16" x14ac:dyDescent="0.2">
      <c r="A550" s="1">
        <f>WorldCupMatches!O550</f>
        <v>1998</v>
      </c>
      <c r="B550" s="1" t="str">
        <f>WorldCupMatches!P550</f>
        <v>Italy</v>
      </c>
      <c r="C550" s="1">
        <f>WorldCupMatches!Q550</f>
        <v>2</v>
      </c>
      <c r="D550" s="1">
        <f>WorldCupMatches!R550</f>
        <v>1</v>
      </c>
      <c r="E550" s="1" t="str">
        <f>WorldCupMatches!S550</f>
        <v>Austria</v>
      </c>
      <c r="F550" s="1" t="str">
        <f>WorldCupMatches!T550</f>
        <v xml:space="preserve"> </v>
      </c>
      <c r="G550" s="1" t="str">
        <f>WorldCupMatches!U550</f>
        <v>Group stages</v>
      </c>
      <c r="J550" s="1">
        <f>COUNTIF($L$2:L550,L550)</f>
        <v>44</v>
      </c>
      <c r="K550" s="1">
        <f>Table3[[#This Row],[Year]]</f>
        <v>1998</v>
      </c>
      <c r="L550" s="1" t="str">
        <f>Table3[[#This Row],[Hometeam]]</f>
        <v>Italy</v>
      </c>
      <c r="M550" s="1" t="str">
        <f>IF(J550=1,J550+ROWS($J$2:J550)/10000,"")</f>
        <v/>
      </c>
      <c r="N550" s="1" t="str">
        <f>IFERROR(SMALL($M$2:$M$1705,ROWS($M$2:M550)),"")</f>
        <v/>
      </c>
      <c r="O550" s="1" t="str">
        <f>IF(N550&lt;&gt;"",INDEX($L$2:$L$1705,MATCH(N550,$M$2:$M$1705,0)),"")</f>
        <v/>
      </c>
      <c r="P550" s="1" t="str">
        <f>IF(O550&lt;&gt;"",ROWS($O$2:O550),"")</f>
        <v/>
      </c>
    </row>
    <row r="551" spans="1:16" x14ac:dyDescent="0.2">
      <c r="A551" s="1">
        <f>WorldCupMatches!O551</f>
        <v>1998</v>
      </c>
      <c r="B551" s="1" t="str">
        <f>WorldCupMatches!P551</f>
        <v>Chile</v>
      </c>
      <c r="C551" s="1">
        <f>WorldCupMatches!Q551</f>
        <v>1</v>
      </c>
      <c r="D551" s="1">
        <f>WorldCupMatches!R551</f>
        <v>1</v>
      </c>
      <c r="E551" s="1" t="str">
        <f>WorldCupMatches!S551</f>
        <v>Cameroon</v>
      </c>
      <c r="F551" s="1" t="str">
        <f>WorldCupMatches!T551</f>
        <v xml:space="preserve"> </v>
      </c>
      <c r="G551" s="1" t="str">
        <f>WorldCupMatches!U551</f>
        <v>Group stages</v>
      </c>
      <c r="J551" s="1">
        <f>COUNTIF($L$2:L551,L551)</f>
        <v>11</v>
      </c>
      <c r="K551" s="1">
        <f>Table3[[#This Row],[Year]]</f>
        <v>1998</v>
      </c>
      <c r="L551" s="1" t="str">
        <f>Table3[[#This Row],[Hometeam]]</f>
        <v>Chile</v>
      </c>
      <c r="M551" s="1" t="str">
        <f>IF(J551=1,J551+ROWS($J$2:J551)/10000,"")</f>
        <v/>
      </c>
      <c r="N551" s="1" t="str">
        <f>IFERROR(SMALL($M$2:$M$1705,ROWS($M$2:M551)),"")</f>
        <v/>
      </c>
      <c r="O551" s="1" t="str">
        <f>IF(N551&lt;&gt;"",INDEX($L$2:$L$1705,MATCH(N551,$M$2:$M$1705,0)),"")</f>
        <v/>
      </c>
      <c r="P551" s="1" t="str">
        <f>IF(O551&lt;&gt;"",ROWS($O$2:O551),"")</f>
        <v/>
      </c>
    </row>
    <row r="552" spans="1:16" x14ac:dyDescent="0.2">
      <c r="A552" s="1">
        <f>WorldCupMatches!O552</f>
        <v>1998</v>
      </c>
      <c r="B552" s="1" t="str">
        <f>WorldCupMatches!P552</f>
        <v>Scotland</v>
      </c>
      <c r="C552" s="1">
        <f>WorldCupMatches!Q552</f>
        <v>0</v>
      </c>
      <c r="D552" s="1">
        <f>WorldCupMatches!R552</f>
        <v>3</v>
      </c>
      <c r="E552" s="1" t="str">
        <f>WorldCupMatches!S552</f>
        <v>Morocco</v>
      </c>
      <c r="F552" s="1" t="str">
        <f>WorldCupMatches!T552</f>
        <v xml:space="preserve"> </v>
      </c>
      <c r="G552" s="1" t="str">
        <f>WorldCupMatches!U552</f>
        <v>Group stages</v>
      </c>
      <c r="J552" s="1">
        <f>COUNTIF($L$2:L552,L552)</f>
        <v>9</v>
      </c>
      <c r="K552" s="1">
        <f>Table3[[#This Row],[Year]]</f>
        <v>1998</v>
      </c>
      <c r="L552" s="1" t="str">
        <f>Table3[[#This Row],[Hometeam]]</f>
        <v>Scotland</v>
      </c>
      <c r="M552" s="1" t="str">
        <f>IF(J552=1,J552+ROWS($J$2:J552)/10000,"")</f>
        <v/>
      </c>
      <c r="N552" s="1" t="str">
        <f>IFERROR(SMALL($M$2:$M$1705,ROWS($M$2:M552)),"")</f>
        <v/>
      </c>
      <c r="O552" s="1" t="str">
        <f>IF(N552&lt;&gt;"",INDEX($L$2:$L$1705,MATCH(N552,$M$2:$M$1705,0)),"")</f>
        <v/>
      </c>
      <c r="P552" s="1" t="str">
        <f>IF(O552&lt;&gt;"",ROWS($O$2:O552),"")</f>
        <v/>
      </c>
    </row>
    <row r="553" spans="1:16" x14ac:dyDescent="0.2">
      <c r="A553" s="1">
        <f>WorldCupMatches!O553</f>
        <v>1998</v>
      </c>
      <c r="B553" s="1" t="str">
        <f>WorldCupMatches!P553</f>
        <v>Brazil</v>
      </c>
      <c r="C553" s="1">
        <f>WorldCupMatches!Q553</f>
        <v>1</v>
      </c>
      <c r="D553" s="1">
        <f>WorldCupMatches!R553</f>
        <v>2</v>
      </c>
      <c r="E553" s="1" t="str">
        <f>WorldCupMatches!S553</f>
        <v>Norway</v>
      </c>
      <c r="F553" s="1" t="str">
        <f>WorldCupMatches!T553</f>
        <v xml:space="preserve"> </v>
      </c>
      <c r="G553" s="1" t="str">
        <f>WorldCupMatches!U553</f>
        <v>Group stages</v>
      </c>
      <c r="J553" s="1">
        <f>COUNTIF($L$2:L553,L553)</f>
        <v>57</v>
      </c>
      <c r="K553" s="1">
        <f>Table3[[#This Row],[Year]]</f>
        <v>1998</v>
      </c>
      <c r="L553" s="1" t="str">
        <f>Table3[[#This Row],[Hometeam]]</f>
        <v>Brazil</v>
      </c>
      <c r="M553" s="1" t="str">
        <f>IF(J553=1,J553+ROWS($J$2:J553)/10000,"")</f>
        <v/>
      </c>
      <c r="N553" s="1" t="str">
        <f>IFERROR(SMALL($M$2:$M$1705,ROWS($M$2:M553)),"")</f>
        <v/>
      </c>
      <c r="O553" s="1" t="str">
        <f>IF(N553&lt;&gt;"",INDEX($L$2:$L$1705,MATCH(N553,$M$2:$M$1705,0)),"")</f>
        <v/>
      </c>
      <c r="P553" s="1" t="str">
        <f>IF(O553&lt;&gt;"",ROWS($O$2:O553),"")</f>
        <v/>
      </c>
    </row>
    <row r="554" spans="1:16" x14ac:dyDescent="0.2">
      <c r="A554" s="1">
        <f>WorldCupMatches!O554</f>
        <v>1998</v>
      </c>
      <c r="B554" s="1" t="str">
        <f>WorldCupMatches!P554</f>
        <v>France</v>
      </c>
      <c r="C554" s="1">
        <f>WorldCupMatches!Q554</f>
        <v>2</v>
      </c>
      <c r="D554" s="1">
        <f>WorldCupMatches!R554</f>
        <v>1</v>
      </c>
      <c r="E554" s="1" t="str">
        <f>WorldCupMatches!S554</f>
        <v>Denmark</v>
      </c>
      <c r="F554" s="1" t="str">
        <f>WorldCupMatches!T554</f>
        <v xml:space="preserve"> </v>
      </c>
      <c r="G554" s="1" t="str">
        <f>WorldCupMatches!U554</f>
        <v>Group stages</v>
      </c>
      <c r="J554" s="1">
        <f>COUNTIF($L$2:L554,L554)</f>
        <v>18</v>
      </c>
      <c r="K554" s="1">
        <f>Table3[[#This Row],[Year]]</f>
        <v>1998</v>
      </c>
      <c r="L554" s="1" t="str">
        <f>Table3[[#This Row],[Hometeam]]</f>
        <v>France</v>
      </c>
      <c r="M554" s="1" t="str">
        <f>IF(J554=1,J554+ROWS($J$2:J554)/10000,"")</f>
        <v/>
      </c>
      <c r="N554" s="1" t="str">
        <f>IFERROR(SMALL($M$2:$M$1705,ROWS($M$2:M554)),"")</f>
        <v/>
      </c>
      <c r="O554" s="1" t="str">
        <f>IF(N554&lt;&gt;"",INDEX($L$2:$L$1705,MATCH(N554,$M$2:$M$1705,0)),"")</f>
        <v/>
      </c>
      <c r="P554" s="1" t="str">
        <f>IF(O554&lt;&gt;"",ROWS($O$2:O554),"")</f>
        <v/>
      </c>
    </row>
    <row r="555" spans="1:16" x14ac:dyDescent="0.2">
      <c r="A555" s="1">
        <f>WorldCupMatches!O555</f>
        <v>1998</v>
      </c>
      <c r="B555" s="1" t="str">
        <f>WorldCupMatches!P555</f>
        <v>South Africa</v>
      </c>
      <c r="C555" s="1">
        <f>WorldCupMatches!Q555</f>
        <v>2</v>
      </c>
      <c r="D555" s="1">
        <f>WorldCupMatches!R555</f>
        <v>2</v>
      </c>
      <c r="E555" s="1" t="str">
        <f>WorldCupMatches!S555</f>
        <v>Saudi Arabia</v>
      </c>
      <c r="F555" s="1" t="str">
        <f>WorldCupMatches!T555</f>
        <v xml:space="preserve"> </v>
      </c>
      <c r="G555" s="1" t="str">
        <f>WorldCupMatches!U555</f>
        <v>Group stages</v>
      </c>
      <c r="J555" s="1">
        <f>COUNTIF($L$2:L555,L555)</f>
        <v>2</v>
      </c>
      <c r="K555" s="1">
        <f>Table3[[#This Row],[Year]]</f>
        <v>1998</v>
      </c>
      <c r="L555" s="1" t="str">
        <f>Table3[[#This Row],[Hometeam]]</f>
        <v>South Africa</v>
      </c>
      <c r="M555" s="1" t="str">
        <f>IF(J555=1,J555+ROWS($J$2:J555)/10000,"")</f>
        <v/>
      </c>
      <c r="N555" s="1" t="str">
        <f>IFERROR(SMALL($M$2:$M$1705,ROWS($M$2:M555)),"")</f>
        <v/>
      </c>
      <c r="O555" s="1" t="str">
        <f>IF(N555&lt;&gt;"",INDEX($L$2:$L$1705,MATCH(N555,$M$2:$M$1705,0)),"")</f>
        <v/>
      </c>
      <c r="P555" s="1" t="str">
        <f>IF(O555&lt;&gt;"",ROWS($O$2:O555),"")</f>
        <v/>
      </c>
    </row>
    <row r="556" spans="1:16" x14ac:dyDescent="0.2">
      <c r="A556" s="1">
        <f>WorldCupMatches!O556</f>
        <v>1998</v>
      </c>
      <c r="B556" s="1" t="str">
        <f>WorldCupMatches!P556</f>
        <v>Spain</v>
      </c>
      <c r="C556" s="1">
        <f>WorldCupMatches!Q556</f>
        <v>6</v>
      </c>
      <c r="D556" s="1">
        <f>WorldCupMatches!R556</f>
        <v>1</v>
      </c>
      <c r="E556" s="1" t="str">
        <f>WorldCupMatches!S556</f>
        <v>Bulgaria</v>
      </c>
      <c r="F556" s="1" t="str">
        <f>WorldCupMatches!T556</f>
        <v xml:space="preserve"> </v>
      </c>
      <c r="G556" s="1" t="str">
        <f>WorldCupMatches!U556</f>
        <v>Group stages</v>
      </c>
      <c r="J556" s="1">
        <f>COUNTIF($L$2:L556,L556)</f>
        <v>18</v>
      </c>
      <c r="K556" s="1">
        <f>Table3[[#This Row],[Year]]</f>
        <v>1998</v>
      </c>
      <c r="L556" s="1" t="str">
        <f>Table3[[#This Row],[Hometeam]]</f>
        <v>Spain</v>
      </c>
      <c r="M556" s="1" t="str">
        <f>IF(J556=1,J556+ROWS($J$2:J556)/10000,"")</f>
        <v/>
      </c>
      <c r="N556" s="1" t="str">
        <f>IFERROR(SMALL($M$2:$M$1705,ROWS($M$2:M556)),"")</f>
        <v/>
      </c>
      <c r="O556" s="1" t="str">
        <f>IF(N556&lt;&gt;"",INDEX($L$2:$L$1705,MATCH(N556,$M$2:$M$1705,0)),"")</f>
        <v/>
      </c>
      <c r="P556" s="1" t="str">
        <f>IF(O556&lt;&gt;"",ROWS($O$2:O556),"")</f>
        <v/>
      </c>
    </row>
    <row r="557" spans="1:16" x14ac:dyDescent="0.2">
      <c r="A557" s="1">
        <f>WorldCupMatches!O557</f>
        <v>1998</v>
      </c>
      <c r="B557" s="1" t="str">
        <f>WorldCupMatches!P557</f>
        <v>Nigeria</v>
      </c>
      <c r="C557" s="1">
        <f>WorldCupMatches!Q557</f>
        <v>1</v>
      </c>
      <c r="D557" s="1">
        <f>WorldCupMatches!R557</f>
        <v>3</v>
      </c>
      <c r="E557" s="1" t="str">
        <f>WorldCupMatches!S557</f>
        <v>Paraguay</v>
      </c>
      <c r="F557" s="1" t="str">
        <f>WorldCupMatches!T557</f>
        <v xml:space="preserve"> </v>
      </c>
      <c r="G557" s="1" t="str">
        <f>WorldCupMatches!U557</f>
        <v>Group stages</v>
      </c>
      <c r="J557" s="1">
        <f>COUNTIF($L$2:L557,L557)</f>
        <v>4</v>
      </c>
      <c r="K557" s="1">
        <f>Table3[[#This Row],[Year]]</f>
        <v>1998</v>
      </c>
      <c r="L557" s="1" t="str">
        <f>Table3[[#This Row],[Hometeam]]</f>
        <v>Nigeria</v>
      </c>
      <c r="M557" s="1" t="str">
        <f>IF(J557=1,J557+ROWS($J$2:J557)/10000,"")</f>
        <v/>
      </c>
      <c r="N557" s="1" t="str">
        <f>IFERROR(SMALL($M$2:$M$1705,ROWS($M$2:M557)),"")</f>
        <v/>
      </c>
      <c r="O557" s="1" t="str">
        <f>IF(N557&lt;&gt;"",INDEX($L$2:$L$1705,MATCH(N557,$M$2:$M$1705,0)),"")</f>
        <v/>
      </c>
      <c r="P557" s="1" t="str">
        <f>IF(O557&lt;&gt;"",ROWS($O$2:O557),"")</f>
        <v/>
      </c>
    </row>
    <row r="558" spans="1:16" x14ac:dyDescent="0.2">
      <c r="A558" s="1">
        <f>WorldCupMatches!O558</f>
        <v>1998</v>
      </c>
      <c r="B558" s="1" t="str">
        <f>WorldCupMatches!P558</f>
        <v>Belgium</v>
      </c>
      <c r="C558" s="1">
        <f>WorldCupMatches!Q558</f>
        <v>1</v>
      </c>
      <c r="D558" s="1">
        <f>WorldCupMatches!R558</f>
        <v>1</v>
      </c>
      <c r="E558" s="1" t="str">
        <f>WorldCupMatches!S558</f>
        <v>Korea Republic</v>
      </c>
      <c r="F558" s="1" t="str">
        <f>WorldCupMatches!T558</f>
        <v xml:space="preserve"> </v>
      </c>
      <c r="G558" s="1" t="str">
        <f>WorldCupMatches!U558</f>
        <v>Group stages</v>
      </c>
      <c r="J558" s="1">
        <f>COUNTIF($L$2:L558,L558)</f>
        <v>13</v>
      </c>
      <c r="K558" s="1">
        <f>Table3[[#This Row],[Year]]</f>
        <v>1998</v>
      </c>
      <c r="L558" s="1" t="str">
        <f>Table3[[#This Row],[Hometeam]]</f>
        <v>Belgium</v>
      </c>
      <c r="M558" s="1" t="str">
        <f>IF(J558=1,J558+ROWS($J$2:J558)/10000,"")</f>
        <v/>
      </c>
      <c r="N558" s="1" t="str">
        <f>IFERROR(SMALL($M$2:$M$1705,ROWS($M$2:M558)),"")</f>
        <v/>
      </c>
      <c r="O558" s="1" t="str">
        <f>IF(N558&lt;&gt;"",INDEX($L$2:$L$1705,MATCH(N558,$M$2:$M$1705,0)),"")</f>
        <v/>
      </c>
      <c r="P558" s="1" t="str">
        <f>IF(O558&lt;&gt;"",ROWS($O$2:O558),"")</f>
        <v/>
      </c>
    </row>
    <row r="559" spans="1:16" x14ac:dyDescent="0.2">
      <c r="A559" s="1">
        <f>WorldCupMatches!O559</f>
        <v>1998</v>
      </c>
      <c r="B559" s="1" t="str">
        <f>WorldCupMatches!P559</f>
        <v>Netherlands</v>
      </c>
      <c r="C559" s="1">
        <f>WorldCupMatches!Q559</f>
        <v>2</v>
      </c>
      <c r="D559" s="1">
        <f>WorldCupMatches!R559</f>
        <v>2</v>
      </c>
      <c r="E559" s="1" t="str">
        <f>WorldCupMatches!S559</f>
        <v>Mexico</v>
      </c>
      <c r="F559" s="1" t="str">
        <f>WorldCupMatches!T559</f>
        <v xml:space="preserve"> </v>
      </c>
      <c r="G559" s="1" t="str">
        <f>WorldCupMatches!U559</f>
        <v>Group stages</v>
      </c>
      <c r="J559" s="1">
        <f>COUNTIF($L$2:L559,L559)</f>
        <v>15</v>
      </c>
      <c r="K559" s="1">
        <f>Table3[[#This Row],[Year]]</f>
        <v>1998</v>
      </c>
      <c r="L559" s="1" t="str">
        <f>Table3[[#This Row],[Hometeam]]</f>
        <v>Netherlands</v>
      </c>
      <c r="M559" s="1" t="str">
        <f>IF(J559=1,J559+ROWS($J$2:J559)/10000,"")</f>
        <v/>
      </c>
      <c r="N559" s="1" t="str">
        <f>IFERROR(SMALL($M$2:$M$1705,ROWS($M$2:M559)),"")</f>
        <v/>
      </c>
      <c r="O559" s="1" t="str">
        <f>IF(N559&lt;&gt;"",INDEX($L$2:$L$1705,MATCH(N559,$M$2:$M$1705,0)),"")</f>
        <v/>
      </c>
      <c r="P559" s="1" t="str">
        <f>IF(O559&lt;&gt;"",ROWS($O$2:O559),"")</f>
        <v/>
      </c>
    </row>
    <row r="560" spans="1:16" x14ac:dyDescent="0.2">
      <c r="A560" s="1">
        <f>WorldCupMatches!O560</f>
        <v>1998</v>
      </c>
      <c r="B560" s="1" t="str">
        <f>WorldCupMatches!P560</f>
        <v>Germany</v>
      </c>
      <c r="C560" s="1">
        <f>WorldCupMatches!Q560</f>
        <v>2</v>
      </c>
      <c r="D560" s="1">
        <f>WorldCupMatches!R560</f>
        <v>0</v>
      </c>
      <c r="E560" s="1" t="str">
        <f>WorldCupMatches!S560</f>
        <v>Iran</v>
      </c>
      <c r="F560" s="1" t="str">
        <f>WorldCupMatches!T560</f>
        <v xml:space="preserve"> </v>
      </c>
      <c r="G560" s="1" t="str">
        <f>WorldCupMatches!U560</f>
        <v>Group stages</v>
      </c>
      <c r="J560" s="1">
        <f>COUNTIF($L$2:L560,L560)</f>
        <v>10</v>
      </c>
      <c r="K560" s="1">
        <f>Table3[[#This Row],[Year]]</f>
        <v>1998</v>
      </c>
      <c r="L560" s="1" t="str">
        <f>Table3[[#This Row],[Hometeam]]</f>
        <v>Germany</v>
      </c>
      <c r="M560" s="1" t="str">
        <f>IF(J560=1,J560+ROWS($J$2:J560)/10000,"")</f>
        <v/>
      </c>
      <c r="N560" s="1" t="str">
        <f>IFERROR(SMALL($M$2:$M$1705,ROWS($M$2:M560)),"")</f>
        <v/>
      </c>
      <c r="O560" s="1" t="str">
        <f>IF(N560&lt;&gt;"",INDEX($L$2:$L$1705,MATCH(N560,$M$2:$M$1705,0)),"")</f>
        <v/>
      </c>
      <c r="P560" s="1" t="str">
        <f>IF(O560&lt;&gt;"",ROWS($O$2:O560),"")</f>
        <v/>
      </c>
    </row>
    <row r="561" spans="1:16" x14ac:dyDescent="0.2">
      <c r="A561" s="1">
        <f>WorldCupMatches!O561</f>
        <v>1998</v>
      </c>
      <c r="B561" s="1" t="str">
        <f>WorldCupMatches!P561</f>
        <v>USA</v>
      </c>
      <c r="C561" s="1">
        <f>WorldCupMatches!Q561</f>
        <v>0</v>
      </c>
      <c r="D561" s="1">
        <f>WorldCupMatches!R561</f>
        <v>1</v>
      </c>
      <c r="E561" s="1" t="str">
        <f>WorldCupMatches!S561</f>
        <v>Yugoslavia</v>
      </c>
      <c r="F561" s="1" t="str">
        <f>WorldCupMatches!T561</f>
        <v xml:space="preserve"> </v>
      </c>
      <c r="G561" s="1" t="str">
        <f>WorldCupMatches!U561</f>
        <v>Group stages</v>
      </c>
      <c r="J561" s="1">
        <f>COUNTIF($L$2:L561,L561)</f>
        <v>9</v>
      </c>
      <c r="K561" s="1">
        <f>Table3[[#This Row],[Year]]</f>
        <v>1998</v>
      </c>
      <c r="L561" s="1" t="str">
        <f>Table3[[#This Row],[Hometeam]]</f>
        <v>USA</v>
      </c>
      <c r="M561" s="1" t="str">
        <f>IF(J561=1,J561+ROWS($J$2:J561)/10000,"")</f>
        <v/>
      </c>
      <c r="N561" s="1" t="str">
        <f>IFERROR(SMALL($M$2:$M$1705,ROWS($M$2:M561)),"")</f>
        <v/>
      </c>
      <c r="O561" s="1" t="str">
        <f>IF(N561&lt;&gt;"",INDEX($L$2:$L$1705,MATCH(N561,$M$2:$M$1705,0)),"")</f>
        <v/>
      </c>
      <c r="P561" s="1" t="str">
        <f>IF(O561&lt;&gt;"",ROWS($O$2:O561),"")</f>
        <v/>
      </c>
    </row>
    <row r="562" spans="1:16" x14ac:dyDescent="0.2">
      <c r="A562" s="1">
        <f>WorldCupMatches!O562</f>
        <v>1998</v>
      </c>
      <c r="B562" s="1" t="str">
        <f>WorldCupMatches!P562</f>
        <v>Japan</v>
      </c>
      <c r="C562" s="1">
        <f>WorldCupMatches!Q562</f>
        <v>1</v>
      </c>
      <c r="D562" s="1">
        <f>WorldCupMatches!R562</f>
        <v>2</v>
      </c>
      <c r="E562" s="1" t="str">
        <f>WorldCupMatches!S562</f>
        <v>Jamaica</v>
      </c>
      <c r="F562" s="1" t="str">
        <f>WorldCupMatches!T562</f>
        <v xml:space="preserve"> </v>
      </c>
      <c r="G562" s="1" t="str">
        <f>WorldCupMatches!U562</f>
        <v>Group stages</v>
      </c>
      <c r="J562" s="1">
        <f>COUNTIF($L$2:L562,L562)</f>
        <v>2</v>
      </c>
      <c r="K562" s="1">
        <f>Table3[[#This Row],[Year]]</f>
        <v>1998</v>
      </c>
      <c r="L562" s="1" t="str">
        <f>Table3[[#This Row],[Hometeam]]</f>
        <v>Japan</v>
      </c>
      <c r="M562" s="1" t="str">
        <f>IF(J562=1,J562+ROWS($J$2:J562)/10000,"")</f>
        <v/>
      </c>
      <c r="N562" s="1" t="str">
        <f>IFERROR(SMALL($M$2:$M$1705,ROWS($M$2:M562)),"")</f>
        <v/>
      </c>
      <c r="O562" s="1" t="str">
        <f>IF(N562&lt;&gt;"",INDEX($L$2:$L$1705,MATCH(N562,$M$2:$M$1705,0)),"")</f>
        <v/>
      </c>
      <c r="P562" s="1" t="str">
        <f>IF(O562&lt;&gt;"",ROWS($O$2:O562),"")</f>
        <v/>
      </c>
    </row>
    <row r="563" spans="1:16" x14ac:dyDescent="0.2">
      <c r="A563" s="1">
        <f>WorldCupMatches!O563</f>
        <v>1998</v>
      </c>
      <c r="B563" s="1" t="str">
        <f>WorldCupMatches!P563</f>
        <v>Argentina</v>
      </c>
      <c r="C563" s="1">
        <f>WorldCupMatches!Q563</f>
        <v>1</v>
      </c>
      <c r="D563" s="1">
        <f>WorldCupMatches!R563</f>
        <v>0</v>
      </c>
      <c r="E563" s="1" t="str">
        <f>WorldCupMatches!S563</f>
        <v>Croatia</v>
      </c>
      <c r="F563" s="1" t="str">
        <f>WorldCupMatches!T563</f>
        <v xml:space="preserve"> </v>
      </c>
      <c r="G563" s="1" t="str">
        <f>WorldCupMatches!U563</f>
        <v>Group stages</v>
      </c>
      <c r="J563" s="1">
        <f>COUNTIF($L$2:L563,L563)</f>
        <v>38</v>
      </c>
      <c r="K563" s="1">
        <f>Table3[[#This Row],[Year]]</f>
        <v>1998</v>
      </c>
      <c r="L563" s="1" t="str">
        <f>Table3[[#This Row],[Hometeam]]</f>
        <v>Argentina</v>
      </c>
      <c r="M563" s="1" t="str">
        <f>IF(J563=1,J563+ROWS($J$2:J563)/10000,"")</f>
        <v/>
      </c>
      <c r="N563" s="1" t="str">
        <f>IFERROR(SMALL($M$2:$M$1705,ROWS($M$2:M563)),"")</f>
        <v/>
      </c>
      <c r="O563" s="1" t="str">
        <f>IF(N563&lt;&gt;"",INDEX($L$2:$L$1705,MATCH(N563,$M$2:$M$1705,0)),"")</f>
        <v/>
      </c>
      <c r="P563" s="1" t="str">
        <f>IF(O563&lt;&gt;"",ROWS($O$2:O563),"")</f>
        <v/>
      </c>
    </row>
    <row r="564" spans="1:16" x14ac:dyDescent="0.2">
      <c r="A564" s="1">
        <f>WorldCupMatches!O564</f>
        <v>1998</v>
      </c>
      <c r="B564" s="1" t="str">
        <f>WorldCupMatches!P564</f>
        <v>Romania</v>
      </c>
      <c r="C564" s="1">
        <f>WorldCupMatches!Q564</f>
        <v>1</v>
      </c>
      <c r="D564" s="1">
        <f>WorldCupMatches!R564</f>
        <v>1</v>
      </c>
      <c r="E564" s="1" t="str">
        <f>WorldCupMatches!S564</f>
        <v>Tunisia</v>
      </c>
      <c r="F564" s="1" t="str">
        <f>WorldCupMatches!T564</f>
        <v xml:space="preserve"> </v>
      </c>
      <c r="G564" s="1" t="str">
        <f>WorldCupMatches!U564</f>
        <v>Group stages</v>
      </c>
      <c r="J564" s="1">
        <f>COUNTIF($L$2:L564,L564)</f>
        <v>8</v>
      </c>
      <c r="K564" s="1">
        <f>Table3[[#This Row],[Year]]</f>
        <v>1998</v>
      </c>
      <c r="L564" s="1" t="str">
        <f>Table3[[#This Row],[Hometeam]]</f>
        <v>Romania</v>
      </c>
      <c r="M564" s="1" t="str">
        <f>IF(J564=1,J564+ROWS($J$2:J564)/10000,"")</f>
        <v/>
      </c>
      <c r="N564" s="1" t="str">
        <f>IFERROR(SMALL($M$2:$M$1705,ROWS($M$2:M564)),"")</f>
        <v/>
      </c>
      <c r="O564" s="1" t="str">
        <f>IF(N564&lt;&gt;"",INDEX($L$2:$L$1705,MATCH(N564,$M$2:$M$1705,0)),"")</f>
        <v/>
      </c>
      <c r="P564" s="1" t="str">
        <f>IF(O564&lt;&gt;"",ROWS($O$2:O564),"")</f>
        <v/>
      </c>
    </row>
    <row r="565" spans="1:16" x14ac:dyDescent="0.2">
      <c r="A565" s="1">
        <f>WorldCupMatches!O565</f>
        <v>1998</v>
      </c>
      <c r="B565" s="1" t="str">
        <f>WorldCupMatches!P565</f>
        <v>Colombia</v>
      </c>
      <c r="C565" s="1">
        <f>WorldCupMatches!Q565</f>
        <v>0</v>
      </c>
      <c r="D565" s="1">
        <f>WorldCupMatches!R565</f>
        <v>2</v>
      </c>
      <c r="E565" s="1" t="str">
        <f>WorldCupMatches!S565</f>
        <v>England</v>
      </c>
      <c r="F565" s="1" t="str">
        <f>WorldCupMatches!T565</f>
        <v xml:space="preserve"> </v>
      </c>
      <c r="G565" s="1" t="str">
        <f>WorldCupMatches!U565</f>
        <v>Group stages</v>
      </c>
      <c r="J565" s="1">
        <f>COUNTIF($L$2:L565,L565)</f>
        <v>3</v>
      </c>
      <c r="K565" s="1">
        <f>Table3[[#This Row],[Year]]</f>
        <v>1998</v>
      </c>
      <c r="L565" s="1" t="str">
        <f>Table3[[#This Row],[Hometeam]]</f>
        <v>Colombia</v>
      </c>
      <c r="M565" s="1" t="str">
        <f>IF(J565=1,J565+ROWS($J$2:J565)/10000,"")</f>
        <v/>
      </c>
      <c r="N565" s="1" t="str">
        <f>IFERROR(SMALL($M$2:$M$1705,ROWS($M$2:M565)),"")</f>
        <v/>
      </c>
      <c r="O565" s="1" t="str">
        <f>IF(N565&lt;&gt;"",INDEX($L$2:$L$1705,MATCH(N565,$M$2:$M$1705,0)),"")</f>
        <v/>
      </c>
      <c r="P565" s="1" t="str">
        <f>IF(O565&lt;&gt;"",ROWS($O$2:O565),"")</f>
        <v/>
      </c>
    </row>
    <row r="566" spans="1:16" x14ac:dyDescent="0.2">
      <c r="A566" s="1">
        <f>WorldCupMatches!O566</f>
        <v>1998</v>
      </c>
      <c r="B566" s="1" t="str">
        <f>WorldCupMatches!P566</f>
        <v>Italy</v>
      </c>
      <c r="C566" s="1">
        <f>WorldCupMatches!Q566</f>
        <v>1</v>
      </c>
      <c r="D566" s="1">
        <f>WorldCupMatches!R566</f>
        <v>0</v>
      </c>
      <c r="E566" s="1" t="str">
        <f>WorldCupMatches!S566</f>
        <v>Norway</v>
      </c>
      <c r="F566" s="1" t="str">
        <f>WorldCupMatches!T566</f>
        <v xml:space="preserve"> </v>
      </c>
      <c r="G566" s="1" t="str">
        <f>WorldCupMatches!U566</f>
        <v>Round of 16</v>
      </c>
      <c r="J566" s="1">
        <f>COUNTIF($L$2:L566,L566)</f>
        <v>45</v>
      </c>
      <c r="K566" s="1">
        <f>Table3[[#This Row],[Year]]</f>
        <v>1998</v>
      </c>
      <c r="L566" s="1" t="str">
        <f>Table3[[#This Row],[Hometeam]]</f>
        <v>Italy</v>
      </c>
      <c r="M566" s="1" t="str">
        <f>IF(J566=1,J566+ROWS($J$2:J566)/10000,"")</f>
        <v/>
      </c>
      <c r="N566" s="1" t="str">
        <f>IFERROR(SMALL($M$2:$M$1705,ROWS($M$2:M566)),"")</f>
        <v/>
      </c>
      <c r="O566" s="1" t="str">
        <f>IF(N566&lt;&gt;"",INDEX($L$2:$L$1705,MATCH(N566,$M$2:$M$1705,0)),"")</f>
        <v/>
      </c>
      <c r="P566" s="1" t="str">
        <f>IF(O566&lt;&gt;"",ROWS($O$2:O566),"")</f>
        <v/>
      </c>
    </row>
    <row r="567" spans="1:16" x14ac:dyDescent="0.2">
      <c r="A567" s="1">
        <f>WorldCupMatches!O567</f>
        <v>1998</v>
      </c>
      <c r="B567" s="1" t="str">
        <f>WorldCupMatches!P567</f>
        <v>Brazil</v>
      </c>
      <c r="C567" s="1">
        <f>WorldCupMatches!Q567</f>
        <v>4</v>
      </c>
      <c r="D567" s="1">
        <f>WorldCupMatches!R567</f>
        <v>1</v>
      </c>
      <c r="E567" s="1" t="str">
        <f>WorldCupMatches!S567</f>
        <v>Chile</v>
      </c>
      <c r="F567" s="1" t="str">
        <f>WorldCupMatches!T567</f>
        <v xml:space="preserve"> </v>
      </c>
      <c r="G567" s="1" t="str">
        <f>WorldCupMatches!U567</f>
        <v>Round of 16</v>
      </c>
      <c r="J567" s="1">
        <f>COUNTIF($L$2:L567,L567)</f>
        <v>58</v>
      </c>
      <c r="K567" s="1">
        <f>Table3[[#This Row],[Year]]</f>
        <v>1998</v>
      </c>
      <c r="L567" s="1" t="str">
        <f>Table3[[#This Row],[Hometeam]]</f>
        <v>Brazil</v>
      </c>
      <c r="M567" s="1" t="str">
        <f>IF(J567=1,J567+ROWS($J$2:J567)/10000,"")</f>
        <v/>
      </c>
      <c r="N567" s="1" t="str">
        <f>IFERROR(SMALL($M$2:$M$1705,ROWS($M$2:M567)),"")</f>
        <v/>
      </c>
      <c r="O567" s="1" t="str">
        <f>IF(N567&lt;&gt;"",INDEX($L$2:$L$1705,MATCH(N567,$M$2:$M$1705,0)),"")</f>
        <v/>
      </c>
      <c r="P567" s="1" t="str">
        <f>IF(O567&lt;&gt;"",ROWS($O$2:O567),"")</f>
        <v/>
      </c>
    </row>
    <row r="568" spans="1:16" x14ac:dyDescent="0.2">
      <c r="A568" s="1">
        <f>WorldCupMatches!O568</f>
        <v>1998</v>
      </c>
      <c r="B568" s="1" t="str">
        <f>WorldCupMatches!P568</f>
        <v>France</v>
      </c>
      <c r="C568" s="1">
        <f>WorldCupMatches!Q568</f>
        <v>1</v>
      </c>
      <c r="D568" s="1">
        <f>WorldCupMatches!R568</f>
        <v>0</v>
      </c>
      <c r="E568" s="1" t="str">
        <f>WorldCupMatches!S568</f>
        <v>Paraguay</v>
      </c>
      <c r="F568" s="1" t="str">
        <f>WorldCupMatches!T568</f>
        <v xml:space="preserve">France win after extra time </v>
      </c>
      <c r="G568" s="1" t="str">
        <f>WorldCupMatches!U568</f>
        <v>Round of 16</v>
      </c>
      <c r="J568" s="1">
        <f>COUNTIF($L$2:L568,L568)</f>
        <v>19</v>
      </c>
      <c r="K568" s="1">
        <f>Table3[[#This Row],[Year]]</f>
        <v>1998</v>
      </c>
      <c r="L568" s="1" t="str">
        <f>Table3[[#This Row],[Hometeam]]</f>
        <v>France</v>
      </c>
      <c r="M568" s="1" t="str">
        <f>IF(J568=1,J568+ROWS($J$2:J568)/10000,"")</f>
        <v/>
      </c>
      <c r="N568" s="1" t="str">
        <f>IFERROR(SMALL($M$2:$M$1705,ROWS($M$2:M568)),"")</f>
        <v/>
      </c>
      <c r="O568" s="1" t="str">
        <f>IF(N568&lt;&gt;"",INDEX($L$2:$L$1705,MATCH(N568,$M$2:$M$1705,0)),"")</f>
        <v/>
      </c>
      <c r="P568" s="1" t="str">
        <f>IF(O568&lt;&gt;"",ROWS($O$2:O568),"")</f>
        <v/>
      </c>
    </row>
    <row r="569" spans="1:16" x14ac:dyDescent="0.2">
      <c r="A569" s="1">
        <f>WorldCupMatches!O569</f>
        <v>1998</v>
      </c>
      <c r="B569" s="1" t="str">
        <f>WorldCupMatches!P569</f>
        <v>Nigeria</v>
      </c>
      <c r="C569" s="1">
        <f>WorldCupMatches!Q569</f>
        <v>1</v>
      </c>
      <c r="D569" s="1">
        <f>WorldCupMatches!R569</f>
        <v>4</v>
      </c>
      <c r="E569" s="1" t="str">
        <f>WorldCupMatches!S569</f>
        <v>Denmark</v>
      </c>
      <c r="F569" s="1" t="str">
        <f>WorldCupMatches!T569</f>
        <v xml:space="preserve"> </v>
      </c>
      <c r="G569" s="1" t="str">
        <f>WorldCupMatches!U569</f>
        <v>Round of 16</v>
      </c>
      <c r="J569" s="1">
        <f>COUNTIF($L$2:L569,L569)</f>
        <v>5</v>
      </c>
      <c r="K569" s="1">
        <f>Table3[[#This Row],[Year]]</f>
        <v>1998</v>
      </c>
      <c r="L569" s="1" t="str">
        <f>Table3[[#This Row],[Hometeam]]</f>
        <v>Nigeria</v>
      </c>
      <c r="M569" s="1" t="str">
        <f>IF(J569=1,J569+ROWS($J$2:J569)/10000,"")</f>
        <v/>
      </c>
      <c r="N569" s="1" t="str">
        <f>IFERROR(SMALL($M$2:$M$1705,ROWS($M$2:M569)),"")</f>
        <v/>
      </c>
      <c r="O569" s="1" t="str">
        <f>IF(N569&lt;&gt;"",INDEX($L$2:$L$1705,MATCH(N569,$M$2:$M$1705,0)),"")</f>
        <v/>
      </c>
      <c r="P569" s="1" t="str">
        <f>IF(O569&lt;&gt;"",ROWS($O$2:O569),"")</f>
        <v/>
      </c>
    </row>
    <row r="570" spans="1:16" x14ac:dyDescent="0.2">
      <c r="A570" s="1">
        <f>WorldCupMatches!O570</f>
        <v>1998</v>
      </c>
      <c r="B570" s="1" t="str">
        <f>WorldCupMatches!P570</f>
        <v>Germany</v>
      </c>
      <c r="C570" s="1">
        <f>WorldCupMatches!Q570</f>
        <v>2</v>
      </c>
      <c r="D570" s="1">
        <f>WorldCupMatches!R570</f>
        <v>1</v>
      </c>
      <c r="E570" s="1" t="str">
        <f>WorldCupMatches!S570</f>
        <v>Mexico</v>
      </c>
      <c r="F570" s="1" t="str">
        <f>WorldCupMatches!T570</f>
        <v xml:space="preserve"> </v>
      </c>
      <c r="G570" s="1" t="str">
        <f>WorldCupMatches!U570</f>
        <v>Round of 16</v>
      </c>
      <c r="J570" s="1">
        <f>COUNTIF($L$2:L570,L570)</f>
        <v>11</v>
      </c>
      <c r="K570" s="1">
        <f>Table3[[#This Row],[Year]]</f>
        <v>1998</v>
      </c>
      <c r="L570" s="1" t="str">
        <f>Table3[[#This Row],[Hometeam]]</f>
        <v>Germany</v>
      </c>
      <c r="M570" s="1" t="str">
        <f>IF(J570=1,J570+ROWS($J$2:J570)/10000,"")</f>
        <v/>
      </c>
      <c r="N570" s="1" t="str">
        <f>IFERROR(SMALL($M$2:$M$1705,ROWS($M$2:M570)),"")</f>
        <v/>
      </c>
      <c r="O570" s="1" t="str">
        <f>IF(N570&lt;&gt;"",INDEX($L$2:$L$1705,MATCH(N570,$M$2:$M$1705,0)),"")</f>
        <v/>
      </c>
      <c r="P570" s="1" t="str">
        <f>IF(O570&lt;&gt;"",ROWS($O$2:O570),"")</f>
        <v/>
      </c>
    </row>
    <row r="571" spans="1:16" x14ac:dyDescent="0.2">
      <c r="A571" s="1">
        <f>WorldCupMatches!O571</f>
        <v>1998</v>
      </c>
      <c r="B571" s="1" t="str">
        <f>WorldCupMatches!P571</f>
        <v>Netherlands</v>
      </c>
      <c r="C571" s="1">
        <f>WorldCupMatches!Q571</f>
        <v>2</v>
      </c>
      <c r="D571" s="1">
        <f>WorldCupMatches!R571</f>
        <v>1</v>
      </c>
      <c r="E571" s="1" t="str">
        <f>WorldCupMatches!S571</f>
        <v>Yugoslavia</v>
      </c>
      <c r="F571" s="1" t="str">
        <f>WorldCupMatches!T571</f>
        <v xml:space="preserve"> </v>
      </c>
      <c r="G571" s="1" t="str">
        <f>WorldCupMatches!U571</f>
        <v>Round of 16</v>
      </c>
      <c r="J571" s="1">
        <f>COUNTIF($L$2:L571,L571)</f>
        <v>16</v>
      </c>
      <c r="K571" s="1">
        <f>Table3[[#This Row],[Year]]</f>
        <v>1998</v>
      </c>
      <c r="L571" s="1" t="str">
        <f>Table3[[#This Row],[Hometeam]]</f>
        <v>Netherlands</v>
      </c>
      <c r="M571" s="1" t="str">
        <f>IF(J571=1,J571+ROWS($J$2:J571)/10000,"")</f>
        <v/>
      </c>
      <c r="N571" s="1" t="str">
        <f>IFERROR(SMALL($M$2:$M$1705,ROWS($M$2:M571)),"")</f>
        <v/>
      </c>
      <c r="O571" s="1" t="str">
        <f>IF(N571&lt;&gt;"",INDEX($L$2:$L$1705,MATCH(N571,$M$2:$M$1705,0)),"")</f>
        <v/>
      </c>
      <c r="P571" s="1" t="str">
        <f>IF(O571&lt;&gt;"",ROWS($O$2:O571),"")</f>
        <v/>
      </c>
    </row>
    <row r="572" spans="1:16" x14ac:dyDescent="0.2">
      <c r="A572" s="1">
        <f>WorldCupMatches!O572</f>
        <v>1998</v>
      </c>
      <c r="B572" s="1" t="str">
        <f>WorldCupMatches!P572</f>
        <v>Romania</v>
      </c>
      <c r="C572" s="1">
        <f>WorldCupMatches!Q572</f>
        <v>0</v>
      </c>
      <c r="D572" s="1">
        <f>WorldCupMatches!R572</f>
        <v>1</v>
      </c>
      <c r="E572" s="1" t="str">
        <f>WorldCupMatches!S572</f>
        <v>Croatia</v>
      </c>
      <c r="F572" s="1" t="str">
        <f>WorldCupMatches!T572</f>
        <v xml:space="preserve"> </v>
      </c>
      <c r="G572" s="1" t="str">
        <f>WorldCupMatches!U572</f>
        <v>Round of 16</v>
      </c>
      <c r="J572" s="1">
        <f>COUNTIF($L$2:L572,L572)</f>
        <v>9</v>
      </c>
      <c r="K572" s="1">
        <f>Table3[[#This Row],[Year]]</f>
        <v>1998</v>
      </c>
      <c r="L572" s="1" t="str">
        <f>Table3[[#This Row],[Hometeam]]</f>
        <v>Romania</v>
      </c>
      <c r="M572" s="1" t="str">
        <f>IF(J572=1,J572+ROWS($J$2:J572)/10000,"")</f>
        <v/>
      </c>
      <c r="N572" s="1" t="str">
        <f>IFERROR(SMALL($M$2:$M$1705,ROWS($M$2:M572)),"")</f>
        <v/>
      </c>
      <c r="O572" s="1" t="str">
        <f>IF(N572&lt;&gt;"",INDEX($L$2:$L$1705,MATCH(N572,$M$2:$M$1705,0)),"")</f>
        <v/>
      </c>
      <c r="P572" s="1" t="str">
        <f>IF(O572&lt;&gt;"",ROWS($O$2:O572),"")</f>
        <v/>
      </c>
    </row>
    <row r="573" spans="1:16" x14ac:dyDescent="0.2">
      <c r="A573" s="1">
        <f>WorldCupMatches!O573</f>
        <v>1998</v>
      </c>
      <c r="B573" s="1" t="str">
        <f>WorldCupMatches!P573</f>
        <v>Argentina</v>
      </c>
      <c r="C573" s="1">
        <f>WorldCupMatches!Q573</f>
        <v>2</v>
      </c>
      <c r="D573" s="1">
        <f>WorldCupMatches!R573</f>
        <v>2</v>
      </c>
      <c r="E573" s="1" t="str">
        <f>WorldCupMatches!S573</f>
        <v>England</v>
      </c>
      <c r="F573" s="1" t="str">
        <f>WorldCupMatches!T573</f>
        <v xml:space="preserve">Argentina win on penalties (4 - 3) </v>
      </c>
      <c r="G573" s="1" t="str">
        <f>WorldCupMatches!U573</f>
        <v>Round of 16</v>
      </c>
      <c r="J573" s="1">
        <f>COUNTIF($L$2:L573,L573)</f>
        <v>39</v>
      </c>
      <c r="K573" s="1">
        <f>Table3[[#This Row],[Year]]</f>
        <v>1998</v>
      </c>
      <c r="L573" s="1" t="str">
        <f>Table3[[#This Row],[Hometeam]]</f>
        <v>Argentina</v>
      </c>
      <c r="M573" s="1" t="str">
        <f>IF(J573=1,J573+ROWS($J$2:J573)/10000,"")</f>
        <v/>
      </c>
      <c r="N573" s="1" t="str">
        <f>IFERROR(SMALL($M$2:$M$1705,ROWS($M$2:M573)),"")</f>
        <v/>
      </c>
      <c r="O573" s="1" t="str">
        <f>IF(N573&lt;&gt;"",INDEX($L$2:$L$1705,MATCH(N573,$M$2:$M$1705,0)),"")</f>
        <v/>
      </c>
      <c r="P573" s="1" t="str">
        <f>IF(O573&lt;&gt;"",ROWS($O$2:O573),"")</f>
        <v/>
      </c>
    </row>
    <row r="574" spans="1:16" x14ac:dyDescent="0.2">
      <c r="A574" s="1">
        <f>WorldCupMatches!O574</f>
        <v>1998</v>
      </c>
      <c r="B574" s="1" t="str">
        <f>WorldCupMatches!P574</f>
        <v>Italy</v>
      </c>
      <c r="C574" s="1">
        <f>WorldCupMatches!Q574</f>
        <v>0</v>
      </c>
      <c r="D574" s="1">
        <f>WorldCupMatches!R574</f>
        <v>0</v>
      </c>
      <c r="E574" s="1" t="str">
        <f>WorldCupMatches!S574</f>
        <v>France</v>
      </c>
      <c r="F574" s="1" t="str">
        <f>WorldCupMatches!T574</f>
        <v xml:space="preserve">France win on penalties (3 - 4) </v>
      </c>
      <c r="G574" s="1" t="str">
        <f>WorldCupMatches!U574</f>
        <v>Quarter-finals</v>
      </c>
      <c r="J574" s="1">
        <f>COUNTIF($L$2:L574,L574)</f>
        <v>46</v>
      </c>
      <c r="K574" s="1">
        <f>Table3[[#This Row],[Year]]</f>
        <v>1998</v>
      </c>
      <c r="L574" s="1" t="str">
        <f>Table3[[#This Row],[Hometeam]]</f>
        <v>Italy</v>
      </c>
      <c r="M574" s="1" t="str">
        <f>IF(J574=1,J574+ROWS($J$2:J574)/10000,"")</f>
        <v/>
      </c>
      <c r="N574" s="1" t="str">
        <f>IFERROR(SMALL($M$2:$M$1705,ROWS($M$2:M574)),"")</f>
        <v/>
      </c>
      <c r="O574" s="1" t="str">
        <f>IF(N574&lt;&gt;"",INDEX($L$2:$L$1705,MATCH(N574,$M$2:$M$1705,0)),"")</f>
        <v/>
      </c>
      <c r="P574" s="1" t="str">
        <f>IF(O574&lt;&gt;"",ROWS($O$2:O574),"")</f>
        <v/>
      </c>
    </row>
    <row r="575" spans="1:16" x14ac:dyDescent="0.2">
      <c r="A575" s="1">
        <f>WorldCupMatches!O575</f>
        <v>1998</v>
      </c>
      <c r="B575" s="1" t="str">
        <f>WorldCupMatches!P575</f>
        <v>Brazil</v>
      </c>
      <c r="C575" s="1">
        <f>WorldCupMatches!Q575</f>
        <v>3</v>
      </c>
      <c r="D575" s="1">
        <f>WorldCupMatches!R575</f>
        <v>2</v>
      </c>
      <c r="E575" s="1" t="str">
        <f>WorldCupMatches!S575</f>
        <v>Denmark</v>
      </c>
      <c r="F575" s="1" t="str">
        <f>WorldCupMatches!T575</f>
        <v xml:space="preserve"> </v>
      </c>
      <c r="G575" s="1" t="str">
        <f>WorldCupMatches!U575</f>
        <v>Quarter-finals</v>
      </c>
      <c r="J575" s="1">
        <f>COUNTIF($L$2:L575,L575)</f>
        <v>59</v>
      </c>
      <c r="K575" s="1">
        <f>Table3[[#This Row],[Year]]</f>
        <v>1998</v>
      </c>
      <c r="L575" s="1" t="str">
        <f>Table3[[#This Row],[Hometeam]]</f>
        <v>Brazil</v>
      </c>
      <c r="M575" s="1" t="str">
        <f>IF(J575=1,J575+ROWS($J$2:J575)/10000,"")</f>
        <v/>
      </c>
      <c r="N575" s="1" t="str">
        <f>IFERROR(SMALL($M$2:$M$1705,ROWS($M$2:M575)),"")</f>
        <v/>
      </c>
      <c r="O575" s="1" t="str">
        <f>IF(N575&lt;&gt;"",INDEX($L$2:$L$1705,MATCH(N575,$M$2:$M$1705,0)),"")</f>
        <v/>
      </c>
      <c r="P575" s="1" t="str">
        <f>IF(O575&lt;&gt;"",ROWS($O$2:O575),"")</f>
        <v/>
      </c>
    </row>
    <row r="576" spans="1:16" x14ac:dyDescent="0.2">
      <c r="A576" s="1">
        <f>WorldCupMatches!O576</f>
        <v>1998</v>
      </c>
      <c r="B576" s="1" t="str">
        <f>WorldCupMatches!P576</f>
        <v>Netherlands</v>
      </c>
      <c r="C576" s="1">
        <f>WorldCupMatches!Q576</f>
        <v>2</v>
      </c>
      <c r="D576" s="1">
        <f>WorldCupMatches!R576</f>
        <v>1</v>
      </c>
      <c r="E576" s="1" t="str">
        <f>WorldCupMatches!S576</f>
        <v>Argentina</v>
      </c>
      <c r="F576" s="1" t="str">
        <f>WorldCupMatches!T576</f>
        <v xml:space="preserve"> </v>
      </c>
      <c r="G576" s="1" t="str">
        <f>WorldCupMatches!U576</f>
        <v>Quarter-finals</v>
      </c>
      <c r="J576" s="1">
        <f>COUNTIF($L$2:L576,L576)</f>
        <v>17</v>
      </c>
      <c r="K576" s="1">
        <f>Table3[[#This Row],[Year]]</f>
        <v>1998</v>
      </c>
      <c r="L576" s="1" t="str">
        <f>Table3[[#This Row],[Hometeam]]</f>
        <v>Netherlands</v>
      </c>
      <c r="M576" s="1" t="str">
        <f>IF(J576=1,J576+ROWS($J$2:J576)/10000,"")</f>
        <v/>
      </c>
      <c r="N576" s="1" t="str">
        <f>IFERROR(SMALL($M$2:$M$1705,ROWS($M$2:M576)),"")</f>
        <v/>
      </c>
      <c r="O576" s="1" t="str">
        <f>IF(N576&lt;&gt;"",INDEX($L$2:$L$1705,MATCH(N576,$M$2:$M$1705,0)),"")</f>
        <v/>
      </c>
      <c r="P576" s="1" t="str">
        <f>IF(O576&lt;&gt;"",ROWS($O$2:O576),"")</f>
        <v/>
      </c>
    </row>
    <row r="577" spans="1:16" x14ac:dyDescent="0.2">
      <c r="A577" s="1">
        <f>WorldCupMatches!O577</f>
        <v>1998</v>
      </c>
      <c r="B577" s="1" t="str">
        <f>WorldCupMatches!P577</f>
        <v>Germany</v>
      </c>
      <c r="C577" s="1">
        <f>WorldCupMatches!Q577</f>
        <v>0</v>
      </c>
      <c r="D577" s="1">
        <f>WorldCupMatches!R577</f>
        <v>3</v>
      </c>
      <c r="E577" s="1" t="str">
        <f>WorldCupMatches!S577</f>
        <v>Croatia</v>
      </c>
      <c r="F577" s="1" t="str">
        <f>WorldCupMatches!T577</f>
        <v xml:space="preserve"> </v>
      </c>
      <c r="G577" s="1" t="str">
        <f>WorldCupMatches!U577</f>
        <v>Quarter-finals</v>
      </c>
      <c r="J577" s="1">
        <f>COUNTIF($L$2:L577,L577)</f>
        <v>12</v>
      </c>
      <c r="K577" s="1">
        <f>Table3[[#This Row],[Year]]</f>
        <v>1998</v>
      </c>
      <c r="L577" s="1" t="str">
        <f>Table3[[#This Row],[Hometeam]]</f>
        <v>Germany</v>
      </c>
      <c r="M577" s="1" t="str">
        <f>IF(J577=1,J577+ROWS($J$2:J577)/10000,"")</f>
        <v/>
      </c>
      <c r="N577" s="1" t="str">
        <f>IFERROR(SMALL($M$2:$M$1705,ROWS($M$2:M577)),"")</f>
        <v/>
      </c>
      <c r="O577" s="1" t="str">
        <f>IF(N577&lt;&gt;"",INDEX($L$2:$L$1705,MATCH(N577,$M$2:$M$1705,0)),"")</f>
        <v/>
      </c>
      <c r="P577" s="1" t="str">
        <f>IF(O577&lt;&gt;"",ROWS($O$2:O577),"")</f>
        <v/>
      </c>
    </row>
    <row r="578" spans="1:16" x14ac:dyDescent="0.2">
      <c r="A578" s="1">
        <f>WorldCupMatches!O578</f>
        <v>1998</v>
      </c>
      <c r="B578" s="1" t="str">
        <f>WorldCupMatches!P578</f>
        <v>Brazil</v>
      </c>
      <c r="C578" s="1">
        <f>WorldCupMatches!Q578</f>
        <v>1</v>
      </c>
      <c r="D578" s="1">
        <f>WorldCupMatches!R578</f>
        <v>1</v>
      </c>
      <c r="E578" s="1" t="str">
        <f>WorldCupMatches!S578</f>
        <v>Netherlands</v>
      </c>
      <c r="F578" s="1" t="str">
        <f>WorldCupMatches!T578</f>
        <v xml:space="preserve">Brazil win on penalties (4 - 2) </v>
      </c>
      <c r="G578" s="1" t="str">
        <f>WorldCupMatches!U578</f>
        <v>Semi-finals</v>
      </c>
      <c r="J578" s="1">
        <f>COUNTIF($L$2:L578,L578)</f>
        <v>60</v>
      </c>
      <c r="K578" s="1">
        <f>Table3[[#This Row],[Year]]</f>
        <v>1998</v>
      </c>
      <c r="L578" s="1" t="str">
        <f>Table3[[#This Row],[Hometeam]]</f>
        <v>Brazil</v>
      </c>
      <c r="M578" s="1" t="str">
        <f>IF(J578=1,J578+ROWS($J$2:J578)/10000,"")</f>
        <v/>
      </c>
      <c r="N578" s="1" t="str">
        <f>IFERROR(SMALL($M$2:$M$1705,ROWS($M$2:M578)),"")</f>
        <v/>
      </c>
      <c r="O578" s="1" t="str">
        <f>IF(N578&lt;&gt;"",INDEX($L$2:$L$1705,MATCH(N578,$M$2:$M$1705,0)),"")</f>
        <v/>
      </c>
      <c r="P578" s="1" t="str">
        <f>IF(O578&lt;&gt;"",ROWS($O$2:O578),"")</f>
        <v/>
      </c>
    </row>
    <row r="579" spans="1:16" x14ac:dyDescent="0.2">
      <c r="A579" s="1">
        <f>WorldCupMatches!O579</f>
        <v>1998</v>
      </c>
      <c r="B579" s="1" t="str">
        <f>WorldCupMatches!P579</f>
        <v>France</v>
      </c>
      <c r="C579" s="1">
        <f>WorldCupMatches!Q579</f>
        <v>2</v>
      </c>
      <c r="D579" s="1">
        <f>WorldCupMatches!R579</f>
        <v>1</v>
      </c>
      <c r="E579" s="1" t="str">
        <f>WorldCupMatches!S579</f>
        <v>Croatia</v>
      </c>
      <c r="F579" s="1" t="str">
        <f>WorldCupMatches!T579</f>
        <v xml:space="preserve"> </v>
      </c>
      <c r="G579" s="1" t="str">
        <f>WorldCupMatches!U579</f>
        <v>Semi-finals</v>
      </c>
      <c r="J579" s="1">
        <f>COUNTIF($L$2:L579,L579)</f>
        <v>20</v>
      </c>
      <c r="K579" s="1">
        <f>Table3[[#This Row],[Year]]</f>
        <v>1998</v>
      </c>
      <c r="L579" s="1" t="str">
        <f>Table3[[#This Row],[Hometeam]]</f>
        <v>France</v>
      </c>
      <c r="M579" s="1" t="str">
        <f>IF(J579=1,J579+ROWS($J$2:J579)/10000,"")</f>
        <v/>
      </c>
      <c r="N579" s="1" t="str">
        <f>IFERROR(SMALL($M$2:$M$1705,ROWS($M$2:M579)),"")</f>
        <v/>
      </c>
      <c r="O579" s="1" t="str">
        <f>IF(N579&lt;&gt;"",INDEX($L$2:$L$1705,MATCH(N579,$M$2:$M$1705,0)),"")</f>
        <v/>
      </c>
      <c r="P579" s="1" t="str">
        <f>IF(O579&lt;&gt;"",ROWS($O$2:O579),"")</f>
        <v/>
      </c>
    </row>
    <row r="580" spans="1:16" x14ac:dyDescent="0.2">
      <c r="A580" s="1">
        <f>WorldCupMatches!O580</f>
        <v>1998</v>
      </c>
      <c r="B580" s="1" t="str">
        <f>WorldCupMatches!P580</f>
        <v>Netherlands</v>
      </c>
      <c r="C580" s="1">
        <f>WorldCupMatches!Q580</f>
        <v>1</v>
      </c>
      <c r="D580" s="1">
        <f>WorldCupMatches!R580</f>
        <v>2</v>
      </c>
      <c r="E580" s="1" t="str">
        <f>WorldCupMatches!S580</f>
        <v>Croatia</v>
      </c>
      <c r="F580" s="1" t="str">
        <f>WorldCupMatches!T580</f>
        <v xml:space="preserve"> </v>
      </c>
      <c r="G580" s="1" t="str">
        <f>WorldCupMatches!U580</f>
        <v>Match for third place</v>
      </c>
      <c r="J580" s="1">
        <f>COUNTIF($L$2:L580,L580)</f>
        <v>18</v>
      </c>
      <c r="K580" s="1">
        <f>Table3[[#This Row],[Year]]</f>
        <v>1998</v>
      </c>
      <c r="L580" s="1" t="str">
        <f>Table3[[#This Row],[Hometeam]]</f>
        <v>Netherlands</v>
      </c>
      <c r="M580" s="1" t="str">
        <f>IF(J580=1,J580+ROWS($J$2:J580)/10000,"")</f>
        <v/>
      </c>
      <c r="N580" s="1" t="str">
        <f>IFERROR(SMALL($M$2:$M$1705,ROWS($M$2:M580)),"")</f>
        <v/>
      </c>
      <c r="O580" s="1" t="str">
        <f>IF(N580&lt;&gt;"",INDEX($L$2:$L$1705,MATCH(N580,$M$2:$M$1705,0)),"")</f>
        <v/>
      </c>
      <c r="P580" s="1" t="str">
        <f>IF(O580&lt;&gt;"",ROWS($O$2:O580),"")</f>
        <v/>
      </c>
    </row>
    <row r="581" spans="1:16" x14ac:dyDescent="0.2">
      <c r="A581" s="1">
        <f>WorldCupMatches!O581</f>
        <v>1998</v>
      </c>
      <c r="B581" s="1" t="str">
        <f>WorldCupMatches!P581</f>
        <v>Brazil</v>
      </c>
      <c r="C581" s="1">
        <f>WorldCupMatches!Q581</f>
        <v>0</v>
      </c>
      <c r="D581" s="1">
        <f>WorldCupMatches!R581</f>
        <v>3</v>
      </c>
      <c r="E581" s="1" t="str">
        <f>WorldCupMatches!S581</f>
        <v>France</v>
      </c>
      <c r="F581" s="1" t="str">
        <f>WorldCupMatches!T581</f>
        <v xml:space="preserve"> </v>
      </c>
      <c r="G581" s="1" t="str">
        <f>WorldCupMatches!U581</f>
        <v>Final</v>
      </c>
      <c r="J581" s="1">
        <f>COUNTIF($L$2:L581,L581)</f>
        <v>61</v>
      </c>
      <c r="K581" s="1">
        <f>Table3[[#This Row],[Year]]</f>
        <v>1998</v>
      </c>
      <c r="L581" s="1" t="str">
        <f>Table3[[#This Row],[Hometeam]]</f>
        <v>Brazil</v>
      </c>
      <c r="M581" s="1" t="str">
        <f>IF(J581=1,J581+ROWS($J$2:J581)/10000,"")</f>
        <v/>
      </c>
      <c r="N581" s="1" t="str">
        <f>IFERROR(SMALL($M$2:$M$1705,ROWS($M$2:M581)),"")</f>
        <v/>
      </c>
      <c r="O581" s="1" t="str">
        <f>IF(N581&lt;&gt;"",INDEX($L$2:$L$1705,MATCH(N581,$M$2:$M$1705,0)),"")</f>
        <v/>
      </c>
      <c r="P581" s="1" t="str">
        <f>IF(O581&lt;&gt;"",ROWS($O$2:O581),"")</f>
        <v/>
      </c>
    </row>
    <row r="582" spans="1:16" x14ac:dyDescent="0.2">
      <c r="A582" s="1">
        <f>WorldCupMatches!O582</f>
        <v>2002</v>
      </c>
      <c r="B582" s="1" t="str">
        <f>WorldCupMatches!P582</f>
        <v>France</v>
      </c>
      <c r="C582" s="1">
        <f>WorldCupMatches!Q582</f>
        <v>0</v>
      </c>
      <c r="D582" s="1">
        <f>WorldCupMatches!R582</f>
        <v>1</v>
      </c>
      <c r="E582" s="1" t="str">
        <f>WorldCupMatches!S582</f>
        <v>Senegal</v>
      </c>
      <c r="F582" s="1" t="str">
        <f>WorldCupMatches!T582</f>
        <v xml:space="preserve"> </v>
      </c>
      <c r="G582" s="1" t="str">
        <f>WorldCupMatches!U582</f>
        <v>Group stages</v>
      </c>
      <c r="J582" s="1">
        <f>COUNTIF($L$2:L582,L582)</f>
        <v>21</v>
      </c>
      <c r="K582" s="1">
        <f>Table3[[#This Row],[Year]]</f>
        <v>2002</v>
      </c>
      <c r="L582" s="1" t="str">
        <f>Table3[[#This Row],[Hometeam]]</f>
        <v>France</v>
      </c>
      <c r="M582" s="1" t="str">
        <f>IF(J582=1,J582+ROWS($J$2:J582)/10000,"")</f>
        <v/>
      </c>
      <c r="N582" s="1" t="str">
        <f>IFERROR(SMALL($M$2:$M$1705,ROWS($M$2:M582)),"")</f>
        <v/>
      </c>
      <c r="O582" s="1" t="str">
        <f>IF(N582&lt;&gt;"",INDEX($L$2:$L$1705,MATCH(N582,$M$2:$M$1705,0)),"")</f>
        <v/>
      </c>
      <c r="P582" s="1" t="str">
        <f>IF(O582&lt;&gt;"",ROWS($O$2:O582),"")</f>
        <v/>
      </c>
    </row>
    <row r="583" spans="1:16" x14ac:dyDescent="0.2">
      <c r="A583" s="1">
        <f>WorldCupMatches!O583</f>
        <v>2002</v>
      </c>
      <c r="B583" s="1" t="str">
        <f>WorldCupMatches!P583</f>
        <v>Uruguay</v>
      </c>
      <c r="C583" s="1">
        <f>WorldCupMatches!Q583</f>
        <v>1</v>
      </c>
      <c r="D583" s="1">
        <f>WorldCupMatches!R583</f>
        <v>2</v>
      </c>
      <c r="E583" s="1" t="str">
        <f>WorldCupMatches!S583</f>
        <v>Denmark</v>
      </c>
      <c r="F583" s="1" t="str">
        <f>WorldCupMatches!T583</f>
        <v xml:space="preserve"> </v>
      </c>
      <c r="G583" s="1" t="str">
        <f>WorldCupMatches!U583</f>
        <v>Group stages</v>
      </c>
      <c r="J583" s="1">
        <f>COUNTIF($L$2:L583,L583)</f>
        <v>21</v>
      </c>
      <c r="K583" s="1">
        <f>Table3[[#This Row],[Year]]</f>
        <v>2002</v>
      </c>
      <c r="L583" s="1" t="str">
        <f>Table3[[#This Row],[Hometeam]]</f>
        <v>Uruguay</v>
      </c>
      <c r="M583" s="1" t="str">
        <f>IF(J583=1,J583+ROWS($J$2:J583)/10000,"")</f>
        <v/>
      </c>
      <c r="N583" s="1" t="str">
        <f>IFERROR(SMALL($M$2:$M$1705,ROWS($M$2:M583)),"")</f>
        <v/>
      </c>
      <c r="O583" s="1" t="str">
        <f>IF(N583&lt;&gt;"",INDEX($L$2:$L$1705,MATCH(N583,$M$2:$M$1705,0)),"")</f>
        <v/>
      </c>
      <c r="P583" s="1" t="str">
        <f>IF(O583&lt;&gt;"",ROWS($O$2:O583),"")</f>
        <v/>
      </c>
    </row>
    <row r="584" spans="1:16" x14ac:dyDescent="0.2">
      <c r="A584" s="1">
        <f>WorldCupMatches!O584</f>
        <v>2002</v>
      </c>
      <c r="B584" s="1" t="str">
        <f>WorldCupMatches!P584</f>
        <v>Republic of Ireland</v>
      </c>
      <c r="C584" s="1">
        <f>WorldCupMatches!Q584</f>
        <v>1</v>
      </c>
      <c r="D584" s="1">
        <f>WorldCupMatches!R584</f>
        <v>1</v>
      </c>
      <c r="E584" s="1" t="str">
        <f>WorldCupMatches!S584</f>
        <v>Cameroon</v>
      </c>
      <c r="F584" s="1" t="str">
        <f>WorldCupMatches!T584</f>
        <v xml:space="preserve"> </v>
      </c>
      <c r="G584" s="1" t="str">
        <f>WorldCupMatches!U584</f>
        <v>Group stages</v>
      </c>
      <c r="J584" s="1">
        <f>COUNTIF($L$2:L584,L584)</f>
        <v>5</v>
      </c>
      <c r="K584" s="1">
        <f>Table3[[#This Row],[Year]]</f>
        <v>2002</v>
      </c>
      <c r="L584" s="1" t="str">
        <f>Table3[[#This Row],[Hometeam]]</f>
        <v>Republic of Ireland</v>
      </c>
      <c r="M584" s="1" t="str">
        <f>IF(J584=1,J584+ROWS($J$2:J584)/10000,"")</f>
        <v/>
      </c>
      <c r="N584" s="1" t="str">
        <f>IFERROR(SMALL($M$2:$M$1705,ROWS($M$2:M584)),"")</f>
        <v/>
      </c>
      <c r="O584" s="1" t="str">
        <f>IF(N584&lt;&gt;"",INDEX($L$2:$L$1705,MATCH(N584,$M$2:$M$1705,0)),"")</f>
        <v/>
      </c>
      <c r="P584" s="1" t="str">
        <f>IF(O584&lt;&gt;"",ROWS($O$2:O584),"")</f>
        <v/>
      </c>
    </row>
    <row r="585" spans="1:16" x14ac:dyDescent="0.2">
      <c r="A585" s="1">
        <f>WorldCupMatches!O585</f>
        <v>2002</v>
      </c>
      <c r="B585" s="1" t="str">
        <f>WorldCupMatches!P585</f>
        <v>Germany</v>
      </c>
      <c r="C585" s="1">
        <f>WorldCupMatches!Q585</f>
        <v>8</v>
      </c>
      <c r="D585" s="1">
        <f>WorldCupMatches!R585</f>
        <v>0</v>
      </c>
      <c r="E585" s="1" t="str">
        <f>WorldCupMatches!S585</f>
        <v>Saudi Arabia</v>
      </c>
      <c r="F585" s="1" t="str">
        <f>WorldCupMatches!T585</f>
        <v xml:space="preserve"> </v>
      </c>
      <c r="G585" s="1" t="str">
        <f>WorldCupMatches!U585</f>
        <v>Group stages</v>
      </c>
      <c r="J585" s="1">
        <f>COUNTIF($L$2:L585,L585)</f>
        <v>13</v>
      </c>
      <c r="K585" s="1">
        <f>Table3[[#This Row],[Year]]</f>
        <v>2002</v>
      </c>
      <c r="L585" s="1" t="str">
        <f>Table3[[#This Row],[Hometeam]]</f>
        <v>Germany</v>
      </c>
      <c r="M585" s="1" t="str">
        <f>IF(J585=1,J585+ROWS($J$2:J585)/10000,"")</f>
        <v/>
      </c>
      <c r="N585" s="1" t="str">
        <f>IFERROR(SMALL($M$2:$M$1705,ROWS($M$2:M585)),"")</f>
        <v/>
      </c>
      <c r="O585" s="1" t="str">
        <f>IF(N585&lt;&gt;"",INDEX($L$2:$L$1705,MATCH(N585,$M$2:$M$1705,0)),"")</f>
        <v/>
      </c>
      <c r="P585" s="1" t="str">
        <f>IF(O585&lt;&gt;"",ROWS($O$2:O585),"")</f>
        <v/>
      </c>
    </row>
    <row r="586" spans="1:16" x14ac:dyDescent="0.2">
      <c r="A586" s="1">
        <f>WorldCupMatches!O586</f>
        <v>2002</v>
      </c>
      <c r="B586" s="1" t="str">
        <f>WorldCupMatches!P586</f>
        <v>Argentina</v>
      </c>
      <c r="C586" s="1">
        <f>WorldCupMatches!Q586</f>
        <v>1</v>
      </c>
      <c r="D586" s="1">
        <f>WorldCupMatches!R586</f>
        <v>0</v>
      </c>
      <c r="E586" s="1" t="str">
        <f>WorldCupMatches!S586</f>
        <v>Nigeria</v>
      </c>
      <c r="F586" s="1" t="str">
        <f>WorldCupMatches!T586</f>
        <v xml:space="preserve"> </v>
      </c>
      <c r="G586" s="1" t="str">
        <f>WorldCupMatches!U586</f>
        <v>Group stages</v>
      </c>
      <c r="J586" s="1">
        <f>COUNTIF($L$2:L586,L586)</f>
        <v>40</v>
      </c>
      <c r="K586" s="1">
        <f>Table3[[#This Row],[Year]]</f>
        <v>2002</v>
      </c>
      <c r="L586" s="1" t="str">
        <f>Table3[[#This Row],[Hometeam]]</f>
        <v>Argentina</v>
      </c>
      <c r="M586" s="1" t="str">
        <f>IF(J586=1,J586+ROWS($J$2:J586)/10000,"")</f>
        <v/>
      </c>
      <c r="N586" s="1" t="str">
        <f>IFERROR(SMALL($M$2:$M$1705,ROWS($M$2:M586)),"")</f>
        <v/>
      </c>
      <c r="O586" s="1" t="str">
        <f>IF(N586&lt;&gt;"",INDEX($L$2:$L$1705,MATCH(N586,$M$2:$M$1705,0)),"")</f>
        <v/>
      </c>
      <c r="P586" s="1" t="str">
        <f>IF(O586&lt;&gt;"",ROWS($O$2:O586),"")</f>
        <v/>
      </c>
    </row>
    <row r="587" spans="1:16" x14ac:dyDescent="0.2">
      <c r="A587" s="1">
        <f>WorldCupMatches!O587</f>
        <v>2002</v>
      </c>
      <c r="B587" s="1" t="str">
        <f>WorldCupMatches!P587</f>
        <v>Paraguay</v>
      </c>
      <c r="C587" s="1">
        <f>WorldCupMatches!Q587</f>
        <v>2</v>
      </c>
      <c r="D587" s="1">
        <f>WorldCupMatches!R587</f>
        <v>2</v>
      </c>
      <c r="E587" s="1" t="str">
        <f>WorldCupMatches!S587</f>
        <v>South Africa</v>
      </c>
      <c r="F587" s="1" t="str">
        <f>WorldCupMatches!T587</f>
        <v xml:space="preserve"> </v>
      </c>
      <c r="G587" s="1" t="str">
        <f>WorldCupMatches!U587</f>
        <v>Group stages</v>
      </c>
      <c r="J587" s="1">
        <f>COUNTIF($L$2:L587,L587)</f>
        <v>7</v>
      </c>
      <c r="K587" s="1">
        <f>Table3[[#This Row],[Year]]</f>
        <v>2002</v>
      </c>
      <c r="L587" s="1" t="str">
        <f>Table3[[#This Row],[Hometeam]]</f>
        <v>Paraguay</v>
      </c>
      <c r="M587" s="1" t="str">
        <f>IF(J587=1,J587+ROWS($J$2:J587)/10000,"")</f>
        <v/>
      </c>
      <c r="N587" s="1" t="str">
        <f>IFERROR(SMALL($M$2:$M$1705,ROWS($M$2:M587)),"")</f>
        <v/>
      </c>
      <c r="O587" s="1" t="str">
        <f>IF(N587&lt;&gt;"",INDEX($L$2:$L$1705,MATCH(N587,$M$2:$M$1705,0)),"")</f>
        <v/>
      </c>
      <c r="P587" s="1" t="str">
        <f>IF(O587&lt;&gt;"",ROWS($O$2:O587),"")</f>
        <v/>
      </c>
    </row>
    <row r="588" spans="1:16" x14ac:dyDescent="0.2">
      <c r="A588" s="1">
        <f>WorldCupMatches!O588</f>
        <v>2002</v>
      </c>
      <c r="B588" s="1" t="str">
        <f>WorldCupMatches!P588</f>
        <v>England</v>
      </c>
      <c r="C588" s="1">
        <f>WorldCupMatches!Q588</f>
        <v>1</v>
      </c>
      <c r="D588" s="1">
        <f>WorldCupMatches!R588</f>
        <v>1</v>
      </c>
      <c r="E588" s="1" t="str">
        <f>WorldCupMatches!S588</f>
        <v>Sweden</v>
      </c>
      <c r="F588" s="1" t="str">
        <f>WorldCupMatches!T588</f>
        <v xml:space="preserve"> </v>
      </c>
      <c r="G588" s="1" t="str">
        <f>WorldCupMatches!U588</f>
        <v>Group stages</v>
      </c>
      <c r="J588" s="1">
        <f>COUNTIF($L$2:L588,L588)</f>
        <v>27</v>
      </c>
      <c r="K588" s="1">
        <f>Table3[[#This Row],[Year]]</f>
        <v>2002</v>
      </c>
      <c r="L588" s="1" t="str">
        <f>Table3[[#This Row],[Hometeam]]</f>
        <v>England</v>
      </c>
      <c r="M588" s="1" t="str">
        <f>IF(J588=1,J588+ROWS($J$2:J588)/10000,"")</f>
        <v/>
      </c>
      <c r="N588" s="1" t="str">
        <f>IFERROR(SMALL($M$2:$M$1705,ROWS($M$2:M588)),"")</f>
        <v/>
      </c>
      <c r="O588" s="1" t="str">
        <f>IF(N588&lt;&gt;"",INDEX($L$2:$L$1705,MATCH(N588,$M$2:$M$1705,0)),"")</f>
        <v/>
      </c>
      <c r="P588" s="1" t="str">
        <f>IF(O588&lt;&gt;"",ROWS($O$2:O588),"")</f>
        <v/>
      </c>
    </row>
    <row r="589" spans="1:16" x14ac:dyDescent="0.2">
      <c r="A589" s="1">
        <f>WorldCupMatches!O589</f>
        <v>2002</v>
      </c>
      <c r="B589" s="1" t="str">
        <f>WorldCupMatches!P589</f>
        <v>Spain</v>
      </c>
      <c r="C589" s="1">
        <f>WorldCupMatches!Q589</f>
        <v>3</v>
      </c>
      <c r="D589" s="1">
        <f>WorldCupMatches!R589</f>
        <v>1</v>
      </c>
      <c r="E589" s="1" t="str">
        <f>WorldCupMatches!S589</f>
        <v>Slovenia</v>
      </c>
      <c r="F589" s="1" t="str">
        <f>WorldCupMatches!T589</f>
        <v xml:space="preserve"> </v>
      </c>
      <c r="G589" s="1" t="str">
        <f>WorldCupMatches!U589</f>
        <v>Group stages</v>
      </c>
      <c r="J589" s="1">
        <f>COUNTIF($L$2:L589,L589)</f>
        <v>19</v>
      </c>
      <c r="K589" s="1">
        <f>Table3[[#This Row],[Year]]</f>
        <v>2002</v>
      </c>
      <c r="L589" s="1" t="str">
        <f>Table3[[#This Row],[Hometeam]]</f>
        <v>Spain</v>
      </c>
      <c r="M589" s="1" t="str">
        <f>IF(J589=1,J589+ROWS($J$2:J589)/10000,"")</f>
        <v/>
      </c>
      <c r="N589" s="1" t="str">
        <f>IFERROR(SMALL($M$2:$M$1705,ROWS($M$2:M589)),"")</f>
        <v/>
      </c>
      <c r="O589" s="1" t="str">
        <f>IF(N589&lt;&gt;"",INDEX($L$2:$L$1705,MATCH(N589,$M$2:$M$1705,0)),"")</f>
        <v/>
      </c>
      <c r="P589" s="1" t="str">
        <f>IF(O589&lt;&gt;"",ROWS($O$2:O589),"")</f>
        <v/>
      </c>
    </row>
    <row r="590" spans="1:16" x14ac:dyDescent="0.2">
      <c r="A590" s="1">
        <f>WorldCupMatches!O590</f>
        <v>2002</v>
      </c>
      <c r="B590" s="1" t="str">
        <f>WorldCupMatches!P590</f>
        <v>Brazil</v>
      </c>
      <c r="C590" s="1">
        <f>WorldCupMatches!Q590</f>
        <v>2</v>
      </c>
      <c r="D590" s="1">
        <f>WorldCupMatches!R590</f>
        <v>1</v>
      </c>
      <c r="E590" s="1" t="str">
        <f>WorldCupMatches!S590</f>
        <v>Turkey</v>
      </c>
      <c r="F590" s="1" t="str">
        <f>WorldCupMatches!T590</f>
        <v xml:space="preserve"> </v>
      </c>
      <c r="G590" s="1" t="str">
        <f>WorldCupMatches!U590</f>
        <v>Group stages</v>
      </c>
      <c r="J590" s="1">
        <f>COUNTIF($L$2:L590,L590)</f>
        <v>62</v>
      </c>
      <c r="K590" s="1">
        <f>Table3[[#This Row],[Year]]</f>
        <v>2002</v>
      </c>
      <c r="L590" s="1" t="str">
        <f>Table3[[#This Row],[Hometeam]]</f>
        <v>Brazil</v>
      </c>
      <c r="M590" s="1" t="str">
        <f>IF(J590=1,J590+ROWS($J$2:J590)/10000,"")</f>
        <v/>
      </c>
      <c r="N590" s="1" t="str">
        <f>IFERROR(SMALL($M$2:$M$1705,ROWS($M$2:M590)),"")</f>
        <v/>
      </c>
      <c r="O590" s="1" t="str">
        <f>IF(N590&lt;&gt;"",INDEX($L$2:$L$1705,MATCH(N590,$M$2:$M$1705,0)),"")</f>
        <v/>
      </c>
      <c r="P590" s="1" t="str">
        <f>IF(O590&lt;&gt;"",ROWS($O$2:O590),"")</f>
        <v/>
      </c>
    </row>
    <row r="591" spans="1:16" x14ac:dyDescent="0.2">
      <c r="A591" s="1">
        <f>WorldCupMatches!O591</f>
        <v>2002</v>
      </c>
      <c r="B591" s="1" t="str">
        <f>WorldCupMatches!P591</f>
        <v>Italy</v>
      </c>
      <c r="C591" s="1">
        <f>WorldCupMatches!Q591</f>
        <v>2</v>
      </c>
      <c r="D591" s="1">
        <f>WorldCupMatches!R591</f>
        <v>0</v>
      </c>
      <c r="E591" s="1" t="str">
        <f>WorldCupMatches!S591</f>
        <v>Ecuador</v>
      </c>
      <c r="F591" s="1" t="str">
        <f>WorldCupMatches!T591</f>
        <v xml:space="preserve"> </v>
      </c>
      <c r="G591" s="1" t="str">
        <f>WorldCupMatches!U591</f>
        <v>Group stages</v>
      </c>
      <c r="J591" s="1">
        <f>COUNTIF($L$2:L591,L591)</f>
        <v>47</v>
      </c>
      <c r="K591" s="1">
        <f>Table3[[#This Row],[Year]]</f>
        <v>2002</v>
      </c>
      <c r="L591" s="1" t="str">
        <f>Table3[[#This Row],[Hometeam]]</f>
        <v>Italy</v>
      </c>
      <c r="M591" s="1" t="str">
        <f>IF(J591=1,J591+ROWS($J$2:J591)/10000,"")</f>
        <v/>
      </c>
      <c r="N591" s="1" t="str">
        <f>IFERROR(SMALL($M$2:$M$1705,ROWS($M$2:M591)),"")</f>
        <v/>
      </c>
      <c r="O591" s="1" t="str">
        <f>IF(N591&lt;&gt;"",INDEX($L$2:$L$1705,MATCH(N591,$M$2:$M$1705,0)),"")</f>
        <v/>
      </c>
      <c r="P591" s="1" t="str">
        <f>IF(O591&lt;&gt;"",ROWS($O$2:O591),"")</f>
        <v/>
      </c>
    </row>
    <row r="592" spans="1:16" x14ac:dyDescent="0.2">
      <c r="A592" s="1">
        <f>WorldCupMatches!O592</f>
        <v>2002</v>
      </c>
      <c r="B592" s="1" t="str">
        <f>WorldCupMatches!P592</f>
        <v>Croatia</v>
      </c>
      <c r="C592" s="1">
        <f>WorldCupMatches!Q592</f>
        <v>0</v>
      </c>
      <c r="D592" s="1">
        <f>WorldCupMatches!R592</f>
        <v>1</v>
      </c>
      <c r="E592" s="1" t="str">
        <f>WorldCupMatches!S592</f>
        <v>Mexico</v>
      </c>
      <c r="F592" s="1" t="str">
        <f>WorldCupMatches!T592</f>
        <v xml:space="preserve"> </v>
      </c>
      <c r="G592" s="1" t="str">
        <f>WorldCupMatches!U592</f>
        <v>Group stages</v>
      </c>
      <c r="J592" s="1">
        <f>COUNTIF($L$2:L592,L592)</f>
        <v>1</v>
      </c>
      <c r="K592" s="1">
        <f>Table3[[#This Row],[Year]]</f>
        <v>2002</v>
      </c>
      <c r="L592" s="1" t="str">
        <f>Table3[[#This Row],[Hometeam]]</f>
        <v>Croatia</v>
      </c>
      <c r="M592" s="1">
        <f>IF(J592=1,J592+ROWS($J$2:J592)/10000,"")</f>
        <v>1.0590999999999999</v>
      </c>
      <c r="N592" s="1" t="str">
        <f>IFERROR(SMALL($M$2:$M$1705,ROWS($M$2:M592)),"")</f>
        <v/>
      </c>
      <c r="O592" s="1" t="str">
        <f>IF(N592&lt;&gt;"",INDEX($L$2:$L$1705,MATCH(N592,$M$2:$M$1705,0)),"")</f>
        <v/>
      </c>
      <c r="P592" s="1" t="str">
        <f>IF(O592&lt;&gt;"",ROWS($O$2:O592),"")</f>
        <v/>
      </c>
    </row>
    <row r="593" spans="1:16" x14ac:dyDescent="0.2">
      <c r="A593" s="1">
        <f>WorldCupMatches!O593</f>
        <v>2002</v>
      </c>
      <c r="B593" s="1" t="str">
        <f>WorldCupMatches!P593</f>
        <v>China PR</v>
      </c>
      <c r="C593" s="1">
        <f>WorldCupMatches!Q593</f>
        <v>0</v>
      </c>
      <c r="D593" s="1">
        <f>WorldCupMatches!R593</f>
        <v>2</v>
      </c>
      <c r="E593" s="1" t="str">
        <f>WorldCupMatches!S593</f>
        <v>Costa Rica</v>
      </c>
      <c r="F593" s="1" t="str">
        <f>WorldCupMatches!T593</f>
        <v xml:space="preserve"> </v>
      </c>
      <c r="G593" s="1" t="str">
        <f>WorldCupMatches!U593</f>
        <v>Group stages</v>
      </c>
      <c r="J593" s="1">
        <f>COUNTIF($L$2:L593,L593)</f>
        <v>1</v>
      </c>
      <c r="K593" s="1">
        <f>Table3[[#This Row],[Year]]</f>
        <v>2002</v>
      </c>
      <c r="L593" s="1" t="str">
        <f>Table3[[#This Row],[Hometeam]]</f>
        <v>China PR</v>
      </c>
      <c r="M593" s="1">
        <f>IF(J593=1,J593+ROWS($J$2:J593)/10000,"")</f>
        <v>1.0591999999999999</v>
      </c>
      <c r="N593" s="1" t="str">
        <f>IFERROR(SMALL($M$2:$M$1705,ROWS($M$2:M593)),"")</f>
        <v/>
      </c>
      <c r="O593" s="1" t="str">
        <f>IF(N593&lt;&gt;"",INDEX($L$2:$L$1705,MATCH(N593,$M$2:$M$1705,0)),"")</f>
        <v/>
      </c>
      <c r="P593" s="1" t="str">
        <f>IF(O593&lt;&gt;"",ROWS($O$2:O593),"")</f>
        <v/>
      </c>
    </row>
    <row r="594" spans="1:16" x14ac:dyDescent="0.2">
      <c r="A594" s="1">
        <f>WorldCupMatches!O594</f>
        <v>2002</v>
      </c>
      <c r="B594" s="1" t="str">
        <f>WorldCupMatches!P594</f>
        <v>Japan</v>
      </c>
      <c r="C594" s="1">
        <f>WorldCupMatches!Q594</f>
        <v>2</v>
      </c>
      <c r="D594" s="1">
        <f>WorldCupMatches!R594</f>
        <v>2</v>
      </c>
      <c r="E594" s="1" t="str">
        <f>WorldCupMatches!S594</f>
        <v>Belgium</v>
      </c>
      <c r="F594" s="1" t="str">
        <f>WorldCupMatches!T594</f>
        <v xml:space="preserve"> </v>
      </c>
      <c r="G594" s="1" t="str">
        <f>WorldCupMatches!U594</f>
        <v>Group stages</v>
      </c>
      <c r="J594" s="1">
        <f>COUNTIF($L$2:L594,L594)</f>
        <v>3</v>
      </c>
      <c r="K594" s="1">
        <f>Table3[[#This Row],[Year]]</f>
        <v>2002</v>
      </c>
      <c r="L594" s="1" t="str">
        <f>Table3[[#This Row],[Hometeam]]</f>
        <v>Japan</v>
      </c>
      <c r="M594" s="1" t="str">
        <f>IF(J594=1,J594+ROWS($J$2:J594)/10000,"")</f>
        <v/>
      </c>
      <c r="N594" s="1" t="str">
        <f>IFERROR(SMALL($M$2:$M$1705,ROWS($M$2:M594)),"")</f>
        <v/>
      </c>
      <c r="O594" s="1" t="str">
        <f>IF(N594&lt;&gt;"",INDEX($L$2:$L$1705,MATCH(N594,$M$2:$M$1705,0)),"")</f>
        <v/>
      </c>
      <c r="P594" s="1" t="str">
        <f>IF(O594&lt;&gt;"",ROWS($O$2:O594),"")</f>
        <v/>
      </c>
    </row>
    <row r="595" spans="1:16" x14ac:dyDescent="0.2">
      <c r="A595" s="1">
        <f>WorldCupMatches!O595</f>
        <v>2002</v>
      </c>
      <c r="B595" s="1" t="str">
        <f>WorldCupMatches!P595</f>
        <v>Korea Republic</v>
      </c>
      <c r="C595" s="1">
        <f>WorldCupMatches!Q595</f>
        <v>2</v>
      </c>
      <c r="D595" s="1">
        <f>WorldCupMatches!R595</f>
        <v>0</v>
      </c>
      <c r="E595" s="1" t="str">
        <f>WorldCupMatches!S595</f>
        <v>Poland</v>
      </c>
      <c r="F595" s="1" t="str">
        <f>WorldCupMatches!T595</f>
        <v xml:space="preserve"> </v>
      </c>
      <c r="G595" s="1" t="str">
        <f>WorldCupMatches!U595</f>
        <v>Group stages</v>
      </c>
      <c r="J595" s="1">
        <f>COUNTIF($L$2:L595,L595)</f>
        <v>7</v>
      </c>
      <c r="K595" s="1">
        <f>Table3[[#This Row],[Year]]</f>
        <v>2002</v>
      </c>
      <c r="L595" s="1" t="str">
        <f>Table3[[#This Row],[Hometeam]]</f>
        <v>Korea Republic</v>
      </c>
      <c r="M595" s="1" t="str">
        <f>IF(J595=1,J595+ROWS($J$2:J595)/10000,"")</f>
        <v/>
      </c>
      <c r="N595" s="1" t="str">
        <f>IFERROR(SMALL($M$2:$M$1705,ROWS($M$2:M595)),"")</f>
        <v/>
      </c>
      <c r="O595" s="1" t="str">
        <f>IF(N595&lt;&gt;"",INDEX($L$2:$L$1705,MATCH(N595,$M$2:$M$1705,0)),"")</f>
        <v/>
      </c>
      <c r="P595" s="1" t="str">
        <f>IF(O595&lt;&gt;"",ROWS($O$2:O595),"")</f>
        <v/>
      </c>
    </row>
    <row r="596" spans="1:16" x14ac:dyDescent="0.2">
      <c r="A596" s="1">
        <f>WorldCupMatches!O596</f>
        <v>2002</v>
      </c>
      <c r="B596" s="1" t="str">
        <f>WorldCupMatches!P596</f>
        <v>Russia</v>
      </c>
      <c r="C596" s="1">
        <f>WorldCupMatches!Q596</f>
        <v>2</v>
      </c>
      <c r="D596" s="1">
        <f>WorldCupMatches!R596</f>
        <v>0</v>
      </c>
      <c r="E596" s="1" t="str">
        <f>WorldCupMatches!S596</f>
        <v>Tunisia</v>
      </c>
      <c r="F596" s="1" t="str">
        <f>WorldCupMatches!T596</f>
        <v xml:space="preserve"> </v>
      </c>
      <c r="G596" s="1" t="str">
        <f>WorldCupMatches!U596</f>
        <v>Group stages</v>
      </c>
      <c r="J596" s="1">
        <f>COUNTIF($L$2:L596,L596)</f>
        <v>2</v>
      </c>
      <c r="K596" s="1">
        <f>Table3[[#This Row],[Year]]</f>
        <v>2002</v>
      </c>
      <c r="L596" s="1" t="str">
        <f>Table3[[#This Row],[Hometeam]]</f>
        <v>Russia</v>
      </c>
      <c r="M596" s="1" t="str">
        <f>IF(J596=1,J596+ROWS($J$2:J596)/10000,"")</f>
        <v/>
      </c>
      <c r="N596" s="1" t="str">
        <f>IFERROR(SMALL($M$2:$M$1705,ROWS($M$2:M596)),"")</f>
        <v/>
      </c>
      <c r="O596" s="1" t="str">
        <f>IF(N596&lt;&gt;"",INDEX($L$2:$L$1705,MATCH(N596,$M$2:$M$1705,0)),"")</f>
        <v/>
      </c>
      <c r="P596" s="1" t="str">
        <f>IF(O596&lt;&gt;"",ROWS($O$2:O596),"")</f>
        <v/>
      </c>
    </row>
    <row r="597" spans="1:16" x14ac:dyDescent="0.2">
      <c r="A597" s="1">
        <f>WorldCupMatches!O597</f>
        <v>2002</v>
      </c>
      <c r="B597" s="1" t="str">
        <f>WorldCupMatches!P597</f>
        <v>USA</v>
      </c>
      <c r="C597" s="1">
        <f>WorldCupMatches!Q597</f>
        <v>3</v>
      </c>
      <c r="D597" s="1">
        <f>WorldCupMatches!R597</f>
        <v>2</v>
      </c>
      <c r="E597" s="1" t="str">
        <f>WorldCupMatches!S597</f>
        <v>Portugal</v>
      </c>
      <c r="F597" s="1" t="str">
        <f>WorldCupMatches!T597</f>
        <v xml:space="preserve"> </v>
      </c>
      <c r="G597" s="1" t="str">
        <f>WorldCupMatches!U597</f>
        <v>Group stages</v>
      </c>
      <c r="J597" s="1">
        <f>COUNTIF($L$2:L597,L597)</f>
        <v>10</v>
      </c>
      <c r="K597" s="1">
        <f>Table3[[#This Row],[Year]]</f>
        <v>2002</v>
      </c>
      <c r="L597" s="1" t="str">
        <f>Table3[[#This Row],[Hometeam]]</f>
        <v>USA</v>
      </c>
      <c r="M597" s="1" t="str">
        <f>IF(J597=1,J597+ROWS($J$2:J597)/10000,"")</f>
        <v/>
      </c>
      <c r="N597" s="1" t="str">
        <f>IFERROR(SMALL($M$2:$M$1705,ROWS($M$2:M597)),"")</f>
        <v/>
      </c>
      <c r="O597" s="1" t="str">
        <f>IF(N597&lt;&gt;"",INDEX($L$2:$L$1705,MATCH(N597,$M$2:$M$1705,0)),"")</f>
        <v/>
      </c>
      <c r="P597" s="1" t="str">
        <f>IF(O597&lt;&gt;"",ROWS($O$2:O597),"")</f>
        <v/>
      </c>
    </row>
    <row r="598" spans="1:16" x14ac:dyDescent="0.2">
      <c r="A598" s="1">
        <f>WorldCupMatches!O598</f>
        <v>2002</v>
      </c>
      <c r="B598" s="1" t="str">
        <f>WorldCupMatches!P598</f>
        <v>Germany</v>
      </c>
      <c r="C598" s="1">
        <f>WorldCupMatches!Q598</f>
        <v>1</v>
      </c>
      <c r="D598" s="1">
        <f>WorldCupMatches!R598</f>
        <v>1</v>
      </c>
      <c r="E598" s="1" t="str">
        <f>WorldCupMatches!S598</f>
        <v>Republic of Ireland</v>
      </c>
      <c r="F598" s="1" t="str">
        <f>WorldCupMatches!T598</f>
        <v xml:space="preserve"> </v>
      </c>
      <c r="G598" s="1" t="str">
        <f>WorldCupMatches!U598</f>
        <v>Group stages</v>
      </c>
      <c r="J598" s="1">
        <f>COUNTIF($L$2:L598,L598)</f>
        <v>14</v>
      </c>
      <c r="K598" s="1">
        <f>Table3[[#This Row],[Year]]</f>
        <v>2002</v>
      </c>
      <c r="L598" s="1" t="str">
        <f>Table3[[#This Row],[Hometeam]]</f>
        <v>Germany</v>
      </c>
      <c r="M598" s="1" t="str">
        <f>IF(J598=1,J598+ROWS($J$2:J598)/10000,"")</f>
        <v/>
      </c>
      <c r="N598" s="1" t="str">
        <f>IFERROR(SMALL($M$2:$M$1705,ROWS($M$2:M598)),"")</f>
        <v/>
      </c>
      <c r="O598" s="1" t="str">
        <f>IF(N598&lt;&gt;"",INDEX($L$2:$L$1705,MATCH(N598,$M$2:$M$1705,0)),"")</f>
        <v/>
      </c>
      <c r="P598" s="1" t="str">
        <f>IF(O598&lt;&gt;"",ROWS($O$2:O598),"")</f>
        <v/>
      </c>
    </row>
    <row r="599" spans="1:16" x14ac:dyDescent="0.2">
      <c r="A599" s="1">
        <f>WorldCupMatches!O599</f>
        <v>2002</v>
      </c>
      <c r="B599" s="1" t="str">
        <f>WorldCupMatches!P599</f>
        <v>Denmark</v>
      </c>
      <c r="C599" s="1">
        <f>WorldCupMatches!Q599</f>
        <v>1</v>
      </c>
      <c r="D599" s="1">
        <f>WorldCupMatches!R599</f>
        <v>1</v>
      </c>
      <c r="E599" s="1" t="str">
        <f>WorldCupMatches!S599</f>
        <v>Senegal</v>
      </c>
      <c r="F599" s="1" t="str">
        <f>WorldCupMatches!T599</f>
        <v xml:space="preserve"> </v>
      </c>
      <c r="G599" s="1" t="str">
        <f>WorldCupMatches!U599</f>
        <v>Group stages</v>
      </c>
      <c r="J599" s="1">
        <f>COUNTIF($L$2:L599,L599)</f>
        <v>4</v>
      </c>
      <c r="K599" s="1">
        <f>Table3[[#This Row],[Year]]</f>
        <v>2002</v>
      </c>
      <c r="L599" s="1" t="str">
        <f>Table3[[#This Row],[Hometeam]]</f>
        <v>Denmark</v>
      </c>
      <c r="M599" s="1" t="str">
        <f>IF(J599=1,J599+ROWS($J$2:J599)/10000,"")</f>
        <v/>
      </c>
      <c r="N599" s="1" t="str">
        <f>IFERROR(SMALL($M$2:$M$1705,ROWS($M$2:M599)),"")</f>
        <v/>
      </c>
      <c r="O599" s="1" t="str">
        <f>IF(N599&lt;&gt;"",INDEX($L$2:$L$1705,MATCH(N599,$M$2:$M$1705,0)),"")</f>
        <v/>
      </c>
      <c r="P599" s="1" t="str">
        <f>IF(O599&lt;&gt;"",ROWS($O$2:O599),"")</f>
        <v/>
      </c>
    </row>
    <row r="600" spans="1:16" x14ac:dyDescent="0.2">
      <c r="A600" s="1">
        <f>WorldCupMatches!O600</f>
        <v>2002</v>
      </c>
      <c r="B600" s="1" t="str">
        <f>WorldCupMatches!P600</f>
        <v>Cameroon</v>
      </c>
      <c r="C600" s="1">
        <f>WorldCupMatches!Q600</f>
        <v>1</v>
      </c>
      <c r="D600" s="1">
        <f>WorldCupMatches!R600</f>
        <v>0</v>
      </c>
      <c r="E600" s="1" t="str">
        <f>WorldCupMatches!S600</f>
        <v>Saudi Arabia</v>
      </c>
      <c r="F600" s="1" t="str">
        <f>WorldCupMatches!T600</f>
        <v xml:space="preserve"> </v>
      </c>
      <c r="G600" s="1" t="str">
        <f>WorldCupMatches!U600</f>
        <v>Group stages</v>
      </c>
      <c r="J600" s="1">
        <f>COUNTIF($L$2:L600,L600)</f>
        <v>6</v>
      </c>
      <c r="K600" s="1">
        <f>Table3[[#This Row],[Year]]</f>
        <v>2002</v>
      </c>
      <c r="L600" s="1" t="str">
        <f>Table3[[#This Row],[Hometeam]]</f>
        <v>Cameroon</v>
      </c>
      <c r="M600" s="1" t="str">
        <f>IF(J600=1,J600+ROWS($J$2:J600)/10000,"")</f>
        <v/>
      </c>
      <c r="N600" s="1" t="str">
        <f>IFERROR(SMALL($M$2:$M$1705,ROWS($M$2:M600)),"")</f>
        <v/>
      </c>
      <c r="O600" s="1" t="str">
        <f>IF(N600&lt;&gt;"",INDEX($L$2:$L$1705,MATCH(N600,$M$2:$M$1705,0)),"")</f>
        <v/>
      </c>
      <c r="P600" s="1" t="str">
        <f>IF(O600&lt;&gt;"",ROWS($O$2:O600),"")</f>
        <v/>
      </c>
    </row>
    <row r="601" spans="1:16" x14ac:dyDescent="0.2">
      <c r="A601" s="1">
        <f>WorldCupMatches!O601</f>
        <v>2002</v>
      </c>
      <c r="B601" s="1" t="str">
        <f>WorldCupMatches!P601</f>
        <v>France</v>
      </c>
      <c r="C601" s="1">
        <f>WorldCupMatches!Q601</f>
        <v>0</v>
      </c>
      <c r="D601" s="1">
        <f>WorldCupMatches!R601</f>
        <v>0</v>
      </c>
      <c r="E601" s="1" t="str">
        <f>WorldCupMatches!S601</f>
        <v>Uruguay</v>
      </c>
      <c r="F601" s="1" t="str">
        <f>WorldCupMatches!T601</f>
        <v xml:space="preserve"> </v>
      </c>
      <c r="G601" s="1" t="str">
        <f>WorldCupMatches!U601</f>
        <v>Group stages</v>
      </c>
      <c r="J601" s="1">
        <f>COUNTIF($L$2:L601,L601)</f>
        <v>22</v>
      </c>
      <c r="K601" s="1">
        <f>Table3[[#This Row],[Year]]</f>
        <v>2002</v>
      </c>
      <c r="L601" s="1" t="str">
        <f>Table3[[#This Row],[Hometeam]]</f>
        <v>France</v>
      </c>
      <c r="M601" s="1" t="str">
        <f>IF(J601=1,J601+ROWS($J$2:J601)/10000,"")</f>
        <v/>
      </c>
      <c r="N601" s="1" t="str">
        <f>IFERROR(SMALL($M$2:$M$1705,ROWS($M$2:M601)),"")</f>
        <v/>
      </c>
      <c r="O601" s="1" t="str">
        <f>IF(N601&lt;&gt;"",INDEX($L$2:$L$1705,MATCH(N601,$M$2:$M$1705,0)),"")</f>
        <v/>
      </c>
      <c r="P601" s="1" t="str">
        <f>IF(O601&lt;&gt;"",ROWS($O$2:O601),"")</f>
        <v/>
      </c>
    </row>
    <row r="602" spans="1:16" x14ac:dyDescent="0.2">
      <c r="A602" s="1">
        <f>WorldCupMatches!O602</f>
        <v>2002</v>
      </c>
      <c r="B602" s="1" t="str">
        <f>WorldCupMatches!P602</f>
        <v>Sweden</v>
      </c>
      <c r="C602" s="1">
        <f>WorldCupMatches!Q602</f>
        <v>2</v>
      </c>
      <c r="D602" s="1">
        <f>WorldCupMatches!R602</f>
        <v>1</v>
      </c>
      <c r="E602" s="1" t="str">
        <f>WorldCupMatches!S602</f>
        <v>Nigeria</v>
      </c>
      <c r="F602" s="1" t="str">
        <f>WorldCupMatches!T602</f>
        <v xml:space="preserve"> </v>
      </c>
      <c r="G602" s="1" t="str">
        <f>WorldCupMatches!U602</f>
        <v>Group stages</v>
      </c>
      <c r="J602" s="1">
        <f>COUNTIF($L$2:L602,L602)</f>
        <v>23</v>
      </c>
      <c r="K602" s="1">
        <f>Table3[[#This Row],[Year]]</f>
        <v>2002</v>
      </c>
      <c r="L602" s="1" t="str">
        <f>Table3[[#This Row],[Hometeam]]</f>
        <v>Sweden</v>
      </c>
      <c r="M602" s="1" t="str">
        <f>IF(J602=1,J602+ROWS($J$2:J602)/10000,"")</f>
        <v/>
      </c>
      <c r="N602" s="1" t="str">
        <f>IFERROR(SMALL($M$2:$M$1705,ROWS($M$2:M602)),"")</f>
        <v/>
      </c>
      <c r="O602" s="1" t="str">
        <f>IF(N602&lt;&gt;"",INDEX($L$2:$L$1705,MATCH(N602,$M$2:$M$1705,0)),"")</f>
        <v/>
      </c>
      <c r="P602" s="1" t="str">
        <f>IF(O602&lt;&gt;"",ROWS($O$2:O602),"")</f>
        <v/>
      </c>
    </row>
    <row r="603" spans="1:16" x14ac:dyDescent="0.2">
      <c r="A603" s="1">
        <f>WorldCupMatches!O603</f>
        <v>2002</v>
      </c>
      <c r="B603" s="1" t="str">
        <f>WorldCupMatches!P603</f>
        <v>Argentina</v>
      </c>
      <c r="C603" s="1">
        <f>WorldCupMatches!Q603</f>
        <v>0</v>
      </c>
      <c r="D603" s="1">
        <f>WorldCupMatches!R603</f>
        <v>1</v>
      </c>
      <c r="E603" s="1" t="str">
        <f>WorldCupMatches!S603</f>
        <v>England</v>
      </c>
      <c r="F603" s="1" t="str">
        <f>WorldCupMatches!T603</f>
        <v xml:space="preserve"> </v>
      </c>
      <c r="G603" s="1" t="str">
        <f>WorldCupMatches!U603</f>
        <v>Group stages</v>
      </c>
      <c r="J603" s="1">
        <f>COUNTIF($L$2:L603,L603)</f>
        <v>41</v>
      </c>
      <c r="K603" s="1">
        <f>Table3[[#This Row],[Year]]</f>
        <v>2002</v>
      </c>
      <c r="L603" s="1" t="str">
        <f>Table3[[#This Row],[Hometeam]]</f>
        <v>Argentina</v>
      </c>
      <c r="M603" s="1" t="str">
        <f>IF(J603=1,J603+ROWS($J$2:J603)/10000,"")</f>
        <v/>
      </c>
      <c r="N603" s="1" t="str">
        <f>IFERROR(SMALL($M$2:$M$1705,ROWS($M$2:M603)),"")</f>
        <v/>
      </c>
      <c r="O603" s="1" t="str">
        <f>IF(N603&lt;&gt;"",INDEX($L$2:$L$1705,MATCH(N603,$M$2:$M$1705,0)),"")</f>
        <v/>
      </c>
      <c r="P603" s="1" t="str">
        <f>IF(O603&lt;&gt;"",ROWS($O$2:O603),"")</f>
        <v/>
      </c>
    </row>
    <row r="604" spans="1:16" x14ac:dyDescent="0.2">
      <c r="A604" s="1">
        <f>WorldCupMatches!O604</f>
        <v>2002</v>
      </c>
      <c r="B604" s="1" t="str">
        <f>WorldCupMatches!P604</f>
        <v>Spain</v>
      </c>
      <c r="C604" s="1">
        <f>WorldCupMatches!Q604</f>
        <v>3</v>
      </c>
      <c r="D604" s="1">
        <f>WorldCupMatches!R604</f>
        <v>1</v>
      </c>
      <c r="E604" s="1" t="str">
        <f>WorldCupMatches!S604</f>
        <v>Paraguay</v>
      </c>
      <c r="F604" s="1" t="str">
        <f>WorldCupMatches!T604</f>
        <v xml:space="preserve"> </v>
      </c>
      <c r="G604" s="1" t="str">
        <f>WorldCupMatches!U604</f>
        <v>Group stages</v>
      </c>
      <c r="J604" s="1">
        <f>COUNTIF($L$2:L604,L604)</f>
        <v>20</v>
      </c>
      <c r="K604" s="1">
        <f>Table3[[#This Row],[Year]]</f>
        <v>2002</v>
      </c>
      <c r="L604" s="1" t="str">
        <f>Table3[[#This Row],[Hometeam]]</f>
        <v>Spain</v>
      </c>
      <c r="M604" s="1" t="str">
        <f>IF(J604=1,J604+ROWS($J$2:J604)/10000,"")</f>
        <v/>
      </c>
      <c r="N604" s="1" t="str">
        <f>IFERROR(SMALL($M$2:$M$1705,ROWS($M$2:M604)),"")</f>
        <v/>
      </c>
      <c r="O604" s="1" t="str">
        <f>IF(N604&lt;&gt;"",INDEX($L$2:$L$1705,MATCH(N604,$M$2:$M$1705,0)),"")</f>
        <v/>
      </c>
      <c r="P604" s="1" t="str">
        <f>IF(O604&lt;&gt;"",ROWS($O$2:O604),"")</f>
        <v/>
      </c>
    </row>
    <row r="605" spans="1:16" x14ac:dyDescent="0.2">
      <c r="A605" s="1">
        <f>WorldCupMatches!O605</f>
        <v>2002</v>
      </c>
      <c r="B605" s="1" t="str">
        <f>WorldCupMatches!P605</f>
        <v>South Africa</v>
      </c>
      <c r="C605" s="1">
        <f>WorldCupMatches!Q605</f>
        <v>1</v>
      </c>
      <c r="D605" s="1">
        <f>WorldCupMatches!R605</f>
        <v>0</v>
      </c>
      <c r="E605" s="1" t="str">
        <f>WorldCupMatches!S605</f>
        <v>Slovenia</v>
      </c>
      <c r="F605" s="1" t="str">
        <f>WorldCupMatches!T605</f>
        <v xml:space="preserve"> </v>
      </c>
      <c r="G605" s="1" t="str">
        <f>WorldCupMatches!U605</f>
        <v>Group stages</v>
      </c>
      <c r="J605" s="1">
        <f>COUNTIF($L$2:L605,L605)</f>
        <v>3</v>
      </c>
      <c r="K605" s="1">
        <f>Table3[[#This Row],[Year]]</f>
        <v>2002</v>
      </c>
      <c r="L605" s="1" t="str">
        <f>Table3[[#This Row],[Hometeam]]</f>
        <v>South Africa</v>
      </c>
      <c r="M605" s="1" t="str">
        <f>IF(J605=1,J605+ROWS($J$2:J605)/10000,"")</f>
        <v/>
      </c>
      <c r="N605" s="1" t="str">
        <f>IFERROR(SMALL($M$2:$M$1705,ROWS($M$2:M605)),"")</f>
        <v/>
      </c>
      <c r="O605" s="1" t="str">
        <f>IF(N605&lt;&gt;"",INDEX($L$2:$L$1705,MATCH(N605,$M$2:$M$1705,0)),"")</f>
        <v/>
      </c>
      <c r="P605" s="1" t="str">
        <f>IF(O605&lt;&gt;"",ROWS($O$2:O605),"")</f>
        <v/>
      </c>
    </row>
    <row r="606" spans="1:16" x14ac:dyDescent="0.2">
      <c r="A606" s="1">
        <f>WorldCupMatches!O606</f>
        <v>2002</v>
      </c>
      <c r="B606" s="1" t="str">
        <f>WorldCupMatches!P606</f>
        <v>Brazil</v>
      </c>
      <c r="C606" s="1">
        <f>WorldCupMatches!Q606</f>
        <v>4</v>
      </c>
      <c r="D606" s="1">
        <f>WorldCupMatches!R606</f>
        <v>0</v>
      </c>
      <c r="E606" s="1" t="str">
        <f>WorldCupMatches!S606</f>
        <v>China PR</v>
      </c>
      <c r="F606" s="1" t="str">
        <f>WorldCupMatches!T606</f>
        <v xml:space="preserve"> </v>
      </c>
      <c r="G606" s="1" t="str">
        <f>WorldCupMatches!U606</f>
        <v>Group stages</v>
      </c>
      <c r="J606" s="1">
        <f>COUNTIF($L$2:L606,L606)</f>
        <v>63</v>
      </c>
      <c r="K606" s="1">
        <f>Table3[[#This Row],[Year]]</f>
        <v>2002</v>
      </c>
      <c r="L606" s="1" t="str">
        <f>Table3[[#This Row],[Hometeam]]</f>
        <v>Brazil</v>
      </c>
      <c r="M606" s="1" t="str">
        <f>IF(J606=1,J606+ROWS($J$2:J606)/10000,"")</f>
        <v/>
      </c>
      <c r="N606" s="1" t="str">
        <f>IFERROR(SMALL($M$2:$M$1705,ROWS($M$2:M606)),"")</f>
        <v/>
      </c>
      <c r="O606" s="1" t="str">
        <f>IF(N606&lt;&gt;"",INDEX($L$2:$L$1705,MATCH(N606,$M$2:$M$1705,0)),"")</f>
        <v/>
      </c>
      <c r="P606" s="1" t="str">
        <f>IF(O606&lt;&gt;"",ROWS($O$2:O606),"")</f>
        <v/>
      </c>
    </row>
    <row r="607" spans="1:16" x14ac:dyDescent="0.2">
      <c r="A607" s="1">
        <f>WorldCupMatches!O607</f>
        <v>2002</v>
      </c>
      <c r="B607" s="1" t="str">
        <f>WorldCupMatches!P607</f>
        <v>Italy</v>
      </c>
      <c r="C607" s="1">
        <f>WorldCupMatches!Q607</f>
        <v>1</v>
      </c>
      <c r="D607" s="1">
        <f>WorldCupMatches!R607</f>
        <v>2</v>
      </c>
      <c r="E607" s="1" t="str">
        <f>WorldCupMatches!S607</f>
        <v>Croatia</v>
      </c>
      <c r="F607" s="1" t="str">
        <f>WorldCupMatches!T607</f>
        <v xml:space="preserve"> </v>
      </c>
      <c r="G607" s="1" t="str">
        <f>WorldCupMatches!U607</f>
        <v>Group stages</v>
      </c>
      <c r="J607" s="1">
        <f>COUNTIF($L$2:L607,L607)</f>
        <v>48</v>
      </c>
      <c r="K607" s="1">
        <f>Table3[[#This Row],[Year]]</f>
        <v>2002</v>
      </c>
      <c r="L607" s="1" t="str">
        <f>Table3[[#This Row],[Hometeam]]</f>
        <v>Italy</v>
      </c>
      <c r="M607" s="1" t="str">
        <f>IF(J607=1,J607+ROWS($J$2:J607)/10000,"")</f>
        <v/>
      </c>
      <c r="N607" s="1" t="str">
        <f>IFERROR(SMALL($M$2:$M$1705,ROWS($M$2:M607)),"")</f>
        <v/>
      </c>
      <c r="O607" s="1" t="str">
        <f>IF(N607&lt;&gt;"",INDEX($L$2:$L$1705,MATCH(N607,$M$2:$M$1705,0)),"")</f>
        <v/>
      </c>
      <c r="P607" s="1" t="str">
        <f>IF(O607&lt;&gt;"",ROWS($O$2:O607),"")</f>
        <v/>
      </c>
    </row>
    <row r="608" spans="1:16" x14ac:dyDescent="0.2">
      <c r="A608" s="1">
        <f>WorldCupMatches!O608</f>
        <v>2002</v>
      </c>
      <c r="B608" s="1" t="str">
        <f>WorldCupMatches!P608</f>
        <v>Costa Rica</v>
      </c>
      <c r="C608" s="1">
        <f>WorldCupMatches!Q608</f>
        <v>1</v>
      </c>
      <c r="D608" s="1">
        <f>WorldCupMatches!R608</f>
        <v>1</v>
      </c>
      <c r="E608" s="1" t="str">
        <f>WorldCupMatches!S608</f>
        <v>Turkey</v>
      </c>
      <c r="F608" s="1" t="str">
        <f>WorldCupMatches!T608</f>
        <v xml:space="preserve"> </v>
      </c>
      <c r="G608" s="1" t="str">
        <f>WorldCupMatches!U608</f>
        <v>Group stages</v>
      </c>
      <c r="J608" s="1">
        <f>COUNTIF($L$2:L608,L608)</f>
        <v>2</v>
      </c>
      <c r="K608" s="1">
        <f>Table3[[#This Row],[Year]]</f>
        <v>2002</v>
      </c>
      <c r="L608" s="1" t="str">
        <f>Table3[[#This Row],[Hometeam]]</f>
        <v>Costa Rica</v>
      </c>
      <c r="M608" s="1" t="str">
        <f>IF(J608=1,J608+ROWS($J$2:J608)/10000,"")</f>
        <v/>
      </c>
      <c r="N608" s="1" t="str">
        <f>IFERROR(SMALL($M$2:$M$1705,ROWS($M$2:M608)),"")</f>
        <v/>
      </c>
      <c r="O608" s="1" t="str">
        <f>IF(N608&lt;&gt;"",INDEX($L$2:$L$1705,MATCH(N608,$M$2:$M$1705,0)),"")</f>
        <v/>
      </c>
      <c r="P608" s="1" t="str">
        <f>IF(O608&lt;&gt;"",ROWS($O$2:O608),"")</f>
        <v/>
      </c>
    </row>
    <row r="609" spans="1:16" x14ac:dyDescent="0.2">
      <c r="A609" s="1">
        <f>WorldCupMatches!O609</f>
        <v>2002</v>
      </c>
      <c r="B609" s="1" t="str">
        <f>WorldCupMatches!P609</f>
        <v>Japan</v>
      </c>
      <c r="C609" s="1">
        <f>WorldCupMatches!Q609</f>
        <v>1</v>
      </c>
      <c r="D609" s="1">
        <f>WorldCupMatches!R609</f>
        <v>0</v>
      </c>
      <c r="E609" s="1" t="str">
        <f>WorldCupMatches!S609</f>
        <v>Russia</v>
      </c>
      <c r="F609" s="1" t="str">
        <f>WorldCupMatches!T609</f>
        <v xml:space="preserve"> </v>
      </c>
      <c r="G609" s="1" t="str">
        <f>WorldCupMatches!U609</f>
        <v>Group stages</v>
      </c>
      <c r="J609" s="1">
        <f>COUNTIF($L$2:L609,L609)</f>
        <v>4</v>
      </c>
      <c r="K609" s="1">
        <f>Table3[[#This Row],[Year]]</f>
        <v>2002</v>
      </c>
      <c r="L609" s="1" t="str">
        <f>Table3[[#This Row],[Hometeam]]</f>
        <v>Japan</v>
      </c>
      <c r="M609" s="1" t="str">
        <f>IF(J609=1,J609+ROWS($J$2:J609)/10000,"")</f>
        <v/>
      </c>
      <c r="N609" s="1" t="str">
        <f>IFERROR(SMALL($M$2:$M$1705,ROWS($M$2:M609)),"")</f>
        <v/>
      </c>
      <c r="O609" s="1" t="str">
        <f>IF(N609&lt;&gt;"",INDEX($L$2:$L$1705,MATCH(N609,$M$2:$M$1705,0)),"")</f>
        <v/>
      </c>
      <c r="P609" s="1" t="str">
        <f>IF(O609&lt;&gt;"",ROWS($O$2:O609),"")</f>
        <v/>
      </c>
    </row>
    <row r="610" spans="1:16" x14ac:dyDescent="0.2">
      <c r="A610" s="1">
        <f>WorldCupMatches!O610</f>
        <v>2002</v>
      </c>
      <c r="B610" s="1" t="str">
        <f>WorldCupMatches!P610</f>
        <v>Mexico</v>
      </c>
      <c r="C610" s="1">
        <f>WorldCupMatches!Q610</f>
        <v>2</v>
      </c>
      <c r="D610" s="1">
        <f>WorldCupMatches!R610</f>
        <v>1</v>
      </c>
      <c r="E610" s="1" t="str">
        <f>WorldCupMatches!S610</f>
        <v>Ecuador</v>
      </c>
      <c r="F610" s="1" t="str">
        <f>WorldCupMatches!T610</f>
        <v xml:space="preserve"> </v>
      </c>
      <c r="G610" s="1" t="str">
        <f>WorldCupMatches!U610</f>
        <v>Group stages</v>
      </c>
      <c r="J610" s="1">
        <f>COUNTIF($L$2:L610,L610)</f>
        <v>10</v>
      </c>
      <c r="K610" s="1">
        <f>Table3[[#This Row],[Year]]</f>
        <v>2002</v>
      </c>
      <c r="L610" s="1" t="str">
        <f>Table3[[#This Row],[Hometeam]]</f>
        <v>Mexico</v>
      </c>
      <c r="M610" s="1" t="str">
        <f>IF(J610=1,J610+ROWS($J$2:J610)/10000,"")</f>
        <v/>
      </c>
      <c r="N610" s="1" t="str">
        <f>IFERROR(SMALL($M$2:$M$1705,ROWS($M$2:M610)),"")</f>
        <v/>
      </c>
      <c r="O610" s="1" t="str">
        <f>IF(N610&lt;&gt;"",INDEX($L$2:$L$1705,MATCH(N610,$M$2:$M$1705,0)),"")</f>
        <v/>
      </c>
      <c r="P610" s="1" t="str">
        <f>IF(O610&lt;&gt;"",ROWS($O$2:O610),"")</f>
        <v/>
      </c>
    </row>
    <row r="611" spans="1:16" x14ac:dyDescent="0.2">
      <c r="A611" s="1">
        <f>WorldCupMatches!O611</f>
        <v>2002</v>
      </c>
      <c r="B611" s="1" t="str">
        <f>WorldCupMatches!P611</f>
        <v>Korea Republic</v>
      </c>
      <c r="C611" s="1">
        <f>WorldCupMatches!Q611</f>
        <v>1</v>
      </c>
      <c r="D611" s="1">
        <f>WorldCupMatches!R611</f>
        <v>1</v>
      </c>
      <c r="E611" s="1" t="str">
        <f>WorldCupMatches!S611</f>
        <v>USA</v>
      </c>
      <c r="F611" s="1" t="str">
        <f>WorldCupMatches!T611</f>
        <v xml:space="preserve"> </v>
      </c>
      <c r="G611" s="1" t="str">
        <f>WorldCupMatches!U611</f>
        <v>Group stages</v>
      </c>
      <c r="J611" s="1">
        <f>COUNTIF($L$2:L611,L611)</f>
        <v>8</v>
      </c>
      <c r="K611" s="1">
        <f>Table3[[#This Row],[Year]]</f>
        <v>2002</v>
      </c>
      <c r="L611" s="1" t="str">
        <f>Table3[[#This Row],[Hometeam]]</f>
        <v>Korea Republic</v>
      </c>
      <c r="M611" s="1" t="str">
        <f>IF(J611=1,J611+ROWS($J$2:J611)/10000,"")</f>
        <v/>
      </c>
      <c r="N611" s="1" t="str">
        <f>IFERROR(SMALL($M$2:$M$1705,ROWS($M$2:M611)),"")</f>
        <v/>
      </c>
      <c r="O611" s="1" t="str">
        <f>IF(N611&lt;&gt;"",INDEX($L$2:$L$1705,MATCH(N611,$M$2:$M$1705,0)),"")</f>
        <v/>
      </c>
      <c r="P611" s="1" t="str">
        <f>IF(O611&lt;&gt;"",ROWS($O$2:O611),"")</f>
        <v/>
      </c>
    </row>
    <row r="612" spans="1:16" x14ac:dyDescent="0.2">
      <c r="A612" s="1">
        <f>WorldCupMatches!O612</f>
        <v>2002</v>
      </c>
      <c r="B612" s="1" t="str">
        <f>WorldCupMatches!P612</f>
        <v>Portugal</v>
      </c>
      <c r="C612" s="1">
        <f>WorldCupMatches!Q612</f>
        <v>4</v>
      </c>
      <c r="D612" s="1">
        <f>WorldCupMatches!R612</f>
        <v>0</v>
      </c>
      <c r="E612" s="1" t="str">
        <f>WorldCupMatches!S612</f>
        <v>Poland</v>
      </c>
      <c r="F612" s="1" t="str">
        <f>WorldCupMatches!T612</f>
        <v xml:space="preserve"> </v>
      </c>
      <c r="G612" s="1" t="str">
        <f>WorldCupMatches!U612</f>
        <v>Group stages</v>
      </c>
      <c r="J612" s="1">
        <f>COUNTIF($L$2:L612,L612)</f>
        <v>8</v>
      </c>
      <c r="K612" s="1">
        <f>Table3[[#This Row],[Year]]</f>
        <v>2002</v>
      </c>
      <c r="L612" s="1" t="str">
        <f>Table3[[#This Row],[Hometeam]]</f>
        <v>Portugal</v>
      </c>
      <c r="M612" s="1" t="str">
        <f>IF(J612=1,J612+ROWS($J$2:J612)/10000,"")</f>
        <v/>
      </c>
      <c r="N612" s="1" t="str">
        <f>IFERROR(SMALL($M$2:$M$1705,ROWS($M$2:M612)),"")</f>
        <v/>
      </c>
      <c r="O612" s="1" t="str">
        <f>IF(N612&lt;&gt;"",INDEX($L$2:$L$1705,MATCH(N612,$M$2:$M$1705,0)),"")</f>
        <v/>
      </c>
      <c r="P612" s="1" t="str">
        <f>IF(O612&lt;&gt;"",ROWS($O$2:O612),"")</f>
        <v/>
      </c>
    </row>
    <row r="613" spans="1:16" x14ac:dyDescent="0.2">
      <c r="A613" s="1">
        <f>WorldCupMatches!O613</f>
        <v>2002</v>
      </c>
      <c r="B613" s="1" t="str">
        <f>WorldCupMatches!P613</f>
        <v>Tunisia</v>
      </c>
      <c r="C613" s="1">
        <f>WorldCupMatches!Q613</f>
        <v>1</v>
      </c>
      <c r="D613" s="1">
        <f>WorldCupMatches!R613</f>
        <v>1</v>
      </c>
      <c r="E613" s="1" t="str">
        <f>WorldCupMatches!S613</f>
        <v>Belgium</v>
      </c>
      <c r="F613" s="1" t="str">
        <f>WorldCupMatches!T613</f>
        <v xml:space="preserve"> </v>
      </c>
      <c r="G613" s="1" t="str">
        <f>WorldCupMatches!U613</f>
        <v>Group stages</v>
      </c>
      <c r="J613" s="1">
        <f>COUNTIF($L$2:L613,L613)</f>
        <v>2</v>
      </c>
      <c r="K613" s="1">
        <f>Table3[[#This Row],[Year]]</f>
        <v>2002</v>
      </c>
      <c r="L613" s="1" t="str">
        <f>Table3[[#This Row],[Hometeam]]</f>
        <v>Tunisia</v>
      </c>
      <c r="M613" s="1" t="str">
        <f>IF(J613=1,J613+ROWS($J$2:J613)/10000,"")</f>
        <v/>
      </c>
      <c r="N613" s="1" t="str">
        <f>IFERROR(SMALL($M$2:$M$1705,ROWS($M$2:M613)),"")</f>
        <v/>
      </c>
      <c r="O613" s="1" t="str">
        <f>IF(N613&lt;&gt;"",INDEX($L$2:$L$1705,MATCH(N613,$M$2:$M$1705,0)),"")</f>
        <v/>
      </c>
      <c r="P613" s="1" t="str">
        <f>IF(O613&lt;&gt;"",ROWS($O$2:O613),"")</f>
        <v/>
      </c>
    </row>
    <row r="614" spans="1:16" x14ac:dyDescent="0.2">
      <c r="A614" s="1">
        <f>WorldCupMatches!O614</f>
        <v>2002</v>
      </c>
      <c r="B614" s="1" t="str">
        <f>WorldCupMatches!P614</f>
        <v>Denmark</v>
      </c>
      <c r="C614" s="1">
        <f>WorldCupMatches!Q614</f>
        <v>2</v>
      </c>
      <c r="D614" s="1">
        <f>WorldCupMatches!R614</f>
        <v>0</v>
      </c>
      <c r="E614" s="1" t="str">
        <f>WorldCupMatches!S614</f>
        <v>France</v>
      </c>
      <c r="F614" s="1" t="str">
        <f>WorldCupMatches!T614</f>
        <v xml:space="preserve"> </v>
      </c>
      <c r="G614" s="1" t="str">
        <f>WorldCupMatches!U614</f>
        <v>Group stages</v>
      </c>
      <c r="J614" s="1">
        <f>COUNTIF($L$2:L614,L614)</f>
        <v>5</v>
      </c>
      <c r="K614" s="1">
        <f>Table3[[#This Row],[Year]]</f>
        <v>2002</v>
      </c>
      <c r="L614" s="1" t="str">
        <f>Table3[[#This Row],[Hometeam]]</f>
        <v>Denmark</v>
      </c>
      <c r="M614" s="1" t="str">
        <f>IF(J614=1,J614+ROWS($J$2:J614)/10000,"")</f>
        <v/>
      </c>
      <c r="N614" s="1" t="str">
        <f>IFERROR(SMALL($M$2:$M$1705,ROWS($M$2:M614)),"")</f>
        <v/>
      </c>
      <c r="O614" s="1" t="str">
        <f>IF(N614&lt;&gt;"",INDEX($L$2:$L$1705,MATCH(N614,$M$2:$M$1705,0)),"")</f>
        <v/>
      </c>
      <c r="P614" s="1" t="str">
        <f>IF(O614&lt;&gt;"",ROWS($O$2:O614),"")</f>
        <v/>
      </c>
    </row>
    <row r="615" spans="1:16" x14ac:dyDescent="0.2">
      <c r="A615" s="1">
        <f>WorldCupMatches!O615</f>
        <v>2002</v>
      </c>
      <c r="B615" s="1" t="str">
        <f>WorldCupMatches!P615</f>
        <v>Senegal</v>
      </c>
      <c r="C615" s="1">
        <f>WorldCupMatches!Q615</f>
        <v>3</v>
      </c>
      <c r="D615" s="1">
        <f>WorldCupMatches!R615</f>
        <v>3</v>
      </c>
      <c r="E615" s="1" t="str">
        <f>WorldCupMatches!S615</f>
        <v>Uruguay</v>
      </c>
      <c r="F615" s="1" t="str">
        <f>WorldCupMatches!T615</f>
        <v xml:space="preserve"> </v>
      </c>
      <c r="G615" s="1" t="str">
        <f>WorldCupMatches!U615</f>
        <v>Group stages</v>
      </c>
      <c r="J615" s="1">
        <f>COUNTIF($L$2:L615,L615)</f>
        <v>1</v>
      </c>
      <c r="K615" s="1">
        <f>Table3[[#This Row],[Year]]</f>
        <v>2002</v>
      </c>
      <c r="L615" s="1" t="str">
        <f>Table3[[#This Row],[Hometeam]]</f>
        <v>Senegal</v>
      </c>
      <c r="M615" s="1">
        <f>IF(J615=1,J615+ROWS($J$2:J615)/10000,"")</f>
        <v>1.0613999999999999</v>
      </c>
      <c r="N615" s="1" t="str">
        <f>IFERROR(SMALL($M$2:$M$1705,ROWS($M$2:M615)),"")</f>
        <v/>
      </c>
      <c r="O615" s="1" t="str">
        <f>IF(N615&lt;&gt;"",INDEX($L$2:$L$1705,MATCH(N615,$M$2:$M$1705,0)),"")</f>
        <v/>
      </c>
      <c r="P615" s="1" t="str">
        <f>IF(O615&lt;&gt;"",ROWS($O$2:O615),"")</f>
        <v/>
      </c>
    </row>
    <row r="616" spans="1:16" x14ac:dyDescent="0.2">
      <c r="A616" s="1">
        <f>WorldCupMatches!O616</f>
        <v>2002</v>
      </c>
      <c r="B616" s="1" t="str">
        <f>WorldCupMatches!P616</f>
        <v>Saudi Arabia</v>
      </c>
      <c r="C616" s="1">
        <f>WorldCupMatches!Q616</f>
        <v>0</v>
      </c>
      <c r="D616" s="1">
        <f>WorldCupMatches!R616</f>
        <v>3</v>
      </c>
      <c r="E616" s="1" t="str">
        <f>WorldCupMatches!S616</f>
        <v>Republic of Ireland</v>
      </c>
      <c r="F616" s="1" t="str">
        <f>WorldCupMatches!T616</f>
        <v xml:space="preserve"> </v>
      </c>
      <c r="G616" s="1" t="str">
        <f>WorldCupMatches!U616</f>
        <v>Group stages</v>
      </c>
      <c r="J616" s="1">
        <f>COUNTIF($L$2:L616,L616)</f>
        <v>4</v>
      </c>
      <c r="K616" s="1">
        <f>Table3[[#This Row],[Year]]</f>
        <v>2002</v>
      </c>
      <c r="L616" s="1" t="str">
        <f>Table3[[#This Row],[Hometeam]]</f>
        <v>Saudi Arabia</v>
      </c>
      <c r="M616" s="1" t="str">
        <f>IF(J616=1,J616+ROWS($J$2:J616)/10000,"")</f>
        <v/>
      </c>
      <c r="N616" s="1" t="str">
        <f>IFERROR(SMALL($M$2:$M$1705,ROWS($M$2:M616)),"")</f>
        <v/>
      </c>
      <c r="O616" s="1" t="str">
        <f>IF(N616&lt;&gt;"",INDEX($L$2:$L$1705,MATCH(N616,$M$2:$M$1705,0)),"")</f>
        <v/>
      </c>
      <c r="P616" s="1" t="str">
        <f>IF(O616&lt;&gt;"",ROWS($O$2:O616),"")</f>
        <v/>
      </c>
    </row>
    <row r="617" spans="1:16" x14ac:dyDescent="0.2">
      <c r="A617" s="1">
        <f>WorldCupMatches!O617</f>
        <v>2002</v>
      </c>
      <c r="B617" s="1" t="str">
        <f>WorldCupMatches!P617</f>
        <v>Cameroon</v>
      </c>
      <c r="C617" s="1">
        <f>WorldCupMatches!Q617</f>
        <v>0</v>
      </c>
      <c r="D617" s="1">
        <f>WorldCupMatches!R617</f>
        <v>2</v>
      </c>
      <c r="E617" s="1" t="str">
        <f>WorldCupMatches!S617</f>
        <v>Germany</v>
      </c>
      <c r="F617" s="1" t="str">
        <f>WorldCupMatches!T617</f>
        <v xml:space="preserve"> </v>
      </c>
      <c r="G617" s="1" t="str">
        <f>WorldCupMatches!U617</f>
        <v>Group stages</v>
      </c>
      <c r="J617" s="1">
        <f>COUNTIF($L$2:L617,L617)</f>
        <v>7</v>
      </c>
      <c r="K617" s="1">
        <f>Table3[[#This Row],[Year]]</f>
        <v>2002</v>
      </c>
      <c r="L617" s="1" t="str">
        <f>Table3[[#This Row],[Hometeam]]</f>
        <v>Cameroon</v>
      </c>
      <c r="M617" s="1" t="str">
        <f>IF(J617=1,J617+ROWS($J$2:J617)/10000,"")</f>
        <v/>
      </c>
      <c r="N617" s="1" t="str">
        <f>IFERROR(SMALL($M$2:$M$1705,ROWS($M$2:M617)),"")</f>
        <v/>
      </c>
      <c r="O617" s="1" t="str">
        <f>IF(N617&lt;&gt;"",INDEX($L$2:$L$1705,MATCH(N617,$M$2:$M$1705,0)),"")</f>
        <v/>
      </c>
      <c r="P617" s="1" t="str">
        <f>IF(O617&lt;&gt;"",ROWS($O$2:O617),"")</f>
        <v/>
      </c>
    </row>
    <row r="618" spans="1:16" x14ac:dyDescent="0.2">
      <c r="A618" s="1">
        <f>WorldCupMatches!O618</f>
        <v>2002</v>
      </c>
      <c r="B618" s="1" t="str">
        <f>WorldCupMatches!P618</f>
        <v>Sweden</v>
      </c>
      <c r="C618" s="1">
        <f>WorldCupMatches!Q618</f>
        <v>1</v>
      </c>
      <c r="D618" s="1">
        <f>WorldCupMatches!R618</f>
        <v>1</v>
      </c>
      <c r="E618" s="1" t="str">
        <f>WorldCupMatches!S618</f>
        <v>Argentina</v>
      </c>
      <c r="F618" s="1" t="str">
        <f>WorldCupMatches!T618</f>
        <v xml:space="preserve"> </v>
      </c>
      <c r="G618" s="1" t="str">
        <f>WorldCupMatches!U618</f>
        <v>Group stages</v>
      </c>
      <c r="J618" s="1">
        <f>COUNTIF($L$2:L618,L618)</f>
        <v>24</v>
      </c>
      <c r="K618" s="1">
        <f>Table3[[#This Row],[Year]]</f>
        <v>2002</v>
      </c>
      <c r="L618" s="1" t="str">
        <f>Table3[[#This Row],[Hometeam]]</f>
        <v>Sweden</v>
      </c>
      <c r="M618" s="1" t="str">
        <f>IF(J618=1,J618+ROWS($J$2:J618)/10000,"")</f>
        <v/>
      </c>
      <c r="N618" s="1" t="str">
        <f>IFERROR(SMALL($M$2:$M$1705,ROWS($M$2:M618)),"")</f>
        <v/>
      </c>
      <c r="O618" s="1" t="str">
        <f>IF(N618&lt;&gt;"",INDEX($L$2:$L$1705,MATCH(N618,$M$2:$M$1705,0)),"")</f>
        <v/>
      </c>
      <c r="P618" s="1" t="str">
        <f>IF(O618&lt;&gt;"",ROWS($O$2:O618),"")</f>
        <v/>
      </c>
    </row>
    <row r="619" spans="1:16" x14ac:dyDescent="0.2">
      <c r="A619" s="1">
        <f>WorldCupMatches!O619</f>
        <v>2002</v>
      </c>
      <c r="B619" s="1" t="str">
        <f>WorldCupMatches!P619</f>
        <v>Nigeria</v>
      </c>
      <c r="C619" s="1">
        <f>WorldCupMatches!Q619</f>
        <v>0</v>
      </c>
      <c r="D619" s="1">
        <f>WorldCupMatches!R619</f>
        <v>0</v>
      </c>
      <c r="E619" s="1" t="str">
        <f>WorldCupMatches!S619</f>
        <v>England</v>
      </c>
      <c r="F619" s="1" t="str">
        <f>WorldCupMatches!T619</f>
        <v xml:space="preserve"> </v>
      </c>
      <c r="G619" s="1" t="str">
        <f>WorldCupMatches!U619</f>
        <v>Group stages</v>
      </c>
      <c r="J619" s="1">
        <f>COUNTIF($L$2:L619,L619)</f>
        <v>6</v>
      </c>
      <c r="K619" s="1">
        <f>Table3[[#This Row],[Year]]</f>
        <v>2002</v>
      </c>
      <c r="L619" s="1" t="str">
        <f>Table3[[#This Row],[Hometeam]]</f>
        <v>Nigeria</v>
      </c>
      <c r="M619" s="1" t="str">
        <f>IF(J619=1,J619+ROWS($J$2:J619)/10000,"")</f>
        <v/>
      </c>
      <c r="N619" s="1" t="str">
        <f>IFERROR(SMALL($M$2:$M$1705,ROWS($M$2:M619)),"")</f>
        <v/>
      </c>
      <c r="O619" s="1" t="str">
        <f>IF(N619&lt;&gt;"",INDEX($L$2:$L$1705,MATCH(N619,$M$2:$M$1705,0)),"")</f>
        <v/>
      </c>
      <c r="P619" s="1" t="str">
        <f>IF(O619&lt;&gt;"",ROWS($O$2:O619),"")</f>
        <v/>
      </c>
    </row>
    <row r="620" spans="1:16" x14ac:dyDescent="0.2">
      <c r="A620" s="1">
        <f>WorldCupMatches!O620</f>
        <v>2002</v>
      </c>
      <c r="B620" s="1" t="str">
        <f>WorldCupMatches!P620</f>
        <v>Slovenia</v>
      </c>
      <c r="C620" s="1">
        <f>WorldCupMatches!Q620</f>
        <v>1</v>
      </c>
      <c r="D620" s="1">
        <f>WorldCupMatches!R620</f>
        <v>3</v>
      </c>
      <c r="E620" s="1" t="str">
        <f>WorldCupMatches!S620</f>
        <v>Paraguay</v>
      </c>
      <c r="F620" s="1" t="str">
        <f>WorldCupMatches!T620</f>
        <v xml:space="preserve"> </v>
      </c>
      <c r="G620" s="1" t="str">
        <f>WorldCupMatches!U620</f>
        <v>Group stages</v>
      </c>
      <c r="J620" s="1">
        <f>COUNTIF($L$2:L620,L620)</f>
        <v>1</v>
      </c>
      <c r="K620" s="1">
        <f>Table3[[#This Row],[Year]]</f>
        <v>2002</v>
      </c>
      <c r="L620" s="1" t="str">
        <f>Table3[[#This Row],[Hometeam]]</f>
        <v>Slovenia</v>
      </c>
      <c r="M620" s="1">
        <f>IF(J620=1,J620+ROWS($J$2:J620)/10000,"")</f>
        <v>1.0619000000000001</v>
      </c>
      <c r="N620" s="1" t="str">
        <f>IFERROR(SMALL($M$2:$M$1705,ROWS($M$2:M620)),"")</f>
        <v/>
      </c>
      <c r="O620" s="1" t="str">
        <f>IF(N620&lt;&gt;"",INDEX($L$2:$L$1705,MATCH(N620,$M$2:$M$1705,0)),"")</f>
        <v/>
      </c>
      <c r="P620" s="1" t="str">
        <f>IF(O620&lt;&gt;"",ROWS($O$2:O620),"")</f>
        <v/>
      </c>
    </row>
    <row r="621" spans="1:16" x14ac:dyDescent="0.2">
      <c r="A621" s="1">
        <f>WorldCupMatches!O621</f>
        <v>2002</v>
      </c>
      <c r="B621" s="1" t="str">
        <f>WorldCupMatches!P621</f>
        <v>South Africa</v>
      </c>
      <c r="C621" s="1">
        <f>WorldCupMatches!Q621</f>
        <v>2</v>
      </c>
      <c r="D621" s="1">
        <f>WorldCupMatches!R621</f>
        <v>3</v>
      </c>
      <c r="E621" s="1" t="str">
        <f>WorldCupMatches!S621</f>
        <v>Spain</v>
      </c>
      <c r="F621" s="1" t="str">
        <f>WorldCupMatches!T621</f>
        <v xml:space="preserve"> </v>
      </c>
      <c r="G621" s="1" t="str">
        <f>WorldCupMatches!U621</f>
        <v>Group stages</v>
      </c>
      <c r="J621" s="1">
        <f>COUNTIF($L$2:L621,L621)</f>
        <v>4</v>
      </c>
      <c r="K621" s="1">
        <f>Table3[[#This Row],[Year]]</f>
        <v>2002</v>
      </c>
      <c r="L621" s="1" t="str">
        <f>Table3[[#This Row],[Hometeam]]</f>
        <v>South Africa</v>
      </c>
      <c r="M621" s="1" t="str">
        <f>IF(J621=1,J621+ROWS($J$2:J621)/10000,"")</f>
        <v/>
      </c>
      <c r="N621" s="1" t="str">
        <f>IFERROR(SMALL($M$2:$M$1705,ROWS($M$2:M621)),"")</f>
        <v/>
      </c>
      <c r="O621" s="1" t="str">
        <f>IF(N621&lt;&gt;"",INDEX($L$2:$L$1705,MATCH(N621,$M$2:$M$1705,0)),"")</f>
        <v/>
      </c>
      <c r="P621" s="1" t="str">
        <f>IF(O621&lt;&gt;"",ROWS($O$2:O621),"")</f>
        <v/>
      </c>
    </row>
    <row r="622" spans="1:16" x14ac:dyDescent="0.2">
      <c r="A622" s="1">
        <f>WorldCupMatches!O622</f>
        <v>2002</v>
      </c>
      <c r="B622" s="1" t="str">
        <f>WorldCupMatches!P622</f>
        <v>Costa Rica</v>
      </c>
      <c r="C622" s="1">
        <f>WorldCupMatches!Q622</f>
        <v>2</v>
      </c>
      <c r="D622" s="1">
        <f>WorldCupMatches!R622</f>
        <v>5</v>
      </c>
      <c r="E622" s="1" t="str">
        <f>WorldCupMatches!S622</f>
        <v>Brazil</v>
      </c>
      <c r="F622" s="1" t="str">
        <f>WorldCupMatches!T622</f>
        <v xml:space="preserve"> </v>
      </c>
      <c r="G622" s="1" t="str">
        <f>WorldCupMatches!U622</f>
        <v>Group stages</v>
      </c>
      <c r="J622" s="1">
        <f>COUNTIF($L$2:L622,L622)</f>
        <v>3</v>
      </c>
      <c r="K622" s="1">
        <f>Table3[[#This Row],[Year]]</f>
        <v>2002</v>
      </c>
      <c r="L622" s="1" t="str">
        <f>Table3[[#This Row],[Hometeam]]</f>
        <v>Costa Rica</v>
      </c>
      <c r="M622" s="1" t="str">
        <f>IF(J622=1,J622+ROWS($J$2:J622)/10000,"")</f>
        <v/>
      </c>
      <c r="N622" s="1" t="str">
        <f>IFERROR(SMALL($M$2:$M$1705,ROWS($M$2:M622)),"")</f>
        <v/>
      </c>
      <c r="O622" s="1" t="str">
        <f>IF(N622&lt;&gt;"",INDEX($L$2:$L$1705,MATCH(N622,$M$2:$M$1705,0)),"")</f>
        <v/>
      </c>
      <c r="P622" s="1" t="str">
        <f>IF(O622&lt;&gt;"",ROWS($O$2:O622),"")</f>
        <v/>
      </c>
    </row>
    <row r="623" spans="1:16" x14ac:dyDescent="0.2">
      <c r="A623" s="1">
        <f>WorldCupMatches!O623</f>
        <v>2002</v>
      </c>
      <c r="B623" s="1" t="str">
        <f>WorldCupMatches!P623</f>
        <v>Turkey</v>
      </c>
      <c r="C623" s="1">
        <f>WorldCupMatches!Q623</f>
        <v>3</v>
      </c>
      <c r="D623" s="1">
        <f>WorldCupMatches!R623</f>
        <v>0</v>
      </c>
      <c r="E623" s="1" t="str">
        <f>WorldCupMatches!S623</f>
        <v>China PR</v>
      </c>
      <c r="F623" s="1" t="str">
        <f>WorldCupMatches!T623</f>
        <v xml:space="preserve"> </v>
      </c>
      <c r="G623" s="1" t="str">
        <f>WorldCupMatches!U623</f>
        <v>Group stages</v>
      </c>
      <c r="J623" s="1">
        <f>COUNTIF($L$2:L623,L623)</f>
        <v>2</v>
      </c>
      <c r="K623" s="1">
        <f>Table3[[#This Row],[Year]]</f>
        <v>2002</v>
      </c>
      <c r="L623" s="1" t="str">
        <f>Table3[[#This Row],[Hometeam]]</f>
        <v>Turkey</v>
      </c>
      <c r="M623" s="1" t="str">
        <f>IF(J623=1,J623+ROWS($J$2:J623)/10000,"")</f>
        <v/>
      </c>
      <c r="N623" s="1" t="str">
        <f>IFERROR(SMALL($M$2:$M$1705,ROWS($M$2:M623)),"")</f>
        <v/>
      </c>
      <c r="O623" s="1" t="str">
        <f>IF(N623&lt;&gt;"",INDEX($L$2:$L$1705,MATCH(N623,$M$2:$M$1705,0)),"")</f>
        <v/>
      </c>
      <c r="P623" s="1" t="str">
        <f>IF(O623&lt;&gt;"",ROWS($O$2:O623),"")</f>
        <v/>
      </c>
    </row>
    <row r="624" spans="1:16" x14ac:dyDescent="0.2">
      <c r="A624" s="1">
        <f>WorldCupMatches!O624</f>
        <v>2002</v>
      </c>
      <c r="B624" s="1" t="str">
        <f>WorldCupMatches!P624</f>
        <v>Ecuador</v>
      </c>
      <c r="C624" s="1">
        <f>WorldCupMatches!Q624</f>
        <v>1</v>
      </c>
      <c r="D624" s="1">
        <f>WorldCupMatches!R624</f>
        <v>0</v>
      </c>
      <c r="E624" s="1" t="str">
        <f>WorldCupMatches!S624</f>
        <v>Croatia</v>
      </c>
      <c r="F624" s="1" t="str">
        <f>WorldCupMatches!T624</f>
        <v xml:space="preserve"> </v>
      </c>
      <c r="G624" s="1" t="str">
        <f>WorldCupMatches!U624</f>
        <v>Group stages</v>
      </c>
      <c r="J624" s="1">
        <f>COUNTIF($L$2:L624,L624)</f>
        <v>1</v>
      </c>
      <c r="K624" s="1">
        <f>Table3[[#This Row],[Year]]</f>
        <v>2002</v>
      </c>
      <c r="L624" s="1" t="str">
        <f>Table3[[#This Row],[Hometeam]]</f>
        <v>Ecuador</v>
      </c>
      <c r="M624" s="1">
        <f>IF(J624=1,J624+ROWS($J$2:J624)/10000,"")</f>
        <v>1.0623</v>
      </c>
      <c r="N624" s="1" t="str">
        <f>IFERROR(SMALL($M$2:$M$1705,ROWS($M$2:M624)),"")</f>
        <v/>
      </c>
      <c r="O624" s="1" t="str">
        <f>IF(N624&lt;&gt;"",INDEX($L$2:$L$1705,MATCH(N624,$M$2:$M$1705,0)),"")</f>
        <v/>
      </c>
      <c r="P624" s="1" t="str">
        <f>IF(O624&lt;&gt;"",ROWS($O$2:O624),"")</f>
        <v/>
      </c>
    </row>
    <row r="625" spans="1:16" x14ac:dyDescent="0.2">
      <c r="A625" s="1">
        <f>WorldCupMatches!O625</f>
        <v>2002</v>
      </c>
      <c r="B625" s="1" t="str">
        <f>WorldCupMatches!P625</f>
        <v>Mexico</v>
      </c>
      <c r="C625" s="1">
        <f>WorldCupMatches!Q625</f>
        <v>1</v>
      </c>
      <c r="D625" s="1">
        <f>WorldCupMatches!R625</f>
        <v>1</v>
      </c>
      <c r="E625" s="1" t="str">
        <f>WorldCupMatches!S625</f>
        <v>Italy</v>
      </c>
      <c r="F625" s="1" t="str">
        <f>WorldCupMatches!T625</f>
        <v xml:space="preserve"> </v>
      </c>
      <c r="G625" s="1" t="str">
        <f>WorldCupMatches!U625</f>
        <v>Group stages</v>
      </c>
      <c r="J625" s="1">
        <f>COUNTIF($L$2:L625,L625)</f>
        <v>11</v>
      </c>
      <c r="K625" s="1">
        <f>Table3[[#This Row],[Year]]</f>
        <v>2002</v>
      </c>
      <c r="L625" s="1" t="str">
        <f>Table3[[#This Row],[Hometeam]]</f>
        <v>Mexico</v>
      </c>
      <c r="M625" s="1" t="str">
        <f>IF(J625=1,J625+ROWS($J$2:J625)/10000,"")</f>
        <v/>
      </c>
      <c r="N625" s="1" t="str">
        <f>IFERROR(SMALL($M$2:$M$1705,ROWS($M$2:M625)),"")</f>
        <v/>
      </c>
      <c r="O625" s="1" t="str">
        <f>IF(N625&lt;&gt;"",INDEX($L$2:$L$1705,MATCH(N625,$M$2:$M$1705,0)),"")</f>
        <v/>
      </c>
      <c r="P625" s="1" t="str">
        <f>IF(O625&lt;&gt;"",ROWS($O$2:O625),"")</f>
        <v/>
      </c>
    </row>
    <row r="626" spans="1:16" x14ac:dyDescent="0.2">
      <c r="A626" s="1">
        <f>WorldCupMatches!O626</f>
        <v>2002</v>
      </c>
      <c r="B626" s="1" t="str">
        <f>WorldCupMatches!P626</f>
        <v>Tunisia</v>
      </c>
      <c r="C626" s="1">
        <f>WorldCupMatches!Q626</f>
        <v>0</v>
      </c>
      <c r="D626" s="1">
        <f>WorldCupMatches!R626</f>
        <v>2</v>
      </c>
      <c r="E626" s="1" t="str">
        <f>WorldCupMatches!S626</f>
        <v>Japan</v>
      </c>
      <c r="F626" s="1" t="str">
        <f>WorldCupMatches!T626</f>
        <v xml:space="preserve"> </v>
      </c>
      <c r="G626" s="1" t="str">
        <f>WorldCupMatches!U626</f>
        <v>Group stages</v>
      </c>
      <c r="J626" s="1">
        <f>COUNTIF($L$2:L626,L626)</f>
        <v>3</v>
      </c>
      <c r="K626" s="1">
        <f>Table3[[#This Row],[Year]]</f>
        <v>2002</v>
      </c>
      <c r="L626" s="1" t="str">
        <f>Table3[[#This Row],[Hometeam]]</f>
        <v>Tunisia</v>
      </c>
      <c r="M626" s="1" t="str">
        <f>IF(J626=1,J626+ROWS($J$2:J626)/10000,"")</f>
        <v/>
      </c>
      <c r="N626" s="1" t="str">
        <f>IFERROR(SMALL($M$2:$M$1705,ROWS($M$2:M626)),"")</f>
        <v/>
      </c>
      <c r="O626" s="1" t="str">
        <f>IF(N626&lt;&gt;"",INDEX($L$2:$L$1705,MATCH(N626,$M$2:$M$1705,0)),"")</f>
        <v/>
      </c>
      <c r="P626" s="1" t="str">
        <f>IF(O626&lt;&gt;"",ROWS($O$2:O626),"")</f>
        <v/>
      </c>
    </row>
    <row r="627" spans="1:16" x14ac:dyDescent="0.2">
      <c r="A627" s="1">
        <f>WorldCupMatches!O627</f>
        <v>2002</v>
      </c>
      <c r="B627" s="1" t="str">
        <f>WorldCupMatches!P627</f>
        <v>Portugal</v>
      </c>
      <c r="C627" s="1">
        <f>WorldCupMatches!Q627</f>
        <v>0</v>
      </c>
      <c r="D627" s="1">
        <f>WorldCupMatches!R627</f>
        <v>1</v>
      </c>
      <c r="E627" s="1" t="str">
        <f>WorldCupMatches!S627</f>
        <v>Korea Republic</v>
      </c>
      <c r="F627" s="1" t="str">
        <f>WorldCupMatches!T627</f>
        <v xml:space="preserve"> </v>
      </c>
      <c r="G627" s="1" t="str">
        <f>WorldCupMatches!U627</f>
        <v>Group stages</v>
      </c>
      <c r="J627" s="1">
        <f>COUNTIF($L$2:L627,L627)</f>
        <v>9</v>
      </c>
      <c r="K627" s="1">
        <f>Table3[[#This Row],[Year]]</f>
        <v>2002</v>
      </c>
      <c r="L627" s="1" t="str">
        <f>Table3[[#This Row],[Hometeam]]</f>
        <v>Portugal</v>
      </c>
      <c r="M627" s="1" t="str">
        <f>IF(J627=1,J627+ROWS($J$2:J627)/10000,"")</f>
        <v/>
      </c>
      <c r="N627" s="1" t="str">
        <f>IFERROR(SMALL($M$2:$M$1705,ROWS($M$2:M627)),"")</f>
        <v/>
      </c>
      <c r="O627" s="1" t="str">
        <f>IF(N627&lt;&gt;"",INDEX($L$2:$L$1705,MATCH(N627,$M$2:$M$1705,0)),"")</f>
        <v/>
      </c>
      <c r="P627" s="1" t="str">
        <f>IF(O627&lt;&gt;"",ROWS($O$2:O627),"")</f>
        <v/>
      </c>
    </row>
    <row r="628" spans="1:16" x14ac:dyDescent="0.2">
      <c r="A628" s="1">
        <f>WorldCupMatches!O628</f>
        <v>2002</v>
      </c>
      <c r="B628" s="1" t="str">
        <f>WorldCupMatches!P628</f>
        <v>Poland</v>
      </c>
      <c r="C628" s="1">
        <f>WorldCupMatches!Q628</f>
        <v>3</v>
      </c>
      <c r="D628" s="1">
        <f>WorldCupMatches!R628</f>
        <v>1</v>
      </c>
      <c r="E628" s="1" t="str">
        <f>WorldCupMatches!S628</f>
        <v>USA</v>
      </c>
      <c r="F628" s="1" t="str">
        <f>WorldCupMatches!T628</f>
        <v xml:space="preserve"> </v>
      </c>
      <c r="G628" s="1" t="str">
        <f>WorldCupMatches!U628</f>
        <v>Group stages</v>
      </c>
      <c r="J628" s="1">
        <f>COUNTIF($L$2:L628,L628)</f>
        <v>15</v>
      </c>
      <c r="K628" s="1">
        <f>Table3[[#This Row],[Year]]</f>
        <v>2002</v>
      </c>
      <c r="L628" s="1" t="str">
        <f>Table3[[#This Row],[Hometeam]]</f>
        <v>Poland</v>
      </c>
      <c r="M628" s="1" t="str">
        <f>IF(J628=1,J628+ROWS($J$2:J628)/10000,"")</f>
        <v/>
      </c>
      <c r="N628" s="1" t="str">
        <f>IFERROR(SMALL($M$2:$M$1705,ROWS($M$2:M628)),"")</f>
        <v/>
      </c>
      <c r="O628" s="1" t="str">
        <f>IF(N628&lt;&gt;"",INDEX($L$2:$L$1705,MATCH(N628,$M$2:$M$1705,0)),"")</f>
        <v/>
      </c>
      <c r="P628" s="1" t="str">
        <f>IF(O628&lt;&gt;"",ROWS($O$2:O628),"")</f>
        <v/>
      </c>
    </row>
    <row r="629" spans="1:16" x14ac:dyDescent="0.2">
      <c r="A629" s="1">
        <f>WorldCupMatches!O629</f>
        <v>2002</v>
      </c>
      <c r="B629" s="1" t="str">
        <f>WorldCupMatches!P629</f>
        <v>Belgium</v>
      </c>
      <c r="C629" s="1">
        <f>WorldCupMatches!Q629</f>
        <v>3</v>
      </c>
      <c r="D629" s="1">
        <f>WorldCupMatches!R629</f>
        <v>2</v>
      </c>
      <c r="E629" s="1" t="str">
        <f>WorldCupMatches!S629</f>
        <v>Russia</v>
      </c>
      <c r="F629" s="1" t="str">
        <f>WorldCupMatches!T629</f>
        <v xml:space="preserve"> </v>
      </c>
      <c r="G629" s="1" t="str">
        <f>WorldCupMatches!U629</f>
        <v>Group stages</v>
      </c>
      <c r="J629" s="1">
        <f>COUNTIF($L$2:L629,L629)</f>
        <v>14</v>
      </c>
      <c r="K629" s="1">
        <f>Table3[[#This Row],[Year]]</f>
        <v>2002</v>
      </c>
      <c r="L629" s="1" t="str">
        <f>Table3[[#This Row],[Hometeam]]</f>
        <v>Belgium</v>
      </c>
      <c r="M629" s="1" t="str">
        <f>IF(J629=1,J629+ROWS($J$2:J629)/10000,"")</f>
        <v/>
      </c>
      <c r="N629" s="1" t="str">
        <f>IFERROR(SMALL($M$2:$M$1705,ROWS($M$2:M629)),"")</f>
        <v/>
      </c>
      <c r="O629" s="1" t="str">
        <f>IF(N629&lt;&gt;"",INDEX($L$2:$L$1705,MATCH(N629,$M$2:$M$1705,0)),"")</f>
        <v/>
      </c>
      <c r="P629" s="1" t="str">
        <f>IF(O629&lt;&gt;"",ROWS($O$2:O629),"")</f>
        <v/>
      </c>
    </row>
    <row r="630" spans="1:16" x14ac:dyDescent="0.2">
      <c r="A630" s="1">
        <f>WorldCupMatches!O630</f>
        <v>2002</v>
      </c>
      <c r="B630" s="1" t="str">
        <f>WorldCupMatches!P630</f>
        <v>Denmark</v>
      </c>
      <c r="C630" s="1">
        <f>WorldCupMatches!Q630</f>
        <v>0</v>
      </c>
      <c r="D630" s="1">
        <f>WorldCupMatches!R630</f>
        <v>3</v>
      </c>
      <c r="E630" s="1" t="str">
        <f>WorldCupMatches!S630</f>
        <v>England</v>
      </c>
      <c r="F630" s="1" t="str">
        <f>WorldCupMatches!T630</f>
        <v xml:space="preserve"> </v>
      </c>
      <c r="G630" s="1" t="str">
        <f>WorldCupMatches!U630</f>
        <v>Round of 16</v>
      </c>
      <c r="J630" s="1">
        <f>COUNTIF($L$2:L630,L630)</f>
        <v>6</v>
      </c>
      <c r="K630" s="1">
        <f>Table3[[#This Row],[Year]]</f>
        <v>2002</v>
      </c>
      <c r="L630" s="1" t="str">
        <f>Table3[[#This Row],[Hometeam]]</f>
        <v>Denmark</v>
      </c>
      <c r="M630" s="1" t="str">
        <f>IF(J630=1,J630+ROWS($J$2:J630)/10000,"")</f>
        <v/>
      </c>
      <c r="N630" s="1" t="str">
        <f>IFERROR(SMALL($M$2:$M$1705,ROWS($M$2:M630)),"")</f>
        <v/>
      </c>
      <c r="O630" s="1" t="str">
        <f>IF(N630&lt;&gt;"",INDEX($L$2:$L$1705,MATCH(N630,$M$2:$M$1705,0)),"")</f>
        <v/>
      </c>
      <c r="P630" s="1" t="str">
        <f>IF(O630&lt;&gt;"",ROWS($O$2:O630),"")</f>
        <v/>
      </c>
    </row>
    <row r="631" spans="1:16" x14ac:dyDescent="0.2">
      <c r="A631" s="1">
        <f>WorldCupMatches!O631</f>
        <v>2002</v>
      </c>
      <c r="B631" s="1" t="str">
        <f>WorldCupMatches!P631</f>
        <v>Germany</v>
      </c>
      <c r="C631" s="1">
        <f>WorldCupMatches!Q631</f>
        <v>1</v>
      </c>
      <c r="D631" s="1">
        <f>WorldCupMatches!R631</f>
        <v>0</v>
      </c>
      <c r="E631" s="1" t="str">
        <f>WorldCupMatches!S631</f>
        <v>Paraguay</v>
      </c>
      <c r="F631" s="1" t="str">
        <f>WorldCupMatches!T631</f>
        <v xml:space="preserve"> </v>
      </c>
      <c r="G631" s="1" t="str">
        <f>WorldCupMatches!U631</f>
        <v>Round of 16</v>
      </c>
      <c r="J631" s="1">
        <f>COUNTIF($L$2:L631,L631)</f>
        <v>15</v>
      </c>
      <c r="K631" s="1">
        <f>Table3[[#This Row],[Year]]</f>
        <v>2002</v>
      </c>
      <c r="L631" s="1" t="str">
        <f>Table3[[#This Row],[Hometeam]]</f>
        <v>Germany</v>
      </c>
      <c r="M631" s="1" t="str">
        <f>IF(J631=1,J631+ROWS($J$2:J631)/10000,"")</f>
        <v/>
      </c>
      <c r="N631" s="1" t="str">
        <f>IFERROR(SMALL($M$2:$M$1705,ROWS($M$2:M631)),"")</f>
        <v/>
      </c>
      <c r="O631" s="1" t="str">
        <f>IF(N631&lt;&gt;"",INDEX($L$2:$L$1705,MATCH(N631,$M$2:$M$1705,0)),"")</f>
        <v/>
      </c>
      <c r="P631" s="1" t="str">
        <f>IF(O631&lt;&gt;"",ROWS($O$2:O631),"")</f>
        <v/>
      </c>
    </row>
    <row r="632" spans="1:16" x14ac:dyDescent="0.2">
      <c r="A632" s="1">
        <f>WorldCupMatches!O632</f>
        <v>2002</v>
      </c>
      <c r="B632" s="1" t="str">
        <f>WorldCupMatches!P632</f>
        <v>Spain</v>
      </c>
      <c r="C632" s="1">
        <f>WorldCupMatches!Q632</f>
        <v>1</v>
      </c>
      <c r="D632" s="1">
        <f>WorldCupMatches!R632</f>
        <v>1</v>
      </c>
      <c r="E632" s="1" t="str">
        <f>WorldCupMatches!S632</f>
        <v>Republic of Ireland</v>
      </c>
      <c r="F632" s="1" t="str">
        <f>WorldCupMatches!T632</f>
        <v xml:space="preserve">Spain win on penalties (3 - 2) </v>
      </c>
      <c r="G632" s="1" t="str">
        <f>WorldCupMatches!U632</f>
        <v>Round of 16</v>
      </c>
      <c r="J632" s="1">
        <f>COUNTIF($L$2:L632,L632)</f>
        <v>21</v>
      </c>
      <c r="K632" s="1">
        <f>Table3[[#This Row],[Year]]</f>
        <v>2002</v>
      </c>
      <c r="L632" s="1" t="str">
        <f>Table3[[#This Row],[Hometeam]]</f>
        <v>Spain</v>
      </c>
      <c r="M632" s="1" t="str">
        <f>IF(J632=1,J632+ROWS($J$2:J632)/10000,"")</f>
        <v/>
      </c>
      <c r="N632" s="1" t="str">
        <f>IFERROR(SMALL($M$2:$M$1705,ROWS($M$2:M632)),"")</f>
        <v/>
      </c>
      <c r="O632" s="1" t="str">
        <f>IF(N632&lt;&gt;"",INDEX($L$2:$L$1705,MATCH(N632,$M$2:$M$1705,0)),"")</f>
        <v/>
      </c>
      <c r="P632" s="1" t="str">
        <f>IF(O632&lt;&gt;"",ROWS($O$2:O632),"")</f>
        <v/>
      </c>
    </row>
    <row r="633" spans="1:16" x14ac:dyDescent="0.2">
      <c r="A633" s="1">
        <f>WorldCupMatches!O633</f>
        <v>2002</v>
      </c>
      <c r="B633" s="1" t="str">
        <f>WorldCupMatches!P633</f>
        <v>Sweden</v>
      </c>
      <c r="C633" s="1">
        <f>WorldCupMatches!Q633</f>
        <v>1</v>
      </c>
      <c r="D633" s="1">
        <f>WorldCupMatches!R633</f>
        <v>2</v>
      </c>
      <c r="E633" s="1" t="str">
        <f>WorldCupMatches!S633</f>
        <v>Senegal</v>
      </c>
      <c r="F633" s="1" t="str">
        <f>WorldCupMatches!T633</f>
        <v xml:space="preserve">Win on Golden Goal </v>
      </c>
      <c r="G633" s="1" t="str">
        <f>WorldCupMatches!U633</f>
        <v>Round of 16</v>
      </c>
      <c r="J633" s="1">
        <f>COUNTIF($L$2:L633,L633)</f>
        <v>25</v>
      </c>
      <c r="K633" s="1">
        <f>Table3[[#This Row],[Year]]</f>
        <v>2002</v>
      </c>
      <c r="L633" s="1" t="str">
        <f>Table3[[#This Row],[Hometeam]]</f>
        <v>Sweden</v>
      </c>
      <c r="M633" s="1" t="str">
        <f>IF(J633=1,J633+ROWS($J$2:J633)/10000,"")</f>
        <v/>
      </c>
      <c r="N633" s="1" t="str">
        <f>IFERROR(SMALL($M$2:$M$1705,ROWS($M$2:M633)),"")</f>
        <v/>
      </c>
      <c r="O633" s="1" t="str">
        <f>IF(N633&lt;&gt;"",INDEX($L$2:$L$1705,MATCH(N633,$M$2:$M$1705,0)),"")</f>
        <v/>
      </c>
      <c r="P633" s="1" t="str">
        <f>IF(O633&lt;&gt;"",ROWS($O$2:O633),"")</f>
        <v/>
      </c>
    </row>
    <row r="634" spans="1:16" x14ac:dyDescent="0.2">
      <c r="A634" s="1">
        <f>WorldCupMatches!O634</f>
        <v>2002</v>
      </c>
      <c r="B634" s="1" t="str">
        <f>WorldCupMatches!P634</f>
        <v>Brazil</v>
      </c>
      <c r="C634" s="1">
        <f>WorldCupMatches!Q634</f>
        <v>2</v>
      </c>
      <c r="D634" s="1">
        <f>WorldCupMatches!R634</f>
        <v>0</v>
      </c>
      <c r="E634" s="1" t="str">
        <f>WorldCupMatches!S634</f>
        <v>Belgium</v>
      </c>
      <c r="F634" s="1" t="str">
        <f>WorldCupMatches!T634</f>
        <v xml:space="preserve"> </v>
      </c>
      <c r="G634" s="1" t="str">
        <f>WorldCupMatches!U634</f>
        <v>Round of 16</v>
      </c>
      <c r="J634" s="1">
        <f>COUNTIF($L$2:L634,L634)</f>
        <v>64</v>
      </c>
      <c r="K634" s="1">
        <f>Table3[[#This Row],[Year]]</f>
        <v>2002</v>
      </c>
      <c r="L634" s="1" t="str">
        <f>Table3[[#This Row],[Hometeam]]</f>
        <v>Brazil</v>
      </c>
      <c r="M634" s="1" t="str">
        <f>IF(J634=1,J634+ROWS($J$2:J634)/10000,"")</f>
        <v/>
      </c>
      <c r="N634" s="1" t="str">
        <f>IFERROR(SMALL($M$2:$M$1705,ROWS($M$2:M634)),"")</f>
        <v/>
      </c>
      <c r="O634" s="1" t="str">
        <f>IF(N634&lt;&gt;"",INDEX($L$2:$L$1705,MATCH(N634,$M$2:$M$1705,0)),"")</f>
        <v/>
      </c>
      <c r="P634" s="1" t="str">
        <f>IF(O634&lt;&gt;"",ROWS($O$2:O634),"")</f>
        <v/>
      </c>
    </row>
    <row r="635" spans="1:16" x14ac:dyDescent="0.2">
      <c r="A635" s="1">
        <f>WorldCupMatches!O635</f>
        <v>2002</v>
      </c>
      <c r="B635" s="1" t="str">
        <f>WorldCupMatches!P635</f>
        <v>Mexico</v>
      </c>
      <c r="C635" s="1">
        <f>WorldCupMatches!Q635</f>
        <v>0</v>
      </c>
      <c r="D635" s="1">
        <f>WorldCupMatches!R635</f>
        <v>2</v>
      </c>
      <c r="E635" s="1" t="str">
        <f>WorldCupMatches!S635</f>
        <v>USA</v>
      </c>
      <c r="F635" s="1" t="str">
        <f>WorldCupMatches!T635</f>
        <v xml:space="preserve"> </v>
      </c>
      <c r="G635" s="1" t="str">
        <f>WorldCupMatches!U635</f>
        <v>Round of 16</v>
      </c>
      <c r="J635" s="1">
        <f>COUNTIF($L$2:L635,L635)</f>
        <v>12</v>
      </c>
      <c r="K635" s="1">
        <f>Table3[[#This Row],[Year]]</f>
        <v>2002</v>
      </c>
      <c r="L635" s="1" t="str">
        <f>Table3[[#This Row],[Hometeam]]</f>
        <v>Mexico</v>
      </c>
      <c r="M635" s="1" t="str">
        <f>IF(J635=1,J635+ROWS($J$2:J635)/10000,"")</f>
        <v/>
      </c>
      <c r="N635" s="1" t="str">
        <f>IFERROR(SMALL($M$2:$M$1705,ROWS($M$2:M635)),"")</f>
        <v/>
      </c>
      <c r="O635" s="1" t="str">
        <f>IF(N635&lt;&gt;"",INDEX($L$2:$L$1705,MATCH(N635,$M$2:$M$1705,0)),"")</f>
        <v/>
      </c>
      <c r="P635" s="1" t="str">
        <f>IF(O635&lt;&gt;"",ROWS($O$2:O635),"")</f>
        <v/>
      </c>
    </row>
    <row r="636" spans="1:16" x14ac:dyDescent="0.2">
      <c r="A636" s="1">
        <f>WorldCupMatches!O636</f>
        <v>2002</v>
      </c>
      <c r="B636" s="1" t="str">
        <f>WorldCupMatches!P636</f>
        <v>Japan</v>
      </c>
      <c r="C636" s="1">
        <f>WorldCupMatches!Q636</f>
        <v>0</v>
      </c>
      <c r="D636" s="1">
        <f>WorldCupMatches!R636</f>
        <v>1</v>
      </c>
      <c r="E636" s="1" t="str">
        <f>WorldCupMatches!S636</f>
        <v>Turkey</v>
      </c>
      <c r="F636" s="1" t="str">
        <f>WorldCupMatches!T636</f>
        <v xml:space="preserve"> </v>
      </c>
      <c r="G636" s="1" t="str">
        <f>WorldCupMatches!U636</f>
        <v>Round of 16</v>
      </c>
      <c r="J636" s="1">
        <f>COUNTIF($L$2:L636,L636)</f>
        <v>5</v>
      </c>
      <c r="K636" s="1">
        <f>Table3[[#This Row],[Year]]</f>
        <v>2002</v>
      </c>
      <c r="L636" s="1" t="str">
        <f>Table3[[#This Row],[Hometeam]]</f>
        <v>Japan</v>
      </c>
      <c r="M636" s="1" t="str">
        <f>IF(J636=1,J636+ROWS($J$2:J636)/10000,"")</f>
        <v/>
      </c>
      <c r="N636" s="1" t="str">
        <f>IFERROR(SMALL($M$2:$M$1705,ROWS($M$2:M636)),"")</f>
        <v/>
      </c>
      <c r="O636" s="1" t="str">
        <f>IF(N636&lt;&gt;"",INDEX($L$2:$L$1705,MATCH(N636,$M$2:$M$1705,0)),"")</f>
        <v/>
      </c>
      <c r="P636" s="1" t="str">
        <f>IF(O636&lt;&gt;"",ROWS($O$2:O636),"")</f>
        <v/>
      </c>
    </row>
    <row r="637" spans="1:16" x14ac:dyDescent="0.2">
      <c r="A637" s="1">
        <f>WorldCupMatches!O637</f>
        <v>2002</v>
      </c>
      <c r="B637" s="1" t="str">
        <f>WorldCupMatches!P637</f>
        <v>Korea Republic</v>
      </c>
      <c r="C637" s="1">
        <f>WorldCupMatches!Q637</f>
        <v>2</v>
      </c>
      <c r="D637" s="1">
        <f>WorldCupMatches!R637</f>
        <v>1</v>
      </c>
      <c r="E637" s="1" t="str">
        <f>WorldCupMatches!S637</f>
        <v>Italy</v>
      </c>
      <c r="F637" s="1" t="str">
        <f>WorldCupMatches!T637</f>
        <v xml:space="preserve">Win on Golden Goal </v>
      </c>
      <c r="G637" s="1" t="str">
        <f>WorldCupMatches!U637</f>
        <v>Round of 16</v>
      </c>
      <c r="J637" s="1">
        <f>COUNTIF($L$2:L637,L637)</f>
        <v>9</v>
      </c>
      <c r="K637" s="1">
        <f>Table3[[#This Row],[Year]]</f>
        <v>2002</v>
      </c>
      <c r="L637" s="1" t="str">
        <f>Table3[[#This Row],[Hometeam]]</f>
        <v>Korea Republic</v>
      </c>
      <c r="M637" s="1" t="str">
        <f>IF(J637=1,J637+ROWS($J$2:J637)/10000,"")</f>
        <v/>
      </c>
      <c r="N637" s="1" t="str">
        <f>IFERROR(SMALL($M$2:$M$1705,ROWS($M$2:M637)),"")</f>
        <v/>
      </c>
      <c r="O637" s="1" t="str">
        <f>IF(N637&lt;&gt;"",INDEX($L$2:$L$1705,MATCH(N637,$M$2:$M$1705,0)),"")</f>
        <v/>
      </c>
      <c r="P637" s="1" t="str">
        <f>IF(O637&lt;&gt;"",ROWS($O$2:O637),"")</f>
        <v/>
      </c>
    </row>
    <row r="638" spans="1:16" x14ac:dyDescent="0.2">
      <c r="A638" s="1">
        <f>WorldCupMatches!O638</f>
        <v>2002</v>
      </c>
      <c r="B638" s="1" t="str">
        <f>WorldCupMatches!P638</f>
        <v>England</v>
      </c>
      <c r="C638" s="1">
        <f>WorldCupMatches!Q638</f>
        <v>1</v>
      </c>
      <c r="D638" s="1">
        <f>WorldCupMatches!R638</f>
        <v>2</v>
      </c>
      <c r="E638" s="1" t="str">
        <f>WorldCupMatches!S638</f>
        <v>Brazil</v>
      </c>
      <c r="F638" s="1" t="str">
        <f>WorldCupMatches!T638</f>
        <v xml:space="preserve"> </v>
      </c>
      <c r="G638" s="1" t="str">
        <f>WorldCupMatches!U638</f>
        <v>Quarter-finals</v>
      </c>
      <c r="J638" s="1">
        <f>COUNTIF($L$2:L638,L638)</f>
        <v>28</v>
      </c>
      <c r="K638" s="1">
        <f>Table3[[#This Row],[Year]]</f>
        <v>2002</v>
      </c>
      <c r="L638" s="1" t="str">
        <f>Table3[[#This Row],[Hometeam]]</f>
        <v>England</v>
      </c>
      <c r="M638" s="1" t="str">
        <f>IF(J638=1,J638+ROWS($J$2:J638)/10000,"")</f>
        <v/>
      </c>
      <c r="N638" s="1" t="str">
        <f>IFERROR(SMALL($M$2:$M$1705,ROWS($M$2:M638)),"")</f>
        <v/>
      </c>
      <c r="O638" s="1" t="str">
        <f>IF(N638&lt;&gt;"",INDEX($L$2:$L$1705,MATCH(N638,$M$2:$M$1705,0)),"")</f>
        <v/>
      </c>
      <c r="P638" s="1" t="str">
        <f>IF(O638&lt;&gt;"",ROWS($O$2:O638),"")</f>
        <v/>
      </c>
    </row>
    <row r="639" spans="1:16" x14ac:dyDescent="0.2">
      <c r="A639" s="1">
        <f>WorldCupMatches!O639</f>
        <v>2002</v>
      </c>
      <c r="B639" s="1" t="str">
        <f>WorldCupMatches!P639</f>
        <v>Germany</v>
      </c>
      <c r="C639" s="1">
        <f>WorldCupMatches!Q639</f>
        <v>1</v>
      </c>
      <c r="D639" s="1">
        <f>WorldCupMatches!R639</f>
        <v>0</v>
      </c>
      <c r="E639" s="1" t="str">
        <f>WorldCupMatches!S639</f>
        <v>USA</v>
      </c>
      <c r="F639" s="1" t="str">
        <f>WorldCupMatches!T639</f>
        <v xml:space="preserve"> </v>
      </c>
      <c r="G639" s="1" t="str">
        <f>WorldCupMatches!U639</f>
        <v>Quarter-finals</v>
      </c>
      <c r="J639" s="1">
        <f>COUNTIF($L$2:L639,L639)</f>
        <v>16</v>
      </c>
      <c r="K639" s="1">
        <f>Table3[[#This Row],[Year]]</f>
        <v>2002</v>
      </c>
      <c r="L639" s="1" t="str">
        <f>Table3[[#This Row],[Hometeam]]</f>
        <v>Germany</v>
      </c>
      <c r="M639" s="1" t="str">
        <f>IF(J639=1,J639+ROWS($J$2:J639)/10000,"")</f>
        <v/>
      </c>
      <c r="N639" s="1" t="str">
        <f>IFERROR(SMALL($M$2:$M$1705,ROWS($M$2:M639)),"")</f>
        <v/>
      </c>
      <c r="O639" s="1" t="str">
        <f>IF(N639&lt;&gt;"",INDEX($L$2:$L$1705,MATCH(N639,$M$2:$M$1705,0)),"")</f>
        <v/>
      </c>
      <c r="P639" s="1" t="str">
        <f>IF(O639&lt;&gt;"",ROWS($O$2:O639),"")</f>
        <v/>
      </c>
    </row>
    <row r="640" spans="1:16" x14ac:dyDescent="0.2">
      <c r="A640" s="1">
        <f>WorldCupMatches!O640</f>
        <v>2002</v>
      </c>
      <c r="B640" s="1" t="str">
        <f>WorldCupMatches!P640</f>
        <v>Senegal</v>
      </c>
      <c r="C640" s="1">
        <f>WorldCupMatches!Q640</f>
        <v>0</v>
      </c>
      <c r="D640" s="1">
        <f>WorldCupMatches!R640</f>
        <v>1</v>
      </c>
      <c r="E640" s="1" t="str">
        <f>WorldCupMatches!S640</f>
        <v>Turkey</v>
      </c>
      <c r="F640" s="1" t="str">
        <f>WorldCupMatches!T640</f>
        <v xml:space="preserve">Win on Golden Goal </v>
      </c>
      <c r="G640" s="1" t="str">
        <f>WorldCupMatches!U640</f>
        <v>Quarter-finals</v>
      </c>
      <c r="J640" s="1">
        <f>COUNTIF($L$2:L640,L640)</f>
        <v>2</v>
      </c>
      <c r="K640" s="1">
        <f>Table3[[#This Row],[Year]]</f>
        <v>2002</v>
      </c>
      <c r="L640" s="1" t="str">
        <f>Table3[[#This Row],[Hometeam]]</f>
        <v>Senegal</v>
      </c>
      <c r="M640" s="1" t="str">
        <f>IF(J640=1,J640+ROWS($J$2:J640)/10000,"")</f>
        <v/>
      </c>
      <c r="N640" s="1" t="str">
        <f>IFERROR(SMALL($M$2:$M$1705,ROWS($M$2:M640)),"")</f>
        <v/>
      </c>
      <c r="O640" s="1" t="str">
        <f>IF(N640&lt;&gt;"",INDEX($L$2:$L$1705,MATCH(N640,$M$2:$M$1705,0)),"")</f>
        <v/>
      </c>
      <c r="P640" s="1" t="str">
        <f>IF(O640&lt;&gt;"",ROWS($O$2:O640),"")</f>
        <v/>
      </c>
    </row>
    <row r="641" spans="1:16" x14ac:dyDescent="0.2">
      <c r="A641" s="1">
        <f>WorldCupMatches!O641</f>
        <v>2002</v>
      </c>
      <c r="B641" s="1" t="str">
        <f>WorldCupMatches!P641</f>
        <v>Spain</v>
      </c>
      <c r="C641" s="1">
        <f>WorldCupMatches!Q641</f>
        <v>0</v>
      </c>
      <c r="D641" s="1">
        <f>WorldCupMatches!R641</f>
        <v>0</v>
      </c>
      <c r="E641" s="1" t="str">
        <f>WorldCupMatches!S641</f>
        <v>Korea Republic</v>
      </c>
      <c r="F641" s="1" t="str">
        <f>WorldCupMatches!T641</f>
        <v xml:space="preserve">Korea Republic win on penalties (3 - 5) </v>
      </c>
      <c r="G641" s="1" t="str">
        <f>WorldCupMatches!U641</f>
        <v>Quarter-finals</v>
      </c>
      <c r="J641" s="1">
        <f>COUNTIF($L$2:L641,L641)</f>
        <v>22</v>
      </c>
      <c r="K641" s="1">
        <f>Table3[[#This Row],[Year]]</f>
        <v>2002</v>
      </c>
      <c r="L641" s="1" t="str">
        <f>Table3[[#This Row],[Hometeam]]</f>
        <v>Spain</v>
      </c>
      <c r="M641" s="1" t="str">
        <f>IF(J641=1,J641+ROWS($J$2:J641)/10000,"")</f>
        <v/>
      </c>
      <c r="N641" s="1" t="str">
        <f>IFERROR(SMALL($M$2:$M$1705,ROWS($M$2:M641)),"")</f>
        <v/>
      </c>
      <c r="O641" s="1" t="str">
        <f>IF(N641&lt;&gt;"",INDEX($L$2:$L$1705,MATCH(N641,$M$2:$M$1705,0)),"")</f>
        <v/>
      </c>
      <c r="P641" s="1" t="str">
        <f>IF(O641&lt;&gt;"",ROWS($O$2:O641),"")</f>
        <v/>
      </c>
    </row>
    <row r="642" spans="1:16" x14ac:dyDescent="0.2">
      <c r="A642" s="1">
        <f>WorldCupMatches!O642</f>
        <v>2002</v>
      </c>
      <c r="B642" s="1" t="str">
        <f>WorldCupMatches!P642</f>
        <v>Germany</v>
      </c>
      <c r="C642" s="1">
        <f>WorldCupMatches!Q642</f>
        <v>1</v>
      </c>
      <c r="D642" s="1">
        <f>WorldCupMatches!R642</f>
        <v>0</v>
      </c>
      <c r="E642" s="1" t="str">
        <f>WorldCupMatches!S642</f>
        <v>Korea Republic</v>
      </c>
      <c r="F642" s="1" t="str">
        <f>WorldCupMatches!T642</f>
        <v xml:space="preserve"> </v>
      </c>
      <c r="G642" s="1" t="str">
        <f>WorldCupMatches!U642</f>
        <v>Semi-finals</v>
      </c>
      <c r="J642" s="1">
        <f>COUNTIF($L$2:L642,L642)</f>
        <v>17</v>
      </c>
      <c r="K642" s="1">
        <f>Table3[[#This Row],[Year]]</f>
        <v>2002</v>
      </c>
      <c r="L642" s="1" t="str">
        <f>Table3[[#This Row],[Hometeam]]</f>
        <v>Germany</v>
      </c>
      <c r="M642" s="1" t="str">
        <f>IF(J642=1,J642+ROWS($J$2:J642)/10000,"")</f>
        <v/>
      </c>
      <c r="N642" s="1" t="str">
        <f>IFERROR(SMALL($M$2:$M$1705,ROWS($M$2:M642)),"")</f>
        <v/>
      </c>
      <c r="O642" s="1" t="str">
        <f>IF(N642&lt;&gt;"",INDEX($L$2:$L$1705,MATCH(N642,$M$2:$M$1705,0)),"")</f>
        <v/>
      </c>
      <c r="P642" s="1" t="str">
        <f>IF(O642&lt;&gt;"",ROWS($O$2:O642),"")</f>
        <v/>
      </c>
    </row>
    <row r="643" spans="1:16" x14ac:dyDescent="0.2">
      <c r="A643" s="1">
        <f>WorldCupMatches!O643</f>
        <v>2002</v>
      </c>
      <c r="B643" s="1" t="str">
        <f>WorldCupMatches!P643</f>
        <v>Brazil</v>
      </c>
      <c r="C643" s="1">
        <f>WorldCupMatches!Q643</f>
        <v>1</v>
      </c>
      <c r="D643" s="1">
        <f>WorldCupMatches!R643</f>
        <v>0</v>
      </c>
      <c r="E643" s="1" t="str">
        <f>WorldCupMatches!S643</f>
        <v>Turkey</v>
      </c>
      <c r="F643" s="1" t="str">
        <f>WorldCupMatches!T643</f>
        <v xml:space="preserve"> </v>
      </c>
      <c r="G643" s="1" t="str">
        <f>WorldCupMatches!U643</f>
        <v>Semi-finals</v>
      </c>
      <c r="J643" s="1">
        <f>COUNTIF($L$2:L643,L643)</f>
        <v>65</v>
      </c>
      <c r="K643" s="1">
        <f>Table3[[#This Row],[Year]]</f>
        <v>2002</v>
      </c>
      <c r="L643" s="1" t="str">
        <f>Table3[[#This Row],[Hometeam]]</f>
        <v>Brazil</v>
      </c>
      <c r="M643" s="1" t="str">
        <f>IF(J643=1,J643+ROWS($J$2:J643)/10000,"")</f>
        <v/>
      </c>
      <c r="N643" s="1" t="str">
        <f>IFERROR(SMALL($M$2:$M$1705,ROWS($M$2:M643)),"")</f>
        <v/>
      </c>
      <c r="O643" s="1" t="str">
        <f>IF(N643&lt;&gt;"",INDEX($L$2:$L$1705,MATCH(N643,$M$2:$M$1705,0)),"")</f>
        <v/>
      </c>
      <c r="P643" s="1" t="str">
        <f>IF(O643&lt;&gt;"",ROWS($O$2:O643),"")</f>
        <v/>
      </c>
    </row>
    <row r="644" spans="1:16" x14ac:dyDescent="0.2">
      <c r="A644" s="1">
        <f>WorldCupMatches!O644</f>
        <v>2002</v>
      </c>
      <c r="B644" s="1" t="str">
        <f>WorldCupMatches!P644</f>
        <v>Korea Republic</v>
      </c>
      <c r="C644" s="1">
        <f>WorldCupMatches!Q644</f>
        <v>2</v>
      </c>
      <c r="D644" s="1">
        <f>WorldCupMatches!R644</f>
        <v>3</v>
      </c>
      <c r="E644" s="1" t="str">
        <f>WorldCupMatches!S644</f>
        <v>Turkey</v>
      </c>
      <c r="F644" s="1" t="str">
        <f>WorldCupMatches!T644</f>
        <v xml:space="preserve"> </v>
      </c>
      <c r="G644" s="1" t="str">
        <f>WorldCupMatches!U644</f>
        <v>Third place</v>
      </c>
      <c r="J644" s="1">
        <f>COUNTIF($L$2:L644,L644)</f>
        <v>10</v>
      </c>
      <c r="K644" s="1">
        <f>Table3[[#This Row],[Year]]</f>
        <v>2002</v>
      </c>
      <c r="L644" s="1" t="str">
        <f>Table3[[#This Row],[Hometeam]]</f>
        <v>Korea Republic</v>
      </c>
      <c r="M644" s="1" t="str">
        <f>IF(J644=1,J644+ROWS($J$2:J644)/10000,"")</f>
        <v/>
      </c>
      <c r="N644" s="1" t="str">
        <f>IFERROR(SMALL($M$2:$M$1705,ROWS($M$2:M644)),"")</f>
        <v/>
      </c>
      <c r="O644" s="1" t="str">
        <f>IF(N644&lt;&gt;"",INDEX($L$2:$L$1705,MATCH(N644,$M$2:$M$1705,0)),"")</f>
        <v/>
      </c>
      <c r="P644" s="1" t="str">
        <f>IF(O644&lt;&gt;"",ROWS($O$2:O644),"")</f>
        <v/>
      </c>
    </row>
    <row r="645" spans="1:16" x14ac:dyDescent="0.2">
      <c r="A645" s="1">
        <f>WorldCupMatches!O645</f>
        <v>2002</v>
      </c>
      <c r="B645" s="1" t="str">
        <f>WorldCupMatches!P645</f>
        <v>Germany</v>
      </c>
      <c r="C645" s="1">
        <f>WorldCupMatches!Q645</f>
        <v>0</v>
      </c>
      <c r="D645" s="1">
        <f>WorldCupMatches!R645</f>
        <v>2</v>
      </c>
      <c r="E645" s="1" t="str">
        <f>WorldCupMatches!S645</f>
        <v>Brazil</v>
      </c>
      <c r="F645" s="1" t="str">
        <f>WorldCupMatches!T645</f>
        <v xml:space="preserve"> </v>
      </c>
      <c r="G645" s="1" t="str">
        <f>WorldCupMatches!U645</f>
        <v>Final</v>
      </c>
      <c r="J645" s="1">
        <f>COUNTIF($L$2:L645,L645)</f>
        <v>18</v>
      </c>
      <c r="K645" s="1">
        <f>Table3[[#This Row],[Year]]</f>
        <v>2002</v>
      </c>
      <c r="L645" s="1" t="str">
        <f>Table3[[#This Row],[Hometeam]]</f>
        <v>Germany</v>
      </c>
      <c r="M645" s="1" t="str">
        <f>IF(J645=1,J645+ROWS($J$2:J645)/10000,"")</f>
        <v/>
      </c>
      <c r="N645" s="1" t="str">
        <f>IFERROR(SMALL($M$2:$M$1705,ROWS($M$2:M645)),"")</f>
        <v/>
      </c>
      <c r="O645" s="1" t="str">
        <f>IF(N645&lt;&gt;"",INDEX($L$2:$L$1705,MATCH(N645,$M$2:$M$1705,0)),"")</f>
        <v/>
      </c>
      <c r="P645" s="1" t="str">
        <f>IF(O645&lt;&gt;"",ROWS($O$2:O645),"")</f>
        <v/>
      </c>
    </row>
    <row r="646" spans="1:16" x14ac:dyDescent="0.2">
      <c r="A646" s="1">
        <f>WorldCupMatches!O646</f>
        <v>2006</v>
      </c>
      <c r="B646" s="1" t="str">
        <f>WorldCupMatches!P646</f>
        <v>Germany</v>
      </c>
      <c r="C646" s="1">
        <f>WorldCupMatches!Q646</f>
        <v>4</v>
      </c>
      <c r="D646" s="1">
        <f>WorldCupMatches!R646</f>
        <v>2</v>
      </c>
      <c r="E646" s="1" t="str">
        <f>WorldCupMatches!S646</f>
        <v>Costa Rica</v>
      </c>
      <c r="F646" s="1" t="str">
        <f>WorldCupMatches!T646</f>
        <v xml:space="preserve"> </v>
      </c>
      <c r="G646" s="1" t="str">
        <f>WorldCupMatches!U646</f>
        <v>Group stages</v>
      </c>
      <c r="J646" s="1">
        <f>COUNTIF($L$2:L646,L646)</f>
        <v>19</v>
      </c>
      <c r="K646" s="1">
        <f>Table3[[#This Row],[Year]]</f>
        <v>2006</v>
      </c>
      <c r="L646" s="1" t="str">
        <f>Table3[[#This Row],[Hometeam]]</f>
        <v>Germany</v>
      </c>
      <c r="M646" s="1" t="str">
        <f>IF(J646=1,J646+ROWS($J$2:J646)/10000,"")</f>
        <v/>
      </c>
      <c r="N646" s="1" t="str">
        <f>IFERROR(SMALL($M$2:$M$1705,ROWS($M$2:M646)),"")</f>
        <v/>
      </c>
      <c r="O646" s="1" t="str">
        <f>IF(N646&lt;&gt;"",INDEX($L$2:$L$1705,MATCH(N646,$M$2:$M$1705,0)),"")</f>
        <v/>
      </c>
      <c r="P646" s="1" t="str">
        <f>IF(O646&lt;&gt;"",ROWS($O$2:O646),"")</f>
        <v/>
      </c>
    </row>
    <row r="647" spans="1:16" x14ac:dyDescent="0.2">
      <c r="A647" s="1">
        <f>WorldCupMatches!O647</f>
        <v>2006</v>
      </c>
      <c r="B647" s="1" t="str">
        <f>WorldCupMatches!P647</f>
        <v>Poland</v>
      </c>
      <c r="C647" s="1">
        <f>WorldCupMatches!Q647</f>
        <v>0</v>
      </c>
      <c r="D647" s="1">
        <f>WorldCupMatches!R647</f>
        <v>2</v>
      </c>
      <c r="E647" s="1" t="str">
        <f>WorldCupMatches!S647</f>
        <v>Ecuador</v>
      </c>
      <c r="F647" s="1" t="str">
        <f>WorldCupMatches!T647</f>
        <v xml:space="preserve"> </v>
      </c>
      <c r="G647" s="1" t="str">
        <f>WorldCupMatches!U647</f>
        <v>Group stages</v>
      </c>
      <c r="J647" s="1">
        <f>COUNTIF($L$2:L647,L647)</f>
        <v>16</v>
      </c>
      <c r="K647" s="1">
        <f>Table3[[#This Row],[Year]]</f>
        <v>2006</v>
      </c>
      <c r="L647" s="1" t="str">
        <f>Table3[[#This Row],[Hometeam]]</f>
        <v>Poland</v>
      </c>
      <c r="M647" s="1" t="str">
        <f>IF(J647=1,J647+ROWS($J$2:J647)/10000,"")</f>
        <v/>
      </c>
      <c r="N647" s="1" t="str">
        <f>IFERROR(SMALL($M$2:$M$1705,ROWS($M$2:M647)),"")</f>
        <v/>
      </c>
      <c r="O647" s="1" t="str">
        <f>IF(N647&lt;&gt;"",INDEX($L$2:$L$1705,MATCH(N647,$M$2:$M$1705,0)),"")</f>
        <v/>
      </c>
      <c r="P647" s="1" t="str">
        <f>IF(O647&lt;&gt;"",ROWS($O$2:O647),"")</f>
        <v/>
      </c>
    </row>
    <row r="648" spans="1:16" x14ac:dyDescent="0.2">
      <c r="A648" s="1">
        <f>WorldCupMatches!O648</f>
        <v>2006</v>
      </c>
      <c r="B648" s="1" t="str">
        <f>WorldCupMatches!P648</f>
        <v>England</v>
      </c>
      <c r="C648" s="1">
        <f>WorldCupMatches!Q648</f>
        <v>1</v>
      </c>
      <c r="D648" s="1">
        <f>WorldCupMatches!R648</f>
        <v>0</v>
      </c>
      <c r="E648" s="1" t="str">
        <f>WorldCupMatches!S648</f>
        <v>Paraguay</v>
      </c>
      <c r="F648" s="1" t="str">
        <f>WorldCupMatches!T648</f>
        <v xml:space="preserve"> </v>
      </c>
      <c r="G648" s="1" t="str">
        <f>WorldCupMatches!U648</f>
        <v>Group stages</v>
      </c>
      <c r="J648" s="1">
        <f>COUNTIF($L$2:L648,L648)</f>
        <v>29</v>
      </c>
      <c r="K648" s="1">
        <f>Table3[[#This Row],[Year]]</f>
        <v>2006</v>
      </c>
      <c r="L648" s="1" t="str">
        <f>Table3[[#This Row],[Hometeam]]</f>
        <v>England</v>
      </c>
      <c r="M648" s="1" t="str">
        <f>IF(J648=1,J648+ROWS($J$2:J648)/10000,"")</f>
        <v/>
      </c>
      <c r="N648" s="1" t="str">
        <f>IFERROR(SMALL($M$2:$M$1705,ROWS($M$2:M648)),"")</f>
        <v/>
      </c>
      <c r="O648" s="1" t="str">
        <f>IF(N648&lt;&gt;"",INDEX($L$2:$L$1705,MATCH(N648,$M$2:$M$1705,0)),"")</f>
        <v/>
      </c>
      <c r="P648" s="1" t="str">
        <f>IF(O648&lt;&gt;"",ROWS($O$2:O648),"")</f>
        <v/>
      </c>
    </row>
    <row r="649" spans="1:16" x14ac:dyDescent="0.2">
      <c r="A649" s="1">
        <f>WorldCupMatches!O649</f>
        <v>2006</v>
      </c>
      <c r="B649" s="1" t="str">
        <f>WorldCupMatches!P649</f>
        <v>Trinidad and Tobago</v>
      </c>
      <c r="C649" s="1">
        <f>WorldCupMatches!Q649</f>
        <v>0</v>
      </c>
      <c r="D649" s="1">
        <f>WorldCupMatches!R649</f>
        <v>0</v>
      </c>
      <c r="E649" s="1" t="str">
        <f>WorldCupMatches!S649</f>
        <v>Sweden</v>
      </c>
      <c r="F649" s="1" t="str">
        <f>WorldCupMatches!T649</f>
        <v xml:space="preserve"> </v>
      </c>
      <c r="G649" s="1" t="str">
        <f>WorldCupMatches!U649</f>
        <v>Group stages</v>
      </c>
      <c r="J649" s="1">
        <f>COUNTIF($L$2:L649,L649)</f>
        <v>1</v>
      </c>
      <c r="K649" s="1">
        <f>Table3[[#This Row],[Year]]</f>
        <v>2006</v>
      </c>
      <c r="L649" s="1" t="str">
        <f>Table3[[#This Row],[Hometeam]]</f>
        <v>Trinidad and Tobago</v>
      </c>
      <c r="M649" s="1">
        <f>IF(J649=1,J649+ROWS($J$2:J649)/10000,"")</f>
        <v>1.0648</v>
      </c>
      <c r="N649" s="1" t="str">
        <f>IFERROR(SMALL($M$2:$M$1705,ROWS($M$2:M649)),"")</f>
        <v/>
      </c>
      <c r="O649" s="1" t="str">
        <f>IF(N649&lt;&gt;"",INDEX($L$2:$L$1705,MATCH(N649,$M$2:$M$1705,0)),"")</f>
        <v/>
      </c>
      <c r="P649" s="1" t="str">
        <f>IF(O649&lt;&gt;"",ROWS($O$2:O649),"")</f>
        <v/>
      </c>
    </row>
    <row r="650" spans="1:16" x14ac:dyDescent="0.2">
      <c r="A650" s="1">
        <f>WorldCupMatches!O650</f>
        <v>2006</v>
      </c>
      <c r="B650" s="1" t="str">
        <f>WorldCupMatches!P650</f>
        <v>Argentina</v>
      </c>
      <c r="C650" s="1">
        <f>WorldCupMatches!Q650</f>
        <v>2</v>
      </c>
      <c r="D650" s="1">
        <f>WorldCupMatches!R650</f>
        <v>1</v>
      </c>
      <c r="E650" s="1" t="str">
        <f>WorldCupMatches!S650</f>
        <v>Cï¿½te d'Ivoire</v>
      </c>
      <c r="F650" s="1" t="str">
        <f>WorldCupMatches!T650</f>
        <v xml:space="preserve"> </v>
      </c>
      <c r="G650" s="1" t="str">
        <f>WorldCupMatches!U650</f>
        <v>Group stages</v>
      </c>
      <c r="J650" s="1">
        <f>COUNTIF($L$2:L650,L650)</f>
        <v>42</v>
      </c>
      <c r="K650" s="1">
        <f>Table3[[#This Row],[Year]]</f>
        <v>2006</v>
      </c>
      <c r="L650" s="1" t="str">
        <f>Table3[[#This Row],[Hometeam]]</f>
        <v>Argentina</v>
      </c>
      <c r="M650" s="1" t="str">
        <f>IF(J650=1,J650+ROWS($J$2:J650)/10000,"")</f>
        <v/>
      </c>
      <c r="N650" s="1" t="str">
        <f>IFERROR(SMALL($M$2:$M$1705,ROWS($M$2:M650)),"")</f>
        <v/>
      </c>
      <c r="O650" s="1" t="str">
        <f>IF(N650&lt;&gt;"",INDEX($L$2:$L$1705,MATCH(N650,$M$2:$M$1705,0)),"")</f>
        <v/>
      </c>
      <c r="P650" s="1" t="str">
        <f>IF(O650&lt;&gt;"",ROWS($O$2:O650),"")</f>
        <v/>
      </c>
    </row>
    <row r="651" spans="1:16" x14ac:dyDescent="0.2">
      <c r="A651" s="1">
        <f>WorldCupMatches!O651</f>
        <v>2006</v>
      </c>
      <c r="B651" s="1" t="str">
        <f>WorldCupMatches!P651</f>
        <v>Serbia and Montenegro</v>
      </c>
      <c r="C651" s="1">
        <f>WorldCupMatches!Q651</f>
        <v>0</v>
      </c>
      <c r="D651" s="1">
        <f>WorldCupMatches!R651</f>
        <v>1</v>
      </c>
      <c r="E651" s="1" t="str">
        <f>WorldCupMatches!S651</f>
        <v>Netherlands</v>
      </c>
      <c r="F651" s="1" t="str">
        <f>WorldCupMatches!T651</f>
        <v xml:space="preserve"> </v>
      </c>
      <c r="G651" s="1" t="str">
        <f>WorldCupMatches!U651</f>
        <v>Group stages</v>
      </c>
      <c r="J651" s="1">
        <f>COUNTIF($L$2:L651,L651)</f>
        <v>1</v>
      </c>
      <c r="K651" s="1">
        <f>Table3[[#This Row],[Year]]</f>
        <v>2006</v>
      </c>
      <c r="L651" s="1" t="str">
        <f>Table3[[#This Row],[Hometeam]]</f>
        <v>Serbia and Montenegro</v>
      </c>
      <c r="M651" s="1">
        <f>IF(J651=1,J651+ROWS($J$2:J651)/10000,"")</f>
        <v>1.0649999999999999</v>
      </c>
      <c r="N651" s="1" t="str">
        <f>IFERROR(SMALL($M$2:$M$1705,ROWS($M$2:M651)),"")</f>
        <v/>
      </c>
      <c r="O651" s="1" t="str">
        <f>IF(N651&lt;&gt;"",INDEX($L$2:$L$1705,MATCH(N651,$M$2:$M$1705,0)),"")</f>
        <v/>
      </c>
      <c r="P651" s="1" t="str">
        <f>IF(O651&lt;&gt;"",ROWS($O$2:O651),"")</f>
        <v/>
      </c>
    </row>
    <row r="652" spans="1:16" x14ac:dyDescent="0.2">
      <c r="A652" s="1">
        <f>WorldCupMatches!O652</f>
        <v>2006</v>
      </c>
      <c r="B652" s="1" t="str">
        <f>WorldCupMatches!P652</f>
        <v>Mexico</v>
      </c>
      <c r="C652" s="1">
        <f>WorldCupMatches!Q652</f>
        <v>3</v>
      </c>
      <c r="D652" s="1">
        <f>WorldCupMatches!R652</f>
        <v>1</v>
      </c>
      <c r="E652" s="1" t="str">
        <f>WorldCupMatches!S652</f>
        <v>Iran</v>
      </c>
      <c r="F652" s="1" t="str">
        <f>WorldCupMatches!T652</f>
        <v xml:space="preserve"> </v>
      </c>
      <c r="G652" s="1" t="str">
        <f>WorldCupMatches!U652</f>
        <v>Group stages</v>
      </c>
      <c r="J652" s="1">
        <f>COUNTIF($L$2:L652,L652)</f>
        <v>13</v>
      </c>
      <c r="K652" s="1">
        <f>Table3[[#This Row],[Year]]</f>
        <v>2006</v>
      </c>
      <c r="L652" s="1" t="str">
        <f>Table3[[#This Row],[Hometeam]]</f>
        <v>Mexico</v>
      </c>
      <c r="M652" s="1" t="str">
        <f>IF(J652=1,J652+ROWS($J$2:J652)/10000,"")</f>
        <v/>
      </c>
      <c r="N652" s="1" t="str">
        <f>IFERROR(SMALL($M$2:$M$1705,ROWS($M$2:M652)),"")</f>
        <v/>
      </c>
      <c r="O652" s="1" t="str">
        <f>IF(N652&lt;&gt;"",INDEX($L$2:$L$1705,MATCH(N652,$M$2:$M$1705,0)),"")</f>
        <v/>
      </c>
      <c r="P652" s="1" t="str">
        <f>IF(O652&lt;&gt;"",ROWS($O$2:O652),"")</f>
        <v/>
      </c>
    </row>
    <row r="653" spans="1:16" x14ac:dyDescent="0.2">
      <c r="A653" s="1">
        <f>WorldCupMatches!O653</f>
        <v>2006</v>
      </c>
      <c r="B653" s="1" t="str">
        <f>WorldCupMatches!P653</f>
        <v>Angola</v>
      </c>
      <c r="C653" s="1">
        <f>WorldCupMatches!Q653</f>
        <v>0</v>
      </c>
      <c r="D653" s="1">
        <f>WorldCupMatches!R653</f>
        <v>1</v>
      </c>
      <c r="E653" s="1" t="str">
        <f>WorldCupMatches!S653</f>
        <v>Portugal</v>
      </c>
      <c r="F653" s="1" t="str">
        <f>WorldCupMatches!T653</f>
        <v xml:space="preserve"> </v>
      </c>
      <c r="G653" s="1" t="str">
        <f>WorldCupMatches!U653</f>
        <v>Group stages</v>
      </c>
      <c r="J653" s="1">
        <f>COUNTIF($L$2:L653,L653)</f>
        <v>1</v>
      </c>
      <c r="K653" s="1">
        <f>Table3[[#This Row],[Year]]</f>
        <v>2006</v>
      </c>
      <c r="L653" s="1" t="str">
        <f>Table3[[#This Row],[Hometeam]]</f>
        <v>Angola</v>
      </c>
      <c r="M653" s="1">
        <f>IF(J653=1,J653+ROWS($J$2:J653)/10000,"")</f>
        <v>1.0651999999999999</v>
      </c>
      <c r="N653" s="1" t="str">
        <f>IFERROR(SMALL($M$2:$M$1705,ROWS($M$2:M653)),"")</f>
        <v/>
      </c>
      <c r="O653" s="1" t="str">
        <f>IF(N653&lt;&gt;"",INDEX($L$2:$L$1705,MATCH(N653,$M$2:$M$1705,0)),"")</f>
        <v/>
      </c>
      <c r="P653" s="1" t="str">
        <f>IF(O653&lt;&gt;"",ROWS($O$2:O653),"")</f>
        <v/>
      </c>
    </row>
    <row r="654" spans="1:16" x14ac:dyDescent="0.2">
      <c r="A654" s="1">
        <f>WorldCupMatches!O654</f>
        <v>2006</v>
      </c>
      <c r="B654" s="1" t="str">
        <f>WorldCupMatches!P654</f>
        <v>Australia</v>
      </c>
      <c r="C654" s="1">
        <f>WorldCupMatches!Q654</f>
        <v>3</v>
      </c>
      <c r="D654" s="1">
        <f>WorldCupMatches!R654</f>
        <v>1</v>
      </c>
      <c r="E654" s="1" t="str">
        <f>WorldCupMatches!S654</f>
        <v>Japan</v>
      </c>
      <c r="F654" s="1" t="str">
        <f>WorldCupMatches!T654</f>
        <v xml:space="preserve"> </v>
      </c>
      <c r="G654" s="1" t="str">
        <f>WorldCupMatches!U654</f>
        <v>Group stages</v>
      </c>
      <c r="J654" s="1">
        <f>COUNTIF($L$2:L654,L654)</f>
        <v>3</v>
      </c>
      <c r="K654" s="1">
        <f>Table3[[#This Row],[Year]]</f>
        <v>2006</v>
      </c>
      <c r="L654" s="1" t="str">
        <f>Table3[[#This Row],[Hometeam]]</f>
        <v>Australia</v>
      </c>
      <c r="M654" s="1" t="str">
        <f>IF(J654=1,J654+ROWS($J$2:J654)/10000,"")</f>
        <v/>
      </c>
      <c r="N654" s="1" t="str">
        <f>IFERROR(SMALL($M$2:$M$1705,ROWS($M$2:M654)),"")</f>
        <v/>
      </c>
      <c r="O654" s="1" t="str">
        <f>IF(N654&lt;&gt;"",INDEX($L$2:$L$1705,MATCH(N654,$M$2:$M$1705,0)),"")</f>
        <v/>
      </c>
      <c r="P654" s="1" t="str">
        <f>IF(O654&lt;&gt;"",ROWS($O$2:O654),"")</f>
        <v/>
      </c>
    </row>
    <row r="655" spans="1:16" x14ac:dyDescent="0.2">
      <c r="A655" s="1">
        <f>WorldCupMatches!O655</f>
        <v>2006</v>
      </c>
      <c r="B655" s="1" t="str">
        <f>WorldCupMatches!P655</f>
        <v>USA</v>
      </c>
      <c r="C655" s="1">
        <f>WorldCupMatches!Q655</f>
        <v>0</v>
      </c>
      <c r="D655" s="1">
        <f>WorldCupMatches!R655</f>
        <v>3</v>
      </c>
      <c r="E655" s="1" t="str">
        <f>WorldCupMatches!S655</f>
        <v>Czech Republic</v>
      </c>
      <c r="F655" s="1" t="str">
        <f>WorldCupMatches!T655</f>
        <v xml:space="preserve"> </v>
      </c>
      <c r="G655" s="1" t="str">
        <f>WorldCupMatches!U655</f>
        <v>Group stages</v>
      </c>
      <c r="J655" s="1">
        <f>COUNTIF($L$2:L655,L655)</f>
        <v>11</v>
      </c>
      <c r="K655" s="1">
        <f>Table3[[#This Row],[Year]]</f>
        <v>2006</v>
      </c>
      <c r="L655" s="1" t="str">
        <f>Table3[[#This Row],[Hometeam]]</f>
        <v>USA</v>
      </c>
      <c r="M655" s="1" t="str">
        <f>IF(J655=1,J655+ROWS($J$2:J655)/10000,"")</f>
        <v/>
      </c>
      <c r="N655" s="1" t="str">
        <f>IFERROR(SMALL($M$2:$M$1705,ROWS($M$2:M655)),"")</f>
        <v/>
      </c>
      <c r="O655" s="1" t="str">
        <f>IF(N655&lt;&gt;"",INDEX($L$2:$L$1705,MATCH(N655,$M$2:$M$1705,0)),"")</f>
        <v/>
      </c>
      <c r="P655" s="1" t="str">
        <f>IF(O655&lt;&gt;"",ROWS($O$2:O655),"")</f>
        <v/>
      </c>
    </row>
    <row r="656" spans="1:16" x14ac:dyDescent="0.2">
      <c r="A656" s="1">
        <f>WorldCupMatches!O656</f>
        <v>2006</v>
      </c>
      <c r="B656" s="1" t="str">
        <f>WorldCupMatches!P656</f>
        <v>Italy</v>
      </c>
      <c r="C656" s="1">
        <f>WorldCupMatches!Q656</f>
        <v>2</v>
      </c>
      <c r="D656" s="1">
        <f>WorldCupMatches!R656</f>
        <v>0</v>
      </c>
      <c r="E656" s="1" t="str">
        <f>WorldCupMatches!S656</f>
        <v>Ghana</v>
      </c>
      <c r="F656" s="1" t="str">
        <f>WorldCupMatches!T656</f>
        <v xml:space="preserve"> </v>
      </c>
      <c r="G656" s="1" t="str">
        <f>WorldCupMatches!U656</f>
        <v>Group stages</v>
      </c>
      <c r="J656" s="1">
        <f>COUNTIF($L$2:L656,L656)</f>
        <v>49</v>
      </c>
      <c r="K656" s="1">
        <f>Table3[[#This Row],[Year]]</f>
        <v>2006</v>
      </c>
      <c r="L656" s="1" t="str">
        <f>Table3[[#This Row],[Hometeam]]</f>
        <v>Italy</v>
      </c>
      <c r="M656" s="1" t="str">
        <f>IF(J656=1,J656+ROWS($J$2:J656)/10000,"")</f>
        <v/>
      </c>
      <c r="N656" s="1" t="str">
        <f>IFERROR(SMALL($M$2:$M$1705,ROWS($M$2:M656)),"")</f>
        <v/>
      </c>
      <c r="O656" s="1" t="str">
        <f>IF(N656&lt;&gt;"",INDEX($L$2:$L$1705,MATCH(N656,$M$2:$M$1705,0)),"")</f>
        <v/>
      </c>
      <c r="P656" s="1" t="str">
        <f>IF(O656&lt;&gt;"",ROWS($O$2:O656),"")</f>
        <v/>
      </c>
    </row>
    <row r="657" spans="1:16" x14ac:dyDescent="0.2">
      <c r="A657" s="1">
        <f>WorldCupMatches!O657</f>
        <v>2006</v>
      </c>
      <c r="B657" s="1" t="str">
        <f>WorldCupMatches!P657</f>
        <v>Korea Republic</v>
      </c>
      <c r="C657" s="1">
        <f>WorldCupMatches!Q657</f>
        <v>2</v>
      </c>
      <c r="D657" s="1">
        <f>WorldCupMatches!R657</f>
        <v>1</v>
      </c>
      <c r="E657" s="1" t="str">
        <f>WorldCupMatches!S657</f>
        <v>Togo</v>
      </c>
      <c r="F657" s="1" t="str">
        <f>WorldCupMatches!T657</f>
        <v xml:space="preserve"> </v>
      </c>
      <c r="G657" s="1" t="str">
        <f>WorldCupMatches!U657</f>
        <v>Group stages</v>
      </c>
      <c r="J657" s="1">
        <f>COUNTIF($L$2:L657,L657)</f>
        <v>11</v>
      </c>
      <c r="K657" s="1">
        <f>Table3[[#This Row],[Year]]</f>
        <v>2006</v>
      </c>
      <c r="L657" s="1" t="str">
        <f>Table3[[#This Row],[Hometeam]]</f>
        <v>Korea Republic</v>
      </c>
      <c r="M657" s="1" t="str">
        <f>IF(J657=1,J657+ROWS($J$2:J657)/10000,"")</f>
        <v/>
      </c>
      <c r="N657" s="1" t="str">
        <f>IFERROR(SMALL($M$2:$M$1705,ROWS($M$2:M657)),"")</f>
        <v/>
      </c>
      <c r="O657" s="1" t="str">
        <f>IF(N657&lt;&gt;"",INDEX($L$2:$L$1705,MATCH(N657,$M$2:$M$1705,0)),"")</f>
        <v/>
      </c>
      <c r="P657" s="1" t="str">
        <f>IF(O657&lt;&gt;"",ROWS($O$2:O657),"")</f>
        <v/>
      </c>
    </row>
    <row r="658" spans="1:16" x14ac:dyDescent="0.2">
      <c r="A658" s="1">
        <f>WorldCupMatches!O658</f>
        <v>2006</v>
      </c>
      <c r="B658" s="1" t="str">
        <f>WorldCupMatches!P658</f>
        <v>France</v>
      </c>
      <c r="C658" s="1">
        <f>WorldCupMatches!Q658</f>
        <v>0</v>
      </c>
      <c r="D658" s="1">
        <f>WorldCupMatches!R658</f>
        <v>0</v>
      </c>
      <c r="E658" s="1" t="str">
        <f>WorldCupMatches!S658</f>
        <v>Switzerland</v>
      </c>
      <c r="F658" s="1" t="str">
        <f>WorldCupMatches!T658</f>
        <v xml:space="preserve"> </v>
      </c>
      <c r="G658" s="1" t="str">
        <f>WorldCupMatches!U658</f>
        <v>Group stages</v>
      </c>
      <c r="J658" s="1">
        <f>COUNTIF($L$2:L658,L658)</f>
        <v>23</v>
      </c>
      <c r="K658" s="1">
        <f>Table3[[#This Row],[Year]]</f>
        <v>2006</v>
      </c>
      <c r="L658" s="1" t="str">
        <f>Table3[[#This Row],[Hometeam]]</f>
        <v>France</v>
      </c>
      <c r="M658" s="1" t="str">
        <f>IF(J658=1,J658+ROWS($J$2:J658)/10000,"")</f>
        <v/>
      </c>
      <c r="N658" s="1" t="str">
        <f>IFERROR(SMALL($M$2:$M$1705,ROWS($M$2:M658)),"")</f>
        <v/>
      </c>
      <c r="O658" s="1" t="str">
        <f>IF(N658&lt;&gt;"",INDEX($L$2:$L$1705,MATCH(N658,$M$2:$M$1705,0)),"")</f>
        <v/>
      </c>
      <c r="P658" s="1" t="str">
        <f>IF(O658&lt;&gt;"",ROWS($O$2:O658),"")</f>
        <v/>
      </c>
    </row>
    <row r="659" spans="1:16" x14ac:dyDescent="0.2">
      <c r="A659" s="1">
        <f>WorldCupMatches!O659</f>
        <v>2006</v>
      </c>
      <c r="B659" s="1" t="str">
        <f>WorldCupMatches!P659</f>
        <v>Brazil</v>
      </c>
      <c r="C659" s="1">
        <f>WorldCupMatches!Q659</f>
        <v>1</v>
      </c>
      <c r="D659" s="1">
        <f>WorldCupMatches!R659</f>
        <v>0</v>
      </c>
      <c r="E659" s="1" t="str">
        <f>WorldCupMatches!S659</f>
        <v>Croatia</v>
      </c>
      <c r="F659" s="1" t="str">
        <f>WorldCupMatches!T659</f>
        <v xml:space="preserve"> </v>
      </c>
      <c r="G659" s="1" t="str">
        <f>WorldCupMatches!U659</f>
        <v>Group stages</v>
      </c>
      <c r="J659" s="1">
        <f>COUNTIF($L$2:L659,L659)</f>
        <v>66</v>
      </c>
      <c r="K659" s="1">
        <f>Table3[[#This Row],[Year]]</f>
        <v>2006</v>
      </c>
      <c r="L659" s="1" t="str">
        <f>Table3[[#This Row],[Hometeam]]</f>
        <v>Brazil</v>
      </c>
      <c r="M659" s="1" t="str">
        <f>IF(J659=1,J659+ROWS($J$2:J659)/10000,"")</f>
        <v/>
      </c>
      <c r="N659" s="1" t="str">
        <f>IFERROR(SMALL($M$2:$M$1705,ROWS($M$2:M659)),"")</f>
        <v/>
      </c>
      <c r="O659" s="1" t="str">
        <f>IF(N659&lt;&gt;"",INDEX($L$2:$L$1705,MATCH(N659,$M$2:$M$1705,0)),"")</f>
        <v/>
      </c>
      <c r="P659" s="1" t="str">
        <f>IF(O659&lt;&gt;"",ROWS($O$2:O659),"")</f>
        <v/>
      </c>
    </row>
    <row r="660" spans="1:16" x14ac:dyDescent="0.2">
      <c r="A660" s="1">
        <f>WorldCupMatches!O660</f>
        <v>2006</v>
      </c>
      <c r="B660" s="1" t="str">
        <f>WorldCupMatches!P660</f>
        <v>Spain</v>
      </c>
      <c r="C660" s="1">
        <f>WorldCupMatches!Q660</f>
        <v>4</v>
      </c>
      <c r="D660" s="1">
        <f>WorldCupMatches!R660</f>
        <v>0</v>
      </c>
      <c r="E660" s="1" t="str">
        <f>WorldCupMatches!S660</f>
        <v>Ukraine</v>
      </c>
      <c r="F660" s="1" t="str">
        <f>WorldCupMatches!T660</f>
        <v xml:space="preserve"> </v>
      </c>
      <c r="G660" s="1" t="str">
        <f>WorldCupMatches!U660</f>
        <v>Group stages</v>
      </c>
      <c r="J660" s="1">
        <f>COUNTIF($L$2:L660,L660)</f>
        <v>23</v>
      </c>
      <c r="K660" s="1">
        <f>Table3[[#This Row],[Year]]</f>
        <v>2006</v>
      </c>
      <c r="L660" s="1" t="str">
        <f>Table3[[#This Row],[Hometeam]]</f>
        <v>Spain</v>
      </c>
      <c r="M660" s="1" t="str">
        <f>IF(J660=1,J660+ROWS($J$2:J660)/10000,"")</f>
        <v/>
      </c>
      <c r="N660" s="1" t="str">
        <f>IFERROR(SMALL($M$2:$M$1705,ROWS($M$2:M660)),"")</f>
        <v/>
      </c>
      <c r="O660" s="1" t="str">
        <f>IF(N660&lt;&gt;"",INDEX($L$2:$L$1705,MATCH(N660,$M$2:$M$1705,0)),"")</f>
        <v/>
      </c>
      <c r="P660" s="1" t="str">
        <f>IF(O660&lt;&gt;"",ROWS($O$2:O660),"")</f>
        <v/>
      </c>
    </row>
    <row r="661" spans="1:16" x14ac:dyDescent="0.2">
      <c r="A661" s="1">
        <f>WorldCupMatches!O661</f>
        <v>2006</v>
      </c>
      <c r="B661" s="1" t="str">
        <f>WorldCupMatches!P661</f>
        <v>Tunisia</v>
      </c>
      <c r="C661" s="1">
        <f>WorldCupMatches!Q661</f>
        <v>2</v>
      </c>
      <c r="D661" s="1">
        <f>WorldCupMatches!R661</f>
        <v>2</v>
      </c>
      <c r="E661" s="1" t="str">
        <f>WorldCupMatches!S661</f>
        <v>Saudi Arabia</v>
      </c>
      <c r="F661" s="1" t="str">
        <f>WorldCupMatches!T661</f>
        <v xml:space="preserve"> </v>
      </c>
      <c r="G661" s="1" t="str">
        <f>WorldCupMatches!U661</f>
        <v>Group stages</v>
      </c>
      <c r="J661" s="1">
        <f>COUNTIF($L$2:L661,L661)</f>
        <v>4</v>
      </c>
      <c r="K661" s="1">
        <f>Table3[[#This Row],[Year]]</f>
        <v>2006</v>
      </c>
      <c r="L661" s="1" t="str">
        <f>Table3[[#This Row],[Hometeam]]</f>
        <v>Tunisia</v>
      </c>
      <c r="M661" s="1" t="str">
        <f>IF(J661=1,J661+ROWS($J$2:J661)/10000,"")</f>
        <v/>
      </c>
      <c r="N661" s="1" t="str">
        <f>IFERROR(SMALL($M$2:$M$1705,ROWS($M$2:M661)),"")</f>
        <v/>
      </c>
      <c r="O661" s="1" t="str">
        <f>IF(N661&lt;&gt;"",INDEX($L$2:$L$1705,MATCH(N661,$M$2:$M$1705,0)),"")</f>
        <v/>
      </c>
      <c r="P661" s="1" t="str">
        <f>IF(O661&lt;&gt;"",ROWS($O$2:O661),"")</f>
        <v/>
      </c>
    </row>
    <row r="662" spans="1:16" x14ac:dyDescent="0.2">
      <c r="A662" s="1">
        <f>WorldCupMatches!O662</f>
        <v>2006</v>
      </c>
      <c r="B662" s="1" t="str">
        <f>WorldCupMatches!P662</f>
        <v>Germany</v>
      </c>
      <c r="C662" s="1">
        <f>WorldCupMatches!Q662</f>
        <v>1</v>
      </c>
      <c r="D662" s="1">
        <f>WorldCupMatches!R662</f>
        <v>0</v>
      </c>
      <c r="E662" s="1" t="str">
        <f>WorldCupMatches!S662</f>
        <v>Poland</v>
      </c>
      <c r="F662" s="1" t="str">
        <f>WorldCupMatches!T662</f>
        <v xml:space="preserve"> </v>
      </c>
      <c r="G662" s="1" t="str">
        <f>WorldCupMatches!U662</f>
        <v>Group stages</v>
      </c>
      <c r="J662" s="1">
        <f>COUNTIF($L$2:L662,L662)</f>
        <v>20</v>
      </c>
      <c r="K662" s="1">
        <f>Table3[[#This Row],[Year]]</f>
        <v>2006</v>
      </c>
      <c r="L662" s="1" t="str">
        <f>Table3[[#This Row],[Hometeam]]</f>
        <v>Germany</v>
      </c>
      <c r="M662" s="1" t="str">
        <f>IF(J662=1,J662+ROWS($J$2:J662)/10000,"")</f>
        <v/>
      </c>
      <c r="N662" s="1" t="str">
        <f>IFERROR(SMALL($M$2:$M$1705,ROWS($M$2:M662)),"")</f>
        <v/>
      </c>
      <c r="O662" s="1" t="str">
        <f>IF(N662&lt;&gt;"",INDEX($L$2:$L$1705,MATCH(N662,$M$2:$M$1705,0)),"")</f>
        <v/>
      </c>
      <c r="P662" s="1" t="str">
        <f>IF(O662&lt;&gt;"",ROWS($O$2:O662),"")</f>
        <v/>
      </c>
    </row>
    <row r="663" spans="1:16" x14ac:dyDescent="0.2">
      <c r="A663" s="1">
        <f>WorldCupMatches!O663</f>
        <v>2006</v>
      </c>
      <c r="B663" s="1" t="str">
        <f>WorldCupMatches!P663</f>
        <v>Ecuador</v>
      </c>
      <c r="C663" s="1">
        <f>WorldCupMatches!Q663</f>
        <v>3</v>
      </c>
      <c r="D663" s="1">
        <f>WorldCupMatches!R663</f>
        <v>0</v>
      </c>
      <c r="E663" s="1" t="str">
        <f>WorldCupMatches!S663</f>
        <v>Costa Rica</v>
      </c>
      <c r="F663" s="1" t="str">
        <f>WorldCupMatches!T663</f>
        <v xml:space="preserve"> </v>
      </c>
      <c r="G663" s="1" t="str">
        <f>WorldCupMatches!U663</f>
        <v>Group stages</v>
      </c>
      <c r="J663" s="1">
        <f>COUNTIF($L$2:L663,L663)</f>
        <v>2</v>
      </c>
      <c r="K663" s="1">
        <f>Table3[[#This Row],[Year]]</f>
        <v>2006</v>
      </c>
      <c r="L663" s="1" t="str">
        <f>Table3[[#This Row],[Hometeam]]</f>
        <v>Ecuador</v>
      </c>
      <c r="M663" s="1" t="str">
        <f>IF(J663=1,J663+ROWS($J$2:J663)/10000,"")</f>
        <v/>
      </c>
      <c r="N663" s="1" t="str">
        <f>IFERROR(SMALL($M$2:$M$1705,ROWS($M$2:M663)),"")</f>
        <v/>
      </c>
      <c r="O663" s="1" t="str">
        <f>IF(N663&lt;&gt;"",INDEX($L$2:$L$1705,MATCH(N663,$M$2:$M$1705,0)),"")</f>
        <v/>
      </c>
      <c r="P663" s="1" t="str">
        <f>IF(O663&lt;&gt;"",ROWS($O$2:O663),"")</f>
        <v/>
      </c>
    </row>
    <row r="664" spans="1:16" x14ac:dyDescent="0.2">
      <c r="A664" s="1">
        <f>WorldCupMatches!O664</f>
        <v>2006</v>
      </c>
      <c r="B664" s="1" t="str">
        <f>WorldCupMatches!P664</f>
        <v>England</v>
      </c>
      <c r="C664" s="1">
        <f>WorldCupMatches!Q664</f>
        <v>2</v>
      </c>
      <c r="D664" s="1">
        <f>WorldCupMatches!R664</f>
        <v>0</v>
      </c>
      <c r="E664" s="1" t="str">
        <f>WorldCupMatches!S664</f>
        <v>Trinidad and Tobago</v>
      </c>
      <c r="F664" s="1" t="str">
        <f>WorldCupMatches!T664</f>
        <v xml:space="preserve"> </v>
      </c>
      <c r="G664" s="1" t="str">
        <f>WorldCupMatches!U664</f>
        <v>Group stages</v>
      </c>
      <c r="J664" s="1">
        <f>COUNTIF($L$2:L664,L664)</f>
        <v>30</v>
      </c>
      <c r="K664" s="1">
        <f>Table3[[#This Row],[Year]]</f>
        <v>2006</v>
      </c>
      <c r="L664" s="1" t="str">
        <f>Table3[[#This Row],[Hometeam]]</f>
        <v>England</v>
      </c>
      <c r="M664" s="1" t="str">
        <f>IF(J664=1,J664+ROWS($J$2:J664)/10000,"")</f>
        <v/>
      </c>
      <c r="N664" s="1" t="str">
        <f>IFERROR(SMALL($M$2:$M$1705,ROWS($M$2:M664)),"")</f>
        <v/>
      </c>
      <c r="O664" s="1" t="str">
        <f>IF(N664&lt;&gt;"",INDEX($L$2:$L$1705,MATCH(N664,$M$2:$M$1705,0)),"")</f>
        <v/>
      </c>
      <c r="P664" s="1" t="str">
        <f>IF(O664&lt;&gt;"",ROWS($O$2:O664),"")</f>
        <v/>
      </c>
    </row>
    <row r="665" spans="1:16" x14ac:dyDescent="0.2">
      <c r="A665" s="1">
        <f>WorldCupMatches!O665</f>
        <v>2006</v>
      </c>
      <c r="B665" s="1" t="str">
        <f>WorldCupMatches!P665</f>
        <v>Sweden</v>
      </c>
      <c r="C665" s="1">
        <f>WorldCupMatches!Q665</f>
        <v>1</v>
      </c>
      <c r="D665" s="1">
        <f>WorldCupMatches!R665</f>
        <v>0</v>
      </c>
      <c r="E665" s="1" t="str">
        <f>WorldCupMatches!S665</f>
        <v>Paraguay</v>
      </c>
      <c r="F665" s="1" t="str">
        <f>WorldCupMatches!T665</f>
        <v xml:space="preserve"> </v>
      </c>
      <c r="G665" s="1" t="str">
        <f>WorldCupMatches!U665</f>
        <v>Group stages</v>
      </c>
      <c r="J665" s="1">
        <f>COUNTIF($L$2:L665,L665)</f>
        <v>26</v>
      </c>
      <c r="K665" s="1">
        <f>Table3[[#This Row],[Year]]</f>
        <v>2006</v>
      </c>
      <c r="L665" s="1" t="str">
        <f>Table3[[#This Row],[Hometeam]]</f>
        <v>Sweden</v>
      </c>
      <c r="M665" s="1" t="str">
        <f>IF(J665=1,J665+ROWS($J$2:J665)/10000,"")</f>
        <v/>
      </c>
      <c r="N665" s="1" t="str">
        <f>IFERROR(SMALL($M$2:$M$1705,ROWS($M$2:M665)),"")</f>
        <v/>
      </c>
      <c r="O665" s="1" t="str">
        <f>IF(N665&lt;&gt;"",INDEX($L$2:$L$1705,MATCH(N665,$M$2:$M$1705,0)),"")</f>
        <v/>
      </c>
      <c r="P665" s="1" t="str">
        <f>IF(O665&lt;&gt;"",ROWS($O$2:O665),"")</f>
        <v/>
      </c>
    </row>
    <row r="666" spans="1:16" x14ac:dyDescent="0.2">
      <c r="A666" s="1">
        <f>WorldCupMatches!O666</f>
        <v>2006</v>
      </c>
      <c r="B666" s="1" t="str">
        <f>WorldCupMatches!P666</f>
        <v>Argentina</v>
      </c>
      <c r="C666" s="1">
        <f>WorldCupMatches!Q666</f>
        <v>6</v>
      </c>
      <c r="D666" s="1">
        <f>WorldCupMatches!R666</f>
        <v>0</v>
      </c>
      <c r="E666" s="1" t="str">
        <f>WorldCupMatches!S666</f>
        <v>Serbia and Montenegro</v>
      </c>
      <c r="F666" s="1" t="str">
        <f>WorldCupMatches!T666</f>
        <v xml:space="preserve"> </v>
      </c>
      <c r="G666" s="1" t="str">
        <f>WorldCupMatches!U666</f>
        <v>Group stages</v>
      </c>
      <c r="J666" s="1">
        <f>COUNTIF($L$2:L666,L666)</f>
        <v>43</v>
      </c>
      <c r="K666" s="1">
        <f>Table3[[#This Row],[Year]]</f>
        <v>2006</v>
      </c>
      <c r="L666" s="1" t="str">
        <f>Table3[[#This Row],[Hometeam]]</f>
        <v>Argentina</v>
      </c>
      <c r="M666" s="1" t="str">
        <f>IF(J666=1,J666+ROWS($J$2:J666)/10000,"")</f>
        <v/>
      </c>
      <c r="N666" s="1" t="str">
        <f>IFERROR(SMALL($M$2:$M$1705,ROWS($M$2:M666)),"")</f>
        <v/>
      </c>
      <c r="O666" s="1" t="str">
        <f>IF(N666&lt;&gt;"",INDEX($L$2:$L$1705,MATCH(N666,$M$2:$M$1705,0)),"")</f>
        <v/>
      </c>
      <c r="P666" s="1" t="str">
        <f>IF(O666&lt;&gt;"",ROWS($O$2:O666),"")</f>
        <v/>
      </c>
    </row>
    <row r="667" spans="1:16" x14ac:dyDescent="0.2">
      <c r="A667" s="1">
        <f>WorldCupMatches!O667</f>
        <v>2006</v>
      </c>
      <c r="B667" s="1" t="str">
        <f>WorldCupMatches!P667</f>
        <v>Netherlands</v>
      </c>
      <c r="C667" s="1">
        <f>WorldCupMatches!Q667</f>
        <v>2</v>
      </c>
      <c r="D667" s="1">
        <f>WorldCupMatches!R667</f>
        <v>1</v>
      </c>
      <c r="E667" s="1" t="str">
        <f>WorldCupMatches!S667</f>
        <v>Cï¿½te d'Ivoire</v>
      </c>
      <c r="F667" s="1" t="str">
        <f>WorldCupMatches!T667</f>
        <v xml:space="preserve"> </v>
      </c>
      <c r="G667" s="1" t="str">
        <f>WorldCupMatches!U667</f>
        <v>Group stages</v>
      </c>
      <c r="J667" s="1">
        <f>COUNTIF($L$2:L667,L667)</f>
        <v>19</v>
      </c>
      <c r="K667" s="1">
        <f>Table3[[#This Row],[Year]]</f>
        <v>2006</v>
      </c>
      <c r="L667" s="1" t="str">
        <f>Table3[[#This Row],[Hometeam]]</f>
        <v>Netherlands</v>
      </c>
      <c r="M667" s="1" t="str">
        <f>IF(J667=1,J667+ROWS($J$2:J667)/10000,"")</f>
        <v/>
      </c>
      <c r="N667" s="1" t="str">
        <f>IFERROR(SMALL($M$2:$M$1705,ROWS($M$2:M667)),"")</f>
        <v/>
      </c>
      <c r="O667" s="1" t="str">
        <f>IF(N667&lt;&gt;"",INDEX($L$2:$L$1705,MATCH(N667,$M$2:$M$1705,0)),"")</f>
        <v/>
      </c>
      <c r="P667" s="1" t="str">
        <f>IF(O667&lt;&gt;"",ROWS($O$2:O667),"")</f>
        <v/>
      </c>
    </row>
    <row r="668" spans="1:16" x14ac:dyDescent="0.2">
      <c r="A668" s="1">
        <f>WorldCupMatches!O668</f>
        <v>2006</v>
      </c>
      <c r="B668" s="1" t="str">
        <f>WorldCupMatches!P668</f>
        <v>Mexico</v>
      </c>
      <c r="C668" s="1">
        <f>WorldCupMatches!Q668</f>
        <v>0</v>
      </c>
      <c r="D668" s="1">
        <f>WorldCupMatches!R668</f>
        <v>0</v>
      </c>
      <c r="E668" s="1" t="str">
        <f>WorldCupMatches!S668</f>
        <v>Angola</v>
      </c>
      <c r="F668" s="1" t="str">
        <f>WorldCupMatches!T668</f>
        <v xml:space="preserve"> </v>
      </c>
      <c r="G668" s="1" t="str">
        <f>WorldCupMatches!U668</f>
        <v>Group stages</v>
      </c>
      <c r="J668" s="1">
        <f>COUNTIF($L$2:L668,L668)</f>
        <v>14</v>
      </c>
      <c r="K668" s="1">
        <f>Table3[[#This Row],[Year]]</f>
        <v>2006</v>
      </c>
      <c r="L668" s="1" t="str">
        <f>Table3[[#This Row],[Hometeam]]</f>
        <v>Mexico</v>
      </c>
      <c r="M668" s="1" t="str">
        <f>IF(J668=1,J668+ROWS($J$2:J668)/10000,"")</f>
        <v/>
      </c>
      <c r="N668" s="1" t="str">
        <f>IFERROR(SMALL($M$2:$M$1705,ROWS($M$2:M668)),"")</f>
        <v/>
      </c>
      <c r="O668" s="1" t="str">
        <f>IF(N668&lt;&gt;"",INDEX($L$2:$L$1705,MATCH(N668,$M$2:$M$1705,0)),"")</f>
        <v/>
      </c>
      <c r="P668" s="1" t="str">
        <f>IF(O668&lt;&gt;"",ROWS($O$2:O668),"")</f>
        <v/>
      </c>
    </row>
    <row r="669" spans="1:16" x14ac:dyDescent="0.2">
      <c r="A669" s="1">
        <f>WorldCupMatches!O669</f>
        <v>2006</v>
      </c>
      <c r="B669" s="1" t="str">
        <f>WorldCupMatches!P669</f>
        <v>Portugal</v>
      </c>
      <c r="C669" s="1">
        <f>WorldCupMatches!Q669</f>
        <v>2</v>
      </c>
      <c r="D669" s="1">
        <f>WorldCupMatches!R669</f>
        <v>0</v>
      </c>
      <c r="E669" s="1" t="str">
        <f>WorldCupMatches!S669</f>
        <v>IR Iran</v>
      </c>
      <c r="F669" s="1" t="str">
        <f>WorldCupMatches!T669</f>
        <v xml:space="preserve"> </v>
      </c>
      <c r="G669" s="1" t="str">
        <f>WorldCupMatches!U669</f>
        <v>Group stages</v>
      </c>
      <c r="J669" s="1">
        <f>COUNTIF($L$2:L669,L669)</f>
        <v>10</v>
      </c>
      <c r="K669" s="1">
        <f>Table3[[#This Row],[Year]]</f>
        <v>2006</v>
      </c>
      <c r="L669" s="1" t="str">
        <f>Table3[[#This Row],[Hometeam]]</f>
        <v>Portugal</v>
      </c>
      <c r="M669" s="1" t="str">
        <f>IF(J669=1,J669+ROWS($J$2:J669)/10000,"")</f>
        <v/>
      </c>
      <c r="N669" s="1" t="str">
        <f>IFERROR(SMALL($M$2:$M$1705,ROWS($M$2:M669)),"")</f>
        <v/>
      </c>
      <c r="O669" s="1" t="str">
        <f>IF(N669&lt;&gt;"",INDEX($L$2:$L$1705,MATCH(N669,$M$2:$M$1705,0)),"")</f>
        <v/>
      </c>
      <c r="P669" s="1" t="str">
        <f>IF(O669&lt;&gt;"",ROWS($O$2:O669),"")</f>
        <v/>
      </c>
    </row>
    <row r="670" spans="1:16" x14ac:dyDescent="0.2">
      <c r="A670" s="1">
        <f>WorldCupMatches!O670</f>
        <v>2006</v>
      </c>
      <c r="B670" s="1" t="str">
        <f>WorldCupMatches!P670</f>
        <v>Czech Republic</v>
      </c>
      <c r="C670" s="1">
        <f>WorldCupMatches!Q670</f>
        <v>0</v>
      </c>
      <c r="D670" s="1">
        <f>WorldCupMatches!R670</f>
        <v>2</v>
      </c>
      <c r="E670" s="1" t="str">
        <f>WorldCupMatches!S670</f>
        <v>Ghana</v>
      </c>
      <c r="F670" s="1" t="str">
        <f>WorldCupMatches!T670</f>
        <v xml:space="preserve"> </v>
      </c>
      <c r="G670" s="1" t="str">
        <f>WorldCupMatches!U670</f>
        <v>Group stages</v>
      </c>
      <c r="J670" s="1">
        <f>COUNTIF($L$2:L670,L670)</f>
        <v>1</v>
      </c>
      <c r="K670" s="1">
        <f>Table3[[#This Row],[Year]]</f>
        <v>2006</v>
      </c>
      <c r="L670" s="1" t="str">
        <f>Table3[[#This Row],[Hometeam]]</f>
        <v>Czech Republic</v>
      </c>
      <c r="M670" s="1">
        <f>IF(J670=1,J670+ROWS($J$2:J670)/10000,"")</f>
        <v>1.0669</v>
      </c>
      <c r="N670" s="1" t="str">
        <f>IFERROR(SMALL($M$2:$M$1705,ROWS($M$2:M670)),"")</f>
        <v/>
      </c>
      <c r="O670" s="1" t="str">
        <f>IF(N670&lt;&gt;"",INDEX($L$2:$L$1705,MATCH(N670,$M$2:$M$1705,0)),"")</f>
        <v/>
      </c>
      <c r="P670" s="1" t="str">
        <f>IF(O670&lt;&gt;"",ROWS($O$2:O670),"")</f>
        <v/>
      </c>
    </row>
    <row r="671" spans="1:16" x14ac:dyDescent="0.2">
      <c r="A671" s="1">
        <f>WorldCupMatches!O671</f>
        <v>2006</v>
      </c>
      <c r="B671" s="1" t="str">
        <f>WorldCupMatches!P671</f>
        <v>Italy</v>
      </c>
      <c r="C671" s="1">
        <f>WorldCupMatches!Q671</f>
        <v>1</v>
      </c>
      <c r="D671" s="1">
        <f>WorldCupMatches!R671</f>
        <v>1</v>
      </c>
      <c r="E671" s="1" t="str">
        <f>WorldCupMatches!S671</f>
        <v>USA</v>
      </c>
      <c r="F671" s="1" t="str">
        <f>WorldCupMatches!T671</f>
        <v xml:space="preserve"> </v>
      </c>
      <c r="G671" s="1" t="str">
        <f>WorldCupMatches!U671</f>
        <v>Group stages</v>
      </c>
      <c r="J671" s="1">
        <f>COUNTIF($L$2:L671,L671)</f>
        <v>50</v>
      </c>
      <c r="K671" s="1">
        <f>Table3[[#This Row],[Year]]</f>
        <v>2006</v>
      </c>
      <c r="L671" s="1" t="str">
        <f>Table3[[#This Row],[Hometeam]]</f>
        <v>Italy</v>
      </c>
      <c r="M671" s="1" t="str">
        <f>IF(J671=1,J671+ROWS($J$2:J671)/10000,"")</f>
        <v/>
      </c>
      <c r="N671" s="1" t="str">
        <f>IFERROR(SMALL($M$2:$M$1705,ROWS($M$2:M671)),"")</f>
        <v/>
      </c>
      <c r="O671" s="1" t="str">
        <f>IF(N671&lt;&gt;"",INDEX($L$2:$L$1705,MATCH(N671,$M$2:$M$1705,0)),"")</f>
        <v/>
      </c>
      <c r="P671" s="1" t="str">
        <f>IF(O671&lt;&gt;"",ROWS($O$2:O671),"")</f>
        <v/>
      </c>
    </row>
    <row r="672" spans="1:16" x14ac:dyDescent="0.2">
      <c r="A672" s="1">
        <f>WorldCupMatches!O672</f>
        <v>2006</v>
      </c>
      <c r="B672" s="1" t="str">
        <f>WorldCupMatches!P672</f>
        <v>Japan</v>
      </c>
      <c r="C672" s="1">
        <f>WorldCupMatches!Q672</f>
        <v>0</v>
      </c>
      <c r="D672" s="1">
        <f>WorldCupMatches!R672</f>
        <v>0</v>
      </c>
      <c r="E672" s="1" t="str">
        <f>WorldCupMatches!S672</f>
        <v>Croatia</v>
      </c>
      <c r="F672" s="1" t="str">
        <f>WorldCupMatches!T672</f>
        <v xml:space="preserve"> </v>
      </c>
      <c r="G672" s="1" t="str">
        <f>WorldCupMatches!U672</f>
        <v>Group stages</v>
      </c>
      <c r="J672" s="1">
        <f>COUNTIF($L$2:L672,L672)</f>
        <v>6</v>
      </c>
      <c r="K672" s="1">
        <f>Table3[[#This Row],[Year]]</f>
        <v>2006</v>
      </c>
      <c r="L672" s="1" t="str">
        <f>Table3[[#This Row],[Hometeam]]</f>
        <v>Japan</v>
      </c>
      <c r="M672" s="1" t="str">
        <f>IF(J672=1,J672+ROWS($J$2:J672)/10000,"")</f>
        <v/>
      </c>
      <c r="N672" s="1" t="str">
        <f>IFERROR(SMALL($M$2:$M$1705,ROWS($M$2:M672)),"")</f>
        <v/>
      </c>
      <c r="O672" s="1" t="str">
        <f>IF(N672&lt;&gt;"",INDEX($L$2:$L$1705,MATCH(N672,$M$2:$M$1705,0)),"")</f>
        <v/>
      </c>
      <c r="P672" s="1" t="str">
        <f>IF(O672&lt;&gt;"",ROWS($O$2:O672),"")</f>
        <v/>
      </c>
    </row>
    <row r="673" spans="1:16" x14ac:dyDescent="0.2">
      <c r="A673" s="1">
        <f>WorldCupMatches!O673</f>
        <v>2006</v>
      </c>
      <c r="B673" s="1" t="str">
        <f>WorldCupMatches!P673</f>
        <v>Brazil</v>
      </c>
      <c r="C673" s="1">
        <f>WorldCupMatches!Q673</f>
        <v>2</v>
      </c>
      <c r="D673" s="1">
        <f>WorldCupMatches!R673</f>
        <v>0</v>
      </c>
      <c r="E673" s="1" t="str">
        <f>WorldCupMatches!S673</f>
        <v>Australia</v>
      </c>
      <c r="F673" s="1" t="str">
        <f>WorldCupMatches!T673</f>
        <v xml:space="preserve"> </v>
      </c>
      <c r="G673" s="1" t="str">
        <f>WorldCupMatches!U673</f>
        <v>Group stages</v>
      </c>
      <c r="J673" s="1">
        <f>COUNTIF($L$2:L673,L673)</f>
        <v>67</v>
      </c>
      <c r="K673" s="1">
        <f>Table3[[#This Row],[Year]]</f>
        <v>2006</v>
      </c>
      <c r="L673" s="1" t="str">
        <f>Table3[[#This Row],[Hometeam]]</f>
        <v>Brazil</v>
      </c>
      <c r="M673" s="1" t="str">
        <f>IF(J673=1,J673+ROWS($J$2:J673)/10000,"")</f>
        <v/>
      </c>
      <c r="N673" s="1" t="str">
        <f>IFERROR(SMALL($M$2:$M$1705,ROWS($M$2:M673)),"")</f>
        <v/>
      </c>
      <c r="O673" s="1" t="str">
        <f>IF(N673&lt;&gt;"",INDEX($L$2:$L$1705,MATCH(N673,$M$2:$M$1705,0)),"")</f>
        <v/>
      </c>
      <c r="P673" s="1" t="str">
        <f>IF(O673&lt;&gt;"",ROWS($O$2:O673),"")</f>
        <v/>
      </c>
    </row>
    <row r="674" spans="1:16" x14ac:dyDescent="0.2">
      <c r="A674" s="1">
        <f>WorldCupMatches!O674</f>
        <v>2006</v>
      </c>
      <c r="B674" s="1" t="str">
        <f>WorldCupMatches!P674</f>
        <v>France</v>
      </c>
      <c r="C674" s="1">
        <f>WorldCupMatches!Q674</f>
        <v>1</v>
      </c>
      <c r="D674" s="1">
        <f>WorldCupMatches!R674</f>
        <v>1</v>
      </c>
      <c r="E674" s="1" t="str">
        <f>WorldCupMatches!S674</f>
        <v>Korea Republic</v>
      </c>
      <c r="F674" s="1" t="str">
        <f>WorldCupMatches!T674</f>
        <v xml:space="preserve"> </v>
      </c>
      <c r="G674" s="1" t="str">
        <f>WorldCupMatches!U674</f>
        <v>Group stages</v>
      </c>
      <c r="J674" s="1">
        <f>COUNTIF($L$2:L674,L674)</f>
        <v>24</v>
      </c>
      <c r="K674" s="1">
        <f>Table3[[#This Row],[Year]]</f>
        <v>2006</v>
      </c>
      <c r="L674" s="1" t="str">
        <f>Table3[[#This Row],[Hometeam]]</f>
        <v>France</v>
      </c>
      <c r="M674" s="1" t="str">
        <f>IF(J674=1,J674+ROWS($J$2:J674)/10000,"")</f>
        <v/>
      </c>
      <c r="N674" s="1" t="str">
        <f>IFERROR(SMALL($M$2:$M$1705,ROWS($M$2:M674)),"")</f>
        <v/>
      </c>
      <c r="O674" s="1" t="str">
        <f>IF(N674&lt;&gt;"",INDEX($L$2:$L$1705,MATCH(N674,$M$2:$M$1705,0)),"")</f>
        <v/>
      </c>
      <c r="P674" s="1" t="str">
        <f>IF(O674&lt;&gt;"",ROWS($O$2:O674),"")</f>
        <v/>
      </c>
    </row>
    <row r="675" spans="1:16" x14ac:dyDescent="0.2">
      <c r="A675" s="1">
        <f>WorldCupMatches!O675</f>
        <v>2006</v>
      </c>
      <c r="B675" s="1" t="str">
        <f>WorldCupMatches!P675</f>
        <v>Togo</v>
      </c>
      <c r="C675" s="1">
        <f>WorldCupMatches!Q675</f>
        <v>0</v>
      </c>
      <c r="D675" s="1">
        <f>WorldCupMatches!R675</f>
        <v>2</v>
      </c>
      <c r="E675" s="1" t="str">
        <f>WorldCupMatches!S675</f>
        <v>Switzerland</v>
      </c>
      <c r="F675" s="1" t="str">
        <f>WorldCupMatches!T675</f>
        <v xml:space="preserve"> </v>
      </c>
      <c r="G675" s="1" t="str">
        <f>WorldCupMatches!U675</f>
        <v>Group stages</v>
      </c>
      <c r="J675" s="1">
        <f>COUNTIF($L$2:L675,L675)</f>
        <v>1</v>
      </c>
      <c r="K675" s="1">
        <f>Table3[[#This Row],[Year]]</f>
        <v>2006</v>
      </c>
      <c r="L675" s="1" t="str">
        <f>Table3[[#This Row],[Hometeam]]</f>
        <v>Togo</v>
      </c>
      <c r="M675" s="1">
        <f>IF(J675=1,J675+ROWS($J$2:J675)/10000,"")</f>
        <v>1.0673999999999999</v>
      </c>
      <c r="N675" s="1" t="str">
        <f>IFERROR(SMALL($M$2:$M$1705,ROWS($M$2:M675)),"")</f>
        <v/>
      </c>
      <c r="O675" s="1" t="str">
        <f>IF(N675&lt;&gt;"",INDEX($L$2:$L$1705,MATCH(N675,$M$2:$M$1705,0)),"")</f>
        <v/>
      </c>
      <c r="P675" s="1" t="str">
        <f>IF(O675&lt;&gt;"",ROWS($O$2:O675),"")</f>
        <v/>
      </c>
    </row>
    <row r="676" spans="1:16" x14ac:dyDescent="0.2">
      <c r="A676" s="1">
        <f>WorldCupMatches!O676</f>
        <v>2006</v>
      </c>
      <c r="B676" s="1" t="str">
        <f>WorldCupMatches!P676</f>
        <v>Saudi Arabia</v>
      </c>
      <c r="C676" s="1">
        <f>WorldCupMatches!Q676</f>
        <v>0</v>
      </c>
      <c r="D676" s="1">
        <f>WorldCupMatches!R676</f>
        <v>4</v>
      </c>
      <c r="E676" s="1" t="str">
        <f>WorldCupMatches!S676</f>
        <v>Ukraine</v>
      </c>
      <c r="F676" s="1" t="str">
        <f>WorldCupMatches!T676</f>
        <v xml:space="preserve"> </v>
      </c>
      <c r="G676" s="1" t="str">
        <f>WorldCupMatches!U676</f>
        <v>Group stages</v>
      </c>
      <c r="J676" s="1">
        <f>COUNTIF($L$2:L676,L676)</f>
        <v>5</v>
      </c>
      <c r="K676" s="1">
        <f>Table3[[#This Row],[Year]]</f>
        <v>2006</v>
      </c>
      <c r="L676" s="1" t="str">
        <f>Table3[[#This Row],[Hometeam]]</f>
        <v>Saudi Arabia</v>
      </c>
      <c r="M676" s="1" t="str">
        <f>IF(J676=1,J676+ROWS($J$2:J676)/10000,"")</f>
        <v/>
      </c>
      <c r="N676" s="1" t="str">
        <f>IFERROR(SMALL($M$2:$M$1705,ROWS($M$2:M676)),"")</f>
        <v/>
      </c>
      <c r="O676" s="1" t="str">
        <f>IF(N676&lt;&gt;"",INDEX($L$2:$L$1705,MATCH(N676,$M$2:$M$1705,0)),"")</f>
        <v/>
      </c>
      <c r="P676" s="1" t="str">
        <f>IF(O676&lt;&gt;"",ROWS($O$2:O676),"")</f>
        <v/>
      </c>
    </row>
    <row r="677" spans="1:16" x14ac:dyDescent="0.2">
      <c r="A677" s="1">
        <f>WorldCupMatches!O677</f>
        <v>2006</v>
      </c>
      <c r="B677" s="1" t="str">
        <f>WorldCupMatches!P677</f>
        <v>Spain</v>
      </c>
      <c r="C677" s="1">
        <f>WorldCupMatches!Q677</f>
        <v>3</v>
      </c>
      <c r="D677" s="1">
        <f>WorldCupMatches!R677</f>
        <v>1</v>
      </c>
      <c r="E677" s="1" t="str">
        <f>WorldCupMatches!S677</f>
        <v>Tunisia</v>
      </c>
      <c r="F677" s="1" t="str">
        <f>WorldCupMatches!T677</f>
        <v xml:space="preserve"> </v>
      </c>
      <c r="G677" s="1" t="str">
        <f>WorldCupMatches!U677</f>
        <v>Group stages</v>
      </c>
      <c r="J677" s="1">
        <f>COUNTIF($L$2:L677,L677)</f>
        <v>24</v>
      </c>
      <c r="K677" s="1">
        <f>Table3[[#This Row],[Year]]</f>
        <v>2006</v>
      </c>
      <c r="L677" s="1" t="str">
        <f>Table3[[#This Row],[Hometeam]]</f>
        <v>Spain</v>
      </c>
      <c r="M677" s="1" t="str">
        <f>IF(J677=1,J677+ROWS($J$2:J677)/10000,"")</f>
        <v/>
      </c>
      <c r="N677" s="1" t="str">
        <f>IFERROR(SMALL($M$2:$M$1705,ROWS($M$2:M677)),"")</f>
        <v/>
      </c>
      <c r="O677" s="1" t="str">
        <f>IF(N677&lt;&gt;"",INDEX($L$2:$L$1705,MATCH(N677,$M$2:$M$1705,0)),"")</f>
        <v/>
      </c>
      <c r="P677" s="1" t="str">
        <f>IF(O677&lt;&gt;"",ROWS($O$2:O677),"")</f>
        <v/>
      </c>
    </row>
    <row r="678" spans="1:16" x14ac:dyDescent="0.2">
      <c r="A678" s="1">
        <f>WorldCupMatches!O678</f>
        <v>2006</v>
      </c>
      <c r="B678" s="1" t="str">
        <f>WorldCupMatches!P678</f>
        <v>Ecuador</v>
      </c>
      <c r="C678" s="1">
        <f>WorldCupMatches!Q678</f>
        <v>0</v>
      </c>
      <c r="D678" s="1">
        <f>WorldCupMatches!R678</f>
        <v>3</v>
      </c>
      <c r="E678" s="1" t="str">
        <f>WorldCupMatches!S678</f>
        <v>Germany</v>
      </c>
      <c r="F678" s="1" t="str">
        <f>WorldCupMatches!T678</f>
        <v xml:space="preserve"> </v>
      </c>
      <c r="G678" s="1" t="str">
        <f>WorldCupMatches!U678</f>
        <v>Group stages</v>
      </c>
      <c r="J678" s="1">
        <f>COUNTIF($L$2:L678,L678)</f>
        <v>3</v>
      </c>
      <c r="K678" s="1">
        <f>Table3[[#This Row],[Year]]</f>
        <v>2006</v>
      </c>
      <c r="L678" s="1" t="str">
        <f>Table3[[#This Row],[Hometeam]]</f>
        <v>Ecuador</v>
      </c>
      <c r="M678" s="1" t="str">
        <f>IF(J678=1,J678+ROWS($J$2:J678)/10000,"")</f>
        <v/>
      </c>
      <c r="N678" s="1" t="str">
        <f>IFERROR(SMALL($M$2:$M$1705,ROWS($M$2:M678)),"")</f>
        <v/>
      </c>
      <c r="O678" s="1" t="str">
        <f>IF(N678&lt;&gt;"",INDEX($L$2:$L$1705,MATCH(N678,$M$2:$M$1705,0)),"")</f>
        <v/>
      </c>
      <c r="P678" s="1" t="str">
        <f>IF(O678&lt;&gt;"",ROWS($O$2:O678),"")</f>
        <v/>
      </c>
    </row>
    <row r="679" spans="1:16" x14ac:dyDescent="0.2">
      <c r="A679" s="1">
        <f>WorldCupMatches!O679</f>
        <v>2006</v>
      </c>
      <c r="B679" s="1" t="str">
        <f>WorldCupMatches!P679</f>
        <v>Costa Rica</v>
      </c>
      <c r="C679" s="1">
        <f>WorldCupMatches!Q679</f>
        <v>1</v>
      </c>
      <c r="D679" s="1">
        <f>WorldCupMatches!R679</f>
        <v>2</v>
      </c>
      <c r="E679" s="1" t="str">
        <f>WorldCupMatches!S679</f>
        <v>Poland</v>
      </c>
      <c r="F679" s="1" t="str">
        <f>WorldCupMatches!T679</f>
        <v xml:space="preserve"> </v>
      </c>
      <c r="G679" s="1" t="str">
        <f>WorldCupMatches!U679</f>
        <v>Group stages</v>
      </c>
      <c r="J679" s="1">
        <f>COUNTIF($L$2:L679,L679)</f>
        <v>4</v>
      </c>
      <c r="K679" s="1">
        <f>Table3[[#This Row],[Year]]</f>
        <v>2006</v>
      </c>
      <c r="L679" s="1" t="str">
        <f>Table3[[#This Row],[Hometeam]]</f>
        <v>Costa Rica</v>
      </c>
      <c r="M679" s="1" t="str">
        <f>IF(J679=1,J679+ROWS($J$2:J679)/10000,"")</f>
        <v/>
      </c>
      <c r="N679" s="1" t="str">
        <f>IFERROR(SMALL($M$2:$M$1705,ROWS($M$2:M679)),"")</f>
        <v/>
      </c>
      <c r="O679" s="1" t="str">
        <f>IF(N679&lt;&gt;"",INDEX($L$2:$L$1705,MATCH(N679,$M$2:$M$1705,0)),"")</f>
        <v/>
      </c>
      <c r="P679" s="1" t="str">
        <f>IF(O679&lt;&gt;"",ROWS($O$2:O679),"")</f>
        <v/>
      </c>
    </row>
    <row r="680" spans="1:16" x14ac:dyDescent="0.2">
      <c r="A680" s="1">
        <f>WorldCupMatches!O680</f>
        <v>2006</v>
      </c>
      <c r="B680" s="1" t="str">
        <f>WorldCupMatches!P680</f>
        <v>Sweden</v>
      </c>
      <c r="C680" s="1">
        <f>WorldCupMatches!Q680</f>
        <v>2</v>
      </c>
      <c r="D680" s="1">
        <f>WorldCupMatches!R680</f>
        <v>2</v>
      </c>
      <c r="E680" s="1" t="str">
        <f>WorldCupMatches!S680</f>
        <v>England</v>
      </c>
      <c r="F680" s="1" t="str">
        <f>WorldCupMatches!T680</f>
        <v xml:space="preserve"> </v>
      </c>
      <c r="G680" s="1" t="str">
        <f>WorldCupMatches!U680</f>
        <v>Group stages</v>
      </c>
      <c r="J680" s="1">
        <f>COUNTIF($L$2:L680,L680)</f>
        <v>27</v>
      </c>
      <c r="K680" s="1">
        <f>Table3[[#This Row],[Year]]</f>
        <v>2006</v>
      </c>
      <c r="L680" s="1" t="str">
        <f>Table3[[#This Row],[Hometeam]]</f>
        <v>Sweden</v>
      </c>
      <c r="M680" s="1" t="str">
        <f>IF(J680=1,J680+ROWS($J$2:J680)/10000,"")</f>
        <v/>
      </c>
      <c r="N680" s="1" t="str">
        <f>IFERROR(SMALL($M$2:$M$1705,ROWS($M$2:M680)),"")</f>
        <v/>
      </c>
      <c r="O680" s="1" t="str">
        <f>IF(N680&lt;&gt;"",INDEX($L$2:$L$1705,MATCH(N680,$M$2:$M$1705,0)),"")</f>
        <v/>
      </c>
      <c r="P680" s="1" t="str">
        <f>IF(O680&lt;&gt;"",ROWS($O$2:O680),"")</f>
        <v/>
      </c>
    </row>
    <row r="681" spans="1:16" x14ac:dyDescent="0.2">
      <c r="A681" s="1">
        <f>WorldCupMatches!O681</f>
        <v>2006</v>
      </c>
      <c r="B681" s="1" t="str">
        <f>WorldCupMatches!P681</f>
        <v>Paraguay</v>
      </c>
      <c r="C681" s="1">
        <f>WorldCupMatches!Q681</f>
        <v>2</v>
      </c>
      <c r="D681" s="1">
        <f>WorldCupMatches!R681</f>
        <v>0</v>
      </c>
      <c r="E681" s="1" t="str">
        <f>WorldCupMatches!S681</f>
        <v>Trinidad and Tobago</v>
      </c>
      <c r="F681" s="1" t="str">
        <f>WorldCupMatches!T681</f>
        <v xml:space="preserve"> </v>
      </c>
      <c r="G681" s="1" t="str">
        <f>WorldCupMatches!U681</f>
        <v>Group stages</v>
      </c>
      <c r="J681" s="1">
        <f>COUNTIF($L$2:L681,L681)</f>
        <v>8</v>
      </c>
      <c r="K681" s="1">
        <f>Table3[[#This Row],[Year]]</f>
        <v>2006</v>
      </c>
      <c r="L681" s="1" t="str">
        <f>Table3[[#This Row],[Hometeam]]</f>
        <v>Paraguay</v>
      </c>
      <c r="M681" s="1" t="str">
        <f>IF(J681=1,J681+ROWS($J$2:J681)/10000,"")</f>
        <v/>
      </c>
      <c r="N681" s="1" t="str">
        <f>IFERROR(SMALL($M$2:$M$1705,ROWS($M$2:M681)),"")</f>
        <v/>
      </c>
      <c r="O681" s="1" t="str">
        <f>IF(N681&lt;&gt;"",INDEX($L$2:$L$1705,MATCH(N681,$M$2:$M$1705,0)),"")</f>
        <v/>
      </c>
      <c r="P681" s="1" t="str">
        <f>IF(O681&lt;&gt;"",ROWS($O$2:O681),"")</f>
        <v/>
      </c>
    </row>
    <row r="682" spans="1:16" x14ac:dyDescent="0.2">
      <c r="A682" s="1">
        <f>WorldCupMatches!O682</f>
        <v>2006</v>
      </c>
      <c r="B682" s="1" t="str">
        <f>WorldCupMatches!P682</f>
        <v>Iran</v>
      </c>
      <c r="C682" s="1">
        <f>WorldCupMatches!Q682</f>
        <v>1</v>
      </c>
      <c r="D682" s="1">
        <f>WorldCupMatches!R682</f>
        <v>1</v>
      </c>
      <c r="E682" s="1" t="str">
        <f>WorldCupMatches!S682</f>
        <v>Angola</v>
      </c>
      <c r="F682" s="1" t="str">
        <f>WorldCupMatches!T682</f>
        <v xml:space="preserve"> </v>
      </c>
      <c r="G682" s="1" t="str">
        <f>WorldCupMatches!U682</f>
        <v>Group stages</v>
      </c>
      <c r="J682" s="1">
        <f>COUNTIF($L$2:L682,L682)</f>
        <v>1</v>
      </c>
      <c r="K682" s="1">
        <f>Table3[[#This Row],[Year]]</f>
        <v>2006</v>
      </c>
      <c r="L682" s="1" t="str">
        <f>Table3[[#This Row],[Hometeam]]</f>
        <v>Iran</v>
      </c>
      <c r="M682" s="1">
        <f>IF(J682=1,J682+ROWS($J$2:J682)/10000,"")</f>
        <v>1.0681</v>
      </c>
      <c r="N682" s="1" t="str">
        <f>IFERROR(SMALL($M$2:$M$1705,ROWS($M$2:M682)),"")</f>
        <v/>
      </c>
      <c r="O682" s="1" t="str">
        <f>IF(N682&lt;&gt;"",INDEX($L$2:$L$1705,MATCH(N682,$M$2:$M$1705,0)),"")</f>
        <v/>
      </c>
      <c r="P682" s="1" t="str">
        <f>IF(O682&lt;&gt;"",ROWS($O$2:O682),"")</f>
        <v/>
      </c>
    </row>
    <row r="683" spans="1:16" x14ac:dyDescent="0.2">
      <c r="A683" s="1">
        <f>WorldCupMatches!O683</f>
        <v>2006</v>
      </c>
      <c r="B683" s="1" t="str">
        <f>WorldCupMatches!P683</f>
        <v>Portugal</v>
      </c>
      <c r="C683" s="1">
        <f>WorldCupMatches!Q683</f>
        <v>2</v>
      </c>
      <c r="D683" s="1">
        <f>WorldCupMatches!R683</f>
        <v>1</v>
      </c>
      <c r="E683" s="1" t="str">
        <f>WorldCupMatches!S683</f>
        <v>Mexico</v>
      </c>
      <c r="F683" s="1" t="str">
        <f>WorldCupMatches!T683</f>
        <v xml:space="preserve"> </v>
      </c>
      <c r="G683" s="1" t="str">
        <f>WorldCupMatches!U683</f>
        <v>Group stages</v>
      </c>
      <c r="J683" s="1">
        <f>COUNTIF($L$2:L683,L683)</f>
        <v>11</v>
      </c>
      <c r="K683" s="1">
        <f>Table3[[#This Row],[Year]]</f>
        <v>2006</v>
      </c>
      <c r="L683" s="1" t="str">
        <f>Table3[[#This Row],[Hometeam]]</f>
        <v>Portugal</v>
      </c>
      <c r="M683" s="1" t="str">
        <f>IF(J683=1,J683+ROWS($J$2:J683)/10000,"")</f>
        <v/>
      </c>
      <c r="N683" s="1" t="str">
        <f>IFERROR(SMALL($M$2:$M$1705,ROWS($M$2:M683)),"")</f>
        <v/>
      </c>
      <c r="O683" s="1" t="str">
        <f>IF(N683&lt;&gt;"",INDEX($L$2:$L$1705,MATCH(N683,$M$2:$M$1705,0)),"")</f>
        <v/>
      </c>
      <c r="P683" s="1" t="str">
        <f>IF(O683&lt;&gt;"",ROWS($O$2:O683),"")</f>
        <v/>
      </c>
    </row>
    <row r="684" spans="1:16" x14ac:dyDescent="0.2">
      <c r="A684" s="1">
        <f>WorldCupMatches!O684</f>
        <v>2006</v>
      </c>
      <c r="B684" s="1" t="str">
        <f>WorldCupMatches!P684</f>
        <v>Netherlands</v>
      </c>
      <c r="C684" s="1">
        <f>WorldCupMatches!Q684</f>
        <v>0</v>
      </c>
      <c r="D684" s="1">
        <f>WorldCupMatches!R684</f>
        <v>0</v>
      </c>
      <c r="E684" s="1" t="str">
        <f>WorldCupMatches!S684</f>
        <v>Argentina</v>
      </c>
      <c r="F684" s="1" t="str">
        <f>WorldCupMatches!T684</f>
        <v xml:space="preserve"> </v>
      </c>
      <c r="G684" s="1" t="str">
        <f>WorldCupMatches!U684</f>
        <v>Group stages</v>
      </c>
      <c r="J684" s="1">
        <f>COUNTIF($L$2:L684,L684)</f>
        <v>20</v>
      </c>
      <c r="K684" s="1">
        <f>Table3[[#This Row],[Year]]</f>
        <v>2006</v>
      </c>
      <c r="L684" s="1" t="str">
        <f>Table3[[#This Row],[Hometeam]]</f>
        <v>Netherlands</v>
      </c>
      <c r="M684" s="1" t="str">
        <f>IF(J684=1,J684+ROWS($J$2:J684)/10000,"")</f>
        <v/>
      </c>
      <c r="N684" s="1" t="str">
        <f>IFERROR(SMALL($M$2:$M$1705,ROWS($M$2:M684)),"")</f>
        <v/>
      </c>
      <c r="O684" s="1" t="str">
        <f>IF(N684&lt;&gt;"",INDEX($L$2:$L$1705,MATCH(N684,$M$2:$M$1705,0)),"")</f>
        <v/>
      </c>
      <c r="P684" s="1" t="str">
        <f>IF(O684&lt;&gt;"",ROWS($O$2:O684),"")</f>
        <v/>
      </c>
    </row>
    <row r="685" spans="1:16" x14ac:dyDescent="0.2">
      <c r="A685" s="1">
        <f>WorldCupMatches!O685</f>
        <v>2006</v>
      </c>
      <c r="B685" s="1" t="str">
        <f>WorldCupMatches!P685</f>
        <v>Cï¿½te d'Ivoire</v>
      </c>
      <c r="C685" s="1">
        <f>WorldCupMatches!Q685</f>
        <v>3</v>
      </c>
      <c r="D685" s="1">
        <f>WorldCupMatches!R685</f>
        <v>2</v>
      </c>
      <c r="E685" s="1" t="str">
        <f>WorldCupMatches!S685</f>
        <v>Serbia and Montenegro</v>
      </c>
      <c r="F685" s="1" t="str">
        <f>WorldCupMatches!T685</f>
        <v xml:space="preserve"> </v>
      </c>
      <c r="G685" s="1" t="str">
        <f>WorldCupMatches!U685</f>
        <v>Group stages</v>
      </c>
      <c r="J685" s="1">
        <f>COUNTIF($L$2:L685,L685)</f>
        <v>1</v>
      </c>
      <c r="K685" s="1">
        <f>Table3[[#This Row],[Year]]</f>
        <v>2006</v>
      </c>
      <c r="L685" s="1" t="str">
        <f>Table3[[#This Row],[Hometeam]]</f>
        <v>Cï¿½te d'Ivoire</v>
      </c>
      <c r="M685" s="1">
        <f>IF(J685=1,J685+ROWS($J$2:J685)/10000,"")</f>
        <v>1.0684</v>
      </c>
      <c r="N685" s="1" t="str">
        <f>IFERROR(SMALL($M$2:$M$1705,ROWS($M$2:M685)),"")</f>
        <v/>
      </c>
      <c r="O685" s="1" t="str">
        <f>IF(N685&lt;&gt;"",INDEX($L$2:$L$1705,MATCH(N685,$M$2:$M$1705,0)),"")</f>
        <v/>
      </c>
      <c r="P685" s="1" t="str">
        <f>IF(O685&lt;&gt;"",ROWS($O$2:O685),"")</f>
        <v/>
      </c>
    </row>
    <row r="686" spans="1:16" x14ac:dyDescent="0.2">
      <c r="A686" s="1">
        <f>WorldCupMatches!O686</f>
        <v>2006</v>
      </c>
      <c r="B686" s="1" t="str">
        <f>WorldCupMatches!P686</f>
        <v>Czech Republic</v>
      </c>
      <c r="C686" s="1">
        <f>WorldCupMatches!Q686</f>
        <v>0</v>
      </c>
      <c r="D686" s="1">
        <f>WorldCupMatches!R686</f>
        <v>2</v>
      </c>
      <c r="E686" s="1" t="str">
        <f>WorldCupMatches!S686</f>
        <v>Italy</v>
      </c>
      <c r="F686" s="1" t="str">
        <f>WorldCupMatches!T686</f>
        <v xml:space="preserve"> </v>
      </c>
      <c r="G686" s="1" t="str">
        <f>WorldCupMatches!U686</f>
        <v>Group stages</v>
      </c>
      <c r="J686" s="1">
        <f>COUNTIF($L$2:L686,L686)</f>
        <v>2</v>
      </c>
      <c r="K686" s="1">
        <f>Table3[[#This Row],[Year]]</f>
        <v>2006</v>
      </c>
      <c r="L686" s="1" t="str">
        <f>Table3[[#This Row],[Hometeam]]</f>
        <v>Czech Republic</v>
      </c>
      <c r="M686" s="1" t="str">
        <f>IF(J686=1,J686+ROWS($J$2:J686)/10000,"")</f>
        <v/>
      </c>
      <c r="N686" s="1" t="str">
        <f>IFERROR(SMALL($M$2:$M$1705,ROWS($M$2:M686)),"")</f>
        <v/>
      </c>
      <c r="O686" s="1" t="str">
        <f>IF(N686&lt;&gt;"",INDEX($L$2:$L$1705,MATCH(N686,$M$2:$M$1705,0)),"")</f>
        <v/>
      </c>
      <c r="P686" s="1" t="str">
        <f>IF(O686&lt;&gt;"",ROWS($O$2:O686),"")</f>
        <v/>
      </c>
    </row>
    <row r="687" spans="1:16" x14ac:dyDescent="0.2">
      <c r="A687" s="1">
        <f>WorldCupMatches!O687</f>
        <v>2006</v>
      </c>
      <c r="B687" s="1" t="str">
        <f>WorldCupMatches!P687</f>
        <v>Ghana</v>
      </c>
      <c r="C687" s="1">
        <f>WorldCupMatches!Q687</f>
        <v>2</v>
      </c>
      <c r="D687" s="1">
        <f>WorldCupMatches!R687</f>
        <v>1</v>
      </c>
      <c r="E687" s="1" t="str">
        <f>WorldCupMatches!S687</f>
        <v>USA</v>
      </c>
      <c r="F687" s="1" t="str">
        <f>WorldCupMatches!T687</f>
        <v xml:space="preserve"> </v>
      </c>
      <c r="G687" s="1" t="str">
        <f>WorldCupMatches!U687</f>
        <v>Group stages</v>
      </c>
      <c r="J687" s="1">
        <f>COUNTIF($L$2:L687,L687)</f>
        <v>1</v>
      </c>
      <c r="K687" s="1">
        <f>Table3[[#This Row],[Year]]</f>
        <v>2006</v>
      </c>
      <c r="L687" s="1" t="str">
        <f>Table3[[#This Row],[Hometeam]]</f>
        <v>Ghana</v>
      </c>
      <c r="M687" s="1">
        <f>IF(J687=1,J687+ROWS($J$2:J687)/10000,"")</f>
        <v>1.0686</v>
      </c>
      <c r="N687" s="1" t="str">
        <f>IFERROR(SMALL($M$2:$M$1705,ROWS($M$2:M687)),"")</f>
        <v/>
      </c>
      <c r="O687" s="1" t="str">
        <f>IF(N687&lt;&gt;"",INDEX($L$2:$L$1705,MATCH(N687,$M$2:$M$1705,0)),"")</f>
        <v/>
      </c>
      <c r="P687" s="1" t="str">
        <f>IF(O687&lt;&gt;"",ROWS($O$2:O687),"")</f>
        <v/>
      </c>
    </row>
    <row r="688" spans="1:16" x14ac:dyDescent="0.2">
      <c r="A688" s="1">
        <f>WorldCupMatches!O688</f>
        <v>2006</v>
      </c>
      <c r="B688" s="1" t="str">
        <f>WorldCupMatches!P688</f>
        <v>Japan</v>
      </c>
      <c r="C688" s="1">
        <f>WorldCupMatches!Q688</f>
        <v>1</v>
      </c>
      <c r="D688" s="1">
        <f>WorldCupMatches!R688</f>
        <v>4</v>
      </c>
      <c r="E688" s="1" t="str">
        <f>WorldCupMatches!S688</f>
        <v>Brazil</v>
      </c>
      <c r="F688" s="1" t="str">
        <f>WorldCupMatches!T688</f>
        <v xml:space="preserve"> </v>
      </c>
      <c r="G688" s="1" t="str">
        <f>WorldCupMatches!U688</f>
        <v>Group stages</v>
      </c>
      <c r="J688" s="1">
        <f>COUNTIF($L$2:L688,L688)</f>
        <v>7</v>
      </c>
      <c r="K688" s="1">
        <f>Table3[[#This Row],[Year]]</f>
        <v>2006</v>
      </c>
      <c r="L688" s="1" t="str">
        <f>Table3[[#This Row],[Hometeam]]</f>
        <v>Japan</v>
      </c>
      <c r="M688" s="1" t="str">
        <f>IF(J688=1,J688+ROWS($J$2:J688)/10000,"")</f>
        <v/>
      </c>
      <c r="N688" s="1" t="str">
        <f>IFERROR(SMALL($M$2:$M$1705,ROWS($M$2:M688)),"")</f>
        <v/>
      </c>
      <c r="O688" s="1" t="str">
        <f>IF(N688&lt;&gt;"",INDEX($L$2:$L$1705,MATCH(N688,$M$2:$M$1705,0)),"")</f>
        <v/>
      </c>
      <c r="P688" s="1" t="str">
        <f>IF(O688&lt;&gt;"",ROWS($O$2:O688),"")</f>
        <v/>
      </c>
    </row>
    <row r="689" spans="1:16" x14ac:dyDescent="0.2">
      <c r="A689" s="1">
        <f>WorldCupMatches!O689</f>
        <v>2006</v>
      </c>
      <c r="B689" s="1" t="str">
        <f>WorldCupMatches!P689</f>
        <v>Croatia</v>
      </c>
      <c r="C689" s="1">
        <f>WorldCupMatches!Q689</f>
        <v>2</v>
      </c>
      <c r="D689" s="1">
        <f>WorldCupMatches!R689</f>
        <v>2</v>
      </c>
      <c r="E689" s="1" t="str">
        <f>WorldCupMatches!S689</f>
        <v>Australia</v>
      </c>
      <c r="F689" s="1" t="str">
        <f>WorldCupMatches!T689</f>
        <v xml:space="preserve"> </v>
      </c>
      <c r="G689" s="1" t="str">
        <f>WorldCupMatches!U689</f>
        <v>Group stages</v>
      </c>
      <c r="J689" s="1">
        <f>COUNTIF($L$2:L689,L689)</f>
        <v>2</v>
      </c>
      <c r="K689" s="1">
        <f>Table3[[#This Row],[Year]]</f>
        <v>2006</v>
      </c>
      <c r="L689" s="1" t="str">
        <f>Table3[[#This Row],[Hometeam]]</f>
        <v>Croatia</v>
      </c>
      <c r="M689" s="1" t="str">
        <f>IF(J689=1,J689+ROWS($J$2:J689)/10000,"")</f>
        <v/>
      </c>
      <c r="N689" s="1" t="str">
        <f>IFERROR(SMALL($M$2:$M$1705,ROWS($M$2:M689)),"")</f>
        <v/>
      </c>
      <c r="O689" s="1" t="str">
        <f>IF(N689&lt;&gt;"",INDEX($L$2:$L$1705,MATCH(N689,$M$2:$M$1705,0)),"")</f>
        <v/>
      </c>
      <c r="P689" s="1" t="str">
        <f>IF(O689&lt;&gt;"",ROWS($O$2:O689),"")</f>
        <v/>
      </c>
    </row>
    <row r="690" spans="1:16" x14ac:dyDescent="0.2">
      <c r="A690" s="1">
        <f>WorldCupMatches!O690</f>
        <v>2006</v>
      </c>
      <c r="B690" s="1" t="str">
        <f>WorldCupMatches!P690</f>
        <v>Ukraine</v>
      </c>
      <c r="C690" s="1">
        <f>WorldCupMatches!Q690</f>
        <v>1</v>
      </c>
      <c r="D690" s="1">
        <f>WorldCupMatches!R690</f>
        <v>0</v>
      </c>
      <c r="E690" s="1" t="str">
        <f>WorldCupMatches!S690</f>
        <v>Tunisia</v>
      </c>
      <c r="F690" s="1" t="str">
        <f>WorldCupMatches!T690</f>
        <v xml:space="preserve"> </v>
      </c>
      <c r="G690" s="1" t="str">
        <f>WorldCupMatches!U690</f>
        <v>Group stages</v>
      </c>
      <c r="J690" s="1">
        <f>COUNTIF($L$2:L690,L690)</f>
        <v>1</v>
      </c>
      <c r="K690" s="1">
        <f>Table3[[#This Row],[Year]]</f>
        <v>2006</v>
      </c>
      <c r="L690" s="1" t="str">
        <f>Table3[[#This Row],[Hometeam]]</f>
        <v>Ukraine</v>
      </c>
      <c r="M690" s="1">
        <f>IF(J690=1,J690+ROWS($J$2:J690)/10000,"")</f>
        <v>1.0689</v>
      </c>
      <c r="N690" s="1" t="str">
        <f>IFERROR(SMALL($M$2:$M$1705,ROWS($M$2:M690)),"")</f>
        <v/>
      </c>
      <c r="O690" s="1" t="str">
        <f>IF(N690&lt;&gt;"",INDEX($L$2:$L$1705,MATCH(N690,$M$2:$M$1705,0)),"")</f>
        <v/>
      </c>
      <c r="P690" s="1" t="str">
        <f>IF(O690&lt;&gt;"",ROWS($O$2:O690),"")</f>
        <v/>
      </c>
    </row>
    <row r="691" spans="1:16" x14ac:dyDescent="0.2">
      <c r="A691" s="1">
        <f>WorldCupMatches!O691</f>
        <v>2006</v>
      </c>
      <c r="B691" s="1" t="str">
        <f>WorldCupMatches!P691</f>
        <v>Saudi Arabia</v>
      </c>
      <c r="C691" s="1">
        <f>WorldCupMatches!Q691</f>
        <v>0</v>
      </c>
      <c r="D691" s="1">
        <f>WorldCupMatches!R691</f>
        <v>1</v>
      </c>
      <c r="E691" s="1" t="str">
        <f>WorldCupMatches!S691</f>
        <v>Spain</v>
      </c>
      <c r="F691" s="1" t="str">
        <f>WorldCupMatches!T691</f>
        <v xml:space="preserve"> </v>
      </c>
      <c r="G691" s="1" t="str">
        <f>WorldCupMatches!U691</f>
        <v>Group stages</v>
      </c>
      <c r="J691" s="1">
        <f>COUNTIF($L$2:L691,L691)</f>
        <v>6</v>
      </c>
      <c r="K691" s="1">
        <f>Table3[[#This Row],[Year]]</f>
        <v>2006</v>
      </c>
      <c r="L691" s="1" t="str">
        <f>Table3[[#This Row],[Hometeam]]</f>
        <v>Saudi Arabia</v>
      </c>
      <c r="M691" s="1" t="str">
        <f>IF(J691=1,J691+ROWS($J$2:J691)/10000,"")</f>
        <v/>
      </c>
      <c r="N691" s="1" t="str">
        <f>IFERROR(SMALL($M$2:$M$1705,ROWS($M$2:M691)),"")</f>
        <v/>
      </c>
      <c r="O691" s="1" t="str">
        <f>IF(N691&lt;&gt;"",INDEX($L$2:$L$1705,MATCH(N691,$M$2:$M$1705,0)),"")</f>
        <v/>
      </c>
      <c r="P691" s="1" t="str">
        <f>IF(O691&lt;&gt;"",ROWS($O$2:O691),"")</f>
        <v/>
      </c>
    </row>
    <row r="692" spans="1:16" x14ac:dyDescent="0.2">
      <c r="A692" s="1">
        <f>WorldCupMatches!O692</f>
        <v>2006</v>
      </c>
      <c r="B692" s="1" t="str">
        <f>WorldCupMatches!P692</f>
        <v>Togo</v>
      </c>
      <c r="C692" s="1">
        <f>WorldCupMatches!Q692</f>
        <v>0</v>
      </c>
      <c r="D692" s="1">
        <f>WorldCupMatches!R692</f>
        <v>2</v>
      </c>
      <c r="E692" s="1" t="str">
        <f>WorldCupMatches!S692</f>
        <v>France</v>
      </c>
      <c r="F692" s="1" t="str">
        <f>WorldCupMatches!T692</f>
        <v xml:space="preserve"> </v>
      </c>
      <c r="G692" s="1" t="str">
        <f>WorldCupMatches!U692</f>
        <v>Group stages</v>
      </c>
      <c r="J692" s="1">
        <f>COUNTIF($L$2:L692,L692)</f>
        <v>2</v>
      </c>
      <c r="K692" s="1">
        <f>Table3[[#This Row],[Year]]</f>
        <v>2006</v>
      </c>
      <c r="L692" s="1" t="str">
        <f>Table3[[#This Row],[Hometeam]]</f>
        <v>Togo</v>
      </c>
      <c r="M692" s="1" t="str">
        <f>IF(J692=1,J692+ROWS($J$2:J692)/10000,"")</f>
        <v/>
      </c>
      <c r="N692" s="1" t="str">
        <f>IFERROR(SMALL($M$2:$M$1705,ROWS($M$2:M692)),"")</f>
        <v/>
      </c>
      <c r="O692" s="1" t="str">
        <f>IF(N692&lt;&gt;"",INDEX($L$2:$L$1705,MATCH(N692,$M$2:$M$1705,0)),"")</f>
        <v/>
      </c>
      <c r="P692" s="1" t="str">
        <f>IF(O692&lt;&gt;"",ROWS($O$2:O692),"")</f>
        <v/>
      </c>
    </row>
    <row r="693" spans="1:16" x14ac:dyDescent="0.2">
      <c r="A693" s="1">
        <f>WorldCupMatches!O693</f>
        <v>2006</v>
      </c>
      <c r="B693" s="1" t="str">
        <f>WorldCupMatches!P693</f>
        <v>Switzerland</v>
      </c>
      <c r="C693" s="1">
        <f>WorldCupMatches!Q693</f>
        <v>2</v>
      </c>
      <c r="D693" s="1">
        <f>WorldCupMatches!R693</f>
        <v>0</v>
      </c>
      <c r="E693" s="1" t="str">
        <f>WorldCupMatches!S693</f>
        <v>Korea Republic</v>
      </c>
      <c r="F693" s="1" t="str">
        <f>WorldCupMatches!T693</f>
        <v xml:space="preserve"> </v>
      </c>
      <c r="G693" s="1" t="str">
        <f>WorldCupMatches!U693</f>
        <v>Group stages</v>
      </c>
      <c r="J693" s="1">
        <f>COUNTIF($L$2:L693,L693)</f>
        <v>8</v>
      </c>
      <c r="K693" s="1">
        <f>Table3[[#This Row],[Year]]</f>
        <v>2006</v>
      </c>
      <c r="L693" s="1" t="str">
        <f>Table3[[#This Row],[Hometeam]]</f>
        <v>Switzerland</v>
      </c>
      <c r="M693" s="1" t="str">
        <f>IF(J693=1,J693+ROWS($J$2:J693)/10000,"")</f>
        <v/>
      </c>
      <c r="N693" s="1" t="str">
        <f>IFERROR(SMALL($M$2:$M$1705,ROWS($M$2:M693)),"")</f>
        <v/>
      </c>
      <c r="O693" s="1" t="str">
        <f>IF(N693&lt;&gt;"",INDEX($L$2:$L$1705,MATCH(N693,$M$2:$M$1705,0)),"")</f>
        <v/>
      </c>
      <c r="P693" s="1" t="str">
        <f>IF(O693&lt;&gt;"",ROWS($O$2:O693),"")</f>
        <v/>
      </c>
    </row>
    <row r="694" spans="1:16" x14ac:dyDescent="0.2">
      <c r="A694" s="1">
        <f>WorldCupMatches!O694</f>
        <v>2006</v>
      </c>
      <c r="B694" s="1" t="str">
        <f>WorldCupMatches!P694</f>
        <v>Germany</v>
      </c>
      <c r="C694" s="1">
        <f>WorldCupMatches!Q694</f>
        <v>2</v>
      </c>
      <c r="D694" s="1">
        <f>WorldCupMatches!R694</f>
        <v>0</v>
      </c>
      <c r="E694" s="1" t="str">
        <f>WorldCupMatches!S694</f>
        <v>Sweden</v>
      </c>
      <c r="F694" s="1" t="str">
        <f>WorldCupMatches!T694</f>
        <v xml:space="preserve"> </v>
      </c>
      <c r="G694" s="1" t="str">
        <f>WorldCupMatches!U694</f>
        <v>Round of 16</v>
      </c>
      <c r="J694" s="1">
        <f>COUNTIF($L$2:L694,L694)</f>
        <v>21</v>
      </c>
      <c r="K694" s="1">
        <f>Table3[[#This Row],[Year]]</f>
        <v>2006</v>
      </c>
      <c r="L694" s="1" t="str">
        <f>Table3[[#This Row],[Hometeam]]</f>
        <v>Germany</v>
      </c>
      <c r="M694" s="1" t="str">
        <f>IF(J694=1,J694+ROWS($J$2:J694)/10000,"")</f>
        <v/>
      </c>
      <c r="N694" s="1" t="str">
        <f>IFERROR(SMALL($M$2:$M$1705,ROWS($M$2:M694)),"")</f>
        <v/>
      </c>
      <c r="O694" s="1" t="str">
        <f>IF(N694&lt;&gt;"",INDEX($L$2:$L$1705,MATCH(N694,$M$2:$M$1705,0)),"")</f>
        <v/>
      </c>
      <c r="P694" s="1" t="str">
        <f>IF(O694&lt;&gt;"",ROWS($O$2:O694),"")</f>
        <v/>
      </c>
    </row>
    <row r="695" spans="1:16" x14ac:dyDescent="0.2">
      <c r="A695" s="1">
        <f>WorldCupMatches!O695</f>
        <v>2006</v>
      </c>
      <c r="B695" s="1" t="str">
        <f>WorldCupMatches!P695</f>
        <v>Argentina</v>
      </c>
      <c r="C695" s="1">
        <f>WorldCupMatches!Q695</f>
        <v>2</v>
      </c>
      <c r="D695" s="1">
        <f>WorldCupMatches!R695</f>
        <v>1</v>
      </c>
      <c r="E695" s="1" t="str">
        <f>WorldCupMatches!S695</f>
        <v>Mexico</v>
      </c>
      <c r="F695" s="1" t="str">
        <f>WorldCupMatches!T695</f>
        <v xml:space="preserve">Argentina win after extra time </v>
      </c>
      <c r="G695" s="1" t="str">
        <f>WorldCupMatches!U695</f>
        <v>Round of 16</v>
      </c>
      <c r="J695" s="1">
        <f>COUNTIF($L$2:L695,L695)</f>
        <v>44</v>
      </c>
      <c r="K695" s="1">
        <f>Table3[[#This Row],[Year]]</f>
        <v>2006</v>
      </c>
      <c r="L695" s="1" t="str">
        <f>Table3[[#This Row],[Hometeam]]</f>
        <v>Argentina</v>
      </c>
      <c r="M695" s="1" t="str">
        <f>IF(J695=1,J695+ROWS($J$2:J695)/10000,"")</f>
        <v/>
      </c>
      <c r="N695" s="1" t="str">
        <f>IFERROR(SMALL($M$2:$M$1705,ROWS($M$2:M695)),"")</f>
        <v/>
      </c>
      <c r="O695" s="1" t="str">
        <f>IF(N695&lt;&gt;"",INDEX($L$2:$L$1705,MATCH(N695,$M$2:$M$1705,0)),"")</f>
        <v/>
      </c>
      <c r="P695" s="1" t="str">
        <f>IF(O695&lt;&gt;"",ROWS($O$2:O695),"")</f>
        <v/>
      </c>
    </row>
    <row r="696" spans="1:16" x14ac:dyDescent="0.2">
      <c r="A696" s="1">
        <f>WorldCupMatches!O696</f>
        <v>2006</v>
      </c>
      <c r="B696" s="1" t="str">
        <f>WorldCupMatches!P696</f>
        <v>England</v>
      </c>
      <c r="C696" s="1">
        <f>WorldCupMatches!Q696</f>
        <v>1</v>
      </c>
      <c r="D696" s="1">
        <f>WorldCupMatches!R696</f>
        <v>0</v>
      </c>
      <c r="E696" s="1" t="str">
        <f>WorldCupMatches!S696</f>
        <v>Ecuador</v>
      </c>
      <c r="F696" s="1" t="str">
        <f>WorldCupMatches!T696</f>
        <v xml:space="preserve"> </v>
      </c>
      <c r="G696" s="1" t="str">
        <f>WorldCupMatches!U696</f>
        <v>Round of 16</v>
      </c>
      <c r="J696" s="1">
        <f>COUNTIF($L$2:L696,L696)</f>
        <v>31</v>
      </c>
      <c r="K696" s="1">
        <f>Table3[[#This Row],[Year]]</f>
        <v>2006</v>
      </c>
      <c r="L696" s="1" t="str">
        <f>Table3[[#This Row],[Hometeam]]</f>
        <v>England</v>
      </c>
      <c r="M696" s="1" t="str">
        <f>IF(J696=1,J696+ROWS($J$2:J696)/10000,"")</f>
        <v/>
      </c>
      <c r="N696" s="1" t="str">
        <f>IFERROR(SMALL($M$2:$M$1705,ROWS($M$2:M696)),"")</f>
        <v/>
      </c>
      <c r="O696" s="1" t="str">
        <f>IF(N696&lt;&gt;"",INDEX($L$2:$L$1705,MATCH(N696,$M$2:$M$1705,0)),"")</f>
        <v/>
      </c>
      <c r="P696" s="1" t="str">
        <f>IF(O696&lt;&gt;"",ROWS($O$2:O696),"")</f>
        <v/>
      </c>
    </row>
    <row r="697" spans="1:16" x14ac:dyDescent="0.2">
      <c r="A697" s="1">
        <f>WorldCupMatches!O697</f>
        <v>2006</v>
      </c>
      <c r="B697" s="1" t="str">
        <f>WorldCupMatches!P697</f>
        <v>Portugal</v>
      </c>
      <c r="C697" s="1">
        <f>WorldCupMatches!Q697</f>
        <v>1</v>
      </c>
      <c r="D697" s="1">
        <f>WorldCupMatches!R697</f>
        <v>0</v>
      </c>
      <c r="E697" s="1" t="str">
        <f>WorldCupMatches!S697</f>
        <v>Netherlands</v>
      </c>
      <c r="F697" s="1" t="str">
        <f>WorldCupMatches!T697</f>
        <v xml:space="preserve"> </v>
      </c>
      <c r="G697" s="1" t="str">
        <f>WorldCupMatches!U697</f>
        <v>Round of 16</v>
      </c>
      <c r="J697" s="1">
        <f>COUNTIF($L$2:L697,L697)</f>
        <v>12</v>
      </c>
      <c r="K697" s="1">
        <f>Table3[[#This Row],[Year]]</f>
        <v>2006</v>
      </c>
      <c r="L697" s="1" t="str">
        <f>Table3[[#This Row],[Hometeam]]</f>
        <v>Portugal</v>
      </c>
      <c r="M697" s="1" t="str">
        <f>IF(J697=1,J697+ROWS($J$2:J697)/10000,"")</f>
        <v/>
      </c>
      <c r="N697" s="1" t="str">
        <f>IFERROR(SMALL($M$2:$M$1705,ROWS($M$2:M697)),"")</f>
        <v/>
      </c>
      <c r="O697" s="1" t="str">
        <f>IF(N697&lt;&gt;"",INDEX($L$2:$L$1705,MATCH(N697,$M$2:$M$1705,0)),"")</f>
        <v/>
      </c>
      <c r="P697" s="1" t="str">
        <f>IF(O697&lt;&gt;"",ROWS($O$2:O697),"")</f>
        <v/>
      </c>
    </row>
    <row r="698" spans="1:16" x14ac:dyDescent="0.2">
      <c r="A698" s="1">
        <f>WorldCupMatches!O698</f>
        <v>2006</v>
      </c>
      <c r="B698" s="1" t="str">
        <f>WorldCupMatches!P698</f>
        <v>Italy</v>
      </c>
      <c r="C698" s="1">
        <f>WorldCupMatches!Q698</f>
        <v>1</v>
      </c>
      <c r="D698" s="1">
        <f>WorldCupMatches!R698</f>
        <v>0</v>
      </c>
      <c r="E698" s="1" t="str">
        <f>WorldCupMatches!S698</f>
        <v>Australia</v>
      </c>
      <c r="F698" s="1" t="str">
        <f>WorldCupMatches!T698</f>
        <v xml:space="preserve"> </v>
      </c>
      <c r="G698" s="1" t="str">
        <f>WorldCupMatches!U698</f>
        <v>Round of 16</v>
      </c>
      <c r="J698" s="1">
        <f>COUNTIF($L$2:L698,L698)</f>
        <v>51</v>
      </c>
      <c r="K698" s="1">
        <f>Table3[[#This Row],[Year]]</f>
        <v>2006</v>
      </c>
      <c r="L698" s="1" t="str">
        <f>Table3[[#This Row],[Hometeam]]</f>
        <v>Italy</v>
      </c>
      <c r="M698" s="1" t="str">
        <f>IF(J698=1,J698+ROWS($J$2:J698)/10000,"")</f>
        <v/>
      </c>
      <c r="N698" s="1" t="str">
        <f>IFERROR(SMALL($M$2:$M$1705,ROWS($M$2:M698)),"")</f>
        <v/>
      </c>
      <c r="O698" s="1" t="str">
        <f>IF(N698&lt;&gt;"",INDEX($L$2:$L$1705,MATCH(N698,$M$2:$M$1705,0)),"")</f>
        <v/>
      </c>
      <c r="P698" s="1" t="str">
        <f>IF(O698&lt;&gt;"",ROWS($O$2:O698),"")</f>
        <v/>
      </c>
    </row>
    <row r="699" spans="1:16" x14ac:dyDescent="0.2">
      <c r="A699" s="1">
        <f>WorldCupMatches!O699</f>
        <v>2006</v>
      </c>
      <c r="B699" s="1" t="str">
        <f>WorldCupMatches!P699</f>
        <v>Switzerland</v>
      </c>
      <c r="C699" s="1">
        <f>WorldCupMatches!Q699</f>
        <v>0</v>
      </c>
      <c r="D699" s="1">
        <f>WorldCupMatches!R699</f>
        <v>0</v>
      </c>
      <c r="E699" s="1" t="str">
        <f>WorldCupMatches!S699</f>
        <v>Ukraine</v>
      </c>
      <c r="F699" s="1" t="str">
        <f>WorldCupMatches!T699</f>
        <v xml:space="preserve">Ukraine win on penalties (0 - 3) </v>
      </c>
      <c r="G699" s="1" t="str">
        <f>WorldCupMatches!U699</f>
        <v>Round of 16</v>
      </c>
      <c r="J699" s="1">
        <f>COUNTIF($L$2:L699,L699)</f>
        <v>9</v>
      </c>
      <c r="K699" s="1">
        <f>Table3[[#This Row],[Year]]</f>
        <v>2006</v>
      </c>
      <c r="L699" s="1" t="str">
        <f>Table3[[#This Row],[Hometeam]]</f>
        <v>Switzerland</v>
      </c>
      <c r="M699" s="1" t="str">
        <f>IF(J699=1,J699+ROWS($J$2:J699)/10000,"")</f>
        <v/>
      </c>
      <c r="N699" s="1" t="str">
        <f>IFERROR(SMALL($M$2:$M$1705,ROWS($M$2:M699)),"")</f>
        <v/>
      </c>
      <c r="O699" s="1" t="str">
        <f>IF(N699&lt;&gt;"",INDEX($L$2:$L$1705,MATCH(N699,$M$2:$M$1705,0)),"")</f>
        <v/>
      </c>
      <c r="P699" s="1" t="str">
        <f>IF(O699&lt;&gt;"",ROWS($O$2:O699),"")</f>
        <v/>
      </c>
    </row>
    <row r="700" spans="1:16" x14ac:dyDescent="0.2">
      <c r="A700" s="1">
        <f>WorldCupMatches!O700</f>
        <v>2006</v>
      </c>
      <c r="B700" s="1" t="str">
        <f>WorldCupMatches!P700</f>
        <v>Brazil</v>
      </c>
      <c r="C700" s="1">
        <f>WorldCupMatches!Q700</f>
        <v>3</v>
      </c>
      <c r="D700" s="1">
        <f>WorldCupMatches!R700</f>
        <v>0</v>
      </c>
      <c r="E700" s="1" t="str">
        <f>WorldCupMatches!S700</f>
        <v>Ghana</v>
      </c>
      <c r="F700" s="1" t="str">
        <f>WorldCupMatches!T700</f>
        <v xml:space="preserve"> </v>
      </c>
      <c r="G700" s="1" t="str">
        <f>WorldCupMatches!U700</f>
        <v>Round of 16</v>
      </c>
      <c r="J700" s="1">
        <f>COUNTIF($L$2:L700,L700)</f>
        <v>68</v>
      </c>
      <c r="K700" s="1">
        <f>Table3[[#This Row],[Year]]</f>
        <v>2006</v>
      </c>
      <c r="L700" s="1" t="str">
        <f>Table3[[#This Row],[Hometeam]]</f>
        <v>Brazil</v>
      </c>
      <c r="M700" s="1" t="str">
        <f>IF(J700=1,J700+ROWS($J$2:J700)/10000,"")</f>
        <v/>
      </c>
      <c r="N700" s="1" t="str">
        <f>IFERROR(SMALL($M$2:$M$1705,ROWS($M$2:M700)),"")</f>
        <v/>
      </c>
      <c r="O700" s="1" t="str">
        <f>IF(N700&lt;&gt;"",INDEX($L$2:$L$1705,MATCH(N700,$M$2:$M$1705,0)),"")</f>
        <v/>
      </c>
      <c r="P700" s="1" t="str">
        <f>IF(O700&lt;&gt;"",ROWS($O$2:O700),"")</f>
        <v/>
      </c>
    </row>
    <row r="701" spans="1:16" x14ac:dyDescent="0.2">
      <c r="A701" s="1">
        <f>WorldCupMatches!O701</f>
        <v>2006</v>
      </c>
      <c r="B701" s="1" t="str">
        <f>WorldCupMatches!P701</f>
        <v>Spain</v>
      </c>
      <c r="C701" s="1">
        <f>WorldCupMatches!Q701</f>
        <v>1</v>
      </c>
      <c r="D701" s="1">
        <f>WorldCupMatches!R701</f>
        <v>3</v>
      </c>
      <c r="E701" s="1" t="str">
        <f>WorldCupMatches!S701</f>
        <v>France</v>
      </c>
      <c r="F701" s="1" t="str">
        <f>WorldCupMatches!T701</f>
        <v xml:space="preserve"> </v>
      </c>
      <c r="G701" s="1" t="str">
        <f>WorldCupMatches!U701</f>
        <v>Round of 16</v>
      </c>
      <c r="J701" s="1">
        <f>COUNTIF($L$2:L701,L701)</f>
        <v>25</v>
      </c>
      <c r="K701" s="1">
        <f>Table3[[#This Row],[Year]]</f>
        <v>2006</v>
      </c>
      <c r="L701" s="1" t="str">
        <f>Table3[[#This Row],[Hometeam]]</f>
        <v>Spain</v>
      </c>
      <c r="M701" s="1" t="str">
        <f>IF(J701=1,J701+ROWS($J$2:J701)/10000,"")</f>
        <v/>
      </c>
      <c r="N701" s="1" t="str">
        <f>IFERROR(SMALL($M$2:$M$1705,ROWS($M$2:M701)),"")</f>
        <v/>
      </c>
      <c r="O701" s="1" t="str">
        <f>IF(N701&lt;&gt;"",INDEX($L$2:$L$1705,MATCH(N701,$M$2:$M$1705,0)),"")</f>
        <v/>
      </c>
      <c r="P701" s="1" t="str">
        <f>IF(O701&lt;&gt;"",ROWS($O$2:O701),"")</f>
        <v/>
      </c>
    </row>
    <row r="702" spans="1:16" x14ac:dyDescent="0.2">
      <c r="A702" s="1">
        <f>WorldCupMatches!O702</f>
        <v>2006</v>
      </c>
      <c r="B702" s="1" t="str">
        <f>WorldCupMatches!P702</f>
        <v>Germany</v>
      </c>
      <c r="C702" s="1">
        <f>WorldCupMatches!Q702</f>
        <v>1</v>
      </c>
      <c r="D702" s="1">
        <f>WorldCupMatches!R702</f>
        <v>1</v>
      </c>
      <c r="E702" s="1" t="str">
        <f>WorldCupMatches!S702</f>
        <v>Argentina</v>
      </c>
      <c r="F702" s="1" t="str">
        <f>WorldCupMatches!T702</f>
        <v xml:space="preserve">Germany win on penalties (4 - 2) </v>
      </c>
      <c r="G702" s="1" t="str">
        <f>WorldCupMatches!U702</f>
        <v>Quarter-finals</v>
      </c>
      <c r="J702" s="1">
        <f>COUNTIF($L$2:L702,L702)</f>
        <v>22</v>
      </c>
      <c r="K702" s="1">
        <f>Table3[[#This Row],[Year]]</f>
        <v>2006</v>
      </c>
      <c r="L702" s="1" t="str">
        <f>Table3[[#This Row],[Hometeam]]</f>
        <v>Germany</v>
      </c>
      <c r="M702" s="1" t="str">
        <f>IF(J702=1,J702+ROWS($J$2:J702)/10000,"")</f>
        <v/>
      </c>
      <c r="N702" s="1" t="str">
        <f>IFERROR(SMALL($M$2:$M$1705,ROWS($M$2:M702)),"")</f>
        <v/>
      </c>
      <c r="O702" s="1" t="str">
        <f>IF(N702&lt;&gt;"",INDEX($L$2:$L$1705,MATCH(N702,$M$2:$M$1705,0)),"")</f>
        <v/>
      </c>
      <c r="P702" s="1" t="str">
        <f>IF(O702&lt;&gt;"",ROWS($O$2:O702),"")</f>
        <v/>
      </c>
    </row>
    <row r="703" spans="1:16" x14ac:dyDescent="0.2">
      <c r="A703" s="1">
        <f>WorldCupMatches!O703</f>
        <v>2006</v>
      </c>
      <c r="B703" s="1" t="str">
        <f>WorldCupMatches!P703</f>
        <v>Italy</v>
      </c>
      <c r="C703" s="1">
        <f>WorldCupMatches!Q703</f>
        <v>3</v>
      </c>
      <c r="D703" s="1">
        <f>WorldCupMatches!R703</f>
        <v>0</v>
      </c>
      <c r="E703" s="1" t="str">
        <f>WorldCupMatches!S703</f>
        <v>Ukraine</v>
      </c>
      <c r="F703" s="1" t="str">
        <f>WorldCupMatches!T703</f>
        <v xml:space="preserve"> </v>
      </c>
      <c r="G703" s="1" t="str">
        <f>WorldCupMatches!U703</f>
        <v>Quarter-finals</v>
      </c>
      <c r="J703" s="1">
        <f>COUNTIF($L$2:L703,L703)</f>
        <v>52</v>
      </c>
      <c r="K703" s="1">
        <f>Table3[[#This Row],[Year]]</f>
        <v>2006</v>
      </c>
      <c r="L703" s="1" t="str">
        <f>Table3[[#This Row],[Hometeam]]</f>
        <v>Italy</v>
      </c>
      <c r="M703" s="1" t="str">
        <f>IF(J703=1,J703+ROWS($J$2:J703)/10000,"")</f>
        <v/>
      </c>
      <c r="N703" s="1" t="str">
        <f>IFERROR(SMALL($M$2:$M$1705,ROWS($M$2:M703)),"")</f>
        <v/>
      </c>
      <c r="O703" s="1" t="str">
        <f>IF(N703&lt;&gt;"",INDEX($L$2:$L$1705,MATCH(N703,$M$2:$M$1705,0)),"")</f>
        <v/>
      </c>
      <c r="P703" s="1" t="str">
        <f>IF(O703&lt;&gt;"",ROWS($O$2:O703),"")</f>
        <v/>
      </c>
    </row>
    <row r="704" spans="1:16" x14ac:dyDescent="0.2">
      <c r="A704" s="1">
        <f>WorldCupMatches!O704</f>
        <v>2006</v>
      </c>
      <c r="B704" s="1" t="str">
        <f>WorldCupMatches!P704</f>
        <v>England</v>
      </c>
      <c r="C704" s="1">
        <f>WorldCupMatches!Q704</f>
        <v>0</v>
      </c>
      <c r="D704" s="1">
        <f>WorldCupMatches!R704</f>
        <v>0</v>
      </c>
      <c r="E704" s="1" t="str">
        <f>WorldCupMatches!S704</f>
        <v>Portugal</v>
      </c>
      <c r="F704" s="1" t="str">
        <f>WorldCupMatches!T704</f>
        <v xml:space="preserve">Portugal win on penalties (1 - 3) </v>
      </c>
      <c r="G704" s="1" t="str">
        <f>WorldCupMatches!U704</f>
        <v>Quarter-finals</v>
      </c>
      <c r="J704" s="1">
        <f>COUNTIF($L$2:L704,L704)</f>
        <v>32</v>
      </c>
      <c r="K704" s="1">
        <f>Table3[[#This Row],[Year]]</f>
        <v>2006</v>
      </c>
      <c r="L704" s="1" t="str">
        <f>Table3[[#This Row],[Hometeam]]</f>
        <v>England</v>
      </c>
      <c r="M704" s="1" t="str">
        <f>IF(J704=1,J704+ROWS($J$2:J704)/10000,"")</f>
        <v/>
      </c>
      <c r="N704" s="1" t="str">
        <f>IFERROR(SMALL($M$2:$M$1705,ROWS($M$2:M704)),"")</f>
        <v/>
      </c>
      <c r="O704" s="1" t="str">
        <f>IF(N704&lt;&gt;"",INDEX($L$2:$L$1705,MATCH(N704,$M$2:$M$1705,0)),"")</f>
        <v/>
      </c>
      <c r="P704" s="1" t="str">
        <f>IF(O704&lt;&gt;"",ROWS($O$2:O704),"")</f>
        <v/>
      </c>
    </row>
    <row r="705" spans="1:16" x14ac:dyDescent="0.2">
      <c r="A705" s="1">
        <f>WorldCupMatches!O705</f>
        <v>2006</v>
      </c>
      <c r="B705" s="1" t="str">
        <f>WorldCupMatches!P705</f>
        <v>Brazil</v>
      </c>
      <c r="C705" s="1">
        <f>WorldCupMatches!Q705</f>
        <v>0</v>
      </c>
      <c r="D705" s="1">
        <f>WorldCupMatches!R705</f>
        <v>1</v>
      </c>
      <c r="E705" s="1" t="str">
        <f>WorldCupMatches!S705</f>
        <v>France</v>
      </c>
      <c r="F705" s="1" t="str">
        <f>WorldCupMatches!T705</f>
        <v xml:space="preserve"> </v>
      </c>
      <c r="G705" s="1" t="str">
        <f>WorldCupMatches!U705</f>
        <v>Quarter-finals</v>
      </c>
      <c r="J705" s="1">
        <f>COUNTIF($L$2:L705,L705)</f>
        <v>69</v>
      </c>
      <c r="K705" s="1">
        <f>Table3[[#This Row],[Year]]</f>
        <v>2006</v>
      </c>
      <c r="L705" s="1" t="str">
        <f>Table3[[#This Row],[Hometeam]]</f>
        <v>Brazil</v>
      </c>
      <c r="M705" s="1" t="str">
        <f>IF(J705=1,J705+ROWS($J$2:J705)/10000,"")</f>
        <v/>
      </c>
      <c r="N705" s="1" t="str">
        <f>IFERROR(SMALL($M$2:$M$1705,ROWS($M$2:M705)),"")</f>
        <v/>
      </c>
      <c r="O705" s="1" t="str">
        <f>IF(N705&lt;&gt;"",INDEX($L$2:$L$1705,MATCH(N705,$M$2:$M$1705,0)),"")</f>
        <v/>
      </c>
      <c r="P705" s="1" t="str">
        <f>IF(O705&lt;&gt;"",ROWS($O$2:O705),"")</f>
        <v/>
      </c>
    </row>
    <row r="706" spans="1:16" x14ac:dyDescent="0.2">
      <c r="A706" s="1">
        <f>WorldCupMatches!O706</f>
        <v>2006</v>
      </c>
      <c r="B706" s="1" t="str">
        <f>WorldCupMatches!P706</f>
        <v>Germany</v>
      </c>
      <c r="C706" s="1">
        <f>WorldCupMatches!Q706</f>
        <v>0</v>
      </c>
      <c r="D706" s="1">
        <f>WorldCupMatches!R706</f>
        <v>2</v>
      </c>
      <c r="E706" s="1" t="str">
        <f>WorldCupMatches!S706</f>
        <v>Italy</v>
      </c>
      <c r="F706" s="1" t="str">
        <f>WorldCupMatches!T706</f>
        <v xml:space="preserve">Italy win after extra time </v>
      </c>
      <c r="G706" s="1" t="str">
        <f>WorldCupMatches!U706</f>
        <v>Semi-finals</v>
      </c>
      <c r="J706" s="1">
        <f>COUNTIF($L$2:L706,L706)</f>
        <v>23</v>
      </c>
      <c r="K706" s="1">
        <f>Table3[[#This Row],[Year]]</f>
        <v>2006</v>
      </c>
      <c r="L706" s="1" t="str">
        <f>Table3[[#This Row],[Hometeam]]</f>
        <v>Germany</v>
      </c>
      <c r="M706" s="1" t="str">
        <f>IF(J706=1,J706+ROWS($J$2:J706)/10000,"")</f>
        <v/>
      </c>
      <c r="N706" s="1" t="str">
        <f>IFERROR(SMALL($M$2:$M$1705,ROWS($M$2:M706)),"")</f>
        <v/>
      </c>
      <c r="O706" s="1" t="str">
        <f>IF(N706&lt;&gt;"",INDEX($L$2:$L$1705,MATCH(N706,$M$2:$M$1705,0)),"")</f>
        <v/>
      </c>
      <c r="P706" s="1" t="str">
        <f>IF(O706&lt;&gt;"",ROWS($O$2:O706),"")</f>
        <v/>
      </c>
    </row>
    <row r="707" spans="1:16" x14ac:dyDescent="0.2">
      <c r="A707" s="1">
        <f>WorldCupMatches!O707</f>
        <v>2006</v>
      </c>
      <c r="B707" s="1" t="str">
        <f>WorldCupMatches!P707</f>
        <v>Portugal</v>
      </c>
      <c r="C707" s="1">
        <f>WorldCupMatches!Q707</f>
        <v>0</v>
      </c>
      <c r="D707" s="1">
        <f>WorldCupMatches!R707</f>
        <v>1</v>
      </c>
      <c r="E707" s="1" t="str">
        <f>WorldCupMatches!S707</f>
        <v>France</v>
      </c>
      <c r="F707" s="1" t="str">
        <f>WorldCupMatches!T707</f>
        <v xml:space="preserve"> </v>
      </c>
      <c r="G707" s="1" t="str">
        <f>WorldCupMatches!U707</f>
        <v>Semi-finals</v>
      </c>
      <c r="J707" s="1">
        <f>COUNTIF($L$2:L707,L707)</f>
        <v>13</v>
      </c>
      <c r="K707" s="1">
        <f>Table3[[#This Row],[Year]]</f>
        <v>2006</v>
      </c>
      <c r="L707" s="1" t="str">
        <f>Table3[[#This Row],[Hometeam]]</f>
        <v>Portugal</v>
      </c>
      <c r="M707" s="1" t="str">
        <f>IF(J707=1,J707+ROWS($J$2:J707)/10000,"")</f>
        <v/>
      </c>
      <c r="N707" s="1" t="str">
        <f>IFERROR(SMALL($M$2:$M$1705,ROWS($M$2:M707)),"")</f>
        <v/>
      </c>
      <c r="O707" s="1" t="str">
        <f>IF(N707&lt;&gt;"",INDEX($L$2:$L$1705,MATCH(N707,$M$2:$M$1705,0)),"")</f>
        <v/>
      </c>
      <c r="P707" s="1" t="str">
        <f>IF(O707&lt;&gt;"",ROWS($O$2:O707),"")</f>
        <v/>
      </c>
    </row>
    <row r="708" spans="1:16" x14ac:dyDescent="0.2">
      <c r="A708" s="1">
        <f>WorldCupMatches!O708</f>
        <v>2006</v>
      </c>
      <c r="B708" s="1" t="str">
        <f>WorldCupMatches!P708</f>
        <v>Germany</v>
      </c>
      <c r="C708" s="1">
        <f>WorldCupMatches!Q708</f>
        <v>3</v>
      </c>
      <c r="D708" s="1">
        <f>WorldCupMatches!R708</f>
        <v>1</v>
      </c>
      <c r="E708" s="1" t="str">
        <f>WorldCupMatches!S708</f>
        <v>Portugal</v>
      </c>
      <c r="F708" s="1" t="str">
        <f>WorldCupMatches!T708</f>
        <v xml:space="preserve"> </v>
      </c>
      <c r="G708" s="1" t="str">
        <f>WorldCupMatches!U708</f>
        <v>Third place</v>
      </c>
      <c r="J708" s="1">
        <f>COUNTIF($L$2:L708,L708)</f>
        <v>24</v>
      </c>
      <c r="K708" s="1">
        <f>Table3[[#This Row],[Year]]</f>
        <v>2006</v>
      </c>
      <c r="L708" s="1" t="str">
        <f>Table3[[#This Row],[Hometeam]]</f>
        <v>Germany</v>
      </c>
      <c r="M708" s="1" t="str">
        <f>IF(J708=1,J708+ROWS($J$2:J708)/10000,"")</f>
        <v/>
      </c>
      <c r="N708" s="1" t="str">
        <f>IFERROR(SMALL($M$2:$M$1705,ROWS($M$2:M708)),"")</f>
        <v/>
      </c>
      <c r="O708" s="1" t="str">
        <f>IF(N708&lt;&gt;"",INDEX($L$2:$L$1705,MATCH(N708,$M$2:$M$1705,0)),"")</f>
        <v/>
      </c>
      <c r="P708" s="1" t="str">
        <f>IF(O708&lt;&gt;"",ROWS($O$2:O708),"")</f>
        <v/>
      </c>
    </row>
    <row r="709" spans="1:16" x14ac:dyDescent="0.2">
      <c r="A709" s="1">
        <f>WorldCupMatches!O709</f>
        <v>2006</v>
      </c>
      <c r="B709" s="1" t="str">
        <f>WorldCupMatches!P709</f>
        <v>Italy</v>
      </c>
      <c r="C709" s="1">
        <f>WorldCupMatches!Q709</f>
        <v>1</v>
      </c>
      <c r="D709" s="1">
        <f>WorldCupMatches!R709</f>
        <v>1</v>
      </c>
      <c r="E709" s="1" t="str">
        <f>WorldCupMatches!S709</f>
        <v>France</v>
      </c>
      <c r="F709" s="1" t="str">
        <f>WorldCupMatches!T709</f>
        <v xml:space="preserve">Italy win on penalties (5 - 3) </v>
      </c>
      <c r="G709" s="1" t="str">
        <f>WorldCupMatches!U709</f>
        <v>Final</v>
      </c>
      <c r="J709" s="1">
        <f>COUNTIF($L$2:L709,L709)</f>
        <v>53</v>
      </c>
      <c r="K709" s="1">
        <f>Table3[[#This Row],[Year]]</f>
        <v>2006</v>
      </c>
      <c r="L709" s="1" t="str">
        <f>Table3[[#This Row],[Hometeam]]</f>
        <v>Italy</v>
      </c>
      <c r="M709" s="1" t="str">
        <f>IF(J709=1,J709+ROWS($J$2:J709)/10000,"")</f>
        <v/>
      </c>
      <c r="N709" s="1" t="str">
        <f>IFERROR(SMALL($M$2:$M$1705,ROWS($M$2:M709)),"")</f>
        <v/>
      </c>
      <c r="O709" s="1" t="str">
        <f>IF(N709&lt;&gt;"",INDEX($L$2:$L$1705,MATCH(N709,$M$2:$M$1705,0)),"")</f>
        <v/>
      </c>
      <c r="P709" s="1" t="str">
        <f>IF(O709&lt;&gt;"",ROWS($O$2:O709),"")</f>
        <v/>
      </c>
    </row>
    <row r="710" spans="1:16" x14ac:dyDescent="0.2">
      <c r="A710" s="1">
        <f>WorldCupMatches!O710</f>
        <v>2010</v>
      </c>
      <c r="B710" s="1" t="str">
        <f>WorldCupMatches!P710</f>
        <v>South Africa</v>
      </c>
      <c r="C710" s="1">
        <f>WorldCupMatches!Q710</f>
        <v>1</v>
      </c>
      <c r="D710" s="1">
        <f>WorldCupMatches!R710</f>
        <v>1</v>
      </c>
      <c r="E710" s="1" t="str">
        <f>WorldCupMatches!S710</f>
        <v>Mexico</v>
      </c>
      <c r="F710" s="1" t="str">
        <f>WorldCupMatches!T710</f>
        <v xml:space="preserve"> </v>
      </c>
      <c r="G710" s="1" t="str">
        <f>WorldCupMatches!U710</f>
        <v>Group stages</v>
      </c>
      <c r="J710" s="1">
        <f>COUNTIF($L$2:L710,L710)</f>
        <v>5</v>
      </c>
      <c r="K710" s="1">
        <f>Table3[[#This Row],[Year]]</f>
        <v>2010</v>
      </c>
      <c r="L710" s="1" t="str">
        <f>Table3[[#This Row],[Hometeam]]</f>
        <v>South Africa</v>
      </c>
      <c r="M710" s="1" t="str">
        <f>IF(J710=1,J710+ROWS($J$2:J710)/10000,"")</f>
        <v/>
      </c>
      <c r="N710" s="1" t="str">
        <f>IFERROR(SMALL($M$2:$M$1705,ROWS($M$2:M710)),"")</f>
        <v/>
      </c>
      <c r="O710" s="1" t="str">
        <f>IF(N710&lt;&gt;"",INDEX($L$2:$L$1705,MATCH(N710,$M$2:$M$1705,0)),"")</f>
        <v/>
      </c>
      <c r="P710" s="1" t="str">
        <f>IF(O710&lt;&gt;"",ROWS($O$2:O710),"")</f>
        <v/>
      </c>
    </row>
    <row r="711" spans="1:16" x14ac:dyDescent="0.2">
      <c r="A711" s="1">
        <f>WorldCupMatches!O711</f>
        <v>2010</v>
      </c>
      <c r="B711" s="1" t="str">
        <f>WorldCupMatches!P711</f>
        <v>Uruguay</v>
      </c>
      <c r="C711" s="1">
        <f>WorldCupMatches!Q711</f>
        <v>0</v>
      </c>
      <c r="D711" s="1">
        <f>WorldCupMatches!R711</f>
        <v>0</v>
      </c>
      <c r="E711" s="1" t="str">
        <f>WorldCupMatches!S711</f>
        <v>France</v>
      </c>
      <c r="F711" s="1" t="str">
        <f>WorldCupMatches!T711</f>
        <v xml:space="preserve"> </v>
      </c>
      <c r="G711" s="1" t="str">
        <f>WorldCupMatches!U711</f>
        <v>Group stages</v>
      </c>
      <c r="J711" s="1">
        <f>COUNTIF($L$2:L711,L711)</f>
        <v>22</v>
      </c>
      <c r="K711" s="1">
        <f>Table3[[#This Row],[Year]]</f>
        <v>2010</v>
      </c>
      <c r="L711" s="1" t="str">
        <f>Table3[[#This Row],[Hometeam]]</f>
        <v>Uruguay</v>
      </c>
      <c r="M711" s="1" t="str">
        <f>IF(J711=1,J711+ROWS($J$2:J711)/10000,"")</f>
        <v/>
      </c>
      <c r="N711" s="1" t="str">
        <f>IFERROR(SMALL($M$2:$M$1705,ROWS($M$2:M711)),"")</f>
        <v/>
      </c>
      <c r="O711" s="1" t="str">
        <f>IF(N711&lt;&gt;"",INDEX($L$2:$L$1705,MATCH(N711,$M$2:$M$1705,0)),"")</f>
        <v/>
      </c>
      <c r="P711" s="1" t="str">
        <f>IF(O711&lt;&gt;"",ROWS($O$2:O711),"")</f>
        <v/>
      </c>
    </row>
    <row r="712" spans="1:16" x14ac:dyDescent="0.2">
      <c r="A712" s="1">
        <f>WorldCupMatches!O712</f>
        <v>2010</v>
      </c>
      <c r="B712" s="1" t="str">
        <f>WorldCupMatches!P712</f>
        <v>Korea Republic</v>
      </c>
      <c r="C712" s="1">
        <f>WorldCupMatches!Q712</f>
        <v>2</v>
      </c>
      <c r="D712" s="1">
        <f>WorldCupMatches!R712</f>
        <v>0</v>
      </c>
      <c r="E712" s="1" t="str">
        <f>WorldCupMatches!S712</f>
        <v>Greece</v>
      </c>
      <c r="F712" s="1" t="str">
        <f>WorldCupMatches!T712</f>
        <v xml:space="preserve"> </v>
      </c>
      <c r="G712" s="1" t="str">
        <f>WorldCupMatches!U712</f>
        <v>Group stages</v>
      </c>
      <c r="J712" s="1">
        <f>COUNTIF($L$2:L712,L712)</f>
        <v>12</v>
      </c>
      <c r="K712" s="1">
        <f>Table3[[#This Row],[Year]]</f>
        <v>2010</v>
      </c>
      <c r="L712" s="1" t="str">
        <f>Table3[[#This Row],[Hometeam]]</f>
        <v>Korea Republic</v>
      </c>
      <c r="M712" s="1" t="str">
        <f>IF(J712=1,J712+ROWS($J$2:J712)/10000,"")</f>
        <v/>
      </c>
      <c r="N712" s="1" t="str">
        <f>IFERROR(SMALL($M$2:$M$1705,ROWS($M$2:M712)),"")</f>
        <v/>
      </c>
      <c r="O712" s="1" t="str">
        <f>IF(N712&lt;&gt;"",INDEX($L$2:$L$1705,MATCH(N712,$M$2:$M$1705,0)),"")</f>
        <v/>
      </c>
      <c r="P712" s="1" t="str">
        <f>IF(O712&lt;&gt;"",ROWS($O$2:O712),"")</f>
        <v/>
      </c>
    </row>
    <row r="713" spans="1:16" x14ac:dyDescent="0.2">
      <c r="A713" s="1">
        <f>WorldCupMatches!O713</f>
        <v>2010</v>
      </c>
      <c r="B713" s="1" t="str">
        <f>WorldCupMatches!P713</f>
        <v>Argentina</v>
      </c>
      <c r="C713" s="1">
        <f>WorldCupMatches!Q713</f>
        <v>1</v>
      </c>
      <c r="D713" s="1">
        <f>WorldCupMatches!R713</f>
        <v>0</v>
      </c>
      <c r="E713" s="1" t="str">
        <f>WorldCupMatches!S713</f>
        <v>Nigeria</v>
      </c>
      <c r="F713" s="1" t="str">
        <f>WorldCupMatches!T713</f>
        <v xml:space="preserve"> </v>
      </c>
      <c r="G713" s="1" t="str">
        <f>WorldCupMatches!U713</f>
        <v>Group stages</v>
      </c>
      <c r="J713" s="1">
        <f>COUNTIF($L$2:L713,L713)</f>
        <v>45</v>
      </c>
      <c r="K713" s="1">
        <f>Table3[[#This Row],[Year]]</f>
        <v>2010</v>
      </c>
      <c r="L713" s="1" t="str">
        <f>Table3[[#This Row],[Hometeam]]</f>
        <v>Argentina</v>
      </c>
      <c r="M713" s="1" t="str">
        <f>IF(J713=1,J713+ROWS($J$2:J713)/10000,"")</f>
        <v/>
      </c>
      <c r="N713" s="1" t="str">
        <f>IFERROR(SMALL($M$2:$M$1705,ROWS($M$2:M713)),"")</f>
        <v/>
      </c>
      <c r="O713" s="1" t="str">
        <f>IF(N713&lt;&gt;"",INDEX($L$2:$L$1705,MATCH(N713,$M$2:$M$1705,0)),"")</f>
        <v/>
      </c>
      <c r="P713" s="1" t="str">
        <f>IF(O713&lt;&gt;"",ROWS($O$2:O713),"")</f>
        <v/>
      </c>
    </row>
    <row r="714" spans="1:16" x14ac:dyDescent="0.2">
      <c r="A714" s="1">
        <f>WorldCupMatches!O714</f>
        <v>2010</v>
      </c>
      <c r="B714" s="1" t="str">
        <f>WorldCupMatches!P714</f>
        <v>England</v>
      </c>
      <c r="C714" s="1">
        <f>WorldCupMatches!Q714</f>
        <v>1</v>
      </c>
      <c r="D714" s="1">
        <f>WorldCupMatches!R714</f>
        <v>1</v>
      </c>
      <c r="E714" s="1" t="str">
        <f>WorldCupMatches!S714</f>
        <v>USA</v>
      </c>
      <c r="F714" s="1" t="str">
        <f>WorldCupMatches!T714</f>
        <v xml:space="preserve"> </v>
      </c>
      <c r="G714" s="1" t="str">
        <f>WorldCupMatches!U714</f>
        <v>Group stages</v>
      </c>
      <c r="J714" s="1">
        <f>COUNTIF($L$2:L714,L714)</f>
        <v>33</v>
      </c>
      <c r="K714" s="1">
        <f>Table3[[#This Row],[Year]]</f>
        <v>2010</v>
      </c>
      <c r="L714" s="1" t="str">
        <f>Table3[[#This Row],[Hometeam]]</f>
        <v>England</v>
      </c>
      <c r="M714" s="1" t="str">
        <f>IF(J714=1,J714+ROWS($J$2:J714)/10000,"")</f>
        <v/>
      </c>
      <c r="N714" s="1" t="str">
        <f>IFERROR(SMALL($M$2:$M$1705,ROWS($M$2:M714)),"")</f>
        <v/>
      </c>
      <c r="O714" s="1" t="str">
        <f>IF(N714&lt;&gt;"",INDEX($L$2:$L$1705,MATCH(N714,$M$2:$M$1705,0)),"")</f>
        <v/>
      </c>
      <c r="P714" s="1" t="str">
        <f>IF(O714&lt;&gt;"",ROWS($O$2:O714),"")</f>
        <v/>
      </c>
    </row>
    <row r="715" spans="1:16" x14ac:dyDescent="0.2">
      <c r="A715" s="1">
        <f>WorldCupMatches!O715</f>
        <v>2010</v>
      </c>
      <c r="B715" s="1" t="str">
        <f>WorldCupMatches!P715</f>
        <v>Algeria</v>
      </c>
      <c r="C715" s="1">
        <f>WorldCupMatches!Q715</f>
        <v>0</v>
      </c>
      <c r="D715" s="1">
        <f>WorldCupMatches!R715</f>
        <v>1</v>
      </c>
      <c r="E715" s="1" t="str">
        <f>WorldCupMatches!S715</f>
        <v>Slovenia</v>
      </c>
      <c r="F715" s="1" t="str">
        <f>WorldCupMatches!T715</f>
        <v xml:space="preserve"> </v>
      </c>
      <c r="G715" s="1" t="str">
        <f>WorldCupMatches!U715</f>
        <v>Group stages</v>
      </c>
      <c r="J715" s="1">
        <f>COUNTIF($L$2:L715,L715)</f>
        <v>5</v>
      </c>
      <c r="K715" s="1">
        <f>Table3[[#This Row],[Year]]</f>
        <v>2010</v>
      </c>
      <c r="L715" s="1" t="str">
        <f>Table3[[#This Row],[Hometeam]]</f>
        <v>Algeria</v>
      </c>
      <c r="M715" s="1" t="str">
        <f>IF(J715=1,J715+ROWS($J$2:J715)/10000,"")</f>
        <v/>
      </c>
      <c r="N715" s="1" t="str">
        <f>IFERROR(SMALL($M$2:$M$1705,ROWS($M$2:M715)),"")</f>
        <v/>
      </c>
      <c r="O715" s="1" t="str">
        <f>IF(N715&lt;&gt;"",INDEX($L$2:$L$1705,MATCH(N715,$M$2:$M$1705,0)),"")</f>
        <v/>
      </c>
      <c r="P715" s="1" t="str">
        <f>IF(O715&lt;&gt;"",ROWS($O$2:O715),"")</f>
        <v/>
      </c>
    </row>
    <row r="716" spans="1:16" x14ac:dyDescent="0.2">
      <c r="A716" s="1">
        <f>WorldCupMatches!O716</f>
        <v>2010</v>
      </c>
      <c r="B716" s="1" t="str">
        <f>WorldCupMatches!P716</f>
        <v>Serbia</v>
      </c>
      <c r="C716" s="1">
        <f>WorldCupMatches!Q716</f>
        <v>0</v>
      </c>
      <c r="D716" s="1">
        <f>WorldCupMatches!R716</f>
        <v>1</v>
      </c>
      <c r="E716" s="1" t="str">
        <f>WorldCupMatches!S716</f>
        <v>Ghana</v>
      </c>
      <c r="F716" s="1" t="str">
        <f>WorldCupMatches!T716</f>
        <v xml:space="preserve"> </v>
      </c>
      <c r="G716" s="1" t="str">
        <f>WorldCupMatches!U716</f>
        <v>Group stages</v>
      </c>
      <c r="J716" s="1">
        <f>COUNTIF($L$2:L716,L716)</f>
        <v>1</v>
      </c>
      <c r="K716" s="1">
        <f>Table3[[#This Row],[Year]]</f>
        <v>2010</v>
      </c>
      <c r="L716" s="1" t="str">
        <f>Table3[[#This Row],[Hometeam]]</f>
        <v>Serbia</v>
      </c>
      <c r="M716" s="1">
        <f>IF(J716=1,J716+ROWS($J$2:J716)/10000,"")</f>
        <v>1.0714999999999999</v>
      </c>
      <c r="N716" s="1" t="str">
        <f>IFERROR(SMALL($M$2:$M$1705,ROWS($M$2:M716)),"")</f>
        <v/>
      </c>
      <c r="O716" s="1" t="str">
        <f>IF(N716&lt;&gt;"",INDEX($L$2:$L$1705,MATCH(N716,$M$2:$M$1705,0)),"")</f>
        <v/>
      </c>
      <c r="P716" s="1" t="str">
        <f>IF(O716&lt;&gt;"",ROWS($O$2:O716),"")</f>
        <v/>
      </c>
    </row>
    <row r="717" spans="1:16" x14ac:dyDescent="0.2">
      <c r="A717" s="1">
        <f>WorldCupMatches!O717</f>
        <v>2010</v>
      </c>
      <c r="B717" s="1" t="str">
        <f>WorldCupMatches!P717</f>
        <v>Germany</v>
      </c>
      <c r="C717" s="1">
        <f>WorldCupMatches!Q717</f>
        <v>4</v>
      </c>
      <c r="D717" s="1">
        <f>WorldCupMatches!R717</f>
        <v>0</v>
      </c>
      <c r="E717" s="1" t="str">
        <f>WorldCupMatches!S717</f>
        <v>Australia</v>
      </c>
      <c r="F717" s="1" t="str">
        <f>WorldCupMatches!T717</f>
        <v xml:space="preserve"> </v>
      </c>
      <c r="G717" s="1" t="str">
        <f>WorldCupMatches!U717</f>
        <v>Group stages</v>
      </c>
      <c r="J717" s="1">
        <f>COUNTIF($L$2:L717,L717)</f>
        <v>25</v>
      </c>
      <c r="K717" s="1">
        <f>Table3[[#This Row],[Year]]</f>
        <v>2010</v>
      </c>
      <c r="L717" s="1" t="str">
        <f>Table3[[#This Row],[Hometeam]]</f>
        <v>Germany</v>
      </c>
      <c r="M717" s="1" t="str">
        <f>IF(J717=1,J717+ROWS($J$2:J717)/10000,"")</f>
        <v/>
      </c>
      <c r="N717" s="1" t="str">
        <f>IFERROR(SMALL($M$2:$M$1705,ROWS($M$2:M717)),"")</f>
        <v/>
      </c>
      <c r="O717" s="1" t="str">
        <f>IF(N717&lt;&gt;"",INDEX($L$2:$L$1705,MATCH(N717,$M$2:$M$1705,0)),"")</f>
        <v/>
      </c>
      <c r="P717" s="1" t="str">
        <f>IF(O717&lt;&gt;"",ROWS($O$2:O717),"")</f>
        <v/>
      </c>
    </row>
    <row r="718" spans="1:16" x14ac:dyDescent="0.2">
      <c r="A718" s="1">
        <f>WorldCupMatches!O718</f>
        <v>2010</v>
      </c>
      <c r="B718" s="1" t="str">
        <f>WorldCupMatches!P718</f>
        <v>Netherlands</v>
      </c>
      <c r="C718" s="1">
        <f>WorldCupMatches!Q718</f>
        <v>2</v>
      </c>
      <c r="D718" s="1">
        <f>WorldCupMatches!R718</f>
        <v>0</v>
      </c>
      <c r="E718" s="1" t="str">
        <f>WorldCupMatches!S718</f>
        <v>Denmark</v>
      </c>
      <c r="F718" s="1" t="str">
        <f>WorldCupMatches!T718</f>
        <v xml:space="preserve"> </v>
      </c>
      <c r="G718" s="1" t="str">
        <f>WorldCupMatches!U718</f>
        <v>Group stages</v>
      </c>
      <c r="J718" s="1">
        <f>COUNTIF($L$2:L718,L718)</f>
        <v>21</v>
      </c>
      <c r="K718" s="1">
        <f>Table3[[#This Row],[Year]]</f>
        <v>2010</v>
      </c>
      <c r="L718" s="1" t="str">
        <f>Table3[[#This Row],[Hometeam]]</f>
        <v>Netherlands</v>
      </c>
      <c r="M718" s="1" t="str">
        <f>IF(J718=1,J718+ROWS($J$2:J718)/10000,"")</f>
        <v/>
      </c>
      <c r="N718" s="1" t="str">
        <f>IFERROR(SMALL($M$2:$M$1705,ROWS($M$2:M718)),"")</f>
        <v/>
      </c>
      <c r="O718" s="1" t="str">
        <f>IF(N718&lt;&gt;"",INDEX($L$2:$L$1705,MATCH(N718,$M$2:$M$1705,0)),"")</f>
        <v/>
      </c>
      <c r="P718" s="1" t="str">
        <f>IF(O718&lt;&gt;"",ROWS($O$2:O718),"")</f>
        <v/>
      </c>
    </row>
    <row r="719" spans="1:16" x14ac:dyDescent="0.2">
      <c r="A719" s="1">
        <f>WorldCupMatches!O719</f>
        <v>2010</v>
      </c>
      <c r="B719" s="1" t="str">
        <f>WorldCupMatches!P719</f>
        <v>Japan</v>
      </c>
      <c r="C719" s="1">
        <f>WorldCupMatches!Q719</f>
        <v>1</v>
      </c>
      <c r="D719" s="1">
        <f>WorldCupMatches!R719</f>
        <v>0</v>
      </c>
      <c r="E719" s="1" t="str">
        <f>WorldCupMatches!S719</f>
        <v>Cameroon</v>
      </c>
      <c r="F719" s="1" t="str">
        <f>WorldCupMatches!T719</f>
        <v xml:space="preserve"> </v>
      </c>
      <c r="G719" s="1" t="str">
        <f>WorldCupMatches!U719</f>
        <v>Group stages</v>
      </c>
      <c r="J719" s="1">
        <f>COUNTIF($L$2:L719,L719)</f>
        <v>8</v>
      </c>
      <c r="K719" s="1">
        <f>Table3[[#This Row],[Year]]</f>
        <v>2010</v>
      </c>
      <c r="L719" s="1" t="str">
        <f>Table3[[#This Row],[Hometeam]]</f>
        <v>Japan</v>
      </c>
      <c r="M719" s="1" t="str">
        <f>IF(J719=1,J719+ROWS($J$2:J719)/10000,"")</f>
        <v/>
      </c>
      <c r="N719" s="1" t="str">
        <f>IFERROR(SMALL($M$2:$M$1705,ROWS($M$2:M719)),"")</f>
        <v/>
      </c>
      <c r="O719" s="1" t="str">
        <f>IF(N719&lt;&gt;"",INDEX($L$2:$L$1705,MATCH(N719,$M$2:$M$1705,0)),"")</f>
        <v/>
      </c>
      <c r="P719" s="1" t="str">
        <f>IF(O719&lt;&gt;"",ROWS($O$2:O719),"")</f>
        <v/>
      </c>
    </row>
    <row r="720" spans="1:16" x14ac:dyDescent="0.2">
      <c r="A720" s="1">
        <f>WorldCupMatches!O720</f>
        <v>2010</v>
      </c>
      <c r="B720" s="1" t="str">
        <f>WorldCupMatches!P720</f>
        <v>Italy</v>
      </c>
      <c r="C720" s="1">
        <f>WorldCupMatches!Q720</f>
        <v>1</v>
      </c>
      <c r="D720" s="1">
        <f>WorldCupMatches!R720</f>
        <v>1</v>
      </c>
      <c r="E720" s="1" t="str">
        <f>WorldCupMatches!S720</f>
        <v>Paraguay</v>
      </c>
      <c r="F720" s="1" t="str">
        <f>WorldCupMatches!T720</f>
        <v xml:space="preserve"> </v>
      </c>
      <c r="G720" s="1" t="str">
        <f>WorldCupMatches!U720</f>
        <v>Group stages</v>
      </c>
      <c r="J720" s="1">
        <f>COUNTIF($L$2:L720,L720)</f>
        <v>54</v>
      </c>
      <c r="K720" s="1">
        <f>Table3[[#This Row],[Year]]</f>
        <v>2010</v>
      </c>
      <c r="L720" s="1" t="str">
        <f>Table3[[#This Row],[Hometeam]]</f>
        <v>Italy</v>
      </c>
      <c r="M720" s="1" t="str">
        <f>IF(J720=1,J720+ROWS($J$2:J720)/10000,"")</f>
        <v/>
      </c>
      <c r="N720" s="1" t="str">
        <f>IFERROR(SMALL($M$2:$M$1705,ROWS($M$2:M720)),"")</f>
        <v/>
      </c>
      <c r="O720" s="1" t="str">
        <f>IF(N720&lt;&gt;"",INDEX($L$2:$L$1705,MATCH(N720,$M$2:$M$1705,0)),"")</f>
        <v/>
      </c>
      <c r="P720" s="1" t="str">
        <f>IF(O720&lt;&gt;"",ROWS($O$2:O720),"")</f>
        <v/>
      </c>
    </row>
    <row r="721" spans="1:16" x14ac:dyDescent="0.2">
      <c r="A721" s="1">
        <f>WorldCupMatches!O721</f>
        <v>2010</v>
      </c>
      <c r="B721" s="1" t="str">
        <f>WorldCupMatches!P721</f>
        <v>New Zealand</v>
      </c>
      <c r="C721" s="1">
        <f>WorldCupMatches!Q721</f>
        <v>1</v>
      </c>
      <c r="D721" s="1">
        <f>WorldCupMatches!R721</f>
        <v>1</v>
      </c>
      <c r="E721" s="1" t="str">
        <f>WorldCupMatches!S721</f>
        <v>Slovakia</v>
      </c>
      <c r="F721" s="1" t="str">
        <f>WorldCupMatches!T721</f>
        <v xml:space="preserve"> </v>
      </c>
      <c r="G721" s="1" t="str">
        <f>WorldCupMatches!U721</f>
        <v>Group stages</v>
      </c>
      <c r="J721" s="1">
        <f>COUNTIF($L$2:L721,L721)</f>
        <v>1</v>
      </c>
      <c r="K721" s="1">
        <f>Table3[[#This Row],[Year]]</f>
        <v>2010</v>
      </c>
      <c r="L721" s="1" t="str">
        <f>Table3[[#This Row],[Hometeam]]</f>
        <v>New Zealand</v>
      </c>
      <c r="M721" s="1">
        <f>IF(J721=1,J721+ROWS($J$2:J721)/10000,"")</f>
        <v>1.0720000000000001</v>
      </c>
      <c r="N721" s="1" t="str">
        <f>IFERROR(SMALL($M$2:$M$1705,ROWS($M$2:M721)),"")</f>
        <v/>
      </c>
      <c r="O721" s="1" t="str">
        <f>IF(N721&lt;&gt;"",INDEX($L$2:$L$1705,MATCH(N721,$M$2:$M$1705,0)),"")</f>
        <v/>
      </c>
      <c r="P721" s="1" t="str">
        <f>IF(O721&lt;&gt;"",ROWS($O$2:O721),"")</f>
        <v/>
      </c>
    </row>
    <row r="722" spans="1:16" x14ac:dyDescent="0.2">
      <c r="A722" s="1">
        <f>WorldCupMatches!O722</f>
        <v>2010</v>
      </c>
      <c r="B722" s="1" t="str">
        <f>WorldCupMatches!P722</f>
        <v>Cï¿½te d'Ivoire</v>
      </c>
      <c r="C722" s="1">
        <f>WorldCupMatches!Q722</f>
        <v>0</v>
      </c>
      <c r="D722" s="1">
        <f>WorldCupMatches!R722</f>
        <v>0</v>
      </c>
      <c r="E722" s="1" t="str">
        <f>WorldCupMatches!S722</f>
        <v>Portugal</v>
      </c>
      <c r="F722" s="1" t="str">
        <f>WorldCupMatches!T722</f>
        <v xml:space="preserve"> </v>
      </c>
      <c r="G722" s="1" t="str">
        <f>WorldCupMatches!U722</f>
        <v>Group stages</v>
      </c>
      <c r="J722" s="1">
        <f>COUNTIF($L$2:L722,L722)</f>
        <v>2</v>
      </c>
      <c r="K722" s="1">
        <f>Table3[[#This Row],[Year]]</f>
        <v>2010</v>
      </c>
      <c r="L722" s="1" t="str">
        <f>Table3[[#This Row],[Hometeam]]</f>
        <v>Cï¿½te d'Ivoire</v>
      </c>
      <c r="M722" s="1" t="str">
        <f>IF(J722=1,J722+ROWS($J$2:J722)/10000,"")</f>
        <v/>
      </c>
      <c r="N722" s="1" t="str">
        <f>IFERROR(SMALL($M$2:$M$1705,ROWS($M$2:M722)),"")</f>
        <v/>
      </c>
      <c r="O722" s="1" t="str">
        <f>IF(N722&lt;&gt;"",INDEX($L$2:$L$1705,MATCH(N722,$M$2:$M$1705,0)),"")</f>
        <v/>
      </c>
      <c r="P722" s="1" t="str">
        <f>IF(O722&lt;&gt;"",ROWS($O$2:O722),"")</f>
        <v/>
      </c>
    </row>
    <row r="723" spans="1:16" x14ac:dyDescent="0.2">
      <c r="A723" s="1">
        <f>WorldCupMatches!O723</f>
        <v>2010</v>
      </c>
      <c r="B723" s="1" t="str">
        <f>WorldCupMatches!P723</f>
        <v>Brazil</v>
      </c>
      <c r="C723" s="1">
        <f>WorldCupMatches!Q723</f>
        <v>2</v>
      </c>
      <c r="D723" s="1">
        <f>WorldCupMatches!R723</f>
        <v>1</v>
      </c>
      <c r="E723" s="1" t="str">
        <f>WorldCupMatches!S723</f>
        <v>Korea DPR</v>
      </c>
      <c r="F723" s="1" t="str">
        <f>WorldCupMatches!T723</f>
        <v xml:space="preserve"> </v>
      </c>
      <c r="G723" s="1" t="str">
        <f>WorldCupMatches!U723</f>
        <v>Group stages</v>
      </c>
      <c r="J723" s="1">
        <f>COUNTIF($L$2:L723,L723)</f>
        <v>70</v>
      </c>
      <c r="K723" s="1">
        <f>Table3[[#This Row],[Year]]</f>
        <v>2010</v>
      </c>
      <c r="L723" s="1" t="str">
        <f>Table3[[#This Row],[Hometeam]]</f>
        <v>Brazil</v>
      </c>
      <c r="M723" s="1" t="str">
        <f>IF(J723=1,J723+ROWS($J$2:J723)/10000,"")</f>
        <v/>
      </c>
      <c r="N723" s="1" t="str">
        <f>IFERROR(SMALL($M$2:$M$1705,ROWS($M$2:M723)),"")</f>
        <v/>
      </c>
      <c r="O723" s="1" t="str">
        <f>IF(N723&lt;&gt;"",INDEX($L$2:$L$1705,MATCH(N723,$M$2:$M$1705,0)),"")</f>
        <v/>
      </c>
      <c r="P723" s="1" t="str">
        <f>IF(O723&lt;&gt;"",ROWS($O$2:O723),"")</f>
        <v/>
      </c>
    </row>
    <row r="724" spans="1:16" x14ac:dyDescent="0.2">
      <c r="A724" s="1">
        <f>WorldCupMatches!O724</f>
        <v>2010</v>
      </c>
      <c r="B724" s="1" t="str">
        <f>WorldCupMatches!P724</f>
        <v>Honduras</v>
      </c>
      <c r="C724" s="1">
        <f>WorldCupMatches!Q724</f>
        <v>0</v>
      </c>
      <c r="D724" s="1">
        <f>WorldCupMatches!R724</f>
        <v>1</v>
      </c>
      <c r="E724" s="1" t="str">
        <f>WorldCupMatches!S724</f>
        <v>Chile</v>
      </c>
      <c r="F724" s="1" t="str">
        <f>WorldCupMatches!T724</f>
        <v xml:space="preserve"> </v>
      </c>
      <c r="G724" s="1" t="str">
        <f>WorldCupMatches!U724</f>
        <v>Group stages</v>
      </c>
      <c r="J724" s="1">
        <f>COUNTIF($L$2:L724,L724)</f>
        <v>3</v>
      </c>
      <c r="K724" s="1">
        <f>Table3[[#This Row],[Year]]</f>
        <v>2010</v>
      </c>
      <c r="L724" s="1" t="str">
        <f>Table3[[#This Row],[Hometeam]]</f>
        <v>Honduras</v>
      </c>
      <c r="M724" s="1" t="str">
        <f>IF(J724=1,J724+ROWS($J$2:J724)/10000,"")</f>
        <v/>
      </c>
      <c r="N724" s="1" t="str">
        <f>IFERROR(SMALL($M$2:$M$1705,ROWS($M$2:M724)),"")</f>
        <v/>
      </c>
      <c r="O724" s="1" t="str">
        <f>IF(N724&lt;&gt;"",INDEX($L$2:$L$1705,MATCH(N724,$M$2:$M$1705,0)),"")</f>
        <v/>
      </c>
      <c r="P724" s="1" t="str">
        <f>IF(O724&lt;&gt;"",ROWS($O$2:O724),"")</f>
        <v/>
      </c>
    </row>
    <row r="725" spans="1:16" x14ac:dyDescent="0.2">
      <c r="A725" s="1">
        <f>WorldCupMatches!O725</f>
        <v>2010</v>
      </c>
      <c r="B725" s="1" t="str">
        <f>WorldCupMatches!P725</f>
        <v>Spain</v>
      </c>
      <c r="C725" s="1">
        <f>WorldCupMatches!Q725</f>
        <v>0</v>
      </c>
      <c r="D725" s="1">
        <f>WorldCupMatches!R725</f>
        <v>1</v>
      </c>
      <c r="E725" s="1" t="str">
        <f>WorldCupMatches!S725</f>
        <v>Switzerland</v>
      </c>
      <c r="F725" s="1" t="str">
        <f>WorldCupMatches!T725</f>
        <v xml:space="preserve"> </v>
      </c>
      <c r="G725" s="1" t="str">
        <f>WorldCupMatches!U725</f>
        <v>Group stages</v>
      </c>
      <c r="J725" s="1">
        <f>COUNTIF($L$2:L725,L725)</f>
        <v>26</v>
      </c>
      <c r="K725" s="1">
        <f>Table3[[#This Row],[Year]]</f>
        <v>2010</v>
      </c>
      <c r="L725" s="1" t="str">
        <f>Table3[[#This Row],[Hometeam]]</f>
        <v>Spain</v>
      </c>
      <c r="M725" s="1" t="str">
        <f>IF(J725=1,J725+ROWS($J$2:J725)/10000,"")</f>
        <v/>
      </c>
      <c r="N725" s="1" t="str">
        <f>IFERROR(SMALL($M$2:$M$1705,ROWS($M$2:M725)),"")</f>
        <v/>
      </c>
      <c r="O725" s="1" t="str">
        <f>IF(N725&lt;&gt;"",INDEX($L$2:$L$1705,MATCH(N725,$M$2:$M$1705,0)),"")</f>
        <v/>
      </c>
      <c r="P725" s="1" t="str">
        <f>IF(O725&lt;&gt;"",ROWS($O$2:O725),"")</f>
        <v/>
      </c>
    </row>
    <row r="726" spans="1:16" x14ac:dyDescent="0.2">
      <c r="A726" s="1">
        <f>WorldCupMatches!O726</f>
        <v>2010</v>
      </c>
      <c r="B726" s="1" t="str">
        <f>WorldCupMatches!P726</f>
        <v>South Africa</v>
      </c>
      <c r="C726" s="1">
        <f>WorldCupMatches!Q726</f>
        <v>0</v>
      </c>
      <c r="D726" s="1">
        <f>WorldCupMatches!R726</f>
        <v>3</v>
      </c>
      <c r="E726" s="1" t="str">
        <f>WorldCupMatches!S726</f>
        <v>Uruguay</v>
      </c>
      <c r="F726" s="1" t="str">
        <f>WorldCupMatches!T726</f>
        <v xml:space="preserve"> </v>
      </c>
      <c r="G726" s="1" t="str">
        <f>WorldCupMatches!U726</f>
        <v>Group stages</v>
      </c>
      <c r="J726" s="1">
        <f>COUNTIF($L$2:L726,L726)</f>
        <v>6</v>
      </c>
      <c r="K726" s="1">
        <f>Table3[[#This Row],[Year]]</f>
        <v>2010</v>
      </c>
      <c r="L726" s="1" t="str">
        <f>Table3[[#This Row],[Hometeam]]</f>
        <v>South Africa</v>
      </c>
      <c r="M726" s="1" t="str">
        <f>IF(J726=1,J726+ROWS($J$2:J726)/10000,"")</f>
        <v/>
      </c>
      <c r="N726" s="1" t="str">
        <f>IFERROR(SMALL($M$2:$M$1705,ROWS($M$2:M726)),"")</f>
        <v/>
      </c>
      <c r="O726" s="1" t="str">
        <f>IF(N726&lt;&gt;"",INDEX($L$2:$L$1705,MATCH(N726,$M$2:$M$1705,0)),"")</f>
        <v/>
      </c>
      <c r="P726" s="1" t="str">
        <f>IF(O726&lt;&gt;"",ROWS($O$2:O726),"")</f>
        <v/>
      </c>
    </row>
    <row r="727" spans="1:16" x14ac:dyDescent="0.2">
      <c r="A727" s="1">
        <f>WorldCupMatches!O727</f>
        <v>2010</v>
      </c>
      <c r="B727" s="1" t="str">
        <f>WorldCupMatches!P727</f>
        <v>Argentina</v>
      </c>
      <c r="C727" s="1">
        <f>WorldCupMatches!Q727</f>
        <v>4</v>
      </c>
      <c r="D727" s="1">
        <f>WorldCupMatches!R727</f>
        <v>1</v>
      </c>
      <c r="E727" s="1" t="str">
        <f>WorldCupMatches!S727</f>
        <v>Korea Republic</v>
      </c>
      <c r="F727" s="1" t="str">
        <f>WorldCupMatches!T727</f>
        <v xml:space="preserve"> </v>
      </c>
      <c r="G727" s="1" t="str">
        <f>WorldCupMatches!U727</f>
        <v>Group stages</v>
      </c>
      <c r="J727" s="1">
        <f>COUNTIF($L$2:L727,L727)</f>
        <v>46</v>
      </c>
      <c r="K727" s="1">
        <f>Table3[[#This Row],[Year]]</f>
        <v>2010</v>
      </c>
      <c r="L727" s="1" t="str">
        <f>Table3[[#This Row],[Hometeam]]</f>
        <v>Argentina</v>
      </c>
      <c r="M727" s="1" t="str">
        <f>IF(J727=1,J727+ROWS($J$2:J727)/10000,"")</f>
        <v/>
      </c>
      <c r="N727" s="1" t="str">
        <f>IFERROR(SMALL($M$2:$M$1705,ROWS($M$2:M727)),"")</f>
        <v/>
      </c>
      <c r="O727" s="1" t="str">
        <f>IF(N727&lt;&gt;"",INDEX($L$2:$L$1705,MATCH(N727,$M$2:$M$1705,0)),"")</f>
        <v/>
      </c>
      <c r="P727" s="1" t="str">
        <f>IF(O727&lt;&gt;"",ROWS($O$2:O727),"")</f>
        <v/>
      </c>
    </row>
    <row r="728" spans="1:16" x14ac:dyDescent="0.2">
      <c r="A728" s="1">
        <f>WorldCupMatches!O728</f>
        <v>2010</v>
      </c>
      <c r="B728" s="1" t="str">
        <f>WorldCupMatches!P728</f>
        <v>Greece</v>
      </c>
      <c r="C728" s="1">
        <f>WorldCupMatches!Q728</f>
        <v>2</v>
      </c>
      <c r="D728" s="1">
        <f>WorldCupMatches!R728</f>
        <v>1</v>
      </c>
      <c r="E728" s="1" t="str">
        <f>WorldCupMatches!S728</f>
        <v>Nigeria</v>
      </c>
      <c r="F728" s="1" t="str">
        <f>WorldCupMatches!T728</f>
        <v xml:space="preserve"> </v>
      </c>
      <c r="G728" s="1" t="str">
        <f>WorldCupMatches!U728</f>
        <v>Group stages</v>
      </c>
      <c r="J728" s="1">
        <f>COUNTIF($L$2:L728,L728)</f>
        <v>2</v>
      </c>
      <c r="K728" s="1">
        <f>Table3[[#This Row],[Year]]</f>
        <v>2010</v>
      </c>
      <c r="L728" s="1" t="str">
        <f>Table3[[#This Row],[Hometeam]]</f>
        <v>Greece</v>
      </c>
      <c r="M728" s="1" t="str">
        <f>IF(J728=1,J728+ROWS($J$2:J728)/10000,"")</f>
        <v/>
      </c>
      <c r="N728" s="1" t="str">
        <f>IFERROR(SMALL($M$2:$M$1705,ROWS($M$2:M728)),"")</f>
        <v/>
      </c>
      <c r="O728" s="1" t="str">
        <f>IF(N728&lt;&gt;"",INDEX($L$2:$L$1705,MATCH(N728,$M$2:$M$1705,0)),"")</f>
        <v/>
      </c>
      <c r="P728" s="1" t="str">
        <f>IF(O728&lt;&gt;"",ROWS($O$2:O728),"")</f>
        <v/>
      </c>
    </row>
    <row r="729" spans="1:16" x14ac:dyDescent="0.2">
      <c r="A729" s="1">
        <f>WorldCupMatches!O729</f>
        <v>2010</v>
      </c>
      <c r="B729" s="1" t="str">
        <f>WorldCupMatches!P729</f>
        <v>France</v>
      </c>
      <c r="C729" s="1">
        <f>WorldCupMatches!Q729</f>
        <v>0</v>
      </c>
      <c r="D729" s="1">
        <f>WorldCupMatches!R729</f>
        <v>2</v>
      </c>
      <c r="E729" s="1" t="str">
        <f>WorldCupMatches!S729</f>
        <v>Mexico</v>
      </c>
      <c r="F729" s="1" t="str">
        <f>WorldCupMatches!T729</f>
        <v xml:space="preserve"> </v>
      </c>
      <c r="G729" s="1" t="str">
        <f>WorldCupMatches!U729</f>
        <v>Group stages</v>
      </c>
      <c r="J729" s="1">
        <f>COUNTIF($L$2:L729,L729)</f>
        <v>25</v>
      </c>
      <c r="K729" s="1">
        <f>Table3[[#This Row],[Year]]</f>
        <v>2010</v>
      </c>
      <c r="L729" s="1" t="str">
        <f>Table3[[#This Row],[Hometeam]]</f>
        <v>France</v>
      </c>
      <c r="M729" s="1" t="str">
        <f>IF(J729=1,J729+ROWS($J$2:J729)/10000,"")</f>
        <v/>
      </c>
      <c r="N729" s="1" t="str">
        <f>IFERROR(SMALL($M$2:$M$1705,ROWS($M$2:M729)),"")</f>
        <v/>
      </c>
      <c r="O729" s="1" t="str">
        <f>IF(N729&lt;&gt;"",INDEX($L$2:$L$1705,MATCH(N729,$M$2:$M$1705,0)),"")</f>
        <v/>
      </c>
      <c r="P729" s="1" t="str">
        <f>IF(O729&lt;&gt;"",ROWS($O$2:O729),"")</f>
        <v/>
      </c>
    </row>
    <row r="730" spans="1:16" x14ac:dyDescent="0.2">
      <c r="A730" s="1">
        <f>WorldCupMatches!O730</f>
        <v>2010</v>
      </c>
      <c r="B730" s="1" t="str">
        <f>WorldCupMatches!P730</f>
        <v>Germany</v>
      </c>
      <c r="C730" s="1">
        <f>WorldCupMatches!Q730</f>
        <v>0</v>
      </c>
      <c r="D730" s="1">
        <f>WorldCupMatches!R730</f>
        <v>1</v>
      </c>
      <c r="E730" s="1" t="str">
        <f>WorldCupMatches!S730</f>
        <v>Serbia</v>
      </c>
      <c r="F730" s="1" t="str">
        <f>WorldCupMatches!T730</f>
        <v xml:space="preserve"> </v>
      </c>
      <c r="G730" s="1" t="str">
        <f>WorldCupMatches!U730</f>
        <v>Group stages</v>
      </c>
      <c r="J730" s="1">
        <f>COUNTIF($L$2:L730,L730)</f>
        <v>26</v>
      </c>
      <c r="K730" s="1">
        <f>Table3[[#This Row],[Year]]</f>
        <v>2010</v>
      </c>
      <c r="L730" s="1" t="str">
        <f>Table3[[#This Row],[Hometeam]]</f>
        <v>Germany</v>
      </c>
      <c r="M730" s="1" t="str">
        <f>IF(J730=1,J730+ROWS($J$2:J730)/10000,"")</f>
        <v/>
      </c>
      <c r="N730" s="1" t="str">
        <f>IFERROR(SMALL($M$2:$M$1705,ROWS($M$2:M730)),"")</f>
        <v/>
      </c>
      <c r="O730" s="1" t="str">
        <f>IF(N730&lt;&gt;"",INDEX($L$2:$L$1705,MATCH(N730,$M$2:$M$1705,0)),"")</f>
        <v/>
      </c>
      <c r="P730" s="1" t="str">
        <f>IF(O730&lt;&gt;"",ROWS($O$2:O730),"")</f>
        <v/>
      </c>
    </row>
    <row r="731" spans="1:16" x14ac:dyDescent="0.2">
      <c r="A731" s="1">
        <f>WorldCupMatches!O731</f>
        <v>2010</v>
      </c>
      <c r="B731" s="1" t="str">
        <f>WorldCupMatches!P731</f>
        <v>Slovenia</v>
      </c>
      <c r="C731" s="1">
        <f>WorldCupMatches!Q731</f>
        <v>2</v>
      </c>
      <c r="D731" s="1">
        <f>WorldCupMatches!R731</f>
        <v>2</v>
      </c>
      <c r="E731" s="1" t="str">
        <f>WorldCupMatches!S731</f>
        <v>USA</v>
      </c>
      <c r="F731" s="1" t="str">
        <f>WorldCupMatches!T731</f>
        <v xml:space="preserve"> </v>
      </c>
      <c r="G731" s="1" t="str">
        <f>WorldCupMatches!U731</f>
        <v>Group stages</v>
      </c>
      <c r="J731" s="1">
        <f>COUNTIF($L$2:L731,L731)</f>
        <v>2</v>
      </c>
      <c r="K731" s="1">
        <f>Table3[[#This Row],[Year]]</f>
        <v>2010</v>
      </c>
      <c r="L731" s="1" t="str">
        <f>Table3[[#This Row],[Hometeam]]</f>
        <v>Slovenia</v>
      </c>
      <c r="M731" s="1" t="str">
        <f>IF(J731=1,J731+ROWS($J$2:J731)/10000,"")</f>
        <v/>
      </c>
      <c r="N731" s="1" t="str">
        <f>IFERROR(SMALL($M$2:$M$1705,ROWS($M$2:M731)),"")</f>
        <v/>
      </c>
      <c r="O731" s="1" t="str">
        <f>IF(N731&lt;&gt;"",INDEX($L$2:$L$1705,MATCH(N731,$M$2:$M$1705,0)),"")</f>
        <v/>
      </c>
      <c r="P731" s="1" t="str">
        <f>IF(O731&lt;&gt;"",ROWS($O$2:O731),"")</f>
        <v/>
      </c>
    </row>
    <row r="732" spans="1:16" x14ac:dyDescent="0.2">
      <c r="A732" s="1">
        <f>WorldCupMatches!O732</f>
        <v>2010</v>
      </c>
      <c r="B732" s="1" t="str">
        <f>WorldCupMatches!P732</f>
        <v>England</v>
      </c>
      <c r="C732" s="1">
        <f>WorldCupMatches!Q732</f>
        <v>0</v>
      </c>
      <c r="D732" s="1">
        <f>WorldCupMatches!R732</f>
        <v>0</v>
      </c>
      <c r="E732" s="1" t="str">
        <f>WorldCupMatches!S732</f>
        <v>Algeria</v>
      </c>
      <c r="F732" s="1" t="str">
        <f>WorldCupMatches!T732</f>
        <v xml:space="preserve"> </v>
      </c>
      <c r="G732" s="1" t="str">
        <f>WorldCupMatches!U732</f>
        <v>Group stages</v>
      </c>
      <c r="J732" s="1">
        <f>COUNTIF($L$2:L732,L732)</f>
        <v>34</v>
      </c>
      <c r="K732" s="1">
        <f>Table3[[#This Row],[Year]]</f>
        <v>2010</v>
      </c>
      <c r="L732" s="1" t="str">
        <f>Table3[[#This Row],[Hometeam]]</f>
        <v>England</v>
      </c>
      <c r="M732" s="1" t="str">
        <f>IF(J732=1,J732+ROWS($J$2:J732)/10000,"")</f>
        <v/>
      </c>
      <c r="N732" s="1" t="str">
        <f>IFERROR(SMALL($M$2:$M$1705,ROWS($M$2:M732)),"")</f>
        <v/>
      </c>
      <c r="O732" s="1" t="str">
        <f>IF(N732&lt;&gt;"",INDEX($L$2:$L$1705,MATCH(N732,$M$2:$M$1705,0)),"")</f>
        <v/>
      </c>
      <c r="P732" s="1" t="str">
        <f>IF(O732&lt;&gt;"",ROWS($O$2:O732),"")</f>
        <v/>
      </c>
    </row>
    <row r="733" spans="1:16" x14ac:dyDescent="0.2">
      <c r="A733" s="1">
        <f>WorldCupMatches!O733</f>
        <v>2010</v>
      </c>
      <c r="B733" s="1" t="str">
        <f>WorldCupMatches!P733</f>
        <v>Netherlands</v>
      </c>
      <c r="C733" s="1">
        <f>WorldCupMatches!Q733</f>
        <v>1</v>
      </c>
      <c r="D733" s="1">
        <f>WorldCupMatches!R733</f>
        <v>0</v>
      </c>
      <c r="E733" s="1" t="str">
        <f>WorldCupMatches!S733</f>
        <v>Japan</v>
      </c>
      <c r="F733" s="1" t="str">
        <f>WorldCupMatches!T733</f>
        <v xml:space="preserve"> </v>
      </c>
      <c r="G733" s="1" t="str">
        <f>WorldCupMatches!U733</f>
        <v>Group stages</v>
      </c>
      <c r="J733" s="1">
        <f>COUNTIF($L$2:L733,L733)</f>
        <v>22</v>
      </c>
      <c r="K733" s="1">
        <f>Table3[[#This Row],[Year]]</f>
        <v>2010</v>
      </c>
      <c r="L733" s="1" t="str">
        <f>Table3[[#This Row],[Hometeam]]</f>
        <v>Netherlands</v>
      </c>
      <c r="M733" s="1" t="str">
        <f>IF(J733=1,J733+ROWS($J$2:J733)/10000,"")</f>
        <v/>
      </c>
      <c r="N733" s="1" t="str">
        <f>IFERROR(SMALL($M$2:$M$1705,ROWS($M$2:M733)),"")</f>
        <v/>
      </c>
      <c r="O733" s="1" t="str">
        <f>IF(N733&lt;&gt;"",INDEX($L$2:$L$1705,MATCH(N733,$M$2:$M$1705,0)),"")</f>
        <v/>
      </c>
      <c r="P733" s="1" t="str">
        <f>IF(O733&lt;&gt;"",ROWS($O$2:O733),"")</f>
        <v/>
      </c>
    </row>
    <row r="734" spans="1:16" x14ac:dyDescent="0.2">
      <c r="A734" s="1">
        <f>WorldCupMatches!O734</f>
        <v>2010</v>
      </c>
      <c r="B734" s="1" t="str">
        <f>WorldCupMatches!P734</f>
        <v>Ghana</v>
      </c>
      <c r="C734" s="1">
        <f>WorldCupMatches!Q734</f>
        <v>1</v>
      </c>
      <c r="D734" s="1">
        <f>WorldCupMatches!R734</f>
        <v>1</v>
      </c>
      <c r="E734" s="1" t="str">
        <f>WorldCupMatches!S734</f>
        <v>Australia</v>
      </c>
      <c r="F734" s="1" t="str">
        <f>WorldCupMatches!T734</f>
        <v xml:space="preserve"> </v>
      </c>
      <c r="G734" s="1" t="str">
        <f>WorldCupMatches!U734</f>
        <v>Group stages</v>
      </c>
      <c r="J734" s="1">
        <f>COUNTIF($L$2:L734,L734)</f>
        <v>2</v>
      </c>
      <c r="K734" s="1">
        <f>Table3[[#This Row],[Year]]</f>
        <v>2010</v>
      </c>
      <c r="L734" s="1" t="str">
        <f>Table3[[#This Row],[Hometeam]]</f>
        <v>Ghana</v>
      </c>
      <c r="M734" s="1" t="str">
        <f>IF(J734=1,J734+ROWS($J$2:J734)/10000,"")</f>
        <v/>
      </c>
      <c r="N734" s="1" t="str">
        <f>IFERROR(SMALL($M$2:$M$1705,ROWS($M$2:M734)),"")</f>
        <v/>
      </c>
      <c r="O734" s="1" t="str">
        <f>IF(N734&lt;&gt;"",INDEX($L$2:$L$1705,MATCH(N734,$M$2:$M$1705,0)),"")</f>
        <v/>
      </c>
      <c r="P734" s="1" t="str">
        <f>IF(O734&lt;&gt;"",ROWS($O$2:O734),"")</f>
        <v/>
      </c>
    </row>
    <row r="735" spans="1:16" x14ac:dyDescent="0.2">
      <c r="A735" s="1">
        <f>WorldCupMatches!O735</f>
        <v>2010</v>
      </c>
      <c r="B735" s="1" t="str">
        <f>WorldCupMatches!P735</f>
        <v>Cameroon</v>
      </c>
      <c r="C735" s="1">
        <f>WorldCupMatches!Q735</f>
        <v>1</v>
      </c>
      <c r="D735" s="1">
        <f>WorldCupMatches!R735</f>
        <v>2</v>
      </c>
      <c r="E735" s="1" t="str">
        <f>WorldCupMatches!S735</f>
        <v>Denmark</v>
      </c>
      <c r="F735" s="1" t="str">
        <f>WorldCupMatches!T735</f>
        <v xml:space="preserve"> </v>
      </c>
      <c r="G735" s="1" t="str">
        <f>WorldCupMatches!U735</f>
        <v>Group stages</v>
      </c>
      <c r="J735" s="1">
        <f>COUNTIF($L$2:L735,L735)</f>
        <v>8</v>
      </c>
      <c r="K735" s="1">
        <f>Table3[[#This Row],[Year]]</f>
        <v>2010</v>
      </c>
      <c r="L735" s="1" t="str">
        <f>Table3[[#This Row],[Hometeam]]</f>
        <v>Cameroon</v>
      </c>
      <c r="M735" s="1" t="str">
        <f>IF(J735=1,J735+ROWS($J$2:J735)/10000,"")</f>
        <v/>
      </c>
      <c r="N735" s="1" t="str">
        <f>IFERROR(SMALL($M$2:$M$1705,ROWS($M$2:M735)),"")</f>
        <v/>
      </c>
      <c r="O735" s="1" t="str">
        <f>IF(N735&lt;&gt;"",INDEX($L$2:$L$1705,MATCH(N735,$M$2:$M$1705,0)),"")</f>
        <v/>
      </c>
      <c r="P735" s="1" t="str">
        <f>IF(O735&lt;&gt;"",ROWS($O$2:O735),"")</f>
        <v/>
      </c>
    </row>
    <row r="736" spans="1:16" x14ac:dyDescent="0.2">
      <c r="A736" s="1">
        <f>WorldCupMatches!O736</f>
        <v>2010</v>
      </c>
      <c r="B736" s="1" t="str">
        <f>WorldCupMatches!P736</f>
        <v>Slovakia</v>
      </c>
      <c r="C736" s="1">
        <f>WorldCupMatches!Q736</f>
        <v>0</v>
      </c>
      <c r="D736" s="1">
        <f>WorldCupMatches!R736</f>
        <v>2</v>
      </c>
      <c r="E736" s="1" t="str">
        <f>WorldCupMatches!S736</f>
        <v>Paraguay</v>
      </c>
      <c r="F736" s="1" t="str">
        <f>WorldCupMatches!T736</f>
        <v xml:space="preserve"> </v>
      </c>
      <c r="G736" s="1" t="str">
        <f>WorldCupMatches!U736</f>
        <v>Group stages</v>
      </c>
      <c r="J736" s="1">
        <f>COUNTIF($L$2:L736,L736)</f>
        <v>1</v>
      </c>
      <c r="K736" s="1">
        <f>Table3[[#This Row],[Year]]</f>
        <v>2010</v>
      </c>
      <c r="L736" s="1" t="str">
        <f>Table3[[#This Row],[Hometeam]]</f>
        <v>Slovakia</v>
      </c>
      <c r="M736" s="1">
        <f>IF(J736=1,J736+ROWS($J$2:J736)/10000,"")</f>
        <v>1.0734999999999999</v>
      </c>
      <c r="N736" s="1" t="str">
        <f>IFERROR(SMALL($M$2:$M$1705,ROWS($M$2:M736)),"")</f>
        <v/>
      </c>
      <c r="O736" s="1" t="str">
        <f>IF(N736&lt;&gt;"",INDEX($L$2:$L$1705,MATCH(N736,$M$2:$M$1705,0)),"")</f>
        <v/>
      </c>
      <c r="P736" s="1" t="str">
        <f>IF(O736&lt;&gt;"",ROWS($O$2:O736),"")</f>
        <v/>
      </c>
    </row>
    <row r="737" spans="1:16" x14ac:dyDescent="0.2">
      <c r="A737" s="1">
        <f>WorldCupMatches!O737</f>
        <v>2010</v>
      </c>
      <c r="B737" s="1" t="str">
        <f>WorldCupMatches!P737</f>
        <v>Italy</v>
      </c>
      <c r="C737" s="1">
        <f>WorldCupMatches!Q737</f>
        <v>1</v>
      </c>
      <c r="D737" s="1">
        <f>WorldCupMatches!R737</f>
        <v>1</v>
      </c>
      <c r="E737" s="1" t="str">
        <f>WorldCupMatches!S737</f>
        <v>New Zealand</v>
      </c>
      <c r="F737" s="1" t="str">
        <f>WorldCupMatches!T737</f>
        <v xml:space="preserve"> </v>
      </c>
      <c r="G737" s="1" t="str">
        <f>WorldCupMatches!U737</f>
        <v>Group stages</v>
      </c>
      <c r="J737" s="1">
        <f>COUNTIF($L$2:L737,L737)</f>
        <v>55</v>
      </c>
      <c r="K737" s="1">
        <f>Table3[[#This Row],[Year]]</f>
        <v>2010</v>
      </c>
      <c r="L737" s="1" t="str">
        <f>Table3[[#This Row],[Hometeam]]</f>
        <v>Italy</v>
      </c>
      <c r="M737" s="1" t="str">
        <f>IF(J737=1,J737+ROWS($J$2:J737)/10000,"")</f>
        <v/>
      </c>
      <c r="N737" s="1" t="str">
        <f>IFERROR(SMALL($M$2:$M$1705,ROWS($M$2:M737)),"")</f>
        <v/>
      </c>
      <c r="O737" s="1" t="str">
        <f>IF(N737&lt;&gt;"",INDEX($L$2:$L$1705,MATCH(N737,$M$2:$M$1705,0)),"")</f>
        <v/>
      </c>
      <c r="P737" s="1" t="str">
        <f>IF(O737&lt;&gt;"",ROWS($O$2:O737),"")</f>
        <v/>
      </c>
    </row>
    <row r="738" spans="1:16" x14ac:dyDescent="0.2">
      <c r="A738" s="1">
        <f>WorldCupMatches!O738</f>
        <v>2010</v>
      </c>
      <c r="B738" s="1" t="str">
        <f>WorldCupMatches!P738</f>
        <v>Brazil</v>
      </c>
      <c r="C738" s="1">
        <f>WorldCupMatches!Q738</f>
        <v>3</v>
      </c>
      <c r="D738" s="1">
        <f>WorldCupMatches!R738</f>
        <v>1</v>
      </c>
      <c r="E738" s="1" t="str">
        <f>WorldCupMatches!S738</f>
        <v>Cï¿½te d'Ivoire</v>
      </c>
      <c r="F738" s="1" t="str">
        <f>WorldCupMatches!T738</f>
        <v xml:space="preserve"> </v>
      </c>
      <c r="G738" s="1" t="str">
        <f>WorldCupMatches!U738</f>
        <v>Group stages</v>
      </c>
      <c r="J738" s="1">
        <f>COUNTIF($L$2:L738,L738)</f>
        <v>71</v>
      </c>
      <c r="K738" s="1">
        <f>Table3[[#This Row],[Year]]</f>
        <v>2010</v>
      </c>
      <c r="L738" s="1" t="str">
        <f>Table3[[#This Row],[Hometeam]]</f>
        <v>Brazil</v>
      </c>
      <c r="M738" s="1" t="str">
        <f>IF(J738=1,J738+ROWS($J$2:J738)/10000,"")</f>
        <v/>
      </c>
      <c r="N738" s="1" t="str">
        <f>IFERROR(SMALL($M$2:$M$1705,ROWS($M$2:M738)),"")</f>
        <v/>
      </c>
      <c r="O738" s="1" t="str">
        <f>IF(N738&lt;&gt;"",INDEX($L$2:$L$1705,MATCH(N738,$M$2:$M$1705,0)),"")</f>
        <v/>
      </c>
      <c r="P738" s="1" t="str">
        <f>IF(O738&lt;&gt;"",ROWS($O$2:O738),"")</f>
        <v/>
      </c>
    </row>
    <row r="739" spans="1:16" x14ac:dyDescent="0.2">
      <c r="A739" s="1">
        <f>WorldCupMatches!O739</f>
        <v>2010</v>
      </c>
      <c r="B739" s="1" t="str">
        <f>WorldCupMatches!P739</f>
        <v>Portugal</v>
      </c>
      <c r="C739" s="1">
        <f>WorldCupMatches!Q739</f>
        <v>7</v>
      </c>
      <c r="D739" s="1">
        <f>WorldCupMatches!R739</f>
        <v>0</v>
      </c>
      <c r="E739" s="1" t="str">
        <f>WorldCupMatches!S739</f>
        <v>Korea DPR</v>
      </c>
      <c r="F739" s="1" t="str">
        <f>WorldCupMatches!T739</f>
        <v xml:space="preserve"> </v>
      </c>
      <c r="G739" s="1" t="str">
        <f>WorldCupMatches!U739</f>
        <v>Group stages</v>
      </c>
      <c r="J739" s="1">
        <f>COUNTIF($L$2:L739,L739)</f>
        <v>14</v>
      </c>
      <c r="K739" s="1">
        <f>Table3[[#This Row],[Year]]</f>
        <v>2010</v>
      </c>
      <c r="L739" s="1" t="str">
        <f>Table3[[#This Row],[Hometeam]]</f>
        <v>Portugal</v>
      </c>
      <c r="M739" s="1" t="str">
        <f>IF(J739=1,J739+ROWS($J$2:J739)/10000,"")</f>
        <v/>
      </c>
      <c r="N739" s="1" t="str">
        <f>IFERROR(SMALL($M$2:$M$1705,ROWS($M$2:M739)),"")</f>
        <v/>
      </c>
      <c r="O739" s="1" t="str">
        <f>IF(N739&lt;&gt;"",INDEX($L$2:$L$1705,MATCH(N739,$M$2:$M$1705,0)),"")</f>
        <v/>
      </c>
      <c r="P739" s="1" t="str">
        <f>IF(O739&lt;&gt;"",ROWS($O$2:O739),"")</f>
        <v/>
      </c>
    </row>
    <row r="740" spans="1:16" x14ac:dyDescent="0.2">
      <c r="A740" s="1">
        <f>WorldCupMatches!O740</f>
        <v>2010</v>
      </c>
      <c r="B740" s="1" t="str">
        <f>WorldCupMatches!P740</f>
        <v>Chile</v>
      </c>
      <c r="C740" s="1">
        <f>WorldCupMatches!Q740</f>
        <v>1</v>
      </c>
      <c r="D740" s="1">
        <f>WorldCupMatches!R740</f>
        <v>0</v>
      </c>
      <c r="E740" s="1" t="str">
        <f>WorldCupMatches!S740</f>
        <v>Switzerland</v>
      </c>
      <c r="F740" s="1" t="str">
        <f>WorldCupMatches!T740</f>
        <v xml:space="preserve"> </v>
      </c>
      <c r="G740" s="1" t="str">
        <f>WorldCupMatches!U740</f>
        <v>Group stages</v>
      </c>
      <c r="J740" s="1">
        <f>COUNTIF($L$2:L740,L740)</f>
        <v>12</v>
      </c>
      <c r="K740" s="1">
        <f>Table3[[#This Row],[Year]]</f>
        <v>2010</v>
      </c>
      <c r="L740" s="1" t="str">
        <f>Table3[[#This Row],[Hometeam]]</f>
        <v>Chile</v>
      </c>
      <c r="M740" s="1" t="str">
        <f>IF(J740=1,J740+ROWS($J$2:J740)/10000,"")</f>
        <v/>
      </c>
      <c r="N740" s="1" t="str">
        <f>IFERROR(SMALL($M$2:$M$1705,ROWS($M$2:M740)),"")</f>
        <v/>
      </c>
      <c r="O740" s="1" t="str">
        <f>IF(N740&lt;&gt;"",INDEX($L$2:$L$1705,MATCH(N740,$M$2:$M$1705,0)),"")</f>
        <v/>
      </c>
      <c r="P740" s="1" t="str">
        <f>IF(O740&lt;&gt;"",ROWS($O$2:O740),"")</f>
        <v/>
      </c>
    </row>
    <row r="741" spans="1:16" x14ac:dyDescent="0.2">
      <c r="A741" s="1">
        <f>WorldCupMatches!O741</f>
        <v>2010</v>
      </c>
      <c r="B741" s="1" t="str">
        <f>WorldCupMatches!P741</f>
        <v>Spain</v>
      </c>
      <c r="C741" s="1">
        <f>WorldCupMatches!Q741</f>
        <v>2</v>
      </c>
      <c r="D741" s="1">
        <f>WorldCupMatches!R741</f>
        <v>0</v>
      </c>
      <c r="E741" s="1" t="str">
        <f>WorldCupMatches!S741</f>
        <v>Honduras</v>
      </c>
      <c r="F741" s="1" t="str">
        <f>WorldCupMatches!T741</f>
        <v xml:space="preserve"> </v>
      </c>
      <c r="G741" s="1" t="str">
        <f>WorldCupMatches!U741</f>
        <v>Group stages</v>
      </c>
      <c r="J741" s="1">
        <f>COUNTIF($L$2:L741,L741)</f>
        <v>27</v>
      </c>
      <c r="K741" s="1">
        <f>Table3[[#This Row],[Year]]</f>
        <v>2010</v>
      </c>
      <c r="L741" s="1" t="str">
        <f>Table3[[#This Row],[Hometeam]]</f>
        <v>Spain</v>
      </c>
      <c r="M741" s="1" t="str">
        <f>IF(J741=1,J741+ROWS($J$2:J741)/10000,"")</f>
        <v/>
      </c>
      <c r="N741" s="1" t="str">
        <f>IFERROR(SMALL($M$2:$M$1705,ROWS($M$2:M741)),"")</f>
        <v/>
      </c>
      <c r="O741" s="1" t="str">
        <f>IF(N741&lt;&gt;"",INDEX($L$2:$L$1705,MATCH(N741,$M$2:$M$1705,0)),"")</f>
        <v/>
      </c>
      <c r="P741" s="1" t="str">
        <f>IF(O741&lt;&gt;"",ROWS($O$2:O741),"")</f>
        <v/>
      </c>
    </row>
    <row r="742" spans="1:16" x14ac:dyDescent="0.2">
      <c r="A742" s="1">
        <f>WorldCupMatches!O742</f>
        <v>2010</v>
      </c>
      <c r="B742" s="1" t="str">
        <f>WorldCupMatches!P742</f>
        <v>Mexico</v>
      </c>
      <c r="C742" s="1">
        <f>WorldCupMatches!Q742</f>
        <v>0</v>
      </c>
      <c r="D742" s="1">
        <f>WorldCupMatches!R742</f>
        <v>1</v>
      </c>
      <c r="E742" s="1" t="str">
        <f>WorldCupMatches!S742</f>
        <v>Uruguay</v>
      </c>
      <c r="F742" s="1" t="str">
        <f>WorldCupMatches!T742</f>
        <v xml:space="preserve"> </v>
      </c>
      <c r="G742" s="1" t="str">
        <f>WorldCupMatches!U742</f>
        <v>Group stages</v>
      </c>
      <c r="J742" s="1">
        <f>COUNTIF($L$2:L742,L742)</f>
        <v>15</v>
      </c>
      <c r="K742" s="1">
        <f>Table3[[#This Row],[Year]]</f>
        <v>2010</v>
      </c>
      <c r="L742" s="1" t="str">
        <f>Table3[[#This Row],[Hometeam]]</f>
        <v>Mexico</v>
      </c>
      <c r="M742" s="1" t="str">
        <f>IF(J742=1,J742+ROWS($J$2:J742)/10000,"")</f>
        <v/>
      </c>
      <c r="N742" s="1" t="str">
        <f>IFERROR(SMALL($M$2:$M$1705,ROWS($M$2:M742)),"")</f>
        <v/>
      </c>
      <c r="O742" s="1" t="str">
        <f>IF(N742&lt;&gt;"",INDEX($L$2:$L$1705,MATCH(N742,$M$2:$M$1705,0)),"")</f>
        <v/>
      </c>
      <c r="P742" s="1" t="str">
        <f>IF(O742&lt;&gt;"",ROWS($O$2:O742),"")</f>
        <v/>
      </c>
    </row>
    <row r="743" spans="1:16" x14ac:dyDescent="0.2">
      <c r="A743" s="1">
        <f>WorldCupMatches!O743</f>
        <v>2010</v>
      </c>
      <c r="B743" s="1" t="str">
        <f>WorldCupMatches!P743</f>
        <v>France</v>
      </c>
      <c r="C743" s="1">
        <f>WorldCupMatches!Q743</f>
        <v>1</v>
      </c>
      <c r="D743" s="1">
        <f>WorldCupMatches!R743</f>
        <v>2</v>
      </c>
      <c r="E743" s="1" t="str">
        <f>WorldCupMatches!S743</f>
        <v>South Africa</v>
      </c>
      <c r="F743" s="1" t="str">
        <f>WorldCupMatches!T743</f>
        <v xml:space="preserve"> </v>
      </c>
      <c r="G743" s="1" t="str">
        <f>WorldCupMatches!U743</f>
        <v>Group stages</v>
      </c>
      <c r="J743" s="1">
        <f>COUNTIF($L$2:L743,L743)</f>
        <v>26</v>
      </c>
      <c r="K743" s="1">
        <f>Table3[[#This Row],[Year]]</f>
        <v>2010</v>
      </c>
      <c r="L743" s="1" t="str">
        <f>Table3[[#This Row],[Hometeam]]</f>
        <v>France</v>
      </c>
      <c r="M743" s="1" t="str">
        <f>IF(J743=1,J743+ROWS($J$2:J743)/10000,"")</f>
        <v/>
      </c>
      <c r="N743" s="1" t="str">
        <f>IFERROR(SMALL($M$2:$M$1705,ROWS($M$2:M743)),"")</f>
        <v/>
      </c>
      <c r="O743" s="1" t="str">
        <f>IF(N743&lt;&gt;"",INDEX($L$2:$L$1705,MATCH(N743,$M$2:$M$1705,0)),"")</f>
        <v/>
      </c>
      <c r="P743" s="1" t="str">
        <f>IF(O743&lt;&gt;"",ROWS($O$2:O743),"")</f>
        <v/>
      </c>
    </row>
    <row r="744" spans="1:16" x14ac:dyDescent="0.2">
      <c r="A744" s="1">
        <f>WorldCupMatches!O744</f>
        <v>2010</v>
      </c>
      <c r="B744" s="1" t="str">
        <f>WorldCupMatches!P744</f>
        <v>Nigeria</v>
      </c>
      <c r="C744" s="1">
        <f>WorldCupMatches!Q744</f>
        <v>2</v>
      </c>
      <c r="D744" s="1">
        <f>WorldCupMatches!R744</f>
        <v>2</v>
      </c>
      <c r="E744" s="1" t="str">
        <f>WorldCupMatches!S744</f>
        <v>Korea Republic</v>
      </c>
      <c r="F744" s="1" t="str">
        <f>WorldCupMatches!T744</f>
        <v xml:space="preserve"> </v>
      </c>
      <c r="G744" s="1" t="str">
        <f>WorldCupMatches!U744</f>
        <v>Group stages</v>
      </c>
      <c r="J744" s="1">
        <f>COUNTIF($L$2:L744,L744)</f>
        <v>7</v>
      </c>
      <c r="K744" s="1">
        <f>Table3[[#This Row],[Year]]</f>
        <v>2010</v>
      </c>
      <c r="L744" s="1" t="str">
        <f>Table3[[#This Row],[Hometeam]]</f>
        <v>Nigeria</v>
      </c>
      <c r="M744" s="1" t="str">
        <f>IF(J744=1,J744+ROWS($J$2:J744)/10000,"")</f>
        <v/>
      </c>
      <c r="N744" s="1" t="str">
        <f>IFERROR(SMALL($M$2:$M$1705,ROWS($M$2:M744)),"")</f>
        <v/>
      </c>
      <c r="O744" s="1" t="str">
        <f>IF(N744&lt;&gt;"",INDEX($L$2:$L$1705,MATCH(N744,$M$2:$M$1705,0)),"")</f>
        <v/>
      </c>
      <c r="P744" s="1" t="str">
        <f>IF(O744&lt;&gt;"",ROWS($O$2:O744),"")</f>
        <v/>
      </c>
    </row>
    <row r="745" spans="1:16" x14ac:dyDescent="0.2">
      <c r="A745" s="1">
        <f>WorldCupMatches!O745</f>
        <v>2010</v>
      </c>
      <c r="B745" s="1" t="str">
        <f>WorldCupMatches!P745</f>
        <v>Greece</v>
      </c>
      <c r="C745" s="1">
        <f>WorldCupMatches!Q745</f>
        <v>0</v>
      </c>
      <c r="D745" s="1">
        <f>WorldCupMatches!R745</f>
        <v>2</v>
      </c>
      <c r="E745" s="1" t="str">
        <f>WorldCupMatches!S745</f>
        <v>Argentina</v>
      </c>
      <c r="F745" s="1" t="str">
        <f>WorldCupMatches!T745</f>
        <v xml:space="preserve"> </v>
      </c>
      <c r="G745" s="1" t="str">
        <f>WorldCupMatches!U745</f>
        <v>Group stages</v>
      </c>
      <c r="J745" s="1">
        <f>COUNTIF($L$2:L745,L745)</f>
        <v>3</v>
      </c>
      <c r="K745" s="1">
        <f>Table3[[#This Row],[Year]]</f>
        <v>2010</v>
      </c>
      <c r="L745" s="1" t="str">
        <f>Table3[[#This Row],[Hometeam]]</f>
        <v>Greece</v>
      </c>
      <c r="M745" s="1" t="str">
        <f>IF(J745=1,J745+ROWS($J$2:J745)/10000,"")</f>
        <v/>
      </c>
      <c r="N745" s="1" t="str">
        <f>IFERROR(SMALL($M$2:$M$1705,ROWS($M$2:M745)),"")</f>
        <v/>
      </c>
      <c r="O745" s="1" t="str">
        <f>IF(N745&lt;&gt;"",INDEX($L$2:$L$1705,MATCH(N745,$M$2:$M$1705,0)),"")</f>
        <v/>
      </c>
      <c r="P745" s="1" t="str">
        <f>IF(O745&lt;&gt;"",ROWS($O$2:O745),"")</f>
        <v/>
      </c>
    </row>
    <row r="746" spans="1:16" x14ac:dyDescent="0.2">
      <c r="A746" s="1">
        <f>WorldCupMatches!O746</f>
        <v>2010</v>
      </c>
      <c r="B746" s="1" t="str">
        <f>WorldCupMatches!P746</f>
        <v>Slovenia</v>
      </c>
      <c r="C746" s="1">
        <f>WorldCupMatches!Q746</f>
        <v>0</v>
      </c>
      <c r="D746" s="1">
        <f>WorldCupMatches!R746</f>
        <v>1</v>
      </c>
      <c r="E746" s="1" t="str">
        <f>WorldCupMatches!S746</f>
        <v>England</v>
      </c>
      <c r="F746" s="1" t="str">
        <f>WorldCupMatches!T746</f>
        <v xml:space="preserve"> </v>
      </c>
      <c r="G746" s="1" t="str">
        <f>WorldCupMatches!U746</f>
        <v>Group stages</v>
      </c>
      <c r="J746" s="1">
        <f>COUNTIF($L$2:L746,L746)</f>
        <v>3</v>
      </c>
      <c r="K746" s="1">
        <f>Table3[[#This Row],[Year]]</f>
        <v>2010</v>
      </c>
      <c r="L746" s="1" t="str">
        <f>Table3[[#This Row],[Hometeam]]</f>
        <v>Slovenia</v>
      </c>
      <c r="M746" s="1" t="str">
        <f>IF(J746=1,J746+ROWS($J$2:J746)/10000,"")</f>
        <v/>
      </c>
      <c r="N746" s="1" t="str">
        <f>IFERROR(SMALL($M$2:$M$1705,ROWS($M$2:M746)),"")</f>
        <v/>
      </c>
      <c r="O746" s="1" t="str">
        <f>IF(N746&lt;&gt;"",INDEX($L$2:$L$1705,MATCH(N746,$M$2:$M$1705,0)),"")</f>
        <v/>
      </c>
      <c r="P746" s="1" t="str">
        <f>IF(O746&lt;&gt;"",ROWS($O$2:O746),"")</f>
        <v/>
      </c>
    </row>
    <row r="747" spans="1:16" x14ac:dyDescent="0.2">
      <c r="A747" s="1">
        <f>WorldCupMatches!O747</f>
        <v>2010</v>
      </c>
      <c r="B747" s="1" t="str">
        <f>WorldCupMatches!P747</f>
        <v>USA</v>
      </c>
      <c r="C747" s="1">
        <f>WorldCupMatches!Q747</f>
        <v>1</v>
      </c>
      <c r="D747" s="1">
        <f>WorldCupMatches!R747</f>
        <v>0</v>
      </c>
      <c r="E747" s="1" t="str">
        <f>WorldCupMatches!S747</f>
        <v>Algeria</v>
      </c>
      <c r="F747" s="1" t="str">
        <f>WorldCupMatches!T747</f>
        <v xml:space="preserve"> </v>
      </c>
      <c r="G747" s="1" t="str">
        <f>WorldCupMatches!U747</f>
        <v>Group stages</v>
      </c>
      <c r="J747" s="1">
        <f>COUNTIF($L$2:L747,L747)</f>
        <v>12</v>
      </c>
      <c r="K747" s="1">
        <f>Table3[[#This Row],[Year]]</f>
        <v>2010</v>
      </c>
      <c r="L747" s="1" t="str">
        <f>Table3[[#This Row],[Hometeam]]</f>
        <v>USA</v>
      </c>
      <c r="M747" s="1" t="str">
        <f>IF(J747=1,J747+ROWS($J$2:J747)/10000,"")</f>
        <v/>
      </c>
      <c r="N747" s="1" t="str">
        <f>IFERROR(SMALL($M$2:$M$1705,ROWS($M$2:M747)),"")</f>
        <v/>
      </c>
      <c r="O747" s="1" t="str">
        <f>IF(N747&lt;&gt;"",INDEX($L$2:$L$1705,MATCH(N747,$M$2:$M$1705,0)),"")</f>
        <v/>
      </c>
      <c r="P747" s="1" t="str">
        <f>IF(O747&lt;&gt;"",ROWS($O$2:O747),"")</f>
        <v/>
      </c>
    </row>
    <row r="748" spans="1:16" x14ac:dyDescent="0.2">
      <c r="A748" s="1">
        <f>WorldCupMatches!O748</f>
        <v>2010</v>
      </c>
      <c r="B748" s="1" t="str">
        <f>WorldCupMatches!P748</f>
        <v>Ghana</v>
      </c>
      <c r="C748" s="1">
        <f>WorldCupMatches!Q748</f>
        <v>0</v>
      </c>
      <c r="D748" s="1">
        <f>WorldCupMatches!R748</f>
        <v>1</v>
      </c>
      <c r="E748" s="1" t="str">
        <f>WorldCupMatches!S748</f>
        <v>Germany</v>
      </c>
      <c r="F748" s="1" t="str">
        <f>WorldCupMatches!T748</f>
        <v xml:space="preserve"> </v>
      </c>
      <c r="G748" s="1" t="str">
        <f>WorldCupMatches!U748</f>
        <v>Group stages</v>
      </c>
      <c r="J748" s="1">
        <f>COUNTIF($L$2:L748,L748)</f>
        <v>3</v>
      </c>
      <c r="K748" s="1">
        <f>Table3[[#This Row],[Year]]</f>
        <v>2010</v>
      </c>
      <c r="L748" s="1" t="str">
        <f>Table3[[#This Row],[Hometeam]]</f>
        <v>Ghana</v>
      </c>
      <c r="M748" s="1" t="str">
        <f>IF(J748=1,J748+ROWS($J$2:J748)/10000,"")</f>
        <v/>
      </c>
      <c r="N748" s="1" t="str">
        <f>IFERROR(SMALL($M$2:$M$1705,ROWS($M$2:M748)),"")</f>
        <v/>
      </c>
      <c r="O748" s="1" t="str">
        <f>IF(N748&lt;&gt;"",INDEX($L$2:$L$1705,MATCH(N748,$M$2:$M$1705,0)),"")</f>
        <v/>
      </c>
      <c r="P748" s="1" t="str">
        <f>IF(O748&lt;&gt;"",ROWS($O$2:O748),"")</f>
        <v/>
      </c>
    </row>
    <row r="749" spans="1:16" x14ac:dyDescent="0.2">
      <c r="A749" s="1">
        <f>WorldCupMatches!O749</f>
        <v>2010</v>
      </c>
      <c r="B749" s="1" t="str">
        <f>WorldCupMatches!P749</f>
        <v>Australia</v>
      </c>
      <c r="C749" s="1">
        <f>WorldCupMatches!Q749</f>
        <v>2</v>
      </c>
      <c r="D749" s="1">
        <f>WorldCupMatches!R749</f>
        <v>1</v>
      </c>
      <c r="E749" s="1" t="str">
        <f>WorldCupMatches!S749</f>
        <v>Serbia</v>
      </c>
      <c r="F749" s="1" t="str">
        <f>WorldCupMatches!T749</f>
        <v xml:space="preserve"> </v>
      </c>
      <c r="G749" s="1" t="str">
        <f>WorldCupMatches!U749</f>
        <v>Group stages</v>
      </c>
      <c r="J749" s="1">
        <f>COUNTIF($L$2:L749,L749)</f>
        <v>4</v>
      </c>
      <c r="K749" s="1">
        <f>Table3[[#This Row],[Year]]</f>
        <v>2010</v>
      </c>
      <c r="L749" s="1" t="str">
        <f>Table3[[#This Row],[Hometeam]]</f>
        <v>Australia</v>
      </c>
      <c r="M749" s="1" t="str">
        <f>IF(J749=1,J749+ROWS($J$2:J749)/10000,"")</f>
        <v/>
      </c>
      <c r="N749" s="1" t="str">
        <f>IFERROR(SMALL($M$2:$M$1705,ROWS($M$2:M749)),"")</f>
        <v/>
      </c>
      <c r="O749" s="1" t="str">
        <f>IF(N749&lt;&gt;"",INDEX($L$2:$L$1705,MATCH(N749,$M$2:$M$1705,0)),"")</f>
        <v/>
      </c>
      <c r="P749" s="1" t="str">
        <f>IF(O749&lt;&gt;"",ROWS($O$2:O749),"")</f>
        <v/>
      </c>
    </row>
    <row r="750" spans="1:16" x14ac:dyDescent="0.2">
      <c r="A750" s="1">
        <f>WorldCupMatches!O750</f>
        <v>2010</v>
      </c>
      <c r="B750" s="1" t="str">
        <f>WorldCupMatches!P750</f>
        <v>Slovakia</v>
      </c>
      <c r="C750" s="1">
        <f>WorldCupMatches!Q750</f>
        <v>3</v>
      </c>
      <c r="D750" s="1">
        <f>WorldCupMatches!R750</f>
        <v>2</v>
      </c>
      <c r="E750" s="1" t="str">
        <f>WorldCupMatches!S750</f>
        <v>Italy</v>
      </c>
      <c r="F750" s="1" t="str">
        <f>WorldCupMatches!T750</f>
        <v xml:space="preserve"> </v>
      </c>
      <c r="G750" s="1" t="str">
        <f>WorldCupMatches!U750</f>
        <v>Group stages</v>
      </c>
      <c r="J750" s="1">
        <f>COUNTIF($L$2:L750,L750)</f>
        <v>2</v>
      </c>
      <c r="K750" s="1">
        <f>Table3[[#This Row],[Year]]</f>
        <v>2010</v>
      </c>
      <c r="L750" s="1" t="str">
        <f>Table3[[#This Row],[Hometeam]]</f>
        <v>Slovakia</v>
      </c>
      <c r="M750" s="1" t="str">
        <f>IF(J750=1,J750+ROWS($J$2:J750)/10000,"")</f>
        <v/>
      </c>
      <c r="N750" s="1" t="str">
        <f>IFERROR(SMALL($M$2:$M$1705,ROWS($M$2:M750)),"")</f>
        <v/>
      </c>
      <c r="O750" s="1" t="str">
        <f>IF(N750&lt;&gt;"",INDEX($L$2:$L$1705,MATCH(N750,$M$2:$M$1705,0)),"")</f>
        <v/>
      </c>
      <c r="P750" s="1" t="str">
        <f>IF(O750&lt;&gt;"",ROWS($O$2:O750),"")</f>
        <v/>
      </c>
    </row>
    <row r="751" spans="1:16" x14ac:dyDescent="0.2">
      <c r="A751" s="1">
        <f>WorldCupMatches!O751</f>
        <v>2010</v>
      </c>
      <c r="B751" s="1" t="str">
        <f>WorldCupMatches!P751</f>
        <v>Paraguay</v>
      </c>
      <c r="C751" s="1">
        <f>WorldCupMatches!Q751</f>
        <v>0</v>
      </c>
      <c r="D751" s="1">
        <f>WorldCupMatches!R751</f>
        <v>0</v>
      </c>
      <c r="E751" s="1" t="str">
        <f>WorldCupMatches!S751</f>
        <v>New Zealand</v>
      </c>
      <c r="F751" s="1" t="str">
        <f>WorldCupMatches!T751</f>
        <v xml:space="preserve"> </v>
      </c>
      <c r="G751" s="1" t="str">
        <f>WorldCupMatches!U751</f>
        <v>Group stages</v>
      </c>
      <c r="J751" s="1">
        <f>COUNTIF($L$2:L751,L751)</f>
        <v>9</v>
      </c>
      <c r="K751" s="1">
        <f>Table3[[#This Row],[Year]]</f>
        <v>2010</v>
      </c>
      <c r="L751" s="1" t="str">
        <f>Table3[[#This Row],[Hometeam]]</f>
        <v>Paraguay</v>
      </c>
      <c r="M751" s="1" t="str">
        <f>IF(J751=1,J751+ROWS($J$2:J751)/10000,"")</f>
        <v/>
      </c>
      <c r="N751" s="1" t="str">
        <f>IFERROR(SMALL($M$2:$M$1705,ROWS($M$2:M751)),"")</f>
        <v/>
      </c>
      <c r="O751" s="1" t="str">
        <f>IF(N751&lt;&gt;"",INDEX($L$2:$L$1705,MATCH(N751,$M$2:$M$1705,0)),"")</f>
        <v/>
      </c>
      <c r="P751" s="1" t="str">
        <f>IF(O751&lt;&gt;"",ROWS($O$2:O751),"")</f>
        <v/>
      </c>
    </row>
    <row r="752" spans="1:16" x14ac:dyDescent="0.2">
      <c r="A752" s="1">
        <f>WorldCupMatches!O752</f>
        <v>2010</v>
      </c>
      <c r="B752" s="1" t="str">
        <f>WorldCupMatches!P752</f>
        <v>Denmark</v>
      </c>
      <c r="C752" s="1">
        <f>WorldCupMatches!Q752</f>
        <v>1</v>
      </c>
      <c r="D752" s="1">
        <f>WorldCupMatches!R752</f>
        <v>3</v>
      </c>
      <c r="E752" s="1" t="str">
        <f>WorldCupMatches!S752</f>
        <v>Japan</v>
      </c>
      <c r="F752" s="1" t="str">
        <f>WorldCupMatches!T752</f>
        <v xml:space="preserve"> </v>
      </c>
      <c r="G752" s="1" t="str">
        <f>WorldCupMatches!U752</f>
        <v>Group stages</v>
      </c>
      <c r="J752" s="1">
        <f>COUNTIF($L$2:L752,L752)</f>
        <v>7</v>
      </c>
      <c r="K752" s="1">
        <f>Table3[[#This Row],[Year]]</f>
        <v>2010</v>
      </c>
      <c r="L752" s="1" t="str">
        <f>Table3[[#This Row],[Hometeam]]</f>
        <v>Denmark</v>
      </c>
      <c r="M752" s="1" t="str">
        <f>IF(J752=1,J752+ROWS($J$2:J752)/10000,"")</f>
        <v/>
      </c>
      <c r="N752" s="1" t="str">
        <f>IFERROR(SMALL($M$2:$M$1705,ROWS($M$2:M752)),"")</f>
        <v/>
      </c>
      <c r="O752" s="1" t="str">
        <f>IF(N752&lt;&gt;"",INDEX($L$2:$L$1705,MATCH(N752,$M$2:$M$1705,0)),"")</f>
        <v/>
      </c>
      <c r="P752" s="1" t="str">
        <f>IF(O752&lt;&gt;"",ROWS($O$2:O752),"")</f>
        <v/>
      </c>
    </row>
    <row r="753" spans="1:16" x14ac:dyDescent="0.2">
      <c r="A753" s="1">
        <f>WorldCupMatches!O753</f>
        <v>2010</v>
      </c>
      <c r="B753" s="1" t="str">
        <f>WorldCupMatches!P753</f>
        <v>Cameroon</v>
      </c>
      <c r="C753" s="1">
        <f>WorldCupMatches!Q753</f>
        <v>1</v>
      </c>
      <c r="D753" s="1">
        <f>WorldCupMatches!R753</f>
        <v>2</v>
      </c>
      <c r="E753" s="1" t="str">
        <f>WorldCupMatches!S753</f>
        <v>Netherlands</v>
      </c>
      <c r="F753" s="1" t="str">
        <f>WorldCupMatches!T753</f>
        <v xml:space="preserve"> </v>
      </c>
      <c r="G753" s="1" t="str">
        <f>WorldCupMatches!U753</f>
        <v>Group stages</v>
      </c>
      <c r="J753" s="1">
        <f>COUNTIF($L$2:L753,L753)</f>
        <v>9</v>
      </c>
      <c r="K753" s="1">
        <f>Table3[[#This Row],[Year]]</f>
        <v>2010</v>
      </c>
      <c r="L753" s="1" t="str">
        <f>Table3[[#This Row],[Hometeam]]</f>
        <v>Cameroon</v>
      </c>
      <c r="M753" s="1" t="str">
        <f>IF(J753=1,J753+ROWS($J$2:J753)/10000,"")</f>
        <v/>
      </c>
      <c r="N753" s="1" t="str">
        <f>IFERROR(SMALL($M$2:$M$1705,ROWS($M$2:M753)),"")</f>
        <v/>
      </c>
      <c r="O753" s="1" t="str">
        <f>IF(N753&lt;&gt;"",INDEX($L$2:$L$1705,MATCH(N753,$M$2:$M$1705,0)),"")</f>
        <v/>
      </c>
      <c r="P753" s="1" t="str">
        <f>IF(O753&lt;&gt;"",ROWS($O$2:O753),"")</f>
        <v/>
      </c>
    </row>
    <row r="754" spans="1:16" x14ac:dyDescent="0.2">
      <c r="A754" s="1">
        <f>WorldCupMatches!O754</f>
        <v>2010</v>
      </c>
      <c r="B754" s="1" t="str">
        <f>WorldCupMatches!P754</f>
        <v>Portugal</v>
      </c>
      <c r="C754" s="1">
        <f>WorldCupMatches!Q754</f>
        <v>0</v>
      </c>
      <c r="D754" s="1">
        <f>WorldCupMatches!R754</f>
        <v>0</v>
      </c>
      <c r="E754" s="1" t="str">
        <f>WorldCupMatches!S754</f>
        <v>Brazil</v>
      </c>
      <c r="F754" s="1" t="str">
        <f>WorldCupMatches!T754</f>
        <v xml:space="preserve"> </v>
      </c>
      <c r="G754" s="1" t="str">
        <f>WorldCupMatches!U754</f>
        <v>Group stages</v>
      </c>
      <c r="J754" s="1">
        <f>COUNTIF($L$2:L754,L754)</f>
        <v>15</v>
      </c>
      <c r="K754" s="1">
        <f>Table3[[#This Row],[Year]]</f>
        <v>2010</v>
      </c>
      <c r="L754" s="1" t="str">
        <f>Table3[[#This Row],[Hometeam]]</f>
        <v>Portugal</v>
      </c>
      <c r="M754" s="1" t="str">
        <f>IF(J754=1,J754+ROWS($J$2:J754)/10000,"")</f>
        <v/>
      </c>
      <c r="N754" s="1" t="str">
        <f>IFERROR(SMALL($M$2:$M$1705,ROWS($M$2:M754)),"")</f>
        <v/>
      </c>
      <c r="O754" s="1" t="str">
        <f>IF(N754&lt;&gt;"",INDEX($L$2:$L$1705,MATCH(N754,$M$2:$M$1705,0)),"")</f>
        <v/>
      </c>
      <c r="P754" s="1" t="str">
        <f>IF(O754&lt;&gt;"",ROWS($O$2:O754),"")</f>
        <v/>
      </c>
    </row>
    <row r="755" spans="1:16" x14ac:dyDescent="0.2">
      <c r="A755" s="1">
        <f>WorldCupMatches!O755</f>
        <v>2010</v>
      </c>
      <c r="B755" s="1" t="str">
        <f>WorldCupMatches!P755</f>
        <v>Korea DPR</v>
      </c>
      <c r="C755" s="1">
        <f>WorldCupMatches!Q755</f>
        <v>0</v>
      </c>
      <c r="D755" s="1">
        <f>WorldCupMatches!R755</f>
        <v>3</v>
      </c>
      <c r="E755" s="1" t="str">
        <f>WorldCupMatches!S755</f>
        <v>Cï¿½te d'Ivoire</v>
      </c>
      <c r="F755" s="1" t="str">
        <f>WorldCupMatches!T755</f>
        <v xml:space="preserve"> </v>
      </c>
      <c r="G755" s="1" t="str">
        <f>WorldCupMatches!U755</f>
        <v>Group stages</v>
      </c>
      <c r="J755" s="1">
        <f>COUNTIF($L$2:L755,L755)</f>
        <v>3</v>
      </c>
      <c r="K755" s="1">
        <f>Table3[[#This Row],[Year]]</f>
        <v>2010</v>
      </c>
      <c r="L755" s="1" t="str">
        <f>Table3[[#This Row],[Hometeam]]</f>
        <v>Korea DPR</v>
      </c>
      <c r="M755" s="1" t="str">
        <f>IF(J755=1,J755+ROWS($J$2:J755)/10000,"")</f>
        <v/>
      </c>
      <c r="N755" s="1" t="str">
        <f>IFERROR(SMALL($M$2:$M$1705,ROWS($M$2:M755)),"")</f>
        <v/>
      </c>
      <c r="O755" s="1" t="str">
        <f>IF(N755&lt;&gt;"",INDEX($L$2:$L$1705,MATCH(N755,$M$2:$M$1705,0)),"")</f>
        <v/>
      </c>
      <c r="P755" s="1" t="str">
        <f>IF(O755&lt;&gt;"",ROWS($O$2:O755),"")</f>
        <v/>
      </c>
    </row>
    <row r="756" spans="1:16" x14ac:dyDescent="0.2">
      <c r="A756" s="1">
        <f>WorldCupMatches!O756</f>
        <v>2010</v>
      </c>
      <c r="B756" s="1" t="str">
        <f>WorldCupMatches!P756</f>
        <v>Chile</v>
      </c>
      <c r="C756" s="1">
        <f>WorldCupMatches!Q756</f>
        <v>1</v>
      </c>
      <c r="D756" s="1">
        <f>WorldCupMatches!R756</f>
        <v>2</v>
      </c>
      <c r="E756" s="1" t="str">
        <f>WorldCupMatches!S756</f>
        <v>Spain</v>
      </c>
      <c r="F756" s="1" t="str">
        <f>WorldCupMatches!T756</f>
        <v xml:space="preserve"> </v>
      </c>
      <c r="G756" s="1" t="str">
        <f>WorldCupMatches!U756</f>
        <v>Group stages</v>
      </c>
      <c r="J756" s="1">
        <f>COUNTIF($L$2:L756,L756)</f>
        <v>13</v>
      </c>
      <c r="K756" s="1">
        <f>Table3[[#This Row],[Year]]</f>
        <v>2010</v>
      </c>
      <c r="L756" s="1" t="str">
        <f>Table3[[#This Row],[Hometeam]]</f>
        <v>Chile</v>
      </c>
      <c r="M756" s="1" t="str">
        <f>IF(J756=1,J756+ROWS($J$2:J756)/10000,"")</f>
        <v/>
      </c>
      <c r="N756" s="1" t="str">
        <f>IFERROR(SMALL($M$2:$M$1705,ROWS($M$2:M756)),"")</f>
        <v/>
      </c>
      <c r="O756" s="1" t="str">
        <f>IF(N756&lt;&gt;"",INDEX($L$2:$L$1705,MATCH(N756,$M$2:$M$1705,0)),"")</f>
        <v/>
      </c>
      <c r="P756" s="1" t="str">
        <f>IF(O756&lt;&gt;"",ROWS($O$2:O756),"")</f>
        <v/>
      </c>
    </row>
    <row r="757" spans="1:16" x14ac:dyDescent="0.2">
      <c r="A757" s="1">
        <f>WorldCupMatches!O757</f>
        <v>2010</v>
      </c>
      <c r="B757" s="1" t="str">
        <f>WorldCupMatches!P757</f>
        <v>Switzerland</v>
      </c>
      <c r="C757" s="1">
        <f>WorldCupMatches!Q757</f>
        <v>0</v>
      </c>
      <c r="D757" s="1">
        <f>WorldCupMatches!R757</f>
        <v>0</v>
      </c>
      <c r="E757" s="1" t="str">
        <f>WorldCupMatches!S757</f>
        <v>Honduras</v>
      </c>
      <c r="F757" s="1" t="str">
        <f>WorldCupMatches!T757</f>
        <v xml:space="preserve"> </v>
      </c>
      <c r="G757" s="1" t="str">
        <f>WorldCupMatches!U757</f>
        <v>Group stages</v>
      </c>
      <c r="J757" s="1">
        <f>COUNTIF($L$2:L757,L757)</f>
        <v>10</v>
      </c>
      <c r="K757" s="1">
        <f>Table3[[#This Row],[Year]]</f>
        <v>2010</v>
      </c>
      <c r="L757" s="1" t="str">
        <f>Table3[[#This Row],[Hometeam]]</f>
        <v>Switzerland</v>
      </c>
      <c r="M757" s="1" t="str">
        <f>IF(J757=1,J757+ROWS($J$2:J757)/10000,"")</f>
        <v/>
      </c>
      <c r="N757" s="1" t="str">
        <f>IFERROR(SMALL($M$2:$M$1705,ROWS($M$2:M757)),"")</f>
        <v/>
      </c>
      <c r="O757" s="1" t="str">
        <f>IF(N757&lt;&gt;"",INDEX($L$2:$L$1705,MATCH(N757,$M$2:$M$1705,0)),"")</f>
        <v/>
      </c>
      <c r="P757" s="1" t="str">
        <f>IF(O757&lt;&gt;"",ROWS($O$2:O757),"")</f>
        <v/>
      </c>
    </row>
    <row r="758" spans="1:16" x14ac:dyDescent="0.2">
      <c r="A758" s="1">
        <f>WorldCupMatches!O758</f>
        <v>2010</v>
      </c>
      <c r="B758" s="1" t="str">
        <f>WorldCupMatches!P758</f>
        <v>Uruguay</v>
      </c>
      <c r="C758" s="1">
        <f>WorldCupMatches!Q758</f>
        <v>2</v>
      </c>
      <c r="D758" s="1">
        <f>WorldCupMatches!R758</f>
        <v>1</v>
      </c>
      <c r="E758" s="1" t="str">
        <f>WorldCupMatches!S758</f>
        <v>Korea Republic</v>
      </c>
      <c r="F758" s="1" t="str">
        <f>WorldCupMatches!T758</f>
        <v xml:space="preserve"> </v>
      </c>
      <c r="G758" s="1" t="str">
        <f>WorldCupMatches!U758</f>
        <v>Round of 16</v>
      </c>
      <c r="J758" s="1">
        <f>COUNTIF($L$2:L758,L758)</f>
        <v>23</v>
      </c>
      <c r="K758" s="1">
        <f>Table3[[#This Row],[Year]]</f>
        <v>2010</v>
      </c>
      <c r="L758" s="1" t="str">
        <f>Table3[[#This Row],[Hometeam]]</f>
        <v>Uruguay</v>
      </c>
      <c r="M758" s="1" t="str">
        <f>IF(J758=1,J758+ROWS($J$2:J758)/10000,"")</f>
        <v/>
      </c>
      <c r="N758" s="1" t="str">
        <f>IFERROR(SMALL($M$2:$M$1705,ROWS($M$2:M758)),"")</f>
        <v/>
      </c>
      <c r="O758" s="1" t="str">
        <f>IF(N758&lt;&gt;"",INDEX($L$2:$L$1705,MATCH(N758,$M$2:$M$1705,0)),"")</f>
        <v/>
      </c>
      <c r="P758" s="1" t="str">
        <f>IF(O758&lt;&gt;"",ROWS($O$2:O758),"")</f>
        <v/>
      </c>
    </row>
    <row r="759" spans="1:16" x14ac:dyDescent="0.2">
      <c r="A759" s="1">
        <f>WorldCupMatches!O759</f>
        <v>2010</v>
      </c>
      <c r="B759" s="1" t="str">
        <f>WorldCupMatches!P759</f>
        <v>USA</v>
      </c>
      <c r="C759" s="1">
        <f>WorldCupMatches!Q759</f>
        <v>1</v>
      </c>
      <c r="D759" s="1">
        <f>WorldCupMatches!R759</f>
        <v>2</v>
      </c>
      <c r="E759" s="1" t="str">
        <f>WorldCupMatches!S759</f>
        <v>Ghana</v>
      </c>
      <c r="F759" s="1" t="str">
        <f>WorldCupMatches!T759</f>
        <v xml:space="preserve">Ghana win after extra time </v>
      </c>
      <c r="G759" s="1" t="str">
        <f>WorldCupMatches!U759</f>
        <v>Round of 16</v>
      </c>
      <c r="J759" s="1">
        <f>COUNTIF($L$2:L759,L759)</f>
        <v>13</v>
      </c>
      <c r="K759" s="1">
        <f>Table3[[#This Row],[Year]]</f>
        <v>2010</v>
      </c>
      <c r="L759" s="1" t="str">
        <f>Table3[[#This Row],[Hometeam]]</f>
        <v>USA</v>
      </c>
      <c r="M759" s="1" t="str">
        <f>IF(J759=1,J759+ROWS($J$2:J759)/10000,"")</f>
        <v/>
      </c>
      <c r="N759" s="1" t="str">
        <f>IFERROR(SMALL($M$2:$M$1705,ROWS($M$2:M759)),"")</f>
        <v/>
      </c>
      <c r="O759" s="1" t="str">
        <f>IF(N759&lt;&gt;"",INDEX($L$2:$L$1705,MATCH(N759,$M$2:$M$1705,0)),"")</f>
        <v/>
      </c>
      <c r="P759" s="1" t="str">
        <f>IF(O759&lt;&gt;"",ROWS($O$2:O759),"")</f>
        <v/>
      </c>
    </row>
    <row r="760" spans="1:16" x14ac:dyDescent="0.2">
      <c r="A760" s="1">
        <f>WorldCupMatches!O760</f>
        <v>2010</v>
      </c>
      <c r="B760" s="1" t="str">
        <f>WorldCupMatches!P760</f>
        <v>Germany</v>
      </c>
      <c r="C760" s="1">
        <f>WorldCupMatches!Q760</f>
        <v>4</v>
      </c>
      <c r="D760" s="1">
        <f>WorldCupMatches!R760</f>
        <v>1</v>
      </c>
      <c r="E760" s="1" t="str">
        <f>WorldCupMatches!S760</f>
        <v>England</v>
      </c>
      <c r="F760" s="1" t="str">
        <f>WorldCupMatches!T760</f>
        <v xml:space="preserve"> </v>
      </c>
      <c r="G760" s="1" t="str">
        <f>WorldCupMatches!U760</f>
        <v>Round of 16</v>
      </c>
      <c r="J760" s="1">
        <f>COUNTIF($L$2:L760,L760)</f>
        <v>27</v>
      </c>
      <c r="K760" s="1">
        <f>Table3[[#This Row],[Year]]</f>
        <v>2010</v>
      </c>
      <c r="L760" s="1" t="str">
        <f>Table3[[#This Row],[Hometeam]]</f>
        <v>Germany</v>
      </c>
      <c r="M760" s="1" t="str">
        <f>IF(J760=1,J760+ROWS($J$2:J760)/10000,"")</f>
        <v/>
      </c>
      <c r="N760" s="1" t="str">
        <f>IFERROR(SMALL($M$2:$M$1705,ROWS($M$2:M760)),"")</f>
        <v/>
      </c>
      <c r="O760" s="1" t="str">
        <f>IF(N760&lt;&gt;"",INDEX($L$2:$L$1705,MATCH(N760,$M$2:$M$1705,0)),"")</f>
        <v/>
      </c>
      <c r="P760" s="1" t="str">
        <f>IF(O760&lt;&gt;"",ROWS($O$2:O760),"")</f>
        <v/>
      </c>
    </row>
    <row r="761" spans="1:16" x14ac:dyDescent="0.2">
      <c r="A761" s="1">
        <f>WorldCupMatches!O761</f>
        <v>2010</v>
      </c>
      <c r="B761" s="1" t="str">
        <f>WorldCupMatches!P761</f>
        <v>Argentina</v>
      </c>
      <c r="C761" s="1">
        <f>WorldCupMatches!Q761</f>
        <v>3</v>
      </c>
      <c r="D761" s="1">
        <f>WorldCupMatches!R761</f>
        <v>1</v>
      </c>
      <c r="E761" s="1" t="str">
        <f>WorldCupMatches!S761</f>
        <v>Mexico</v>
      </c>
      <c r="F761" s="1" t="str">
        <f>WorldCupMatches!T761</f>
        <v xml:space="preserve"> </v>
      </c>
      <c r="G761" s="1" t="str">
        <f>WorldCupMatches!U761</f>
        <v>Round of 16</v>
      </c>
      <c r="J761" s="1">
        <f>COUNTIF($L$2:L761,L761)</f>
        <v>47</v>
      </c>
      <c r="K761" s="1">
        <f>Table3[[#This Row],[Year]]</f>
        <v>2010</v>
      </c>
      <c r="L761" s="1" t="str">
        <f>Table3[[#This Row],[Hometeam]]</f>
        <v>Argentina</v>
      </c>
      <c r="M761" s="1" t="str">
        <f>IF(J761=1,J761+ROWS($J$2:J761)/10000,"")</f>
        <v/>
      </c>
      <c r="N761" s="1" t="str">
        <f>IFERROR(SMALL($M$2:$M$1705,ROWS($M$2:M761)),"")</f>
        <v/>
      </c>
      <c r="O761" s="1" t="str">
        <f>IF(N761&lt;&gt;"",INDEX($L$2:$L$1705,MATCH(N761,$M$2:$M$1705,0)),"")</f>
        <v/>
      </c>
      <c r="P761" s="1" t="str">
        <f>IF(O761&lt;&gt;"",ROWS($O$2:O761),"")</f>
        <v/>
      </c>
    </row>
    <row r="762" spans="1:16" x14ac:dyDescent="0.2">
      <c r="A762" s="1">
        <f>WorldCupMatches!O762</f>
        <v>2010</v>
      </c>
      <c r="B762" s="1" t="str">
        <f>WorldCupMatches!P762</f>
        <v>Netherlands</v>
      </c>
      <c r="C762" s="1">
        <f>WorldCupMatches!Q762</f>
        <v>2</v>
      </c>
      <c r="D762" s="1">
        <f>WorldCupMatches!R762</f>
        <v>1</v>
      </c>
      <c r="E762" s="1" t="str">
        <f>WorldCupMatches!S762</f>
        <v>Slovakia</v>
      </c>
      <c r="F762" s="1" t="str">
        <f>WorldCupMatches!T762</f>
        <v xml:space="preserve"> </v>
      </c>
      <c r="G762" s="1" t="str">
        <f>WorldCupMatches!U762</f>
        <v>Round of 16</v>
      </c>
      <c r="J762" s="1">
        <f>COUNTIF($L$2:L762,L762)</f>
        <v>23</v>
      </c>
      <c r="K762" s="1">
        <f>Table3[[#This Row],[Year]]</f>
        <v>2010</v>
      </c>
      <c r="L762" s="1" t="str">
        <f>Table3[[#This Row],[Hometeam]]</f>
        <v>Netherlands</v>
      </c>
      <c r="M762" s="1" t="str">
        <f>IF(J762=1,J762+ROWS($J$2:J762)/10000,"")</f>
        <v/>
      </c>
      <c r="N762" s="1" t="str">
        <f>IFERROR(SMALL($M$2:$M$1705,ROWS($M$2:M762)),"")</f>
        <v/>
      </c>
      <c r="O762" s="1" t="str">
        <f>IF(N762&lt;&gt;"",INDEX($L$2:$L$1705,MATCH(N762,$M$2:$M$1705,0)),"")</f>
        <v/>
      </c>
      <c r="P762" s="1" t="str">
        <f>IF(O762&lt;&gt;"",ROWS($O$2:O762),"")</f>
        <v/>
      </c>
    </row>
    <row r="763" spans="1:16" x14ac:dyDescent="0.2">
      <c r="A763" s="1">
        <f>WorldCupMatches!O763</f>
        <v>2010</v>
      </c>
      <c r="B763" s="1" t="str">
        <f>WorldCupMatches!P763</f>
        <v>Brazil</v>
      </c>
      <c r="C763" s="1">
        <f>WorldCupMatches!Q763</f>
        <v>3</v>
      </c>
      <c r="D763" s="1">
        <f>WorldCupMatches!R763</f>
        <v>0</v>
      </c>
      <c r="E763" s="1" t="str">
        <f>WorldCupMatches!S763</f>
        <v>Chile</v>
      </c>
      <c r="F763" s="1" t="str">
        <f>WorldCupMatches!T763</f>
        <v xml:space="preserve"> </v>
      </c>
      <c r="G763" s="1" t="str">
        <f>WorldCupMatches!U763</f>
        <v>Round of 16</v>
      </c>
      <c r="J763" s="1">
        <f>COUNTIF($L$2:L763,L763)</f>
        <v>72</v>
      </c>
      <c r="K763" s="1">
        <f>Table3[[#This Row],[Year]]</f>
        <v>2010</v>
      </c>
      <c r="L763" s="1" t="str">
        <f>Table3[[#This Row],[Hometeam]]</f>
        <v>Brazil</v>
      </c>
      <c r="M763" s="1" t="str">
        <f>IF(J763=1,J763+ROWS($J$2:J763)/10000,"")</f>
        <v/>
      </c>
      <c r="N763" s="1" t="str">
        <f>IFERROR(SMALL($M$2:$M$1705,ROWS($M$2:M763)),"")</f>
        <v/>
      </c>
      <c r="O763" s="1" t="str">
        <f>IF(N763&lt;&gt;"",INDEX($L$2:$L$1705,MATCH(N763,$M$2:$M$1705,0)),"")</f>
        <v/>
      </c>
      <c r="P763" s="1" t="str">
        <f>IF(O763&lt;&gt;"",ROWS($O$2:O763),"")</f>
        <v/>
      </c>
    </row>
    <row r="764" spans="1:16" x14ac:dyDescent="0.2">
      <c r="A764" s="1">
        <f>WorldCupMatches!O764</f>
        <v>2010</v>
      </c>
      <c r="B764" s="1" t="str">
        <f>WorldCupMatches!P764</f>
        <v>Paraguay</v>
      </c>
      <c r="C764" s="1">
        <f>WorldCupMatches!Q764</f>
        <v>0</v>
      </c>
      <c r="D764" s="1">
        <f>WorldCupMatches!R764</f>
        <v>0</v>
      </c>
      <c r="E764" s="1" t="str">
        <f>WorldCupMatches!S764</f>
        <v>Japan</v>
      </c>
      <c r="F764" s="1" t="str">
        <f>WorldCupMatches!T764</f>
        <v xml:space="preserve">Paraguay win on penalties (5 - 3) </v>
      </c>
      <c r="G764" s="1" t="str">
        <f>WorldCupMatches!U764</f>
        <v>Round of 16</v>
      </c>
      <c r="J764" s="1">
        <f>COUNTIF($L$2:L764,L764)</f>
        <v>10</v>
      </c>
      <c r="K764" s="1">
        <f>Table3[[#This Row],[Year]]</f>
        <v>2010</v>
      </c>
      <c r="L764" s="1" t="str">
        <f>Table3[[#This Row],[Hometeam]]</f>
        <v>Paraguay</v>
      </c>
      <c r="M764" s="1" t="str">
        <f>IF(J764=1,J764+ROWS($J$2:J764)/10000,"")</f>
        <v/>
      </c>
      <c r="N764" s="1" t="str">
        <f>IFERROR(SMALL($M$2:$M$1705,ROWS($M$2:M764)),"")</f>
        <v/>
      </c>
      <c r="O764" s="1" t="str">
        <f>IF(N764&lt;&gt;"",INDEX($L$2:$L$1705,MATCH(N764,$M$2:$M$1705,0)),"")</f>
        <v/>
      </c>
      <c r="P764" s="1" t="str">
        <f>IF(O764&lt;&gt;"",ROWS($O$2:O764),"")</f>
        <v/>
      </c>
    </row>
    <row r="765" spans="1:16" x14ac:dyDescent="0.2">
      <c r="A765" s="1">
        <f>WorldCupMatches!O765</f>
        <v>2010</v>
      </c>
      <c r="B765" s="1" t="str">
        <f>WorldCupMatches!P765</f>
        <v>Spain</v>
      </c>
      <c r="C765" s="1">
        <f>WorldCupMatches!Q765</f>
        <v>1</v>
      </c>
      <c r="D765" s="1">
        <f>WorldCupMatches!R765</f>
        <v>0</v>
      </c>
      <c r="E765" s="1" t="str">
        <f>WorldCupMatches!S765</f>
        <v>Portugal</v>
      </c>
      <c r="F765" s="1" t="str">
        <f>WorldCupMatches!T765</f>
        <v xml:space="preserve"> </v>
      </c>
      <c r="G765" s="1" t="str">
        <f>WorldCupMatches!U765</f>
        <v>Round of 16</v>
      </c>
      <c r="J765" s="1">
        <f>COUNTIF($L$2:L765,L765)</f>
        <v>28</v>
      </c>
      <c r="K765" s="1">
        <f>Table3[[#This Row],[Year]]</f>
        <v>2010</v>
      </c>
      <c r="L765" s="1" t="str">
        <f>Table3[[#This Row],[Hometeam]]</f>
        <v>Spain</v>
      </c>
      <c r="M765" s="1" t="str">
        <f>IF(J765=1,J765+ROWS($J$2:J765)/10000,"")</f>
        <v/>
      </c>
      <c r="N765" s="1" t="str">
        <f>IFERROR(SMALL($M$2:$M$1705,ROWS($M$2:M765)),"")</f>
        <v/>
      </c>
      <c r="O765" s="1" t="str">
        <f>IF(N765&lt;&gt;"",INDEX($L$2:$L$1705,MATCH(N765,$M$2:$M$1705,0)),"")</f>
        <v/>
      </c>
      <c r="P765" s="1" t="str">
        <f>IF(O765&lt;&gt;"",ROWS($O$2:O765),"")</f>
        <v/>
      </c>
    </row>
    <row r="766" spans="1:16" x14ac:dyDescent="0.2">
      <c r="A766" s="1">
        <f>WorldCupMatches!O766</f>
        <v>2010</v>
      </c>
      <c r="B766" s="1" t="str">
        <f>WorldCupMatches!P766</f>
        <v>Netherlands</v>
      </c>
      <c r="C766" s="1">
        <f>WorldCupMatches!Q766</f>
        <v>2</v>
      </c>
      <c r="D766" s="1">
        <f>WorldCupMatches!R766</f>
        <v>1</v>
      </c>
      <c r="E766" s="1" t="str">
        <f>WorldCupMatches!S766</f>
        <v>Brazil</v>
      </c>
      <c r="F766" s="1" t="str">
        <f>WorldCupMatches!T766</f>
        <v xml:space="preserve"> </v>
      </c>
      <c r="G766" s="1" t="str">
        <f>WorldCupMatches!U766</f>
        <v>Quarter-finals</v>
      </c>
      <c r="J766" s="1">
        <f>COUNTIF($L$2:L766,L766)</f>
        <v>24</v>
      </c>
      <c r="K766" s="1">
        <f>Table3[[#This Row],[Year]]</f>
        <v>2010</v>
      </c>
      <c r="L766" s="1" t="str">
        <f>Table3[[#This Row],[Hometeam]]</f>
        <v>Netherlands</v>
      </c>
      <c r="M766" s="1" t="str">
        <f>IF(J766=1,J766+ROWS($J$2:J766)/10000,"")</f>
        <v/>
      </c>
      <c r="N766" s="1" t="str">
        <f>IFERROR(SMALL($M$2:$M$1705,ROWS($M$2:M766)),"")</f>
        <v/>
      </c>
      <c r="O766" s="1" t="str">
        <f>IF(N766&lt;&gt;"",INDEX($L$2:$L$1705,MATCH(N766,$M$2:$M$1705,0)),"")</f>
        <v/>
      </c>
      <c r="P766" s="1" t="str">
        <f>IF(O766&lt;&gt;"",ROWS($O$2:O766),"")</f>
        <v/>
      </c>
    </row>
    <row r="767" spans="1:16" x14ac:dyDescent="0.2">
      <c r="A767" s="1">
        <f>WorldCupMatches!O767</f>
        <v>2010</v>
      </c>
      <c r="B767" s="1" t="str">
        <f>WorldCupMatches!P767</f>
        <v>Uruguay</v>
      </c>
      <c r="C767" s="1">
        <f>WorldCupMatches!Q767</f>
        <v>1</v>
      </c>
      <c r="D767" s="1">
        <f>WorldCupMatches!R767</f>
        <v>1</v>
      </c>
      <c r="E767" s="1" t="str">
        <f>WorldCupMatches!S767</f>
        <v>Ghana</v>
      </c>
      <c r="F767" s="1" t="str">
        <f>WorldCupMatches!T767</f>
        <v xml:space="preserve">Uruguay win on penalties (4 - 2) </v>
      </c>
      <c r="G767" s="1" t="str">
        <f>WorldCupMatches!U767</f>
        <v>Quarter-finals</v>
      </c>
      <c r="J767" s="1">
        <f>COUNTIF($L$2:L767,L767)</f>
        <v>24</v>
      </c>
      <c r="K767" s="1">
        <f>Table3[[#This Row],[Year]]</f>
        <v>2010</v>
      </c>
      <c r="L767" s="1" t="str">
        <f>Table3[[#This Row],[Hometeam]]</f>
        <v>Uruguay</v>
      </c>
      <c r="M767" s="1" t="str">
        <f>IF(J767=1,J767+ROWS($J$2:J767)/10000,"")</f>
        <v/>
      </c>
      <c r="N767" s="1" t="str">
        <f>IFERROR(SMALL($M$2:$M$1705,ROWS($M$2:M767)),"")</f>
        <v/>
      </c>
      <c r="O767" s="1" t="str">
        <f>IF(N767&lt;&gt;"",INDEX($L$2:$L$1705,MATCH(N767,$M$2:$M$1705,0)),"")</f>
        <v/>
      </c>
      <c r="P767" s="1" t="str">
        <f>IF(O767&lt;&gt;"",ROWS($O$2:O767),"")</f>
        <v/>
      </c>
    </row>
    <row r="768" spans="1:16" x14ac:dyDescent="0.2">
      <c r="A768" s="1">
        <f>WorldCupMatches!O768</f>
        <v>2010</v>
      </c>
      <c r="B768" s="1" t="str">
        <f>WorldCupMatches!P768</f>
        <v>Argentina</v>
      </c>
      <c r="C768" s="1">
        <f>WorldCupMatches!Q768</f>
        <v>0</v>
      </c>
      <c r="D768" s="1">
        <f>WorldCupMatches!R768</f>
        <v>4</v>
      </c>
      <c r="E768" s="1" t="str">
        <f>WorldCupMatches!S768</f>
        <v>Germany</v>
      </c>
      <c r="F768" s="1" t="str">
        <f>WorldCupMatches!T768</f>
        <v xml:space="preserve"> </v>
      </c>
      <c r="G768" s="1" t="str">
        <f>WorldCupMatches!U768</f>
        <v>Quarter-finals</v>
      </c>
      <c r="J768" s="1">
        <f>COUNTIF($L$2:L768,L768)</f>
        <v>48</v>
      </c>
      <c r="K768" s="1">
        <f>Table3[[#This Row],[Year]]</f>
        <v>2010</v>
      </c>
      <c r="L768" s="1" t="str">
        <f>Table3[[#This Row],[Hometeam]]</f>
        <v>Argentina</v>
      </c>
      <c r="M768" s="1" t="str">
        <f>IF(J768=1,J768+ROWS($J$2:J768)/10000,"")</f>
        <v/>
      </c>
      <c r="N768" s="1" t="str">
        <f>IFERROR(SMALL($M$2:$M$1705,ROWS($M$2:M768)),"")</f>
        <v/>
      </c>
      <c r="O768" s="1" t="str">
        <f>IF(N768&lt;&gt;"",INDEX($L$2:$L$1705,MATCH(N768,$M$2:$M$1705,0)),"")</f>
        <v/>
      </c>
      <c r="P768" s="1" t="str">
        <f>IF(O768&lt;&gt;"",ROWS($O$2:O768),"")</f>
        <v/>
      </c>
    </row>
    <row r="769" spans="1:16" x14ac:dyDescent="0.2">
      <c r="A769" s="1">
        <f>WorldCupMatches!O769</f>
        <v>2010</v>
      </c>
      <c r="B769" s="1" t="str">
        <f>WorldCupMatches!P769</f>
        <v>Paraguay</v>
      </c>
      <c r="C769" s="1">
        <f>WorldCupMatches!Q769</f>
        <v>0</v>
      </c>
      <c r="D769" s="1">
        <f>WorldCupMatches!R769</f>
        <v>1</v>
      </c>
      <c r="E769" s="1" t="str">
        <f>WorldCupMatches!S769</f>
        <v>Spain</v>
      </c>
      <c r="F769" s="1" t="str">
        <f>WorldCupMatches!T769</f>
        <v xml:space="preserve"> </v>
      </c>
      <c r="G769" s="1" t="str">
        <f>WorldCupMatches!U769</f>
        <v>Quarter-finals</v>
      </c>
      <c r="J769" s="1">
        <f>COUNTIF($L$2:L769,L769)</f>
        <v>11</v>
      </c>
      <c r="K769" s="1">
        <f>Table3[[#This Row],[Year]]</f>
        <v>2010</v>
      </c>
      <c r="L769" s="1" t="str">
        <f>Table3[[#This Row],[Hometeam]]</f>
        <v>Paraguay</v>
      </c>
      <c r="M769" s="1" t="str">
        <f>IF(J769=1,J769+ROWS($J$2:J769)/10000,"")</f>
        <v/>
      </c>
      <c r="N769" s="1" t="str">
        <f>IFERROR(SMALL($M$2:$M$1705,ROWS($M$2:M769)),"")</f>
        <v/>
      </c>
      <c r="O769" s="1" t="str">
        <f>IF(N769&lt;&gt;"",INDEX($L$2:$L$1705,MATCH(N769,$M$2:$M$1705,0)),"")</f>
        <v/>
      </c>
      <c r="P769" s="1" t="str">
        <f>IF(O769&lt;&gt;"",ROWS($O$2:O769),"")</f>
        <v/>
      </c>
    </row>
    <row r="770" spans="1:16" x14ac:dyDescent="0.2">
      <c r="A770" s="1">
        <f>WorldCupMatches!O770</f>
        <v>2010</v>
      </c>
      <c r="B770" s="1" t="str">
        <f>WorldCupMatches!P770</f>
        <v>Uruguay</v>
      </c>
      <c r="C770" s="1">
        <f>WorldCupMatches!Q770</f>
        <v>2</v>
      </c>
      <c r="D770" s="1">
        <f>WorldCupMatches!R770</f>
        <v>3</v>
      </c>
      <c r="E770" s="1" t="str">
        <f>WorldCupMatches!S770</f>
        <v>Netherlands</v>
      </c>
      <c r="F770" s="1" t="str">
        <f>WorldCupMatches!T770</f>
        <v xml:space="preserve"> </v>
      </c>
      <c r="G770" s="1" t="str">
        <f>WorldCupMatches!U770</f>
        <v>Semi-finals</v>
      </c>
      <c r="J770" s="1">
        <f>COUNTIF($L$2:L770,L770)</f>
        <v>25</v>
      </c>
      <c r="K770" s="1">
        <f>Table3[[#This Row],[Year]]</f>
        <v>2010</v>
      </c>
      <c r="L770" s="1" t="str">
        <f>Table3[[#This Row],[Hometeam]]</f>
        <v>Uruguay</v>
      </c>
      <c r="M770" s="1" t="str">
        <f>IF(J770=1,J770+ROWS($J$2:J770)/10000,"")</f>
        <v/>
      </c>
      <c r="N770" s="1" t="str">
        <f>IFERROR(SMALL($M$2:$M$1705,ROWS($M$2:M770)),"")</f>
        <v/>
      </c>
      <c r="O770" s="1" t="str">
        <f>IF(N770&lt;&gt;"",INDEX($L$2:$L$1705,MATCH(N770,$M$2:$M$1705,0)),"")</f>
        <v/>
      </c>
      <c r="P770" s="1" t="str">
        <f>IF(O770&lt;&gt;"",ROWS($O$2:O770),"")</f>
        <v/>
      </c>
    </row>
    <row r="771" spans="1:16" x14ac:dyDescent="0.2">
      <c r="A771" s="1">
        <f>WorldCupMatches!O771</f>
        <v>2010</v>
      </c>
      <c r="B771" s="1" t="str">
        <f>WorldCupMatches!P771</f>
        <v>Germany</v>
      </c>
      <c r="C771" s="1">
        <f>WorldCupMatches!Q771</f>
        <v>0</v>
      </c>
      <c r="D771" s="1">
        <f>WorldCupMatches!R771</f>
        <v>1</v>
      </c>
      <c r="E771" s="1" t="str">
        <f>WorldCupMatches!S771</f>
        <v>Spain</v>
      </c>
      <c r="F771" s="1" t="str">
        <f>WorldCupMatches!T771</f>
        <v xml:space="preserve"> </v>
      </c>
      <c r="G771" s="1" t="str">
        <f>WorldCupMatches!U771</f>
        <v>Semi-finals</v>
      </c>
      <c r="J771" s="1">
        <f>COUNTIF($L$2:L771,L771)</f>
        <v>28</v>
      </c>
      <c r="K771" s="1">
        <f>Table3[[#This Row],[Year]]</f>
        <v>2010</v>
      </c>
      <c r="L771" s="1" t="str">
        <f>Table3[[#This Row],[Hometeam]]</f>
        <v>Germany</v>
      </c>
      <c r="M771" s="1" t="str">
        <f>IF(J771=1,J771+ROWS($J$2:J771)/10000,"")</f>
        <v/>
      </c>
      <c r="N771" s="1" t="str">
        <f>IFERROR(SMALL($M$2:$M$1705,ROWS($M$2:M771)),"")</f>
        <v/>
      </c>
      <c r="O771" s="1" t="str">
        <f>IF(N771&lt;&gt;"",INDEX($L$2:$L$1705,MATCH(N771,$M$2:$M$1705,0)),"")</f>
        <v/>
      </c>
      <c r="P771" s="1" t="str">
        <f>IF(O771&lt;&gt;"",ROWS($O$2:O771),"")</f>
        <v/>
      </c>
    </row>
    <row r="772" spans="1:16" x14ac:dyDescent="0.2">
      <c r="A772" s="1">
        <f>WorldCupMatches!O772</f>
        <v>2010</v>
      </c>
      <c r="B772" s="1" t="str">
        <f>WorldCupMatches!P772</f>
        <v>Uruguay</v>
      </c>
      <c r="C772" s="1">
        <f>WorldCupMatches!Q772</f>
        <v>2</v>
      </c>
      <c r="D772" s="1">
        <f>WorldCupMatches!R772</f>
        <v>3</v>
      </c>
      <c r="E772" s="1" t="str">
        <f>WorldCupMatches!S772</f>
        <v>Germany</v>
      </c>
      <c r="F772" s="1" t="str">
        <f>WorldCupMatches!T772</f>
        <v xml:space="preserve"> </v>
      </c>
      <c r="G772" s="1" t="str">
        <f>WorldCupMatches!U772</f>
        <v>Match for third place</v>
      </c>
      <c r="J772" s="1">
        <f>COUNTIF($L$2:L772,L772)</f>
        <v>26</v>
      </c>
      <c r="K772" s="1">
        <f>Table3[[#This Row],[Year]]</f>
        <v>2010</v>
      </c>
      <c r="L772" s="1" t="str">
        <f>Table3[[#This Row],[Hometeam]]</f>
        <v>Uruguay</v>
      </c>
      <c r="M772" s="1" t="str">
        <f>IF(J772=1,J772+ROWS($J$2:J772)/10000,"")</f>
        <v/>
      </c>
      <c r="N772" s="1" t="str">
        <f>IFERROR(SMALL($M$2:$M$1705,ROWS($M$2:M772)),"")</f>
        <v/>
      </c>
      <c r="O772" s="1" t="str">
        <f>IF(N772&lt;&gt;"",INDEX($L$2:$L$1705,MATCH(N772,$M$2:$M$1705,0)),"")</f>
        <v/>
      </c>
      <c r="P772" s="1" t="str">
        <f>IF(O772&lt;&gt;"",ROWS($O$2:O772),"")</f>
        <v/>
      </c>
    </row>
    <row r="773" spans="1:16" x14ac:dyDescent="0.2">
      <c r="A773" s="1">
        <f>WorldCupMatches!O773</f>
        <v>2010</v>
      </c>
      <c r="B773" s="1" t="str">
        <f>WorldCupMatches!P773</f>
        <v>Netherlands</v>
      </c>
      <c r="C773" s="1">
        <f>WorldCupMatches!Q773</f>
        <v>0</v>
      </c>
      <c r="D773" s="1">
        <f>WorldCupMatches!R773</f>
        <v>1</v>
      </c>
      <c r="E773" s="1" t="str">
        <f>WorldCupMatches!S773</f>
        <v>Spain</v>
      </c>
      <c r="F773" s="1" t="str">
        <f>WorldCupMatches!T773</f>
        <v xml:space="preserve">Spain win after extra time </v>
      </c>
      <c r="G773" s="1" t="str">
        <f>WorldCupMatches!U773</f>
        <v>Final</v>
      </c>
      <c r="J773" s="1">
        <f>COUNTIF($L$2:L773,L773)</f>
        <v>25</v>
      </c>
      <c r="K773" s="1">
        <f>Table3[[#This Row],[Year]]</f>
        <v>2010</v>
      </c>
      <c r="L773" s="1" t="str">
        <f>Table3[[#This Row],[Hometeam]]</f>
        <v>Netherlands</v>
      </c>
      <c r="M773" s="1" t="str">
        <f>IF(J773=1,J773+ROWS($J$2:J773)/10000,"")</f>
        <v/>
      </c>
      <c r="N773" s="1" t="str">
        <f>IFERROR(SMALL($M$2:$M$1705,ROWS($M$2:M773)),"")</f>
        <v/>
      </c>
      <c r="O773" s="1" t="str">
        <f>IF(N773&lt;&gt;"",INDEX($L$2:$L$1705,MATCH(N773,$M$2:$M$1705,0)),"")</f>
        <v/>
      </c>
      <c r="P773" s="1" t="str">
        <f>IF(O773&lt;&gt;"",ROWS($O$2:O773),"")</f>
        <v/>
      </c>
    </row>
    <row r="774" spans="1:16" x14ac:dyDescent="0.2">
      <c r="A774" s="1">
        <f>WorldCupMatches!O774</f>
        <v>2014</v>
      </c>
      <c r="B774" s="1" t="str">
        <f>WorldCupMatches!P774</f>
        <v>Brazil</v>
      </c>
      <c r="C774" s="1">
        <f>WorldCupMatches!Q774</f>
        <v>3</v>
      </c>
      <c r="D774" s="1">
        <f>WorldCupMatches!R774</f>
        <v>1</v>
      </c>
      <c r="E774" s="1" t="str">
        <f>WorldCupMatches!S774</f>
        <v>Croatia</v>
      </c>
      <c r="F774" s="1" t="str">
        <f>WorldCupMatches!T774</f>
        <v xml:space="preserve"> </v>
      </c>
      <c r="G774" s="1" t="str">
        <f>WorldCupMatches!U774</f>
        <v>Group stages</v>
      </c>
      <c r="J774" s="1">
        <f>COUNTIF($L$2:L774,L774)</f>
        <v>73</v>
      </c>
      <c r="K774" s="1">
        <f>Table3[[#This Row],[Year]]</f>
        <v>2014</v>
      </c>
      <c r="L774" s="1" t="str">
        <f>Table3[[#This Row],[Hometeam]]</f>
        <v>Brazil</v>
      </c>
      <c r="M774" s="1" t="str">
        <f>IF(J774=1,J774+ROWS($J$2:J774)/10000,"")</f>
        <v/>
      </c>
      <c r="N774" s="1" t="str">
        <f>IFERROR(SMALL($M$2:$M$1705,ROWS($M$2:M774)),"")</f>
        <v/>
      </c>
      <c r="O774" s="1" t="str">
        <f>IF(N774&lt;&gt;"",INDEX($L$2:$L$1705,MATCH(N774,$M$2:$M$1705,0)),"")</f>
        <v/>
      </c>
      <c r="P774" s="1" t="str">
        <f>IF(O774&lt;&gt;"",ROWS($O$2:O774),"")</f>
        <v/>
      </c>
    </row>
    <row r="775" spans="1:16" x14ac:dyDescent="0.2">
      <c r="A775" s="1">
        <f>WorldCupMatches!O775</f>
        <v>2014</v>
      </c>
      <c r="B775" s="1" t="str">
        <f>WorldCupMatches!P775</f>
        <v>Mexico</v>
      </c>
      <c r="C775" s="1">
        <f>WorldCupMatches!Q775</f>
        <v>1</v>
      </c>
      <c r="D775" s="1">
        <f>WorldCupMatches!R775</f>
        <v>0</v>
      </c>
      <c r="E775" s="1" t="str">
        <f>WorldCupMatches!S775</f>
        <v>Cameroon</v>
      </c>
      <c r="F775" s="1" t="str">
        <f>WorldCupMatches!T775</f>
        <v xml:space="preserve"> </v>
      </c>
      <c r="G775" s="1" t="str">
        <f>WorldCupMatches!U775</f>
        <v>Group stages</v>
      </c>
      <c r="J775" s="1">
        <f>COUNTIF($L$2:L775,L775)</f>
        <v>16</v>
      </c>
      <c r="K775" s="1">
        <f>Table3[[#This Row],[Year]]</f>
        <v>2014</v>
      </c>
      <c r="L775" s="1" t="str">
        <f>Table3[[#This Row],[Hometeam]]</f>
        <v>Mexico</v>
      </c>
      <c r="M775" s="1" t="str">
        <f>IF(J775=1,J775+ROWS($J$2:J775)/10000,"")</f>
        <v/>
      </c>
      <c r="N775" s="1" t="str">
        <f>IFERROR(SMALL($M$2:$M$1705,ROWS($M$2:M775)),"")</f>
        <v/>
      </c>
      <c r="O775" s="1" t="str">
        <f>IF(N775&lt;&gt;"",INDEX($L$2:$L$1705,MATCH(N775,$M$2:$M$1705,0)),"")</f>
        <v/>
      </c>
      <c r="P775" s="1" t="str">
        <f>IF(O775&lt;&gt;"",ROWS($O$2:O775),"")</f>
        <v/>
      </c>
    </row>
    <row r="776" spans="1:16" x14ac:dyDescent="0.2">
      <c r="A776" s="1">
        <f>WorldCupMatches!O776</f>
        <v>2014</v>
      </c>
      <c r="B776" s="1" t="str">
        <f>WorldCupMatches!P776</f>
        <v>Spain</v>
      </c>
      <c r="C776" s="1">
        <f>WorldCupMatches!Q776</f>
        <v>1</v>
      </c>
      <c r="D776" s="1">
        <f>WorldCupMatches!R776</f>
        <v>5</v>
      </c>
      <c r="E776" s="1" t="str">
        <f>WorldCupMatches!S776</f>
        <v>Netherlands</v>
      </c>
      <c r="F776" s="1" t="str">
        <f>WorldCupMatches!T776</f>
        <v xml:space="preserve"> </v>
      </c>
      <c r="G776" s="1" t="str">
        <f>WorldCupMatches!U776</f>
        <v>Group stages</v>
      </c>
      <c r="J776" s="1">
        <f>COUNTIF($L$2:L776,L776)</f>
        <v>29</v>
      </c>
      <c r="K776" s="1">
        <f>Table3[[#This Row],[Year]]</f>
        <v>2014</v>
      </c>
      <c r="L776" s="1" t="str">
        <f>Table3[[#This Row],[Hometeam]]</f>
        <v>Spain</v>
      </c>
      <c r="M776" s="1" t="str">
        <f>IF(J776=1,J776+ROWS($J$2:J776)/10000,"")</f>
        <v/>
      </c>
      <c r="N776" s="1" t="str">
        <f>IFERROR(SMALL($M$2:$M$1705,ROWS($M$2:M776)),"")</f>
        <v/>
      </c>
      <c r="O776" s="1" t="str">
        <f>IF(N776&lt;&gt;"",INDEX($L$2:$L$1705,MATCH(N776,$M$2:$M$1705,0)),"")</f>
        <v/>
      </c>
      <c r="P776" s="1" t="str">
        <f>IF(O776&lt;&gt;"",ROWS($O$2:O776),"")</f>
        <v/>
      </c>
    </row>
    <row r="777" spans="1:16" x14ac:dyDescent="0.2">
      <c r="A777" s="1">
        <f>WorldCupMatches!O777</f>
        <v>2014</v>
      </c>
      <c r="B777" s="1" t="str">
        <f>WorldCupMatches!P777</f>
        <v>Chile</v>
      </c>
      <c r="C777" s="1">
        <f>WorldCupMatches!Q777</f>
        <v>3</v>
      </c>
      <c r="D777" s="1">
        <f>WorldCupMatches!R777</f>
        <v>1</v>
      </c>
      <c r="E777" s="1" t="str">
        <f>WorldCupMatches!S777</f>
        <v>Australia</v>
      </c>
      <c r="F777" s="1" t="str">
        <f>WorldCupMatches!T777</f>
        <v xml:space="preserve"> </v>
      </c>
      <c r="G777" s="1" t="str">
        <f>WorldCupMatches!U777</f>
        <v>Group stages</v>
      </c>
      <c r="J777" s="1">
        <f>COUNTIF($L$2:L777,L777)</f>
        <v>14</v>
      </c>
      <c r="K777" s="1">
        <f>Table3[[#This Row],[Year]]</f>
        <v>2014</v>
      </c>
      <c r="L777" s="1" t="str">
        <f>Table3[[#This Row],[Hometeam]]</f>
        <v>Chile</v>
      </c>
      <c r="M777" s="1" t="str">
        <f>IF(J777=1,J777+ROWS($J$2:J777)/10000,"")</f>
        <v/>
      </c>
      <c r="N777" s="1" t="str">
        <f>IFERROR(SMALL($M$2:$M$1705,ROWS($M$2:M777)),"")</f>
        <v/>
      </c>
      <c r="O777" s="1" t="str">
        <f>IF(N777&lt;&gt;"",INDEX($L$2:$L$1705,MATCH(N777,$M$2:$M$1705,0)),"")</f>
        <v/>
      </c>
      <c r="P777" s="1" t="str">
        <f>IF(O777&lt;&gt;"",ROWS($O$2:O777),"")</f>
        <v/>
      </c>
    </row>
    <row r="778" spans="1:16" x14ac:dyDescent="0.2">
      <c r="A778" s="1">
        <f>WorldCupMatches!O778</f>
        <v>2014</v>
      </c>
      <c r="B778" s="1" t="str">
        <f>WorldCupMatches!P778</f>
        <v>Colombia</v>
      </c>
      <c r="C778" s="1">
        <f>WorldCupMatches!Q778</f>
        <v>3</v>
      </c>
      <c r="D778" s="1">
        <f>WorldCupMatches!R778</f>
        <v>0</v>
      </c>
      <c r="E778" s="1" t="str">
        <f>WorldCupMatches!S778</f>
        <v>Greece</v>
      </c>
      <c r="F778" s="1" t="str">
        <f>WorldCupMatches!T778</f>
        <v xml:space="preserve"> </v>
      </c>
      <c r="G778" s="1" t="str">
        <f>WorldCupMatches!U778</f>
        <v>Group stages</v>
      </c>
      <c r="J778" s="1">
        <f>COUNTIF($L$2:L778,L778)</f>
        <v>4</v>
      </c>
      <c r="K778" s="1">
        <f>Table3[[#This Row],[Year]]</f>
        <v>2014</v>
      </c>
      <c r="L778" s="1" t="str">
        <f>Table3[[#This Row],[Hometeam]]</f>
        <v>Colombia</v>
      </c>
      <c r="M778" s="1" t="str">
        <f>IF(J778=1,J778+ROWS($J$2:J778)/10000,"")</f>
        <v/>
      </c>
      <c r="N778" s="1" t="str">
        <f>IFERROR(SMALL($M$2:$M$1705,ROWS($M$2:M778)),"")</f>
        <v/>
      </c>
      <c r="O778" s="1" t="str">
        <f>IF(N778&lt;&gt;"",INDEX($L$2:$L$1705,MATCH(N778,$M$2:$M$1705,0)),"")</f>
        <v/>
      </c>
      <c r="P778" s="1" t="str">
        <f>IF(O778&lt;&gt;"",ROWS($O$2:O778),"")</f>
        <v/>
      </c>
    </row>
    <row r="779" spans="1:16" x14ac:dyDescent="0.2">
      <c r="A779" s="1">
        <f>WorldCupMatches!O779</f>
        <v>2014</v>
      </c>
      <c r="B779" s="1" t="str">
        <f>WorldCupMatches!P779</f>
        <v>Uruguay</v>
      </c>
      <c r="C779" s="1">
        <f>WorldCupMatches!Q779</f>
        <v>1</v>
      </c>
      <c r="D779" s="1">
        <f>WorldCupMatches!R779</f>
        <v>3</v>
      </c>
      <c r="E779" s="1" t="str">
        <f>WorldCupMatches!S779</f>
        <v>Costa Rica</v>
      </c>
      <c r="F779" s="1" t="str">
        <f>WorldCupMatches!T779</f>
        <v xml:space="preserve"> </v>
      </c>
      <c r="G779" s="1" t="str">
        <f>WorldCupMatches!U779</f>
        <v>Group stages</v>
      </c>
      <c r="J779" s="1">
        <f>COUNTIF($L$2:L779,L779)</f>
        <v>27</v>
      </c>
      <c r="K779" s="1">
        <f>Table3[[#This Row],[Year]]</f>
        <v>2014</v>
      </c>
      <c r="L779" s="1" t="str">
        <f>Table3[[#This Row],[Hometeam]]</f>
        <v>Uruguay</v>
      </c>
      <c r="M779" s="1" t="str">
        <f>IF(J779=1,J779+ROWS($J$2:J779)/10000,"")</f>
        <v/>
      </c>
      <c r="N779" s="1" t="str">
        <f>IFERROR(SMALL($M$2:$M$1705,ROWS($M$2:M779)),"")</f>
        <v/>
      </c>
      <c r="O779" s="1" t="str">
        <f>IF(N779&lt;&gt;"",INDEX($L$2:$L$1705,MATCH(N779,$M$2:$M$1705,0)),"")</f>
        <v/>
      </c>
      <c r="P779" s="1" t="str">
        <f>IF(O779&lt;&gt;"",ROWS($O$2:O779),"")</f>
        <v/>
      </c>
    </row>
    <row r="780" spans="1:16" x14ac:dyDescent="0.2">
      <c r="A780" s="1">
        <f>WorldCupMatches!O780</f>
        <v>2014</v>
      </c>
      <c r="B780" s="1" t="str">
        <f>WorldCupMatches!P780</f>
        <v>England</v>
      </c>
      <c r="C780" s="1">
        <f>WorldCupMatches!Q780</f>
        <v>1</v>
      </c>
      <c r="D780" s="1">
        <f>WorldCupMatches!R780</f>
        <v>2</v>
      </c>
      <c r="E780" s="1" t="str">
        <f>WorldCupMatches!S780</f>
        <v>Italy</v>
      </c>
      <c r="F780" s="1" t="str">
        <f>WorldCupMatches!T780</f>
        <v xml:space="preserve"> </v>
      </c>
      <c r="G780" s="1" t="str">
        <f>WorldCupMatches!U780</f>
        <v>Group stages</v>
      </c>
      <c r="J780" s="1">
        <f>COUNTIF($L$2:L780,L780)</f>
        <v>35</v>
      </c>
      <c r="K780" s="1">
        <f>Table3[[#This Row],[Year]]</f>
        <v>2014</v>
      </c>
      <c r="L780" s="1" t="str">
        <f>Table3[[#This Row],[Hometeam]]</f>
        <v>England</v>
      </c>
      <c r="M780" s="1" t="str">
        <f>IF(J780=1,J780+ROWS($J$2:J780)/10000,"")</f>
        <v/>
      </c>
      <c r="N780" s="1" t="str">
        <f>IFERROR(SMALL($M$2:$M$1705,ROWS($M$2:M780)),"")</f>
        <v/>
      </c>
      <c r="O780" s="1" t="str">
        <f>IF(N780&lt;&gt;"",INDEX($L$2:$L$1705,MATCH(N780,$M$2:$M$1705,0)),"")</f>
        <v/>
      </c>
      <c r="P780" s="1" t="str">
        <f>IF(O780&lt;&gt;"",ROWS($O$2:O780),"")</f>
        <v/>
      </c>
    </row>
    <row r="781" spans="1:16" x14ac:dyDescent="0.2">
      <c r="A781" s="1">
        <f>WorldCupMatches!O781</f>
        <v>2014</v>
      </c>
      <c r="B781" s="1" t="str">
        <f>WorldCupMatches!P781</f>
        <v>Cï¿½te d'Ivoire</v>
      </c>
      <c r="C781" s="1">
        <f>WorldCupMatches!Q781</f>
        <v>2</v>
      </c>
      <c r="D781" s="1">
        <f>WorldCupMatches!R781</f>
        <v>1</v>
      </c>
      <c r="E781" s="1" t="str">
        <f>WorldCupMatches!S781</f>
        <v>Japan</v>
      </c>
      <c r="F781" s="1" t="str">
        <f>WorldCupMatches!T781</f>
        <v xml:space="preserve"> </v>
      </c>
      <c r="G781" s="1" t="str">
        <f>WorldCupMatches!U781</f>
        <v>Group stages</v>
      </c>
      <c r="J781" s="1">
        <f>COUNTIF($L$2:L781,L781)</f>
        <v>3</v>
      </c>
      <c r="K781" s="1">
        <f>Table3[[#This Row],[Year]]</f>
        <v>2014</v>
      </c>
      <c r="L781" s="1" t="str">
        <f>Table3[[#This Row],[Hometeam]]</f>
        <v>Cï¿½te d'Ivoire</v>
      </c>
      <c r="M781" s="1" t="str">
        <f>IF(J781=1,J781+ROWS($J$2:J781)/10000,"")</f>
        <v/>
      </c>
      <c r="N781" s="1" t="str">
        <f>IFERROR(SMALL($M$2:$M$1705,ROWS($M$2:M781)),"")</f>
        <v/>
      </c>
      <c r="O781" s="1" t="str">
        <f>IF(N781&lt;&gt;"",INDEX($L$2:$L$1705,MATCH(N781,$M$2:$M$1705,0)),"")</f>
        <v/>
      </c>
      <c r="P781" s="1" t="str">
        <f>IF(O781&lt;&gt;"",ROWS($O$2:O781),"")</f>
        <v/>
      </c>
    </row>
    <row r="782" spans="1:16" x14ac:dyDescent="0.2">
      <c r="A782" s="1">
        <f>WorldCupMatches!O782</f>
        <v>2014</v>
      </c>
      <c r="B782" s="1" t="str">
        <f>WorldCupMatches!P782</f>
        <v>Switzerland</v>
      </c>
      <c r="C782" s="1">
        <f>WorldCupMatches!Q782</f>
        <v>2</v>
      </c>
      <c r="D782" s="1">
        <f>WorldCupMatches!R782</f>
        <v>1</v>
      </c>
      <c r="E782" s="1" t="str">
        <f>WorldCupMatches!S782</f>
        <v>Ecuador</v>
      </c>
      <c r="F782" s="1" t="str">
        <f>WorldCupMatches!T782</f>
        <v xml:space="preserve"> </v>
      </c>
      <c r="G782" s="1" t="str">
        <f>WorldCupMatches!U782</f>
        <v>Group stages</v>
      </c>
      <c r="J782" s="1">
        <f>COUNTIF($L$2:L782,L782)</f>
        <v>11</v>
      </c>
      <c r="K782" s="1">
        <f>Table3[[#This Row],[Year]]</f>
        <v>2014</v>
      </c>
      <c r="L782" s="1" t="str">
        <f>Table3[[#This Row],[Hometeam]]</f>
        <v>Switzerland</v>
      </c>
      <c r="M782" s="1" t="str">
        <f>IF(J782=1,J782+ROWS($J$2:J782)/10000,"")</f>
        <v/>
      </c>
      <c r="N782" s="1" t="str">
        <f>IFERROR(SMALL($M$2:$M$1705,ROWS($M$2:M782)),"")</f>
        <v/>
      </c>
      <c r="O782" s="1" t="str">
        <f>IF(N782&lt;&gt;"",INDEX($L$2:$L$1705,MATCH(N782,$M$2:$M$1705,0)),"")</f>
        <v/>
      </c>
      <c r="P782" s="1" t="str">
        <f>IF(O782&lt;&gt;"",ROWS($O$2:O782),"")</f>
        <v/>
      </c>
    </row>
    <row r="783" spans="1:16" x14ac:dyDescent="0.2">
      <c r="A783" s="1">
        <f>WorldCupMatches!O783</f>
        <v>2014</v>
      </c>
      <c r="B783" s="1" t="str">
        <f>WorldCupMatches!P783</f>
        <v>France</v>
      </c>
      <c r="C783" s="1">
        <f>WorldCupMatches!Q783</f>
        <v>3</v>
      </c>
      <c r="D783" s="1">
        <f>WorldCupMatches!R783</f>
        <v>0</v>
      </c>
      <c r="E783" s="1" t="str">
        <f>WorldCupMatches!S783</f>
        <v>Honduras</v>
      </c>
      <c r="F783" s="1" t="str">
        <f>WorldCupMatches!T783</f>
        <v xml:space="preserve"> </v>
      </c>
      <c r="G783" s="1" t="str">
        <f>WorldCupMatches!U783</f>
        <v>Group stages</v>
      </c>
      <c r="J783" s="1">
        <f>COUNTIF($L$2:L783,L783)</f>
        <v>27</v>
      </c>
      <c r="K783" s="1">
        <f>Table3[[#This Row],[Year]]</f>
        <v>2014</v>
      </c>
      <c r="L783" s="1" t="str">
        <f>Table3[[#This Row],[Hometeam]]</f>
        <v>France</v>
      </c>
      <c r="M783" s="1" t="str">
        <f>IF(J783=1,J783+ROWS($J$2:J783)/10000,"")</f>
        <v/>
      </c>
      <c r="N783" s="1" t="str">
        <f>IFERROR(SMALL($M$2:$M$1705,ROWS($M$2:M783)),"")</f>
        <v/>
      </c>
      <c r="O783" s="1" t="str">
        <f>IF(N783&lt;&gt;"",INDEX($L$2:$L$1705,MATCH(N783,$M$2:$M$1705,0)),"")</f>
        <v/>
      </c>
      <c r="P783" s="1" t="str">
        <f>IF(O783&lt;&gt;"",ROWS($O$2:O783),"")</f>
        <v/>
      </c>
    </row>
    <row r="784" spans="1:16" x14ac:dyDescent="0.2">
      <c r="A784" s="1">
        <f>WorldCupMatches!O784</f>
        <v>2014</v>
      </c>
      <c r="B784" s="1" t="str">
        <f>WorldCupMatches!P784</f>
        <v>Argentina</v>
      </c>
      <c r="C784" s="1">
        <f>WorldCupMatches!Q784</f>
        <v>2</v>
      </c>
      <c r="D784" s="1">
        <f>WorldCupMatches!R784</f>
        <v>1</v>
      </c>
      <c r="E784" s="1" t="str">
        <f>WorldCupMatches!S784</f>
        <v>Bosnia and Herzegovina</v>
      </c>
      <c r="F784" s="1" t="str">
        <f>WorldCupMatches!T784</f>
        <v xml:space="preserve"> </v>
      </c>
      <c r="G784" s="1" t="str">
        <f>WorldCupMatches!U784</f>
        <v>Group stages</v>
      </c>
      <c r="J784" s="1">
        <f>COUNTIF($L$2:L784,L784)</f>
        <v>49</v>
      </c>
      <c r="K784" s="1">
        <f>Table3[[#This Row],[Year]]</f>
        <v>2014</v>
      </c>
      <c r="L784" s="1" t="str">
        <f>Table3[[#This Row],[Hometeam]]</f>
        <v>Argentina</v>
      </c>
      <c r="M784" s="1" t="str">
        <f>IF(J784=1,J784+ROWS($J$2:J784)/10000,"")</f>
        <v/>
      </c>
      <c r="N784" s="1" t="str">
        <f>IFERROR(SMALL($M$2:$M$1705,ROWS($M$2:M784)),"")</f>
        <v/>
      </c>
      <c r="O784" s="1" t="str">
        <f>IF(N784&lt;&gt;"",INDEX($L$2:$L$1705,MATCH(N784,$M$2:$M$1705,0)),"")</f>
        <v/>
      </c>
      <c r="P784" s="1" t="str">
        <f>IF(O784&lt;&gt;"",ROWS($O$2:O784),"")</f>
        <v/>
      </c>
    </row>
    <row r="785" spans="1:16" x14ac:dyDescent="0.2">
      <c r="A785" s="1">
        <f>WorldCupMatches!O785</f>
        <v>2014</v>
      </c>
      <c r="B785" s="1" t="str">
        <f>WorldCupMatches!P785</f>
        <v>Germany</v>
      </c>
      <c r="C785" s="1">
        <f>WorldCupMatches!Q785</f>
        <v>4</v>
      </c>
      <c r="D785" s="1">
        <f>WorldCupMatches!R785</f>
        <v>0</v>
      </c>
      <c r="E785" s="1" t="str">
        <f>WorldCupMatches!S785</f>
        <v>Portugal</v>
      </c>
      <c r="F785" s="1" t="str">
        <f>WorldCupMatches!T785</f>
        <v xml:space="preserve"> </v>
      </c>
      <c r="G785" s="1" t="str">
        <f>WorldCupMatches!U785</f>
        <v>Group stages</v>
      </c>
      <c r="J785" s="1">
        <f>COUNTIF($L$2:L785,L785)</f>
        <v>29</v>
      </c>
      <c r="K785" s="1">
        <f>Table3[[#This Row],[Year]]</f>
        <v>2014</v>
      </c>
      <c r="L785" s="1" t="str">
        <f>Table3[[#This Row],[Hometeam]]</f>
        <v>Germany</v>
      </c>
      <c r="M785" s="1" t="str">
        <f>IF(J785=1,J785+ROWS($J$2:J785)/10000,"")</f>
        <v/>
      </c>
      <c r="N785" s="1" t="str">
        <f>IFERROR(SMALL($M$2:$M$1705,ROWS($M$2:M785)),"")</f>
        <v/>
      </c>
      <c r="O785" s="1" t="str">
        <f>IF(N785&lt;&gt;"",INDEX($L$2:$L$1705,MATCH(N785,$M$2:$M$1705,0)),"")</f>
        <v/>
      </c>
      <c r="P785" s="1" t="str">
        <f>IF(O785&lt;&gt;"",ROWS($O$2:O785),"")</f>
        <v/>
      </c>
    </row>
    <row r="786" spans="1:16" x14ac:dyDescent="0.2">
      <c r="A786" s="1">
        <f>WorldCupMatches!O786</f>
        <v>2014</v>
      </c>
      <c r="B786" s="1" t="str">
        <f>WorldCupMatches!P786</f>
        <v>IR Iran</v>
      </c>
      <c r="C786" s="1">
        <f>WorldCupMatches!Q786</f>
        <v>0</v>
      </c>
      <c r="D786" s="1">
        <f>WorldCupMatches!R786</f>
        <v>0</v>
      </c>
      <c r="E786" s="1" t="str">
        <f>WorldCupMatches!S786</f>
        <v>Nigeria</v>
      </c>
      <c r="F786" s="1" t="str">
        <f>WorldCupMatches!T786</f>
        <v xml:space="preserve"> </v>
      </c>
      <c r="G786" s="1" t="str">
        <f>WorldCupMatches!U786</f>
        <v>Group stages</v>
      </c>
      <c r="J786" s="1">
        <f>COUNTIF($L$2:L786,L786)</f>
        <v>1</v>
      </c>
      <c r="K786" s="1">
        <f>Table3[[#This Row],[Year]]</f>
        <v>2014</v>
      </c>
      <c r="L786" s="1" t="str">
        <f>Table3[[#This Row],[Hometeam]]</f>
        <v>IR Iran</v>
      </c>
      <c r="M786" s="1">
        <f>IF(J786=1,J786+ROWS($J$2:J786)/10000,"")</f>
        <v>1.0785</v>
      </c>
      <c r="N786" s="1" t="str">
        <f>IFERROR(SMALL($M$2:$M$1705,ROWS($M$2:M786)),"")</f>
        <v/>
      </c>
      <c r="O786" s="1" t="str">
        <f>IF(N786&lt;&gt;"",INDEX($L$2:$L$1705,MATCH(N786,$M$2:$M$1705,0)),"")</f>
        <v/>
      </c>
      <c r="P786" s="1" t="str">
        <f>IF(O786&lt;&gt;"",ROWS($O$2:O786),"")</f>
        <v/>
      </c>
    </row>
    <row r="787" spans="1:16" x14ac:dyDescent="0.2">
      <c r="A787" s="1">
        <f>WorldCupMatches!O787</f>
        <v>2014</v>
      </c>
      <c r="B787" s="1" t="str">
        <f>WorldCupMatches!P787</f>
        <v>Ghana</v>
      </c>
      <c r="C787" s="1">
        <f>WorldCupMatches!Q787</f>
        <v>1</v>
      </c>
      <c r="D787" s="1">
        <f>WorldCupMatches!R787</f>
        <v>2</v>
      </c>
      <c r="E787" s="1" t="str">
        <f>WorldCupMatches!S787</f>
        <v>USA</v>
      </c>
      <c r="F787" s="1" t="str">
        <f>WorldCupMatches!T787</f>
        <v xml:space="preserve"> </v>
      </c>
      <c r="G787" s="1" t="str">
        <f>WorldCupMatches!U787</f>
        <v>Group stages</v>
      </c>
      <c r="J787" s="1">
        <f>COUNTIF($L$2:L787,L787)</f>
        <v>4</v>
      </c>
      <c r="K787" s="1">
        <f>Table3[[#This Row],[Year]]</f>
        <v>2014</v>
      </c>
      <c r="L787" s="1" t="str">
        <f>Table3[[#This Row],[Hometeam]]</f>
        <v>Ghana</v>
      </c>
      <c r="M787" s="1" t="str">
        <f>IF(J787=1,J787+ROWS($J$2:J787)/10000,"")</f>
        <v/>
      </c>
      <c r="N787" s="1" t="str">
        <f>IFERROR(SMALL($M$2:$M$1705,ROWS($M$2:M787)),"")</f>
        <v/>
      </c>
      <c r="O787" s="1" t="str">
        <f>IF(N787&lt;&gt;"",INDEX($L$2:$L$1705,MATCH(N787,$M$2:$M$1705,0)),"")</f>
        <v/>
      </c>
      <c r="P787" s="1" t="str">
        <f>IF(O787&lt;&gt;"",ROWS($O$2:O787),"")</f>
        <v/>
      </c>
    </row>
    <row r="788" spans="1:16" x14ac:dyDescent="0.2">
      <c r="A788" s="1">
        <f>WorldCupMatches!O788</f>
        <v>2014</v>
      </c>
      <c r="B788" s="1" t="str">
        <f>WorldCupMatches!P788</f>
        <v>Belgium</v>
      </c>
      <c r="C788" s="1">
        <f>WorldCupMatches!Q788</f>
        <v>2</v>
      </c>
      <c r="D788" s="1">
        <f>WorldCupMatches!R788</f>
        <v>1</v>
      </c>
      <c r="E788" s="1" t="str">
        <f>WorldCupMatches!S788</f>
        <v>Algeria</v>
      </c>
      <c r="F788" s="1" t="str">
        <f>WorldCupMatches!T788</f>
        <v xml:space="preserve"> </v>
      </c>
      <c r="G788" s="1" t="str">
        <f>WorldCupMatches!U788</f>
        <v>Group stages</v>
      </c>
      <c r="J788" s="1">
        <f>COUNTIF($L$2:L788,L788)</f>
        <v>15</v>
      </c>
      <c r="K788" s="1">
        <f>Table3[[#This Row],[Year]]</f>
        <v>2014</v>
      </c>
      <c r="L788" s="1" t="str">
        <f>Table3[[#This Row],[Hometeam]]</f>
        <v>Belgium</v>
      </c>
      <c r="M788" s="1" t="str">
        <f>IF(J788=1,J788+ROWS($J$2:J788)/10000,"")</f>
        <v/>
      </c>
      <c r="N788" s="1" t="str">
        <f>IFERROR(SMALL($M$2:$M$1705,ROWS($M$2:M788)),"")</f>
        <v/>
      </c>
      <c r="O788" s="1" t="str">
        <f>IF(N788&lt;&gt;"",INDEX($L$2:$L$1705,MATCH(N788,$M$2:$M$1705,0)),"")</f>
        <v/>
      </c>
      <c r="P788" s="1" t="str">
        <f>IF(O788&lt;&gt;"",ROWS($O$2:O788),"")</f>
        <v/>
      </c>
    </row>
    <row r="789" spans="1:16" x14ac:dyDescent="0.2">
      <c r="A789" s="1">
        <f>WorldCupMatches!O789</f>
        <v>2014</v>
      </c>
      <c r="B789" s="1" t="str">
        <f>WorldCupMatches!P789</f>
        <v>Brazil</v>
      </c>
      <c r="C789" s="1">
        <f>WorldCupMatches!Q789</f>
        <v>0</v>
      </c>
      <c r="D789" s="1">
        <f>WorldCupMatches!R789</f>
        <v>0</v>
      </c>
      <c r="E789" s="1" t="str">
        <f>WorldCupMatches!S789</f>
        <v>Mexico</v>
      </c>
      <c r="F789" s="1" t="str">
        <f>WorldCupMatches!T789</f>
        <v xml:space="preserve"> </v>
      </c>
      <c r="G789" s="1" t="str">
        <f>WorldCupMatches!U789</f>
        <v>Group stages</v>
      </c>
      <c r="J789" s="1">
        <f>COUNTIF($L$2:L789,L789)</f>
        <v>74</v>
      </c>
      <c r="K789" s="1">
        <f>Table3[[#This Row],[Year]]</f>
        <v>2014</v>
      </c>
      <c r="L789" s="1" t="str">
        <f>Table3[[#This Row],[Hometeam]]</f>
        <v>Brazil</v>
      </c>
      <c r="M789" s="1" t="str">
        <f>IF(J789=1,J789+ROWS($J$2:J789)/10000,"")</f>
        <v/>
      </c>
      <c r="N789" s="1" t="str">
        <f>IFERROR(SMALL($M$2:$M$1705,ROWS($M$2:M789)),"")</f>
        <v/>
      </c>
      <c r="O789" s="1" t="str">
        <f>IF(N789&lt;&gt;"",INDEX($L$2:$L$1705,MATCH(N789,$M$2:$M$1705,0)),"")</f>
        <v/>
      </c>
      <c r="P789" s="1" t="str">
        <f>IF(O789&lt;&gt;"",ROWS($O$2:O789),"")</f>
        <v/>
      </c>
    </row>
    <row r="790" spans="1:16" x14ac:dyDescent="0.2">
      <c r="A790" s="1">
        <f>WorldCupMatches!O790</f>
        <v>2014</v>
      </c>
      <c r="B790" s="1" t="str">
        <f>WorldCupMatches!P790</f>
        <v>Russia</v>
      </c>
      <c r="C790" s="1">
        <f>WorldCupMatches!Q790</f>
        <v>1</v>
      </c>
      <c r="D790" s="1">
        <f>WorldCupMatches!R790</f>
        <v>1</v>
      </c>
      <c r="E790" s="1" t="str">
        <f>WorldCupMatches!S790</f>
        <v>Korea Republic</v>
      </c>
      <c r="F790" s="1" t="str">
        <f>WorldCupMatches!T790</f>
        <v xml:space="preserve"> </v>
      </c>
      <c r="G790" s="1" t="str">
        <f>WorldCupMatches!U790</f>
        <v>Group stages</v>
      </c>
      <c r="J790" s="1">
        <f>COUNTIF($L$2:L790,L790)</f>
        <v>3</v>
      </c>
      <c r="K790" s="1">
        <f>Table3[[#This Row],[Year]]</f>
        <v>2014</v>
      </c>
      <c r="L790" s="1" t="str">
        <f>Table3[[#This Row],[Hometeam]]</f>
        <v>Russia</v>
      </c>
      <c r="M790" s="1" t="str">
        <f>IF(J790=1,J790+ROWS($J$2:J790)/10000,"")</f>
        <v/>
      </c>
      <c r="N790" s="1" t="str">
        <f>IFERROR(SMALL($M$2:$M$1705,ROWS($M$2:M790)),"")</f>
        <v/>
      </c>
      <c r="O790" s="1" t="str">
        <f>IF(N790&lt;&gt;"",INDEX($L$2:$L$1705,MATCH(N790,$M$2:$M$1705,0)),"")</f>
        <v/>
      </c>
      <c r="P790" s="1" t="str">
        <f>IF(O790&lt;&gt;"",ROWS($O$2:O790),"")</f>
        <v/>
      </c>
    </row>
    <row r="791" spans="1:16" x14ac:dyDescent="0.2">
      <c r="A791" s="1">
        <f>WorldCupMatches!O791</f>
        <v>2014</v>
      </c>
      <c r="B791" s="1" t="str">
        <f>WorldCupMatches!P791</f>
        <v>Australia</v>
      </c>
      <c r="C791" s="1">
        <f>WorldCupMatches!Q791</f>
        <v>2</v>
      </c>
      <c r="D791" s="1">
        <f>WorldCupMatches!R791</f>
        <v>3</v>
      </c>
      <c r="E791" s="1" t="str">
        <f>WorldCupMatches!S791</f>
        <v>Netherlands</v>
      </c>
      <c r="F791" s="1" t="str">
        <f>WorldCupMatches!T791</f>
        <v xml:space="preserve"> </v>
      </c>
      <c r="G791" s="1" t="str">
        <f>WorldCupMatches!U791</f>
        <v>Group stages</v>
      </c>
      <c r="J791" s="1">
        <f>COUNTIF($L$2:L791,L791)</f>
        <v>5</v>
      </c>
      <c r="K791" s="1">
        <f>Table3[[#This Row],[Year]]</f>
        <v>2014</v>
      </c>
      <c r="L791" s="1" t="str">
        <f>Table3[[#This Row],[Hometeam]]</f>
        <v>Australia</v>
      </c>
      <c r="M791" s="1" t="str">
        <f>IF(J791=1,J791+ROWS($J$2:J791)/10000,"")</f>
        <v/>
      </c>
      <c r="N791" s="1" t="str">
        <f>IFERROR(SMALL($M$2:$M$1705,ROWS($M$2:M791)),"")</f>
        <v/>
      </c>
      <c r="O791" s="1" t="str">
        <f>IF(N791&lt;&gt;"",INDEX($L$2:$L$1705,MATCH(N791,$M$2:$M$1705,0)),"")</f>
        <v/>
      </c>
      <c r="P791" s="1" t="str">
        <f>IF(O791&lt;&gt;"",ROWS($O$2:O791),"")</f>
        <v/>
      </c>
    </row>
    <row r="792" spans="1:16" x14ac:dyDescent="0.2">
      <c r="A792" s="1">
        <f>WorldCupMatches!O792</f>
        <v>2014</v>
      </c>
      <c r="B792" s="1" t="str">
        <f>WorldCupMatches!P792</f>
        <v>Spain</v>
      </c>
      <c r="C792" s="1">
        <f>WorldCupMatches!Q792</f>
        <v>0</v>
      </c>
      <c r="D792" s="1">
        <f>WorldCupMatches!R792</f>
        <v>2</v>
      </c>
      <c r="E792" s="1" t="str">
        <f>WorldCupMatches!S792</f>
        <v>Chile</v>
      </c>
      <c r="F792" s="1" t="str">
        <f>WorldCupMatches!T792</f>
        <v xml:space="preserve"> </v>
      </c>
      <c r="G792" s="1" t="str">
        <f>WorldCupMatches!U792</f>
        <v>Group stages</v>
      </c>
      <c r="J792" s="1">
        <f>COUNTIF($L$2:L792,L792)</f>
        <v>30</v>
      </c>
      <c r="K792" s="1">
        <f>Table3[[#This Row],[Year]]</f>
        <v>2014</v>
      </c>
      <c r="L792" s="1" t="str">
        <f>Table3[[#This Row],[Hometeam]]</f>
        <v>Spain</v>
      </c>
      <c r="M792" s="1" t="str">
        <f>IF(J792=1,J792+ROWS($J$2:J792)/10000,"")</f>
        <v/>
      </c>
      <c r="N792" s="1" t="str">
        <f>IFERROR(SMALL($M$2:$M$1705,ROWS($M$2:M792)),"")</f>
        <v/>
      </c>
      <c r="O792" s="1" t="str">
        <f>IF(N792&lt;&gt;"",INDEX($L$2:$L$1705,MATCH(N792,$M$2:$M$1705,0)),"")</f>
        <v/>
      </c>
      <c r="P792" s="1" t="str">
        <f>IF(O792&lt;&gt;"",ROWS($O$2:O792),"")</f>
        <v/>
      </c>
    </row>
    <row r="793" spans="1:16" x14ac:dyDescent="0.2">
      <c r="A793" s="1">
        <f>WorldCupMatches!O793</f>
        <v>2014</v>
      </c>
      <c r="B793" s="1" t="str">
        <f>WorldCupMatches!P793</f>
        <v>Cameroon</v>
      </c>
      <c r="C793" s="1">
        <f>WorldCupMatches!Q793</f>
        <v>0</v>
      </c>
      <c r="D793" s="1">
        <f>WorldCupMatches!R793</f>
        <v>4</v>
      </c>
      <c r="E793" s="1" t="str">
        <f>WorldCupMatches!S793</f>
        <v>Croatia</v>
      </c>
      <c r="F793" s="1" t="str">
        <f>WorldCupMatches!T793</f>
        <v xml:space="preserve"> </v>
      </c>
      <c r="G793" s="1" t="str">
        <f>WorldCupMatches!U793</f>
        <v>Group stages</v>
      </c>
      <c r="J793" s="1">
        <f>COUNTIF($L$2:L793,L793)</f>
        <v>10</v>
      </c>
      <c r="K793" s="1">
        <f>Table3[[#This Row],[Year]]</f>
        <v>2014</v>
      </c>
      <c r="L793" s="1" t="str">
        <f>Table3[[#This Row],[Hometeam]]</f>
        <v>Cameroon</v>
      </c>
      <c r="M793" s="1" t="str">
        <f>IF(J793=1,J793+ROWS($J$2:J793)/10000,"")</f>
        <v/>
      </c>
      <c r="N793" s="1" t="str">
        <f>IFERROR(SMALL($M$2:$M$1705,ROWS($M$2:M793)),"")</f>
        <v/>
      </c>
      <c r="O793" s="1" t="str">
        <f>IF(N793&lt;&gt;"",INDEX($L$2:$L$1705,MATCH(N793,$M$2:$M$1705,0)),"")</f>
        <v/>
      </c>
      <c r="P793" s="1" t="str">
        <f>IF(O793&lt;&gt;"",ROWS($O$2:O793),"")</f>
        <v/>
      </c>
    </row>
    <row r="794" spans="1:16" x14ac:dyDescent="0.2">
      <c r="A794" s="1">
        <f>WorldCupMatches!O794</f>
        <v>2014</v>
      </c>
      <c r="B794" s="1" t="str">
        <f>WorldCupMatches!P794</f>
        <v>Colombia</v>
      </c>
      <c r="C794" s="1">
        <f>WorldCupMatches!Q794</f>
        <v>2</v>
      </c>
      <c r="D794" s="1">
        <f>WorldCupMatches!R794</f>
        <v>1</v>
      </c>
      <c r="E794" s="1" t="str">
        <f>WorldCupMatches!S794</f>
        <v>Cï¿½te d'Ivoire</v>
      </c>
      <c r="F794" s="1" t="str">
        <f>WorldCupMatches!T794</f>
        <v xml:space="preserve"> </v>
      </c>
      <c r="G794" s="1" t="str">
        <f>WorldCupMatches!U794</f>
        <v>Group stages</v>
      </c>
      <c r="J794" s="1">
        <f>COUNTIF($L$2:L794,L794)</f>
        <v>5</v>
      </c>
      <c r="K794" s="1">
        <f>Table3[[#This Row],[Year]]</f>
        <v>2014</v>
      </c>
      <c r="L794" s="1" t="str">
        <f>Table3[[#This Row],[Hometeam]]</f>
        <v>Colombia</v>
      </c>
      <c r="M794" s="1" t="str">
        <f>IF(J794=1,J794+ROWS($J$2:J794)/10000,"")</f>
        <v/>
      </c>
      <c r="N794" s="1" t="str">
        <f>IFERROR(SMALL($M$2:$M$1705,ROWS($M$2:M794)),"")</f>
        <v/>
      </c>
      <c r="O794" s="1" t="str">
        <f>IF(N794&lt;&gt;"",INDEX($L$2:$L$1705,MATCH(N794,$M$2:$M$1705,0)),"")</f>
        <v/>
      </c>
      <c r="P794" s="1" t="str">
        <f>IF(O794&lt;&gt;"",ROWS($O$2:O794),"")</f>
        <v/>
      </c>
    </row>
    <row r="795" spans="1:16" x14ac:dyDescent="0.2">
      <c r="A795" s="1">
        <f>WorldCupMatches!O795</f>
        <v>2014</v>
      </c>
      <c r="B795" s="1" t="str">
        <f>WorldCupMatches!P795</f>
        <v>Uruguay</v>
      </c>
      <c r="C795" s="1">
        <f>WorldCupMatches!Q795</f>
        <v>2</v>
      </c>
      <c r="D795" s="1">
        <f>WorldCupMatches!R795</f>
        <v>1</v>
      </c>
      <c r="E795" s="1" t="str">
        <f>WorldCupMatches!S795</f>
        <v>England</v>
      </c>
      <c r="F795" s="1" t="str">
        <f>WorldCupMatches!T795</f>
        <v xml:space="preserve"> </v>
      </c>
      <c r="G795" s="1" t="str">
        <f>WorldCupMatches!U795</f>
        <v>Group stages</v>
      </c>
      <c r="J795" s="1">
        <f>COUNTIF($L$2:L795,L795)</f>
        <v>28</v>
      </c>
      <c r="K795" s="1">
        <f>Table3[[#This Row],[Year]]</f>
        <v>2014</v>
      </c>
      <c r="L795" s="1" t="str">
        <f>Table3[[#This Row],[Hometeam]]</f>
        <v>Uruguay</v>
      </c>
      <c r="M795" s="1" t="str">
        <f>IF(J795=1,J795+ROWS($J$2:J795)/10000,"")</f>
        <v/>
      </c>
      <c r="N795" s="1" t="str">
        <f>IFERROR(SMALL($M$2:$M$1705,ROWS($M$2:M795)),"")</f>
        <v/>
      </c>
      <c r="O795" s="1" t="str">
        <f>IF(N795&lt;&gt;"",INDEX($L$2:$L$1705,MATCH(N795,$M$2:$M$1705,0)),"")</f>
        <v/>
      </c>
      <c r="P795" s="1" t="str">
        <f>IF(O795&lt;&gt;"",ROWS($O$2:O795),"")</f>
        <v/>
      </c>
    </row>
    <row r="796" spans="1:16" x14ac:dyDescent="0.2">
      <c r="A796" s="1">
        <f>WorldCupMatches!O796</f>
        <v>2014</v>
      </c>
      <c r="B796" s="1" t="str">
        <f>WorldCupMatches!P796</f>
        <v>Japan</v>
      </c>
      <c r="C796" s="1">
        <f>WorldCupMatches!Q796</f>
        <v>0</v>
      </c>
      <c r="D796" s="1">
        <f>WorldCupMatches!R796</f>
        <v>0</v>
      </c>
      <c r="E796" s="1" t="str">
        <f>WorldCupMatches!S796</f>
        <v>Greece</v>
      </c>
      <c r="F796" s="1" t="str">
        <f>WorldCupMatches!T796</f>
        <v xml:space="preserve"> </v>
      </c>
      <c r="G796" s="1" t="str">
        <f>WorldCupMatches!U796</f>
        <v>Group stages</v>
      </c>
      <c r="J796" s="1">
        <f>COUNTIF($L$2:L796,L796)</f>
        <v>9</v>
      </c>
      <c r="K796" s="1">
        <f>Table3[[#This Row],[Year]]</f>
        <v>2014</v>
      </c>
      <c r="L796" s="1" t="str">
        <f>Table3[[#This Row],[Hometeam]]</f>
        <v>Japan</v>
      </c>
      <c r="M796" s="1" t="str">
        <f>IF(J796=1,J796+ROWS($J$2:J796)/10000,"")</f>
        <v/>
      </c>
      <c r="N796" s="1" t="str">
        <f>IFERROR(SMALL($M$2:$M$1705,ROWS($M$2:M796)),"")</f>
        <v/>
      </c>
      <c r="O796" s="1" t="str">
        <f>IF(N796&lt;&gt;"",INDEX($L$2:$L$1705,MATCH(N796,$M$2:$M$1705,0)),"")</f>
        <v/>
      </c>
      <c r="P796" s="1" t="str">
        <f>IF(O796&lt;&gt;"",ROWS($O$2:O796),"")</f>
        <v/>
      </c>
    </row>
    <row r="797" spans="1:16" x14ac:dyDescent="0.2">
      <c r="A797" s="1">
        <f>WorldCupMatches!O797</f>
        <v>2014</v>
      </c>
      <c r="B797" s="1" t="str">
        <f>WorldCupMatches!P797</f>
        <v>Italy</v>
      </c>
      <c r="C797" s="1">
        <f>WorldCupMatches!Q797</f>
        <v>0</v>
      </c>
      <c r="D797" s="1">
        <f>WorldCupMatches!R797</f>
        <v>1</v>
      </c>
      <c r="E797" s="1" t="str">
        <f>WorldCupMatches!S797</f>
        <v>Costa Rica</v>
      </c>
      <c r="F797" s="1" t="str">
        <f>WorldCupMatches!T797</f>
        <v xml:space="preserve"> </v>
      </c>
      <c r="G797" s="1" t="str">
        <f>WorldCupMatches!U797</f>
        <v>Group stages</v>
      </c>
      <c r="J797" s="1">
        <f>COUNTIF($L$2:L797,L797)</f>
        <v>56</v>
      </c>
      <c r="K797" s="1">
        <f>Table3[[#This Row],[Year]]</f>
        <v>2014</v>
      </c>
      <c r="L797" s="1" t="str">
        <f>Table3[[#This Row],[Hometeam]]</f>
        <v>Italy</v>
      </c>
      <c r="M797" s="1" t="str">
        <f>IF(J797=1,J797+ROWS($J$2:J797)/10000,"")</f>
        <v/>
      </c>
      <c r="N797" s="1" t="str">
        <f>IFERROR(SMALL($M$2:$M$1705,ROWS($M$2:M797)),"")</f>
        <v/>
      </c>
      <c r="O797" s="1" t="str">
        <f>IF(N797&lt;&gt;"",INDEX($L$2:$L$1705,MATCH(N797,$M$2:$M$1705,0)),"")</f>
        <v/>
      </c>
      <c r="P797" s="1" t="str">
        <f>IF(O797&lt;&gt;"",ROWS($O$2:O797),"")</f>
        <v/>
      </c>
    </row>
    <row r="798" spans="1:16" x14ac:dyDescent="0.2">
      <c r="A798" s="1">
        <f>WorldCupMatches!O798</f>
        <v>2014</v>
      </c>
      <c r="B798" s="1" t="str">
        <f>WorldCupMatches!P798</f>
        <v>Switzerland</v>
      </c>
      <c r="C798" s="1">
        <f>WorldCupMatches!Q798</f>
        <v>2</v>
      </c>
      <c r="D798" s="1">
        <f>WorldCupMatches!R798</f>
        <v>5</v>
      </c>
      <c r="E798" s="1" t="str">
        <f>WorldCupMatches!S798</f>
        <v>France</v>
      </c>
      <c r="F798" s="1" t="str">
        <f>WorldCupMatches!T798</f>
        <v xml:space="preserve"> </v>
      </c>
      <c r="G798" s="1" t="str">
        <f>WorldCupMatches!U798</f>
        <v>Group stages</v>
      </c>
      <c r="J798" s="1">
        <f>COUNTIF($L$2:L798,L798)</f>
        <v>12</v>
      </c>
      <c r="K798" s="1">
        <f>Table3[[#This Row],[Year]]</f>
        <v>2014</v>
      </c>
      <c r="L798" s="1" t="str">
        <f>Table3[[#This Row],[Hometeam]]</f>
        <v>Switzerland</v>
      </c>
      <c r="M798" s="1" t="str">
        <f>IF(J798=1,J798+ROWS($J$2:J798)/10000,"")</f>
        <v/>
      </c>
      <c r="N798" s="1" t="str">
        <f>IFERROR(SMALL($M$2:$M$1705,ROWS($M$2:M798)),"")</f>
        <v/>
      </c>
      <c r="O798" s="1" t="str">
        <f>IF(N798&lt;&gt;"",INDEX($L$2:$L$1705,MATCH(N798,$M$2:$M$1705,0)),"")</f>
        <v/>
      </c>
      <c r="P798" s="1" t="str">
        <f>IF(O798&lt;&gt;"",ROWS($O$2:O798),"")</f>
        <v/>
      </c>
    </row>
    <row r="799" spans="1:16" x14ac:dyDescent="0.2">
      <c r="A799" s="1">
        <f>WorldCupMatches!O799</f>
        <v>2014</v>
      </c>
      <c r="B799" s="1" t="str">
        <f>WorldCupMatches!P799</f>
        <v>Honduras</v>
      </c>
      <c r="C799" s="1">
        <f>WorldCupMatches!Q799</f>
        <v>1</v>
      </c>
      <c r="D799" s="1">
        <f>WorldCupMatches!R799</f>
        <v>2</v>
      </c>
      <c r="E799" s="1" t="str">
        <f>WorldCupMatches!S799</f>
        <v>Ecuador</v>
      </c>
      <c r="F799" s="1" t="str">
        <f>WorldCupMatches!T799</f>
        <v xml:space="preserve"> </v>
      </c>
      <c r="G799" s="1" t="str">
        <f>WorldCupMatches!U799</f>
        <v>Group stages</v>
      </c>
      <c r="J799" s="1">
        <f>COUNTIF($L$2:L799,L799)</f>
        <v>4</v>
      </c>
      <c r="K799" s="1">
        <f>Table3[[#This Row],[Year]]</f>
        <v>2014</v>
      </c>
      <c r="L799" s="1" t="str">
        <f>Table3[[#This Row],[Hometeam]]</f>
        <v>Honduras</v>
      </c>
      <c r="M799" s="1" t="str">
        <f>IF(J799=1,J799+ROWS($J$2:J799)/10000,"")</f>
        <v/>
      </c>
      <c r="N799" s="1" t="str">
        <f>IFERROR(SMALL($M$2:$M$1705,ROWS($M$2:M799)),"")</f>
        <v/>
      </c>
      <c r="O799" s="1" t="str">
        <f>IF(N799&lt;&gt;"",INDEX($L$2:$L$1705,MATCH(N799,$M$2:$M$1705,0)),"")</f>
        <v/>
      </c>
      <c r="P799" s="1" t="str">
        <f>IF(O799&lt;&gt;"",ROWS($O$2:O799),"")</f>
        <v/>
      </c>
    </row>
    <row r="800" spans="1:16" x14ac:dyDescent="0.2">
      <c r="A800" s="1">
        <f>WorldCupMatches!O800</f>
        <v>2014</v>
      </c>
      <c r="B800" s="1" t="str">
        <f>WorldCupMatches!P800</f>
        <v>Argentina</v>
      </c>
      <c r="C800" s="1">
        <f>WorldCupMatches!Q800</f>
        <v>1</v>
      </c>
      <c r="D800" s="1">
        <f>WorldCupMatches!R800</f>
        <v>0</v>
      </c>
      <c r="E800" s="1" t="str">
        <f>WorldCupMatches!S800</f>
        <v>IR Iran</v>
      </c>
      <c r="F800" s="1" t="str">
        <f>WorldCupMatches!T800</f>
        <v xml:space="preserve"> </v>
      </c>
      <c r="G800" s="1" t="str">
        <f>WorldCupMatches!U800</f>
        <v>Group stages</v>
      </c>
      <c r="J800" s="1">
        <f>COUNTIF($L$2:L800,L800)</f>
        <v>50</v>
      </c>
      <c r="K800" s="1">
        <f>Table3[[#This Row],[Year]]</f>
        <v>2014</v>
      </c>
      <c r="L800" s="1" t="str">
        <f>Table3[[#This Row],[Hometeam]]</f>
        <v>Argentina</v>
      </c>
      <c r="M800" s="1" t="str">
        <f>IF(J800=1,J800+ROWS($J$2:J800)/10000,"")</f>
        <v/>
      </c>
      <c r="N800" s="1" t="str">
        <f>IFERROR(SMALL($M$2:$M$1705,ROWS($M$2:M800)),"")</f>
        <v/>
      </c>
      <c r="O800" s="1" t="str">
        <f>IF(N800&lt;&gt;"",INDEX($L$2:$L$1705,MATCH(N800,$M$2:$M$1705,0)),"")</f>
        <v/>
      </c>
      <c r="P800" s="1" t="str">
        <f>IF(O800&lt;&gt;"",ROWS($O$2:O800),"")</f>
        <v/>
      </c>
    </row>
    <row r="801" spans="1:16" x14ac:dyDescent="0.2">
      <c r="A801" s="1">
        <f>WorldCupMatches!O801</f>
        <v>2014</v>
      </c>
      <c r="B801" s="1" t="str">
        <f>WorldCupMatches!P801</f>
        <v>Germany</v>
      </c>
      <c r="C801" s="1">
        <f>WorldCupMatches!Q801</f>
        <v>2</v>
      </c>
      <c r="D801" s="1">
        <f>WorldCupMatches!R801</f>
        <v>2</v>
      </c>
      <c r="E801" s="1" t="str">
        <f>WorldCupMatches!S801</f>
        <v>Ghana</v>
      </c>
      <c r="F801" s="1" t="str">
        <f>WorldCupMatches!T801</f>
        <v xml:space="preserve"> </v>
      </c>
      <c r="G801" s="1" t="str">
        <f>WorldCupMatches!U801</f>
        <v>Group stages</v>
      </c>
      <c r="J801" s="1">
        <f>COUNTIF($L$2:L801,L801)</f>
        <v>30</v>
      </c>
      <c r="K801" s="1">
        <f>Table3[[#This Row],[Year]]</f>
        <v>2014</v>
      </c>
      <c r="L801" s="1" t="str">
        <f>Table3[[#This Row],[Hometeam]]</f>
        <v>Germany</v>
      </c>
      <c r="M801" s="1" t="str">
        <f>IF(J801=1,J801+ROWS($J$2:J801)/10000,"")</f>
        <v/>
      </c>
      <c r="N801" s="1" t="str">
        <f>IFERROR(SMALL($M$2:$M$1705,ROWS($M$2:M801)),"")</f>
        <v/>
      </c>
      <c r="O801" s="1" t="str">
        <f>IF(N801&lt;&gt;"",INDEX($L$2:$L$1705,MATCH(N801,$M$2:$M$1705,0)),"")</f>
        <v/>
      </c>
      <c r="P801" s="1" t="str">
        <f>IF(O801&lt;&gt;"",ROWS($O$2:O801),"")</f>
        <v/>
      </c>
    </row>
    <row r="802" spans="1:16" x14ac:dyDescent="0.2">
      <c r="A802" s="1">
        <f>WorldCupMatches!O802</f>
        <v>2014</v>
      </c>
      <c r="B802" s="1" t="str">
        <f>WorldCupMatches!P802</f>
        <v>Nigeria</v>
      </c>
      <c r="C802" s="1">
        <f>WorldCupMatches!Q802</f>
        <v>1</v>
      </c>
      <c r="D802" s="1">
        <f>WorldCupMatches!R802</f>
        <v>0</v>
      </c>
      <c r="E802" s="1" t="str">
        <f>WorldCupMatches!S802</f>
        <v>Bosnia and Herzegovina</v>
      </c>
      <c r="F802" s="1" t="str">
        <f>WorldCupMatches!T802</f>
        <v xml:space="preserve"> </v>
      </c>
      <c r="G802" s="1" t="str">
        <f>WorldCupMatches!U802</f>
        <v>Group stages</v>
      </c>
      <c r="J802" s="1">
        <f>COUNTIF($L$2:L802,L802)</f>
        <v>8</v>
      </c>
      <c r="K802" s="1">
        <f>Table3[[#This Row],[Year]]</f>
        <v>2014</v>
      </c>
      <c r="L802" s="1" t="str">
        <f>Table3[[#This Row],[Hometeam]]</f>
        <v>Nigeria</v>
      </c>
      <c r="M802" s="1" t="str">
        <f>IF(J802=1,J802+ROWS($J$2:J802)/10000,"")</f>
        <v/>
      </c>
      <c r="N802" s="1" t="str">
        <f>IFERROR(SMALL($M$2:$M$1705,ROWS($M$2:M802)),"")</f>
        <v/>
      </c>
      <c r="O802" s="1" t="str">
        <f>IF(N802&lt;&gt;"",INDEX($L$2:$L$1705,MATCH(N802,$M$2:$M$1705,0)),"")</f>
        <v/>
      </c>
      <c r="P802" s="1" t="str">
        <f>IF(O802&lt;&gt;"",ROWS($O$2:O802),"")</f>
        <v/>
      </c>
    </row>
    <row r="803" spans="1:16" x14ac:dyDescent="0.2">
      <c r="A803" s="1">
        <f>WorldCupMatches!O803</f>
        <v>2014</v>
      </c>
      <c r="B803" s="1" t="str">
        <f>WorldCupMatches!P803</f>
        <v>Belgium</v>
      </c>
      <c r="C803" s="1">
        <f>WorldCupMatches!Q803</f>
        <v>1</v>
      </c>
      <c r="D803" s="1">
        <f>WorldCupMatches!R803</f>
        <v>0</v>
      </c>
      <c r="E803" s="1" t="str">
        <f>WorldCupMatches!S803</f>
        <v>Russia</v>
      </c>
      <c r="F803" s="1" t="str">
        <f>WorldCupMatches!T803</f>
        <v xml:space="preserve"> </v>
      </c>
      <c r="G803" s="1" t="str">
        <f>WorldCupMatches!U803</f>
        <v>Group stages</v>
      </c>
      <c r="J803" s="1">
        <f>COUNTIF($L$2:L803,L803)</f>
        <v>16</v>
      </c>
      <c r="K803" s="1">
        <f>Table3[[#This Row],[Year]]</f>
        <v>2014</v>
      </c>
      <c r="L803" s="1" t="str">
        <f>Table3[[#This Row],[Hometeam]]</f>
        <v>Belgium</v>
      </c>
      <c r="M803" s="1" t="str">
        <f>IF(J803=1,J803+ROWS($J$2:J803)/10000,"")</f>
        <v/>
      </c>
      <c r="N803" s="1" t="str">
        <f>IFERROR(SMALL($M$2:$M$1705,ROWS($M$2:M803)),"")</f>
        <v/>
      </c>
      <c r="O803" s="1" t="str">
        <f>IF(N803&lt;&gt;"",INDEX($L$2:$L$1705,MATCH(N803,$M$2:$M$1705,0)),"")</f>
        <v/>
      </c>
      <c r="P803" s="1" t="str">
        <f>IF(O803&lt;&gt;"",ROWS($O$2:O803),"")</f>
        <v/>
      </c>
    </row>
    <row r="804" spans="1:16" x14ac:dyDescent="0.2">
      <c r="A804" s="1">
        <f>WorldCupMatches!O804</f>
        <v>2014</v>
      </c>
      <c r="B804" s="1" t="str">
        <f>WorldCupMatches!P804</f>
        <v>Korea Republic</v>
      </c>
      <c r="C804" s="1">
        <f>WorldCupMatches!Q804</f>
        <v>2</v>
      </c>
      <c r="D804" s="1">
        <f>WorldCupMatches!R804</f>
        <v>4</v>
      </c>
      <c r="E804" s="1" t="str">
        <f>WorldCupMatches!S804</f>
        <v>Algeria</v>
      </c>
      <c r="F804" s="1" t="str">
        <f>WorldCupMatches!T804</f>
        <v xml:space="preserve"> </v>
      </c>
      <c r="G804" s="1" t="str">
        <f>WorldCupMatches!U804</f>
        <v>Group stages</v>
      </c>
      <c r="J804" s="1">
        <f>COUNTIF($L$2:L804,L804)</f>
        <v>13</v>
      </c>
      <c r="K804" s="1">
        <f>Table3[[#This Row],[Year]]</f>
        <v>2014</v>
      </c>
      <c r="L804" s="1" t="str">
        <f>Table3[[#This Row],[Hometeam]]</f>
        <v>Korea Republic</v>
      </c>
      <c r="M804" s="1" t="str">
        <f>IF(J804=1,J804+ROWS($J$2:J804)/10000,"")</f>
        <v/>
      </c>
      <c r="N804" s="1" t="str">
        <f>IFERROR(SMALL($M$2:$M$1705,ROWS($M$2:M804)),"")</f>
        <v/>
      </c>
      <c r="O804" s="1" t="str">
        <f>IF(N804&lt;&gt;"",INDEX($L$2:$L$1705,MATCH(N804,$M$2:$M$1705,0)),"")</f>
        <v/>
      </c>
      <c r="P804" s="1" t="str">
        <f>IF(O804&lt;&gt;"",ROWS($O$2:O804),"")</f>
        <v/>
      </c>
    </row>
    <row r="805" spans="1:16" x14ac:dyDescent="0.2">
      <c r="A805" s="1">
        <f>WorldCupMatches!O805</f>
        <v>2014</v>
      </c>
      <c r="B805" s="1" t="str">
        <f>WorldCupMatches!P805</f>
        <v>USA</v>
      </c>
      <c r="C805" s="1">
        <f>WorldCupMatches!Q805</f>
        <v>2</v>
      </c>
      <c r="D805" s="1">
        <f>WorldCupMatches!R805</f>
        <v>2</v>
      </c>
      <c r="E805" s="1" t="str">
        <f>WorldCupMatches!S805</f>
        <v>Portugal</v>
      </c>
      <c r="F805" s="1" t="str">
        <f>WorldCupMatches!T805</f>
        <v xml:space="preserve"> </v>
      </c>
      <c r="G805" s="1" t="str">
        <f>WorldCupMatches!U805</f>
        <v>Group stages</v>
      </c>
      <c r="J805" s="1">
        <f>COUNTIF($L$2:L805,L805)</f>
        <v>14</v>
      </c>
      <c r="K805" s="1">
        <f>Table3[[#This Row],[Year]]</f>
        <v>2014</v>
      </c>
      <c r="L805" s="1" t="str">
        <f>Table3[[#This Row],[Hometeam]]</f>
        <v>USA</v>
      </c>
      <c r="M805" s="1" t="str">
        <f>IF(J805=1,J805+ROWS($J$2:J805)/10000,"")</f>
        <v/>
      </c>
      <c r="N805" s="1" t="str">
        <f>IFERROR(SMALL($M$2:$M$1705,ROWS($M$2:M805)),"")</f>
        <v/>
      </c>
      <c r="O805" s="1" t="str">
        <f>IF(N805&lt;&gt;"",INDEX($L$2:$L$1705,MATCH(N805,$M$2:$M$1705,0)),"")</f>
        <v/>
      </c>
      <c r="P805" s="1" t="str">
        <f>IF(O805&lt;&gt;"",ROWS($O$2:O805),"")</f>
        <v/>
      </c>
    </row>
    <row r="806" spans="1:16" x14ac:dyDescent="0.2">
      <c r="A806" s="1">
        <f>WorldCupMatches!O806</f>
        <v>2014</v>
      </c>
      <c r="B806" s="1" t="str">
        <f>WorldCupMatches!P806</f>
        <v>Australia</v>
      </c>
      <c r="C806" s="1">
        <f>WorldCupMatches!Q806</f>
        <v>0</v>
      </c>
      <c r="D806" s="1">
        <f>WorldCupMatches!R806</f>
        <v>3</v>
      </c>
      <c r="E806" s="1" t="str">
        <f>WorldCupMatches!S806</f>
        <v>Spain</v>
      </c>
      <c r="F806" s="1" t="str">
        <f>WorldCupMatches!T806</f>
        <v xml:space="preserve"> </v>
      </c>
      <c r="G806" s="1" t="str">
        <f>WorldCupMatches!U806</f>
        <v>Group stages</v>
      </c>
      <c r="J806" s="1">
        <f>COUNTIF($L$2:L806,L806)</f>
        <v>6</v>
      </c>
      <c r="K806" s="1">
        <f>Table3[[#This Row],[Year]]</f>
        <v>2014</v>
      </c>
      <c r="L806" s="1" t="str">
        <f>Table3[[#This Row],[Hometeam]]</f>
        <v>Australia</v>
      </c>
      <c r="M806" s="1" t="str">
        <f>IF(J806=1,J806+ROWS($J$2:J806)/10000,"")</f>
        <v/>
      </c>
      <c r="N806" s="1" t="str">
        <f>IFERROR(SMALL($M$2:$M$1705,ROWS($M$2:M806)),"")</f>
        <v/>
      </c>
      <c r="O806" s="1" t="str">
        <f>IF(N806&lt;&gt;"",INDEX($L$2:$L$1705,MATCH(N806,$M$2:$M$1705,0)),"")</f>
        <v/>
      </c>
      <c r="P806" s="1" t="str">
        <f>IF(O806&lt;&gt;"",ROWS($O$2:O806),"")</f>
        <v/>
      </c>
    </row>
    <row r="807" spans="1:16" x14ac:dyDescent="0.2">
      <c r="A807" s="1">
        <f>WorldCupMatches!O807</f>
        <v>2014</v>
      </c>
      <c r="B807" s="1" t="str">
        <f>WorldCupMatches!P807</f>
        <v>Netherlands</v>
      </c>
      <c r="C807" s="1">
        <f>WorldCupMatches!Q807</f>
        <v>2</v>
      </c>
      <c r="D807" s="1">
        <f>WorldCupMatches!R807</f>
        <v>0</v>
      </c>
      <c r="E807" s="1" t="str">
        <f>WorldCupMatches!S807</f>
        <v>Chile</v>
      </c>
      <c r="F807" s="1" t="str">
        <f>WorldCupMatches!T807</f>
        <v xml:space="preserve"> </v>
      </c>
      <c r="G807" s="1" t="str">
        <f>WorldCupMatches!U807</f>
        <v>Group stages</v>
      </c>
      <c r="J807" s="1">
        <f>COUNTIF($L$2:L807,L807)</f>
        <v>26</v>
      </c>
      <c r="K807" s="1">
        <f>Table3[[#This Row],[Year]]</f>
        <v>2014</v>
      </c>
      <c r="L807" s="1" t="str">
        <f>Table3[[#This Row],[Hometeam]]</f>
        <v>Netherlands</v>
      </c>
      <c r="M807" s="1" t="str">
        <f>IF(J807=1,J807+ROWS($J$2:J807)/10000,"")</f>
        <v/>
      </c>
      <c r="N807" s="1" t="str">
        <f>IFERROR(SMALL($M$2:$M$1705,ROWS($M$2:M807)),"")</f>
        <v/>
      </c>
      <c r="O807" s="1" t="str">
        <f>IF(N807&lt;&gt;"",INDEX($L$2:$L$1705,MATCH(N807,$M$2:$M$1705,0)),"")</f>
        <v/>
      </c>
      <c r="P807" s="1" t="str">
        <f>IF(O807&lt;&gt;"",ROWS($O$2:O807),"")</f>
        <v/>
      </c>
    </row>
    <row r="808" spans="1:16" x14ac:dyDescent="0.2">
      <c r="A808" s="1">
        <f>WorldCupMatches!O808</f>
        <v>2014</v>
      </c>
      <c r="B808" s="1" t="str">
        <f>WorldCupMatches!P808</f>
        <v>Cameroon</v>
      </c>
      <c r="C808" s="1">
        <f>WorldCupMatches!Q808</f>
        <v>1</v>
      </c>
      <c r="D808" s="1">
        <f>WorldCupMatches!R808</f>
        <v>4</v>
      </c>
      <c r="E808" s="1" t="str">
        <f>WorldCupMatches!S808</f>
        <v>Brazil</v>
      </c>
      <c r="F808" s="1" t="str">
        <f>WorldCupMatches!T808</f>
        <v xml:space="preserve"> </v>
      </c>
      <c r="G808" s="1" t="str">
        <f>WorldCupMatches!U808</f>
        <v>Group stages</v>
      </c>
      <c r="J808" s="1">
        <f>COUNTIF($L$2:L808,L808)</f>
        <v>11</v>
      </c>
      <c r="K808" s="1">
        <f>Table3[[#This Row],[Year]]</f>
        <v>2014</v>
      </c>
      <c r="L808" s="1" t="str">
        <f>Table3[[#This Row],[Hometeam]]</f>
        <v>Cameroon</v>
      </c>
      <c r="M808" s="1" t="str">
        <f>IF(J808=1,J808+ROWS($J$2:J808)/10000,"")</f>
        <v/>
      </c>
      <c r="N808" s="1" t="str">
        <f>IFERROR(SMALL($M$2:$M$1705,ROWS($M$2:M808)),"")</f>
        <v/>
      </c>
      <c r="O808" s="1" t="str">
        <f>IF(N808&lt;&gt;"",INDEX($L$2:$L$1705,MATCH(N808,$M$2:$M$1705,0)),"")</f>
        <v/>
      </c>
      <c r="P808" s="1" t="str">
        <f>IF(O808&lt;&gt;"",ROWS($O$2:O808),"")</f>
        <v/>
      </c>
    </row>
    <row r="809" spans="1:16" x14ac:dyDescent="0.2">
      <c r="A809" s="1">
        <f>WorldCupMatches!O809</f>
        <v>2014</v>
      </c>
      <c r="B809" s="1" t="str">
        <f>WorldCupMatches!P809</f>
        <v>Croatia</v>
      </c>
      <c r="C809" s="1">
        <f>WorldCupMatches!Q809</f>
        <v>1</v>
      </c>
      <c r="D809" s="1">
        <f>WorldCupMatches!R809</f>
        <v>3</v>
      </c>
      <c r="E809" s="1" t="str">
        <f>WorldCupMatches!S809</f>
        <v>Mexico</v>
      </c>
      <c r="F809" s="1" t="str">
        <f>WorldCupMatches!T809</f>
        <v xml:space="preserve"> </v>
      </c>
      <c r="G809" s="1" t="str">
        <f>WorldCupMatches!U809</f>
        <v>Group stages</v>
      </c>
      <c r="J809" s="1">
        <f>COUNTIF($L$2:L809,L809)</f>
        <v>3</v>
      </c>
      <c r="K809" s="1">
        <f>Table3[[#This Row],[Year]]</f>
        <v>2014</v>
      </c>
      <c r="L809" s="1" t="str">
        <f>Table3[[#This Row],[Hometeam]]</f>
        <v>Croatia</v>
      </c>
      <c r="M809" s="1" t="str">
        <f>IF(J809=1,J809+ROWS($J$2:J809)/10000,"")</f>
        <v/>
      </c>
      <c r="N809" s="1" t="str">
        <f>IFERROR(SMALL($M$2:$M$1705,ROWS($M$2:M809)),"")</f>
        <v/>
      </c>
      <c r="O809" s="1" t="str">
        <f>IF(N809&lt;&gt;"",INDEX($L$2:$L$1705,MATCH(N809,$M$2:$M$1705,0)),"")</f>
        <v/>
      </c>
      <c r="P809" s="1" t="str">
        <f>IF(O809&lt;&gt;"",ROWS($O$2:O809),"")</f>
        <v/>
      </c>
    </row>
    <row r="810" spans="1:16" x14ac:dyDescent="0.2">
      <c r="A810" s="1">
        <f>WorldCupMatches!O810</f>
        <v>2014</v>
      </c>
      <c r="B810" s="1" t="str">
        <f>WorldCupMatches!P810</f>
        <v>Italy</v>
      </c>
      <c r="C810" s="1">
        <f>WorldCupMatches!Q810</f>
        <v>0</v>
      </c>
      <c r="D810" s="1">
        <f>WorldCupMatches!R810</f>
        <v>1</v>
      </c>
      <c r="E810" s="1" t="str">
        <f>WorldCupMatches!S810</f>
        <v>Uruguay</v>
      </c>
      <c r="F810" s="1" t="str">
        <f>WorldCupMatches!T810</f>
        <v xml:space="preserve"> </v>
      </c>
      <c r="G810" s="1" t="str">
        <f>WorldCupMatches!U810</f>
        <v>Group stages</v>
      </c>
      <c r="J810" s="1">
        <f>COUNTIF($L$2:L810,L810)</f>
        <v>57</v>
      </c>
      <c r="K810" s="1">
        <f>Table3[[#This Row],[Year]]</f>
        <v>2014</v>
      </c>
      <c r="L810" s="1" t="str">
        <f>Table3[[#This Row],[Hometeam]]</f>
        <v>Italy</v>
      </c>
      <c r="M810" s="1" t="str">
        <f>IF(J810=1,J810+ROWS($J$2:J810)/10000,"")</f>
        <v/>
      </c>
      <c r="N810" s="1" t="str">
        <f>IFERROR(SMALL($M$2:$M$1705,ROWS($M$2:M810)),"")</f>
        <v/>
      </c>
      <c r="O810" s="1" t="str">
        <f>IF(N810&lt;&gt;"",INDEX($L$2:$L$1705,MATCH(N810,$M$2:$M$1705,0)),"")</f>
        <v/>
      </c>
      <c r="P810" s="1" t="str">
        <f>IF(O810&lt;&gt;"",ROWS($O$2:O810),"")</f>
        <v/>
      </c>
    </row>
    <row r="811" spans="1:16" x14ac:dyDescent="0.2">
      <c r="A811" s="1">
        <f>WorldCupMatches!O811</f>
        <v>2014</v>
      </c>
      <c r="B811" s="1" t="str">
        <f>WorldCupMatches!P811</f>
        <v>Costa Rica</v>
      </c>
      <c r="C811" s="1">
        <f>WorldCupMatches!Q811</f>
        <v>0</v>
      </c>
      <c r="D811" s="1">
        <f>WorldCupMatches!R811</f>
        <v>0</v>
      </c>
      <c r="E811" s="1" t="str">
        <f>WorldCupMatches!S811</f>
        <v>England</v>
      </c>
      <c r="F811" s="1" t="str">
        <f>WorldCupMatches!T811</f>
        <v xml:space="preserve"> </v>
      </c>
      <c r="G811" s="1" t="str">
        <f>WorldCupMatches!U811</f>
        <v>Group stages</v>
      </c>
      <c r="J811" s="1">
        <f>COUNTIF($L$2:L811,L811)</f>
        <v>5</v>
      </c>
      <c r="K811" s="1">
        <f>Table3[[#This Row],[Year]]</f>
        <v>2014</v>
      </c>
      <c r="L811" s="1" t="str">
        <f>Table3[[#This Row],[Hometeam]]</f>
        <v>Costa Rica</v>
      </c>
      <c r="M811" s="1" t="str">
        <f>IF(J811=1,J811+ROWS($J$2:J811)/10000,"")</f>
        <v/>
      </c>
      <c r="N811" s="1" t="str">
        <f>IFERROR(SMALL($M$2:$M$1705,ROWS($M$2:M811)),"")</f>
        <v/>
      </c>
      <c r="O811" s="1" t="str">
        <f>IF(N811&lt;&gt;"",INDEX($L$2:$L$1705,MATCH(N811,$M$2:$M$1705,0)),"")</f>
        <v/>
      </c>
      <c r="P811" s="1" t="str">
        <f>IF(O811&lt;&gt;"",ROWS($O$2:O811),"")</f>
        <v/>
      </c>
    </row>
    <row r="812" spans="1:16" x14ac:dyDescent="0.2">
      <c r="A812" s="1">
        <f>WorldCupMatches!O812</f>
        <v>2014</v>
      </c>
      <c r="B812" s="1" t="str">
        <f>WorldCupMatches!P812</f>
        <v>Japan</v>
      </c>
      <c r="C812" s="1">
        <f>WorldCupMatches!Q812</f>
        <v>1</v>
      </c>
      <c r="D812" s="1">
        <f>WorldCupMatches!R812</f>
        <v>4</v>
      </c>
      <c r="E812" s="1" t="str">
        <f>WorldCupMatches!S812</f>
        <v>Colombia</v>
      </c>
      <c r="F812" s="1" t="str">
        <f>WorldCupMatches!T812</f>
        <v xml:space="preserve"> </v>
      </c>
      <c r="G812" s="1" t="str">
        <f>WorldCupMatches!U812</f>
        <v>Group stages</v>
      </c>
      <c r="J812" s="1">
        <f>COUNTIF($L$2:L812,L812)</f>
        <v>10</v>
      </c>
      <c r="K812" s="1">
        <f>Table3[[#This Row],[Year]]</f>
        <v>2014</v>
      </c>
      <c r="L812" s="1" t="str">
        <f>Table3[[#This Row],[Hometeam]]</f>
        <v>Japan</v>
      </c>
      <c r="M812" s="1" t="str">
        <f>IF(J812=1,J812+ROWS($J$2:J812)/10000,"")</f>
        <v/>
      </c>
      <c r="N812" s="1" t="str">
        <f>IFERROR(SMALL($M$2:$M$1705,ROWS($M$2:M812)),"")</f>
        <v/>
      </c>
      <c r="O812" s="1" t="str">
        <f>IF(N812&lt;&gt;"",INDEX($L$2:$L$1705,MATCH(N812,$M$2:$M$1705,0)),"")</f>
        <v/>
      </c>
      <c r="P812" s="1" t="str">
        <f>IF(O812&lt;&gt;"",ROWS($O$2:O812),"")</f>
        <v/>
      </c>
    </row>
    <row r="813" spans="1:16" x14ac:dyDescent="0.2">
      <c r="A813" s="1">
        <f>WorldCupMatches!O813</f>
        <v>2014</v>
      </c>
      <c r="B813" s="1" t="str">
        <f>WorldCupMatches!P813</f>
        <v>Greece</v>
      </c>
      <c r="C813" s="1">
        <f>WorldCupMatches!Q813</f>
        <v>2</v>
      </c>
      <c r="D813" s="1">
        <f>WorldCupMatches!R813</f>
        <v>1</v>
      </c>
      <c r="E813" s="1" t="str">
        <f>WorldCupMatches!S813</f>
        <v>Cï¿½te d'Ivoire</v>
      </c>
      <c r="F813" s="1" t="str">
        <f>WorldCupMatches!T813</f>
        <v xml:space="preserve"> </v>
      </c>
      <c r="G813" s="1" t="str">
        <f>WorldCupMatches!U813</f>
        <v>Group stages</v>
      </c>
      <c r="J813" s="1">
        <f>COUNTIF($L$2:L813,L813)</f>
        <v>4</v>
      </c>
      <c r="K813" s="1">
        <f>Table3[[#This Row],[Year]]</f>
        <v>2014</v>
      </c>
      <c r="L813" s="1" t="str">
        <f>Table3[[#This Row],[Hometeam]]</f>
        <v>Greece</v>
      </c>
      <c r="M813" s="1" t="str">
        <f>IF(J813=1,J813+ROWS($J$2:J813)/10000,"")</f>
        <v/>
      </c>
      <c r="N813" s="1" t="str">
        <f>IFERROR(SMALL($M$2:$M$1705,ROWS($M$2:M813)),"")</f>
        <v/>
      </c>
      <c r="O813" s="1" t="str">
        <f>IF(N813&lt;&gt;"",INDEX($L$2:$L$1705,MATCH(N813,$M$2:$M$1705,0)),"")</f>
        <v/>
      </c>
      <c r="P813" s="1" t="str">
        <f>IF(O813&lt;&gt;"",ROWS($O$2:O813),"")</f>
        <v/>
      </c>
    </row>
    <row r="814" spans="1:16" x14ac:dyDescent="0.2">
      <c r="A814" s="1">
        <f>WorldCupMatches!O814</f>
        <v>2014</v>
      </c>
      <c r="B814" s="1" t="str">
        <f>WorldCupMatches!P814</f>
        <v>Nigeria</v>
      </c>
      <c r="C814" s="1">
        <f>WorldCupMatches!Q814</f>
        <v>2</v>
      </c>
      <c r="D814" s="1">
        <f>WorldCupMatches!R814</f>
        <v>3</v>
      </c>
      <c r="E814" s="1" t="str">
        <f>WorldCupMatches!S814</f>
        <v>Argentina</v>
      </c>
      <c r="F814" s="1" t="str">
        <f>WorldCupMatches!T814</f>
        <v xml:space="preserve"> </v>
      </c>
      <c r="G814" s="1" t="str">
        <f>WorldCupMatches!U814</f>
        <v>Group stages</v>
      </c>
      <c r="J814" s="1">
        <f>COUNTIF($L$2:L814,L814)</f>
        <v>9</v>
      </c>
      <c r="K814" s="1">
        <f>Table3[[#This Row],[Year]]</f>
        <v>2014</v>
      </c>
      <c r="L814" s="1" t="str">
        <f>Table3[[#This Row],[Hometeam]]</f>
        <v>Nigeria</v>
      </c>
      <c r="M814" s="1" t="str">
        <f>IF(J814=1,J814+ROWS($J$2:J814)/10000,"")</f>
        <v/>
      </c>
      <c r="N814" s="1" t="str">
        <f>IFERROR(SMALL($M$2:$M$1705,ROWS($M$2:M814)),"")</f>
        <v/>
      </c>
      <c r="O814" s="1" t="str">
        <f>IF(N814&lt;&gt;"",INDEX($L$2:$L$1705,MATCH(N814,$M$2:$M$1705,0)),"")</f>
        <v/>
      </c>
      <c r="P814" s="1" t="str">
        <f>IF(O814&lt;&gt;"",ROWS($O$2:O814),"")</f>
        <v/>
      </c>
    </row>
    <row r="815" spans="1:16" x14ac:dyDescent="0.2">
      <c r="A815" s="1">
        <f>WorldCupMatches!O815</f>
        <v>2014</v>
      </c>
      <c r="B815" s="1" t="str">
        <f>WorldCupMatches!P815</f>
        <v>Bosnia and Herzegovina</v>
      </c>
      <c r="C815" s="1">
        <f>WorldCupMatches!Q815</f>
        <v>3</v>
      </c>
      <c r="D815" s="1">
        <f>WorldCupMatches!R815</f>
        <v>1</v>
      </c>
      <c r="E815" s="1" t="str">
        <f>WorldCupMatches!S815</f>
        <v>IR Iran</v>
      </c>
      <c r="F815" s="1" t="str">
        <f>WorldCupMatches!T815</f>
        <v xml:space="preserve"> </v>
      </c>
      <c r="G815" s="1" t="str">
        <f>WorldCupMatches!U815</f>
        <v>Group stages</v>
      </c>
      <c r="J815" s="1">
        <f>COUNTIF($L$2:L815,L815)</f>
        <v>1</v>
      </c>
      <c r="K815" s="1">
        <f>Table3[[#This Row],[Year]]</f>
        <v>2014</v>
      </c>
      <c r="L815" s="1" t="str">
        <f>Table3[[#This Row],[Hometeam]]</f>
        <v>Bosnia and Herzegovina</v>
      </c>
      <c r="M815" s="1">
        <f>IF(J815=1,J815+ROWS($J$2:J815)/10000,"")</f>
        <v>1.0813999999999999</v>
      </c>
      <c r="N815" s="1" t="str">
        <f>IFERROR(SMALL($M$2:$M$1705,ROWS($M$2:M815)),"")</f>
        <v/>
      </c>
      <c r="O815" s="1" t="str">
        <f>IF(N815&lt;&gt;"",INDEX($L$2:$L$1705,MATCH(N815,$M$2:$M$1705,0)),"")</f>
        <v/>
      </c>
      <c r="P815" s="1" t="str">
        <f>IF(O815&lt;&gt;"",ROWS($O$2:O815),"")</f>
        <v/>
      </c>
    </row>
    <row r="816" spans="1:16" x14ac:dyDescent="0.2">
      <c r="A816" s="1">
        <f>WorldCupMatches!O816</f>
        <v>2014</v>
      </c>
      <c r="B816" s="1" t="str">
        <f>WorldCupMatches!P816</f>
        <v>Honduras</v>
      </c>
      <c r="C816" s="1">
        <f>WorldCupMatches!Q816</f>
        <v>0</v>
      </c>
      <c r="D816" s="1">
        <f>WorldCupMatches!R816</f>
        <v>3</v>
      </c>
      <c r="E816" s="1" t="str">
        <f>WorldCupMatches!S816</f>
        <v>Switzerland</v>
      </c>
      <c r="F816" s="1" t="str">
        <f>WorldCupMatches!T816</f>
        <v xml:space="preserve"> </v>
      </c>
      <c r="G816" s="1" t="str">
        <f>WorldCupMatches!U816</f>
        <v>Group stages</v>
      </c>
      <c r="J816" s="1">
        <f>COUNTIF($L$2:L816,L816)</f>
        <v>5</v>
      </c>
      <c r="K816" s="1">
        <f>Table3[[#This Row],[Year]]</f>
        <v>2014</v>
      </c>
      <c r="L816" s="1" t="str">
        <f>Table3[[#This Row],[Hometeam]]</f>
        <v>Honduras</v>
      </c>
      <c r="M816" s="1" t="str">
        <f>IF(J816=1,J816+ROWS($J$2:J816)/10000,"")</f>
        <v/>
      </c>
      <c r="N816" s="1" t="str">
        <f>IFERROR(SMALL($M$2:$M$1705,ROWS($M$2:M816)),"")</f>
        <v/>
      </c>
      <c r="O816" s="1" t="str">
        <f>IF(N816&lt;&gt;"",INDEX($L$2:$L$1705,MATCH(N816,$M$2:$M$1705,0)),"")</f>
        <v/>
      </c>
      <c r="P816" s="1" t="str">
        <f>IF(O816&lt;&gt;"",ROWS($O$2:O816),"")</f>
        <v/>
      </c>
    </row>
    <row r="817" spans="1:16" x14ac:dyDescent="0.2">
      <c r="A817" s="1">
        <f>WorldCupMatches!O817</f>
        <v>2014</v>
      </c>
      <c r="B817" s="1" t="str">
        <f>WorldCupMatches!P817</f>
        <v>Ecuador</v>
      </c>
      <c r="C817" s="1">
        <f>WorldCupMatches!Q817</f>
        <v>0</v>
      </c>
      <c r="D817" s="1">
        <f>WorldCupMatches!R817</f>
        <v>0</v>
      </c>
      <c r="E817" s="1" t="str">
        <f>WorldCupMatches!S817</f>
        <v>France</v>
      </c>
      <c r="F817" s="1" t="str">
        <f>WorldCupMatches!T817</f>
        <v xml:space="preserve"> </v>
      </c>
      <c r="G817" s="1" t="str">
        <f>WorldCupMatches!U817</f>
        <v>Group stages</v>
      </c>
      <c r="J817" s="1">
        <f>COUNTIF($L$2:L817,L817)</f>
        <v>4</v>
      </c>
      <c r="K817" s="1">
        <f>Table3[[#This Row],[Year]]</f>
        <v>2014</v>
      </c>
      <c r="L817" s="1" t="str">
        <f>Table3[[#This Row],[Hometeam]]</f>
        <v>Ecuador</v>
      </c>
      <c r="M817" s="1" t="str">
        <f>IF(J817=1,J817+ROWS($J$2:J817)/10000,"")</f>
        <v/>
      </c>
      <c r="N817" s="1" t="str">
        <f>IFERROR(SMALL($M$2:$M$1705,ROWS($M$2:M817)),"")</f>
        <v/>
      </c>
      <c r="O817" s="1" t="str">
        <f>IF(N817&lt;&gt;"",INDEX($L$2:$L$1705,MATCH(N817,$M$2:$M$1705,0)),"")</f>
        <v/>
      </c>
      <c r="P817" s="1" t="str">
        <f>IF(O817&lt;&gt;"",ROWS($O$2:O817),"")</f>
        <v/>
      </c>
    </row>
    <row r="818" spans="1:16" x14ac:dyDescent="0.2">
      <c r="A818" s="1">
        <f>WorldCupMatches!O818</f>
        <v>2014</v>
      </c>
      <c r="B818" s="1" t="str">
        <f>WorldCupMatches!P818</f>
        <v>USA</v>
      </c>
      <c r="C818" s="1">
        <f>WorldCupMatches!Q818</f>
        <v>0</v>
      </c>
      <c r="D818" s="1">
        <f>WorldCupMatches!R818</f>
        <v>1</v>
      </c>
      <c r="E818" s="1" t="str">
        <f>WorldCupMatches!S818</f>
        <v>Germany</v>
      </c>
      <c r="F818" s="1" t="str">
        <f>WorldCupMatches!T818</f>
        <v xml:space="preserve"> </v>
      </c>
      <c r="G818" s="1" t="str">
        <f>WorldCupMatches!U818</f>
        <v>Group stages</v>
      </c>
      <c r="J818" s="1">
        <f>COUNTIF($L$2:L818,L818)</f>
        <v>15</v>
      </c>
      <c r="K818" s="1">
        <f>Table3[[#This Row],[Year]]</f>
        <v>2014</v>
      </c>
      <c r="L818" s="1" t="str">
        <f>Table3[[#This Row],[Hometeam]]</f>
        <v>USA</v>
      </c>
      <c r="M818" s="1" t="str">
        <f>IF(J818=1,J818+ROWS($J$2:J818)/10000,"")</f>
        <v/>
      </c>
      <c r="N818" s="1" t="str">
        <f>IFERROR(SMALL($M$2:$M$1705,ROWS($M$2:M818)),"")</f>
        <v/>
      </c>
      <c r="O818" s="1" t="str">
        <f>IF(N818&lt;&gt;"",INDEX($L$2:$L$1705,MATCH(N818,$M$2:$M$1705,0)),"")</f>
        <v/>
      </c>
      <c r="P818" s="1" t="str">
        <f>IF(O818&lt;&gt;"",ROWS($O$2:O818),"")</f>
        <v/>
      </c>
    </row>
    <row r="819" spans="1:16" x14ac:dyDescent="0.2">
      <c r="A819" s="1">
        <f>WorldCupMatches!O819</f>
        <v>2014</v>
      </c>
      <c r="B819" s="1" t="str">
        <f>WorldCupMatches!P819</f>
        <v>Portugal</v>
      </c>
      <c r="C819" s="1">
        <f>WorldCupMatches!Q819</f>
        <v>2</v>
      </c>
      <c r="D819" s="1">
        <f>WorldCupMatches!R819</f>
        <v>1</v>
      </c>
      <c r="E819" s="1" t="str">
        <f>WorldCupMatches!S819</f>
        <v>Ghana</v>
      </c>
      <c r="F819" s="1" t="str">
        <f>WorldCupMatches!T819</f>
        <v xml:space="preserve"> </v>
      </c>
      <c r="G819" s="1" t="str">
        <f>WorldCupMatches!U819</f>
        <v>Group stages</v>
      </c>
      <c r="J819" s="1">
        <f>COUNTIF($L$2:L819,L819)</f>
        <v>16</v>
      </c>
      <c r="K819" s="1">
        <f>Table3[[#This Row],[Year]]</f>
        <v>2014</v>
      </c>
      <c r="L819" s="1" t="str">
        <f>Table3[[#This Row],[Hometeam]]</f>
        <v>Portugal</v>
      </c>
      <c r="M819" s="1" t="str">
        <f>IF(J819=1,J819+ROWS($J$2:J819)/10000,"")</f>
        <v/>
      </c>
      <c r="N819" s="1" t="str">
        <f>IFERROR(SMALL($M$2:$M$1705,ROWS($M$2:M819)),"")</f>
        <v/>
      </c>
      <c r="O819" s="1" t="str">
        <f>IF(N819&lt;&gt;"",INDEX($L$2:$L$1705,MATCH(N819,$M$2:$M$1705,0)),"")</f>
        <v/>
      </c>
      <c r="P819" s="1" t="str">
        <f>IF(O819&lt;&gt;"",ROWS($O$2:O819),"")</f>
        <v/>
      </c>
    </row>
    <row r="820" spans="1:16" x14ac:dyDescent="0.2">
      <c r="A820" s="1">
        <f>WorldCupMatches!O820</f>
        <v>2014</v>
      </c>
      <c r="B820" s="1" t="str">
        <f>WorldCupMatches!P820</f>
        <v>Korea Republic</v>
      </c>
      <c r="C820" s="1">
        <f>WorldCupMatches!Q820</f>
        <v>0</v>
      </c>
      <c r="D820" s="1">
        <f>WorldCupMatches!R820</f>
        <v>1</v>
      </c>
      <c r="E820" s="1" t="str">
        <f>WorldCupMatches!S820</f>
        <v>Belgium</v>
      </c>
      <c r="F820" s="1" t="str">
        <f>WorldCupMatches!T820</f>
        <v xml:space="preserve"> </v>
      </c>
      <c r="G820" s="1" t="str">
        <f>WorldCupMatches!U820</f>
        <v>Group stages</v>
      </c>
      <c r="J820" s="1">
        <f>COUNTIF($L$2:L820,L820)</f>
        <v>14</v>
      </c>
      <c r="K820" s="1">
        <f>Table3[[#This Row],[Year]]</f>
        <v>2014</v>
      </c>
      <c r="L820" s="1" t="str">
        <f>Table3[[#This Row],[Hometeam]]</f>
        <v>Korea Republic</v>
      </c>
      <c r="M820" s="1" t="str">
        <f>IF(J820=1,J820+ROWS($J$2:J820)/10000,"")</f>
        <v/>
      </c>
      <c r="N820" s="1" t="str">
        <f>IFERROR(SMALL($M$2:$M$1705,ROWS($M$2:M820)),"")</f>
        <v/>
      </c>
      <c r="O820" s="1" t="str">
        <f>IF(N820&lt;&gt;"",INDEX($L$2:$L$1705,MATCH(N820,$M$2:$M$1705,0)),"")</f>
        <v/>
      </c>
      <c r="P820" s="1" t="str">
        <f>IF(O820&lt;&gt;"",ROWS($O$2:O820),"")</f>
        <v/>
      </c>
    </row>
    <row r="821" spans="1:16" x14ac:dyDescent="0.2">
      <c r="A821" s="1">
        <f>WorldCupMatches!O821</f>
        <v>2014</v>
      </c>
      <c r="B821" s="1" t="str">
        <f>WorldCupMatches!P821</f>
        <v>Algeria</v>
      </c>
      <c r="C821" s="1">
        <f>WorldCupMatches!Q821</f>
        <v>1</v>
      </c>
      <c r="D821" s="1">
        <f>WorldCupMatches!R821</f>
        <v>1</v>
      </c>
      <c r="E821" s="1" t="str">
        <f>WorldCupMatches!S821</f>
        <v>Russia</v>
      </c>
      <c r="F821" s="1" t="str">
        <f>WorldCupMatches!T821</f>
        <v xml:space="preserve"> </v>
      </c>
      <c r="G821" s="1" t="str">
        <f>WorldCupMatches!U821</f>
        <v>Group stages</v>
      </c>
      <c r="J821" s="1">
        <f>COUNTIF($L$2:L821,L821)</f>
        <v>6</v>
      </c>
      <c r="K821" s="1">
        <f>Table3[[#This Row],[Year]]</f>
        <v>2014</v>
      </c>
      <c r="L821" s="1" t="str">
        <f>Table3[[#This Row],[Hometeam]]</f>
        <v>Algeria</v>
      </c>
      <c r="M821" s="1" t="str">
        <f>IF(J821=1,J821+ROWS($J$2:J821)/10000,"")</f>
        <v/>
      </c>
      <c r="N821" s="1" t="str">
        <f>IFERROR(SMALL($M$2:$M$1705,ROWS($M$2:M821)),"")</f>
        <v/>
      </c>
      <c r="O821" s="1" t="str">
        <f>IF(N821&lt;&gt;"",INDEX($L$2:$L$1705,MATCH(N821,$M$2:$M$1705,0)),"")</f>
        <v/>
      </c>
      <c r="P821" s="1" t="str">
        <f>IF(O821&lt;&gt;"",ROWS($O$2:O821),"")</f>
        <v/>
      </c>
    </row>
    <row r="822" spans="1:16" x14ac:dyDescent="0.2">
      <c r="A822" s="1">
        <f>WorldCupMatches!O822</f>
        <v>2014</v>
      </c>
      <c r="B822" s="1" t="str">
        <f>WorldCupMatches!P822</f>
        <v>Brazil</v>
      </c>
      <c r="C822" s="1">
        <f>WorldCupMatches!Q822</f>
        <v>1</v>
      </c>
      <c r="D822" s="1">
        <f>WorldCupMatches!R822</f>
        <v>1</v>
      </c>
      <c r="E822" s="1" t="str">
        <f>WorldCupMatches!S822</f>
        <v>Chile</v>
      </c>
      <c r="F822" s="1" t="str">
        <f>WorldCupMatches!T822</f>
        <v xml:space="preserve">Brazil win on penalties (3 - 2) </v>
      </c>
      <c r="G822" s="1" t="str">
        <f>WorldCupMatches!U822</f>
        <v>Round of 16</v>
      </c>
      <c r="J822" s="1">
        <f>COUNTIF($L$2:L822,L822)</f>
        <v>75</v>
      </c>
      <c r="K822" s="1">
        <f>Table3[[#This Row],[Year]]</f>
        <v>2014</v>
      </c>
      <c r="L822" s="1" t="str">
        <f>Table3[[#This Row],[Hometeam]]</f>
        <v>Brazil</v>
      </c>
      <c r="M822" s="1" t="str">
        <f>IF(J822=1,J822+ROWS($J$2:J822)/10000,"")</f>
        <v/>
      </c>
      <c r="N822" s="1" t="str">
        <f>IFERROR(SMALL($M$2:$M$1705,ROWS($M$2:M822)),"")</f>
        <v/>
      </c>
      <c r="O822" s="1" t="str">
        <f>IF(N822&lt;&gt;"",INDEX($L$2:$L$1705,MATCH(N822,$M$2:$M$1705,0)),"")</f>
        <v/>
      </c>
      <c r="P822" s="1" t="str">
        <f>IF(O822&lt;&gt;"",ROWS($O$2:O822),"")</f>
        <v/>
      </c>
    </row>
    <row r="823" spans="1:16" x14ac:dyDescent="0.2">
      <c r="A823" s="1">
        <f>WorldCupMatches!O823</f>
        <v>2014</v>
      </c>
      <c r="B823" s="1" t="str">
        <f>WorldCupMatches!P823</f>
        <v>Colombia</v>
      </c>
      <c r="C823" s="1">
        <f>WorldCupMatches!Q823</f>
        <v>2</v>
      </c>
      <c r="D823" s="1">
        <f>WorldCupMatches!R823</f>
        <v>0</v>
      </c>
      <c r="E823" s="1" t="str">
        <f>WorldCupMatches!S823</f>
        <v>Uruguay</v>
      </c>
      <c r="F823" s="1" t="str">
        <f>WorldCupMatches!T823</f>
        <v xml:space="preserve"> </v>
      </c>
      <c r="G823" s="1" t="str">
        <f>WorldCupMatches!U823</f>
        <v>Round of 16</v>
      </c>
      <c r="J823" s="1">
        <f>COUNTIF($L$2:L823,L823)</f>
        <v>6</v>
      </c>
      <c r="K823" s="1">
        <f>Table3[[#This Row],[Year]]</f>
        <v>2014</v>
      </c>
      <c r="L823" s="1" t="str">
        <f>Table3[[#This Row],[Hometeam]]</f>
        <v>Colombia</v>
      </c>
      <c r="M823" s="1" t="str">
        <f>IF(J823=1,J823+ROWS($J$2:J823)/10000,"")</f>
        <v/>
      </c>
      <c r="N823" s="1" t="str">
        <f>IFERROR(SMALL($M$2:$M$1705,ROWS($M$2:M823)),"")</f>
        <v/>
      </c>
      <c r="O823" s="1" t="str">
        <f>IF(N823&lt;&gt;"",INDEX($L$2:$L$1705,MATCH(N823,$M$2:$M$1705,0)),"")</f>
        <v/>
      </c>
      <c r="P823" s="1" t="str">
        <f>IF(O823&lt;&gt;"",ROWS($O$2:O823),"")</f>
        <v/>
      </c>
    </row>
    <row r="824" spans="1:16" x14ac:dyDescent="0.2">
      <c r="A824" s="1">
        <f>WorldCupMatches!O824</f>
        <v>2014</v>
      </c>
      <c r="B824" s="1" t="str">
        <f>WorldCupMatches!P824</f>
        <v>France</v>
      </c>
      <c r="C824" s="1">
        <f>WorldCupMatches!Q824</f>
        <v>2</v>
      </c>
      <c r="D824" s="1">
        <f>WorldCupMatches!R824</f>
        <v>0</v>
      </c>
      <c r="E824" s="1" t="str">
        <f>WorldCupMatches!S824</f>
        <v>Nigeria</v>
      </c>
      <c r="F824" s="1" t="str">
        <f>WorldCupMatches!T824</f>
        <v xml:space="preserve"> </v>
      </c>
      <c r="G824" s="1" t="str">
        <f>WorldCupMatches!U824</f>
        <v>Round of 16</v>
      </c>
      <c r="J824" s="1">
        <f>COUNTIF($L$2:L824,L824)</f>
        <v>28</v>
      </c>
      <c r="K824" s="1">
        <f>Table3[[#This Row],[Year]]</f>
        <v>2014</v>
      </c>
      <c r="L824" s="1" t="str">
        <f>Table3[[#This Row],[Hometeam]]</f>
        <v>France</v>
      </c>
      <c r="M824" s="1" t="str">
        <f>IF(J824=1,J824+ROWS($J$2:J824)/10000,"")</f>
        <v/>
      </c>
      <c r="N824" s="1" t="str">
        <f>IFERROR(SMALL($M$2:$M$1705,ROWS($M$2:M824)),"")</f>
        <v/>
      </c>
      <c r="O824" s="1" t="str">
        <f>IF(N824&lt;&gt;"",INDEX($L$2:$L$1705,MATCH(N824,$M$2:$M$1705,0)),"")</f>
        <v/>
      </c>
      <c r="P824" s="1" t="str">
        <f>IF(O824&lt;&gt;"",ROWS($O$2:O824),"")</f>
        <v/>
      </c>
    </row>
    <row r="825" spans="1:16" x14ac:dyDescent="0.2">
      <c r="A825" s="1">
        <f>WorldCupMatches!O825</f>
        <v>2014</v>
      </c>
      <c r="B825" s="1" t="str">
        <f>WorldCupMatches!P825</f>
        <v>Germany</v>
      </c>
      <c r="C825" s="1">
        <f>WorldCupMatches!Q825</f>
        <v>2</v>
      </c>
      <c r="D825" s="1">
        <f>WorldCupMatches!R825</f>
        <v>1</v>
      </c>
      <c r="E825" s="1" t="str">
        <f>WorldCupMatches!S825</f>
        <v>Algeria</v>
      </c>
      <c r="F825" s="1" t="str">
        <f>WorldCupMatches!T825</f>
        <v xml:space="preserve">Germany win after extra time </v>
      </c>
      <c r="G825" s="1" t="str">
        <f>WorldCupMatches!U825</f>
        <v>Round of 16</v>
      </c>
      <c r="J825" s="1">
        <f>COUNTIF($L$2:L825,L825)</f>
        <v>31</v>
      </c>
      <c r="K825" s="1">
        <f>Table3[[#This Row],[Year]]</f>
        <v>2014</v>
      </c>
      <c r="L825" s="1" t="str">
        <f>Table3[[#This Row],[Hometeam]]</f>
        <v>Germany</v>
      </c>
      <c r="M825" s="1" t="str">
        <f>IF(J825=1,J825+ROWS($J$2:J825)/10000,"")</f>
        <v/>
      </c>
      <c r="N825" s="1" t="str">
        <f>IFERROR(SMALL($M$2:$M$1705,ROWS($M$2:M825)),"")</f>
        <v/>
      </c>
      <c r="O825" s="1" t="str">
        <f>IF(N825&lt;&gt;"",INDEX($L$2:$L$1705,MATCH(N825,$M$2:$M$1705,0)),"")</f>
        <v/>
      </c>
      <c r="P825" s="1" t="str">
        <f>IF(O825&lt;&gt;"",ROWS($O$2:O825),"")</f>
        <v/>
      </c>
    </row>
    <row r="826" spans="1:16" x14ac:dyDescent="0.2">
      <c r="A826" s="1">
        <f>WorldCupMatches!O826</f>
        <v>2014</v>
      </c>
      <c r="B826" s="1" t="str">
        <f>WorldCupMatches!P826</f>
        <v>Brazil</v>
      </c>
      <c r="C826" s="1">
        <f>WorldCupMatches!Q826</f>
        <v>2</v>
      </c>
      <c r="D826" s="1">
        <f>WorldCupMatches!R826</f>
        <v>1</v>
      </c>
      <c r="E826" s="1" t="str">
        <f>WorldCupMatches!S826</f>
        <v>Colombia</v>
      </c>
      <c r="F826" s="1" t="str">
        <f>WorldCupMatches!T826</f>
        <v xml:space="preserve"> </v>
      </c>
      <c r="G826" s="1" t="str">
        <f>WorldCupMatches!U826</f>
        <v>Quarter-finals</v>
      </c>
      <c r="J826" s="1">
        <f>COUNTIF($L$2:L826,L826)</f>
        <v>76</v>
      </c>
      <c r="K826" s="1">
        <f>Table3[[#This Row],[Year]]</f>
        <v>2014</v>
      </c>
      <c r="L826" s="1" t="str">
        <f>Table3[[#This Row],[Hometeam]]</f>
        <v>Brazil</v>
      </c>
      <c r="M826" s="1" t="str">
        <f>IF(J826=1,J826+ROWS($J$2:J826)/10000,"")</f>
        <v/>
      </c>
      <c r="N826" s="1" t="str">
        <f>IFERROR(SMALL($M$2:$M$1705,ROWS($M$2:M826)),"")</f>
        <v/>
      </c>
      <c r="O826" s="1" t="str">
        <f>IF(N826&lt;&gt;"",INDEX($L$2:$L$1705,MATCH(N826,$M$2:$M$1705,0)),"")</f>
        <v/>
      </c>
      <c r="P826" s="1" t="str">
        <f>IF(O826&lt;&gt;"",ROWS($O$2:O826),"")</f>
        <v/>
      </c>
    </row>
    <row r="827" spans="1:16" x14ac:dyDescent="0.2">
      <c r="A827" s="1">
        <f>WorldCupMatches!O827</f>
        <v>2014</v>
      </c>
      <c r="B827" s="1" t="str">
        <f>WorldCupMatches!P827</f>
        <v>France</v>
      </c>
      <c r="C827" s="1">
        <f>WorldCupMatches!Q827</f>
        <v>0</v>
      </c>
      <c r="D827" s="1">
        <f>WorldCupMatches!R827</f>
        <v>1</v>
      </c>
      <c r="E827" s="1" t="str">
        <f>WorldCupMatches!S827</f>
        <v>Germany</v>
      </c>
      <c r="F827" s="1" t="str">
        <f>WorldCupMatches!T827</f>
        <v xml:space="preserve"> </v>
      </c>
      <c r="G827" s="1" t="str">
        <f>WorldCupMatches!U827</f>
        <v>Quarter-finals</v>
      </c>
      <c r="J827" s="1">
        <f>COUNTIF($L$2:L827,L827)</f>
        <v>29</v>
      </c>
      <c r="K827" s="1">
        <f>Table3[[#This Row],[Year]]</f>
        <v>2014</v>
      </c>
      <c r="L827" s="1" t="str">
        <f>Table3[[#This Row],[Hometeam]]</f>
        <v>France</v>
      </c>
      <c r="M827" s="1" t="str">
        <f>IF(J827=1,J827+ROWS($J$2:J827)/10000,"")</f>
        <v/>
      </c>
      <c r="N827" s="1" t="str">
        <f>IFERROR(SMALL($M$2:$M$1705,ROWS($M$2:M827)),"")</f>
        <v/>
      </c>
      <c r="O827" s="1" t="str">
        <f>IF(N827&lt;&gt;"",INDEX($L$2:$L$1705,MATCH(N827,$M$2:$M$1705,0)),"")</f>
        <v/>
      </c>
      <c r="P827" s="1" t="str">
        <f>IF(O827&lt;&gt;"",ROWS($O$2:O827),"")</f>
        <v/>
      </c>
    </row>
    <row r="828" spans="1:16" x14ac:dyDescent="0.2">
      <c r="A828" s="1">
        <f>WorldCupMatches!O828</f>
        <v>2014</v>
      </c>
      <c r="B828" s="1" t="str">
        <f>WorldCupMatches!P828</f>
        <v>Brazil</v>
      </c>
      <c r="C828" s="1">
        <f>WorldCupMatches!Q828</f>
        <v>1</v>
      </c>
      <c r="D828" s="1">
        <f>WorldCupMatches!R828</f>
        <v>7</v>
      </c>
      <c r="E828" s="1" t="str">
        <f>WorldCupMatches!S828</f>
        <v>Germany</v>
      </c>
      <c r="F828" s="1" t="str">
        <f>WorldCupMatches!T828</f>
        <v xml:space="preserve"> </v>
      </c>
      <c r="G828" s="1" t="str">
        <f>WorldCupMatches!U828</f>
        <v>Semi-finals</v>
      </c>
      <c r="J828" s="1">
        <f>COUNTIF($L$2:L828,L828)</f>
        <v>77</v>
      </c>
      <c r="K828" s="1">
        <f>Table3[[#This Row],[Year]]</f>
        <v>2014</v>
      </c>
      <c r="L828" s="1" t="str">
        <f>Table3[[#This Row],[Hometeam]]</f>
        <v>Brazil</v>
      </c>
      <c r="M828" s="1" t="str">
        <f>IF(J828=1,J828+ROWS($J$2:J828)/10000,"")</f>
        <v/>
      </c>
      <c r="N828" s="1" t="str">
        <f>IFERROR(SMALL($M$2:$M$1705,ROWS($M$2:M828)),"")</f>
        <v/>
      </c>
      <c r="O828" s="1" t="str">
        <f>IF(N828&lt;&gt;"",INDEX($L$2:$L$1705,MATCH(N828,$M$2:$M$1705,0)),"")</f>
        <v/>
      </c>
      <c r="P828" s="1" t="str">
        <f>IF(O828&lt;&gt;"",ROWS($O$2:O828),"")</f>
        <v/>
      </c>
    </row>
    <row r="829" spans="1:16" x14ac:dyDescent="0.2">
      <c r="A829" s="1">
        <f>WorldCupMatches!O829</f>
        <v>2014</v>
      </c>
      <c r="B829" s="1" t="str">
        <f>WorldCupMatches!P829</f>
        <v>Brazil</v>
      </c>
      <c r="C829" s="1">
        <f>WorldCupMatches!Q829</f>
        <v>0</v>
      </c>
      <c r="D829" s="1">
        <f>WorldCupMatches!R829</f>
        <v>3</v>
      </c>
      <c r="E829" s="1" t="str">
        <f>WorldCupMatches!S829</f>
        <v>Netherlands</v>
      </c>
      <c r="F829" s="1" t="str">
        <f>WorldCupMatches!T829</f>
        <v xml:space="preserve"> </v>
      </c>
      <c r="G829" s="1" t="str">
        <f>WorldCupMatches!U829</f>
        <v>Play-off for third place</v>
      </c>
      <c r="J829" s="1">
        <f>COUNTIF($L$2:L829,L829)</f>
        <v>78</v>
      </c>
      <c r="K829" s="1">
        <f>Table3[[#This Row],[Year]]</f>
        <v>2014</v>
      </c>
      <c r="L829" s="1" t="str">
        <f>Table3[[#This Row],[Hometeam]]</f>
        <v>Brazil</v>
      </c>
      <c r="M829" s="1" t="str">
        <f>IF(J829=1,J829+ROWS($J$2:J829)/10000,"")</f>
        <v/>
      </c>
      <c r="N829" s="1" t="str">
        <f>IFERROR(SMALL($M$2:$M$1705,ROWS($M$2:M829)),"")</f>
        <v/>
      </c>
      <c r="O829" s="1" t="str">
        <f>IF(N829&lt;&gt;"",INDEX($L$2:$L$1705,MATCH(N829,$M$2:$M$1705,0)),"")</f>
        <v/>
      </c>
      <c r="P829" s="1" t="str">
        <f>IF(O829&lt;&gt;"",ROWS($O$2:O829),"")</f>
        <v/>
      </c>
    </row>
    <row r="830" spans="1:16" x14ac:dyDescent="0.2">
      <c r="A830" s="1">
        <f>WorldCupMatches!O830</f>
        <v>2014</v>
      </c>
      <c r="B830" s="1" t="str">
        <f>WorldCupMatches!P830</f>
        <v>Germany</v>
      </c>
      <c r="C830" s="1">
        <f>WorldCupMatches!Q830</f>
        <v>1</v>
      </c>
      <c r="D830" s="1">
        <f>WorldCupMatches!R830</f>
        <v>0</v>
      </c>
      <c r="E830" s="1" t="str">
        <f>WorldCupMatches!S830</f>
        <v>Argentina</v>
      </c>
      <c r="F830" s="1" t="str">
        <f>WorldCupMatches!T830</f>
        <v xml:space="preserve">Germany win after extra time </v>
      </c>
      <c r="G830" s="1" t="str">
        <f>WorldCupMatches!U830</f>
        <v>Final</v>
      </c>
      <c r="J830" s="1">
        <f>COUNTIF($L$2:L830,L830)</f>
        <v>32</v>
      </c>
      <c r="K830" s="1">
        <f>Table3[[#This Row],[Year]]</f>
        <v>2014</v>
      </c>
      <c r="L830" s="1" t="str">
        <f>Table3[[#This Row],[Hometeam]]</f>
        <v>Germany</v>
      </c>
      <c r="M830" s="1" t="str">
        <f>IF(J830=1,J830+ROWS($J$2:J830)/10000,"")</f>
        <v/>
      </c>
      <c r="N830" s="1" t="str">
        <f>IFERROR(SMALL($M$2:$M$1705,ROWS($M$2:M830)),"")</f>
        <v/>
      </c>
      <c r="O830" s="1" t="str">
        <f>IF(N830&lt;&gt;"",INDEX($L$2:$L$1705,MATCH(N830,$M$2:$M$1705,0)),"")</f>
        <v/>
      </c>
      <c r="P830" s="1" t="str">
        <f>IF(O830&lt;&gt;"",ROWS($O$2:O830),"")</f>
        <v/>
      </c>
    </row>
    <row r="831" spans="1:16" x14ac:dyDescent="0.2">
      <c r="A831" s="1">
        <f>WorldCupMatches!O831</f>
        <v>2014</v>
      </c>
      <c r="B831" s="1" t="str">
        <f>WorldCupMatches!P831</f>
        <v>Netherlands</v>
      </c>
      <c r="C831" s="1">
        <f>WorldCupMatches!Q831</f>
        <v>0</v>
      </c>
      <c r="D831" s="1">
        <f>WorldCupMatches!R831</f>
        <v>0</v>
      </c>
      <c r="E831" s="1" t="str">
        <f>WorldCupMatches!S831</f>
        <v>Argentina</v>
      </c>
      <c r="F831" s="1" t="str">
        <f>WorldCupMatches!T831</f>
        <v xml:space="preserve">Argentina win on penalties (2 - 4) </v>
      </c>
      <c r="G831" s="1" t="str">
        <f>WorldCupMatches!U831</f>
        <v>Semi-finals</v>
      </c>
      <c r="J831" s="1">
        <f>COUNTIF($L$2:L831,L831)</f>
        <v>27</v>
      </c>
      <c r="K831" s="1">
        <f>Table3[[#This Row],[Year]]</f>
        <v>2014</v>
      </c>
      <c r="L831" s="1" t="str">
        <f>Table3[[#This Row],[Hometeam]]</f>
        <v>Netherlands</v>
      </c>
      <c r="M831" s="1" t="str">
        <f>IF(J831=1,J831+ROWS($J$2:J831)/10000,"")</f>
        <v/>
      </c>
      <c r="N831" s="1" t="str">
        <f>IFERROR(SMALL($M$2:$M$1705,ROWS($M$2:M831)),"")</f>
        <v/>
      </c>
      <c r="O831" s="1" t="str">
        <f>IF(N831&lt;&gt;"",INDEX($L$2:$L$1705,MATCH(N831,$M$2:$M$1705,0)),"")</f>
        <v/>
      </c>
      <c r="P831" s="1" t="str">
        <f>IF(O831&lt;&gt;"",ROWS($O$2:O831),"")</f>
        <v/>
      </c>
    </row>
    <row r="832" spans="1:16" x14ac:dyDescent="0.2">
      <c r="A832" s="1">
        <f>WorldCupMatches!O832</f>
        <v>2014</v>
      </c>
      <c r="B832" s="1" t="str">
        <f>WorldCupMatches!P832</f>
        <v>Netherlands</v>
      </c>
      <c r="C832" s="1">
        <f>WorldCupMatches!Q832</f>
        <v>0</v>
      </c>
      <c r="D832" s="1">
        <f>WorldCupMatches!R832</f>
        <v>0</v>
      </c>
      <c r="E832" s="1" t="str">
        <f>WorldCupMatches!S832</f>
        <v>Costa Rica</v>
      </c>
      <c r="F832" s="1" t="str">
        <f>WorldCupMatches!T832</f>
        <v xml:space="preserve">Netherlands win on penalties (4 - 3) </v>
      </c>
      <c r="G832" s="1" t="str">
        <f>WorldCupMatches!U832</f>
        <v>Quarter-finals</v>
      </c>
      <c r="J832" s="1">
        <f>COUNTIF($L$2:L832,L832)</f>
        <v>28</v>
      </c>
      <c r="K832" s="1">
        <f>Table3[[#This Row],[Year]]</f>
        <v>2014</v>
      </c>
      <c r="L832" s="1" t="str">
        <f>Table3[[#This Row],[Hometeam]]</f>
        <v>Netherlands</v>
      </c>
      <c r="M832" s="1" t="str">
        <f>IF(J832=1,J832+ROWS($J$2:J832)/10000,"")</f>
        <v/>
      </c>
      <c r="N832" s="1" t="str">
        <f>IFERROR(SMALL($M$2:$M$1705,ROWS($M$2:M832)),"")</f>
        <v/>
      </c>
      <c r="O832" s="1" t="str">
        <f>IF(N832&lt;&gt;"",INDEX($L$2:$L$1705,MATCH(N832,$M$2:$M$1705,0)),"")</f>
        <v/>
      </c>
      <c r="P832" s="1" t="str">
        <f>IF(O832&lt;&gt;"",ROWS($O$2:O832),"")</f>
        <v/>
      </c>
    </row>
    <row r="833" spans="1:16" x14ac:dyDescent="0.2">
      <c r="A833" s="1">
        <f>WorldCupMatches!O833</f>
        <v>2014</v>
      </c>
      <c r="B833" s="1" t="str">
        <f>WorldCupMatches!P833</f>
        <v>Argentina</v>
      </c>
      <c r="C833" s="1">
        <f>WorldCupMatches!Q833</f>
        <v>1</v>
      </c>
      <c r="D833" s="1">
        <f>WorldCupMatches!R833</f>
        <v>0</v>
      </c>
      <c r="E833" s="1" t="str">
        <f>WorldCupMatches!S833</f>
        <v>Belgium</v>
      </c>
      <c r="F833" s="1" t="str">
        <f>WorldCupMatches!T833</f>
        <v xml:space="preserve"> </v>
      </c>
      <c r="G833" s="1" t="str">
        <f>WorldCupMatches!U833</f>
        <v>Quarter-finals</v>
      </c>
      <c r="J833" s="1">
        <f>COUNTIF($L$2:L833,L833)</f>
        <v>51</v>
      </c>
      <c r="K833" s="1">
        <f>Table3[[#This Row],[Year]]</f>
        <v>2014</v>
      </c>
      <c r="L833" s="1" t="str">
        <f>Table3[[#This Row],[Hometeam]]</f>
        <v>Argentina</v>
      </c>
      <c r="M833" s="1" t="str">
        <f>IF(J833=1,J833+ROWS($J$2:J833)/10000,"")</f>
        <v/>
      </c>
      <c r="N833" s="1" t="str">
        <f>IFERROR(SMALL($M$2:$M$1705,ROWS($M$2:M833)),"")</f>
        <v/>
      </c>
      <c r="O833" s="1" t="str">
        <f>IF(N833&lt;&gt;"",INDEX($L$2:$L$1705,MATCH(N833,$M$2:$M$1705,0)),"")</f>
        <v/>
      </c>
      <c r="P833" s="1" t="str">
        <f>IF(O833&lt;&gt;"",ROWS($O$2:O833),"")</f>
        <v/>
      </c>
    </row>
    <row r="834" spans="1:16" x14ac:dyDescent="0.2">
      <c r="A834" s="1">
        <f>WorldCupMatches!O834</f>
        <v>2014</v>
      </c>
      <c r="B834" s="1" t="str">
        <f>WorldCupMatches!P834</f>
        <v>Netherlands</v>
      </c>
      <c r="C834" s="1">
        <f>WorldCupMatches!Q834</f>
        <v>2</v>
      </c>
      <c r="D834" s="1">
        <f>WorldCupMatches!R834</f>
        <v>1</v>
      </c>
      <c r="E834" s="1" t="str">
        <f>WorldCupMatches!S834</f>
        <v>Mexico</v>
      </c>
      <c r="F834" s="1" t="str">
        <f>WorldCupMatches!T834</f>
        <v xml:space="preserve"> </v>
      </c>
      <c r="G834" s="1" t="str">
        <f>WorldCupMatches!U834</f>
        <v>Round of 16</v>
      </c>
      <c r="J834" s="1">
        <f>COUNTIF($L$2:L834,L834)</f>
        <v>29</v>
      </c>
      <c r="K834" s="1">
        <f>Table3[[#This Row],[Year]]</f>
        <v>2014</v>
      </c>
      <c r="L834" s="1" t="str">
        <f>Table3[[#This Row],[Hometeam]]</f>
        <v>Netherlands</v>
      </c>
      <c r="M834" s="1" t="str">
        <f>IF(J834=1,J834+ROWS($J$2:J834)/10000,"")</f>
        <v/>
      </c>
      <c r="N834" s="1" t="str">
        <f>IFERROR(SMALL($M$2:$M$1705,ROWS($M$2:M834)),"")</f>
        <v/>
      </c>
      <c r="O834" s="1" t="str">
        <f>IF(N834&lt;&gt;"",INDEX($L$2:$L$1705,MATCH(N834,$M$2:$M$1705,0)),"")</f>
        <v/>
      </c>
      <c r="P834" s="1" t="str">
        <f>IF(O834&lt;&gt;"",ROWS($O$2:O834),"")</f>
        <v/>
      </c>
    </row>
    <row r="835" spans="1:16" x14ac:dyDescent="0.2">
      <c r="A835" s="1">
        <f>WorldCupMatches!O835</f>
        <v>2014</v>
      </c>
      <c r="B835" s="1" t="str">
        <f>WorldCupMatches!P835</f>
        <v>Costa Rica</v>
      </c>
      <c r="C835" s="1">
        <f>WorldCupMatches!Q835</f>
        <v>1</v>
      </c>
      <c r="D835" s="1">
        <f>WorldCupMatches!R835</f>
        <v>1</v>
      </c>
      <c r="E835" s="1" t="str">
        <f>WorldCupMatches!S835</f>
        <v>Greece</v>
      </c>
      <c r="F835" s="1" t="str">
        <f>WorldCupMatches!T835</f>
        <v xml:space="preserve">Costa Rica win on penalties (5 - 3) </v>
      </c>
      <c r="G835" s="1" t="str">
        <f>WorldCupMatches!U835</f>
        <v>Round of 16</v>
      </c>
      <c r="J835" s="1">
        <f>COUNTIF($L$2:L835,L835)</f>
        <v>6</v>
      </c>
      <c r="K835" s="1">
        <f>Table3[[#This Row],[Year]]</f>
        <v>2014</v>
      </c>
      <c r="L835" s="1" t="str">
        <f>Table3[[#This Row],[Hometeam]]</f>
        <v>Costa Rica</v>
      </c>
      <c r="M835" s="1" t="str">
        <f>IF(J835=1,J835+ROWS($J$2:J835)/10000,"")</f>
        <v/>
      </c>
      <c r="N835" s="1" t="str">
        <f>IFERROR(SMALL($M$2:$M$1705,ROWS($M$2:M835)),"")</f>
        <v/>
      </c>
      <c r="O835" s="1" t="str">
        <f>IF(N835&lt;&gt;"",INDEX($L$2:$L$1705,MATCH(N835,$M$2:$M$1705,0)),"")</f>
        <v/>
      </c>
      <c r="P835" s="1" t="str">
        <f>IF(O835&lt;&gt;"",ROWS($O$2:O835),"")</f>
        <v/>
      </c>
    </row>
    <row r="836" spans="1:16" x14ac:dyDescent="0.2">
      <c r="A836" s="1">
        <f>WorldCupMatches!O836</f>
        <v>2014</v>
      </c>
      <c r="B836" s="1" t="str">
        <f>WorldCupMatches!P836</f>
        <v>Argentina</v>
      </c>
      <c r="C836" s="1">
        <f>WorldCupMatches!Q836</f>
        <v>1</v>
      </c>
      <c r="D836" s="1">
        <f>WorldCupMatches!R836</f>
        <v>0</v>
      </c>
      <c r="E836" s="1" t="str">
        <f>WorldCupMatches!S836</f>
        <v>Switzerland</v>
      </c>
      <c r="F836" s="1" t="str">
        <f>WorldCupMatches!T836</f>
        <v xml:space="preserve">Argentina win after extra time </v>
      </c>
      <c r="G836" s="1" t="str">
        <f>WorldCupMatches!U836</f>
        <v>Round of 16</v>
      </c>
      <c r="J836" s="1">
        <f>COUNTIF($L$2:L836,L836)</f>
        <v>52</v>
      </c>
      <c r="K836" s="1">
        <f>Table3[[#This Row],[Year]]</f>
        <v>2014</v>
      </c>
      <c r="L836" s="1" t="str">
        <f>Table3[[#This Row],[Hometeam]]</f>
        <v>Argentina</v>
      </c>
      <c r="M836" s="1" t="str">
        <f>IF(J836=1,J836+ROWS($J$2:J836)/10000,"")</f>
        <v/>
      </c>
      <c r="N836" s="1" t="str">
        <f>IFERROR(SMALL($M$2:$M$1705,ROWS($M$2:M836)),"")</f>
        <v/>
      </c>
      <c r="O836" s="1" t="str">
        <f>IF(N836&lt;&gt;"",INDEX($L$2:$L$1705,MATCH(N836,$M$2:$M$1705,0)),"")</f>
        <v/>
      </c>
      <c r="P836" s="1" t="str">
        <f>IF(O836&lt;&gt;"",ROWS($O$2:O836),"")</f>
        <v/>
      </c>
    </row>
    <row r="837" spans="1:16" x14ac:dyDescent="0.2">
      <c r="A837" s="1">
        <f>WorldCupMatches!O837</f>
        <v>2014</v>
      </c>
      <c r="B837" s="1" t="str">
        <f>WorldCupMatches!P837</f>
        <v>Belgium</v>
      </c>
      <c r="C837" s="1">
        <f>WorldCupMatches!Q837</f>
        <v>2</v>
      </c>
      <c r="D837" s="1">
        <f>WorldCupMatches!R837</f>
        <v>1</v>
      </c>
      <c r="E837" s="1" t="str">
        <f>WorldCupMatches!S837</f>
        <v>USA</v>
      </c>
      <c r="F837" s="1" t="str">
        <f>WorldCupMatches!T837</f>
        <v xml:space="preserve">Belgium win after extra time </v>
      </c>
      <c r="G837" s="1" t="str">
        <f>WorldCupMatches!U837</f>
        <v>Round of 16</v>
      </c>
      <c r="J837" s="1">
        <f>COUNTIF($L$2:L837,L837)</f>
        <v>17</v>
      </c>
      <c r="K837" s="1">
        <f>Table3[[#This Row],[Year]]</f>
        <v>2014</v>
      </c>
      <c r="L837" s="1" t="str">
        <f>Table3[[#This Row],[Hometeam]]</f>
        <v>Belgium</v>
      </c>
      <c r="M837" s="1" t="str">
        <f>IF(J837=1,J837+ROWS($J$2:J837)/10000,"")</f>
        <v/>
      </c>
      <c r="N837" s="1" t="str">
        <f>IFERROR(SMALL($M$2:$M$1705,ROWS($M$2:M837)),"")</f>
        <v/>
      </c>
      <c r="O837" s="1" t="str">
        <f>IF(N837&lt;&gt;"",INDEX($L$2:$L$1705,MATCH(N837,$M$2:$M$1705,0)),"")</f>
        <v/>
      </c>
      <c r="P837" s="1" t="str">
        <f>IF(O837&lt;&gt;"",ROWS($O$2:O837),"")</f>
        <v/>
      </c>
    </row>
    <row r="838" spans="1:16" x14ac:dyDescent="0.2">
      <c r="A838" s="1">
        <f>WorldCupMatches!O838</f>
        <v>2014</v>
      </c>
      <c r="B838" s="1" t="str">
        <f>WorldCupMatches!P838</f>
        <v>Brazil</v>
      </c>
      <c r="C838" s="1">
        <f>WorldCupMatches!Q838</f>
        <v>1</v>
      </c>
      <c r="D838" s="1">
        <f>WorldCupMatches!R838</f>
        <v>1</v>
      </c>
      <c r="E838" s="1" t="str">
        <f>WorldCupMatches!S838</f>
        <v>Chile</v>
      </c>
      <c r="F838" s="1" t="str">
        <f>WorldCupMatches!T838</f>
        <v xml:space="preserve">Brazil win on penalties (3 - 2) </v>
      </c>
      <c r="G838" s="1" t="str">
        <f>WorldCupMatches!U838</f>
        <v>Round of 16</v>
      </c>
      <c r="J838" s="1">
        <f>COUNTIF($L$2:L838,L838)</f>
        <v>79</v>
      </c>
      <c r="K838" s="1">
        <f>Table3[[#This Row],[Year]]</f>
        <v>2014</v>
      </c>
      <c r="L838" s="1" t="str">
        <f>Table3[[#This Row],[Hometeam]]</f>
        <v>Brazil</v>
      </c>
      <c r="M838" s="1" t="str">
        <f>IF(J838=1,J838+ROWS($J$2:J838)/10000,"")</f>
        <v/>
      </c>
      <c r="N838" s="1" t="str">
        <f>IFERROR(SMALL($M$2:$M$1705,ROWS($M$2:M838)),"")</f>
        <v/>
      </c>
      <c r="O838" s="1" t="str">
        <f>IF(N838&lt;&gt;"",INDEX($L$2:$L$1705,MATCH(N838,$M$2:$M$1705,0)),"")</f>
        <v/>
      </c>
      <c r="P838" s="1" t="str">
        <f>IF(O838&lt;&gt;"",ROWS($O$2:O838),"")</f>
        <v/>
      </c>
    </row>
    <row r="839" spans="1:16" x14ac:dyDescent="0.2">
      <c r="A839" s="1">
        <f>WorldCupMatches!O839</f>
        <v>2014</v>
      </c>
      <c r="B839" s="1" t="str">
        <f>WorldCupMatches!P839</f>
        <v>Colombia</v>
      </c>
      <c r="C839" s="1">
        <f>WorldCupMatches!Q839</f>
        <v>2</v>
      </c>
      <c r="D839" s="1">
        <f>WorldCupMatches!R839</f>
        <v>0</v>
      </c>
      <c r="E839" s="1" t="str">
        <f>WorldCupMatches!S839</f>
        <v>Uruguay</v>
      </c>
      <c r="F839" s="1" t="str">
        <f>WorldCupMatches!T839</f>
        <v xml:space="preserve"> </v>
      </c>
      <c r="G839" s="1" t="str">
        <f>WorldCupMatches!U839</f>
        <v>Round of 16</v>
      </c>
      <c r="J839" s="1">
        <f>COUNTIF($L$2:L839,L839)</f>
        <v>7</v>
      </c>
      <c r="K839" s="1">
        <f>Table3[[#This Row],[Year]]</f>
        <v>2014</v>
      </c>
      <c r="L839" s="1" t="str">
        <f>Table3[[#This Row],[Hometeam]]</f>
        <v>Colombia</v>
      </c>
      <c r="M839" s="1" t="str">
        <f>IF(J839=1,J839+ROWS($J$2:J839)/10000,"")</f>
        <v/>
      </c>
      <c r="N839" s="1" t="str">
        <f>IFERROR(SMALL($M$2:$M$1705,ROWS($M$2:M839)),"")</f>
        <v/>
      </c>
      <c r="O839" s="1" t="str">
        <f>IF(N839&lt;&gt;"",INDEX($L$2:$L$1705,MATCH(N839,$M$2:$M$1705,0)),"")</f>
        <v/>
      </c>
      <c r="P839" s="1" t="str">
        <f>IF(O839&lt;&gt;"",ROWS($O$2:O839),"")</f>
        <v/>
      </c>
    </row>
    <row r="840" spans="1:16" x14ac:dyDescent="0.2">
      <c r="A840" s="1">
        <f>WorldCupMatches!O840</f>
        <v>2014</v>
      </c>
      <c r="B840" s="1" t="str">
        <f>WorldCupMatches!P840</f>
        <v>Netherlands</v>
      </c>
      <c r="C840" s="1">
        <f>WorldCupMatches!Q840</f>
        <v>2</v>
      </c>
      <c r="D840" s="1">
        <f>WorldCupMatches!R840</f>
        <v>1</v>
      </c>
      <c r="E840" s="1" t="str">
        <f>WorldCupMatches!S840</f>
        <v>Mexico</v>
      </c>
      <c r="F840" s="1" t="str">
        <f>WorldCupMatches!T840</f>
        <v xml:space="preserve"> </v>
      </c>
      <c r="G840" s="1" t="str">
        <f>WorldCupMatches!U840</f>
        <v>Round of 16</v>
      </c>
      <c r="J840" s="1">
        <f>COUNTIF($L$2:L840,L840)</f>
        <v>30</v>
      </c>
      <c r="K840" s="1">
        <f>Table3[[#This Row],[Year]]</f>
        <v>2014</v>
      </c>
      <c r="L840" s="1" t="str">
        <f>Table3[[#This Row],[Hometeam]]</f>
        <v>Netherlands</v>
      </c>
      <c r="M840" s="1" t="str">
        <f>IF(J840=1,J840+ROWS($J$2:J840)/10000,"")</f>
        <v/>
      </c>
      <c r="N840" s="1" t="str">
        <f>IFERROR(SMALL($M$2:$M$1705,ROWS($M$2:M840)),"")</f>
        <v/>
      </c>
      <c r="O840" s="1" t="str">
        <f>IF(N840&lt;&gt;"",INDEX($L$2:$L$1705,MATCH(N840,$M$2:$M$1705,0)),"")</f>
        <v/>
      </c>
      <c r="P840" s="1" t="str">
        <f>IF(O840&lt;&gt;"",ROWS($O$2:O840),"")</f>
        <v/>
      </c>
    </row>
    <row r="841" spans="1:16" x14ac:dyDescent="0.2">
      <c r="A841" s="1">
        <f>WorldCupMatches!O841</f>
        <v>2014</v>
      </c>
      <c r="B841" s="1" t="str">
        <f>WorldCupMatches!P841</f>
        <v>Costa Rica</v>
      </c>
      <c r="C841" s="1">
        <f>WorldCupMatches!Q841</f>
        <v>1</v>
      </c>
      <c r="D841" s="1">
        <f>WorldCupMatches!R841</f>
        <v>1</v>
      </c>
      <c r="E841" s="1" t="str">
        <f>WorldCupMatches!S841</f>
        <v>Greece</v>
      </c>
      <c r="F841" s="1" t="str">
        <f>WorldCupMatches!T841</f>
        <v xml:space="preserve">Costa Rica win on penalties (5 - 3) </v>
      </c>
      <c r="G841" s="1" t="str">
        <f>WorldCupMatches!U841</f>
        <v>Round of 16</v>
      </c>
      <c r="J841" s="1">
        <f>COUNTIF($L$2:L841,L841)</f>
        <v>7</v>
      </c>
      <c r="K841" s="1">
        <f>Table3[[#This Row],[Year]]</f>
        <v>2014</v>
      </c>
      <c r="L841" s="1" t="str">
        <f>Table3[[#This Row],[Hometeam]]</f>
        <v>Costa Rica</v>
      </c>
      <c r="M841" s="1" t="str">
        <f>IF(J841=1,J841+ROWS($J$2:J841)/10000,"")</f>
        <v/>
      </c>
      <c r="N841" s="1" t="str">
        <f>IFERROR(SMALL($M$2:$M$1705,ROWS($M$2:M841)),"")</f>
        <v/>
      </c>
      <c r="O841" s="1" t="str">
        <f>IF(N841&lt;&gt;"",INDEX($L$2:$L$1705,MATCH(N841,$M$2:$M$1705,0)),"")</f>
        <v/>
      </c>
      <c r="P841" s="1" t="str">
        <f>IF(O841&lt;&gt;"",ROWS($O$2:O841),"")</f>
        <v/>
      </c>
    </row>
    <row r="842" spans="1:16" x14ac:dyDescent="0.2">
      <c r="A842" s="1">
        <f>WorldCupMatches!O842</f>
        <v>2014</v>
      </c>
      <c r="B842" s="1" t="str">
        <f>WorldCupMatches!P842</f>
        <v>France</v>
      </c>
      <c r="C842" s="1">
        <f>WorldCupMatches!Q842</f>
        <v>2</v>
      </c>
      <c r="D842" s="1">
        <f>WorldCupMatches!R842</f>
        <v>0</v>
      </c>
      <c r="E842" s="1" t="str">
        <f>WorldCupMatches!S842</f>
        <v>Nigeria</v>
      </c>
      <c r="F842" s="1" t="str">
        <f>WorldCupMatches!T842</f>
        <v xml:space="preserve"> </v>
      </c>
      <c r="G842" s="1" t="str">
        <f>WorldCupMatches!U842</f>
        <v>Round of 16</v>
      </c>
      <c r="J842" s="1">
        <f>COUNTIF($L$2:L842,L842)</f>
        <v>30</v>
      </c>
      <c r="K842" s="1">
        <f>Table3[[#This Row],[Year]]</f>
        <v>2014</v>
      </c>
      <c r="L842" s="1" t="str">
        <f>Table3[[#This Row],[Hometeam]]</f>
        <v>France</v>
      </c>
      <c r="M842" s="1" t="str">
        <f>IF(J842=1,J842+ROWS($J$2:J842)/10000,"")</f>
        <v/>
      </c>
      <c r="N842" s="1" t="str">
        <f>IFERROR(SMALL($M$2:$M$1705,ROWS($M$2:M842)),"")</f>
        <v/>
      </c>
      <c r="O842" s="1" t="str">
        <f>IF(N842&lt;&gt;"",INDEX($L$2:$L$1705,MATCH(N842,$M$2:$M$1705,0)),"")</f>
        <v/>
      </c>
      <c r="P842" s="1" t="str">
        <f>IF(O842&lt;&gt;"",ROWS($O$2:O842),"")</f>
        <v/>
      </c>
    </row>
    <row r="843" spans="1:16" x14ac:dyDescent="0.2">
      <c r="A843" s="1">
        <f>WorldCupMatches!O843</f>
        <v>2014</v>
      </c>
      <c r="B843" s="1" t="str">
        <f>WorldCupMatches!P843</f>
        <v>Germany</v>
      </c>
      <c r="C843" s="1">
        <f>WorldCupMatches!Q843</f>
        <v>2</v>
      </c>
      <c r="D843" s="1">
        <f>WorldCupMatches!R843</f>
        <v>1</v>
      </c>
      <c r="E843" s="1" t="str">
        <f>WorldCupMatches!S843</f>
        <v>Algeria</v>
      </c>
      <c r="F843" s="1" t="str">
        <f>WorldCupMatches!T843</f>
        <v xml:space="preserve">Germany win after extra time </v>
      </c>
      <c r="G843" s="1" t="str">
        <f>WorldCupMatches!U843</f>
        <v>Round of 16</v>
      </c>
      <c r="J843" s="1">
        <f>COUNTIF($L$2:L843,L843)</f>
        <v>33</v>
      </c>
      <c r="K843" s="1">
        <f>Table3[[#This Row],[Year]]</f>
        <v>2014</v>
      </c>
      <c r="L843" s="1" t="str">
        <f>Table3[[#This Row],[Hometeam]]</f>
        <v>Germany</v>
      </c>
      <c r="M843" s="1" t="str">
        <f>IF(J843=1,J843+ROWS($J$2:J843)/10000,"")</f>
        <v/>
      </c>
      <c r="N843" s="1" t="str">
        <f>IFERROR(SMALL($M$2:$M$1705,ROWS($M$2:M843)),"")</f>
        <v/>
      </c>
      <c r="O843" s="1" t="str">
        <f>IF(N843&lt;&gt;"",INDEX($L$2:$L$1705,MATCH(N843,$M$2:$M$1705,0)),"")</f>
        <v/>
      </c>
      <c r="P843" s="1" t="str">
        <f>IF(O843&lt;&gt;"",ROWS($O$2:O843),"")</f>
        <v/>
      </c>
    </row>
    <row r="844" spans="1:16" x14ac:dyDescent="0.2">
      <c r="A844" s="1">
        <f>WorldCupMatches!O844</f>
        <v>2014</v>
      </c>
      <c r="B844" s="1" t="str">
        <f>WorldCupMatches!P844</f>
        <v>Argentina</v>
      </c>
      <c r="C844" s="1">
        <f>WorldCupMatches!Q844</f>
        <v>1</v>
      </c>
      <c r="D844" s="1">
        <f>WorldCupMatches!R844</f>
        <v>0</v>
      </c>
      <c r="E844" s="1" t="str">
        <f>WorldCupMatches!S844</f>
        <v>Switzerland</v>
      </c>
      <c r="F844" s="1" t="str">
        <f>WorldCupMatches!T844</f>
        <v xml:space="preserve">Argentina win after extra time </v>
      </c>
      <c r="G844" s="1" t="str">
        <f>WorldCupMatches!U844</f>
        <v>Round of 16</v>
      </c>
      <c r="J844" s="1">
        <f>COUNTIF($L$2:L844,L844)</f>
        <v>53</v>
      </c>
      <c r="K844" s="1">
        <f>Table3[[#This Row],[Year]]</f>
        <v>2014</v>
      </c>
      <c r="L844" s="1" t="str">
        <f>Table3[[#This Row],[Hometeam]]</f>
        <v>Argentina</v>
      </c>
      <c r="M844" s="1" t="str">
        <f>IF(J844=1,J844+ROWS($J$2:J844)/10000,"")</f>
        <v/>
      </c>
      <c r="N844" s="1" t="str">
        <f>IFERROR(SMALL($M$2:$M$1705,ROWS($M$2:M844)),"")</f>
        <v/>
      </c>
      <c r="O844" s="1" t="str">
        <f>IF(N844&lt;&gt;"",INDEX($L$2:$L$1705,MATCH(N844,$M$2:$M$1705,0)),"")</f>
        <v/>
      </c>
      <c r="P844" s="1" t="str">
        <f>IF(O844&lt;&gt;"",ROWS($O$2:O844),"")</f>
        <v/>
      </c>
    </row>
    <row r="845" spans="1:16" x14ac:dyDescent="0.2">
      <c r="A845" s="1">
        <f>WorldCupMatches!O845</f>
        <v>2014</v>
      </c>
      <c r="B845" s="1" t="str">
        <f>WorldCupMatches!P845</f>
        <v>Belgium</v>
      </c>
      <c r="C845" s="1">
        <f>WorldCupMatches!Q845</f>
        <v>2</v>
      </c>
      <c r="D845" s="1">
        <f>WorldCupMatches!R845</f>
        <v>1</v>
      </c>
      <c r="E845" s="1" t="str">
        <f>WorldCupMatches!S845</f>
        <v>USA</v>
      </c>
      <c r="F845" s="1" t="str">
        <f>WorldCupMatches!T845</f>
        <v xml:space="preserve">Belgium win after extra time </v>
      </c>
      <c r="G845" s="1" t="str">
        <f>WorldCupMatches!U845</f>
        <v>Round of 16</v>
      </c>
      <c r="J845" s="1">
        <f>COUNTIF($L$2:L845,L845)</f>
        <v>18</v>
      </c>
      <c r="K845" s="1">
        <f>Table3[[#This Row],[Year]]</f>
        <v>2014</v>
      </c>
      <c r="L845" s="1" t="str">
        <f>Table3[[#This Row],[Hometeam]]</f>
        <v>Belgium</v>
      </c>
      <c r="M845" s="1" t="str">
        <f>IF(J845=1,J845+ROWS($J$2:J845)/10000,"")</f>
        <v/>
      </c>
      <c r="N845" s="1" t="str">
        <f>IFERROR(SMALL($M$2:$M$1705,ROWS($M$2:M845)),"")</f>
        <v/>
      </c>
      <c r="O845" s="1" t="str">
        <f>IF(N845&lt;&gt;"",INDEX($L$2:$L$1705,MATCH(N845,$M$2:$M$1705,0)),"")</f>
        <v/>
      </c>
      <c r="P845" s="1" t="str">
        <f>IF(O845&lt;&gt;"",ROWS($O$2:O845),"")</f>
        <v/>
      </c>
    </row>
    <row r="846" spans="1:16" x14ac:dyDescent="0.2">
      <c r="A846" s="1">
        <f>WorldCupMatches!O846</f>
        <v>2014</v>
      </c>
      <c r="B846" s="1" t="str">
        <f>WorldCupMatches!P846</f>
        <v>France</v>
      </c>
      <c r="C846" s="1">
        <f>WorldCupMatches!Q846</f>
        <v>0</v>
      </c>
      <c r="D846" s="1">
        <f>WorldCupMatches!R846</f>
        <v>1</v>
      </c>
      <c r="E846" s="1" t="str">
        <f>WorldCupMatches!S846</f>
        <v>Germany</v>
      </c>
      <c r="F846" s="1" t="str">
        <f>WorldCupMatches!T846</f>
        <v xml:space="preserve"> </v>
      </c>
      <c r="G846" s="1" t="str">
        <f>WorldCupMatches!U846</f>
        <v>Quarter-finals</v>
      </c>
      <c r="J846" s="1">
        <f>COUNTIF($L$2:L846,L846)</f>
        <v>31</v>
      </c>
      <c r="K846" s="1">
        <f>Table3[[#This Row],[Year]]</f>
        <v>2014</v>
      </c>
      <c r="L846" s="1" t="str">
        <f>Table3[[#This Row],[Hometeam]]</f>
        <v>France</v>
      </c>
      <c r="M846" s="1" t="str">
        <f>IF(J846=1,J846+ROWS($J$2:J846)/10000,"")</f>
        <v/>
      </c>
      <c r="N846" s="1" t="str">
        <f>IFERROR(SMALL($M$2:$M$1705,ROWS($M$2:M846)),"")</f>
        <v/>
      </c>
      <c r="O846" s="1" t="str">
        <f>IF(N846&lt;&gt;"",INDEX($L$2:$L$1705,MATCH(N846,$M$2:$M$1705,0)),"")</f>
        <v/>
      </c>
      <c r="P846" s="1" t="str">
        <f>IF(O846&lt;&gt;"",ROWS($O$2:O846),"")</f>
        <v/>
      </c>
    </row>
    <row r="847" spans="1:16" x14ac:dyDescent="0.2">
      <c r="A847" s="1">
        <f>WorldCupMatches!O847</f>
        <v>2014</v>
      </c>
      <c r="B847" s="1" t="str">
        <f>WorldCupMatches!P847</f>
        <v>Brazil</v>
      </c>
      <c r="C847" s="1">
        <f>WorldCupMatches!Q847</f>
        <v>2</v>
      </c>
      <c r="D847" s="1">
        <f>WorldCupMatches!R847</f>
        <v>1</v>
      </c>
      <c r="E847" s="1" t="str">
        <f>WorldCupMatches!S847</f>
        <v>Colombia</v>
      </c>
      <c r="F847" s="1" t="str">
        <f>WorldCupMatches!T847</f>
        <v xml:space="preserve"> </v>
      </c>
      <c r="G847" s="1" t="str">
        <f>WorldCupMatches!U847</f>
        <v>Quarter-finals</v>
      </c>
      <c r="J847" s="1">
        <f>COUNTIF($L$2:L847,L847)</f>
        <v>80</v>
      </c>
      <c r="K847" s="1">
        <f>Table3[[#This Row],[Year]]</f>
        <v>2014</v>
      </c>
      <c r="L847" s="1" t="str">
        <f>Table3[[#This Row],[Hometeam]]</f>
        <v>Brazil</v>
      </c>
      <c r="M847" s="1" t="str">
        <f>IF(J847=1,J847+ROWS($J$2:J847)/10000,"")</f>
        <v/>
      </c>
      <c r="N847" s="1" t="str">
        <f>IFERROR(SMALL($M$2:$M$1705,ROWS($M$2:M847)),"")</f>
        <v/>
      </c>
      <c r="O847" s="1" t="str">
        <f>IF(N847&lt;&gt;"",INDEX($L$2:$L$1705,MATCH(N847,$M$2:$M$1705,0)),"")</f>
        <v/>
      </c>
      <c r="P847" s="1" t="str">
        <f>IF(O847&lt;&gt;"",ROWS($O$2:O847),"")</f>
        <v/>
      </c>
    </row>
    <row r="848" spans="1:16" x14ac:dyDescent="0.2">
      <c r="A848" s="1">
        <f>WorldCupMatches!O848</f>
        <v>2014</v>
      </c>
      <c r="B848" s="1" t="str">
        <f>WorldCupMatches!P848</f>
        <v>Argentina</v>
      </c>
      <c r="C848" s="1">
        <f>WorldCupMatches!Q848</f>
        <v>1</v>
      </c>
      <c r="D848" s="1">
        <f>WorldCupMatches!R848</f>
        <v>0</v>
      </c>
      <c r="E848" s="1" t="str">
        <f>WorldCupMatches!S848</f>
        <v>Belgium</v>
      </c>
      <c r="F848" s="1" t="str">
        <f>WorldCupMatches!T848</f>
        <v xml:space="preserve"> </v>
      </c>
      <c r="G848" s="1" t="str">
        <f>WorldCupMatches!U848</f>
        <v>Quarter-finals</v>
      </c>
      <c r="J848" s="1">
        <f>COUNTIF($L$2:L848,L848)</f>
        <v>54</v>
      </c>
      <c r="K848" s="1">
        <f>Table3[[#This Row],[Year]]</f>
        <v>2014</v>
      </c>
      <c r="L848" s="1" t="str">
        <f>Table3[[#This Row],[Hometeam]]</f>
        <v>Argentina</v>
      </c>
      <c r="M848" s="1" t="str">
        <f>IF(J848=1,J848+ROWS($J$2:J848)/10000,"")</f>
        <v/>
      </c>
      <c r="N848" s="1" t="str">
        <f>IFERROR(SMALL($M$2:$M$1705,ROWS($M$2:M848)),"")</f>
        <v/>
      </c>
      <c r="O848" s="1" t="str">
        <f>IF(N848&lt;&gt;"",INDEX($L$2:$L$1705,MATCH(N848,$M$2:$M$1705,0)),"")</f>
        <v/>
      </c>
      <c r="P848" s="1" t="str">
        <f>IF(O848&lt;&gt;"",ROWS($O$2:O848),"")</f>
        <v/>
      </c>
    </row>
    <row r="849" spans="1:16" x14ac:dyDescent="0.2">
      <c r="A849" s="1">
        <f>WorldCupMatches!O849</f>
        <v>2014</v>
      </c>
      <c r="B849" s="1" t="str">
        <f>WorldCupMatches!P849</f>
        <v>Netherlands</v>
      </c>
      <c r="C849" s="1">
        <f>WorldCupMatches!Q849</f>
        <v>0</v>
      </c>
      <c r="D849" s="1">
        <f>WorldCupMatches!R849</f>
        <v>0</v>
      </c>
      <c r="E849" s="1" t="str">
        <f>WorldCupMatches!S849</f>
        <v>Costa Rica</v>
      </c>
      <c r="F849" s="1" t="str">
        <f>WorldCupMatches!T849</f>
        <v xml:space="preserve">Netherlands win on penalties (4 - 3) </v>
      </c>
      <c r="G849" s="1" t="str">
        <f>WorldCupMatches!U849</f>
        <v>Quarter-finals</v>
      </c>
      <c r="J849" s="1">
        <f>COUNTIF($L$2:L849,L849)</f>
        <v>31</v>
      </c>
      <c r="K849" s="1">
        <f>Table3[[#This Row],[Year]]</f>
        <v>2014</v>
      </c>
      <c r="L849" s="1" t="str">
        <f>Table3[[#This Row],[Hometeam]]</f>
        <v>Netherlands</v>
      </c>
      <c r="M849" s="1" t="str">
        <f>IF(J849=1,J849+ROWS($J$2:J849)/10000,"")</f>
        <v/>
      </c>
      <c r="N849" s="1" t="str">
        <f>IFERROR(SMALL($M$2:$M$1705,ROWS($M$2:M849)),"")</f>
        <v/>
      </c>
      <c r="O849" s="1" t="str">
        <f>IF(N849&lt;&gt;"",INDEX($L$2:$L$1705,MATCH(N849,$M$2:$M$1705,0)),"")</f>
        <v/>
      </c>
      <c r="P849" s="1" t="str">
        <f>IF(O849&lt;&gt;"",ROWS($O$2:O849),"")</f>
        <v/>
      </c>
    </row>
    <row r="850" spans="1:16" x14ac:dyDescent="0.2">
      <c r="A850" s="1">
        <f>WorldCupMatches!O850</f>
        <v>2014</v>
      </c>
      <c r="B850" s="1" t="str">
        <f>WorldCupMatches!P850</f>
        <v>Brazil</v>
      </c>
      <c r="C850" s="1">
        <f>WorldCupMatches!Q850</f>
        <v>1</v>
      </c>
      <c r="D850" s="1">
        <f>WorldCupMatches!R850</f>
        <v>7</v>
      </c>
      <c r="E850" s="1" t="str">
        <f>WorldCupMatches!S850</f>
        <v>Germany</v>
      </c>
      <c r="F850" s="1" t="str">
        <f>WorldCupMatches!T850</f>
        <v xml:space="preserve"> </v>
      </c>
      <c r="G850" s="1" t="str">
        <f>WorldCupMatches!U850</f>
        <v>Semi-finals</v>
      </c>
      <c r="J850" s="1">
        <f>COUNTIF($L$2:L850,L850)</f>
        <v>81</v>
      </c>
      <c r="K850" s="1">
        <f>Table3[[#This Row],[Year]]</f>
        <v>2014</v>
      </c>
      <c r="L850" s="1" t="str">
        <f>Table3[[#This Row],[Hometeam]]</f>
        <v>Brazil</v>
      </c>
      <c r="M850" s="1" t="str">
        <f>IF(J850=1,J850+ROWS($J$2:J850)/10000,"")</f>
        <v/>
      </c>
      <c r="N850" s="1" t="str">
        <f>IFERROR(SMALL($M$2:$M$1705,ROWS($M$2:M850)),"")</f>
        <v/>
      </c>
      <c r="O850" s="1" t="str">
        <f>IF(N850&lt;&gt;"",INDEX($L$2:$L$1705,MATCH(N850,$M$2:$M$1705,0)),"")</f>
        <v/>
      </c>
      <c r="P850" s="1" t="str">
        <f>IF(O850&lt;&gt;"",ROWS($O$2:O850),"")</f>
        <v/>
      </c>
    </row>
    <row r="851" spans="1:16" x14ac:dyDescent="0.2">
      <c r="A851" s="1">
        <f>WorldCupMatches!O851</f>
        <v>2014</v>
      </c>
      <c r="B851" s="1" t="str">
        <f>WorldCupMatches!P851</f>
        <v>Netherlands</v>
      </c>
      <c r="C851" s="1">
        <f>WorldCupMatches!Q851</f>
        <v>0</v>
      </c>
      <c r="D851" s="1">
        <f>WorldCupMatches!R851</f>
        <v>0</v>
      </c>
      <c r="E851" s="1" t="str">
        <f>WorldCupMatches!S851</f>
        <v>Argentina</v>
      </c>
      <c r="F851" s="1" t="str">
        <f>WorldCupMatches!T851</f>
        <v xml:space="preserve">Argentina win on penalties (2 - 4) </v>
      </c>
      <c r="G851" s="1" t="str">
        <f>WorldCupMatches!U851</f>
        <v>Semi-finals</v>
      </c>
      <c r="J851" s="1">
        <f>COUNTIF($L$2:L851,L851)</f>
        <v>32</v>
      </c>
      <c r="K851" s="1">
        <f>Table3[[#This Row],[Year]]</f>
        <v>2014</v>
      </c>
      <c r="L851" s="1" t="str">
        <f>Table3[[#This Row],[Hometeam]]</f>
        <v>Netherlands</v>
      </c>
      <c r="M851" s="1" t="str">
        <f>IF(J851=1,J851+ROWS($J$2:J851)/10000,"")</f>
        <v/>
      </c>
      <c r="N851" s="1" t="str">
        <f>IFERROR(SMALL($M$2:$M$1705,ROWS($M$2:M851)),"")</f>
        <v/>
      </c>
      <c r="O851" s="1" t="str">
        <f>IF(N851&lt;&gt;"",INDEX($L$2:$L$1705,MATCH(N851,$M$2:$M$1705,0)),"")</f>
        <v/>
      </c>
      <c r="P851" s="1" t="str">
        <f>IF(O851&lt;&gt;"",ROWS($O$2:O851),"")</f>
        <v/>
      </c>
    </row>
    <row r="852" spans="1:16" x14ac:dyDescent="0.2">
      <c r="A852" s="1">
        <f>WorldCupMatches!O852</f>
        <v>2014</v>
      </c>
      <c r="B852" s="1" t="str">
        <f>WorldCupMatches!P852</f>
        <v>Brazil</v>
      </c>
      <c r="C852" s="1">
        <f>WorldCupMatches!Q852</f>
        <v>0</v>
      </c>
      <c r="D852" s="1">
        <f>WorldCupMatches!R852</f>
        <v>3</v>
      </c>
      <c r="E852" s="1" t="str">
        <f>WorldCupMatches!S852</f>
        <v>Netherlands</v>
      </c>
      <c r="F852" s="1" t="str">
        <f>WorldCupMatches!T852</f>
        <v xml:space="preserve"> </v>
      </c>
      <c r="G852" s="1" t="str">
        <f>WorldCupMatches!U852</f>
        <v>Play-off for third place</v>
      </c>
      <c r="J852" s="1">
        <f>COUNTIF($L$2:L852,L852)</f>
        <v>82</v>
      </c>
      <c r="K852" s="1">
        <f>Table3[[#This Row],[Year]]</f>
        <v>2014</v>
      </c>
      <c r="L852" s="1" t="str">
        <f>Table3[[#This Row],[Hometeam]]</f>
        <v>Brazil</v>
      </c>
      <c r="M852" s="1" t="str">
        <f>IF(J852=1,J852+ROWS($J$2:J852)/10000,"")</f>
        <v/>
      </c>
      <c r="N852" s="1" t="str">
        <f>IFERROR(SMALL($M$2:$M$1705,ROWS($M$2:M852)),"")</f>
        <v/>
      </c>
      <c r="O852" s="1" t="str">
        <f>IF(N852&lt;&gt;"",INDEX($L$2:$L$1705,MATCH(N852,$M$2:$M$1705,0)),"")</f>
        <v/>
      </c>
      <c r="P852" s="1" t="str">
        <f>IF(O852&lt;&gt;"",ROWS($O$2:O852),"")</f>
        <v/>
      </c>
    </row>
    <row r="853" spans="1:16" x14ac:dyDescent="0.2">
      <c r="A853" s="1">
        <f>WorldCupMatches!O853</f>
        <v>2014</v>
      </c>
      <c r="B853" s="1" t="str">
        <f>WorldCupMatches!P853</f>
        <v>Germany</v>
      </c>
      <c r="C853" s="1">
        <f>WorldCupMatches!Q853</f>
        <v>1</v>
      </c>
      <c r="D853" s="1">
        <f>WorldCupMatches!R853</f>
        <v>0</v>
      </c>
      <c r="E853" s="1" t="str">
        <f>WorldCupMatches!S853</f>
        <v>Argentina</v>
      </c>
      <c r="F853" s="1" t="str">
        <f>WorldCupMatches!T853</f>
        <v xml:space="preserve">Germany win after extra time </v>
      </c>
      <c r="G853" s="1" t="str">
        <f>WorldCupMatches!U853</f>
        <v>Final</v>
      </c>
      <c r="J853" s="1">
        <f>COUNTIF($L$2:L853,L853)</f>
        <v>34</v>
      </c>
      <c r="K853" s="1">
        <f>Table3[[#This Row],[Year]]</f>
        <v>2014</v>
      </c>
      <c r="L853" s="1" t="str">
        <f>Table3[[#This Row],[Hometeam]]</f>
        <v>Germany</v>
      </c>
      <c r="M853" s="1" t="str">
        <f>IF(J853=1,J853+ROWS($J$2:J853)/10000,"")</f>
        <v/>
      </c>
      <c r="N853" s="1" t="str">
        <f>IFERROR(SMALL($M$2:$M$1705,ROWS($M$2:M853)),"")</f>
        <v/>
      </c>
      <c r="O853" s="1" t="str">
        <f>IF(N853&lt;&gt;"",INDEX($L$2:$L$1705,MATCH(N853,$M$2:$M$1705,0)),"")</f>
        <v/>
      </c>
      <c r="P853" s="1" t="str">
        <f>IF(O853&lt;&gt;"",ROWS($O$2:O853),"")</f>
        <v/>
      </c>
    </row>
    <row r="854" spans="1:16" x14ac:dyDescent="0.2">
      <c r="J854" s="1">
        <f>COUNTIF($L$2:L854,L854)</f>
        <v>17</v>
      </c>
      <c r="K854" s="1">
        <f>A2</f>
        <v>1930</v>
      </c>
      <c r="L854" s="1" t="str">
        <f>E2</f>
        <v>Mexico</v>
      </c>
      <c r="M854" s="1" t="str">
        <f>IF(J854=1,J854+ROWS($J$2:J854)/10000,"")</f>
        <v/>
      </c>
      <c r="N854" s="1" t="str">
        <f>IFERROR(SMALL($M$2:$M$1705,ROWS($M$2:M854)),"")</f>
        <v/>
      </c>
      <c r="O854" s="1" t="str">
        <f>IF(N854&lt;&gt;"",INDEX($L$2:$L$1705,MATCH(N854,$M$2:$M$1705,0)),"")</f>
        <v/>
      </c>
      <c r="P854" s="1" t="str">
        <f>IF(O854&lt;&gt;"",ROWS($O$2:O854),"")</f>
        <v/>
      </c>
    </row>
    <row r="855" spans="1:16" x14ac:dyDescent="0.2">
      <c r="J855" s="1">
        <f>COUNTIF($L$2:L855,L855)</f>
        <v>19</v>
      </c>
      <c r="K855" s="1">
        <f>A3</f>
        <v>1930</v>
      </c>
      <c r="L855" s="1" t="str">
        <f>E3</f>
        <v>Belgium</v>
      </c>
      <c r="M855" s="1" t="str">
        <f>IF(J855=1,J855+ROWS($J$2:J855)/10000,"")</f>
        <v/>
      </c>
      <c r="N855" s="1" t="str">
        <f>IFERROR(SMALL($M$2:$M$1705,ROWS($M$2:M855)),"")</f>
        <v/>
      </c>
      <c r="O855" s="1" t="str">
        <f>IF(N855&lt;&gt;"",INDEX($L$2:$L$1705,MATCH(N855,$M$2:$M$1705,0)),"")</f>
        <v/>
      </c>
      <c r="P855" s="1" t="str">
        <f>IF(O855&lt;&gt;"",ROWS($O$2:O855),"")</f>
        <v/>
      </c>
    </row>
    <row r="856" spans="1:16" x14ac:dyDescent="0.2">
      <c r="J856" s="1">
        <f>COUNTIF($L$2:L856,L856)</f>
        <v>83</v>
      </c>
      <c r="K856" s="1">
        <f>A4</f>
        <v>1930</v>
      </c>
      <c r="L856" s="1" t="str">
        <f>E4</f>
        <v>Brazil</v>
      </c>
      <c r="M856" s="1" t="str">
        <f>IF(J856=1,J856+ROWS($J$2:J856)/10000,"")</f>
        <v/>
      </c>
      <c r="N856" s="1" t="str">
        <f>IFERROR(SMALL($M$2:$M$1705,ROWS($M$2:M856)),"")</f>
        <v/>
      </c>
      <c r="O856" s="1" t="str">
        <f>IF(N856&lt;&gt;"",INDEX($L$2:$L$1705,MATCH(N856,$M$2:$M$1705,0)),"")</f>
        <v/>
      </c>
      <c r="P856" s="1" t="str">
        <f>IF(O856&lt;&gt;"",ROWS($O$2:O856),"")</f>
        <v/>
      </c>
    </row>
    <row r="857" spans="1:16" x14ac:dyDescent="0.2">
      <c r="J857" s="1">
        <f>COUNTIF($L$2:L857,L857)</f>
        <v>6</v>
      </c>
      <c r="K857" s="1">
        <f>A5</f>
        <v>1930</v>
      </c>
      <c r="L857" s="1" t="str">
        <f>E5</f>
        <v>Peru</v>
      </c>
      <c r="M857" s="1" t="str">
        <f>IF(J857=1,J857+ROWS($J$2:J857)/10000,"")</f>
        <v/>
      </c>
      <c r="N857" s="1" t="str">
        <f>IFERROR(SMALL($M$2:$M$1705,ROWS($M$2:M857)),"")</f>
        <v/>
      </c>
      <c r="O857" s="1" t="str">
        <f>IF(N857&lt;&gt;"",INDEX($L$2:$L$1705,MATCH(N857,$M$2:$M$1705,0)),"")</f>
        <v/>
      </c>
      <c r="P857" s="1" t="str">
        <f>IF(O857&lt;&gt;"",ROWS($O$2:O857),"")</f>
        <v/>
      </c>
    </row>
    <row r="858" spans="1:16" x14ac:dyDescent="0.2">
      <c r="J858" s="1">
        <f>COUNTIF($L$2:L858,L858)</f>
        <v>32</v>
      </c>
      <c r="K858" s="1">
        <f>A6</f>
        <v>1930</v>
      </c>
      <c r="L858" s="1" t="str">
        <f>E6</f>
        <v>France</v>
      </c>
      <c r="M858" s="1" t="str">
        <f>IF(J858=1,J858+ROWS($J$2:J858)/10000,"")</f>
        <v/>
      </c>
      <c r="N858" s="1" t="str">
        <f>IFERROR(SMALL($M$2:$M$1705,ROWS($M$2:M858)),"")</f>
        <v/>
      </c>
      <c r="O858" s="1" t="str">
        <f>IF(N858&lt;&gt;"",INDEX($L$2:$L$1705,MATCH(N858,$M$2:$M$1705,0)),"")</f>
        <v/>
      </c>
      <c r="P858" s="1" t="str">
        <f>IF(O858&lt;&gt;"",ROWS($O$2:O858),"")</f>
        <v/>
      </c>
    </row>
    <row r="859" spans="1:16" x14ac:dyDescent="0.2">
      <c r="J859" s="1">
        <f>COUNTIF($L$2:L859,L859)</f>
        <v>18</v>
      </c>
      <c r="K859" s="1">
        <f>A7</f>
        <v>1930</v>
      </c>
      <c r="L859" s="1" t="str">
        <f>E7</f>
        <v>Mexico</v>
      </c>
      <c r="M859" s="1" t="str">
        <f>IF(J859=1,J859+ROWS($J$2:J859)/10000,"")</f>
        <v/>
      </c>
      <c r="N859" s="1" t="str">
        <f>IFERROR(SMALL($M$2:$M$1705,ROWS($M$2:M859)),"")</f>
        <v/>
      </c>
      <c r="O859" s="1" t="str">
        <f>IF(N859&lt;&gt;"",INDEX($L$2:$L$1705,MATCH(N859,$M$2:$M$1705,0)),"")</f>
        <v/>
      </c>
      <c r="P859" s="1" t="str">
        <f>IF(O859&lt;&gt;"",ROWS($O$2:O859),"")</f>
        <v/>
      </c>
    </row>
    <row r="860" spans="1:16" x14ac:dyDescent="0.2">
      <c r="J860" s="1">
        <f>COUNTIF($L$2:L860,L860)</f>
        <v>2</v>
      </c>
      <c r="K860" s="1">
        <f>A8</f>
        <v>1930</v>
      </c>
      <c r="L860" s="1" t="str">
        <f>E8</f>
        <v>Bolivia</v>
      </c>
      <c r="M860" s="1" t="str">
        <f>IF(J860=1,J860+ROWS($J$2:J860)/10000,"")</f>
        <v/>
      </c>
      <c r="N860" s="1" t="str">
        <f>IFERROR(SMALL($M$2:$M$1705,ROWS($M$2:M860)),"")</f>
        <v/>
      </c>
      <c r="O860" s="1" t="str">
        <f>IF(N860&lt;&gt;"",INDEX($L$2:$L$1705,MATCH(N860,$M$2:$M$1705,0)),"")</f>
        <v/>
      </c>
      <c r="P860" s="1" t="str">
        <f>IF(O860&lt;&gt;"",ROWS($O$2:O860),"")</f>
        <v/>
      </c>
    </row>
    <row r="861" spans="1:16" x14ac:dyDescent="0.2">
      <c r="J861" s="1">
        <f>COUNTIF($L$2:L861,L861)</f>
        <v>12</v>
      </c>
      <c r="K861" s="1">
        <f>A9</f>
        <v>1930</v>
      </c>
      <c r="L861" s="1" t="str">
        <f>E9</f>
        <v>Paraguay</v>
      </c>
      <c r="M861" s="1" t="str">
        <f>IF(J861=1,J861+ROWS($J$2:J861)/10000,"")</f>
        <v/>
      </c>
      <c r="N861" s="1" t="str">
        <f>IFERROR(SMALL($M$2:$M$1705,ROWS($M$2:M861)),"")</f>
        <v/>
      </c>
      <c r="O861" s="1" t="str">
        <f>IF(N861&lt;&gt;"",INDEX($L$2:$L$1705,MATCH(N861,$M$2:$M$1705,0)),"")</f>
        <v/>
      </c>
      <c r="P861" s="1" t="str">
        <f>IF(O861&lt;&gt;"",ROWS($O$2:O861),"")</f>
        <v/>
      </c>
    </row>
    <row r="862" spans="1:16" x14ac:dyDescent="0.2">
      <c r="J862" s="1">
        <f>COUNTIF($L$2:L862,L862)</f>
        <v>7</v>
      </c>
      <c r="K862" s="1">
        <f>A10</f>
        <v>1930</v>
      </c>
      <c r="L862" s="1" t="str">
        <f>E10</f>
        <v>Peru</v>
      </c>
      <c r="M862" s="1" t="str">
        <f>IF(J862=1,J862+ROWS($J$2:J862)/10000,"")</f>
        <v/>
      </c>
      <c r="N862" s="1" t="str">
        <f>IFERROR(SMALL($M$2:$M$1705,ROWS($M$2:M862)),"")</f>
        <v/>
      </c>
      <c r="O862" s="1" t="str">
        <f>IF(N862&lt;&gt;"",INDEX($L$2:$L$1705,MATCH(N862,$M$2:$M$1705,0)),"")</f>
        <v/>
      </c>
      <c r="P862" s="1" t="str">
        <f>IF(O862&lt;&gt;"",ROWS($O$2:O862),"")</f>
        <v/>
      </c>
    </row>
    <row r="863" spans="1:16" x14ac:dyDescent="0.2">
      <c r="J863" s="1">
        <f>COUNTIF($L$2:L863,L863)</f>
        <v>33</v>
      </c>
      <c r="K863" s="1">
        <f>A11</f>
        <v>1930</v>
      </c>
      <c r="L863" s="1" t="str">
        <f>E11</f>
        <v>France</v>
      </c>
      <c r="M863" s="1" t="str">
        <f>IF(J863=1,J863+ROWS($J$2:J863)/10000,"")</f>
        <v/>
      </c>
      <c r="N863" s="1" t="str">
        <f>IFERROR(SMALL($M$2:$M$1705,ROWS($M$2:M863)),"")</f>
        <v/>
      </c>
      <c r="O863" s="1" t="str">
        <f>IF(N863&lt;&gt;"",INDEX($L$2:$L$1705,MATCH(N863,$M$2:$M$1705,0)),"")</f>
        <v/>
      </c>
      <c r="P863" s="1" t="str">
        <f>IF(O863&lt;&gt;"",ROWS($O$2:O863),"")</f>
        <v/>
      </c>
    </row>
    <row r="864" spans="1:16" x14ac:dyDescent="0.2">
      <c r="J864" s="1">
        <f>COUNTIF($L$2:L864,L864)</f>
        <v>19</v>
      </c>
      <c r="K864" s="1">
        <f>A12</f>
        <v>1930</v>
      </c>
      <c r="L864" s="1" t="str">
        <f>E12</f>
        <v>Mexico</v>
      </c>
      <c r="M864" s="1" t="str">
        <f>IF(J864=1,J864+ROWS($J$2:J864)/10000,"")</f>
        <v/>
      </c>
      <c r="N864" s="1" t="str">
        <f>IFERROR(SMALL($M$2:$M$1705,ROWS($M$2:M864)),"")</f>
        <v/>
      </c>
      <c r="O864" s="1" t="str">
        <f>IF(N864&lt;&gt;"",INDEX($L$2:$L$1705,MATCH(N864,$M$2:$M$1705,0)),"")</f>
        <v/>
      </c>
      <c r="P864" s="1" t="str">
        <f>IF(O864&lt;&gt;"",ROWS($O$2:O864),"")</f>
        <v/>
      </c>
    </row>
    <row r="865" spans="10:16" x14ac:dyDescent="0.2">
      <c r="J865" s="1">
        <f>COUNTIF($L$2:L865,L865)</f>
        <v>3</v>
      </c>
      <c r="K865" s="1">
        <f>A13</f>
        <v>1930</v>
      </c>
      <c r="L865" s="1" t="str">
        <f>E13</f>
        <v>Bolivia</v>
      </c>
      <c r="M865" s="1" t="str">
        <f>IF(J865=1,J865+ROWS($J$2:J865)/10000,"")</f>
        <v/>
      </c>
      <c r="N865" s="1" t="str">
        <f>IFERROR(SMALL($M$2:$M$1705,ROWS($M$2:M865)),"")</f>
        <v/>
      </c>
      <c r="O865" s="1" t="str">
        <f>IF(N865&lt;&gt;"",INDEX($L$2:$L$1705,MATCH(N865,$M$2:$M$1705,0)),"")</f>
        <v/>
      </c>
      <c r="P865" s="1" t="str">
        <f>IF(O865&lt;&gt;"",ROWS($O$2:O865),"")</f>
        <v/>
      </c>
    </row>
    <row r="866" spans="10:16" x14ac:dyDescent="0.2">
      <c r="J866" s="1">
        <f>COUNTIF($L$2:L866,L866)</f>
        <v>20</v>
      </c>
      <c r="K866" s="1">
        <f>A14</f>
        <v>1930</v>
      </c>
      <c r="L866" s="1" t="str">
        <f>E14</f>
        <v>Belgium</v>
      </c>
      <c r="M866" s="1" t="str">
        <f>IF(J866=1,J866+ROWS($J$2:J866)/10000,"")</f>
        <v/>
      </c>
      <c r="N866" s="1" t="str">
        <f>IFERROR(SMALL($M$2:$M$1705,ROWS($M$2:M866)),"")</f>
        <v/>
      </c>
      <c r="O866" s="1" t="str">
        <f>IF(N866&lt;&gt;"",INDEX($L$2:$L$1705,MATCH(N866,$M$2:$M$1705,0)),"")</f>
        <v/>
      </c>
      <c r="P866" s="1" t="str">
        <f>IF(O866&lt;&gt;"",ROWS($O$2:O866),"")</f>
        <v/>
      </c>
    </row>
    <row r="867" spans="10:16" x14ac:dyDescent="0.2">
      <c r="J867" s="1">
        <f>COUNTIF($L$2:L867,L867)</f>
        <v>10</v>
      </c>
      <c r="K867" s="1">
        <f>A15</f>
        <v>1930</v>
      </c>
      <c r="L867" s="1" t="str">
        <f>E15</f>
        <v>Romania</v>
      </c>
      <c r="M867" s="1" t="str">
        <f>IF(J867=1,J867+ROWS($J$2:J867)/10000,"")</f>
        <v/>
      </c>
      <c r="N867" s="1" t="str">
        <f>IFERROR(SMALL($M$2:$M$1705,ROWS($M$2:M867)),"")</f>
        <v/>
      </c>
      <c r="O867" s="1" t="str">
        <f>IF(N867&lt;&gt;"",INDEX($L$2:$L$1705,MATCH(N867,$M$2:$M$1705,0)),"")</f>
        <v/>
      </c>
      <c r="P867" s="1" t="str">
        <f>IF(O867&lt;&gt;"",ROWS($O$2:O867),"")</f>
        <v/>
      </c>
    </row>
    <row r="868" spans="10:16" x14ac:dyDescent="0.2">
      <c r="J868" s="1">
        <f>COUNTIF($L$2:L868,L868)</f>
        <v>15</v>
      </c>
      <c r="K868" s="1">
        <f>A16</f>
        <v>1930</v>
      </c>
      <c r="L868" s="1" t="str">
        <f>E16</f>
        <v>Chile</v>
      </c>
      <c r="M868" s="1" t="str">
        <f>IF(J868=1,J868+ROWS($J$2:J868)/10000,"")</f>
        <v/>
      </c>
      <c r="N868" s="1" t="str">
        <f>IFERROR(SMALL($M$2:$M$1705,ROWS($M$2:M868)),"")</f>
        <v/>
      </c>
      <c r="O868" s="1" t="str">
        <f>IF(N868&lt;&gt;"",INDEX($L$2:$L$1705,MATCH(N868,$M$2:$M$1705,0)),"")</f>
        <v/>
      </c>
      <c r="P868" s="1" t="str">
        <f>IF(O868&lt;&gt;"",ROWS($O$2:O868),"")</f>
        <v/>
      </c>
    </row>
    <row r="869" spans="10:16" x14ac:dyDescent="0.2">
      <c r="J869" s="1">
        <f>COUNTIF($L$2:L869,L869)</f>
        <v>16</v>
      </c>
      <c r="K869" s="1">
        <f>A17</f>
        <v>1930</v>
      </c>
      <c r="L869" s="1" t="str">
        <f>E17</f>
        <v>USA</v>
      </c>
      <c r="M869" s="1" t="str">
        <f>IF(J869=1,J869+ROWS($J$2:J869)/10000,"")</f>
        <v/>
      </c>
      <c r="N869" s="1" t="str">
        <f>IFERROR(SMALL($M$2:$M$1705,ROWS($M$2:M869)),"")</f>
        <v/>
      </c>
      <c r="O869" s="1" t="str">
        <f>IF(N869&lt;&gt;"",INDEX($L$2:$L$1705,MATCH(N869,$M$2:$M$1705,0)),"")</f>
        <v/>
      </c>
      <c r="P869" s="1" t="str">
        <f>IF(O869&lt;&gt;"",ROWS($O$2:O869),"")</f>
        <v/>
      </c>
    </row>
    <row r="870" spans="10:16" x14ac:dyDescent="0.2">
      <c r="J870" s="1">
        <f>COUNTIF($L$2:L870,L870)</f>
        <v>18</v>
      </c>
      <c r="K870" s="1">
        <f>A18</f>
        <v>1930</v>
      </c>
      <c r="L870" s="1" t="str">
        <f>E18</f>
        <v>Yugoslavia</v>
      </c>
      <c r="M870" s="1" t="str">
        <f>IF(J870=1,J870+ROWS($J$2:J870)/10000,"")</f>
        <v/>
      </c>
      <c r="N870" s="1" t="str">
        <f>IFERROR(SMALL($M$2:$M$1705,ROWS($M$2:M870)),"")</f>
        <v/>
      </c>
      <c r="O870" s="1" t="str">
        <f>IF(N870&lt;&gt;"",INDEX($L$2:$L$1705,MATCH(N870,$M$2:$M$1705,0)),"")</f>
        <v/>
      </c>
      <c r="P870" s="1" t="str">
        <f>IF(O870&lt;&gt;"",ROWS($O$2:O870),"")</f>
        <v/>
      </c>
    </row>
    <row r="871" spans="10:16" x14ac:dyDescent="0.2">
      <c r="J871" s="1">
        <f>COUNTIF($L$2:L871,L871)</f>
        <v>55</v>
      </c>
      <c r="K871" s="1">
        <f>A19</f>
        <v>1930</v>
      </c>
      <c r="L871" s="1" t="str">
        <f>E19</f>
        <v>Argentina</v>
      </c>
      <c r="M871" s="1" t="str">
        <f>IF(J871=1,J871+ROWS($J$2:J871)/10000,"")</f>
        <v/>
      </c>
      <c r="N871" s="1" t="str">
        <f>IFERROR(SMALL($M$2:$M$1705,ROWS($M$2:M871)),"")</f>
        <v/>
      </c>
      <c r="O871" s="1" t="str">
        <f>IF(N871&lt;&gt;"",INDEX($L$2:$L$1705,MATCH(N871,$M$2:$M$1705,0)),"")</f>
        <v/>
      </c>
      <c r="P871" s="1" t="str">
        <f>IF(O871&lt;&gt;"",ROWS($O$2:O871),"")</f>
        <v/>
      </c>
    </row>
    <row r="872" spans="10:16" x14ac:dyDescent="0.2">
      <c r="J872" s="1">
        <f>COUNTIF($L$2:L872,L872)</f>
        <v>34</v>
      </c>
      <c r="K872" s="1">
        <f>A20</f>
        <v>1934</v>
      </c>
      <c r="L872" s="1" t="str">
        <f>E20</f>
        <v>France</v>
      </c>
      <c r="M872" s="1" t="str">
        <f>IF(J872=1,J872+ROWS($J$2:J872)/10000,"")</f>
        <v/>
      </c>
      <c r="N872" s="1" t="str">
        <f>IFERROR(SMALL($M$2:$M$1705,ROWS($M$2:M872)),"")</f>
        <v/>
      </c>
      <c r="O872" s="1" t="str">
        <f>IF(N872&lt;&gt;"",INDEX($L$2:$L$1705,MATCH(N872,$M$2:$M$1705,0)),"")</f>
        <v/>
      </c>
      <c r="P872" s="1" t="str">
        <f>IF(O872&lt;&gt;"",ROWS($O$2:O872),"")</f>
        <v/>
      </c>
    </row>
    <row r="873" spans="10:16" x14ac:dyDescent="0.2">
      <c r="J873" s="1">
        <f>COUNTIF($L$2:L873,L873)</f>
        <v>1</v>
      </c>
      <c r="K873" s="1">
        <f>A21</f>
        <v>1934</v>
      </c>
      <c r="L873" s="1" t="str">
        <f>E21</f>
        <v>Egypt</v>
      </c>
      <c r="M873" s="1">
        <f>IF(J873=1,J873+ROWS($J$2:J873)/10000,"")</f>
        <v>1.0871999999999999</v>
      </c>
      <c r="N873" s="1" t="str">
        <f>IFERROR(SMALL($M$2:$M$1705,ROWS($M$2:M873)),"")</f>
        <v/>
      </c>
      <c r="O873" s="1" t="str">
        <f>IF(N873&lt;&gt;"",INDEX($L$2:$L$1705,MATCH(N873,$M$2:$M$1705,0)),"")</f>
        <v/>
      </c>
      <c r="P873" s="1" t="str">
        <f>IF(O873&lt;&gt;"",ROWS($O$2:O873),"")</f>
        <v/>
      </c>
    </row>
    <row r="874" spans="10:16" x14ac:dyDescent="0.2">
      <c r="J874" s="1">
        <f>COUNTIF($L$2:L874,L874)</f>
        <v>33</v>
      </c>
      <c r="K874" s="1">
        <f>A22</f>
        <v>1934</v>
      </c>
      <c r="L874" s="1" t="str">
        <f>E22</f>
        <v>Netherlands</v>
      </c>
      <c r="M874" s="1" t="str">
        <f>IF(J874=1,J874+ROWS($J$2:J874)/10000,"")</f>
        <v/>
      </c>
      <c r="N874" s="1" t="str">
        <f>IFERROR(SMALL($M$2:$M$1705,ROWS($M$2:M874)),"")</f>
        <v/>
      </c>
      <c r="O874" s="1" t="str">
        <f>IF(N874&lt;&gt;"",INDEX($L$2:$L$1705,MATCH(N874,$M$2:$M$1705,0)),"")</f>
        <v/>
      </c>
      <c r="P874" s="1" t="str">
        <f>IF(O874&lt;&gt;"",ROWS($O$2:O874),"")</f>
        <v/>
      </c>
    </row>
    <row r="875" spans="10:16" x14ac:dyDescent="0.2">
      <c r="J875" s="1">
        <f>COUNTIF($L$2:L875,L875)</f>
        <v>56</v>
      </c>
      <c r="K875" s="1">
        <f>A23</f>
        <v>1934</v>
      </c>
      <c r="L875" s="1" t="str">
        <f>E23</f>
        <v>Argentina</v>
      </c>
      <c r="M875" s="1" t="str">
        <f>IF(J875=1,J875+ROWS($J$2:J875)/10000,"")</f>
        <v/>
      </c>
      <c r="N875" s="1" t="str">
        <f>IFERROR(SMALL($M$2:$M$1705,ROWS($M$2:M875)),"")</f>
        <v/>
      </c>
      <c r="O875" s="1" t="str">
        <f>IF(N875&lt;&gt;"",INDEX($L$2:$L$1705,MATCH(N875,$M$2:$M$1705,0)),"")</f>
        <v/>
      </c>
      <c r="P875" s="1" t="str">
        <f>IF(O875&lt;&gt;"",ROWS($O$2:O875),"")</f>
        <v/>
      </c>
    </row>
    <row r="876" spans="10:16" x14ac:dyDescent="0.2">
      <c r="J876" s="1">
        <f>COUNTIF($L$2:L876,L876)</f>
        <v>21</v>
      </c>
      <c r="K876" s="1">
        <f>A24</f>
        <v>1934</v>
      </c>
      <c r="L876" s="1" t="str">
        <f>E24</f>
        <v>Belgium</v>
      </c>
      <c r="M876" s="1" t="str">
        <f>IF(J876=1,J876+ROWS($J$2:J876)/10000,"")</f>
        <v/>
      </c>
      <c r="N876" s="1" t="str">
        <f>IFERROR(SMALL($M$2:$M$1705,ROWS($M$2:M876)),"")</f>
        <v/>
      </c>
      <c r="O876" s="1" t="str">
        <f>IF(N876&lt;&gt;"",INDEX($L$2:$L$1705,MATCH(N876,$M$2:$M$1705,0)),"")</f>
        <v/>
      </c>
      <c r="P876" s="1" t="str">
        <f>IF(O876&lt;&gt;"",ROWS($O$2:O876),"")</f>
        <v/>
      </c>
    </row>
    <row r="877" spans="10:16" x14ac:dyDescent="0.2">
      <c r="J877" s="1">
        <f>COUNTIF($L$2:L877,L877)</f>
        <v>84</v>
      </c>
      <c r="K877" s="1">
        <f>A25</f>
        <v>1934</v>
      </c>
      <c r="L877" s="1" t="str">
        <f>E25</f>
        <v>Brazil</v>
      </c>
      <c r="M877" s="1" t="str">
        <f>IF(J877=1,J877+ROWS($J$2:J877)/10000,"")</f>
        <v/>
      </c>
      <c r="N877" s="1" t="str">
        <f>IFERROR(SMALL($M$2:$M$1705,ROWS($M$2:M877)),"")</f>
        <v/>
      </c>
      <c r="O877" s="1" t="str">
        <f>IF(N877&lt;&gt;"",INDEX($L$2:$L$1705,MATCH(N877,$M$2:$M$1705,0)),"")</f>
        <v/>
      </c>
      <c r="P877" s="1" t="str">
        <f>IF(O877&lt;&gt;"",ROWS($O$2:O877),"")</f>
        <v/>
      </c>
    </row>
    <row r="878" spans="10:16" x14ac:dyDescent="0.2">
      <c r="J878" s="1">
        <f>COUNTIF($L$2:L878,L878)</f>
        <v>17</v>
      </c>
      <c r="K878" s="1">
        <f>A26</f>
        <v>1934</v>
      </c>
      <c r="L878" s="1" t="str">
        <f>E26</f>
        <v>USA</v>
      </c>
      <c r="M878" s="1" t="str">
        <f>IF(J878=1,J878+ROWS($J$2:J878)/10000,"")</f>
        <v/>
      </c>
      <c r="N878" s="1" t="str">
        <f>IFERROR(SMALL($M$2:$M$1705,ROWS($M$2:M878)),"")</f>
        <v/>
      </c>
      <c r="O878" s="1" t="str">
        <f>IF(N878&lt;&gt;"",INDEX($L$2:$L$1705,MATCH(N878,$M$2:$M$1705,0)),"")</f>
        <v/>
      </c>
      <c r="P878" s="1" t="str">
        <f>IF(O878&lt;&gt;"",ROWS($O$2:O878),"")</f>
        <v/>
      </c>
    </row>
    <row r="879" spans="10:16" x14ac:dyDescent="0.2">
      <c r="J879" s="1">
        <f>COUNTIF($L$2:L879,L879)</f>
        <v>11</v>
      </c>
      <c r="K879" s="1">
        <f>A27</f>
        <v>1934</v>
      </c>
      <c r="L879" s="1" t="str">
        <f>E27</f>
        <v>Romania</v>
      </c>
      <c r="M879" s="1" t="str">
        <f>IF(J879=1,J879+ROWS($J$2:J879)/10000,"")</f>
        <v/>
      </c>
      <c r="N879" s="1" t="str">
        <f>IFERROR(SMALL($M$2:$M$1705,ROWS($M$2:M879)),"")</f>
        <v/>
      </c>
      <c r="O879" s="1" t="str">
        <f>IF(N879&lt;&gt;"",INDEX($L$2:$L$1705,MATCH(N879,$M$2:$M$1705,0)),"")</f>
        <v/>
      </c>
      <c r="P879" s="1" t="str">
        <f>IF(O879&lt;&gt;"",ROWS($O$2:O879),"")</f>
        <v/>
      </c>
    </row>
    <row r="880" spans="10:16" x14ac:dyDescent="0.2">
      <c r="J880" s="1">
        <f>COUNTIF($L$2:L880,L880)</f>
        <v>13</v>
      </c>
      <c r="K880" s="1">
        <f>A28</f>
        <v>1934</v>
      </c>
      <c r="L880" s="1" t="str">
        <f>E28</f>
        <v>Switzerland</v>
      </c>
      <c r="M880" s="1" t="str">
        <f>IF(J880=1,J880+ROWS($J$2:J880)/10000,"")</f>
        <v/>
      </c>
      <c r="N880" s="1" t="str">
        <f>IFERROR(SMALL($M$2:$M$1705,ROWS($M$2:M880)),"")</f>
        <v/>
      </c>
      <c r="O880" s="1" t="str">
        <f>IF(N880&lt;&gt;"",INDEX($L$2:$L$1705,MATCH(N880,$M$2:$M$1705,0)),"")</f>
        <v/>
      </c>
      <c r="P880" s="1" t="str">
        <f>IF(O880&lt;&gt;"",ROWS($O$2:O880),"")</f>
        <v/>
      </c>
    </row>
    <row r="881" spans="10:16" x14ac:dyDescent="0.2">
      <c r="J881" s="1">
        <f>COUNTIF($L$2:L881,L881)</f>
        <v>28</v>
      </c>
      <c r="K881" s="1">
        <f>A29</f>
        <v>1934</v>
      </c>
      <c r="L881" s="1" t="str">
        <f>E29</f>
        <v>Sweden</v>
      </c>
      <c r="M881" s="1" t="str">
        <f>IF(J881=1,J881+ROWS($J$2:J881)/10000,"")</f>
        <v/>
      </c>
      <c r="N881" s="1" t="str">
        <f>IFERROR(SMALL($M$2:$M$1705,ROWS($M$2:M881)),"")</f>
        <v/>
      </c>
      <c r="O881" s="1" t="str">
        <f>IF(N881&lt;&gt;"",INDEX($L$2:$L$1705,MATCH(N881,$M$2:$M$1705,0)),"")</f>
        <v/>
      </c>
      <c r="P881" s="1" t="str">
        <f>IF(O881&lt;&gt;"",ROWS($O$2:O881),"")</f>
        <v/>
      </c>
    </row>
    <row r="882" spans="10:16" x14ac:dyDescent="0.2">
      <c r="J882" s="1">
        <f>COUNTIF($L$2:L882,L882)</f>
        <v>31</v>
      </c>
      <c r="K882" s="1">
        <f>A30</f>
        <v>1934</v>
      </c>
      <c r="L882" s="1" t="str">
        <f>E30</f>
        <v>Spain</v>
      </c>
      <c r="M882" s="1" t="str">
        <f>IF(J882=1,J882+ROWS($J$2:J882)/10000,"")</f>
        <v/>
      </c>
      <c r="N882" s="1" t="str">
        <f>IFERROR(SMALL($M$2:$M$1705,ROWS($M$2:M882)),"")</f>
        <v/>
      </c>
      <c r="O882" s="1" t="str">
        <f>IF(N882&lt;&gt;"",INDEX($L$2:$L$1705,MATCH(N882,$M$2:$M$1705,0)),"")</f>
        <v/>
      </c>
      <c r="P882" s="1" t="str">
        <f>IF(O882&lt;&gt;"",ROWS($O$2:O882),"")</f>
        <v/>
      </c>
    </row>
    <row r="883" spans="10:16" x14ac:dyDescent="0.2">
      <c r="J883" s="1">
        <f>COUNTIF($L$2:L883,L883)</f>
        <v>19</v>
      </c>
      <c r="K883" s="1">
        <f>A31</f>
        <v>1934</v>
      </c>
      <c r="L883" s="1" t="str">
        <f>E31</f>
        <v>Hungary</v>
      </c>
      <c r="M883" s="1" t="str">
        <f>IF(J883=1,J883+ROWS($J$2:J883)/10000,"")</f>
        <v/>
      </c>
      <c r="N883" s="1" t="str">
        <f>IFERROR(SMALL($M$2:$M$1705,ROWS($M$2:M883)),"")</f>
        <v/>
      </c>
      <c r="O883" s="1" t="str">
        <f>IF(N883&lt;&gt;"",INDEX($L$2:$L$1705,MATCH(N883,$M$2:$M$1705,0)),"")</f>
        <v/>
      </c>
      <c r="P883" s="1" t="str">
        <f>IF(O883&lt;&gt;"",ROWS($O$2:O883),"")</f>
        <v/>
      </c>
    </row>
    <row r="884" spans="10:16" x14ac:dyDescent="0.2">
      <c r="J884" s="1">
        <f>COUNTIF($L$2:L884,L884)</f>
        <v>32</v>
      </c>
      <c r="K884" s="1">
        <f>A32</f>
        <v>1934</v>
      </c>
      <c r="L884" s="1" t="str">
        <f>E32</f>
        <v>Spain</v>
      </c>
      <c r="M884" s="1" t="str">
        <f>IF(J884=1,J884+ROWS($J$2:J884)/10000,"")</f>
        <v/>
      </c>
      <c r="N884" s="1" t="str">
        <f>IFERROR(SMALL($M$2:$M$1705,ROWS($M$2:M884)),"")</f>
        <v/>
      </c>
      <c r="O884" s="1" t="str">
        <f>IF(N884&lt;&gt;"",INDEX($L$2:$L$1705,MATCH(N884,$M$2:$M$1705,0)),"")</f>
        <v/>
      </c>
      <c r="P884" s="1" t="str">
        <f>IF(O884&lt;&gt;"",ROWS($O$2:O884),"")</f>
        <v/>
      </c>
    </row>
    <row r="885" spans="10:16" x14ac:dyDescent="0.2">
      <c r="J885" s="1">
        <f>COUNTIF($L$2:L885,L885)</f>
        <v>14</v>
      </c>
      <c r="K885" s="1">
        <f>A33</f>
        <v>1934</v>
      </c>
      <c r="L885" s="1" t="str">
        <f>E33</f>
        <v>Austria</v>
      </c>
      <c r="M885" s="1" t="str">
        <f>IF(J885=1,J885+ROWS($J$2:J885)/10000,"")</f>
        <v/>
      </c>
      <c r="N885" s="1" t="str">
        <f>IFERROR(SMALL($M$2:$M$1705,ROWS($M$2:M885)),"")</f>
        <v/>
      </c>
      <c r="O885" s="1" t="str">
        <f>IF(N885&lt;&gt;"",INDEX($L$2:$L$1705,MATCH(N885,$M$2:$M$1705,0)),"")</f>
        <v/>
      </c>
      <c r="P885" s="1" t="str">
        <f>IF(O885&lt;&gt;"",ROWS($O$2:O885),"")</f>
        <v/>
      </c>
    </row>
    <row r="886" spans="10:16" x14ac:dyDescent="0.2">
      <c r="J886" s="1">
        <f>COUNTIF($L$2:L886,L886)</f>
        <v>35</v>
      </c>
      <c r="K886" s="1">
        <f>A34</f>
        <v>1934</v>
      </c>
      <c r="L886" s="1" t="str">
        <f>E34</f>
        <v>Germany</v>
      </c>
      <c r="M886" s="1" t="str">
        <f>IF(J886=1,J886+ROWS($J$2:J886)/10000,"")</f>
        <v/>
      </c>
      <c r="N886" s="1" t="str">
        <f>IFERROR(SMALL($M$2:$M$1705,ROWS($M$2:M886)),"")</f>
        <v/>
      </c>
      <c r="O886" s="1" t="str">
        <f>IF(N886&lt;&gt;"",INDEX($L$2:$L$1705,MATCH(N886,$M$2:$M$1705,0)),"")</f>
        <v/>
      </c>
      <c r="P886" s="1" t="str">
        <f>IF(O886&lt;&gt;"",ROWS($O$2:O886),"")</f>
        <v/>
      </c>
    </row>
    <row r="887" spans="10:16" x14ac:dyDescent="0.2">
      <c r="J887" s="1">
        <f>COUNTIF($L$2:L887,L887)</f>
        <v>15</v>
      </c>
      <c r="K887" s="1">
        <f>A35</f>
        <v>1934</v>
      </c>
      <c r="L887" s="1" t="str">
        <f>E35</f>
        <v>Austria</v>
      </c>
      <c r="M887" s="1" t="str">
        <f>IF(J887=1,J887+ROWS($J$2:J887)/10000,"")</f>
        <v/>
      </c>
      <c r="N887" s="1" t="str">
        <f>IFERROR(SMALL($M$2:$M$1705,ROWS($M$2:M887)),"")</f>
        <v/>
      </c>
      <c r="O887" s="1" t="str">
        <f>IF(N887&lt;&gt;"",INDEX($L$2:$L$1705,MATCH(N887,$M$2:$M$1705,0)),"")</f>
        <v/>
      </c>
      <c r="P887" s="1" t="str">
        <f>IF(O887&lt;&gt;"",ROWS($O$2:O887),"")</f>
        <v/>
      </c>
    </row>
    <row r="888" spans="10:16" x14ac:dyDescent="0.2">
      <c r="J888" s="1">
        <f>COUNTIF($L$2:L888,L888)</f>
        <v>11</v>
      </c>
      <c r="K888" s="1">
        <f>A36</f>
        <v>1934</v>
      </c>
      <c r="L888" s="1" t="str">
        <f>E36</f>
        <v>Czechoslovakia</v>
      </c>
      <c r="M888" s="1" t="str">
        <f>IF(J888=1,J888+ROWS($J$2:J888)/10000,"")</f>
        <v/>
      </c>
      <c r="N888" s="1" t="str">
        <f>IFERROR(SMALL($M$2:$M$1705,ROWS($M$2:M888)),"")</f>
        <v/>
      </c>
      <c r="O888" s="1" t="str">
        <f>IF(N888&lt;&gt;"",INDEX($L$2:$L$1705,MATCH(N888,$M$2:$M$1705,0)),"")</f>
        <v/>
      </c>
      <c r="P888" s="1" t="str">
        <f>IF(O888&lt;&gt;"",ROWS($O$2:O888),"")</f>
        <v/>
      </c>
    </row>
    <row r="889" spans="10:16" x14ac:dyDescent="0.2">
      <c r="J889" s="1">
        <f>COUNTIF($L$2:L889,L889)</f>
        <v>36</v>
      </c>
      <c r="K889" s="1">
        <f>A37</f>
        <v>1938</v>
      </c>
      <c r="L889" s="1" t="str">
        <f>E37</f>
        <v>Germany</v>
      </c>
      <c r="M889" s="1" t="str">
        <f>IF(J889=1,J889+ROWS($J$2:J889)/10000,"")</f>
        <v/>
      </c>
      <c r="N889" s="1" t="str">
        <f>IFERROR(SMALL($M$2:$M$1705,ROWS($M$2:M889)),"")</f>
        <v/>
      </c>
      <c r="O889" s="1" t="str">
        <f>IF(N889&lt;&gt;"",INDEX($L$2:$L$1705,MATCH(N889,$M$2:$M$1705,0)),"")</f>
        <v/>
      </c>
      <c r="P889" s="1" t="str">
        <f>IF(O889&lt;&gt;"",ROWS($O$2:O889),"")</f>
        <v/>
      </c>
    </row>
    <row r="890" spans="10:16" x14ac:dyDescent="0.2">
      <c r="J890" s="1">
        <f>COUNTIF($L$2:L890,L890)</f>
        <v>1</v>
      </c>
      <c r="K890" s="1">
        <f>A38</f>
        <v>1938</v>
      </c>
      <c r="L890" s="1" t="str">
        <f>E38</f>
        <v>Dutch East Indies</v>
      </c>
      <c r="M890" s="1">
        <f>IF(J890=1,J890+ROWS($J$2:J890)/10000,"")</f>
        <v>1.0889</v>
      </c>
      <c r="N890" s="1" t="str">
        <f>IFERROR(SMALL($M$2:$M$1705,ROWS($M$2:M890)),"")</f>
        <v/>
      </c>
      <c r="O890" s="1" t="str">
        <f>IF(N890&lt;&gt;"",INDEX($L$2:$L$1705,MATCH(N890,$M$2:$M$1705,0)),"")</f>
        <v/>
      </c>
      <c r="P890" s="1" t="str">
        <f>IF(O890&lt;&gt;"",ROWS($O$2:O890),"")</f>
        <v/>
      </c>
    </row>
    <row r="891" spans="10:16" x14ac:dyDescent="0.2">
      <c r="J891" s="1">
        <f>COUNTIF($L$2:L891,L891)</f>
        <v>22</v>
      </c>
      <c r="K891" s="1">
        <f>A39</f>
        <v>1938</v>
      </c>
      <c r="L891" s="1" t="str">
        <f>E39</f>
        <v>Belgium</v>
      </c>
      <c r="M891" s="1" t="str">
        <f>IF(J891=1,J891+ROWS($J$2:J891)/10000,"")</f>
        <v/>
      </c>
      <c r="N891" s="1" t="str">
        <f>IFERROR(SMALL($M$2:$M$1705,ROWS($M$2:M891)),"")</f>
        <v/>
      </c>
      <c r="O891" s="1" t="str">
        <f>IF(N891&lt;&gt;"",INDEX($L$2:$L$1705,MATCH(N891,$M$2:$M$1705,0)),"")</f>
        <v/>
      </c>
      <c r="P891" s="1" t="str">
        <f>IF(O891&lt;&gt;"",ROWS($O$2:O891),"")</f>
        <v/>
      </c>
    </row>
    <row r="892" spans="10:16" x14ac:dyDescent="0.2">
      <c r="J892" s="1">
        <f>COUNTIF($L$2:L892,L892)</f>
        <v>12</v>
      </c>
      <c r="K892" s="1">
        <f>A40</f>
        <v>1938</v>
      </c>
      <c r="L892" s="1" t="str">
        <f>E40</f>
        <v>Romania</v>
      </c>
      <c r="M892" s="1" t="str">
        <f>IF(J892=1,J892+ROWS($J$2:J892)/10000,"")</f>
        <v/>
      </c>
      <c r="N892" s="1" t="str">
        <f>IFERROR(SMALL($M$2:$M$1705,ROWS($M$2:M892)),"")</f>
        <v/>
      </c>
      <c r="O892" s="1" t="str">
        <f>IF(N892&lt;&gt;"",INDEX($L$2:$L$1705,MATCH(N892,$M$2:$M$1705,0)),"")</f>
        <v/>
      </c>
      <c r="P892" s="1" t="str">
        <f>IF(O892&lt;&gt;"",ROWS($O$2:O892),"")</f>
        <v/>
      </c>
    </row>
    <row r="893" spans="10:16" x14ac:dyDescent="0.2">
      <c r="J893" s="1">
        <f>COUNTIF($L$2:L893,L893)</f>
        <v>2</v>
      </c>
      <c r="K893" s="1">
        <f>A41</f>
        <v>1938</v>
      </c>
      <c r="L893" s="1" t="str">
        <f>E41</f>
        <v>Norway</v>
      </c>
      <c r="M893" s="1" t="str">
        <f>IF(J893=1,J893+ROWS($J$2:J893)/10000,"")</f>
        <v/>
      </c>
      <c r="N893" s="1" t="str">
        <f>IFERROR(SMALL($M$2:$M$1705,ROWS($M$2:M893)),"")</f>
        <v/>
      </c>
      <c r="O893" s="1" t="str">
        <f>IF(N893&lt;&gt;"",INDEX($L$2:$L$1705,MATCH(N893,$M$2:$M$1705,0)),"")</f>
        <v/>
      </c>
      <c r="P893" s="1" t="str">
        <f>IF(O893&lt;&gt;"",ROWS($O$2:O893),"")</f>
        <v/>
      </c>
    </row>
    <row r="894" spans="10:16" x14ac:dyDescent="0.2">
      <c r="J894" s="1">
        <f>COUNTIF($L$2:L894,L894)</f>
        <v>17</v>
      </c>
      <c r="K894" s="1">
        <f>A42</f>
        <v>1938</v>
      </c>
      <c r="L894" s="1" t="str">
        <f>E42</f>
        <v>Poland</v>
      </c>
      <c r="M894" s="1" t="str">
        <f>IF(J894=1,J894+ROWS($J$2:J894)/10000,"")</f>
        <v/>
      </c>
      <c r="N894" s="1" t="str">
        <f>IFERROR(SMALL($M$2:$M$1705,ROWS($M$2:M894)),"")</f>
        <v/>
      </c>
      <c r="O894" s="1" t="str">
        <f>IF(N894&lt;&gt;"",INDEX($L$2:$L$1705,MATCH(N894,$M$2:$M$1705,0)),"")</f>
        <v/>
      </c>
      <c r="P894" s="1" t="str">
        <f>IF(O894&lt;&gt;"",ROWS($O$2:O894),"")</f>
        <v/>
      </c>
    </row>
    <row r="895" spans="10:16" x14ac:dyDescent="0.2">
      <c r="J895" s="1">
        <f>COUNTIF($L$2:L895,L895)</f>
        <v>34</v>
      </c>
      <c r="K895" s="1">
        <f>A43</f>
        <v>1938</v>
      </c>
      <c r="L895" s="1" t="str">
        <f>E43</f>
        <v>Netherlands</v>
      </c>
      <c r="M895" s="1" t="str">
        <f>IF(J895=1,J895+ROWS($J$2:J895)/10000,"")</f>
        <v/>
      </c>
      <c r="N895" s="1" t="str">
        <f>IFERROR(SMALL($M$2:$M$1705,ROWS($M$2:M895)),"")</f>
        <v/>
      </c>
      <c r="O895" s="1" t="str">
        <f>IF(N895&lt;&gt;"",INDEX($L$2:$L$1705,MATCH(N895,$M$2:$M$1705,0)),"")</f>
        <v/>
      </c>
      <c r="P895" s="1" t="str">
        <f>IF(O895&lt;&gt;"",ROWS($O$2:O895),"")</f>
        <v/>
      </c>
    </row>
    <row r="896" spans="10:16" x14ac:dyDescent="0.2">
      <c r="J896" s="1">
        <f>COUNTIF($L$2:L896,L896)</f>
        <v>13</v>
      </c>
      <c r="K896" s="1">
        <f>A44</f>
        <v>1938</v>
      </c>
      <c r="L896" s="1" t="str">
        <f>E44</f>
        <v>Romania</v>
      </c>
      <c r="M896" s="1" t="str">
        <f>IF(J896=1,J896+ROWS($J$2:J896)/10000,"")</f>
        <v/>
      </c>
      <c r="N896" s="1" t="str">
        <f>IFERROR(SMALL($M$2:$M$1705,ROWS($M$2:M896)),"")</f>
        <v/>
      </c>
      <c r="O896" s="1" t="str">
        <f>IF(N896&lt;&gt;"",INDEX($L$2:$L$1705,MATCH(N896,$M$2:$M$1705,0)),"")</f>
        <v/>
      </c>
      <c r="P896" s="1" t="str">
        <f>IF(O896&lt;&gt;"",ROWS($O$2:O896),"")</f>
        <v/>
      </c>
    </row>
    <row r="897" spans="10:16" x14ac:dyDescent="0.2">
      <c r="J897" s="1">
        <f>COUNTIF($L$2:L897,L897)</f>
        <v>37</v>
      </c>
      <c r="K897" s="1">
        <f>A45</f>
        <v>1938</v>
      </c>
      <c r="L897" s="1" t="str">
        <f>E45</f>
        <v>Germany</v>
      </c>
      <c r="M897" s="1" t="str">
        <f>IF(J897=1,J897+ROWS($J$2:J897)/10000,"")</f>
        <v/>
      </c>
      <c r="N897" s="1" t="str">
        <f>IFERROR(SMALL($M$2:$M$1705,ROWS($M$2:M897)),"")</f>
        <v/>
      </c>
      <c r="O897" s="1" t="str">
        <f>IF(N897&lt;&gt;"",INDEX($L$2:$L$1705,MATCH(N897,$M$2:$M$1705,0)),"")</f>
        <v/>
      </c>
      <c r="P897" s="1" t="str">
        <f>IF(O897&lt;&gt;"",ROWS($O$2:O897),"")</f>
        <v/>
      </c>
    </row>
    <row r="898" spans="10:16" x14ac:dyDescent="0.2">
      <c r="J898" s="1">
        <f>COUNTIF($L$2:L898,L898)</f>
        <v>12</v>
      </c>
      <c r="K898" s="1">
        <f>A46</f>
        <v>1938</v>
      </c>
      <c r="L898" s="1" t="str">
        <f>E46</f>
        <v>Czechoslovakia</v>
      </c>
      <c r="M898" s="1" t="str">
        <f>IF(J898=1,J898+ROWS($J$2:J898)/10000,"")</f>
        <v/>
      </c>
      <c r="N898" s="1" t="str">
        <f>IFERROR(SMALL($M$2:$M$1705,ROWS($M$2:M898)),"")</f>
        <v/>
      </c>
      <c r="O898" s="1" t="str">
        <f>IF(N898&lt;&gt;"",INDEX($L$2:$L$1705,MATCH(N898,$M$2:$M$1705,0)),"")</f>
        <v/>
      </c>
      <c r="P898" s="1" t="str">
        <f>IF(O898&lt;&gt;"",ROWS($O$2:O898),"")</f>
        <v/>
      </c>
    </row>
    <row r="899" spans="10:16" x14ac:dyDescent="0.2">
      <c r="J899" s="1">
        <f>COUNTIF($L$2:L899,L899)</f>
        <v>14</v>
      </c>
      <c r="K899" s="1">
        <f>A47</f>
        <v>1938</v>
      </c>
      <c r="L899" s="1" t="str">
        <f>E47</f>
        <v>Switzerland</v>
      </c>
      <c r="M899" s="1" t="str">
        <f>IF(J899=1,J899+ROWS($J$2:J899)/10000,"")</f>
        <v/>
      </c>
      <c r="N899" s="1" t="str">
        <f>IFERROR(SMALL($M$2:$M$1705,ROWS($M$2:M899)),"")</f>
        <v/>
      </c>
      <c r="O899" s="1" t="str">
        <f>IF(N899&lt;&gt;"",INDEX($L$2:$L$1705,MATCH(N899,$M$2:$M$1705,0)),"")</f>
        <v/>
      </c>
      <c r="P899" s="1" t="str">
        <f>IF(O899&lt;&gt;"",ROWS($O$2:O899),"")</f>
        <v/>
      </c>
    </row>
    <row r="900" spans="10:16" x14ac:dyDescent="0.2">
      <c r="J900" s="1">
        <f>COUNTIF($L$2:L900,L900)</f>
        <v>3</v>
      </c>
      <c r="K900" s="1">
        <f>A48</f>
        <v>1938</v>
      </c>
      <c r="L900" s="1" t="str">
        <f>E48</f>
        <v>Cuba</v>
      </c>
      <c r="M900" s="1" t="str">
        <f>IF(J900=1,J900+ROWS($J$2:J900)/10000,"")</f>
        <v/>
      </c>
      <c r="N900" s="1" t="str">
        <f>IFERROR(SMALL($M$2:$M$1705,ROWS($M$2:M900)),"")</f>
        <v/>
      </c>
      <c r="O900" s="1" t="str">
        <f>IF(N900&lt;&gt;"",INDEX($L$2:$L$1705,MATCH(N900,$M$2:$M$1705,0)),"")</f>
        <v/>
      </c>
      <c r="P900" s="1" t="str">
        <f>IF(O900&lt;&gt;"",ROWS($O$2:O900),"")</f>
        <v/>
      </c>
    </row>
    <row r="901" spans="10:16" x14ac:dyDescent="0.2">
      <c r="J901" s="1">
        <f>COUNTIF($L$2:L901,L901)</f>
        <v>35</v>
      </c>
      <c r="K901" s="1">
        <f>A49</f>
        <v>1938</v>
      </c>
      <c r="L901" s="1" t="str">
        <f>E49</f>
        <v>France</v>
      </c>
      <c r="M901" s="1" t="str">
        <f>IF(J901=1,J901+ROWS($J$2:J901)/10000,"")</f>
        <v/>
      </c>
      <c r="N901" s="1" t="str">
        <f>IFERROR(SMALL($M$2:$M$1705,ROWS($M$2:M901)),"")</f>
        <v/>
      </c>
      <c r="O901" s="1" t="str">
        <f>IF(N901&lt;&gt;"",INDEX($L$2:$L$1705,MATCH(N901,$M$2:$M$1705,0)),"")</f>
        <v/>
      </c>
      <c r="P901" s="1" t="str">
        <f>IF(O901&lt;&gt;"",ROWS($O$2:O901),"")</f>
        <v/>
      </c>
    </row>
    <row r="902" spans="10:16" x14ac:dyDescent="0.2">
      <c r="J902" s="1">
        <f>COUNTIF($L$2:L902,L902)</f>
        <v>13</v>
      </c>
      <c r="K902" s="1">
        <f>A50</f>
        <v>1938</v>
      </c>
      <c r="L902" s="1" t="str">
        <f>E50</f>
        <v>Czechoslovakia</v>
      </c>
      <c r="M902" s="1" t="str">
        <f>IF(J902=1,J902+ROWS($J$2:J902)/10000,"")</f>
        <v/>
      </c>
      <c r="N902" s="1" t="str">
        <f>IFERROR(SMALL($M$2:$M$1705,ROWS($M$2:M902)),"")</f>
        <v/>
      </c>
      <c r="O902" s="1" t="str">
        <f>IF(N902&lt;&gt;"",INDEX($L$2:$L$1705,MATCH(N902,$M$2:$M$1705,0)),"")</f>
        <v/>
      </c>
      <c r="P902" s="1" t="str">
        <f>IF(O902&lt;&gt;"",ROWS($O$2:O902),"")</f>
        <v/>
      </c>
    </row>
    <row r="903" spans="10:16" x14ac:dyDescent="0.2">
      <c r="J903" s="1">
        <f>COUNTIF($L$2:L903,L903)</f>
        <v>29</v>
      </c>
      <c r="K903" s="1">
        <f>A51</f>
        <v>1938</v>
      </c>
      <c r="L903" s="1" t="str">
        <f>E51</f>
        <v>Sweden</v>
      </c>
      <c r="M903" s="1" t="str">
        <f>IF(J903=1,J903+ROWS($J$2:J903)/10000,"")</f>
        <v/>
      </c>
      <c r="N903" s="1" t="str">
        <f>IFERROR(SMALL($M$2:$M$1705,ROWS($M$2:M903)),"")</f>
        <v/>
      </c>
      <c r="O903" s="1" t="str">
        <f>IF(N903&lt;&gt;"",INDEX($L$2:$L$1705,MATCH(N903,$M$2:$M$1705,0)),"")</f>
        <v/>
      </c>
      <c r="P903" s="1" t="str">
        <f>IF(O903&lt;&gt;"",ROWS($O$2:O903),"")</f>
        <v/>
      </c>
    </row>
    <row r="904" spans="10:16" x14ac:dyDescent="0.2">
      <c r="J904" s="1">
        <f>COUNTIF($L$2:L904,L904)</f>
        <v>85</v>
      </c>
      <c r="K904" s="1">
        <f>A52</f>
        <v>1938</v>
      </c>
      <c r="L904" s="1" t="str">
        <f>E52</f>
        <v>Brazil</v>
      </c>
      <c r="M904" s="1" t="str">
        <f>IF(J904=1,J904+ROWS($J$2:J904)/10000,"")</f>
        <v/>
      </c>
      <c r="N904" s="1" t="str">
        <f>IFERROR(SMALL($M$2:$M$1705,ROWS($M$2:M904)),"")</f>
        <v/>
      </c>
      <c r="O904" s="1" t="str">
        <f>IF(N904&lt;&gt;"",INDEX($L$2:$L$1705,MATCH(N904,$M$2:$M$1705,0)),"")</f>
        <v/>
      </c>
      <c r="P904" s="1" t="str">
        <f>IF(O904&lt;&gt;"",ROWS($O$2:O904),"")</f>
        <v/>
      </c>
    </row>
    <row r="905" spans="10:16" x14ac:dyDescent="0.2">
      <c r="J905" s="1">
        <f>COUNTIF($L$2:L905,L905)</f>
        <v>30</v>
      </c>
      <c r="K905" s="1">
        <f>A53</f>
        <v>1938</v>
      </c>
      <c r="L905" s="1" t="str">
        <f>E53</f>
        <v>Sweden</v>
      </c>
      <c r="M905" s="1" t="str">
        <f>IF(J905=1,J905+ROWS($J$2:J905)/10000,"")</f>
        <v/>
      </c>
      <c r="N905" s="1" t="str">
        <f>IFERROR(SMALL($M$2:$M$1705,ROWS($M$2:M905)),"")</f>
        <v/>
      </c>
      <c r="O905" s="1" t="str">
        <f>IF(N905&lt;&gt;"",INDEX($L$2:$L$1705,MATCH(N905,$M$2:$M$1705,0)),"")</f>
        <v/>
      </c>
      <c r="P905" s="1" t="str">
        <f>IF(O905&lt;&gt;"",ROWS($O$2:O905),"")</f>
        <v/>
      </c>
    </row>
    <row r="906" spans="10:16" x14ac:dyDescent="0.2">
      <c r="J906" s="1">
        <f>COUNTIF($L$2:L906,L906)</f>
        <v>20</v>
      </c>
      <c r="K906" s="1">
        <f>A54</f>
        <v>1938</v>
      </c>
      <c r="L906" s="1" t="str">
        <f>E54</f>
        <v>Hungary</v>
      </c>
      <c r="M906" s="1" t="str">
        <f>IF(J906=1,J906+ROWS($J$2:J906)/10000,"")</f>
        <v/>
      </c>
      <c r="N906" s="1" t="str">
        <f>IFERROR(SMALL($M$2:$M$1705,ROWS($M$2:M906)),"")</f>
        <v/>
      </c>
      <c r="O906" s="1" t="str">
        <f>IF(N906&lt;&gt;"",INDEX($L$2:$L$1705,MATCH(N906,$M$2:$M$1705,0)),"")</f>
        <v/>
      </c>
      <c r="P906" s="1" t="str">
        <f>IF(O906&lt;&gt;"",ROWS($O$2:O906),"")</f>
        <v/>
      </c>
    </row>
    <row r="907" spans="10:16" x14ac:dyDescent="0.2">
      <c r="J907" s="1">
        <f>COUNTIF($L$2:L907,L907)</f>
        <v>20</v>
      </c>
      <c r="K907" s="1">
        <f>A55</f>
        <v>1950</v>
      </c>
      <c r="L907" s="1" t="str">
        <f>E55</f>
        <v>Mexico</v>
      </c>
      <c r="M907" s="1" t="str">
        <f>IF(J907=1,J907+ROWS($J$2:J907)/10000,"")</f>
        <v/>
      </c>
      <c r="N907" s="1" t="str">
        <f>IFERROR(SMALL($M$2:$M$1705,ROWS($M$2:M907)),"")</f>
        <v/>
      </c>
      <c r="O907" s="1" t="str">
        <f>IF(N907&lt;&gt;"",INDEX($L$2:$L$1705,MATCH(N907,$M$2:$M$1705,0)),"")</f>
        <v/>
      </c>
      <c r="P907" s="1" t="str">
        <f>IF(O907&lt;&gt;"",ROWS($O$2:O907),"")</f>
        <v/>
      </c>
    </row>
    <row r="908" spans="10:16" x14ac:dyDescent="0.2">
      <c r="J908" s="1">
        <f>COUNTIF($L$2:L908,L908)</f>
        <v>16</v>
      </c>
      <c r="K908" s="1">
        <f>A56</f>
        <v>1950</v>
      </c>
      <c r="L908" s="1" t="str">
        <f>E56</f>
        <v>Chile</v>
      </c>
      <c r="M908" s="1" t="str">
        <f>IF(J908=1,J908+ROWS($J$2:J908)/10000,"")</f>
        <v/>
      </c>
      <c r="N908" s="1" t="str">
        <f>IFERROR(SMALL($M$2:$M$1705,ROWS($M$2:M908)),"")</f>
        <v/>
      </c>
      <c r="O908" s="1" t="str">
        <f>IF(N908&lt;&gt;"",INDEX($L$2:$L$1705,MATCH(N908,$M$2:$M$1705,0)),"")</f>
        <v/>
      </c>
      <c r="P908" s="1" t="str">
        <f>IF(O908&lt;&gt;"",ROWS($O$2:O908),"")</f>
        <v/>
      </c>
    </row>
    <row r="909" spans="10:16" x14ac:dyDescent="0.2">
      <c r="J909" s="1">
        <f>COUNTIF($L$2:L909,L909)</f>
        <v>18</v>
      </c>
      <c r="K909" s="1">
        <f>A57</f>
        <v>1950</v>
      </c>
      <c r="L909" s="1" t="str">
        <f>E57</f>
        <v>USA</v>
      </c>
      <c r="M909" s="1" t="str">
        <f>IF(J909=1,J909+ROWS($J$2:J909)/10000,"")</f>
        <v/>
      </c>
      <c r="N909" s="1" t="str">
        <f>IFERROR(SMALL($M$2:$M$1705,ROWS($M$2:M909)),"")</f>
        <v/>
      </c>
      <c r="O909" s="1" t="str">
        <f>IF(N909&lt;&gt;"",INDEX($L$2:$L$1705,MATCH(N909,$M$2:$M$1705,0)),"")</f>
        <v/>
      </c>
      <c r="P909" s="1" t="str">
        <f>IF(O909&lt;&gt;"",ROWS($O$2:O909),"")</f>
        <v/>
      </c>
    </row>
    <row r="910" spans="10:16" x14ac:dyDescent="0.2">
      <c r="J910" s="1">
        <f>COUNTIF($L$2:L910,L910)</f>
        <v>58</v>
      </c>
      <c r="K910" s="1">
        <f>A58</f>
        <v>1950</v>
      </c>
      <c r="L910" s="1" t="str">
        <f>E58</f>
        <v>Italy</v>
      </c>
      <c r="M910" s="1" t="str">
        <f>IF(J910=1,J910+ROWS($J$2:J910)/10000,"")</f>
        <v/>
      </c>
      <c r="N910" s="1" t="str">
        <f>IFERROR(SMALL($M$2:$M$1705,ROWS($M$2:M910)),"")</f>
        <v/>
      </c>
      <c r="O910" s="1" t="str">
        <f>IF(N910&lt;&gt;"",INDEX($L$2:$L$1705,MATCH(N910,$M$2:$M$1705,0)),"")</f>
        <v/>
      </c>
      <c r="P910" s="1" t="str">
        <f>IF(O910&lt;&gt;"",ROWS($O$2:O910),"")</f>
        <v/>
      </c>
    </row>
    <row r="911" spans="10:16" x14ac:dyDescent="0.2">
      <c r="J911" s="1">
        <f>COUNTIF($L$2:L911,L911)</f>
        <v>15</v>
      </c>
      <c r="K911" s="1">
        <f>A59</f>
        <v>1950</v>
      </c>
      <c r="L911" s="1" t="str">
        <f>E59</f>
        <v>Switzerland</v>
      </c>
      <c r="M911" s="1" t="str">
        <f>IF(J911=1,J911+ROWS($J$2:J911)/10000,"")</f>
        <v/>
      </c>
      <c r="N911" s="1" t="str">
        <f>IFERROR(SMALL($M$2:$M$1705,ROWS($M$2:M911)),"")</f>
        <v/>
      </c>
      <c r="O911" s="1" t="str">
        <f>IF(N911&lt;&gt;"",INDEX($L$2:$L$1705,MATCH(N911,$M$2:$M$1705,0)),"")</f>
        <v/>
      </c>
      <c r="P911" s="1" t="str">
        <f>IF(O911&lt;&gt;"",ROWS($O$2:O911),"")</f>
        <v/>
      </c>
    </row>
    <row r="912" spans="10:16" x14ac:dyDescent="0.2">
      <c r="J912" s="1">
        <f>COUNTIF($L$2:L912,L912)</f>
        <v>16</v>
      </c>
      <c r="K912" s="1">
        <f>A60</f>
        <v>1950</v>
      </c>
      <c r="L912" s="1" t="str">
        <f>E60</f>
        <v>Switzerland</v>
      </c>
      <c r="M912" s="1" t="str">
        <f>IF(J912=1,J912+ROWS($J$2:J912)/10000,"")</f>
        <v/>
      </c>
      <c r="N912" s="1" t="str">
        <f>IFERROR(SMALL($M$2:$M$1705,ROWS($M$2:M912)),"")</f>
        <v/>
      </c>
      <c r="O912" s="1" t="str">
        <f>IF(N912&lt;&gt;"",INDEX($L$2:$L$1705,MATCH(N912,$M$2:$M$1705,0)),"")</f>
        <v/>
      </c>
      <c r="P912" s="1" t="str">
        <f>IF(O912&lt;&gt;"",ROWS($O$2:O912),"")</f>
        <v/>
      </c>
    </row>
    <row r="913" spans="10:16" x14ac:dyDescent="0.2">
      <c r="J913" s="1">
        <f>COUNTIF($L$2:L913,L913)</f>
        <v>21</v>
      </c>
      <c r="K913" s="1">
        <f>A61</f>
        <v>1950</v>
      </c>
      <c r="L913" s="1" t="str">
        <f>E61</f>
        <v>Mexico</v>
      </c>
      <c r="M913" s="1" t="str">
        <f>IF(J913=1,J913+ROWS($J$2:J913)/10000,"")</f>
        <v/>
      </c>
      <c r="N913" s="1" t="str">
        <f>IFERROR(SMALL($M$2:$M$1705,ROWS($M$2:M913)),"")</f>
        <v/>
      </c>
      <c r="O913" s="1" t="str">
        <f>IF(N913&lt;&gt;"",INDEX($L$2:$L$1705,MATCH(N913,$M$2:$M$1705,0)),"")</f>
        <v/>
      </c>
      <c r="P913" s="1" t="str">
        <f>IF(O913&lt;&gt;"",ROWS($O$2:O913),"")</f>
        <v/>
      </c>
    </row>
    <row r="914" spans="10:16" x14ac:dyDescent="0.2">
      <c r="J914" s="1">
        <f>COUNTIF($L$2:L914,L914)</f>
        <v>17</v>
      </c>
      <c r="K914" s="1">
        <f>A62</f>
        <v>1950</v>
      </c>
      <c r="L914" s="1" t="str">
        <f>E62</f>
        <v>Chile</v>
      </c>
      <c r="M914" s="1" t="str">
        <f>IF(J914=1,J914+ROWS($J$2:J914)/10000,"")</f>
        <v/>
      </c>
      <c r="N914" s="1" t="str">
        <f>IFERROR(SMALL($M$2:$M$1705,ROWS($M$2:M914)),"")</f>
        <v/>
      </c>
      <c r="O914" s="1" t="str">
        <f>IF(N914&lt;&gt;"",INDEX($L$2:$L$1705,MATCH(N914,$M$2:$M$1705,0)),"")</f>
        <v/>
      </c>
      <c r="P914" s="1" t="str">
        <f>IF(O914&lt;&gt;"",ROWS($O$2:O914),"")</f>
        <v/>
      </c>
    </row>
    <row r="915" spans="10:16" x14ac:dyDescent="0.2">
      <c r="J915" s="1">
        <f>COUNTIF($L$2:L915,L915)</f>
        <v>13</v>
      </c>
      <c r="K915" s="1">
        <f>A63</f>
        <v>1950</v>
      </c>
      <c r="L915" s="1" t="str">
        <f>E63</f>
        <v>Paraguay</v>
      </c>
      <c r="M915" s="1" t="str">
        <f>IF(J915=1,J915+ROWS($J$2:J915)/10000,"")</f>
        <v/>
      </c>
      <c r="N915" s="1" t="str">
        <f>IFERROR(SMALL($M$2:$M$1705,ROWS($M$2:M915)),"")</f>
        <v/>
      </c>
      <c r="O915" s="1" t="str">
        <f>IF(N915&lt;&gt;"",INDEX($L$2:$L$1705,MATCH(N915,$M$2:$M$1705,0)),"")</f>
        <v/>
      </c>
      <c r="P915" s="1" t="str">
        <f>IF(O915&lt;&gt;"",ROWS($O$2:O915),"")</f>
        <v/>
      </c>
    </row>
    <row r="916" spans="10:16" x14ac:dyDescent="0.2">
      <c r="J916" s="1">
        <f>COUNTIF($L$2:L916,L916)</f>
        <v>36</v>
      </c>
      <c r="K916" s="1">
        <f>A64</f>
        <v>1950</v>
      </c>
      <c r="L916" s="1" t="str">
        <f>E64</f>
        <v>England</v>
      </c>
      <c r="M916" s="1" t="str">
        <f>IF(J916=1,J916+ROWS($J$2:J916)/10000,"")</f>
        <v/>
      </c>
      <c r="N916" s="1" t="str">
        <f>IFERROR(SMALL($M$2:$M$1705,ROWS($M$2:M916)),"")</f>
        <v/>
      </c>
      <c r="O916" s="1" t="str">
        <f>IF(N916&lt;&gt;"",INDEX($L$2:$L$1705,MATCH(N916,$M$2:$M$1705,0)),"")</f>
        <v/>
      </c>
      <c r="P916" s="1" t="str">
        <f>IF(O916&lt;&gt;"",ROWS($O$2:O916),"")</f>
        <v/>
      </c>
    </row>
    <row r="917" spans="10:16" x14ac:dyDescent="0.2">
      <c r="J917" s="1">
        <f>COUNTIF($L$2:L917,L917)</f>
        <v>19</v>
      </c>
      <c r="K917" s="1">
        <f>A65</f>
        <v>1950</v>
      </c>
      <c r="L917" s="1" t="str">
        <f>E65</f>
        <v>Yugoslavia</v>
      </c>
      <c r="M917" s="1" t="str">
        <f>IF(J917=1,J917+ROWS($J$2:J917)/10000,"")</f>
        <v/>
      </c>
      <c r="N917" s="1" t="str">
        <f>IFERROR(SMALL($M$2:$M$1705,ROWS($M$2:M917)),"")</f>
        <v/>
      </c>
      <c r="O917" s="1" t="str">
        <f>IF(N917&lt;&gt;"",INDEX($L$2:$L$1705,MATCH(N917,$M$2:$M$1705,0)),"")</f>
        <v/>
      </c>
      <c r="P917" s="1" t="str">
        <f>IF(O917&lt;&gt;"",ROWS($O$2:O917),"")</f>
        <v/>
      </c>
    </row>
    <row r="918" spans="10:16" x14ac:dyDescent="0.2">
      <c r="J918" s="1">
        <f>COUNTIF($L$2:L918,L918)</f>
        <v>37</v>
      </c>
      <c r="K918" s="1">
        <f>A66</f>
        <v>1950</v>
      </c>
      <c r="L918" s="1" t="str">
        <f>E66</f>
        <v>England</v>
      </c>
      <c r="M918" s="1" t="str">
        <f>IF(J918=1,J918+ROWS($J$2:J918)/10000,"")</f>
        <v/>
      </c>
      <c r="N918" s="1" t="str">
        <f>IFERROR(SMALL($M$2:$M$1705,ROWS($M$2:M918)),"")</f>
        <v/>
      </c>
      <c r="O918" s="1" t="str">
        <f>IF(N918&lt;&gt;"",INDEX($L$2:$L$1705,MATCH(N918,$M$2:$M$1705,0)),"")</f>
        <v/>
      </c>
      <c r="P918" s="1" t="str">
        <f>IF(O918&lt;&gt;"",ROWS($O$2:O918),"")</f>
        <v/>
      </c>
    </row>
    <row r="919" spans="10:16" x14ac:dyDescent="0.2">
      <c r="J919" s="1">
        <f>COUNTIF($L$2:L919,L919)</f>
        <v>14</v>
      </c>
      <c r="K919" s="1">
        <f>A67</f>
        <v>1950</v>
      </c>
      <c r="L919" s="1" t="str">
        <f>E67</f>
        <v>Paraguay</v>
      </c>
      <c r="M919" s="1" t="str">
        <f>IF(J919=1,J919+ROWS($J$2:J919)/10000,"")</f>
        <v/>
      </c>
      <c r="N919" s="1" t="str">
        <f>IFERROR(SMALL($M$2:$M$1705,ROWS($M$2:M919)),"")</f>
        <v/>
      </c>
      <c r="O919" s="1" t="str">
        <f>IF(N919&lt;&gt;"",INDEX($L$2:$L$1705,MATCH(N919,$M$2:$M$1705,0)),"")</f>
        <v/>
      </c>
      <c r="P919" s="1" t="str">
        <f>IF(O919&lt;&gt;"",ROWS($O$2:O919),"")</f>
        <v/>
      </c>
    </row>
    <row r="920" spans="10:16" x14ac:dyDescent="0.2">
      <c r="J920" s="1">
        <f>COUNTIF($L$2:L920,L920)</f>
        <v>4</v>
      </c>
      <c r="K920" s="1">
        <f>A68</f>
        <v>1950</v>
      </c>
      <c r="L920" s="1" t="str">
        <f>E68</f>
        <v>Bolivia</v>
      </c>
      <c r="M920" s="1" t="str">
        <f>IF(J920=1,J920+ROWS($J$2:J920)/10000,"")</f>
        <v/>
      </c>
      <c r="N920" s="1" t="str">
        <f>IFERROR(SMALL($M$2:$M$1705,ROWS($M$2:M920)),"")</f>
        <v/>
      </c>
      <c r="O920" s="1" t="str">
        <f>IF(N920&lt;&gt;"",INDEX($L$2:$L$1705,MATCH(N920,$M$2:$M$1705,0)),"")</f>
        <v/>
      </c>
      <c r="P920" s="1" t="str">
        <f>IF(O920&lt;&gt;"",ROWS($O$2:O920),"")</f>
        <v/>
      </c>
    </row>
    <row r="921" spans="10:16" x14ac:dyDescent="0.2">
      <c r="J921" s="1">
        <f>COUNTIF($L$2:L921,L921)</f>
        <v>22</v>
      </c>
      <c r="K921" s="1">
        <f>A69</f>
        <v>1950</v>
      </c>
      <c r="L921" s="1" t="str">
        <f>E69</f>
        <v>Mexico</v>
      </c>
      <c r="M921" s="1" t="str">
        <f>IF(J921=1,J921+ROWS($J$2:J921)/10000,"")</f>
        <v/>
      </c>
      <c r="N921" s="1" t="str">
        <f>IFERROR(SMALL($M$2:$M$1705,ROWS($M$2:M921)),"")</f>
        <v/>
      </c>
      <c r="O921" s="1" t="str">
        <f>IF(N921&lt;&gt;"",INDEX($L$2:$L$1705,MATCH(N921,$M$2:$M$1705,0)),"")</f>
        <v/>
      </c>
      <c r="P921" s="1" t="str">
        <f>IF(O921&lt;&gt;"",ROWS($O$2:O921),"")</f>
        <v/>
      </c>
    </row>
    <row r="922" spans="10:16" x14ac:dyDescent="0.2">
      <c r="J922" s="1">
        <f>COUNTIF($L$2:L922,L922)</f>
        <v>19</v>
      </c>
      <c r="K922" s="1">
        <f>A70</f>
        <v>1950</v>
      </c>
      <c r="L922" s="1" t="str">
        <f>E70</f>
        <v>USA</v>
      </c>
      <c r="M922" s="1" t="str">
        <f>IF(J922=1,J922+ROWS($J$2:J922)/10000,"")</f>
        <v/>
      </c>
      <c r="N922" s="1" t="str">
        <f>IFERROR(SMALL($M$2:$M$1705,ROWS($M$2:M922)),"")</f>
        <v/>
      </c>
      <c r="O922" s="1" t="str">
        <f>IF(N922&lt;&gt;"",INDEX($L$2:$L$1705,MATCH(N922,$M$2:$M$1705,0)),"")</f>
        <v/>
      </c>
      <c r="P922" s="1" t="str">
        <f>IF(O922&lt;&gt;"",ROWS($O$2:O922),"")</f>
        <v/>
      </c>
    </row>
    <row r="923" spans="10:16" x14ac:dyDescent="0.2">
      <c r="J923" s="1">
        <f>COUNTIF($L$2:L923,L923)</f>
        <v>33</v>
      </c>
      <c r="K923" s="1">
        <f>A71</f>
        <v>1950</v>
      </c>
      <c r="L923" s="1" t="str">
        <f>E71</f>
        <v>Spain</v>
      </c>
      <c r="M923" s="1" t="str">
        <f>IF(J923=1,J923+ROWS($J$2:J923)/10000,"")</f>
        <v/>
      </c>
      <c r="N923" s="1" t="str">
        <f>IFERROR(SMALL($M$2:$M$1705,ROWS($M$2:M923)),"")</f>
        <v/>
      </c>
      <c r="O923" s="1" t="str">
        <f>IF(N923&lt;&gt;"",INDEX($L$2:$L$1705,MATCH(N923,$M$2:$M$1705,0)),"")</f>
        <v/>
      </c>
      <c r="P923" s="1" t="str">
        <f>IF(O923&lt;&gt;"",ROWS($O$2:O923),"")</f>
        <v/>
      </c>
    </row>
    <row r="924" spans="10:16" x14ac:dyDescent="0.2">
      <c r="J924" s="1">
        <f>COUNTIF($L$2:L924,L924)</f>
        <v>31</v>
      </c>
      <c r="K924" s="1">
        <f>A72</f>
        <v>1950</v>
      </c>
      <c r="L924" s="1" t="str">
        <f>E72</f>
        <v>Sweden</v>
      </c>
      <c r="M924" s="1" t="str">
        <f>IF(J924=1,J924+ROWS($J$2:J924)/10000,"")</f>
        <v/>
      </c>
      <c r="N924" s="1" t="str">
        <f>IFERROR(SMALL($M$2:$M$1705,ROWS($M$2:M924)),"")</f>
        <v/>
      </c>
      <c r="O924" s="1" t="str">
        <f>IF(N924&lt;&gt;"",INDEX($L$2:$L$1705,MATCH(N924,$M$2:$M$1705,0)),"")</f>
        <v/>
      </c>
      <c r="P924" s="1" t="str">
        <f>IF(O924&lt;&gt;"",ROWS($O$2:O924),"")</f>
        <v/>
      </c>
    </row>
    <row r="925" spans="10:16" x14ac:dyDescent="0.2">
      <c r="J925" s="1">
        <f>COUNTIF($L$2:L925,L925)</f>
        <v>34</v>
      </c>
      <c r="K925" s="1">
        <f>A73</f>
        <v>1950</v>
      </c>
      <c r="L925" s="1" t="str">
        <f>E73</f>
        <v>Spain</v>
      </c>
      <c r="M925" s="1" t="str">
        <f>IF(J925=1,J925+ROWS($J$2:J925)/10000,"")</f>
        <v/>
      </c>
      <c r="N925" s="1" t="str">
        <f>IFERROR(SMALL($M$2:$M$1705,ROWS($M$2:M925)),"")</f>
        <v/>
      </c>
      <c r="O925" s="1" t="str">
        <f>IF(N925&lt;&gt;"",INDEX($L$2:$L$1705,MATCH(N925,$M$2:$M$1705,0)),"")</f>
        <v/>
      </c>
      <c r="P925" s="1" t="str">
        <f>IF(O925&lt;&gt;"",ROWS($O$2:O925),"")</f>
        <v/>
      </c>
    </row>
    <row r="926" spans="10:16" x14ac:dyDescent="0.2">
      <c r="J926" s="1">
        <f>COUNTIF($L$2:L926,L926)</f>
        <v>32</v>
      </c>
      <c r="K926" s="1">
        <f>A74</f>
        <v>1950</v>
      </c>
      <c r="L926" s="1" t="str">
        <f>E74</f>
        <v>Sweden</v>
      </c>
      <c r="M926" s="1" t="str">
        <f>IF(J926=1,J926+ROWS($J$2:J926)/10000,"")</f>
        <v/>
      </c>
      <c r="N926" s="1" t="str">
        <f>IFERROR(SMALL($M$2:$M$1705,ROWS($M$2:M926)),"")</f>
        <v/>
      </c>
      <c r="O926" s="1" t="str">
        <f>IF(N926&lt;&gt;"",INDEX($L$2:$L$1705,MATCH(N926,$M$2:$M$1705,0)),"")</f>
        <v/>
      </c>
      <c r="P926" s="1" t="str">
        <f>IF(O926&lt;&gt;"",ROWS($O$2:O926),"")</f>
        <v/>
      </c>
    </row>
    <row r="927" spans="10:16" x14ac:dyDescent="0.2">
      <c r="J927" s="1">
        <f>COUNTIF($L$2:L927,L927)</f>
        <v>35</v>
      </c>
      <c r="K927" s="1">
        <f>A75</f>
        <v>1950</v>
      </c>
      <c r="L927" s="1" t="str">
        <f>E75</f>
        <v>Spain</v>
      </c>
      <c r="M927" s="1" t="str">
        <f>IF(J927=1,J927+ROWS($J$2:J927)/10000,"")</f>
        <v/>
      </c>
      <c r="N927" s="1" t="str">
        <f>IFERROR(SMALL($M$2:$M$1705,ROWS($M$2:M927)),"")</f>
        <v/>
      </c>
      <c r="O927" s="1" t="str">
        <f>IF(N927&lt;&gt;"",INDEX($L$2:$L$1705,MATCH(N927,$M$2:$M$1705,0)),"")</f>
        <v/>
      </c>
      <c r="P927" s="1" t="str">
        <f>IF(O927&lt;&gt;"",ROWS($O$2:O927),"")</f>
        <v/>
      </c>
    </row>
    <row r="928" spans="10:16" x14ac:dyDescent="0.2">
      <c r="J928" s="1">
        <f>COUNTIF($L$2:L928,L928)</f>
        <v>86</v>
      </c>
      <c r="K928" s="1">
        <f>A76</f>
        <v>1950</v>
      </c>
      <c r="L928" s="1" t="str">
        <f>E76</f>
        <v>Brazil</v>
      </c>
      <c r="M928" s="1" t="str">
        <f>IF(J928=1,J928+ROWS($J$2:J928)/10000,"")</f>
        <v/>
      </c>
      <c r="N928" s="1" t="str">
        <f>IFERROR(SMALL($M$2:$M$1705,ROWS($M$2:M928)),"")</f>
        <v/>
      </c>
      <c r="O928" s="1" t="str">
        <f>IF(N928&lt;&gt;"",INDEX($L$2:$L$1705,MATCH(N928,$M$2:$M$1705,0)),"")</f>
        <v/>
      </c>
      <c r="P928" s="1" t="str">
        <f>IF(O928&lt;&gt;"",ROWS($O$2:O928),"")</f>
        <v/>
      </c>
    </row>
    <row r="929" spans="10:16" x14ac:dyDescent="0.2">
      <c r="J929" s="1">
        <f>COUNTIF($L$2:L929,L929)</f>
        <v>14</v>
      </c>
      <c r="K929" s="1">
        <f>A77</f>
        <v>1954</v>
      </c>
      <c r="L929" s="1" t="str">
        <f>E77</f>
        <v>Czechoslovakia</v>
      </c>
      <c r="M929" s="1" t="str">
        <f>IF(J929=1,J929+ROWS($J$2:J929)/10000,"")</f>
        <v/>
      </c>
      <c r="N929" s="1" t="str">
        <f>IFERROR(SMALL($M$2:$M$1705,ROWS($M$2:M929)),"")</f>
        <v/>
      </c>
      <c r="O929" s="1" t="str">
        <f>IF(N929&lt;&gt;"",INDEX($L$2:$L$1705,MATCH(N929,$M$2:$M$1705,0)),"")</f>
        <v/>
      </c>
      <c r="P929" s="1" t="str">
        <f>IF(O929&lt;&gt;"",ROWS($O$2:O929),"")</f>
        <v/>
      </c>
    </row>
    <row r="930" spans="10:16" x14ac:dyDescent="0.2">
      <c r="J930" s="1">
        <f>COUNTIF($L$2:L930,L930)</f>
        <v>10</v>
      </c>
      <c r="K930" s="1">
        <f>A78</f>
        <v>1954</v>
      </c>
      <c r="L930" s="1" t="str">
        <f>E78</f>
        <v>Scotland</v>
      </c>
      <c r="M930" s="1" t="str">
        <f>IF(J930=1,J930+ROWS($J$2:J930)/10000,"")</f>
        <v/>
      </c>
      <c r="N930" s="1" t="str">
        <f>IFERROR(SMALL($M$2:$M$1705,ROWS($M$2:M930)),"")</f>
        <v/>
      </c>
      <c r="O930" s="1" t="str">
        <f>IF(N930&lt;&gt;"",INDEX($L$2:$L$1705,MATCH(N930,$M$2:$M$1705,0)),"")</f>
        <v/>
      </c>
      <c r="P930" s="1" t="str">
        <f>IF(O930&lt;&gt;"",ROWS($O$2:O930),"")</f>
        <v/>
      </c>
    </row>
    <row r="931" spans="10:16" x14ac:dyDescent="0.2">
      <c r="J931" s="1">
        <f>COUNTIF($L$2:L931,L931)</f>
        <v>23</v>
      </c>
      <c r="K931" s="1">
        <f>A79</f>
        <v>1954</v>
      </c>
      <c r="L931" s="1" t="str">
        <f>E79</f>
        <v>Mexico</v>
      </c>
      <c r="M931" s="1" t="str">
        <f>IF(J931=1,J931+ROWS($J$2:J931)/10000,"")</f>
        <v/>
      </c>
      <c r="N931" s="1" t="str">
        <f>IFERROR(SMALL($M$2:$M$1705,ROWS($M$2:M931)),"")</f>
        <v/>
      </c>
      <c r="O931" s="1" t="str">
        <f>IF(N931&lt;&gt;"",INDEX($L$2:$L$1705,MATCH(N931,$M$2:$M$1705,0)),"")</f>
        <v/>
      </c>
      <c r="P931" s="1" t="str">
        <f>IF(O931&lt;&gt;"",ROWS($O$2:O931),"")</f>
        <v/>
      </c>
    </row>
    <row r="932" spans="10:16" x14ac:dyDescent="0.2">
      <c r="J932" s="1">
        <f>COUNTIF($L$2:L932,L932)</f>
        <v>36</v>
      </c>
      <c r="K932" s="1">
        <f>A80</f>
        <v>1954</v>
      </c>
      <c r="L932" s="1" t="str">
        <f>E80</f>
        <v>France</v>
      </c>
      <c r="M932" s="1" t="str">
        <f>IF(J932=1,J932+ROWS($J$2:J932)/10000,"")</f>
        <v/>
      </c>
      <c r="N932" s="1" t="str">
        <f>IFERROR(SMALL($M$2:$M$1705,ROWS($M$2:M932)),"")</f>
        <v/>
      </c>
      <c r="O932" s="1" t="str">
        <f>IF(N932&lt;&gt;"",INDEX($L$2:$L$1705,MATCH(N932,$M$2:$M$1705,0)),"")</f>
        <v/>
      </c>
      <c r="P932" s="1" t="str">
        <f>IF(O932&lt;&gt;"",ROWS($O$2:O932),"")</f>
        <v/>
      </c>
    </row>
    <row r="933" spans="10:16" x14ac:dyDescent="0.2">
      <c r="J933" s="1">
        <f>COUNTIF($L$2:L933,L933)</f>
        <v>3</v>
      </c>
      <c r="K933" s="1">
        <f>A81</f>
        <v>1954</v>
      </c>
      <c r="L933" s="1" t="str">
        <f>E81</f>
        <v>Turkey</v>
      </c>
      <c r="M933" s="1" t="str">
        <f>IF(J933=1,J933+ROWS($J$2:J933)/10000,"")</f>
        <v/>
      </c>
      <c r="N933" s="1" t="str">
        <f>IFERROR(SMALL($M$2:$M$1705,ROWS($M$2:M933)),"")</f>
        <v/>
      </c>
      <c r="O933" s="1" t="str">
        <f>IF(N933&lt;&gt;"",INDEX($L$2:$L$1705,MATCH(N933,$M$2:$M$1705,0)),"")</f>
        <v/>
      </c>
      <c r="P933" s="1" t="str">
        <f>IF(O933&lt;&gt;"",ROWS($O$2:O933),"")</f>
        <v/>
      </c>
    </row>
    <row r="934" spans="10:16" x14ac:dyDescent="0.2">
      <c r="J934" s="1">
        <f>COUNTIF($L$2:L934,L934)</f>
        <v>15</v>
      </c>
      <c r="K934" s="1">
        <f>A82</f>
        <v>1954</v>
      </c>
      <c r="L934" s="1" t="str">
        <f>E82</f>
        <v>Korea Republic</v>
      </c>
      <c r="M934" s="1" t="str">
        <f>IF(J934=1,J934+ROWS($J$2:J934)/10000,"")</f>
        <v/>
      </c>
      <c r="N934" s="1" t="str">
        <f>IFERROR(SMALL($M$2:$M$1705,ROWS($M$2:M934)),"")</f>
        <v/>
      </c>
      <c r="O934" s="1" t="str">
        <f>IF(N934&lt;&gt;"",INDEX($L$2:$L$1705,MATCH(N934,$M$2:$M$1705,0)),"")</f>
        <v/>
      </c>
      <c r="P934" s="1" t="str">
        <f>IF(O934&lt;&gt;"",ROWS($O$2:O934),"")</f>
        <v/>
      </c>
    </row>
    <row r="935" spans="10:16" x14ac:dyDescent="0.2">
      <c r="J935" s="1">
        <f>COUNTIF($L$2:L935,L935)</f>
        <v>23</v>
      </c>
      <c r="K935" s="1">
        <f>A83</f>
        <v>1954</v>
      </c>
      <c r="L935" s="1" t="str">
        <f>E83</f>
        <v>Belgium</v>
      </c>
      <c r="M935" s="1" t="str">
        <f>IF(J935=1,J935+ROWS($J$2:J935)/10000,"")</f>
        <v/>
      </c>
      <c r="N935" s="1" t="str">
        <f>IFERROR(SMALL($M$2:$M$1705,ROWS($M$2:M935)),"")</f>
        <v/>
      </c>
      <c r="O935" s="1" t="str">
        <f>IF(N935&lt;&gt;"",INDEX($L$2:$L$1705,MATCH(N935,$M$2:$M$1705,0)),"")</f>
        <v/>
      </c>
      <c r="P935" s="1" t="str">
        <f>IF(O935&lt;&gt;"",ROWS($O$2:O935),"")</f>
        <v/>
      </c>
    </row>
    <row r="936" spans="10:16" x14ac:dyDescent="0.2">
      <c r="J936" s="1">
        <f>COUNTIF($L$2:L936,L936)</f>
        <v>59</v>
      </c>
      <c r="K936" s="1">
        <f>A84</f>
        <v>1954</v>
      </c>
      <c r="L936" s="1" t="str">
        <f>E84</f>
        <v>Italy</v>
      </c>
      <c r="M936" s="1" t="str">
        <f>IF(J936=1,J936+ROWS($J$2:J936)/10000,"")</f>
        <v/>
      </c>
      <c r="N936" s="1" t="str">
        <f>IFERROR(SMALL($M$2:$M$1705,ROWS($M$2:M936)),"")</f>
        <v/>
      </c>
      <c r="O936" s="1" t="str">
        <f>IF(N936&lt;&gt;"",INDEX($L$2:$L$1705,MATCH(N936,$M$2:$M$1705,0)),"")</f>
        <v/>
      </c>
      <c r="P936" s="1" t="str">
        <f>IF(O936&lt;&gt;"",ROWS($O$2:O936),"")</f>
        <v/>
      </c>
    </row>
    <row r="937" spans="10:16" x14ac:dyDescent="0.2">
      <c r="J937" s="1">
        <f>COUNTIF($L$2:L937,L937)</f>
        <v>11</v>
      </c>
      <c r="K937" s="1">
        <f>A85</f>
        <v>1954</v>
      </c>
      <c r="L937" s="1" t="str">
        <f>E85</f>
        <v>Scotland</v>
      </c>
      <c r="M937" s="1" t="str">
        <f>IF(J937=1,J937+ROWS($J$2:J937)/10000,"")</f>
        <v/>
      </c>
      <c r="N937" s="1" t="str">
        <f>IFERROR(SMALL($M$2:$M$1705,ROWS($M$2:M937)),"")</f>
        <v/>
      </c>
      <c r="O937" s="1" t="str">
        <f>IF(N937&lt;&gt;"",INDEX($L$2:$L$1705,MATCH(N937,$M$2:$M$1705,0)),"")</f>
        <v/>
      </c>
      <c r="P937" s="1" t="str">
        <f>IF(O937&lt;&gt;"",ROWS($O$2:O937),"")</f>
        <v/>
      </c>
    </row>
    <row r="938" spans="10:16" x14ac:dyDescent="0.2">
      <c r="J938" s="1">
        <f>COUNTIF($L$2:L938,L938)</f>
        <v>15</v>
      </c>
      <c r="K938" s="1">
        <f>A86</f>
        <v>1954</v>
      </c>
      <c r="L938" s="1" t="str">
        <f>E86</f>
        <v>Czechoslovakia</v>
      </c>
      <c r="M938" s="1" t="str">
        <f>IF(J938=1,J938+ROWS($J$2:J938)/10000,"")</f>
        <v/>
      </c>
      <c r="N938" s="1" t="str">
        <f>IFERROR(SMALL($M$2:$M$1705,ROWS($M$2:M938)),"")</f>
        <v/>
      </c>
      <c r="O938" s="1" t="str">
        <f>IF(N938&lt;&gt;"",INDEX($L$2:$L$1705,MATCH(N938,$M$2:$M$1705,0)),"")</f>
        <v/>
      </c>
      <c r="P938" s="1" t="str">
        <f>IF(O938&lt;&gt;"",ROWS($O$2:O938),"")</f>
        <v/>
      </c>
    </row>
    <row r="939" spans="10:16" x14ac:dyDescent="0.2">
      <c r="J939" s="1">
        <f>COUNTIF($L$2:L939,L939)</f>
        <v>24</v>
      </c>
      <c r="K939" s="1">
        <f>A87</f>
        <v>1954</v>
      </c>
      <c r="L939" s="1" t="str">
        <f>E87</f>
        <v>Mexico</v>
      </c>
      <c r="M939" s="1" t="str">
        <f>IF(J939=1,J939+ROWS($J$2:J939)/10000,"")</f>
        <v/>
      </c>
      <c r="N939" s="1" t="str">
        <f>IFERROR(SMALL($M$2:$M$1705,ROWS($M$2:M939)),"")</f>
        <v/>
      </c>
      <c r="O939" s="1" t="str">
        <f>IF(N939&lt;&gt;"",INDEX($L$2:$L$1705,MATCH(N939,$M$2:$M$1705,0)),"")</f>
        <v/>
      </c>
      <c r="P939" s="1" t="str">
        <f>IF(O939&lt;&gt;"",ROWS($O$2:O939),"")</f>
        <v/>
      </c>
    </row>
    <row r="940" spans="10:16" x14ac:dyDescent="0.2">
      <c r="J940" s="1">
        <f>COUNTIF($L$2:L940,L940)</f>
        <v>20</v>
      </c>
      <c r="K940" s="1">
        <f>A88</f>
        <v>1954</v>
      </c>
      <c r="L940" s="1" t="str">
        <f>E88</f>
        <v>Yugoslavia</v>
      </c>
      <c r="M940" s="1" t="str">
        <f>IF(J940=1,J940+ROWS($J$2:J940)/10000,"")</f>
        <v/>
      </c>
      <c r="N940" s="1" t="str">
        <f>IFERROR(SMALL($M$2:$M$1705,ROWS($M$2:M940)),"")</f>
        <v/>
      </c>
      <c r="O940" s="1" t="str">
        <f>IF(N940&lt;&gt;"",INDEX($L$2:$L$1705,MATCH(N940,$M$2:$M$1705,0)),"")</f>
        <v/>
      </c>
      <c r="P940" s="1" t="str">
        <f>IF(O940&lt;&gt;"",ROWS($O$2:O940),"")</f>
        <v/>
      </c>
    </row>
    <row r="941" spans="10:16" x14ac:dyDescent="0.2">
      <c r="J941" s="1">
        <f>COUNTIF($L$2:L941,L941)</f>
        <v>44</v>
      </c>
      <c r="K941" s="1">
        <f>A89</f>
        <v>1954</v>
      </c>
      <c r="L941" s="1" t="str">
        <f>E89</f>
        <v>Germany FR</v>
      </c>
      <c r="M941" s="1" t="str">
        <f>IF(J941=1,J941+ROWS($J$2:J941)/10000,"")</f>
        <v/>
      </c>
      <c r="N941" s="1" t="str">
        <f>IFERROR(SMALL($M$2:$M$1705,ROWS($M$2:M941)),"")</f>
        <v/>
      </c>
      <c r="O941" s="1" t="str">
        <f>IF(N941&lt;&gt;"",INDEX($L$2:$L$1705,MATCH(N941,$M$2:$M$1705,0)),"")</f>
        <v/>
      </c>
      <c r="P941" s="1" t="str">
        <f>IF(O941&lt;&gt;"",ROWS($O$2:O941),"")</f>
        <v/>
      </c>
    </row>
    <row r="942" spans="10:16" x14ac:dyDescent="0.2">
      <c r="J942" s="1">
        <f>COUNTIF($L$2:L942,L942)</f>
        <v>16</v>
      </c>
      <c r="K942" s="1">
        <f>A90</f>
        <v>1954</v>
      </c>
      <c r="L942" s="1" t="str">
        <f>E90</f>
        <v>Korea Republic</v>
      </c>
      <c r="M942" s="1" t="str">
        <f>IF(J942=1,J942+ROWS($J$2:J942)/10000,"")</f>
        <v/>
      </c>
      <c r="N942" s="1" t="str">
        <f>IFERROR(SMALL($M$2:$M$1705,ROWS($M$2:M942)),"")</f>
        <v/>
      </c>
      <c r="O942" s="1" t="str">
        <f>IF(N942&lt;&gt;"",INDEX($L$2:$L$1705,MATCH(N942,$M$2:$M$1705,0)),"")</f>
        <v/>
      </c>
      <c r="P942" s="1" t="str">
        <f>IF(O942&lt;&gt;"",ROWS($O$2:O942),"")</f>
        <v/>
      </c>
    </row>
    <row r="943" spans="10:16" x14ac:dyDescent="0.2">
      <c r="J943" s="1">
        <f>COUNTIF($L$2:L943,L943)</f>
        <v>17</v>
      </c>
      <c r="K943" s="1">
        <f>A91</f>
        <v>1954</v>
      </c>
      <c r="L943" s="1" t="str">
        <f>E91</f>
        <v>Switzerland</v>
      </c>
      <c r="M943" s="1" t="str">
        <f>IF(J943=1,J943+ROWS($J$2:J943)/10000,"")</f>
        <v/>
      </c>
      <c r="N943" s="1" t="str">
        <f>IFERROR(SMALL($M$2:$M$1705,ROWS($M$2:M943)),"")</f>
        <v/>
      </c>
      <c r="O943" s="1" t="str">
        <f>IF(N943&lt;&gt;"",INDEX($L$2:$L$1705,MATCH(N943,$M$2:$M$1705,0)),"")</f>
        <v/>
      </c>
      <c r="P943" s="1" t="str">
        <f>IF(O943&lt;&gt;"",ROWS($O$2:O943),"")</f>
        <v/>
      </c>
    </row>
    <row r="944" spans="10:16" x14ac:dyDescent="0.2">
      <c r="J944" s="1">
        <f>COUNTIF($L$2:L944,L944)</f>
        <v>24</v>
      </c>
      <c r="K944" s="1">
        <f>A92</f>
        <v>1954</v>
      </c>
      <c r="L944" s="1" t="str">
        <f>E92</f>
        <v>Belgium</v>
      </c>
      <c r="M944" s="1" t="str">
        <f>IF(J944=1,J944+ROWS($J$2:J944)/10000,"")</f>
        <v/>
      </c>
      <c r="N944" s="1" t="str">
        <f>IFERROR(SMALL($M$2:$M$1705,ROWS($M$2:M944)),"")</f>
        <v/>
      </c>
      <c r="O944" s="1" t="str">
        <f>IF(N944&lt;&gt;"",INDEX($L$2:$L$1705,MATCH(N944,$M$2:$M$1705,0)),"")</f>
        <v/>
      </c>
      <c r="P944" s="1" t="str">
        <f>IF(O944&lt;&gt;"",ROWS($O$2:O944),"")</f>
        <v/>
      </c>
    </row>
    <row r="945" spans="10:16" x14ac:dyDescent="0.2">
      <c r="J945" s="1">
        <f>COUNTIF($L$2:L945,L945)</f>
        <v>4</v>
      </c>
      <c r="K945" s="1">
        <f>A93</f>
        <v>1954</v>
      </c>
      <c r="L945" s="1" t="str">
        <f>E93</f>
        <v>Turkey</v>
      </c>
      <c r="M945" s="1" t="str">
        <f>IF(J945=1,J945+ROWS($J$2:J945)/10000,"")</f>
        <v/>
      </c>
      <c r="N945" s="1" t="str">
        <f>IFERROR(SMALL($M$2:$M$1705,ROWS($M$2:M945)),"")</f>
        <v/>
      </c>
      <c r="O945" s="1" t="str">
        <f>IF(N945&lt;&gt;"",INDEX($L$2:$L$1705,MATCH(N945,$M$2:$M$1705,0)),"")</f>
        <v/>
      </c>
      <c r="P945" s="1" t="str">
        <f>IF(O945&lt;&gt;"",ROWS($O$2:O945),"")</f>
        <v/>
      </c>
    </row>
    <row r="946" spans="10:16" x14ac:dyDescent="0.2">
      <c r="J946" s="1">
        <f>COUNTIF($L$2:L946,L946)</f>
        <v>60</v>
      </c>
      <c r="K946" s="1">
        <f>A94</f>
        <v>1954</v>
      </c>
      <c r="L946" s="1" t="str">
        <f>E94</f>
        <v>Italy</v>
      </c>
      <c r="M946" s="1" t="str">
        <f>IF(J946=1,J946+ROWS($J$2:J946)/10000,"")</f>
        <v/>
      </c>
      <c r="N946" s="1" t="str">
        <f>IFERROR(SMALL($M$2:$M$1705,ROWS($M$2:M946)),"")</f>
        <v/>
      </c>
      <c r="O946" s="1" t="str">
        <f>IF(N946&lt;&gt;"",INDEX($L$2:$L$1705,MATCH(N946,$M$2:$M$1705,0)),"")</f>
        <v/>
      </c>
      <c r="P946" s="1" t="str">
        <f>IF(O946&lt;&gt;"",ROWS($O$2:O946),"")</f>
        <v/>
      </c>
    </row>
    <row r="947" spans="10:16" x14ac:dyDescent="0.2">
      <c r="J947" s="1">
        <f>COUNTIF($L$2:L947,L947)</f>
        <v>38</v>
      </c>
      <c r="K947" s="1">
        <f>A95</f>
        <v>1954</v>
      </c>
      <c r="L947" s="1" t="str">
        <f>E95</f>
        <v>England</v>
      </c>
      <c r="M947" s="1" t="str">
        <f>IF(J947=1,J947+ROWS($J$2:J947)/10000,"")</f>
        <v/>
      </c>
      <c r="N947" s="1" t="str">
        <f>IFERROR(SMALL($M$2:$M$1705,ROWS($M$2:M947)),"")</f>
        <v/>
      </c>
      <c r="O947" s="1" t="str">
        <f>IF(N947&lt;&gt;"",INDEX($L$2:$L$1705,MATCH(N947,$M$2:$M$1705,0)),"")</f>
        <v/>
      </c>
      <c r="P947" s="1" t="str">
        <f>IF(O947&lt;&gt;"",ROWS($O$2:O947),"")</f>
        <v/>
      </c>
    </row>
    <row r="948" spans="10:16" x14ac:dyDescent="0.2">
      <c r="J948" s="1">
        <f>COUNTIF($L$2:L948,L948)</f>
        <v>18</v>
      </c>
      <c r="K948" s="1">
        <f>A96</f>
        <v>1954</v>
      </c>
      <c r="L948" s="1" t="str">
        <f>E96</f>
        <v>Switzerland</v>
      </c>
      <c r="M948" s="1" t="str">
        <f>IF(J948=1,J948+ROWS($J$2:J948)/10000,"")</f>
        <v/>
      </c>
      <c r="N948" s="1" t="str">
        <f>IFERROR(SMALL($M$2:$M$1705,ROWS($M$2:M948)),"")</f>
        <v/>
      </c>
      <c r="O948" s="1" t="str">
        <f>IF(N948&lt;&gt;"",INDEX($L$2:$L$1705,MATCH(N948,$M$2:$M$1705,0)),"")</f>
        <v/>
      </c>
      <c r="P948" s="1" t="str">
        <f>IF(O948&lt;&gt;"",ROWS($O$2:O948),"")</f>
        <v/>
      </c>
    </row>
    <row r="949" spans="10:16" x14ac:dyDescent="0.2">
      <c r="J949" s="1">
        <f>COUNTIF($L$2:L949,L949)</f>
        <v>21</v>
      </c>
      <c r="K949" s="1">
        <f>A97</f>
        <v>1954</v>
      </c>
      <c r="L949" s="1" t="str">
        <f>E97</f>
        <v>Yugoslavia</v>
      </c>
      <c r="M949" s="1" t="str">
        <f>IF(J949=1,J949+ROWS($J$2:J949)/10000,"")</f>
        <v/>
      </c>
      <c r="N949" s="1" t="str">
        <f>IFERROR(SMALL($M$2:$M$1705,ROWS($M$2:M949)),"")</f>
        <v/>
      </c>
      <c r="O949" s="1" t="str">
        <f>IF(N949&lt;&gt;"",INDEX($L$2:$L$1705,MATCH(N949,$M$2:$M$1705,0)),"")</f>
        <v/>
      </c>
      <c r="P949" s="1" t="str">
        <f>IF(O949&lt;&gt;"",ROWS($O$2:O949),"")</f>
        <v/>
      </c>
    </row>
    <row r="950" spans="10:16" x14ac:dyDescent="0.2">
      <c r="J950" s="1">
        <f>COUNTIF($L$2:L950,L950)</f>
        <v>87</v>
      </c>
      <c r="K950" s="1">
        <f>A98</f>
        <v>1954</v>
      </c>
      <c r="L950" s="1" t="str">
        <f>E98</f>
        <v>Brazil</v>
      </c>
      <c r="M950" s="1" t="str">
        <f>IF(J950=1,J950+ROWS($J$2:J950)/10000,"")</f>
        <v/>
      </c>
      <c r="N950" s="1" t="str">
        <f>IFERROR(SMALL($M$2:$M$1705,ROWS($M$2:M950)),"")</f>
        <v/>
      </c>
      <c r="O950" s="1" t="str">
        <f>IF(N950&lt;&gt;"",INDEX($L$2:$L$1705,MATCH(N950,$M$2:$M$1705,0)),"")</f>
        <v/>
      </c>
      <c r="P950" s="1" t="str">
        <f>IF(O950&lt;&gt;"",ROWS($O$2:O950),"")</f>
        <v/>
      </c>
    </row>
    <row r="951" spans="10:16" x14ac:dyDescent="0.2">
      <c r="J951" s="1">
        <f>COUNTIF($L$2:L951,L951)</f>
        <v>16</v>
      </c>
      <c r="K951" s="1">
        <f>A99</f>
        <v>1954</v>
      </c>
      <c r="L951" s="1" t="str">
        <f>E99</f>
        <v>Austria</v>
      </c>
      <c r="M951" s="1" t="str">
        <f>IF(J951=1,J951+ROWS($J$2:J951)/10000,"")</f>
        <v/>
      </c>
      <c r="N951" s="1" t="str">
        <f>IFERROR(SMALL($M$2:$M$1705,ROWS($M$2:M951)),"")</f>
        <v/>
      </c>
      <c r="O951" s="1" t="str">
        <f>IF(N951&lt;&gt;"",INDEX($L$2:$L$1705,MATCH(N951,$M$2:$M$1705,0)),"")</f>
        <v/>
      </c>
      <c r="P951" s="1" t="str">
        <f>IF(O951&lt;&gt;"",ROWS($O$2:O951),"")</f>
        <v/>
      </c>
    </row>
    <row r="952" spans="10:16" x14ac:dyDescent="0.2">
      <c r="J952" s="1">
        <f>COUNTIF($L$2:L952,L952)</f>
        <v>29</v>
      </c>
      <c r="K952" s="1">
        <f>A100</f>
        <v>1954</v>
      </c>
      <c r="L952" s="1" t="str">
        <f>E100</f>
        <v>Uruguay</v>
      </c>
      <c r="M952" s="1" t="str">
        <f>IF(J952=1,J952+ROWS($J$2:J952)/10000,"")</f>
        <v/>
      </c>
      <c r="N952" s="1" t="str">
        <f>IFERROR(SMALL($M$2:$M$1705,ROWS($M$2:M952)),"")</f>
        <v/>
      </c>
      <c r="O952" s="1" t="str">
        <f>IF(N952&lt;&gt;"",INDEX($L$2:$L$1705,MATCH(N952,$M$2:$M$1705,0)),"")</f>
        <v/>
      </c>
      <c r="P952" s="1" t="str">
        <f>IF(O952&lt;&gt;"",ROWS($O$2:O952),"")</f>
        <v/>
      </c>
    </row>
    <row r="953" spans="10:16" x14ac:dyDescent="0.2">
      <c r="J953" s="1">
        <f>COUNTIF($L$2:L953,L953)</f>
        <v>30</v>
      </c>
      <c r="K953" s="1">
        <f>A101</f>
        <v>1954</v>
      </c>
      <c r="L953" s="1" t="str">
        <f>E101</f>
        <v>Uruguay</v>
      </c>
      <c r="M953" s="1" t="str">
        <f>IF(J953=1,J953+ROWS($J$2:J953)/10000,"")</f>
        <v/>
      </c>
      <c r="N953" s="1" t="str">
        <f>IFERROR(SMALL($M$2:$M$1705,ROWS($M$2:M953)),"")</f>
        <v/>
      </c>
      <c r="O953" s="1" t="str">
        <f>IF(N953&lt;&gt;"",INDEX($L$2:$L$1705,MATCH(N953,$M$2:$M$1705,0)),"")</f>
        <v/>
      </c>
      <c r="P953" s="1" t="str">
        <f>IF(O953&lt;&gt;"",ROWS($O$2:O953),"")</f>
        <v/>
      </c>
    </row>
    <row r="954" spans="10:16" x14ac:dyDescent="0.2">
      <c r="J954" s="1">
        <f>COUNTIF($L$2:L954,L954)</f>
        <v>21</v>
      </c>
      <c r="K954" s="1">
        <f>A102</f>
        <v>1954</v>
      </c>
      <c r="L954" s="1" t="str">
        <f>E102</f>
        <v>Hungary</v>
      </c>
      <c r="M954" s="1" t="str">
        <f>IF(J954=1,J954+ROWS($J$2:J954)/10000,"")</f>
        <v/>
      </c>
      <c r="N954" s="1" t="str">
        <f>IFERROR(SMALL($M$2:$M$1705,ROWS($M$2:M954)),"")</f>
        <v/>
      </c>
      <c r="O954" s="1" t="str">
        <f>IF(N954&lt;&gt;"",INDEX($L$2:$L$1705,MATCH(N954,$M$2:$M$1705,0)),"")</f>
        <v/>
      </c>
      <c r="P954" s="1" t="str">
        <f>IF(O954&lt;&gt;"",ROWS($O$2:O954),"")</f>
        <v/>
      </c>
    </row>
    <row r="955" spans="10:16" x14ac:dyDescent="0.2">
      <c r="J955" s="1">
        <f>COUNTIF($L$2:L955,L955)</f>
        <v>25</v>
      </c>
      <c r="K955" s="1">
        <f>A103</f>
        <v>1958</v>
      </c>
      <c r="L955" s="1" t="str">
        <f>E103</f>
        <v>Mexico</v>
      </c>
      <c r="M955" s="1" t="str">
        <f>IF(J955=1,J955+ROWS($J$2:J955)/10000,"")</f>
        <v/>
      </c>
      <c r="N955" s="1" t="str">
        <f>IFERROR(SMALL($M$2:$M$1705,ROWS($M$2:M955)),"")</f>
        <v/>
      </c>
      <c r="O955" s="1" t="str">
        <f>IF(N955&lt;&gt;"",INDEX($L$2:$L$1705,MATCH(N955,$M$2:$M$1705,0)),"")</f>
        <v/>
      </c>
      <c r="P955" s="1" t="str">
        <f>IF(O955&lt;&gt;"",ROWS($O$2:O955),"")</f>
        <v/>
      </c>
    </row>
    <row r="956" spans="10:16" x14ac:dyDescent="0.2">
      <c r="J956" s="1">
        <f>COUNTIF($L$2:L956,L956)</f>
        <v>39</v>
      </c>
      <c r="K956" s="1">
        <f>A104</f>
        <v>1958</v>
      </c>
      <c r="L956" s="1" t="str">
        <f>E104</f>
        <v>England</v>
      </c>
      <c r="M956" s="1" t="str">
        <f>IF(J956=1,J956+ROWS($J$2:J956)/10000,"")</f>
        <v/>
      </c>
      <c r="N956" s="1" t="str">
        <f>IFERROR(SMALL($M$2:$M$1705,ROWS($M$2:M956)),"")</f>
        <v/>
      </c>
      <c r="O956" s="1" t="str">
        <f>IF(N956&lt;&gt;"",INDEX($L$2:$L$1705,MATCH(N956,$M$2:$M$1705,0)),"")</f>
        <v/>
      </c>
      <c r="P956" s="1" t="str">
        <f>IF(O956&lt;&gt;"",ROWS($O$2:O956),"")</f>
        <v/>
      </c>
    </row>
    <row r="957" spans="10:16" x14ac:dyDescent="0.2">
      <c r="J957" s="1">
        <f>COUNTIF($L$2:L957,L957)</f>
        <v>45</v>
      </c>
      <c r="K957" s="1">
        <f>A105</f>
        <v>1958</v>
      </c>
      <c r="L957" s="1" t="str">
        <f>E105</f>
        <v>Germany FR</v>
      </c>
      <c r="M957" s="1" t="str">
        <f>IF(J957=1,J957+ROWS($J$2:J957)/10000,"")</f>
        <v/>
      </c>
      <c r="N957" s="1" t="str">
        <f>IFERROR(SMALL($M$2:$M$1705,ROWS($M$2:M957)),"")</f>
        <v/>
      </c>
      <c r="O957" s="1" t="str">
        <f>IF(N957&lt;&gt;"",INDEX($L$2:$L$1705,MATCH(N957,$M$2:$M$1705,0)),"")</f>
        <v/>
      </c>
      <c r="P957" s="1" t="str">
        <f>IF(O957&lt;&gt;"",ROWS($O$2:O957),"")</f>
        <v/>
      </c>
    </row>
    <row r="958" spans="10:16" x14ac:dyDescent="0.2">
      <c r="J958" s="1">
        <f>COUNTIF($L$2:L958,L958)</f>
        <v>2</v>
      </c>
      <c r="K958" s="1">
        <f>A106</f>
        <v>1958</v>
      </c>
      <c r="L958" s="1" t="str">
        <f>E106</f>
        <v>Wales</v>
      </c>
      <c r="M958" s="1" t="str">
        <f>IF(J958=1,J958+ROWS($J$2:J958)/10000,"")</f>
        <v/>
      </c>
      <c r="N958" s="1" t="str">
        <f>IFERROR(SMALL($M$2:$M$1705,ROWS($M$2:M958)),"")</f>
        <v/>
      </c>
      <c r="O958" s="1" t="str">
        <f>IF(N958&lt;&gt;"",INDEX($L$2:$L$1705,MATCH(N958,$M$2:$M$1705,0)),"")</f>
        <v/>
      </c>
      <c r="P958" s="1" t="str">
        <f>IF(O958&lt;&gt;"",ROWS($O$2:O958),"")</f>
        <v/>
      </c>
    </row>
    <row r="959" spans="10:16" x14ac:dyDescent="0.2">
      <c r="J959" s="1">
        <f>COUNTIF($L$2:L959,L959)</f>
        <v>15</v>
      </c>
      <c r="K959" s="1">
        <f>A107</f>
        <v>1958</v>
      </c>
      <c r="L959" s="1" t="str">
        <f>E107</f>
        <v>Paraguay</v>
      </c>
      <c r="M959" s="1" t="str">
        <f>IF(J959=1,J959+ROWS($J$2:J959)/10000,"")</f>
        <v/>
      </c>
      <c r="N959" s="1" t="str">
        <f>IFERROR(SMALL($M$2:$M$1705,ROWS($M$2:M959)),"")</f>
        <v/>
      </c>
      <c r="O959" s="1" t="str">
        <f>IF(N959&lt;&gt;"",INDEX($L$2:$L$1705,MATCH(N959,$M$2:$M$1705,0)),"")</f>
        <v/>
      </c>
      <c r="P959" s="1" t="str">
        <f>IF(O959&lt;&gt;"",ROWS($O$2:O959),"")</f>
        <v/>
      </c>
    </row>
    <row r="960" spans="10:16" x14ac:dyDescent="0.2">
      <c r="J960" s="1">
        <f>COUNTIF($L$2:L960,L960)</f>
        <v>12</v>
      </c>
      <c r="K960" s="1">
        <f>A108</f>
        <v>1958</v>
      </c>
      <c r="L960" s="1" t="str">
        <f>E108</f>
        <v>Scotland</v>
      </c>
      <c r="M960" s="1" t="str">
        <f>IF(J960=1,J960+ROWS($J$2:J960)/10000,"")</f>
        <v/>
      </c>
      <c r="N960" s="1" t="str">
        <f>IFERROR(SMALL($M$2:$M$1705,ROWS($M$2:M960)),"")</f>
        <v/>
      </c>
      <c r="O960" s="1" t="str">
        <f>IF(N960&lt;&gt;"",INDEX($L$2:$L$1705,MATCH(N960,$M$2:$M$1705,0)),"")</f>
        <v/>
      </c>
      <c r="P960" s="1" t="str">
        <f>IF(O960&lt;&gt;"",ROWS($O$2:O960),"")</f>
        <v/>
      </c>
    </row>
    <row r="961" spans="10:16" x14ac:dyDescent="0.2">
      <c r="J961" s="1">
        <f>COUNTIF($L$2:L961,L961)</f>
        <v>17</v>
      </c>
      <c r="K961" s="1">
        <f>A109</f>
        <v>1958</v>
      </c>
      <c r="L961" s="1" t="str">
        <f>E109</f>
        <v>Austria</v>
      </c>
      <c r="M961" s="1" t="str">
        <f>IF(J961=1,J961+ROWS($J$2:J961)/10000,"")</f>
        <v/>
      </c>
      <c r="N961" s="1" t="str">
        <f>IFERROR(SMALL($M$2:$M$1705,ROWS($M$2:M961)),"")</f>
        <v/>
      </c>
      <c r="O961" s="1" t="str">
        <f>IF(N961&lt;&gt;"",INDEX($L$2:$L$1705,MATCH(N961,$M$2:$M$1705,0)),"")</f>
        <v/>
      </c>
      <c r="P961" s="1" t="str">
        <f>IF(O961&lt;&gt;"",ROWS($O$2:O961),"")</f>
        <v/>
      </c>
    </row>
    <row r="962" spans="10:16" x14ac:dyDescent="0.2">
      <c r="J962" s="1">
        <f>COUNTIF($L$2:L962,L962)</f>
        <v>16</v>
      </c>
      <c r="K962" s="1">
        <f>A110</f>
        <v>1958</v>
      </c>
      <c r="L962" s="1" t="str">
        <f>E110</f>
        <v>Czechoslovakia</v>
      </c>
      <c r="M962" s="1" t="str">
        <f>IF(J962=1,J962+ROWS($J$2:J962)/10000,"")</f>
        <v/>
      </c>
      <c r="N962" s="1" t="str">
        <f>IFERROR(SMALL($M$2:$M$1705,ROWS($M$2:M962)),"")</f>
        <v/>
      </c>
      <c r="O962" s="1" t="str">
        <f>IF(N962&lt;&gt;"",INDEX($L$2:$L$1705,MATCH(N962,$M$2:$M$1705,0)),"")</f>
        <v/>
      </c>
      <c r="P962" s="1" t="str">
        <f>IF(O962&lt;&gt;"",ROWS($O$2:O962),"")</f>
        <v/>
      </c>
    </row>
    <row r="963" spans="10:16" x14ac:dyDescent="0.2">
      <c r="J963" s="1">
        <f>COUNTIF($L$2:L963,L963)</f>
        <v>40</v>
      </c>
      <c r="K963" s="1">
        <f>A111</f>
        <v>1958</v>
      </c>
      <c r="L963" s="1" t="str">
        <f>E111</f>
        <v>England</v>
      </c>
      <c r="M963" s="1" t="str">
        <f>IF(J963=1,J963+ROWS($J$2:J963)/10000,"")</f>
        <v/>
      </c>
      <c r="N963" s="1" t="str">
        <f>IFERROR(SMALL($M$2:$M$1705,ROWS($M$2:M963)),"")</f>
        <v/>
      </c>
      <c r="O963" s="1" t="str">
        <f>IF(N963&lt;&gt;"",INDEX($L$2:$L$1705,MATCH(N963,$M$2:$M$1705,0)),"")</f>
        <v/>
      </c>
      <c r="P963" s="1" t="str">
        <f>IF(O963&lt;&gt;"",ROWS($O$2:O963),"")</f>
        <v/>
      </c>
    </row>
    <row r="964" spans="10:16" x14ac:dyDescent="0.2">
      <c r="J964" s="1">
        <f>COUNTIF($L$2:L964,L964)</f>
        <v>3</v>
      </c>
      <c r="K964" s="1">
        <f>A112</f>
        <v>1958</v>
      </c>
      <c r="L964" s="1" t="str">
        <f>E112</f>
        <v>Wales</v>
      </c>
      <c r="M964" s="1" t="str">
        <f>IF(J964=1,J964+ROWS($J$2:J964)/10000,"")</f>
        <v/>
      </c>
      <c r="N964" s="1" t="str">
        <f>IFERROR(SMALL($M$2:$M$1705,ROWS($M$2:M964)),"")</f>
        <v/>
      </c>
      <c r="O964" s="1" t="str">
        <f>IF(N964&lt;&gt;"",INDEX($L$2:$L$1705,MATCH(N964,$M$2:$M$1705,0)),"")</f>
        <v/>
      </c>
      <c r="P964" s="1" t="str">
        <f>IF(O964&lt;&gt;"",ROWS($O$2:O964),"")</f>
        <v/>
      </c>
    </row>
    <row r="965" spans="10:16" x14ac:dyDescent="0.2">
      <c r="J965" s="1">
        <f>COUNTIF($L$2:L965,L965)</f>
        <v>13</v>
      </c>
      <c r="K965" s="1">
        <f>A113</f>
        <v>1958</v>
      </c>
      <c r="L965" s="1" t="str">
        <f>E113</f>
        <v>Scotland</v>
      </c>
      <c r="M965" s="1" t="str">
        <f>IF(J965=1,J965+ROWS($J$2:J965)/10000,"")</f>
        <v/>
      </c>
      <c r="N965" s="1" t="str">
        <f>IFERROR(SMALL($M$2:$M$1705,ROWS($M$2:M965)),"")</f>
        <v/>
      </c>
      <c r="O965" s="1" t="str">
        <f>IF(N965&lt;&gt;"",INDEX($L$2:$L$1705,MATCH(N965,$M$2:$M$1705,0)),"")</f>
        <v/>
      </c>
      <c r="P965" s="1" t="str">
        <f>IF(O965&lt;&gt;"",ROWS($O$2:O965),"")</f>
        <v/>
      </c>
    </row>
    <row r="966" spans="10:16" x14ac:dyDescent="0.2">
      <c r="J966" s="1">
        <f>COUNTIF($L$2:L966,L966)</f>
        <v>37</v>
      </c>
      <c r="K966" s="1">
        <f>A114</f>
        <v>1958</v>
      </c>
      <c r="L966" s="1" t="str">
        <f>E114</f>
        <v>France</v>
      </c>
      <c r="M966" s="1" t="str">
        <f>IF(J966=1,J966+ROWS($J$2:J966)/10000,"")</f>
        <v/>
      </c>
      <c r="N966" s="1" t="str">
        <f>IFERROR(SMALL($M$2:$M$1705,ROWS($M$2:M966)),"")</f>
        <v/>
      </c>
      <c r="O966" s="1" t="str">
        <f>IF(N966&lt;&gt;"",INDEX($L$2:$L$1705,MATCH(N966,$M$2:$M$1705,0)),"")</f>
        <v/>
      </c>
      <c r="P966" s="1" t="str">
        <f>IF(O966&lt;&gt;"",ROWS($O$2:O966),"")</f>
        <v/>
      </c>
    </row>
    <row r="967" spans="10:16" x14ac:dyDescent="0.2">
      <c r="J967" s="1">
        <f>COUNTIF($L$2:L967,L967)</f>
        <v>18</v>
      </c>
      <c r="K967" s="1">
        <f>A115</f>
        <v>1958</v>
      </c>
      <c r="L967" s="1" t="str">
        <f>E115</f>
        <v>Austria</v>
      </c>
      <c r="M967" s="1" t="str">
        <f>IF(J967=1,J967+ROWS($J$2:J967)/10000,"")</f>
        <v/>
      </c>
      <c r="N967" s="1" t="str">
        <f>IFERROR(SMALL($M$2:$M$1705,ROWS($M$2:M967)),"")</f>
        <v/>
      </c>
      <c r="O967" s="1" t="str">
        <f>IF(N967&lt;&gt;"",INDEX($L$2:$L$1705,MATCH(N967,$M$2:$M$1705,0)),"")</f>
        <v/>
      </c>
      <c r="P967" s="1" t="str">
        <f>IF(O967&lt;&gt;"",ROWS($O$2:O967),"")</f>
        <v/>
      </c>
    </row>
    <row r="968" spans="10:16" x14ac:dyDescent="0.2">
      <c r="J968" s="1">
        <f>COUNTIF($L$2:L968,L968)</f>
        <v>17</v>
      </c>
      <c r="K968" s="1">
        <f>A116</f>
        <v>1958</v>
      </c>
      <c r="L968" s="1" t="str">
        <f>E116</f>
        <v>Czechoslovakia</v>
      </c>
      <c r="M968" s="1" t="str">
        <f>IF(J968=1,J968+ROWS($J$2:J968)/10000,"")</f>
        <v/>
      </c>
      <c r="N968" s="1" t="str">
        <f>IFERROR(SMALL($M$2:$M$1705,ROWS($M$2:M968)),"")</f>
        <v/>
      </c>
      <c r="O968" s="1" t="str">
        <f>IF(N968&lt;&gt;"",INDEX($L$2:$L$1705,MATCH(N968,$M$2:$M$1705,0)),"")</f>
        <v/>
      </c>
      <c r="P968" s="1" t="str">
        <f>IF(O968&lt;&gt;"",ROWS($O$2:O968),"")</f>
        <v/>
      </c>
    </row>
    <row r="969" spans="10:16" x14ac:dyDescent="0.2">
      <c r="J969" s="1">
        <f>COUNTIF($L$2:L969,L969)</f>
        <v>6</v>
      </c>
      <c r="K969" s="1">
        <f>A117</f>
        <v>1958</v>
      </c>
      <c r="L969" s="1" t="str">
        <f>E117</f>
        <v>Northern Ireland</v>
      </c>
      <c r="M969" s="1" t="str">
        <f>IF(J969=1,J969+ROWS($J$2:J969)/10000,"")</f>
        <v/>
      </c>
      <c r="N969" s="1" t="str">
        <f>IFERROR(SMALL($M$2:$M$1705,ROWS($M$2:M969)),"")</f>
        <v/>
      </c>
      <c r="O969" s="1" t="str">
        <f>IF(N969&lt;&gt;"",INDEX($L$2:$L$1705,MATCH(N969,$M$2:$M$1705,0)),"")</f>
        <v/>
      </c>
      <c r="P969" s="1" t="str">
        <f>IF(O969&lt;&gt;"",ROWS($O$2:O969),"")</f>
        <v/>
      </c>
    </row>
    <row r="970" spans="10:16" x14ac:dyDescent="0.2">
      <c r="J970" s="1">
        <f>COUNTIF($L$2:L970,L970)</f>
        <v>22</v>
      </c>
      <c r="K970" s="1">
        <f>A118</f>
        <v>1958</v>
      </c>
      <c r="L970" s="1" t="str">
        <f>E118</f>
        <v>Hungary</v>
      </c>
      <c r="M970" s="1" t="str">
        <f>IF(J970=1,J970+ROWS($J$2:J970)/10000,"")</f>
        <v/>
      </c>
      <c r="N970" s="1" t="str">
        <f>IFERROR(SMALL($M$2:$M$1705,ROWS($M$2:M970)),"")</f>
        <v/>
      </c>
      <c r="O970" s="1" t="str">
        <f>IF(N970&lt;&gt;"",INDEX($L$2:$L$1705,MATCH(N970,$M$2:$M$1705,0)),"")</f>
        <v/>
      </c>
      <c r="P970" s="1" t="str">
        <f>IF(O970&lt;&gt;"",ROWS($O$2:O970),"")</f>
        <v/>
      </c>
    </row>
    <row r="971" spans="10:16" x14ac:dyDescent="0.2">
      <c r="J971" s="1">
        <f>COUNTIF($L$2:L971,L971)</f>
        <v>4</v>
      </c>
      <c r="K971" s="1">
        <f>A119</f>
        <v>1958</v>
      </c>
      <c r="L971" s="1" t="str">
        <f>E119</f>
        <v>Wales</v>
      </c>
      <c r="M971" s="1" t="str">
        <f>IF(J971=1,J971+ROWS($J$2:J971)/10000,"")</f>
        <v/>
      </c>
      <c r="N971" s="1" t="str">
        <f>IFERROR(SMALL($M$2:$M$1705,ROWS($M$2:M971)),"")</f>
        <v/>
      </c>
      <c r="O971" s="1" t="str">
        <f>IF(N971&lt;&gt;"",INDEX($L$2:$L$1705,MATCH(N971,$M$2:$M$1705,0)),"")</f>
        <v/>
      </c>
      <c r="P971" s="1" t="str">
        <f>IF(O971&lt;&gt;"",ROWS($O$2:O971),"")</f>
        <v/>
      </c>
    </row>
    <row r="972" spans="10:16" x14ac:dyDescent="0.2">
      <c r="J972" s="1">
        <f>COUNTIF($L$2:L972,L972)</f>
        <v>19</v>
      </c>
      <c r="K972" s="1">
        <f>A120</f>
        <v>1958</v>
      </c>
      <c r="L972" s="1" t="str">
        <f>E120</f>
        <v>Soviet Union</v>
      </c>
      <c r="M972" s="1" t="str">
        <f>IF(J972=1,J972+ROWS($J$2:J972)/10000,"")</f>
        <v/>
      </c>
      <c r="N972" s="1" t="str">
        <f>IFERROR(SMALL($M$2:$M$1705,ROWS($M$2:M972)),"")</f>
        <v/>
      </c>
      <c r="O972" s="1" t="str">
        <f>IF(N972&lt;&gt;"",INDEX($L$2:$L$1705,MATCH(N972,$M$2:$M$1705,0)),"")</f>
        <v/>
      </c>
      <c r="P972" s="1" t="str">
        <f>IF(O972&lt;&gt;"",ROWS($O$2:O972),"")</f>
        <v/>
      </c>
    </row>
    <row r="973" spans="10:16" x14ac:dyDescent="0.2">
      <c r="J973" s="1">
        <f>COUNTIF($L$2:L973,L973)</f>
        <v>7</v>
      </c>
      <c r="K973" s="1">
        <f>A121</f>
        <v>1958</v>
      </c>
      <c r="L973" s="1" t="str">
        <f>E121</f>
        <v>Northern Ireland</v>
      </c>
      <c r="M973" s="1" t="str">
        <f>IF(J973=1,J973+ROWS($J$2:J973)/10000,"")</f>
        <v/>
      </c>
      <c r="N973" s="1" t="str">
        <f>IFERROR(SMALL($M$2:$M$1705,ROWS($M$2:M973)),"")</f>
        <v/>
      </c>
      <c r="O973" s="1" t="str">
        <f>IF(N973&lt;&gt;"",INDEX($L$2:$L$1705,MATCH(N973,$M$2:$M$1705,0)),"")</f>
        <v/>
      </c>
      <c r="P973" s="1" t="str">
        <f>IF(O973&lt;&gt;"",ROWS($O$2:O973),"")</f>
        <v/>
      </c>
    </row>
    <row r="974" spans="10:16" x14ac:dyDescent="0.2">
      <c r="J974" s="1">
        <f>COUNTIF($L$2:L974,L974)</f>
        <v>26</v>
      </c>
      <c r="K974" s="1">
        <f>A122</f>
        <v>1958</v>
      </c>
      <c r="L974" s="1" t="str">
        <f>E122</f>
        <v>Mexico</v>
      </c>
      <c r="M974" s="1" t="str">
        <f>IF(J974=1,J974+ROWS($J$2:J974)/10000,"")</f>
        <v/>
      </c>
      <c r="N974" s="1" t="str">
        <f>IFERROR(SMALL($M$2:$M$1705,ROWS($M$2:M974)),"")</f>
        <v/>
      </c>
      <c r="O974" s="1" t="str">
        <f>IF(N974&lt;&gt;"",INDEX($L$2:$L$1705,MATCH(N974,$M$2:$M$1705,0)),"")</f>
        <v/>
      </c>
      <c r="P974" s="1" t="str">
        <f>IF(O974&lt;&gt;"",ROWS($O$2:O974),"")</f>
        <v/>
      </c>
    </row>
    <row r="975" spans="10:16" x14ac:dyDescent="0.2">
      <c r="J975" s="1">
        <f>COUNTIF($L$2:L975,L975)</f>
        <v>22</v>
      </c>
      <c r="K975" s="1">
        <f>A123</f>
        <v>1958</v>
      </c>
      <c r="L975" s="1" t="str">
        <f>E123</f>
        <v>Yugoslavia</v>
      </c>
      <c r="M975" s="1" t="str">
        <f>IF(J975=1,J975+ROWS($J$2:J975)/10000,"")</f>
        <v/>
      </c>
      <c r="N975" s="1" t="str">
        <f>IFERROR(SMALL($M$2:$M$1705,ROWS($M$2:M975)),"")</f>
        <v/>
      </c>
      <c r="O975" s="1" t="str">
        <f>IF(N975&lt;&gt;"",INDEX($L$2:$L$1705,MATCH(N975,$M$2:$M$1705,0)),"")</f>
        <v/>
      </c>
      <c r="P975" s="1" t="str">
        <f>IF(O975&lt;&gt;"",ROWS($O$2:O975),"")</f>
        <v/>
      </c>
    </row>
    <row r="976" spans="10:16" x14ac:dyDescent="0.2">
      <c r="J976" s="1">
        <f>COUNTIF($L$2:L976,L976)</f>
        <v>14</v>
      </c>
      <c r="K976" s="1">
        <f>A124</f>
        <v>1958</v>
      </c>
      <c r="L976" s="1" t="str">
        <f>E124</f>
        <v>Scotland</v>
      </c>
      <c r="M976" s="1" t="str">
        <f>IF(J976=1,J976+ROWS($J$2:J976)/10000,"")</f>
        <v/>
      </c>
      <c r="N976" s="1" t="str">
        <f>IFERROR(SMALL($M$2:$M$1705,ROWS($M$2:M976)),"")</f>
        <v/>
      </c>
      <c r="O976" s="1" t="str">
        <f>IF(N976&lt;&gt;"",INDEX($L$2:$L$1705,MATCH(N976,$M$2:$M$1705,0)),"")</f>
        <v/>
      </c>
      <c r="P976" s="1" t="str">
        <f>IF(O976&lt;&gt;"",ROWS($O$2:O976),"")</f>
        <v/>
      </c>
    </row>
    <row r="977" spans="10:16" x14ac:dyDescent="0.2">
      <c r="J977" s="1">
        <f>COUNTIF($L$2:L977,L977)</f>
        <v>19</v>
      </c>
      <c r="K977" s="1">
        <f>A125</f>
        <v>1958</v>
      </c>
      <c r="L977" s="1" t="str">
        <f>E125</f>
        <v>Austria</v>
      </c>
      <c r="M977" s="1" t="str">
        <f>IF(J977=1,J977+ROWS($J$2:J977)/10000,"")</f>
        <v/>
      </c>
      <c r="N977" s="1" t="str">
        <f>IFERROR(SMALL($M$2:$M$1705,ROWS($M$2:M977)),"")</f>
        <v/>
      </c>
      <c r="O977" s="1" t="str">
        <f>IF(N977&lt;&gt;"",INDEX($L$2:$L$1705,MATCH(N977,$M$2:$M$1705,0)),"")</f>
        <v/>
      </c>
      <c r="P977" s="1" t="str">
        <f>IF(O977&lt;&gt;"",ROWS($O$2:O977),"")</f>
        <v/>
      </c>
    </row>
    <row r="978" spans="10:16" x14ac:dyDescent="0.2">
      <c r="J978" s="1">
        <f>COUNTIF($L$2:L978,L978)</f>
        <v>57</v>
      </c>
      <c r="K978" s="1">
        <f>A126</f>
        <v>1958</v>
      </c>
      <c r="L978" s="1" t="str">
        <f>E126</f>
        <v>Argentina</v>
      </c>
      <c r="M978" s="1" t="str">
        <f>IF(J978=1,J978+ROWS($J$2:J978)/10000,"")</f>
        <v/>
      </c>
      <c r="N978" s="1" t="str">
        <f>IFERROR(SMALL($M$2:$M$1705,ROWS($M$2:M978)),"")</f>
        <v/>
      </c>
      <c r="O978" s="1" t="str">
        <f>IF(N978&lt;&gt;"",INDEX($L$2:$L$1705,MATCH(N978,$M$2:$M$1705,0)),"")</f>
        <v/>
      </c>
      <c r="P978" s="1" t="str">
        <f>IF(O978&lt;&gt;"",ROWS($O$2:O978),"")</f>
        <v/>
      </c>
    </row>
    <row r="979" spans="10:16" x14ac:dyDescent="0.2">
      <c r="J979" s="1">
        <f>COUNTIF($L$2:L979,L979)</f>
        <v>41</v>
      </c>
      <c r="K979" s="1">
        <f>A127</f>
        <v>1958</v>
      </c>
      <c r="L979" s="1" t="str">
        <f>E127</f>
        <v>England</v>
      </c>
      <c r="M979" s="1" t="str">
        <f>IF(J979=1,J979+ROWS($J$2:J979)/10000,"")</f>
        <v/>
      </c>
      <c r="N979" s="1" t="str">
        <f>IFERROR(SMALL($M$2:$M$1705,ROWS($M$2:M979)),"")</f>
        <v/>
      </c>
      <c r="O979" s="1" t="str">
        <f>IF(N979&lt;&gt;"",INDEX($L$2:$L$1705,MATCH(N979,$M$2:$M$1705,0)),"")</f>
        <v/>
      </c>
      <c r="P979" s="1" t="str">
        <f>IF(O979&lt;&gt;"",ROWS($O$2:O979),"")</f>
        <v/>
      </c>
    </row>
    <row r="980" spans="10:16" x14ac:dyDescent="0.2">
      <c r="J980" s="1">
        <f>COUNTIF($L$2:L980,L980)</f>
        <v>18</v>
      </c>
      <c r="K980" s="1">
        <f>A128</f>
        <v>1958</v>
      </c>
      <c r="L980" s="1" t="str">
        <f>E128</f>
        <v>Czechoslovakia</v>
      </c>
      <c r="M980" s="1" t="str">
        <f>IF(J980=1,J980+ROWS($J$2:J980)/10000,"")</f>
        <v/>
      </c>
      <c r="N980" s="1" t="str">
        <f>IFERROR(SMALL($M$2:$M$1705,ROWS($M$2:M980)),"")</f>
        <v/>
      </c>
      <c r="O980" s="1" t="str">
        <f>IF(N980&lt;&gt;"",INDEX($L$2:$L$1705,MATCH(N980,$M$2:$M$1705,0)),"")</f>
        <v/>
      </c>
      <c r="P980" s="1" t="str">
        <f>IF(O980&lt;&gt;"",ROWS($O$2:O980),"")</f>
        <v/>
      </c>
    </row>
    <row r="981" spans="10:16" x14ac:dyDescent="0.2">
      <c r="J981" s="1">
        <f>COUNTIF($L$2:L981,L981)</f>
        <v>23</v>
      </c>
      <c r="K981" s="1">
        <f>A129</f>
        <v>1958</v>
      </c>
      <c r="L981" s="1" t="str">
        <f>E129</f>
        <v>Hungary</v>
      </c>
      <c r="M981" s="1" t="str">
        <f>IF(J981=1,J981+ROWS($J$2:J981)/10000,"")</f>
        <v/>
      </c>
      <c r="N981" s="1" t="str">
        <f>IFERROR(SMALL($M$2:$M$1705,ROWS($M$2:M981)),"")</f>
        <v/>
      </c>
      <c r="O981" s="1" t="str">
        <f>IF(N981&lt;&gt;"",INDEX($L$2:$L$1705,MATCH(N981,$M$2:$M$1705,0)),"")</f>
        <v/>
      </c>
      <c r="P981" s="1" t="str">
        <f>IF(O981&lt;&gt;"",ROWS($O$2:O981),"")</f>
        <v/>
      </c>
    </row>
    <row r="982" spans="10:16" x14ac:dyDescent="0.2">
      <c r="J982" s="1">
        <f>COUNTIF($L$2:L982,L982)</f>
        <v>5</v>
      </c>
      <c r="K982" s="1">
        <f>A130</f>
        <v>1958</v>
      </c>
      <c r="L982" s="1" t="str">
        <f>E130</f>
        <v>Wales</v>
      </c>
      <c r="M982" s="1" t="str">
        <f>IF(J982=1,J982+ROWS($J$2:J982)/10000,"")</f>
        <v/>
      </c>
      <c r="N982" s="1" t="str">
        <f>IFERROR(SMALL($M$2:$M$1705,ROWS($M$2:M982)),"")</f>
        <v/>
      </c>
      <c r="O982" s="1" t="str">
        <f>IF(N982&lt;&gt;"",INDEX($L$2:$L$1705,MATCH(N982,$M$2:$M$1705,0)),"")</f>
        <v/>
      </c>
      <c r="P982" s="1" t="str">
        <f>IF(O982&lt;&gt;"",ROWS($O$2:O982),"")</f>
        <v/>
      </c>
    </row>
    <row r="983" spans="10:16" x14ac:dyDescent="0.2">
      <c r="J983" s="1">
        <f>COUNTIF($L$2:L983,L983)</f>
        <v>23</v>
      </c>
      <c r="K983" s="1">
        <f>A131</f>
        <v>1958</v>
      </c>
      <c r="L983" s="1" t="str">
        <f>E131</f>
        <v>Yugoslavia</v>
      </c>
      <c r="M983" s="1" t="str">
        <f>IF(J983=1,J983+ROWS($J$2:J983)/10000,"")</f>
        <v/>
      </c>
      <c r="N983" s="1" t="str">
        <f>IFERROR(SMALL($M$2:$M$1705,ROWS($M$2:M983)),"")</f>
        <v/>
      </c>
      <c r="O983" s="1" t="str">
        <f>IF(N983&lt;&gt;"",INDEX($L$2:$L$1705,MATCH(N983,$M$2:$M$1705,0)),"")</f>
        <v/>
      </c>
      <c r="P983" s="1" t="str">
        <f>IF(O983&lt;&gt;"",ROWS($O$2:O983),"")</f>
        <v/>
      </c>
    </row>
    <row r="984" spans="10:16" x14ac:dyDescent="0.2">
      <c r="J984" s="1">
        <f>COUNTIF($L$2:L984,L984)</f>
        <v>20</v>
      </c>
      <c r="K984" s="1">
        <f>A132</f>
        <v>1958</v>
      </c>
      <c r="L984" s="1" t="str">
        <f>E132</f>
        <v>Soviet Union</v>
      </c>
      <c r="M984" s="1" t="str">
        <f>IF(J984=1,J984+ROWS($J$2:J984)/10000,"")</f>
        <v/>
      </c>
      <c r="N984" s="1" t="str">
        <f>IFERROR(SMALL($M$2:$M$1705,ROWS($M$2:M984)),"")</f>
        <v/>
      </c>
      <c r="O984" s="1" t="str">
        <f>IF(N984&lt;&gt;"",INDEX($L$2:$L$1705,MATCH(N984,$M$2:$M$1705,0)),"")</f>
        <v/>
      </c>
      <c r="P984" s="1" t="str">
        <f>IF(O984&lt;&gt;"",ROWS($O$2:O984),"")</f>
        <v/>
      </c>
    </row>
    <row r="985" spans="10:16" x14ac:dyDescent="0.2">
      <c r="J985" s="1">
        <f>COUNTIF($L$2:L985,L985)</f>
        <v>8</v>
      </c>
      <c r="K985" s="1">
        <f>A133</f>
        <v>1958</v>
      </c>
      <c r="L985" s="1" t="str">
        <f>E133</f>
        <v>Northern Ireland</v>
      </c>
      <c r="M985" s="1" t="str">
        <f>IF(J985=1,J985+ROWS($J$2:J985)/10000,"")</f>
        <v/>
      </c>
      <c r="N985" s="1" t="str">
        <f>IFERROR(SMALL($M$2:$M$1705,ROWS($M$2:M985)),"")</f>
        <v/>
      </c>
      <c r="O985" s="1" t="str">
        <f>IF(N985&lt;&gt;"",INDEX($L$2:$L$1705,MATCH(N985,$M$2:$M$1705,0)),"")</f>
        <v/>
      </c>
      <c r="P985" s="1" t="str">
        <f>IF(O985&lt;&gt;"",ROWS($O$2:O985),"")</f>
        <v/>
      </c>
    </row>
    <row r="986" spans="10:16" x14ac:dyDescent="0.2">
      <c r="J986" s="1">
        <f>COUNTIF($L$2:L986,L986)</f>
        <v>46</v>
      </c>
      <c r="K986" s="1">
        <f>A134</f>
        <v>1958</v>
      </c>
      <c r="L986" s="1" t="str">
        <f>E134</f>
        <v>Germany FR</v>
      </c>
      <c r="M986" s="1" t="str">
        <f>IF(J986=1,J986+ROWS($J$2:J986)/10000,"")</f>
        <v/>
      </c>
      <c r="N986" s="1" t="str">
        <f>IFERROR(SMALL($M$2:$M$1705,ROWS($M$2:M986)),"")</f>
        <v/>
      </c>
      <c r="O986" s="1" t="str">
        <f>IF(N986&lt;&gt;"",INDEX($L$2:$L$1705,MATCH(N986,$M$2:$M$1705,0)),"")</f>
        <v/>
      </c>
      <c r="P986" s="1" t="str">
        <f>IF(O986&lt;&gt;"",ROWS($O$2:O986),"")</f>
        <v/>
      </c>
    </row>
    <row r="987" spans="10:16" x14ac:dyDescent="0.2">
      <c r="J987" s="1">
        <f>COUNTIF($L$2:L987,L987)</f>
        <v>38</v>
      </c>
      <c r="K987" s="1">
        <f>A135</f>
        <v>1958</v>
      </c>
      <c r="L987" s="1" t="str">
        <f>E135</f>
        <v>France</v>
      </c>
      <c r="M987" s="1" t="str">
        <f>IF(J987=1,J987+ROWS($J$2:J987)/10000,"")</f>
        <v/>
      </c>
      <c r="N987" s="1" t="str">
        <f>IFERROR(SMALL($M$2:$M$1705,ROWS($M$2:M987)),"")</f>
        <v/>
      </c>
      <c r="O987" s="1" t="str">
        <f>IF(N987&lt;&gt;"",INDEX($L$2:$L$1705,MATCH(N987,$M$2:$M$1705,0)),"")</f>
        <v/>
      </c>
      <c r="P987" s="1" t="str">
        <f>IF(O987&lt;&gt;"",ROWS($O$2:O987),"")</f>
        <v/>
      </c>
    </row>
    <row r="988" spans="10:16" x14ac:dyDescent="0.2">
      <c r="J988" s="1">
        <f>COUNTIF($L$2:L988,L988)</f>
        <v>47</v>
      </c>
      <c r="K988" s="1">
        <f>A136</f>
        <v>1958</v>
      </c>
      <c r="L988" s="1" t="str">
        <f>E136</f>
        <v>Germany FR</v>
      </c>
      <c r="M988" s="1" t="str">
        <f>IF(J988=1,J988+ROWS($J$2:J988)/10000,"")</f>
        <v/>
      </c>
      <c r="N988" s="1" t="str">
        <f>IFERROR(SMALL($M$2:$M$1705,ROWS($M$2:M988)),"")</f>
        <v/>
      </c>
      <c r="O988" s="1" t="str">
        <f>IF(N988&lt;&gt;"",INDEX($L$2:$L$1705,MATCH(N988,$M$2:$M$1705,0)),"")</f>
        <v/>
      </c>
      <c r="P988" s="1" t="str">
        <f>IF(O988&lt;&gt;"",ROWS($O$2:O988),"")</f>
        <v/>
      </c>
    </row>
    <row r="989" spans="10:16" x14ac:dyDescent="0.2">
      <c r="J989" s="1">
        <f>COUNTIF($L$2:L989,L989)</f>
        <v>33</v>
      </c>
      <c r="K989" s="1">
        <f>A137</f>
        <v>1958</v>
      </c>
      <c r="L989" s="1" t="str">
        <f>E137</f>
        <v>Sweden</v>
      </c>
      <c r="M989" s="1" t="str">
        <f>IF(J989=1,J989+ROWS($J$2:J989)/10000,"")</f>
        <v/>
      </c>
      <c r="N989" s="1" t="str">
        <f>IFERROR(SMALL($M$2:$M$1705,ROWS($M$2:M989)),"")</f>
        <v/>
      </c>
      <c r="O989" s="1" t="str">
        <f>IF(N989&lt;&gt;"",INDEX($L$2:$L$1705,MATCH(N989,$M$2:$M$1705,0)),"")</f>
        <v/>
      </c>
      <c r="P989" s="1" t="str">
        <f>IF(O989&lt;&gt;"",ROWS($O$2:O989),"")</f>
        <v/>
      </c>
    </row>
    <row r="990" spans="10:16" x14ac:dyDescent="0.2">
      <c r="J990" s="1">
        <f>COUNTIF($L$2:L990,L990)</f>
        <v>8</v>
      </c>
      <c r="K990" s="1">
        <f>A138</f>
        <v>1962</v>
      </c>
      <c r="L990" s="1" t="str">
        <f>E138</f>
        <v>Colombia</v>
      </c>
      <c r="M990" s="1" t="str">
        <f>IF(J990=1,J990+ROWS($J$2:J990)/10000,"")</f>
        <v/>
      </c>
      <c r="N990" s="1" t="str">
        <f>IFERROR(SMALL($M$2:$M$1705,ROWS($M$2:M990)),"")</f>
        <v/>
      </c>
      <c r="O990" s="1" t="str">
        <f>IF(N990&lt;&gt;"",INDEX($L$2:$L$1705,MATCH(N990,$M$2:$M$1705,0)),"")</f>
        <v/>
      </c>
      <c r="P990" s="1" t="str">
        <f>IF(O990&lt;&gt;"",ROWS($O$2:O990),"")</f>
        <v/>
      </c>
    </row>
    <row r="991" spans="10:16" x14ac:dyDescent="0.2">
      <c r="J991" s="1">
        <f>COUNTIF($L$2:L991,L991)</f>
        <v>27</v>
      </c>
      <c r="K991" s="1">
        <f>A139</f>
        <v>1962</v>
      </c>
      <c r="L991" s="1" t="str">
        <f>E139</f>
        <v>Mexico</v>
      </c>
      <c r="M991" s="1" t="str">
        <f>IF(J991=1,J991+ROWS($J$2:J991)/10000,"")</f>
        <v/>
      </c>
      <c r="N991" s="1" t="str">
        <f>IFERROR(SMALL($M$2:$M$1705,ROWS($M$2:M991)),"")</f>
        <v/>
      </c>
      <c r="O991" s="1" t="str">
        <f>IF(N991&lt;&gt;"",INDEX($L$2:$L$1705,MATCH(N991,$M$2:$M$1705,0)),"")</f>
        <v/>
      </c>
      <c r="P991" s="1" t="str">
        <f>IF(O991&lt;&gt;"",ROWS($O$2:O991),"")</f>
        <v/>
      </c>
    </row>
    <row r="992" spans="10:16" x14ac:dyDescent="0.2">
      <c r="J992" s="1">
        <f>COUNTIF($L$2:L992,L992)</f>
        <v>8</v>
      </c>
      <c r="K992" s="1">
        <f>A140</f>
        <v>1962</v>
      </c>
      <c r="L992" s="1" t="str">
        <f>E140</f>
        <v>Bulgaria</v>
      </c>
      <c r="M992" s="1" t="str">
        <f>IF(J992=1,J992+ROWS($J$2:J992)/10000,"")</f>
        <v/>
      </c>
      <c r="N992" s="1" t="str">
        <f>IFERROR(SMALL($M$2:$M$1705,ROWS($M$2:M992)),"")</f>
        <v/>
      </c>
      <c r="O992" s="1" t="str">
        <f>IF(N992&lt;&gt;"",INDEX($L$2:$L$1705,MATCH(N992,$M$2:$M$1705,0)),"")</f>
        <v/>
      </c>
      <c r="P992" s="1" t="str">
        <f>IF(O992&lt;&gt;"",ROWS($O$2:O992),"")</f>
        <v/>
      </c>
    </row>
    <row r="993" spans="10:16" x14ac:dyDescent="0.2">
      <c r="J993" s="1">
        <f>COUNTIF($L$2:L993,L993)</f>
        <v>19</v>
      </c>
      <c r="K993" s="1">
        <f>A141</f>
        <v>1962</v>
      </c>
      <c r="L993" s="1" t="str">
        <f>E141</f>
        <v>Switzerland</v>
      </c>
      <c r="M993" s="1" t="str">
        <f>IF(J993=1,J993+ROWS($J$2:J993)/10000,"")</f>
        <v/>
      </c>
      <c r="N993" s="1" t="str">
        <f>IFERROR(SMALL($M$2:$M$1705,ROWS($M$2:M993)),"")</f>
        <v/>
      </c>
      <c r="O993" s="1" t="str">
        <f>IF(N993&lt;&gt;"",INDEX($L$2:$L$1705,MATCH(N993,$M$2:$M$1705,0)),"")</f>
        <v/>
      </c>
      <c r="P993" s="1" t="str">
        <f>IF(O993&lt;&gt;"",ROWS($O$2:O993),"")</f>
        <v/>
      </c>
    </row>
    <row r="994" spans="10:16" x14ac:dyDescent="0.2">
      <c r="J994" s="1">
        <f>COUNTIF($L$2:L994,L994)</f>
        <v>24</v>
      </c>
      <c r="K994" s="1">
        <f>A142</f>
        <v>1962</v>
      </c>
      <c r="L994" s="1" t="str">
        <f>E142</f>
        <v>Yugoslavia</v>
      </c>
      <c r="M994" s="1" t="str">
        <f>IF(J994=1,J994+ROWS($J$2:J994)/10000,"")</f>
        <v/>
      </c>
      <c r="N994" s="1" t="str">
        <f>IFERROR(SMALL($M$2:$M$1705,ROWS($M$2:M994)),"")</f>
        <v/>
      </c>
      <c r="O994" s="1" t="str">
        <f>IF(N994&lt;&gt;"",INDEX($L$2:$L$1705,MATCH(N994,$M$2:$M$1705,0)),"")</f>
        <v/>
      </c>
      <c r="P994" s="1" t="str">
        <f>IF(O994&lt;&gt;"",ROWS($O$2:O994),"")</f>
        <v/>
      </c>
    </row>
    <row r="995" spans="10:16" x14ac:dyDescent="0.2">
      <c r="J995" s="1">
        <f>COUNTIF($L$2:L995,L995)</f>
        <v>36</v>
      </c>
      <c r="K995" s="1">
        <f>A143</f>
        <v>1962</v>
      </c>
      <c r="L995" s="1" t="str">
        <f>E143</f>
        <v>Spain</v>
      </c>
      <c r="M995" s="1" t="str">
        <f>IF(J995=1,J995+ROWS($J$2:J995)/10000,"")</f>
        <v/>
      </c>
      <c r="N995" s="1" t="str">
        <f>IFERROR(SMALL($M$2:$M$1705,ROWS($M$2:M995)),"")</f>
        <v/>
      </c>
      <c r="O995" s="1" t="str">
        <f>IF(N995&lt;&gt;"",INDEX($L$2:$L$1705,MATCH(N995,$M$2:$M$1705,0)),"")</f>
        <v/>
      </c>
      <c r="P995" s="1" t="str">
        <f>IF(O995&lt;&gt;"",ROWS($O$2:O995),"")</f>
        <v/>
      </c>
    </row>
    <row r="996" spans="10:16" x14ac:dyDescent="0.2">
      <c r="J996" s="1">
        <f>COUNTIF($L$2:L996,L996)</f>
        <v>42</v>
      </c>
      <c r="K996" s="1">
        <f>A144</f>
        <v>1962</v>
      </c>
      <c r="L996" s="1" t="str">
        <f>E144</f>
        <v>England</v>
      </c>
      <c r="M996" s="1" t="str">
        <f>IF(J996=1,J996+ROWS($J$2:J996)/10000,"")</f>
        <v/>
      </c>
      <c r="N996" s="1" t="str">
        <f>IFERROR(SMALL($M$2:$M$1705,ROWS($M$2:M996)),"")</f>
        <v/>
      </c>
      <c r="O996" s="1" t="str">
        <f>IF(N996&lt;&gt;"",INDEX($L$2:$L$1705,MATCH(N996,$M$2:$M$1705,0)),"")</f>
        <v/>
      </c>
      <c r="P996" s="1" t="str">
        <f>IF(O996&lt;&gt;"",ROWS($O$2:O996),"")</f>
        <v/>
      </c>
    </row>
    <row r="997" spans="10:16" x14ac:dyDescent="0.2">
      <c r="J997" s="1">
        <f>COUNTIF($L$2:L997,L997)</f>
        <v>61</v>
      </c>
      <c r="K997" s="1">
        <f>A145</f>
        <v>1962</v>
      </c>
      <c r="L997" s="1" t="str">
        <f>E145</f>
        <v>Italy</v>
      </c>
      <c r="M997" s="1" t="str">
        <f>IF(J997=1,J997+ROWS($J$2:J997)/10000,"")</f>
        <v/>
      </c>
      <c r="N997" s="1" t="str">
        <f>IFERROR(SMALL($M$2:$M$1705,ROWS($M$2:M997)),"")</f>
        <v/>
      </c>
      <c r="O997" s="1" t="str">
        <f>IF(N997&lt;&gt;"",INDEX($L$2:$L$1705,MATCH(N997,$M$2:$M$1705,0)),"")</f>
        <v/>
      </c>
      <c r="P997" s="1" t="str">
        <f>IF(O997&lt;&gt;"",ROWS($O$2:O997),"")</f>
        <v/>
      </c>
    </row>
    <row r="998" spans="10:16" x14ac:dyDescent="0.2">
      <c r="J998" s="1">
        <f>COUNTIF($L$2:L998,L998)</f>
        <v>31</v>
      </c>
      <c r="K998" s="1">
        <f>A146</f>
        <v>1962</v>
      </c>
      <c r="L998" s="1" t="str">
        <f>E146</f>
        <v>Uruguay</v>
      </c>
      <c r="M998" s="1" t="str">
        <f>IF(J998=1,J998+ROWS($J$2:J998)/10000,"")</f>
        <v/>
      </c>
      <c r="N998" s="1" t="str">
        <f>IFERROR(SMALL($M$2:$M$1705,ROWS($M$2:M998)),"")</f>
        <v/>
      </c>
      <c r="O998" s="1" t="str">
        <f>IF(N998&lt;&gt;"",INDEX($L$2:$L$1705,MATCH(N998,$M$2:$M$1705,0)),"")</f>
        <v/>
      </c>
      <c r="P998" s="1" t="str">
        <f>IF(O998&lt;&gt;"",ROWS($O$2:O998),"")</f>
        <v/>
      </c>
    </row>
    <row r="999" spans="10:16" x14ac:dyDescent="0.2">
      <c r="J999" s="1">
        <f>COUNTIF($L$2:L999,L999)</f>
        <v>19</v>
      </c>
      <c r="K999" s="1">
        <f>A147</f>
        <v>1962</v>
      </c>
      <c r="L999" s="1" t="str">
        <f>E147</f>
        <v>Czechoslovakia</v>
      </c>
      <c r="M999" s="1" t="str">
        <f>IF(J999=1,J999+ROWS($J$2:J999)/10000,"")</f>
        <v/>
      </c>
      <c r="N999" s="1" t="str">
        <f>IFERROR(SMALL($M$2:$M$1705,ROWS($M$2:M999)),"")</f>
        <v/>
      </c>
      <c r="O999" s="1" t="str">
        <f>IF(N999&lt;&gt;"",INDEX($L$2:$L$1705,MATCH(N999,$M$2:$M$1705,0)),"")</f>
        <v/>
      </c>
      <c r="P999" s="1" t="str">
        <f>IF(O999&lt;&gt;"",ROWS($O$2:O999),"")</f>
        <v/>
      </c>
    </row>
    <row r="1000" spans="10:16" x14ac:dyDescent="0.2">
      <c r="J1000" s="1">
        <f>COUNTIF($L$2:L1000,L1000)</f>
        <v>58</v>
      </c>
      <c r="K1000" s="1">
        <f>A148</f>
        <v>1962</v>
      </c>
      <c r="L1000" s="1" t="str">
        <f>E148</f>
        <v>Argentina</v>
      </c>
      <c r="M1000" s="1" t="str">
        <f>IF(J1000=1,J1000+ROWS($J$2:J1000)/10000,"")</f>
        <v/>
      </c>
      <c r="N1000" s="1" t="str">
        <f>IFERROR(SMALL($M$2:$M$1705,ROWS($M$2:M1000)),"")</f>
        <v/>
      </c>
      <c r="O1000" s="1" t="str">
        <f>IF(N1000&lt;&gt;"",INDEX($L$2:$L$1705,MATCH(N1000,$M$2:$M$1705,0)),"")</f>
        <v/>
      </c>
      <c r="P1000" s="1" t="str">
        <f>IF(O1000&lt;&gt;"",ROWS($O$2:O1000),"")</f>
        <v/>
      </c>
    </row>
    <row r="1001" spans="10:16" x14ac:dyDescent="0.2">
      <c r="J1001" s="1">
        <f>COUNTIF($L$2:L1001,L1001)</f>
        <v>62</v>
      </c>
      <c r="K1001" s="1">
        <f>A149</f>
        <v>1962</v>
      </c>
      <c r="L1001" s="1" t="str">
        <f>E149</f>
        <v>Italy</v>
      </c>
      <c r="M1001" s="1" t="str">
        <f>IF(J1001=1,J1001+ROWS($J$2:J1001)/10000,"")</f>
        <v/>
      </c>
      <c r="N1001" s="1" t="str">
        <f>IFERROR(SMALL($M$2:$M$1705,ROWS($M$2:M1001)),"")</f>
        <v/>
      </c>
      <c r="O1001" s="1" t="str">
        <f>IF(N1001&lt;&gt;"",INDEX($L$2:$L$1705,MATCH(N1001,$M$2:$M$1705,0)),"")</f>
        <v/>
      </c>
      <c r="P1001" s="1" t="str">
        <f>IF(O1001&lt;&gt;"",ROWS($O$2:O1001),"")</f>
        <v/>
      </c>
    </row>
    <row r="1002" spans="10:16" x14ac:dyDescent="0.2">
      <c r="J1002" s="1">
        <f>COUNTIF($L$2:L1002,L1002)</f>
        <v>9</v>
      </c>
      <c r="K1002" s="1">
        <f>A150</f>
        <v>1962</v>
      </c>
      <c r="L1002" s="1" t="str">
        <f>E150</f>
        <v>Colombia</v>
      </c>
      <c r="M1002" s="1" t="str">
        <f>IF(J1002=1,J1002+ROWS($J$2:J1002)/10000,"")</f>
        <v/>
      </c>
      <c r="N1002" s="1" t="str">
        <f>IFERROR(SMALL($M$2:$M$1705,ROWS($M$2:M1002)),"")</f>
        <v/>
      </c>
      <c r="O1002" s="1" t="str">
        <f>IF(N1002&lt;&gt;"",INDEX($L$2:$L$1705,MATCH(N1002,$M$2:$M$1705,0)),"")</f>
        <v/>
      </c>
      <c r="P1002" s="1" t="str">
        <f>IF(O1002&lt;&gt;"",ROWS($O$2:O1002),"")</f>
        <v/>
      </c>
    </row>
    <row r="1003" spans="10:16" x14ac:dyDescent="0.2">
      <c r="J1003" s="1">
        <f>COUNTIF($L$2:L1003,L1003)</f>
        <v>28</v>
      </c>
      <c r="K1003" s="1">
        <f>A151</f>
        <v>1962</v>
      </c>
      <c r="L1003" s="1" t="str">
        <f>E151</f>
        <v>Mexico</v>
      </c>
      <c r="M1003" s="1" t="str">
        <f>IF(J1003=1,J1003+ROWS($J$2:J1003)/10000,"")</f>
        <v/>
      </c>
      <c r="N1003" s="1" t="str">
        <f>IFERROR(SMALL($M$2:$M$1705,ROWS($M$2:M1003)),"")</f>
        <v/>
      </c>
      <c r="O1003" s="1" t="str">
        <f>IF(N1003&lt;&gt;"",INDEX($L$2:$L$1705,MATCH(N1003,$M$2:$M$1705,0)),"")</f>
        <v/>
      </c>
      <c r="P1003" s="1" t="str">
        <f>IF(O1003&lt;&gt;"",ROWS($O$2:O1003),"")</f>
        <v/>
      </c>
    </row>
    <row r="1004" spans="10:16" x14ac:dyDescent="0.2">
      <c r="J1004" s="1">
        <f>COUNTIF($L$2:L1004,L1004)</f>
        <v>9</v>
      </c>
      <c r="K1004" s="1">
        <f>A152</f>
        <v>1962</v>
      </c>
      <c r="L1004" s="1" t="str">
        <f>E152</f>
        <v>Bulgaria</v>
      </c>
      <c r="M1004" s="1" t="str">
        <f>IF(J1004=1,J1004+ROWS($J$2:J1004)/10000,"")</f>
        <v/>
      </c>
      <c r="N1004" s="1" t="str">
        <f>IFERROR(SMALL($M$2:$M$1705,ROWS($M$2:M1004)),"")</f>
        <v/>
      </c>
      <c r="O1004" s="1" t="str">
        <f>IF(N1004&lt;&gt;"",INDEX($L$2:$L$1705,MATCH(N1004,$M$2:$M$1705,0)),"")</f>
        <v/>
      </c>
      <c r="P1004" s="1" t="str">
        <f>IF(O1004&lt;&gt;"",ROWS($O$2:O1004),"")</f>
        <v/>
      </c>
    </row>
    <row r="1005" spans="10:16" x14ac:dyDescent="0.2">
      <c r="J1005" s="1">
        <f>COUNTIF($L$2:L1005,L1005)</f>
        <v>20</v>
      </c>
      <c r="K1005" s="1">
        <f>A153</f>
        <v>1962</v>
      </c>
      <c r="L1005" s="1" t="str">
        <f>E153</f>
        <v>Switzerland</v>
      </c>
      <c r="M1005" s="1" t="str">
        <f>IF(J1005=1,J1005+ROWS($J$2:J1005)/10000,"")</f>
        <v/>
      </c>
      <c r="N1005" s="1" t="str">
        <f>IFERROR(SMALL($M$2:$M$1705,ROWS($M$2:M1005)),"")</f>
        <v/>
      </c>
      <c r="O1005" s="1" t="str">
        <f>IF(N1005&lt;&gt;"",INDEX($L$2:$L$1705,MATCH(N1005,$M$2:$M$1705,0)),"")</f>
        <v/>
      </c>
      <c r="P1005" s="1" t="str">
        <f>IF(O1005&lt;&gt;"",ROWS($O$2:O1005),"")</f>
        <v/>
      </c>
    </row>
    <row r="1006" spans="10:16" x14ac:dyDescent="0.2">
      <c r="J1006" s="1">
        <f>COUNTIF($L$2:L1006,L1006)</f>
        <v>32</v>
      </c>
      <c r="K1006" s="1">
        <f>A154</f>
        <v>1962</v>
      </c>
      <c r="L1006" s="1" t="str">
        <f>E154</f>
        <v>Uruguay</v>
      </c>
      <c r="M1006" s="1" t="str">
        <f>IF(J1006=1,J1006+ROWS($J$2:J1006)/10000,"")</f>
        <v/>
      </c>
      <c r="N1006" s="1" t="str">
        <f>IFERROR(SMALL($M$2:$M$1705,ROWS($M$2:M1006)),"")</f>
        <v/>
      </c>
      <c r="O1006" s="1" t="str">
        <f>IF(N1006&lt;&gt;"",INDEX($L$2:$L$1705,MATCH(N1006,$M$2:$M$1705,0)),"")</f>
        <v/>
      </c>
      <c r="P1006" s="1" t="str">
        <f>IF(O1006&lt;&gt;"",ROWS($O$2:O1006),"")</f>
        <v/>
      </c>
    </row>
    <row r="1007" spans="10:16" x14ac:dyDescent="0.2">
      <c r="J1007" s="1">
        <f>COUNTIF($L$2:L1007,L1007)</f>
        <v>37</v>
      </c>
      <c r="K1007" s="1">
        <f>A155</f>
        <v>1962</v>
      </c>
      <c r="L1007" s="1" t="str">
        <f>E155</f>
        <v>Spain</v>
      </c>
      <c r="M1007" s="1" t="str">
        <f>IF(J1007=1,J1007+ROWS($J$2:J1007)/10000,"")</f>
        <v/>
      </c>
      <c r="N1007" s="1" t="str">
        <f>IFERROR(SMALL($M$2:$M$1705,ROWS($M$2:M1007)),"")</f>
        <v/>
      </c>
      <c r="O1007" s="1" t="str">
        <f>IF(N1007&lt;&gt;"",INDEX($L$2:$L$1705,MATCH(N1007,$M$2:$M$1705,0)),"")</f>
        <v/>
      </c>
      <c r="P1007" s="1" t="str">
        <f>IF(O1007&lt;&gt;"",ROWS($O$2:O1007),"")</f>
        <v/>
      </c>
    </row>
    <row r="1008" spans="10:16" x14ac:dyDescent="0.2">
      <c r="J1008" s="1">
        <f>COUNTIF($L$2:L1008,L1008)</f>
        <v>59</v>
      </c>
      <c r="K1008" s="1">
        <f>A156</f>
        <v>1962</v>
      </c>
      <c r="L1008" s="1" t="str">
        <f>E156</f>
        <v>Argentina</v>
      </c>
      <c r="M1008" s="1" t="str">
        <f>IF(J1008=1,J1008+ROWS($J$2:J1008)/10000,"")</f>
        <v/>
      </c>
      <c r="N1008" s="1" t="str">
        <f>IFERROR(SMALL($M$2:$M$1705,ROWS($M$2:M1008)),"")</f>
        <v/>
      </c>
      <c r="O1008" s="1" t="str">
        <f>IF(N1008&lt;&gt;"",INDEX($L$2:$L$1705,MATCH(N1008,$M$2:$M$1705,0)),"")</f>
        <v/>
      </c>
      <c r="P1008" s="1" t="str">
        <f>IF(O1008&lt;&gt;"",ROWS($O$2:O1008),"")</f>
        <v/>
      </c>
    </row>
    <row r="1009" spans="10:16" x14ac:dyDescent="0.2">
      <c r="J1009" s="1">
        <f>COUNTIF($L$2:L1009,L1009)</f>
        <v>18</v>
      </c>
      <c r="K1009" s="1">
        <f>A157</f>
        <v>1962</v>
      </c>
      <c r="L1009" s="1" t="str">
        <f>E157</f>
        <v>Chile</v>
      </c>
      <c r="M1009" s="1" t="str">
        <f>IF(J1009=1,J1009+ROWS($J$2:J1009)/10000,"")</f>
        <v/>
      </c>
      <c r="N1009" s="1" t="str">
        <f>IFERROR(SMALL($M$2:$M$1705,ROWS($M$2:M1009)),"")</f>
        <v/>
      </c>
      <c r="O1009" s="1" t="str">
        <f>IF(N1009&lt;&gt;"",INDEX($L$2:$L$1705,MATCH(N1009,$M$2:$M$1705,0)),"")</f>
        <v/>
      </c>
      <c r="P1009" s="1" t="str">
        <f>IF(O1009&lt;&gt;"",ROWS($O$2:O1009),"")</f>
        <v/>
      </c>
    </row>
    <row r="1010" spans="10:16" x14ac:dyDescent="0.2">
      <c r="J1010" s="1">
        <f>COUNTIF($L$2:L1010,L1010)</f>
        <v>10</v>
      </c>
      <c r="K1010" s="1">
        <f>A158</f>
        <v>1962</v>
      </c>
      <c r="L1010" s="1" t="str">
        <f>E158</f>
        <v>Colombia</v>
      </c>
      <c r="M1010" s="1" t="str">
        <f>IF(J1010=1,J1010+ROWS($J$2:J1010)/10000,"")</f>
        <v/>
      </c>
      <c r="N1010" s="1" t="str">
        <f>IFERROR(SMALL($M$2:$M$1705,ROWS($M$2:M1010)),"")</f>
        <v/>
      </c>
      <c r="O1010" s="1" t="str">
        <f>IF(N1010&lt;&gt;"",INDEX($L$2:$L$1705,MATCH(N1010,$M$2:$M$1705,0)),"")</f>
        <v/>
      </c>
      <c r="P1010" s="1" t="str">
        <f>IF(O1010&lt;&gt;"",ROWS($O$2:O1010),"")</f>
        <v/>
      </c>
    </row>
    <row r="1011" spans="10:16" x14ac:dyDescent="0.2">
      <c r="J1011" s="1">
        <f>COUNTIF($L$2:L1011,L1011)</f>
        <v>20</v>
      </c>
      <c r="K1011" s="1">
        <f>A159</f>
        <v>1962</v>
      </c>
      <c r="L1011" s="1" t="str">
        <f>E159</f>
        <v>Czechoslovakia</v>
      </c>
      <c r="M1011" s="1" t="str">
        <f>IF(J1011=1,J1011+ROWS($J$2:J1011)/10000,"")</f>
        <v/>
      </c>
      <c r="N1011" s="1" t="str">
        <f>IFERROR(SMALL($M$2:$M$1705,ROWS($M$2:M1011)),"")</f>
        <v/>
      </c>
      <c r="O1011" s="1" t="str">
        <f>IF(N1011&lt;&gt;"",INDEX($L$2:$L$1705,MATCH(N1011,$M$2:$M$1705,0)),"")</f>
        <v/>
      </c>
      <c r="P1011" s="1" t="str">
        <f>IF(O1011&lt;&gt;"",ROWS($O$2:O1011),"")</f>
        <v/>
      </c>
    </row>
    <row r="1012" spans="10:16" x14ac:dyDescent="0.2">
      <c r="J1012" s="1">
        <f>COUNTIF($L$2:L1012,L1012)</f>
        <v>10</v>
      </c>
      <c r="K1012" s="1">
        <f>A160</f>
        <v>1962</v>
      </c>
      <c r="L1012" s="1" t="str">
        <f>E160</f>
        <v>Bulgaria</v>
      </c>
      <c r="M1012" s="1" t="str">
        <f>IF(J1012=1,J1012+ROWS($J$2:J1012)/10000,"")</f>
        <v/>
      </c>
      <c r="N1012" s="1" t="str">
        <f>IFERROR(SMALL($M$2:$M$1705,ROWS($M$2:M1012)),"")</f>
        <v/>
      </c>
      <c r="O1012" s="1" t="str">
        <f>IF(N1012&lt;&gt;"",INDEX($L$2:$L$1705,MATCH(N1012,$M$2:$M$1705,0)),"")</f>
        <v/>
      </c>
      <c r="P1012" s="1" t="str">
        <f>IF(O1012&lt;&gt;"",ROWS($O$2:O1012),"")</f>
        <v/>
      </c>
    </row>
    <row r="1013" spans="10:16" x14ac:dyDescent="0.2">
      <c r="J1013" s="1">
        <f>COUNTIF($L$2:L1013,L1013)</f>
        <v>21</v>
      </c>
      <c r="K1013" s="1">
        <f>A161</f>
        <v>1962</v>
      </c>
      <c r="L1013" s="1" t="str">
        <f>E161</f>
        <v>Switzerland</v>
      </c>
      <c r="M1013" s="1" t="str">
        <f>IF(J1013=1,J1013+ROWS($J$2:J1013)/10000,"")</f>
        <v/>
      </c>
      <c r="N1013" s="1" t="str">
        <f>IFERROR(SMALL($M$2:$M$1705,ROWS($M$2:M1013)),"")</f>
        <v/>
      </c>
      <c r="O1013" s="1" t="str">
        <f>IF(N1013&lt;&gt;"",INDEX($L$2:$L$1705,MATCH(N1013,$M$2:$M$1705,0)),"")</f>
        <v/>
      </c>
      <c r="P1013" s="1" t="str">
        <f>IF(O1013&lt;&gt;"",ROWS($O$2:O1013),"")</f>
        <v/>
      </c>
    </row>
    <row r="1014" spans="10:16" x14ac:dyDescent="0.2">
      <c r="J1014" s="1">
        <f>COUNTIF($L$2:L1014,L1014)</f>
        <v>21</v>
      </c>
      <c r="K1014" s="1">
        <f>A162</f>
        <v>1962</v>
      </c>
      <c r="L1014" s="1" t="str">
        <f>E162</f>
        <v>Soviet Union</v>
      </c>
      <c r="M1014" s="1" t="str">
        <f>IF(J1014=1,J1014+ROWS($J$2:J1014)/10000,"")</f>
        <v/>
      </c>
      <c r="N1014" s="1" t="str">
        <f>IFERROR(SMALL($M$2:$M$1705,ROWS($M$2:M1014)),"")</f>
        <v/>
      </c>
      <c r="O1014" s="1" t="str">
        <f>IF(N1014&lt;&gt;"",INDEX($L$2:$L$1705,MATCH(N1014,$M$2:$M$1705,0)),"")</f>
        <v/>
      </c>
      <c r="P1014" s="1" t="str">
        <f>IF(O1014&lt;&gt;"",ROWS($O$2:O1014),"")</f>
        <v/>
      </c>
    </row>
    <row r="1015" spans="10:16" x14ac:dyDescent="0.2">
      <c r="J1015" s="1">
        <f>COUNTIF($L$2:L1015,L1015)</f>
        <v>43</v>
      </c>
      <c r="K1015" s="1">
        <f>A163</f>
        <v>1962</v>
      </c>
      <c r="L1015" s="1" t="str">
        <f>E163</f>
        <v>England</v>
      </c>
      <c r="M1015" s="1" t="str">
        <f>IF(J1015=1,J1015+ROWS($J$2:J1015)/10000,"")</f>
        <v/>
      </c>
      <c r="N1015" s="1" t="str">
        <f>IFERROR(SMALL($M$2:$M$1705,ROWS($M$2:M1015)),"")</f>
        <v/>
      </c>
      <c r="O1015" s="1" t="str">
        <f>IF(N1015&lt;&gt;"",INDEX($L$2:$L$1705,MATCH(N1015,$M$2:$M$1705,0)),"")</f>
        <v/>
      </c>
      <c r="P1015" s="1" t="str">
        <f>IF(O1015&lt;&gt;"",ROWS($O$2:O1015),"")</f>
        <v/>
      </c>
    </row>
    <row r="1016" spans="10:16" x14ac:dyDescent="0.2">
      <c r="J1016" s="1">
        <f>COUNTIF($L$2:L1016,L1016)</f>
        <v>24</v>
      </c>
      <c r="K1016" s="1">
        <f>A164</f>
        <v>1962</v>
      </c>
      <c r="L1016" s="1" t="str">
        <f>E164</f>
        <v>Hungary</v>
      </c>
      <c r="M1016" s="1" t="str">
        <f>IF(J1016=1,J1016+ROWS($J$2:J1016)/10000,"")</f>
        <v/>
      </c>
      <c r="N1016" s="1" t="str">
        <f>IFERROR(SMALL($M$2:$M$1705,ROWS($M$2:M1016)),"")</f>
        <v/>
      </c>
      <c r="O1016" s="1" t="str">
        <f>IF(N1016&lt;&gt;"",INDEX($L$2:$L$1705,MATCH(N1016,$M$2:$M$1705,0)),"")</f>
        <v/>
      </c>
      <c r="P1016" s="1" t="str">
        <f>IF(O1016&lt;&gt;"",ROWS($O$2:O1016),"")</f>
        <v/>
      </c>
    </row>
    <row r="1017" spans="10:16" x14ac:dyDescent="0.2">
      <c r="J1017" s="1">
        <f>COUNTIF($L$2:L1017,L1017)</f>
        <v>48</v>
      </c>
      <c r="K1017" s="1">
        <f>A165</f>
        <v>1962</v>
      </c>
      <c r="L1017" s="1" t="str">
        <f>E165</f>
        <v>Germany FR</v>
      </c>
      <c r="M1017" s="1" t="str">
        <f>IF(J1017=1,J1017+ROWS($J$2:J1017)/10000,"")</f>
        <v/>
      </c>
      <c r="N1017" s="1" t="str">
        <f>IFERROR(SMALL($M$2:$M$1705,ROWS($M$2:M1017)),"")</f>
        <v/>
      </c>
      <c r="O1017" s="1" t="str">
        <f>IF(N1017&lt;&gt;"",INDEX($L$2:$L$1705,MATCH(N1017,$M$2:$M$1705,0)),"")</f>
        <v/>
      </c>
      <c r="P1017" s="1" t="str">
        <f>IF(O1017&lt;&gt;"",ROWS($O$2:O1017),"")</f>
        <v/>
      </c>
    </row>
    <row r="1018" spans="10:16" x14ac:dyDescent="0.2">
      <c r="J1018" s="1">
        <f>COUNTIF($L$2:L1018,L1018)</f>
        <v>25</v>
      </c>
      <c r="K1018" s="1">
        <f>A166</f>
        <v>1962</v>
      </c>
      <c r="L1018" s="1" t="str">
        <f>E166</f>
        <v>Yugoslavia</v>
      </c>
      <c r="M1018" s="1" t="str">
        <f>IF(J1018=1,J1018+ROWS($J$2:J1018)/10000,"")</f>
        <v/>
      </c>
      <c r="N1018" s="1" t="str">
        <f>IFERROR(SMALL($M$2:$M$1705,ROWS($M$2:M1018)),"")</f>
        <v/>
      </c>
      <c r="O1018" s="1" t="str">
        <f>IF(N1018&lt;&gt;"",INDEX($L$2:$L$1705,MATCH(N1018,$M$2:$M$1705,0)),"")</f>
        <v/>
      </c>
      <c r="P1018" s="1" t="str">
        <f>IF(O1018&lt;&gt;"",ROWS($O$2:O1018),"")</f>
        <v/>
      </c>
    </row>
    <row r="1019" spans="10:16" x14ac:dyDescent="0.2">
      <c r="J1019" s="1">
        <f>COUNTIF($L$2:L1019,L1019)</f>
        <v>19</v>
      </c>
      <c r="K1019" s="1">
        <f>A167</f>
        <v>1962</v>
      </c>
      <c r="L1019" s="1" t="str">
        <f>E167</f>
        <v>Chile</v>
      </c>
      <c r="M1019" s="1" t="str">
        <f>IF(J1019=1,J1019+ROWS($J$2:J1019)/10000,"")</f>
        <v/>
      </c>
      <c r="N1019" s="1" t="str">
        <f>IFERROR(SMALL($M$2:$M$1705,ROWS($M$2:M1019)),"")</f>
        <v/>
      </c>
      <c r="O1019" s="1" t="str">
        <f>IF(N1019&lt;&gt;"",INDEX($L$2:$L$1705,MATCH(N1019,$M$2:$M$1705,0)),"")</f>
        <v/>
      </c>
      <c r="P1019" s="1" t="str">
        <f>IF(O1019&lt;&gt;"",ROWS($O$2:O1019),"")</f>
        <v/>
      </c>
    </row>
    <row r="1020" spans="10:16" x14ac:dyDescent="0.2">
      <c r="J1020" s="1">
        <f>COUNTIF($L$2:L1020,L1020)</f>
        <v>26</v>
      </c>
      <c r="K1020" s="1">
        <f>A168</f>
        <v>1962</v>
      </c>
      <c r="L1020" s="1" t="str">
        <f>E168</f>
        <v>Yugoslavia</v>
      </c>
      <c r="M1020" s="1" t="str">
        <f>IF(J1020=1,J1020+ROWS($J$2:J1020)/10000,"")</f>
        <v/>
      </c>
      <c r="N1020" s="1" t="str">
        <f>IFERROR(SMALL($M$2:$M$1705,ROWS($M$2:M1020)),"")</f>
        <v/>
      </c>
      <c r="O1020" s="1" t="str">
        <f>IF(N1020&lt;&gt;"",INDEX($L$2:$L$1705,MATCH(N1020,$M$2:$M$1705,0)),"")</f>
        <v/>
      </c>
      <c r="P1020" s="1" t="str">
        <f>IF(O1020&lt;&gt;"",ROWS($O$2:O1020),"")</f>
        <v/>
      </c>
    </row>
    <row r="1021" spans="10:16" x14ac:dyDescent="0.2">
      <c r="J1021" s="1">
        <f>COUNTIF($L$2:L1021,L1021)</f>
        <v>21</v>
      </c>
      <c r="K1021" s="1">
        <f>A169</f>
        <v>1962</v>
      </c>
      <c r="L1021" s="1" t="str">
        <f>E169</f>
        <v>Czechoslovakia</v>
      </c>
      <c r="M1021" s="1" t="str">
        <f>IF(J1021=1,J1021+ROWS($J$2:J1021)/10000,"")</f>
        <v/>
      </c>
      <c r="N1021" s="1" t="str">
        <f>IFERROR(SMALL($M$2:$M$1705,ROWS($M$2:M1021)),"")</f>
        <v/>
      </c>
      <c r="O1021" s="1" t="str">
        <f>IF(N1021&lt;&gt;"",INDEX($L$2:$L$1705,MATCH(N1021,$M$2:$M$1705,0)),"")</f>
        <v/>
      </c>
      <c r="P1021" s="1" t="str">
        <f>IF(O1021&lt;&gt;"",ROWS($O$2:O1021),"")</f>
        <v/>
      </c>
    </row>
    <row r="1022" spans="10:16" x14ac:dyDescent="0.2">
      <c r="J1022" s="1">
        <f>COUNTIF($L$2:L1022,L1022)</f>
        <v>33</v>
      </c>
      <c r="K1022" s="1">
        <f>A170</f>
        <v>1966</v>
      </c>
      <c r="L1022" s="1" t="str">
        <f>E170</f>
        <v>Uruguay</v>
      </c>
      <c r="M1022" s="1" t="str">
        <f>IF(J1022=1,J1022+ROWS($J$2:J1022)/10000,"")</f>
        <v/>
      </c>
      <c r="N1022" s="1" t="str">
        <f>IFERROR(SMALL($M$2:$M$1705,ROWS($M$2:M1022)),"")</f>
        <v/>
      </c>
      <c r="O1022" s="1" t="str">
        <f>IF(N1022&lt;&gt;"",INDEX($L$2:$L$1705,MATCH(N1022,$M$2:$M$1705,0)),"")</f>
        <v/>
      </c>
      <c r="P1022" s="1" t="str">
        <f>IF(O1022&lt;&gt;"",ROWS($O$2:O1022),"")</f>
        <v/>
      </c>
    </row>
    <row r="1023" spans="10:16" x14ac:dyDescent="0.2">
      <c r="J1023" s="1">
        <f>COUNTIF($L$2:L1023,L1023)</f>
        <v>22</v>
      </c>
      <c r="K1023" s="1">
        <f>A171</f>
        <v>1966</v>
      </c>
      <c r="L1023" s="1" t="str">
        <f>E171</f>
        <v>Switzerland</v>
      </c>
      <c r="M1023" s="1" t="str">
        <f>IF(J1023=1,J1023+ROWS($J$2:J1023)/10000,"")</f>
        <v/>
      </c>
      <c r="N1023" s="1" t="str">
        <f>IFERROR(SMALL($M$2:$M$1705,ROWS($M$2:M1023)),"")</f>
        <v/>
      </c>
      <c r="O1023" s="1" t="str">
        <f>IF(N1023&lt;&gt;"",INDEX($L$2:$L$1705,MATCH(N1023,$M$2:$M$1705,0)),"")</f>
        <v/>
      </c>
      <c r="P1023" s="1" t="str">
        <f>IF(O1023&lt;&gt;"",ROWS($O$2:O1023),"")</f>
        <v/>
      </c>
    </row>
    <row r="1024" spans="10:16" x14ac:dyDescent="0.2">
      <c r="J1024" s="1">
        <f>COUNTIF($L$2:L1024,L1024)</f>
        <v>11</v>
      </c>
      <c r="K1024" s="1">
        <f>A172</f>
        <v>1966</v>
      </c>
      <c r="L1024" s="1" t="str">
        <f>E172</f>
        <v>Bulgaria</v>
      </c>
      <c r="M1024" s="1" t="str">
        <f>IF(J1024=1,J1024+ROWS($J$2:J1024)/10000,"")</f>
        <v/>
      </c>
      <c r="N1024" s="1" t="str">
        <f>IFERROR(SMALL($M$2:$M$1705,ROWS($M$2:M1024)),"")</f>
        <v/>
      </c>
      <c r="O1024" s="1" t="str">
        <f>IF(N1024&lt;&gt;"",INDEX($L$2:$L$1705,MATCH(N1024,$M$2:$M$1705,0)),"")</f>
        <v/>
      </c>
      <c r="P1024" s="1" t="str">
        <f>IF(O1024&lt;&gt;"",ROWS($O$2:O1024),"")</f>
        <v/>
      </c>
    </row>
    <row r="1025" spans="10:16" x14ac:dyDescent="0.2">
      <c r="J1025" s="1">
        <f>COUNTIF($L$2:L1025,L1025)</f>
        <v>4</v>
      </c>
      <c r="K1025" s="1">
        <f>A173</f>
        <v>1966</v>
      </c>
      <c r="L1025" s="1" t="str">
        <f>E173</f>
        <v>Korea DPR</v>
      </c>
      <c r="M1025" s="1" t="str">
        <f>IF(J1025=1,J1025+ROWS($J$2:J1025)/10000,"")</f>
        <v/>
      </c>
      <c r="N1025" s="1" t="str">
        <f>IFERROR(SMALL($M$2:$M$1705,ROWS($M$2:M1025)),"")</f>
        <v/>
      </c>
      <c r="O1025" s="1" t="str">
        <f>IF(N1025&lt;&gt;"",INDEX($L$2:$L$1705,MATCH(N1025,$M$2:$M$1705,0)),"")</f>
        <v/>
      </c>
      <c r="P1025" s="1" t="str">
        <f>IF(O1025&lt;&gt;"",ROWS($O$2:O1025),"")</f>
        <v/>
      </c>
    </row>
    <row r="1026" spans="10:16" x14ac:dyDescent="0.2">
      <c r="J1026" s="1">
        <f>COUNTIF($L$2:L1026,L1026)</f>
        <v>29</v>
      </c>
      <c r="K1026" s="1">
        <f>A174</f>
        <v>1966</v>
      </c>
      <c r="L1026" s="1" t="str">
        <f>E174</f>
        <v>Mexico</v>
      </c>
      <c r="M1026" s="1" t="str">
        <f>IF(J1026=1,J1026+ROWS($J$2:J1026)/10000,"")</f>
        <v/>
      </c>
      <c r="N1026" s="1" t="str">
        <f>IFERROR(SMALL($M$2:$M$1705,ROWS($M$2:M1026)),"")</f>
        <v/>
      </c>
      <c r="O1026" s="1" t="str">
        <f>IF(N1026&lt;&gt;"",INDEX($L$2:$L$1705,MATCH(N1026,$M$2:$M$1705,0)),"")</f>
        <v/>
      </c>
      <c r="P1026" s="1" t="str">
        <f>IF(O1026&lt;&gt;"",ROWS($O$2:O1026),"")</f>
        <v/>
      </c>
    </row>
    <row r="1027" spans="10:16" x14ac:dyDescent="0.2">
      <c r="J1027" s="1">
        <f>COUNTIF($L$2:L1027,L1027)</f>
        <v>25</v>
      </c>
      <c r="K1027" s="1">
        <f>A175</f>
        <v>1966</v>
      </c>
      <c r="L1027" s="1" t="str">
        <f>E175</f>
        <v>Hungary</v>
      </c>
      <c r="M1027" s="1" t="str">
        <f>IF(J1027=1,J1027+ROWS($J$2:J1027)/10000,"")</f>
        <v/>
      </c>
      <c r="N1027" s="1" t="str">
        <f>IFERROR(SMALL($M$2:$M$1705,ROWS($M$2:M1027)),"")</f>
        <v/>
      </c>
      <c r="O1027" s="1" t="str">
        <f>IF(N1027&lt;&gt;"",INDEX($L$2:$L$1705,MATCH(N1027,$M$2:$M$1705,0)),"")</f>
        <v/>
      </c>
      <c r="P1027" s="1" t="str">
        <f>IF(O1027&lt;&gt;"",ROWS($O$2:O1027),"")</f>
        <v/>
      </c>
    </row>
    <row r="1028" spans="10:16" x14ac:dyDescent="0.2">
      <c r="J1028" s="1">
        <f>COUNTIF($L$2:L1028,L1028)</f>
        <v>38</v>
      </c>
      <c r="K1028" s="1">
        <f>A176</f>
        <v>1966</v>
      </c>
      <c r="L1028" s="1" t="str">
        <f>E176</f>
        <v>Spain</v>
      </c>
      <c r="M1028" s="1" t="str">
        <f>IF(J1028=1,J1028+ROWS($J$2:J1028)/10000,"")</f>
        <v/>
      </c>
      <c r="N1028" s="1" t="str">
        <f>IFERROR(SMALL($M$2:$M$1705,ROWS($M$2:M1028)),"")</f>
        <v/>
      </c>
      <c r="O1028" s="1" t="str">
        <f>IF(N1028&lt;&gt;"",INDEX($L$2:$L$1705,MATCH(N1028,$M$2:$M$1705,0)),"")</f>
        <v/>
      </c>
      <c r="P1028" s="1" t="str">
        <f>IF(O1028&lt;&gt;"",ROWS($O$2:O1028),"")</f>
        <v/>
      </c>
    </row>
    <row r="1029" spans="10:16" x14ac:dyDescent="0.2">
      <c r="J1029" s="1">
        <f>COUNTIF($L$2:L1029,L1029)</f>
        <v>20</v>
      </c>
      <c r="K1029" s="1">
        <f>A177</f>
        <v>1966</v>
      </c>
      <c r="L1029" s="1" t="str">
        <f>E177</f>
        <v>Chile</v>
      </c>
      <c r="M1029" s="1" t="str">
        <f>IF(J1029=1,J1029+ROWS($J$2:J1029)/10000,"")</f>
        <v/>
      </c>
      <c r="N1029" s="1" t="str">
        <f>IFERROR(SMALL($M$2:$M$1705,ROWS($M$2:M1029)),"")</f>
        <v/>
      </c>
      <c r="O1029" s="1" t="str">
        <f>IF(N1029&lt;&gt;"",INDEX($L$2:$L$1705,MATCH(N1029,$M$2:$M$1705,0)),"")</f>
        <v/>
      </c>
      <c r="P1029" s="1" t="str">
        <f>IF(O1029&lt;&gt;"",ROWS($O$2:O1029),"")</f>
        <v/>
      </c>
    </row>
    <row r="1030" spans="10:16" x14ac:dyDescent="0.2">
      <c r="J1030" s="1">
        <f>COUNTIF($L$2:L1030,L1030)</f>
        <v>39</v>
      </c>
      <c r="K1030" s="1">
        <f>A178</f>
        <v>1966</v>
      </c>
      <c r="L1030" s="1" t="str">
        <f>E178</f>
        <v>France</v>
      </c>
      <c r="M1030" s="1" t="str">
        <f>IF(J1030=1,J1030+ROWS($J$2:J1030)/10000,"")</f>
        <v/>
      </c>
      <c r="N1030" s="1" t="str">
        <f>IFERROR(SMALL($M$2:$M$1705,ROWS($M$2:M1030)),"")</f>
        <v/>
      </c>
      <c r="O1030" s="1" t="str">
        <f>IF(N1030&lt;&gt;"",INDEX($L$2:$L$1705,MATCH(N1030,$M$2:$M$1705,0)),"")</f>
        <v/>
      </c>
      <c r="P1030" s="1" t="str">
        <f>IF(O1030&lt;&gt;"",ROWS($O$2:O1030),"")</f>
        <v/>
      </c>
    </row>
    <row r="1031" spans="10:16" x14ac:dyDescent="0.2">
      <c r="J1031" s="1">
        <f>COUNTIF($L$2:L1031,L1031)</f>
        <v>23</v>
      </c>
      <c r="K1031" s="1">
        <f>A179</f>
        <v>1966</v>
      </c>
      <c r="L1031" s="1" t="str">
        <f>E179</f>
        <v>Switzerland</v>
      </c>
      <c r="M1031" s="1" t="str">
        <f>IF(J1031=1,J1031+ROWS($J$2:J1031)/10000,"")</f>
        <v/>
      </c>
      <c r="N1031" s="1" t="str">
        <f>IFERROR(SMALL($M$2:$M$1705,ROWS($M$2:M1031)),"")</f>
        <v/>
      </c>
      <c r="O1031" s="1" t="str">
        <f>IF(N1031&lt;&gt;"",INDEX($L$2:$L$1705,MATCH(N1031,$M$2:$M$1705,0)),"")</f>
        <v/>
      </c>
      <c r="P1031" s="1" t="str">
        <f>IF(O1031&lt;&gt;"",ROWS($O$2:O1031),"")</f>
        <v/>
      </c>
    </row>
    <row r="1032" spans="10:16" x14ac:dyDescent="0.2">
      <c r="J1032" s="1">
        <f>COUNTIF($L$2:L1032,L1032)</f>
        <v>88</v>
      </c>
      <c r="K1032" s="1">
        <f>A180</f>
        <v>1966</v>
      </c>
      <c r="L1032" s="1" t="str">
        <f>E180</f>
        <v>Brazil</v>
      </c>
      <c r="M1032" s="1" t="str">
        <f>IF(J1032=1,J1032+ROWS($J$2:J1032)/10000,"")</f>
        <v/>
      </c>
      <c r="N1032" s="1" t="str">
        <f>IFERROR(SMALL($M$2:$M$1705,ROWS($M$2:M1032)),"")</f>
        <v/>
      </c>
      <c r="O1032" s="1" t="str">
        <f>IF(N1032&lt;&gt;"",INDEX($L$2:$L$1705,MATCH(N1032,$M$2:$M$1705,0)),"")</f>
        <v/>
      </c>
      <c r="P1032" s="1" t="str">
        <f>IF(O1032&lt;&gt;"",ROWS($O$2:O1032),"")</f>
        <v/>
      </c>
    </row>
    <row r="1033" spans="10:16" x14ac:dyDescent="0.2">
      <c r="J1033" s="1">
        <f>COUNTIF($L$2:L1033,L1033)</f>
        <v>21</v>
      </c>
      <c r="K1033" s="1">
        <f>A181</f>
        <v>1966</v>
      </c>
      <c r="L1033" s="1" t="str">
        <f>E181</f>
        <v>Chile</v>
      </c>
      <c r="M1033" s="1" t="str">
        <f>IF(J1033=1,J1033+ROWS($J$2:J1033)/10000,"")</f>
        <v/>
      </c>
      <c r="N1033" s="1" t="str">
        <f>IFERROR(SMALL($M$2:$M$1705,ROWS($M$2:M1033)),"")</f>
        <v/>
      </c>
      <c r="O1033" s="1" t="str">
        <f>IF(N1033&lt;&gt;"",INDEX($L$2:$L$1705,MATCH(N1033,$M$2:$M$1705,0)),"")</f>
        <v/>
      </c>
      <c r="P1033" s="1" t="str">
        <f>IF(O1033&lt;&gt;"",ROWS($O$2:O1033),"")</f>
        <v/>
      </c>
    </row>
    <row r="1034" spans="10:16" x14ac:dyDescent="0.2">
      <c r="J1034" s="1">
        <f>COUNTIF($L$2:L1034,L1034)</f>
        <v>12</v>
      </c>
      <c r="K1034" s="1">
        <f>A182</f>
        <v>1966</v>
      </c>
      <c r="L1034" s="1" t="str">
        <f>E182</f>
        <v>Bulgaria</v>
      </c>
      <c r="M1034" s="1" t="str">
        <f>IF(J1034=1,J1034+ROWS($J$2:J1034)/10000,"")</f>
        <v/>
      </c>
      <c r="N1034" s="1" t="str">
        <f>IFERROR(SMALL($M$2:$M$1705,ROWS($M$2:M1034)),"")</f>
        <v/>
      </c>
      <c r="O1034" s="1" t="str">
        <f>IF(N1034&lt;&gt;"",INDEX($L$2:$L$1705,MATCH(N1034,$M$2:$M$1705,0)),"")</f>
        <v/>
      </c>
      <c r="P1034" s="1" t="str">
        <f>IF(O1034&lt;&gt;"",ROWS($O$2:O1034),"")</f>
        <v/>
      </c>
    </row>
    <row r="1035" spans="10:16" x14ac:dyDescent="0.2">
      <c r="J1035" s="1">
        <f>COUNTIF($L$2:L1035,L1035)</f>
        <v>60</v>
      </c>
      <c r="K1035" s="1">
        <f>A183</f>
        <v>1966</v>
      </c>
      <c r="L1035" s="1" t="str">
        <f>E183</f>
        <v>Argentina</v>
      </c>
      <c r="M1035" s="1" t="str">
        <f>IF(J1035=1,J1035+ROWS($J$2:J1035)/10000,"")</f>
        <v/>
      </c>
      <c r="N1035" s="1" t="str">
        <f>IFERROR(SMALL($M$2:$M$1705,ROWS($M$2:M1035)),"")</f>
        <v/>
      </c>
      <c r="O1035" s="1" t="str">
        <f>IF(N1035&lt;&gt;"",INDEX($L$2:$L$1705,MATCH(N1035,$M$2:$M$1705,0)),"")</f>
        <v/>
      </c>
      <c r="P1035" s="1" t="str">
        <f>IF(O1035&lt;&gt;"",ROWS($O$2:O1035),"")</f>
        <v/>
      </c>
    </row>
    <row r="1036" spans="10:16" x14ac:dyDescent="0.2">
      <c r="J1036" s="1">
        <f>COUNTIF($L$2:L1036,L1036)</f>
        <v>63</v>
      </c>
      <c r="K1036" s="1">
        <f>A184</f>
        <v>1966</v>
      </c>
      <c r="L1036" s="1" t="str">
        <f>E184</f>
        <v>Italy</v>
      </c>
      <c r="M1036" s="1" t="str">
        <f>IF(J1036=1,J1036+ROWS($J$2:J1036)/10000,"")</f>
        <v/>
      </c>
      <c r="N1036" s="1" t="str">
        <f>IFERROR(SMALL($M$2:$M$1705,ROWS($M$2:M1036)),"")</f>
        <v/>
      </c>
      <c r="O1036" s="1" t="str">
        <f>IF(N1036&lt;&gt;"",INDEX($L$2:$L$1705,MATCH(N1036,$M$2:$M$1705,0)),"")</f>
        <v/>
      </c>
      <c r="P1036" s="1" t="str">
        <f>IF(O1036&lt;&gt;"",ROWS($O$2:O1036),"")</f>
        <v/>
      </c>
    </row>
    <row r="1037" spans="10:16" x14ac:dyDescent="0.2">
      <c r="J1037" s="1">
        <f>COUNTIF($L$2:L1037,L1037)</f>
        <v>30</v>
      </c>
      <c r="K1037" s="1">
        <f>A185</f>
        <v>1966</v>
      </c>
      <c r="L1037" s="1" t="str">
        <f>E185</f>
        <v>Mexico</v>
      </c>
      <c r="M1037" s="1" t="str">
        <f>IF(J1037=1,J1037+ROWS($J$2:J1037)/10000,"")</f>
        <v/>
      </c>
      <c r="N1037" s="1" t="str">
        <f>IFERROR(SMALL($M$2:$M$1705,ROWS($M$2:M1037)),"")</f>
        <v/>
      </c>
      <c r="O1037" s="1" t="str">
        <f>IF(N1037&lt;&gt;"",INDEX($L$2:$L$1705,MATCH(N1037,$M$2:$M$1705,0)),"")</f>
        <v/>
      </c>
      <c r="P1037" s="1" t="str">
        <f>IF(O1037&lt;&gt;"",ROWS($O$2:O1037),"")</f>
        <v/>
      </c>
    </row>
    <row r="1038" spans="10:16" x14ac:dyDescent="0.2">
      <c r="J1038" s="1">
        <f>COUNTIF($L$2:L1038,L1038)</f>
        <v>31</v>
      </c>
      <c r="K1038" s="1">
        <f>A186</f>
        <v>1966</v>
      </c>
      <c r="L1038" s="1" t="str">
        <f>E186</f>
        <v>Mexico</v>
      </c>
      <c r="M1038" s="1" t="str">
        <f>IF(J1038=1,J1038+ROWS($J$2:J1038)/10000,"")</f>
        <v/>
      </c>
      <c r="N1038" s="1" t="str">
        <f>IFERROR(SMALL($M$2:$M$1705,ROWS($M$2:M1038)),"")</f>
        <v/>
      </c>
      <c r="O1038" s="1" t="str">
        <f>IF(N1038&lt;&gt;"",INDEX($L$2:$L$1705,MATCH(N1038,$M$2:$M$1705,0)),"")</f>
        <v/>
      </c>
      <c r="P1038" s="1" t="str">
        <f>IF(O1038&lt;&gt;"",ROWS($O$2:O1038),"")</f>
        <v/>
      </c>
    </row>
    <row r="1039" spans="10:16" x14ac:dyDescent="0.2">
      <c r="J1039" s="1">
        <f>COUNTIF($L$2:L1039,L1039)</f>
        <v>24</v>
      </c>
      <c r="K1039" s="1">
        <f>A187</f>
        <v>1966</v>
      </c>
      <c r="L1039" s="1" t="str">
        <f>E187</f>
        <v>Switzerland</v>
      </c>
      <c r="M1039" s="1" t="str">
        <f>IF(J1039=1,J1039+ROWS($J$2:J1039)/10000,"")</f>
        <v/>
      </c>
      <c r="N1039" s="1" t="str">
        <f>IFERROR(SMALL($M$2:$M$1705,ROWS($M$2:M1039)),"")</f>
        <v/>
      </c>
      <c r="O1039" s="1" t="str">
        <f>IF(N1039&lt;&gt;"",INDEX($L$2:$L$1705,MATCH(N1039,$M$2:$M$1705,0)),"")</f>
        <v/>
      </c>
      <c r="P1039" s="1" t="str">
        <f>IF(O1039&lt;&gt;"",ROWS($O$2:O1039),"")</f>
        <v/>
      </c>
    </row>
    <row r="1040" spans="10:16" x14ac:dyDescent="0.2">
      <c r="J1040" s="1">
        <f>COUNTIF($L$2:L1040,L1040)</f>
        <v>89</v>
      </c>
      <c r="K1040" s="1">
        <f>A188</f>
        <v>1966</v>
      </c>
      <c r="L1040" s="1" t="str">
        <f>E188</f>
        <v>Brazil</v>
      </c>
      <c r="M1040" s="1" t="str">
        <f>IF(J1040=1,J1040+ROWS($J$2:J1040)/10000,"")</f>
        <v/>
      </c>
      <c r="N1040" s="1" t="str">
        <f>IFERROR(SMALL($M$2:$M$1705,ROWS($M$2:M1040)),"")</f>
        <v/>
      </c>
      <c r="O1040" s="1" t="str">
        <f>IF(N1040&lt;&gt;"",INDEX($L$2:$L$1705,MATCH(N1040,$M$2:$M$1705,0)),"")</f>
        <v/>
      </c>
      <c r="P1040" s="1" t="str">
        <f>IF(O1040&lt;&gt;"",ROWS($O$2:O1040),"")</f>
        <v/>
      </c>
    </row>
    <row r="1041" spans="10:16" x14ac:dyDescent="0.2">
      <c r="J1041" s="1">
        <f>COUNTIF($L$2:L1041,L1041)</f>
        <v>64</v>
      </c>
      <c r="K1041" s="1">
        <f>A189</f>
        <v>1966</v>
      </c>
      <c r="L1041" s="1" t="str">
        <f>E189</f>
        <v>Italy</v>
      </c>
      <c r="M1041" s="1" t="str">
        <f>IF(J1041=1,J1041+ROWS($J$2:J1041)/10000,"")</f>
        <v/>
      </c>
      <c r="N1041" s="1" t="str">
        <f>IFERROR(SMALL($M$2:$M$1705,ROWS($M$2:M1041)),"")</f>
        <v/>
      </c>
      <c r="O1041" s="1" t="str">
        <f>IF(N1041&lt;&gt;"",INDEX($L$2:$L$1705,MATCH(N1041,$M$2:$M$1705,0)),"")</f>
        <v/>
      </c>
      <c r="P1041" s="1" t="str">
        <f>IF(O1041&lt;&gt;"",ROWS($O$2:O1041),"")</f>
        <v/>
      </c>
    </row>
    <row r="1042" spans="10:16" x14ac:dyDescent="0.2">
      <c r="J1042" s="1">
        <f>COUNTIF($L$2:L1042,L1042)</f>
        <v>40</v>
      </c>
      <c r="K1042" s="1">
        <f>A190</f>
        <v>1966</v>
      </c>
      <c r="L1042" s="1" t="str">
        <f>E190</f>
        <v>France</v>
      </c>
      <c r="M1042" s="1" t="str">
        <f>IF(J1042=1,J1042+ROWS($J$2:J1042)/10000,"")</f>
        <v/>
      </c>
      <c r="N1042" s="1" t="str">
        <f>IFERROR(SMALL($M$2:$M$1705,ROWS($M$2:M1042)),"")</f>
        <v/>
      </c>
      <c r="O1042" s="1" t="str">
        <f>IF(N1042&lt;&gt;"",INDEX($L$2:$L$1705,MATCH(N1042,$M$2:$M$1705,0)),"")</f>
        <v/>
      </c>
      <c r="P1042" s="1" t="str">
        <f>IF(O1042&lt;&gt;"",ROWS($O$2:O1042),"")</f>
        <v/>
      </c>
    </row>
    <row r="1043" spans="10:16" x14ac:dyDescent="0.2">
      <c r="J1043" s="1">
        <f>COUNTIF($L$2:L1043,L1043)</f>
        <v>13</v>
      </c>
      <c r="K1043" s="1">
        <f>A191</f>
        <v>1966</v>
      </c>
      <c r="L1043" s="1" t="str">
        <f>E191</f>
        <v>Bulgaria</v>
      </c>
      <c r="M1043" s="1" t="str">
        <f>IF(J1043=1,J1043+ROWS($J$2:J1043)/10000,"")</f>
        <v/>
      </c>
      <c r="N1043" s="1" t="str">
        <f>IFERROR(SMALL($M$2:$M$1705,ROWS($M$2:M1043)),"")</f>
        <v/>
      </c>
      <c r="O1043" s="1" t="str">
        <f>IF(N1043&lt;&gt;"",INDEX($L$2:$L$1705,MATCH(N1043,$M$2:$M$1705,0)),"")</f>
        <v/>
      </c>
      <c r="P1043" s="1" t="str">
        <f>IF(O1043&lt;&gt;"",ROWS($O$2:O1043),"")</f>
        <v/>
      </c>
    </row>
    <row r="1044" spans="10:16" x14ac:dyDescent="0.2">
      <c r="J1044" s="1">
        <f>COUNTIF($L$2:L1044,L1044)</f>
        <v>39</v>
      </c>
      <c r="K1044" s="1">
        <f>A192</f>
        <v>1966</v>
      </c>
      <c r="L1044" s="1" t="str">
        <f>E192</f>
        <v>Spain</v>
      </c>
      <c r="M1044" s="1" t="str">
        <f>IF(J1044=1,J1044+ROWS($J$2:J1044)/10000,"")</f>
        <v/>
      </c>
      <c r="N1044" s="1" t="str">
        <f>IFERROR(SMALL($M$2:$M$1705,ROWS($M$2:M1044)),"")</f>
        <v/>
      </c>
      <c r="O1044" s="1" t="str">
        <f>IF(N1044&lt;&gt;"",INDEX($L$2:$L$1705,MATCH(N1044,$M$2:$M$1705,0)),"")</f>
        <v/>
      </c>
      <c r="P1044" s="1" t="str">
        <f>IF(O1044&lt;&gt;"",ROWS($O$2:O1044),"")</f>
        <v/>
      </c>
    </row>
    <row r="1045" spans="10:16" x14ac:dyDescent="0.2">
      <c r="J1045" s="1">
        <f>COUNTIF($L$2:L1045,L1045)</f>
        <v>22</v>
      </c>
      <c r="K1045" s="1">
        <f>A193</f>
        <v>1966</v>
      </c>
      <c r="L1045" s="1" t="str">
        <f>E193</f>
        <v>Chile</v>
      </c>
      <c r="M1045" s="1" t="str">
        <f>IF(J1045=1,J1045+ROWS($J$2:J1045)/10000,"")</f>
        <v/>
      </c>
      <c r="N1045" s="1" t="str">
        <f>IFERROR(SMALL($M$2:$M$1705,ROWS($M$2:M1045)),"")</f>
        <v/>
      </c>
      <c r="O1045" s="1" t="str">
        <f>IF(N1045&lt;&gt;"",INDEX($L$2:$L$1705,MATCH(N1045,$M$2:$M$1705,0)),"")</f>
        <v/>
      </c>
      <c r="P1045" s="1" t="str">
        <f>IF(O1045&lt;&gt;"",ROWS($O$2:O1045),"")</f>
        <v/>
      </c>
    </row>
    <row r="1046" spans="10:16" x14ac:dyDescent="0.2">
      <c r="J1046" s="1">
        <f>COUNTIF($L$2:L1046,L1046)</f>
        <v>61</v>
      </c>
      <c r="K1046" s="1">
        <f>A194</f>
        <v>1966</v>
      </c>
      <c r="L1046" s="1" t="str">
        <f>E194</f>
        <v>Argentina</v>
      </c>
      <c r="M1046" s="1" t="str">
        <f>IF(J1046=1,J1046+ROWS($J$2:J1046)/10000,"")</f>
        <v/>
      </c>
      <c r="N1046" s="1" t="str">
        <f>IFERROR(SMALL($M$2:$M$1705,ROWS($M$2:M1046)),"")</f>
        <v/>
      </c>
      <c r="O1046" s="1" t="str">
        <f>IF(N1046&lt;&gt;"",INDEX($L$2:$L$1705,MATCH(N1046,$M$2:$M$1705,0)),"")</f>
        <v/>
      </c>
      <c r="P1046" s="1" t="str">
        <f>IF(O1046&lt;&gt;"",ROWS($O$2:O1046),"")</f>
        <v/>
      </c>
    </row>
    <row r="1047" spans="10:16" x14ac:dyDescent="0.2">
      <c r="J1047" s="1">
        <f>COUNTIF($L$2:L1047,L1047)</f>
        <v>34</v>
      </c>
      <c r="K1047" s="1">
        <f>A195</f>
        <v>1966</v>
      </c>
      <c r="L1047" s="1" t="str">
        <f>E195</f>
        <v>Uruguay</v>
      </c>
      <c r="M1047" s="1" t="str">
        <f>IF(J1047=1,J1047+ROWS($J$2:J1047)/10000,"")</f>
        <v/>
      </c>
      <c r="N1047" s="1" t="str">
        <f>IFERROR(SMALL($M$2:$M$1705,ROWS($M$2:M1047)),"")</f>
        <v/>
      </c>
      <c r="O1047" s="1" t="str">
        <f>IF(N1047&lt;&gt;"",INDEX($L$2:$L$1705,MATCH(N1047,$M$2:$M$1705,0)),"")</f>
        <v/>
      </c>
      <c r="P1047" s="1" t="str">
        <f>IF(O1047&lt;&gt;"",ROWS($O$2:O1047),"")</f>
        <v/>
      </c>
    </row>
    <row r="1048" spans="10:16" x14ac:dyDescent="0.2">
      <c r="J1048" s="1">
        <f>COUNTIF($L$2:L1048,L1048)</f>
        <v>26</v>
      </c>
      <c r="K1048" s="1">
        <f>A196</f>
        <v>1966</v>
      </c>
      <c r="L1048" s="1" t="str">
        <f>E196</f>
        <v>Hungary</v>
      </c>
      <c r="M1048" s="1" t="str">
        <f>IF(J1048=1,J1048+ROWS($J$2:J1048)/10000,"")</f>
        <v/>
      </c>
      <c r="N1048" s="1" t="str">
        <f>IFERROR(SMALL($M$2:$M$1705,ROWS($M$2:M1048)),"")</f>
        <v/>
      </c>
      <c r="O1048" s="1" t="str">
        <f>IF(N1048&lt;&gt;"",INDEX($L$2:$L$1705,MATCH(N1048,$M$2:$M$1705,0)),"")</f>
        <v/>
      </c>
      <c r="P1048" s="1" t="str">
        <f>IF(O1048&lt;&gt;"",ROWS($O$2:O1048),"")</f>
        <v/>
      </c>
    </row>
    <row r="1049" spans="10:16" x14ac:dyDescent="0.2">
      <c r="J1049" s="1">
        <f>COUNTIF($L$2:L1049,L1049)</f>
        <v>5</v>
      </c>
      <c r="K1049" s="1">
        <f>A197</f>
        <v>1966</v>
      </c>
      <c r="L1049" s="1" t="str">
        <f>E197</f>
        <v>Korea DPR</v>
      </c>
      <c r="M1049" s="1" t="str">
        <f>IF(J1049=1,J1049+ROWS($J$2:J1049)/10000,"")</f>
        <v/>
      </c>
      <c r="N1049" s="1" t="str">
        <f>IFERROR(SMALL($M$2:$M$1705,ROWS($M$2:M1049)),"")</f>
        <v/>
      </c>
      <c r="O1049" s="1" t="str">
        <f>IF(N1049&lt;&gt;"",INDEX($L$2:$L$1705,MATCH(N1049,$M$2:$M$1705,0)),"")</f>
        <v/>
      </c>
      <c r="P1049" s="1" t="str">
        <f>IF(O1049&lt;&gt;"",ROWS($O$2:O1049),"")</f>
        <v/>
      </c>
    </row>
    <row r="1050" spans="10:16" x14ac:dyDescent="0.2">
      <c r="J1050" s="1">
        <f>COUNTIF($L$2:L1050,L1050)</f>
        <v>22</v>
      </c>
      <c r="K1050" s="1">
        <f>A198</f>
        <v>1966</v>
      </c>
      <c r="L1050" s="1" t="str">
        <f>E198</f>
        <v>Soviet Union</v>
      </c>
      <c r="M1050" s="1" t="str">
        <f>IF(J1050=1,J1050+ROWS($J$2:J1050)/10000,"")</f>
        <v/>
      </c>
      <c r="N1050" s="1" t="str">
        <f>IFERROR(SMALL($M$2:$M$1705,ROWS($M$2:M1050)),"")</f>
        <v/>
      </c>
      <c r="O1050" s="1" t="str">
        <f>IF(N1050&lt;&gt;"",INDEX($L$2:$L$1705,MATCH(N1050,$M$2:$M$1705,0)),"")</f>
        <v/>
      </c>
      <c r="P1050" s="1" t="str">
        <f>IF(O1050&lt;&gt;"",ROWS($O$2:O1050),"")</f>
        <v/>
      </c>
    </row>
    <row r="1051" spans="10:16" x14ac:dyDescent="0.2">
      <c r="J1051" s="1">
        <f>COUNTIF($L$2:L1051,L1051)</f>
        <v>17</v>
      </c>
      <c r="K1051" s="1">
        <f>A199</f>
        <v>1966</v>
      </c>
      <c r="L1051" s="1" t="str">
        <f>E199</f>
        <v>Portugal</v>
      </c>
      <c r="M1051" s="1" t="str">
        <f>IF(J1051=1,J1051+ROWS($J$2:J1051)/10000,"")</f>
        <v/>
      </c>
      <c r="N1051" s="1" t="str">
        <f>IFERROR(SMALL($M$2:$M$1705,ROWS($M$2:M1051)),"")</f>
        <v/>
      </c>
      <c r="O1051" s="1" t="str">
        <f>IF(N1051&lt;&gt;"",INDEX($L$2:$L$1705,MATCH(N1051,$M$2:$M$1705,0)),"")</f>
        <v/>
      </c>
      <c r="P1051" s="1" t="str">
        <f>IF(O1051&lt;&gt;"",ROWS($O$2:O1051),"")</f>
        <v/>
      </c>
    </row>
    <row r="1052" spans="10:16" x14ac:dyDescent="0.2">
      <c r="J1052" s="1">
        <f>COUNTIF($L$2:L1052,L1052)</f>
        <v>23</v>
      </c>
      <c r="K1052" s="1">
        <f>A200</f>
        <v>1966</v>
      </c>
      <c r="L1052" s="1" t="str">
        <f>E200</f>
        <v>Soviet Union</v>
      </c>
      <c r="M1052" s="1" t="str">
        <f>IF(J1052=1,J1052+ROWS($J$2:J1052)/10000,"")</f>
        <v/>
      </c>
      <c r="N1052" s="1" t="str">
        <f>IFERROR(SMALL($M$2:$M$1705,ROWS($M$2:M1052)),"")</f>
        <v/>
      </c>
      <c r="O1052" s="1" t="str">
        <f>IF(N1052&lt;&gt;"",INDEX($L$2:$L$1705,MATCH(N1052,$M$2:$M$1705,0)),"")</f>
        <v/>
      </c>
      <c r="P1052" s="1" t="str">
        <f>IF(O1052&lt;&gt;"",ROWS($O$2:O1052),"")</f>
        <v/>
      </c>
    </row>
    <row r="1053" spans="10:16" x14ac:dyDescent="0.2">
      <c r="J1053" s="1">
        <f>COUNTIF($L$2:L1053,L1053)</f>
        <v>49</v>
      </c>
      <c r="K1053" s="1">
        <f>A201</f>
        <v>1966</v>
      </c>
      <c r="L1053" s="1" t="str">
        <f>E201</f>
        <v>Germany FR</v>
      </c>
      <c r="M1053" s="1" t="str">
        <f>IF(J1053=1,J1053+ROWS($J$2:J1053)/10000,"")</f>
        <v/>
      </c>
      <c r="N1053" s="1" t="str">
        <f>IFERROR(SMALL($M$2:$M$1705,ROWS($M$2:M1053)),"")</f>
        <v/>
      </c>
      <c r="O1053" s="1" t="str">
        <f>IF(N1053&lt;&gt;"",INDEX($L$2:$L$1705,MATCH(N1053,$M$2:$M$1705,0)),"")</f>
        <v/>
      </c>
      <c r="P1053" s="1" t="str">
        <f>IF(O1053&lt;&gt;"",ROWS($O$2:O1053),"")</f>
        <v/>
      </c>
    </row>
    <row r="1054" spans="10:16" x14ac:dyDescent="0.2">
      <c r="J1054" s="1">
        <f>COUNTIF($L$2:L1054,L1054)</f>
        <v>24</v>
      </c>
      <c r="K1054" s="1">
        <f>A202</f>
        <v>1970</v>
      </c>
      <c r="L1054" s="1" t="str">
        <f>E202</f>
        <v>Soviet Union</v>
      </c>
      <c r="M1054" s="1" t="str">
        <f>IF(J1054=1,J1054+ROWS($J$2:J1054)/10000,"")</f>
        <v/>
      </c>
      <c r="N1054" s="1" t="str">
        <f>IFERROR(SMALL($M$2:$M$1705,ROWS($M$2:M1054)),"")</f>
        <v/>
      </c>
      <c r="O1054" s="1" t="str">
        <f>IF(N1054&lt;&gt;"",INDEX($L$2:$L$1705,MATCH(N1054,$M$2:$M$1705,0)),"")</f>
        <v/>
      </c>
      <c r="P1054" s="1" t="str">
        <f>IF(O1054&lt;&gt;"",ROWS($O$2:O1054),"")</f>
        <v/>
      </c>
    </row>
    <row r="1055" spans="10:16" x14ac:dyDescent="0.2">
      <c r="J1055" s="1">
        <f>COUNTIF($L$2:L1055,L1055)</f>
        <v>1</v>
      </c>
      <c r="K1055" s="1">
        <f>A203</f>
        <v>1970</v>
      </c>
      <c r="L1055" s="1" t="str">
        <f>E203</f>
        <v>Israel</v>
      </c>
      <c r="M1055" s="1">
        <f>IF(J1055=1,J1055+ROWS($J$2:J1055)/10000,"")</f>
        <v>1.1053999999999999</v>
      </c>
      <c r="N1055" s="1" t="str">
        <f>IFERROR(SMALL($M$2:$M$1705,ROWS($M$2:M1055)),"")</f>
        <v/>
      </c>
      <c r="O1055" s="1" t="str">
        <f>IF(N1055&lt;&gt;"",INDEX($L$2:$L$1705,MATCH(N1055,$M$2:$M$1705,0)),"")</f>
        <v/>
      </c>
      <c r="P1055" s="1" t="str">
        <f>IF(O1055&lt;&gt;"",ROWS($O$2:O1055),"")</f>
        <v/>
      </c>
    </row>
    <row r="1056" spans="10:16" x14ac:dyDescent="0.2">
      <c r="J1056" s="1">
        <f>COUNTIF($L$2:L1056,L1056)</f>
        <v>14</v>
      </c>
      <c r="K1056" s="1">
        <f>A204</f>
        <v>1970</v>
      </c>
      <c r="L1056" s="1" t="str">
        <f>E204</f>
        <v>Bulgaria</v>
      </c>
      <c r="M1056" s="1" t="str">
        <f>IF(J1056=1,J1056+ROWS($J$2:J1056)/10000,"")</f>
        <v/>
      </c>
      <c r="N1056" s="1" t="str">
        <f>IFERROR(SMALL($M$2:$M$1705,ROWS($M$2:M1056)),"")</f>
        <v/>
      </c>
      <c r="O1056" s="1" t="str">
        <f>IF(N1056&lt;&gt;"",INDEX($L$2:$L$1705,MATCH(N1056,$M$2:$M$1705,0)),"")</f>
        <v/>
      </c>
      <c r="P1056" s="1" t="str">
        <f>IF(O1056&lt;&gt;"",ROWS($O$2:O1056),"")</f>
        <v/>
      </c>
    </row>
    <row r="1057" spans="10:16" x14ac:dyDescent="0.2">
      <c r="J1057" s="1">
        <f>COUNTIF($L$2:L1057,L1057)</f>
        <v>14</v>
      </c>
      <c r="K1057" s="1">
        <f>A205</f>
        <v>1970</v>
      </c>
      <c r="L1057" s="1" t="str">
        <f>E205</f>
        <v>Romania</v>
      </c>
      <c r="M1057" s="1" t="str">
        <f>IF(J1057=1,J1057+ROWS($J$2:J1057)/10000,"")</f>
        <v/>
      </c>
      <c r="N1057" s="1" t="str">
        <f>IFERROR(SMALL($M$2:$M$1705,ROWS($M$2:M1057)),"")</f>
        <v/>
      </c>
      <c r="O1057" s="1" t="str">
        <f>IF(N1057&lt;&gt;"",INDEX($L$2:$L$1705,MATCH(N1057,$M$2:$M$1705,0)),"")</f>
        <v/>
      </c>
      <c r="P1057" s="1" t="str">
        <f>IF(O1057&lt;&gt;"",ROWS($O$2:O1057),"")</f>
        <v/>
      </c>
    </row>
    <row r="1058" spans="10:16" x14ac:dyDescent="0.2">
      <c r="J1058" s="1">
        <f>COUNTIF($L$2:L1058,L1058)</f>
        <v>34</v>
      </c>
      <c r="K1058" s="1">
        <f>A206</f>
        <v>1970</v>
      </c>
      <c r="L1058" s="1" t="str">
        <f>E206</f>
        <v>Sweden</v>
      </c>
      <c r="M1058" s="1" t="str">
        <f>IF(J1058=1,J1058+ROWS($J$2:J1058)/10000,"")</f>
        <v/>
      </c>
      <c r="N1058" s="1" t="str">
        <f>IFERROR(SMALL($M$2:$M$1705,ROWS($M$2:M1058)),"")</f>
        <v/>
      </c>
      <c r="O1058" s="1" t="str">
        <f>IF(N1058&lt;&gt;"",INDEX($L$2:$L$1705,MATCH(N1058,$M$2:$M$1705,0)),"")</f>
        <v/>
      </c>
      <c r="P1058" s="1" t="str">
        <f>IF(O1058&lt;&gt;"",ROWS($O$2:O1058),"")</f>
        <v/>
      </c>
    </row>
    <row r="1059" spans="10:16" x14ac:dyDescent="0.2">
      <c r="J1059" s="1">
        <f>COUNTIF($L$2:L1059,L1059)</f>
        <v>5</v>
      </c>
      <c r="K1059" s="1">
        <f>A207</f>
        <v>1970</v>
      </c>
      <c r="L1059" s="1" t="str">
        <f>E207</f>
        <v>Morocco</v>
      </c>
      <c r="M1059" s="1" t="str">
        <f>IF(J1059=1,J1059+ROWS($J$2:J1059)/10000,"")</f>
        <v/>
      </c>
      <c r="N1059" s="1" t="str">
        <f>IFERROR(SMALL($M$2:$M$1705,ROWS($M$2:M1059)),"")</f>
        <v/>
      </c>
      <c r="O1059" s="1" t="str">
        <f>IF(N1059&lt;&gt;"",INDEX($L$2:$L$1705,MATCH(N1059,$M$2:$M$1705,0)),"")</f>
        <v/>
      </c>
      <c r="P1059" s="1" t="str">
        <f>IF(O1059&lt;&gt;"",ROWS($O$2:O1059),"")</f>
        <v/>
      </c>
    </row>
    <row r="1060" spans="10:16" x14ac:dyDescent="0.2">
      <c r="J1060" s="1">
        <f>COUNTIF($L$2:L1060,L1060)</f>
        <v>22</v>
      </c>
      <c r="K1060" s="1">
        <f>A208</f>
        <v>1970</v>
      </c>
      <c r="L1060" s="1" t="str">
        <f>E208</f>
        <v>Czechoslovakia</v>
      </c>
      <c r="M1060" s="1" t="str">
        <f>IF(J1060=1,J1060+ROWS($J$2:J1060)/10000,"")</f>
        <v/>
      </c>
      <c r="N1060" s="1" t="str">
        <f>IFERROR(SMALL($M$2:$M$1705,ROWS($M$2:M1060)),"")</f>
        <v/>
      </c>
      <c r="O1060" s="1" t="str">
        <f>IF(N1060&lt;&gt;"",INDEX($L$2:$L$1705,MATCH(N1060,$M$2:$M$1705,0)),"")</f>
        <v/>
      </c>
      <c r="P1060" s="1" t="str">
        <f>IF(O1060&lt;&gt;"",ROWS($O$2:O1060),"")</f>
        <v/>
      </c>
    </row>
    <row r="1061" spans="10:16" x14ac:dyDescent="0.2">
      <c r="J1061" s="1">
        <f>COUNTIF($L$2:L1061,L1061)</f>
        <v>1</v>
      </c>
      <c r="K1061" s="1">
        <f>A209</f>
        <v>1970</v>
      </c>
      <c r="L1061" s="1" t="str">
        <f>E209</f>
        <v>El Salvador</v>
      </c>
      <c r="M1061" s="1">
        <f>IF(J1061=1,J1061+ROWS($J$2:J1061)/10000,"")</f>
        <v>1.1060000000000001</v>
      </c>
      <c r="N1061" s="1" t="str">
        <f>IFERROR(SMALL($M$2:$M$1705,ROWS($M$2:M1061)),"")</f>
        <v/>
      </c>
      <c r="O1061" s="1" t="str">
        <f>IF(N1061&lt;&gt;"",INDEX($L$2:$L$1705,MATCH(N1061,$M$2:$M$1705,0)),"")</f>
        <v/>
      </c>
      <c r="P1061" s="1" t="str">
        <f>IF(O1061&lt;&gt;"",ROWS($O$2:O1061),"")</f>
        <v/>
      </c>
    </row>
    <row r="1062" spans="10:16" x14ac:dyDescent="0.2">
      <c r="J1062" s="1">
        <f>COUNTIF($L$2:L1062,L1062)</f>
        <v>65</v>
      </c>
      <c r="K1062" s="1">
        <f>A210</f>
        <v>1970</v>
      </c>
      <c r="L1062" s="1" t="str">
        <f>E210</f>
        <v>Italy</v>
      </c>
      <c r="M1062" s="1" t="str">
        <f>IF(J1062=1,J1062+ROWS($J$2:J1062)/10000,"")</f>
        <v/>
      </c>
      <c r="N1062" s="1" t="str">
        <f>IFERROR(SMALL($M$2:$M$1705,ROWS($M$2:M1062)),"")</f>
        <v/>
      </c>
      <c r="O1062" s="1" t="str">
        <f>IF(N1062&lt;&gt;"",INDEX($L$2:$L$1705,MATCH(N1062,$M$2:$M$1705,0)),"")</f>
        <v/>
      </c>
      <c r="P1062" s="1" t="str">
        <f>IF(O1062&lt;&gt;"",ROWS($O$2:O1062),"")</f>
        <v/>
      </c>
    </row>
    <row r="1063" spans="10:16" x14ac:dyDescent="0.2">
      <c r="J1063" s="1">
        <f>COUNTIF($L$2:L1063,L1063)</f>
        <v>6</v>
      </c>
      <c r="K1063" s="1">
        <f>A211</f>
        <v>1970</v>
      </c>
      <c r="L1063" s="1" t="str">
        <f>E211</f>
        <v>Morocco</v>
      </c>
      <c r="M1063" s="1" t="str">
        <f>IF(J1063=1,J1063+ROWS($J$2:J1063)/10000,"")</f>
        <v/>
      </c>
      <c r="N1063" s="1" t="str">
        <f>IFERROR(SMALL($M$2:$M$1705,ROWS($M$2:M1063)),"")</f>
        <v/>
      </c>
      <c r="O1063" s="1" t="str">
        <f>IF(N1063&lt;&gt;"",INDEX($L$2:$L$1705,MATCH(N1063,$M$2:$M$1705,0)),"")</f>
        <v/>
      </c>
      <c r="P1063" s="1" t="str">
        <f>IF(O1063&lt;&gt;"",ROWS($O$2:O1063),"")</f>
        <v/>
      </c>
    </row>
    <row r="1064" spans="10:16" x14ac:dyDescent="0.2">
      <c r="J1064" s="1">
        <f>COUNTIF($L$2:L1064,L1064)</f>
        <v>23</v>
      </c>
      <c r="K1064" s="1">
        <f>A212</f>
        <v>1970</v>
      </c>
      <c r="L1064" s="1" t="str">
        <f>E212</f>
        <v>Czechoslovakia</v>
      </c>
      <c r="M1064" s="1" t="str">
        <f>IF(J1064=1,J1064+ROWS($J$2:J1064)/10000,"")</f>
        <v/>
      </c>
      <c r="N1064" s="1" t="str">
        <f>IFERROR(SMALL($M$2:$M$1705,ROWS($M$2:M1064)),"")</f>
        <v/>
      </c>
      <c r="O1064" s="1" t="str">
        <f>IF(N1064&lt;&gt;"",INDEX($L$2:$L$1705,MATCH(N1064,$M$2:$M$1705,0)),"")</f>
        <v/>
      </c>
      <c r="P1064" s="1" t="str">
        <f>IF(O1064&lt;&gt;"",ROWS($O$2:O1064),"")</f>
        <v/>
      </c>
    </row>
    <row r="1065" spans="10:16" x14ac:dyDescent="0.2">
      <c r="J1065" s="1">
        <f>COUNTIF($L$2:L1065,L1065)</f>
        <v>25</v>
      </c>
      <c r="K1065" s="1">
        <f>A213</f>
        <v>1970</v>
      </c>
      <c r="L1065" s="1" t="str">
        <f>E213</f>
        <v>Belgium</v>
      </c>
      <c r="M1065" s="1" t="str">
        <f>IF(J1065=1,J1065+ROWS($J$2:J1065)/10000,"")</f>
        <v/>
      </c>
      <c r="N1065" s="1" t="str">
        <f>IFERROR(SMALL($M$2:$M$1705,ROWS($M$2:M1065)),"")</f>
        <v/>
      </c>
      <c r="O1065" s="1" t="str">
        <f>IF(N1065&lt;&gt;"",INDEX($L$2:$L$1705,MATCH(N1065,$M$2:$M$1705,0)),"")</f>
        <v/>
      </c>
      <c r="P1065" s="1" t="str">
        <f>IF(O1065&lt;&gt;"",ROWS($O$2:O1065),"")</f>
        <v/>
      </c>
    </row>
    <row r="1066" spans="10:16" x14ac:dyDescent="0.2">
      <c r="J1066" s="1">
        <f>COUNTIF($L$2:L1066,L1066)</f>
        <v>2</v>
      </c>
      <c r="K1066" s="1">
        <f>A214</f>
        <v>1970</v>
      </c>
      <c r="L1066" s="1" t="str">
        <f>E214</f>
        <v>Israel</v>
      </c>
      <c r="M1066" s="1" t="str">
        <f>IF(J1066=1,J1066+ROWS($J$2:J1066)/10000,"")</f>
        <v/>
      </c>
      <c r="N1066" s="1" t="str">
        <f>IFERROR(SMALL($M$2:$M$1705,ROWS($M$2:M1066)),"")</f>
        <v/>
      </c>
      <c r="O1066" s="1" t="str">
        <f>IF(N1066&lt;&gt;"",INDEX($L$2:$L$1705,MATCH(N1066,$M$2:$M$1705,0)),"")</f>
        <v/>
      </c>
      <c r="P1066" s="1" t="str">
        <f>IF(O1066&lt;&gt;"",ROWS($O$2:O1066),"")</f>
        <v/>
      </c>
    </row>
    <row r="1067" spans="10:16" x14ac:dyDescent="0.2">
      <c r="J1067" s="1">
        <f>COUNTIF($L$2:L1067,L1067)</f>
        <v>15</v>
      </c>
      <c r="K1067" s="1">
        <f>A215</f>
        <v>1970</v>
      </c>
      <c r="L1067" s="1" t="str">
        <f>E215</f>
        <v>Bulgaria</v>
      </c>
      <c r="M1067" s="1" t="str">
        <f>IF(J1067=1,J1067+ROWS($J$2:J1067)/10000,"")</f>
        <v/>
      </c>
      <c r="N1067" s="1" t="str">
        <f>IFERROR(SMALL($M$2:$M$1705,ROWS($M$2:M1067)),"")</f>
        <v/>
      </c>
      <c r="O1067" s="1" t="str">
        <f>IF(N1067&lt;&gt;"",INDEX($L$2:$L$1705,MATCH(N1067,$M$2:$M$1705,0)),"")</f>
        <v/>
      </c>
      <c r="P1067" s="1" t="str">
        <f>IF(O1067&lt;&gt;"",ROWS($O$2:O1067),"")</f>
        <v/>
      </c>
    </row>
    <row r="1068" spans="10:16" x14ac:dyDescent="0.2">
      <c r="J1068" s="1">
        <f>COUNTIF($L$2:L1068,L1068)</f>
        <v>44</v>
      </c>
      <c r="K1068" s="1">
        <f>A216</f>
        <v>1970</v>
      </c>
      <c r="L1068" s="1" t="str">
        <f>E216</f>
        <v>England</v>
      </c>
      <c r="M1068" s="1" t="str">
        <f>IF(J1068=1,J1068+ROWS($J$2:J1068)/10000,"")</f>
        <v/>
      </c>
      <c r="N1068" s="1" t="str">
        <f>IFERROR(SMALL($M$2:$M$1705,ROWS($M$2:M1068)),"")</f>
        <v/>
      </c>
      <c r="O1068" s="1" t="str">
        <f>IF(N1068&lt;&gt;"",INDEX($L$2:$L$1705,MATCH(N1068,$M$2:$M$1705,0)),"")</f>
        <v/>
      </c>
      <c r="P1068" s="1" t="str">
        <f>IF(O1068&lt;&gt;"",ROWS($O$2:O1068),"")</f>
        <v/>
      </c>
    </row>
    <row r="1069" spans="10:16" x14ac:dyDescent="0.2">
      <c r="J1069" s="1">
        <f>COUNTIF($L$2:L1069,L1069)</f>
        <v>2</v>
      </c>
      <c r="K1069" s="1">
        <f>A217</f>
        <v>1970</v>
      </c>
      <c r="L1069" s="1" t="str">
        <f>E217</f>
        <v>El Salvador</v>
      </c>
      <c r="M1069" s="1" t="str">
        <f>IF(J1069=1,J1069+ROWS($J$2:J1069)/10000,"")</f>
        <v/>
      </c>
      <c r="N1069" s="1" t="str">
        <f>IFERROR(SMALL($M$2:$M$1705,ROWS($M$2:M1069)),"")</f>
        <v/>
      </c>
      <c r="O1069" s="1" t="str">
        <f>IF(N1069&lt;&gt;"",INDEX($L$2:$L$1705,MATCH(N1069,$M$2:$M$1705,0)),"")</f>
        <v/>
      </c>
      <c r="P1069" s="1" t="str">
        <f>IF(O1069&lt;&gt;"",ROWS($O$2:O1069),"")</f>
        <v/>
      </c>
    </row>
    <row r="1070" spans="10:16" x14ac:dyDescent="0.2">
      <c r="J1070" s="1">
        <f>COUNTIF($L$2:L1070,L1070)</f>
        <v>35</v>
      </c>
      <c r="K1070" s="1">
        <f>A218</f>
        <v>1970</v>
      </c>
      <c r="L1070" s="1" t="str">
        <f>E218</f>
        <v>Uruguay</v>
      </c>
      <c r="M1070" s="1" t="str">
        <f>IF(J1070=1,J1070+ROWS($J$2:J1070)/10000,"")</f>
        <v/>
      </c>
      <c r="N1070" s="1" t="str">
        <f>IFERROR(SMALL($M$2:$M$1705,ROWS($M$2:M1070)),"")</f>
        <v/>
      </c>
      <c r="O1070" s="1" t="str">
        <f>IF(N1070&lt;&gt;"",INDEX($L$2:$L$1705,MATCH(N1070,$M$2:$M$1705,0)),"")</f>
        <v/>
      </c>
      <c r="P1070" s="1" t="str">
        <f>IF(O1070&lt;&gt;"",ROWS($O$2:O1070),"")</f>
        <v/>
      </c>
    </row>
    <row r="1071" spans="10:16" x14ac:dyDescent="0.2">
      <c r="J1071" s="1">
        <f>COUNTIF($L$2:L1071,L1071)</f>
        <v>8</v>
      </c>
      <c r="K1071" s="1">
        <f>A219</f>
        <v>1970</v>
      </c>
      <c r="L1071" s="1" t="str">
        <f>E219</f>
        <v>Peru</v>
      </c>
      <c r="M1071" s="1" t="str">
        <f>IF(J1071=1,J1071+ROWS($J$2:J1071)/10000,"")</f>
        <v/>
      </c>
      <c r="N1071" s="1" t="str">
        <f>IFERROR(SMALL($M$2:$M$1705,ROWS($M$2:M1071)),"")</f>
        <v/>
      </c>
      <c r="O1071" s="1" t="str">
        <f>IF(N1071&lt;&gt;"",INDEX($L$2:$L$1705,MATCH(N1071,$M$2:$M$1705,0)),"")</f>
        <v/>
      </c>
      <c r="P1071" s="1" t="str">
        <f>IF(O1071&lt;&gt;"",ROWS($O$2:O1071),"")</f>
        <v/>
      </c>
    </row>
    <row r="1072" spans="10:16" x14ac:dyDescent="0.2">
      <c r="J1072" s="1">
        <f>COUNTIF($L$2:L1072,L1072)</f>
        <v>15</v>
      </c>
      <c r="K1072" s="1">
        <f>A220</f>
        <v>1970</v>
      </c>
      <c r="L1072" s="1" t="str">
        <f>E220</f>
        <v>Romania</v>
      </c>
      <c r="M1072" s="1" t="str">
        <f>IF(J1072=1,J1072+ROWS($J$2:J1072)/10000,"")</f>
        <v/>
      </c>
      <c r="N1072" s="1" t="str">
        <f>IFERROR(SMALL($M$2:$M$1705,ROWS($M$2:M1072)),"")</f>
        <v/>
      </c>
      <c r="O1072" s="1" t="str">
        <f>IF(N1072&lt;&gt;"",INDEX($L$2:$L$1705,MATCH(N1072,$M$2:$M$1705,0)),"")</f>
        <v/>
      </c>
      <c r="P1072" s="1" t="str">
        <f>IF(O1072&lt;&gt;"",ROWS($O$2:O1072),"")</f>
        <v/>
      </c>
    </row>
    <row r="1073" spans="10:16" x14ac:dyDescent="0.2">
      <c r="J1073" s="1">
        <f>COUNTIF($L$2:L1073,L1073)</f>
        <v>3</v>
      </c>
      <c r="K1073" s="1">
        <f>A221</f>
        <v>1970</v>
      </c>
      <c r="L1073" s="1" t="str">
        <f>E221</f>
        <v>El Salvador</v>
      </c>
      <c r="M1073" s="1" t="str">
        <f>IF(J1073=1,J1073+ROWS($J$2:J1073)/10000,"")</f>
        <v/>
      </c>
      <c r="N1073" s="1" t="str">
        <f>IFERROR(SMALL($M$2:$M$1705,ROWS($M$2:M1073)),"")</f>
        <v/>
      </c>
      <c r="O1073" s="1" t="str">
        <f>IF(N1073&lt;&gt;"",INDEX($L$2:$L$1705,MATCH(N1073,$M$2:$M$1705,0)),"")</f>
        <v/>
      </c>
      <c r="P1073" s="1" t="str">
        <f>IF(O1073&lt;&gt;"",ROWS($O$2:O1073),"")</f>
        <v/>
      </c>
    </row>
    <row r="1074" spans="10:16" x14ac:dyDescent="0.2">
      <c r="J1074" s="1">
        <f>COUNTIF($L$2:L1074,L1074)</f>
        <v>3</v>
      </c>
      <c r="K1074" s="1">
        <f>A222</f>
        <v>1970</v>
      </c>
      <c r="L1074" s="1" t="str">
        <f>E222</f>
        <v>Israel</v>
      </c>
      <c r="M1074" s="1" t="str">
        <f>IF(J1074=1,J1074+ROWS($J$2:J1074)/10000,"")</f>
        <v/>
      </c>
      <c r="N1074" s="1" t="str">
        <f>IFERROR(SMALL($M$2:$M$1705,ROWS($M$2:M1074)),"")</f>
        <v/>
      </c>
      <c r="O1074" s="1" t="str">
        <f>IF(N1074&lt;&gt;"",INDEX($L$2:$L$1705,MATCH(N1074,$M$2:$M$1705,0)),"")</f>
        <v/>
      </c>
      <c r="P1074" s="1" t="str">
        <f>IF(O1074&lt;&gt;"",ROWS($O$2:O1074),"")</f>
        <v/>
      </c>
    </row>
    <row r="1075" spans="10:16" x14ac:dyDescent="0.2">
      <c r="J1075" s="1">
        <f>COUNTIF($L$2:L1075,L1075)</f>
        <v>7</v>
      </c>
      <c r="K1075" s="1">
        <f>A223</f>
        <v>1970</v>
      </c>
      <c r="L1075" s="1" t="str">
        <f>E223</f>
        <v>Morocco</v>
      </c>
      <c r="M1075" s="1" t="str">
        <f>IF(J1075=1,J1075+ROWS($J$2:J1075)/10000,"")</f>
        <v/>
      </c>
      <c r="N1075" s="1" t="str">
        <f>IFERROR(SMALL($M$2:$M$1705,ROWS($M$2:M1075)),"")</f>
        <v/>
      </c>
      <c r="O1075" s="1" t="str">
        <f>IF(N1075&lt;&gt;"",INDEX($L$2:$L$1705,MATCH(N1075,$M$2:$M$1705,0)),"")</f>
        <v/>
      </c>
      <c r="P1075" s="1" t="str">
        <f>IF(O1075&lt;&gt;"",ROWS($O$2:O1075),"")</f>
        <v/>
      </c>
    </row>
    <row r="1076" spans="10:16" x14ac:dyDescent="0.2">
      <c r="J1076" s="1">
        <f>COUNTIF($L$2:L1076,L1076)</f>
        <v>24</v>
      </c>
      <c r="K1076" s="1">
        <f>A224</f>
        <v>1970</v>
      </c>
      <c r="L1076" s="1" t="str">
        <f>E224</f>
        <v>Czechoslovakia</v>
      </c>
      <c r="M1076" s="1" t="str">
        <f>IF(J1076=1,J1076+ROWS($J$2:J1076)/10000,"")</f>
        <v/>
      </c>
      <c r="N1076" s="1" t="str">
        <f>IFERROR(SMALL($M$2:$M$1705,ROWS($M$2:M1076)),"")</f>
        <v/>
      </c>
      <c r="O1076" s="1" t="str">
        <f>IF(N1076&lt;&gt;"",INDEX($L$2:$L$1705,MATCH(N1076,$M$2:$M$1705,0)),"")</f>
        <v/>
      </c>
      <c r="P1076" s="1" t="str">
        <f>IF(O1076&lt;&gt;"",ROWS($O$2:O1076),"")</f>
        <v/>
      </c>
    </row>
    <row r="1077" spans="10:16" x14ac:dyDescent="0.2">
      <c r="J1077" s="1">
        <f>COUNTIF($L$2:L1077,L1077)</f>
        <v>26</v>
      </c>
      <c r="K1077" s="1">
        <f>A225</f>
        <v>1970</v>
      </c>
      <c r="L1077" s="1" t="str">
        <f>E225</f>
        <v>Belgium</v>
      </c>
      <c r="M1077" s="1" t="str">
        <f>IF(J1077=1,J1077+ROWS($J$2:J1077)/10000,"")</f>
        <v/>
      </c>
      <c r="N1077" s="1" t="str">
        <f>IFERROR(SMALL($M$2:$M$1705,ROWS($M$2:M1077)),"")</f>
        <v/>
      </c>
      <c r="O1077" s="1" t="str">
        <f>IF(N1077&lt;&gt;"",INDEX($L$2:$L$1705,MATCH(N1077,$M$2:$M$1705,0)),"")</f>
        <v/>
      </c>
      <c r="P1077" s="1" t="str">
        <f>IF(O1077&lt;&gt;"",ROWS($O$2:O1077),"")</f>
        <v/>
      </c>
    </row>
    <row r="1078" spans="10:16" x14ac:dyDescent="0.2">
      <c r="J1078" s="1">
        <f>COUNTIF($L$2:L1078,L1078)</f>
        <v>32</v>
      </c>
      <c r="K1078" s="1">
        <f>A226</f>
        <v>1970</v>
      </c>
      <c r="L1078" s="1" t="str">
        <f>E226</f>
        <v>Mexico</v>
      </c>
      <c r="M1078" s="1" t="str">
        <f>IF(J1078=1,J1078+ROWS($J$2:J1078)/10000,"")</f>
        <v/>
      </c>
      <c r="N1078" s="1" t="str">
        <f>IFERROR(SMALL($M$2:$M$1705,ROWS($M$2:M1078)),"")</f>
        <v/>
      </c>
      <c r="O1078" s="1" t="str">
        <f>IF(N1078&lt;&gt;"",INDEX($L$2:$L$1705,MATCH(N1078,$M$2:$M$1705,0)),"")</f>
        <v/>
      </c>
      <c r="P1078" s="1" t="str">
        <f>IF(O1078&lt;&gt;"",ROWS($O$2:O1078),"")</f>
        <v/>
      </c>
    </row>
    <row r="1079" spans="10:16" x14ac:dyDescent="0.2">
      <c r="J1079" s="1">
        <f>COUNTIF($L$2:L1079,L1079)</f>
        <v>45</v>
      </c>
      <c r="K1079" s="1">
        <f>A227</f>
        <v>1970</v>
      </c>
      <c r="L1079" s="1" t="str">
        <f>E227</f>
        <v>England</v>
      </c>
      <c r="M1079" s="1" t="str">
        <f>IF(J1079=1,J1079+ROWS($J$2:J1079)/10000,"")</f>
        <v/>
      </c>
      <c r="N1079" s="1" t="str">
        <f>IFERROR(SMALL($M$2:$M$1705,ROWS($M$2:M1079)),"")</f>
        <v/>
      </c>
      <c r="O1079" s="1" t="str">
        <f>IF(N1079&lt;&gt;"",INDEX($L$2:$L$1705,MATCH(N1079,$M$2:$M$1705,0)),"")</f>
        <v/>
      </c>
      <c r="P1079" s="1" t="str">
        <f>IF(O1079&lt;&gt;"",ROWS($O$2:O1079),"")</f>
        <v/>
      </c>
    </row>
    <row r="1080" spans="10:16" x14ac:dyDescent="0.2">
      <c r="J1080" s="1">
        <f>COUNTIF($L$2:L1080,L1080)</f>
        <v>9</v>
      </c>
      <c r="K1080" s="1">
        <f>A228</f>
        <v>1970</v>
      </c>
      <c r="L1080" s="1" t="str">
        <f>E228</f>
        <v>Peru</v>
      </c>
      <c r="M1080" s="1" t="str">
        <f>IF(J1080=1,J1080+ROWS($J$2:J1080)/10000,"")</f>
        <v/>
      </c>
      <c r="N1080" s="1" t="str">
        <f>IFERROR(SMALL($M$2:$M$1705,ROWS($M$2:M1080)),"")</f>
        <v/>
      </c>
      <c r="O1080" s="1" t="str">
        <f>IF(N1080&lt;&gt;"",INDEX($L$2:$L$1705,MATCH(N1080,$M$2:$M$1705,0)),"")</f>
        <v/>
      </c>
      <c r="P1080" s="1" t="str">
        <f>IF(O1080&lt;&gt;"",ROWS($O$2:O1080),"")</f>
        <v/>
      </c>
    </row>
    <row r="1081" spans="10:16" x14ac:dyDescent="0.2">
      <c r="J1081" s="1">
        <f>COUNTIF($L$2:L1081,L1081)</f>
        <v>25</v>
      </c>
      <c r="K1081" s="1">
        <f>A229</f>
        <v>1970</v>
      </c>
      <c r="L1081" s="1" t="str">
        <f>E229</f>
        <v>Soviet Union</v>
      </c>
      <c r="M1081" s="1" t="str">
        <f>IF(J1081=1,J1081+ROWS($J$2:J1081)/10000,"")</f>
        <v/>
      </c>
      <c r="N1081" s="1" t="str">
        <f>IFERROR(SMALL($M$2:$M$1705,ROWS($M$2:M1081)),"")</f>
        <v/>
      </c>
      <c r="O1081" s="1" t="str">
        <f>IF(N1081&lt;&gt;"",INDEX($L$2:$L$1705,MATCH(N1081,$M$2:$M$1705,0)),"")</f>
        <v/>
      </c>
      <c r="P1081" s="1" t="str">
        <f>IF(O1081&lt;&gt;"",ROWS($O$2:O1081),"")</f>
        <v/>
      </c>
    </row>
    <row r="1082" spans="10:16" x14ac:dyDescent="0.2">
      <c r="J1082" s="1">
        <f>COUNTIF($L$2:L1082,L1082)</f>
        <v>36</v>
      </c>
      <c r="K1082" s="1">
        <f>A230</f>
        <v>1970</v>
      </c>
      <c r="L1082" s="1" t="str">
        <f>E230</f>
        <v>Uruguay</v>
      </c>
      <c r="M1082" s="1" t="str">
        <f>IF(J1082=1,J1082+ROWS($J$2:J1082)/10000,"")</f>
        <v/>
      </c>
      <c r="N1082" s="1" t="str">
        <f>IFERROR(SMALL($M$2:$M$1705,ROWS($M$2:M1082)),"")</f>
        <v/>
      </c>
      <c r="O1082" s="1" t="str">
        <f>IF(N1082&lt;&gt;"",INDEX($L$2:$L$1705,MATCH(N1082,$M$2:$M$1705,0)),"")</f>
        <v/>
      </c>
      <c r="P1082" s="1" t="str">
        <f>IF(O1082&lt;&gt;"",ROWS($O$2:O1082),"")</f>
        <v/>
      </c>
    </row>
    <row r="1083" spans="10:16" x14ac:dyDescent="0.2">
      <c r="J1083" s="1">
        <f>COUNTIF($L$2:L1083,L1083)</f>
        <v>50</v>
      </c>
      <c r="K1083" s="1">
        <f>A231</f>
        <v>1970</v>
      </c>
      <c r="L1083" s="1" t="str">
        <f>E231</f>
        <v>Germany FR</v>
      </c>
      <c r="M1083" s="1" t="str">
        <f>IF(J1083=1,J1083+ROWS($J$2:J1083)/10000,"")</f>
        <v/>
      </c>
      <c r="N1083" s="1" t="str">
        <f>IFERROR(SMALL($M$2:$M$1705,ROWS($M$2:M1083)),"")</f>
        <v/>
      </c>
      <c r="O1083" s="1" t="str">
        <f>IF(N1083&lt;&gt;"",INDEX($L$2:$L$1705,MATCH(N1083,$M$2:$M$1705,0)),"")</f>
        <v/>
      </c>
      <c r="P1083" s="1" t="str">
        <f>IF(O1083&lt;&gt;"",ROWS($O$2:O1083),"")</f>
        <v/>
      </c>
    </row>
    <row r="1084" spans="10:16" x14ac:dyDescent="0.2">
      <c r="J1084" s="1">
        <f>COUNTIF($L$2:L1084,L1084)</f>
        <v>37</v>
      </c>
      <c r="K1084" s="1">
        <f>A232</f>
        <v>1970</v>
      </c>
      <c r="L1084" s="1" t="str">
        <f>E232</f>
        <v>Uruguay</v>
      </c>
      <c r="M1084" s="1" t="str">
        <f>IF(J1084=1,J1084+ROWS($J$2:J1084)/10000,"")</f>
        <v/>
      </c>
      <c r="N1084" s="1" t="str">
        <f>IFERROR(SMALL($M$2:$M$1705,ROWS($M$2:M1084)),"")</f>
        <v/>
      </c>
      <c r="O1084" s="1" t="str">
        <f>IF(N1084&lt;&gt;"",INDEX($L$2:$L$1705,MATCH(N1084,$M$2:$M$1705,0)),"")</f>
        <v/>
      </c>
      <c r="P1084" s="1" t="str">
        <f>IF(O1084&lt;&gt;"",ROWS($O$2:O1084),"")</f>
        <v/>
      </c>
    </row>
    <row r="1085" spans="10:16" x14ac:dyDescent="0.2">
      <c r="J1085" s="1">
        <f>COUNTIF($L$2:L1085,L1085)</f>
        <v>66</v>
      </c>
      <c r="K1085" s="1">
        <f>A233</f>
        <v>1970</v>
      </c>
      <c r="L1085" s="1" t="str">
        <f>E233</f>
        <v>Italy</v>
      </c>
      <c r="M1085" s="1" t="str">
        <f>IF(J1085=1,J1085+ROWS($J$2:J1085)/10000,"")</f>
        <v/>
      </c>
      <c r="N1085" s="1" t="str">
        <f>IFERROR(SMALL($M$2:$M$1705,ROWS($M$2:M1085)),"")</f>
        <v/>
      </c>
      <c r="O1085" s="1" t="str">
        <f>IF(N1085&lt;&gt;"",INDEX($L$2:$L$1705,MATCH(N1085,$M$2:$M$1705,0)),"")</f>
        <v/>
      </c>
      <c r="P1085" s="1" t="str">
        <f>IF(O1085&lt;&gt;"",ROWS($O$2:O1085),"")</f>
        <v/>
      </c>
    </row>
    <row r="1086" spans="10:16" x14ac:dyDescent="0.2">
      <c r="J1086" s="1">
        <f>COUNTIF($L$2:L1086,L1086)</f>
        <v>27</v>
      </c>
      <c r="K1086" s="1">
        <f>A234</f>
        <v>1974</v>
      </c>
      <c r="L1086" s="1" t="str">
        <f>E234</f>
        <v>Yugoslavia</v>
      </c>
      <c r="M1086" s="1" t="str">
        <f>IF(J1086=1,J1086+ROWS($J$2:J1086)/10000,"")</f>
        <v/>
      </c>
      <c r="N1086" s="1" t="str">
        <f>IFERROR(SMALL($M$2:$M$1705,ROWS($M$2:M1086)),"")</f>
        <v/>
      </c>
      <c r="O1086" s="1" t="str">
        <f>IF(N1086&lt;&gt;"",INDEX($L$2:$L$1705,MATCH(N1086,$M$2:$M$1705,0)),"")</f>
        <v/>
      </c>
      <c r="P1086" s="1" t="str">
        <f>IF(O1086&lt;&gt;"",ROWS($O$2:O1086),"")</f>
        <v/>
      </c>
    </row>
    <row r="1087" spans="10:16" x14ac:dyDescent="0.2">
      <c r="J1087" s="1">
        <f>COUNTIF($L$2:L1087,L1087)</f>
        <v>23</v>
      </c>
      <c r="K1087" s="1">
        <f>A235</f>
        <v>1974</v>
      </c>
      <c r="L1087" s="1" t="str">
        <f>E235</f>
        <v>Chile</v>
      </c>
      <c r="M1087" s="1" t="str">
        <f>IF(J1087=1,J1087+ROWS($J$2:J1087)/10000,"")</f>
        <v/>
      </c>
      <c r="N1087" s="1" t="str">
        <f>IFERROR(SMALL($M$2:$M$1705,ROWS($M$2:M1087)),"")</f>
        <v/>
      </c>
      <c r="O1087" s="1" t="str">
        <f>IF(N1087&lt;&gt;"",INDEX($L$2:$L$1705,MATCH(N1087,$M$2:$M$1705,0)),"")</f>
        <v/>
      </c>
      <c r="P1087" s="1" t="str">
        <f>IF(O1087&lt;&gt;"",ROWS($O$2:O1087),"")</f>
        <v/>
      </c>
    </row>
    <row r="1088" spans="10:16" x14ac:dyDescent="0.2">
      <c r="J1088" s="1">
        <f>COUNTIF($L$2:L1088,L1088)</f>
        <v>7</v>
      </c>
      <c r="K1088" s="1">
        <f>A236</f>
        <v>1974</v>
      </c>
      <c r="L1088" s="1" t="str">
        <f>E236</f>
        <v>Australia</v>
      </c>
      <c r="M1088" s="1" t="str">
        <f>IF(J1088=1,J1088+ROWS($J$2:J1088)/10000,"")</f>
        <v/>
      </c>
      <c r="N1088" s="1" t="str">
        <f>IFERROR(SMALL($M$2:$M$1705,ROWS($M$2:M1088)),"")</f>
        <v/>
      </c>
      <c r="O1088" s="1" t="str">
        <f>IF(N1088&lt;&gt;"",INDEX($L$2:$L$1705,MATCH(N1088,$M$2:$M$1705,0)),"")</f>
        <v/>
      </c>
      <c r="P1088" s="1" t="str">
        <f>IF(O1088&lt;&gt;"",ROWS($O$2:O1088),"")</f>
        <v/>
      </c>
    </row>
    <row r="1089" spans="10:16" x14ac:dyDescent="0.2">
      <c r="J1089" s="1">
        <f>COUNTIF($L$2:L1089,L1089)</f>
        <v>15</v>
      </c>
      <c r="K1089" s="1">
        <f>A237</f>
        <v>1974</v>
      </c>
      <c r="L1089" s="1" t="str">
        <f>E237</f>
        <v>Scotland</v>
      </c>
      <c r="M1089" s="1" t="str">
        <f>IF(J1089=1,J1089+ROWS($J$2:J1089)/10000,"")</f>
        <v/>
      </c>
      <c r="N1089" s="1" t="str">
        <f>IFERROR(SMALL($M$2:$M$1705,ROWS($M$2:M1089)),"")</f>
        <v/>
      </c>
      <c r="O1089" s="1" t="str">
        <f>IF(N1089&lt;&gt;"",INDEX($L$2:$L$1705,MATCH(N1089,$M$2:$M$1705,0)),"")</f>
        <v/>
      </c>
      <c r="P1089" s="1" t="str">
        <f>IF(O1089&lt;&gt;"",ROWS($O$2:O1089),"")</f>
        <v/>
      </c>
    </row>
    <row r="1090" spans="10:16" x14ac:dyDescent="0.2">
      <c r="J1090" s="1">
        <f>COUNTIF($L$2:L1090,L1090)</f>
        <v>35</v>
      </c>
      <c r="K1090" s="1">
        <f>A238</f>
        <v>1974</v>
      </c>
      <c r="L1090" s="1" t="str">
        <f>E238</f>
        <v>Netherlands</v>
      </c>
      <c r="M1090" s="1" t="str">
        <f>IF(J1090=1,J1090+ROWS($J$2:J1090)/10000,"")</f>
        <v/>
      </c>
      <c r="N1090" s="1" t="str">
        <f>IFERROR(SMALL($M$2:$M$1705,ROWS($M$2:M1090)),"")</f>
        <v/>
      </c>
      <c r="O1090" s="1" t="str">
        <f>IF(N1090&lt;&gt;"",INDEX($L$2:$L$1705,MATCH(N1090,$M$2:$M$1705,0)),"")</f>
        <v/>
      </c>
      <c r="P1090" s="1" t="str">
        <f>IF(O1090&lt;&gt;"",ROWS($O$2:O1090),"")</f>
        <v/>
      </c>
    </row>
    <row r="1091" spans="10:16" x14ac:dyDescent="0.2">
      <c r="J1091" s="1">
        <f>COUNTIF($L$2:L1091,L1091)</f>
        <v>16</v>
      </c>
      <c r="K1091" s="1">
        <f>A239</f>
        <v>1974</v>
      </c>
      <c r="L1091" s="1" t="str">
        <f>E239</f>
        <v>Bulgaria</v>
      </c>
      <c r="M1091" s="1" t="str">
        <f>IF(J1091=1,J1091+ROWS($J$2:J1091)/10000,"")</f>
        <v/>
      </c>
      <c r="N1091" s="1" t="str">
        <f>IFERROR(SMALL($M$2:$M$1705,ROWS($M$2:M1091)),"")</f>
        <v/>
      </c>
      <c r="O1091" s="1" t="str">
        <f>IF(N1091&lt;&gt;"",INDEX($L$2:$L$1705,MATCH(N1091,$M$2:$M$1705,0)),"")</f>
        <v/>
      </c>
      <c r="P1091" s="1" t="str">
        <f>IF(O1091&lt;&gt;"",ROWS($O$2:O1091),"")</f>
        <v/>
      </c>
    </row>
    <row r="1092" spans="10:16" x14ac:dyDescent="0.2">
      <c r="J1092" s="1">
        <f>COUNTIF($L$2:L1092,L1092)</f>
        <v>2</v>
      </c>
      <c r="K1092" s="1">
        <f>A240</f>
        <v>1974</v>
      </c>
      <c r="L1092" s="1" t="str">
        <f>E240</f>
        <v>Haiti</v>
      </c>
      <c r="M1092" s="1" t="str">
        <f>IF(J1092=1,J1092+ROWS($J$2:J1092)/10000,"")</f>
        <v/>
      </c>
      <c r="N1092" s="1" t="str">
        <f>IFERROR(SMALL($M$2:$M$1705,ROWS($M$2:M1092)),"")</f>
        <v/>
      </c>
      <c r="O1092" s="1" t="str">
        <f>IF(N1092&lt;&gt;"",INDEX($L$2:$L$1705,MATCH(N1092,$M$2:$M$1705,0)),"")</f>
        <v/>
      </c>
      <c r="P1092" s="1" t="str">
        <f>IF(O1092&lt;&gt;"",ROWS($O$2:O1092),"")</f>
        <v/>
      </c>
    </row>
    <row r="1093" spans="10:16" x14ac:dyDescent="0.2">
      <c r="J1093" s="1">
        <f>COUNTIF($L$2:L1093,L1093)</f>
        <v>62</v>
      </c>
      <c r="K1093" s="1">
        <f>A241</f>
        <v>1974</v>
      </c>
      <c r="L1093" s="1" t="str">
        <f>E241</f>
        <v>Argentina</v>
      </c>
      <c r="M1093" s="1" t="str">
        <f>IF(J1093=1,J1093+ROWS($J$2:J1093)/10000,"")</f>
        <v/>
      </c>
      <c r="N1093" s="1" t="str">
        <f>IFERROR(SMALL($M$2:$M$1705,ROWS($M$2:M1093)),"")</f>
        <v/>
      </c>
      <c r="O1093" s="1" t="str">
        <f>IF(N1093&lt;&gt;"",INDEX($L$2:$L$1705,MATCH(N1093,$M$2:$M$1705,0)),"")</f>
        <v/>
      </c>
      <c r="P1093" s="1" t="str">
        <f>IF(O1093&lt;&gt;"",ROWS($O$2:O1093),"")</f>
        <v/>
      </c>
    </row>
    <row r="1094" spans="10:16" x14ac:dyDescent="0.2">
      <c r="J1094" s="1">
        <f>COUNTIF($L$2:L1094,L1094)</f>
        <v>51</v>
      </c>
      <c r="K1094" s="1">
        <f>A242</f>
        <v>1974</v>
      </c>
      <c r="L1094" s="1" t="str">
        <f>E242</f>
        <v>Germany FR</v>
      </c>
      <c r="M1094" s="1" t="str">
        <f>IF(J1094=1,J1094+ROWS($J$2:J1094)/10000,"")</f>
        <v/>
      </c>
      <c r="N1094" s="1" t="str">
        <f>IFERROR(SMALL($M$2:$M$1705,ROWS($M$2:M1094)),"")</f>
        <v/>
      </c>
      <c r="O1094" s="1" t="str">
        <f>IF(N1094&lt;&gt;"",INDEX($L$2:$L$1705,MATCH(N1094,$M$2:$M$1705,0)),"")</f>
        <v/>
      </c>
      <c r="P1094" s="1" t="str">
        <f>IF(O1094&lt;&gt;"",ROWS($O$2:O1094),"")</f>
        <v/>
      </c>
    </row>
    <row r="1095" spans="10:16" x14ac:dyDescent="0.2">
      <c r="J1095" s="1">
        <f>COUNTIF($L$2:L1095,L1095)</f>
        <v>90</v>
      </c>
      <c r="K1095" s="1">
        <f>A243</f>
        <v>1974</v>
      </c>
      <c r="L1095" s="1" t="str">
        <f>E243</f>
        <v>Brazil</v>
      </c>
      <c r="M1095" s="1" t="str">
        <f>IF(J1095=1,J1095+ROWS($J$2:J1095)/10000,"")</f>
        <v/>
      </c>
      <c r="N1095" s="1" t="str">
        <f>IFERROR(SMALL($M$2:$M$1705,ROWS($M$2:M1095)),"")</f>
        <v/>
      </c>
      <c r="O1095" s="1" t="str">
        <f>IF(N1095&lt;&gt;"",INDEX($L$2:$L$1705,MATCH(N1095,$M$2:$M$1705,0)),"")</f>
        <v/>
      </c>
      <c r="P1095" s="1" t="str">
        <f>IF(O1095&lt;&gt;"",ROWS($O$2:O1095),"")</f>
        <v/>
      </c>
    </row>
    <row r="1096" spans="10:16" x14ac:dyDescent="0.2">
      <c r="J1096" s="1">
        <f>COUNTIF($L$2:L1096,L1096)</f>
        <v>4</v>
      </c>
      <c r="K1096" s="1">
        <f>A244</f>
        <v>1974</v>
      </c>
      <c r="L1096" s="1" t="str">
        <f>E244</f>
        <v>German DR</v>
      </c>
      <c r="M1096" s="1" t="str">
        <f>IF(J1096=1,J1096+ROWS($J$2:J1096)/10000,"")</f>
        <v/>
      </c>
      <c r="N1096" s="1" t="str">
        <f>IFERROR(SMALL($M$2:$M$1705,ROWS($M$2:M1096)),"")</f>
        <v/>
      </c>
      <c r="O1096" s="1" t="str">
        <f>IF(N1096&lt;&gt;"",INDEX($L$2:$L$1705,MATCH(N1096,$M$2:$M$1705,0)),"")</f>
        <v/>
      </c>
      <c r="P1096" s="1" t="str">
        <f>IF(O1096&lt;&gt;"",ROWS($O$2:O1096),"")</f>
        <v/>
      </c>
    </row>
    <row r="1097" spans="10:16" x14ac:dyDescent="0.2">
      <c r="J1097" s="1">
        <f>COUNTIF($L$2:L1097,L1097)</f>
        <v>3</v>
      </c>
      <c r="K1097" s="1">
        <f>A245</f>
        <v>1974</v>
      </c>
      <c r="L1097" s="1" t="str">
        <f>E245</f>
        <v>Zaire</v>
      </c>
      <c r="M1097" s="1" t="str">
        <f>IF(J1097=1,J1097+ROWS($J$2:J1097)/10000,"")</f>
        <v/>
      </c>
      <c r="N1097" s="1" t="str">
        <f>IFERROR(SMALL($M$2:$M$1705,ROWS($M$2:M1097)),"")</f>
        <v/>
      </c>
      <c r="O1097" s="1" t="str">
        <f>IF(N1097&lt;&gt;"",INDEX($L$2:$L$1705,MATCH(N1097,$M$2:$M$1705,0)),"")</f>
        <v/>
      </c>
      <c r="P1097" s="1" t="str">
        <f>IF(O1097&lt;&gt;"",ROWS($O$2:O1097),"")</f>
        <v/>
      </c>
    </row>
    <row r="1098" spans="10:16" x14ac:dyDescent="0.2">
      <c r="J1098" s="1">
        <f>COUNTIF($L$2:L1098,L1098)</f>
        <v>35</v>
      </c>
      <c r="K1098" s="1">
        <f>A246</f>
        <v>1974</v>
      </c>
      <c r="L1098" s="1" t="str">
        <f>E246</f>
        <v>Sweden</v>
      </c>
      <c r="M1098" s="1" t="str">
        <f>IF(J1098=1,J1098+ROWS($J$2:J1098)/10000,"")</f>
        <v/>
      </c>
      <c r="N1098" s="1" t="str">
        <f>IFERROR(SMALL($M$2:$M$1705,ROWS($M$2:M1098)),"")</f>
        <v/>
      </c>
      <c r="O1098" s="1" t="str">
        <f>IF(N1098&lt;&gt;"",INDEX($L$2:$L$1705,MATCH(N1098,$M$2:$M$1705,0)),"")</f>
        <v/>
      </c>
      <c r="P1098" s="1" t="str">
        <f>IF(O1098&lt;&gt;"",ROWS($O$2:O1098),"")</f>
        <v/>
      </c>
    </row>
    <row r="1099" spans="10:16" x14ac:dyDescent="0.2">
      <c r="J1099" s="1">
        <f>COUNTIF($L$2:L1099,L1099)</f>
        <v>38</v>
      </c>
      <c r="K1099" s="1">
        <f>A247</f>
        <v>1974</v>
      </c>
      <c r="L1099" s="1" t="str">
        <f>E247</f>
        <v>Uruguay</v>
      </c>
      <c r="M1099" s="1" t="str">
        <f>IF(J1099=1,J1099+ROWS($J$2:J1099)/10000,"")</f>
        <v/>
      </c>
      <c r="N1099" s="1" t="str">
        <f>IFERROR(SMALL($M$2:$M$1705,ROWS($M$2:M1099)),"")</f>
        <v/>
      </c>
      <c r="O1099" s="1" t="str">
        <f>IF(N1099&lt;&gt;"",INDEX($L$2:$L$1705,MATCH(N1099,$M$2:$M$1705,0)),"")</f>
        <v/>
      </c>
      <c r="P1099" s="1" t="str">
        <f>IF(O1099&lt;&gt;"",ROWS($O$2:O1099),"")</f>
        <v/>
      </c>
    </row>
    <row r="1100" spans="10:16" x14ac:dyDescent="0.2">
      <c r="J1100" s="1">
        <f>COUNTIF($L$2:L1100,L1100)</f>
        <v>18</v>
      </c>
      <c r="K1100" s="1">
        <f>A248</f>
        <v>1974</v>
      </c>
      <c r="L1100" s="1" t="str">
        <f>E248</f>
        <v>Poland</v>
      </c>
      <c r="M1100" s="1" t="str">
        <f>IF(J1100=1,J1100+ROWS($J$2:J1100)/10000,"")</f>
        <v/>
      </c>
      <c r="N1100" s="1" t="str">
        <f>IFERROR(SMALL($M$2:$M$1705,ROWS($M$2:M1100)),"")</f>
        <v/>
      </c>
      <c r="O1100" s="1" t="str">
        <f>IF(N1100&lt;&gt;"",INDEX($L$2:$L$1705,MATCH(N1100,$M$2:$M$1705,0)),"")</f>
        <v/>
      </c>
      <c r="P1100" s="1" t="str">
        <f>IF(O1100&lt;&gt;"",ROWS($O$2:O1100),"")</f>
        <v/>
      </c>
    </row>
    <row r="1101" spans="10:16" x14ac:dyDescent="0.2">
      <c r="J1101" s="1">
        <f>COUNTIF($L$2:L1101,L1101)</f>
        <v>67</v>
      </c>
      <c r="K1101" s="1">
        <f>A249</f>
        <v>1974</v>
      </c>
      <c r="L1101" s="1" t="str">
        <f>E249</f>
        <v>Italy</v>
      </c>
      <c r="M1101" s="1" t="str">
        <f>IF(J1101=1,J1101+ROWS($J$2:J1101)/10000,"")</f>
        <v/>
      </c>
      <c r="N1101" s="1" t="str">
        <f>IFERROR(SMALL($M$2:$M$1705,ROWS($M$2:M1101)),"")</f>
        <v/>
      </c>
      <c r="O1101" s="1" t="str">
        <f>IF(N1101&lt;&gt;"",INDEX($L$2:$L$1705,MATCH(N1101,$M$2:$M$1705,0)),"")</f>
        <v/>
      </c>
      <c r="P1101" s="1" t="str">
        <f>IF(O1101&lt;&gt;"",ROWS($O$2:O1101),"")</f>
        <v/>
      </c>
    </row>
    <row r="1102" spans="10:16" x14ac:dyDescent="0.2">
      <c r="J1102" s="1">
        <f>COUNTIF($L$2:L1102,L1102)</f>
        <v>28</v>
      </c>
      <c r="K1102" s="1">
        <f>A250</f>
        <v>1974</v>
      </c>
      <c r="L1102" s="1" t="str">
        <f>E250</f>
        <v>Yugoslavia</v>
      </c>
      <c r="M1102" s="1" t="str">
        <f>IF(J1102=1,J1102+ROWS($J$2:J1102)/10000,"")</f>
        <v/>
      </c>
      <c r="N1102" s="1" t="str">
        <f>IFERROR(SMALL($M$2:$M$1705,ROWS($M$2:M1102)),"")</f>
        <v/>
      </c>
      <c r="O1102" s="1" t="str">
        <f>IF(N1102&lt;&gt;"",INDEX($L$2:$L$1705,MATCH(N1102,$M$2:$M$1705,0)),"")</f>
        <v/>
      </c>
      <c r="P1102" s="1" t="str">
        <f>IF(O1102&lt;&gt;"",ROWS($O$2:O1102),"")</f>
        <v/>
      </c>
    </row>
    <row r="1103" spans="10:16" x14ac:dyDescent="0.2">
      <c r="J1103" s="1">
        <f>COUNTIF($L$2:L1103,L1103)</f>
        <v>24</v>
      </c>
      <c r="K1103" s="1">
        <f>A251</f>
        <v>1974</v>
      </c>
      <c r="L1103" s="1" t="str">
        <f>E251</f>
        <v>Chile</v>
      </c>
      <c r="M1103" s="1" t="str">
        <f>IF(J1103=1,J1103+ROWS($J$2:J1103)/10000,"")</f>
        <v/>
      </c>
      <c r="N1103" s="1" t="str">
        <f>IFERROR(SMALL($M$2:$M$1705,ROWS($M$2:M1103)),"")</f>
        <v/>
      </c>
      <c r="O1103" s="1" t="str">
        <f>IF(N1103&lt;&gt;"",INDEX($L$2:$L$1705,MATCH(N1103,$M$2:$M$1705,0)),"")</f>
        <v/>
      </c>
      <c r="P1103" s="1" t="str">
        <f>IF(O1103&lt;&gt;"",ROWS($O$2:O1103),"")</f>
        <v/>
      </c>
    </row>
    <row r="1104" spans="10:16" x14ac:dyDescent="0.2">
      <c r="J1104" s="1">
        <f>COUNTIF($L$2:L1104,L1104)</f>
        <v>91</v>
      </c>
      <c r="K1104" s="1">
        <f>A252</f>
        <v>1974</v>
      </c>
      <c r="L1104" s="1" t="str">
        <f>E252</f>
        <v>Brazil</v>
      </c>
      <c r="M1104" s="1" t="str">
        <f>IF(J1104=1,J1104+ROWS($J$2:J1104)/10000,"")</f>
        <v/>
      </c>
      <c r="N1104" s="1" t="str">
        <f>IFERROR(SMALL($M$2:$M$1705,ROWS($M$2:M1104)),"")</f>
        <v/>
      </c>
      <c r="O1104" s="1" t="str">
        <f>IF(N1104&lt;&gt;"",INDEX($L$2:$L$1705,MATCH(N1104,$M$2:$M$1705,0)),"")</f>
        <v/>
      </c>
      <c r="P1104" s="1" t="str">
        <f>IF(O1104&lt;&gt;"",ROWS($O$2:O1104),"")</f>
        <v/>
      </c>
    </row>
    <row r="1105" spans="10:16" x14ac:dyDescent="0.2">
      <c r="J1105" s="1">
        <f>COUNTIF($L$2:L1105,L1105)</f>
        <v>52</v>
      </c>
      <c r="K1105" s="1">
        <f>A253</f>
        <v>1974</v>
      </c>
      <c r="L1105" s="1" t="str">
        <f>E253</f>
        <v>Germany FR</v>
      </c>
      <c r="M1105" s="1" t="str">
        <f>IF(J1105=1,J1105+ROWS($J$2:J1105)/10000,"")</f>
        <v/>
      </c>
      <c r="N1105" s="1" t="str">
        <f>IFERROR(SMALL($M$2:$M$1705,ROWS($M$2:M1105)),"")</f>
        <v/>
      </c>
      <c r="O1105" s="1" t="str">
        <f>IF(N1105&lt;&gt;"",INDEX($L$2:$L$1705,MATCH(N1105,$M$2:$M$1705,0)),"")</f>
        <v/>
      </c>
      <c r="P1105" s="1" t="str">
        <f>IF(O1105&lt;&gt;"",ROWS($O$2:O1105),"")</f>
        <v/>
      </c>
    </row>
    <row r="1106" spans="10:16" x14ac:dyDescent="0.2">
      <c r="J1106" s="1">
        <f>COUNTIF($L$2:L1106,L1106)</f>
        <v>36</v>
      </c>
      <c r="K1106" s="1">
        <f>A254</f>
        <v>1974</v>
      </c>
      <c r="L1106" s="1" t="str">
        <f>E254</f>
        <v>Netherlands</v>
      </c>
      <c r="M1106" s="1" t="str">
        <f>IF(J1106=1,J1106+ROWS($J$2:J1106)/10000,"")</f>
        <v/>
      </c>
      <c r="N1106" s="1" t="str">
        <f>IFERROR(SMALL($M$2:$M$1705,ROWS($M$2:M1106)),"")</f>
        <v/>
      </c>
      <c r="O1106" s="1" t="str">
        <f>IF(N1106&lt;&gt;"",INDEX($L$2:$L$1705,MATCH(N1106,$M$2:$M$1705,0)),"")</f>
        <v/>
      </c>
      <c r="P1106" s="1" t="str">
        <f>IF(O1106&lt;&gt;"",ROWS($O$2:O1106),"")</f>
        <v/>
      </c>
    </row>
    <row r="1107" spans="10:16" x14ac:dyDescent="0.2">
      <c r="J1107" s="1">
        <f>COUNTIF($L$2:L1107,L1107)</f>
        <v>3</v>
      </c>
      <c r="K1107" s="1">
        <f>A255</f>
        <v>1974</v>
      </c>
      <c r="L1107" s="1" t="str">
        <f>E255</f>
        <v>Haiti</v>
      </c>
      <c r="M1107" s="1" t="str">
        <f>IF(J1107=1,J1107+ROWS($J$2:J1107)/10000,"")</f>
        <v/>
      </c>
      <c r="N1107" s="1" t="str">
        <f>IFERROR(SMALL($M$2:$M$1705,ROWS($M$2:M1107)),"")</f>
        <v/>
      </c>
      <c r="O1107" s="1" t="str">
        <f>IF(N1107&lt;&gt;"",INDEX($L$2:$L$1705,MATCH(N1107,$M$2:$M$1705,0)),"")</f>
        <v/>
      </c>
      <c r="P1107" s="1" t="str">
        <f>IF(O1107&lt;&gt;"",ROWS($O$2:O1107),"")</f>
        <v/>
      </c>
    </row>
    <row r="1108" spans="10:16" x14ac:dyDescent="0.2">
      <c r="J1108" s="1">
        <f>COUNTIF($L$2:L1108,L1108)</f>
        <v>39</v>
      </c>
      <c r="K1108" s="1">
        <f>A256</f>
        <v>1974</v>
      </c>
      <c r="L1108" s="1" t="str">
        <f>E256</f>
        <v>Uruguay</v>
      </c>
      <c r="M1108" s="1" t="str">
        <f>IF(J1108=1,J1108+ROWS($J$2:J1108)/10000,"")</f>
        <v/>
      </c>
      <c r="N1108" s="1" t="str">
        <f>IFERROR(SMALL($M$2:$M$1705,ROWS($M$2:M1108)),"")</f>
        <v/>
      </c>
      <c r="O1108" s="1" t="str">
        <f>IF(N1108&lt;&gt;"",INDEX($L$2:$L$1705,MATCH(N1108,$M$2:$M$1705,0)),"")</f>
        <v/>
      </c>
      <c r="P1108" s="1" t="str">
        <f>IF(O1108&lt;&gt;"",ROWS($O$2:O1108),"")</f>
        <v/>
      </c>
    </row>
    <row r="1109" spans="10:16" x14ac:dyDescent="0.2">
      <c r="J1109" s="1">
        <f>COUNTIF($L$2:L1109,L1109)</f>
        <v>68</v>
      </c>
      <c r="K1109" s="1">
        <f>A257</f>
        <v>1974</v>
      </c>
      <c r="L1109" s="1" t="str">
        <f>E257</f>
        <v>Italy</v>
      </c>
      <c r="M1109" s="1" t="str">
        <f>IF(J1109=1,J1109+ROWS($J$2:J1109)/10000,"")</f>
        <v/>
      </c>
      <c r="N1109" s="1" t="str">
        <f>IFERROR(SMALL($M$2:$M$1705,ROWS($M$2:M1109)),"")</f>
        <v/>
      </c>
      <c r="O1109" s="1" t="str">
        <f>IF(N1109&lt;&gt;"",INDEX($L$2:$L$1705,MATCH(N1109,$M$2:$M$1705,0)),"")</f>
        <v/>
      </c>
      <c r="P1109" s="1" t="str">
        <f>IF(O1109&lt;&gt;"",ROWS($O$2:O1109),"")</f>
        <v/>
      </c>
    </row>
    <row r="1110" spans="10:16" x14ac:dyDescent="0.2">
      <c r="J1110" s="1">
        <f>COUNTIF($L$2:L1110,L1110)</f>
        <v>53</v>
      </c>
      <c r="K1110" s="1">
        <f>A258</f>
        <v>1974</v>
      </c>
      <c r="L1110" s="1" t="str">
        <f>E258</f>
        <v>Germany FR</v>
      </c>
      <c r="M1110" s="1" t="str">
        <f>IF(J1110=1,J1110+ROWS($J$2:J1110)/10000,"")</f>
        <v/>
      </c>
      <c r="N1110" s="1" t="str">
        <f>IFERROR(SMALL($M$2:$M$1705,ROWS($M$2:M1110)),"")</f>
        <v/>
      </c>
      <c r="O1110" s="1" t="str">
        <f>IF(N1110&lt;&gt;"",INDEX($L$2:$L$1705,MATCH(N1110,$M$2:$M$1705,0)),"")</f>
        <v/>
      </c>
      <c r="P1110" s="1" t="str">
        <f>IF(O1110&lt;&gt;"",ROWS($O$2:O1110),"")</f>
        <v/>
      </c>
    </row>
    <row r="1111" spans="10:16" x14ac:dyDescent="0.2">
      <c r="J1111" s="1">
        <f>COUNTIF($L$2:L1111,L1111)</f>
        <v>5</v>
      </c>
      <c r="K1111" s="1">
        <f>A259</f>
        <v>1974</v>
      </c>
      <c r="L1111" s="1" t="str">
        <f>E259</f>
        <v>German DR</v>
      </c>
      <c r="M1111" s="1" t="str">
        <f>IF(J1111=1,J1111+ROWS($J$2:J1111)/10000,"")</f>
        <v/>
      </c>
      <c r="N1111" s="1" t="str">
        <f>IFERROR(SMALL($M$2:$M$1705,ROWS($M$2:M1111)),"")</f>
        <v/>
      </c>
      <c r="O1111" s="1" t="str">
        <f>IF(N1111&lt;&gt;"",INDEX($L$2:$L$1705,MATCH(N1111,$M$2:$M$1705,0)),"")</f>
        <v/>
      </c>
      <c r="P1111" s="1" t="str">
        <f>IF(O1111&lt;&gt;"",ROWS($O$2:O1111),"")</f>
        <v/>
      </c>
    </row>
    <row r="1112" spans="10:16" x14ac:dyDescent="0.2">
      <c r="J1112" s="1">
        <f>COUNTIF($L$2:L1112,L1112)</f>
        <v>63</v>
      </c>
      <c r="K1112" s="1">
        <f>A260</f>
        <v>1974</v>
      </c>
      <c r="L1112" s="1" t="str">
        <f>E260</f>
        <v>Argentina</v>
      </c>
      <c r="M1112" s="1" t="str">
        <f>IF(J1112=1,J1112+ROWS($J$2:J1112)/10000,"")</f>
        <v/>
      </c>
      <c r="N1112" s="1" t="str">
        <f>IFERROR(SMALL($M$2:$M$1705,ROWS($M$2:M1112)),"")</f>
        <v/>
      </c>
      <c r="O1112" s="1" t="str">
        <f>IF(N1112&lt;&gt;"",INDEX($L$2:$L$1705,MATCH(N1112,$M$2:$M$1705,0)),"")</f>
        <v/>
      </c>
      <c r="P1112" s="1" t="str">
        <f>IF(O1112&lt;&gt;"",ROWS($O$2:O1112),"")</f>
        <v/>
      </c>
    </row>
    <row r="1113" spans="10:16" x14ac:dyDescent="0.2">
      <c r="J1113" s="1">
        <f>COUNTIF($L$2:L1113,L1113)</f>
        <v>19</v>
      </c>
      <c r="K1113" s="1">
        <f>A261</f>
        <v>1974</v>
      </c>
      <c r="L1113" s="1" t="str">
        <f>E261</f>
        <v>Poland</v>
      </c>
      <c r="M1113" s="1" t="str">
        <f>IF(J1113=1,J1113+ROWS($J$2:J1113)/10000,"")</f>
        <v/>
      </c>
      <c r="N1113" s="1" t="str">
        <f>IFERROR(SMALL($M$2:$M$1705,ROWS($M$2:M1113)),"")</f>
        <v/>
      </c>
      <c r="O1113" s="1" t="str">
        <f>IF(N1113&lt;&gt;"",INDEX($L$2:$L$1705,MATCH(N1113,$M$2:$M$1705,0)),"")</f>
        <v/>
      </c>
      <c r="P1113" s="1" t="str">
        <f>IF(O1113&lt;&gt;"",ROWS($O$2:O1113),"")</f>
        <v/>
      </c>
    </row>
    <row r="1114" spans="10:16" x14ac:dyDescent="0.2">
      <c r="J1114" s="1">
        <f>COUNTIF($L$2:L1114,L1114)</f>
        <v>92</v>
      </c>
      <c r="K1114" s="1">
        <f>A262</f>
        <v>1974</v>
      </c>
      <c r="L1114" s="1" t="str">
        <f>E262</f>
        <v>Brazil</v>
      </c>
      <c r="M1114" s="1" t="str">
        <f>IF(J1114=1,J1114+ROWS($J$2:J1114)/10000,"")</f>
        <v/>
      </c>
      <c r="N1114" s="1" t="str">
        <f>IFERROR(SMALL($M$2:$M$1705,ROWS($M$2:M1114)),"")</f>
        <v/>
      </c>
      <c r="O1114" s="1" t="str">
        <f>IF(N1114&lt;&gt;"",INDEX($L$2:$L$1705,MATCH(N1114,$M$2:$M$1705,0)),"")</f>
        <v/>
      </c>
      <c r="P1114" s="1" t="str">
        <f>IF(O1114&lt;&gt;"",ROWS($O$2:O1114),"")</f>
        <v/>
      </c>
    </row>
    <row r="1115" spans="10:16" x14ac:dyDescent="0.2">
      <c r="J1115" s="1">
        <f>COUNTIF($L$2:L1115,L1115)</f>
        <v>29</v>
      </c>
      <c r="K1115" s="1">
        <f>A263</f>
        <v>1974</v>
      </c>
      <c r="L1115" s="1" t="str">
        <f>E263</f>
        <v>Yugoslavia</v>
      </c>
      <c r="M1115" s="1" t="str">
        <f>IF(J1115=1,J1115+ROWS($J$2:J1115)/10000,"")</f>
        <v/>
      </c>
      <c r="N1115" s="1" t="str">
        <f>IFERROR(SMALL($M$2:$M$1705,ROWS($M$2:M1115)),"")</f>
        <v/>
      </c>
      <c r="O1115" s="1" t="str">
        <f>IF(N1115&lt;&gt;"",INDEX($L$2:$L$1705,MATCH(N1115,$M$2:$M$1705,0)),"")</f>
        <v/>
      </c>
      <c r="P1115" s="1" t="str">
        <f>IF(O1115&lt;&gt;"",ROWS($O$2:O1115),"")</f>
        <v/>
      </c>
    </row>
    <row r="1116" spans="10:16" x14ac:dyDescent="0.2">
      <c r="J1116" s="1">
        <f>COUNTIF($L$2:L1116,L1116)</f>
        <v>37</v>
      </c>
      <c r="K1116" s="1">
        <f>A264</f>
        <v>1974</v>
      </c>
      <c r="L1116" s="1" t="str">
        <f>E264</f>
        <v>Netherlands</v>
      </c>
      <c r="M1116" s="1" t="str">
        <f>IF(J1116=1,J1116+ROWS($J$2:J1116)/10000,"")</f>
        <v/>
      </c>
      <c r="N1116" s="1" t="str">
        <f>IFERROR(SMALL($M$2:$M$1705,ROWS($M$2:M1116)),"")</f>
        <v/>
      </c>
      <c r="O1116" s="1" t="str">
        <f>IF(N1116&lt;&gt;"",INDEX($L$2:$L$1705,MATCH(N1116,$M$2:$M$1705,0)),"")</f>
        <v/>
      </c>
      <c r="P1116" s="1" t="str">
        <f>IF(O1116&lt;&gt;"",ROWS($O$2:O1116),"")</f>
        <v/>
      </c>
    </row>
    <row r="1117" spans="10:16" x14ac:dyDescent="0.2">
      <c r="J1117" s="1">
        <f>COUNTIF($L$2:L1117,L1117)</f>
        <v>36</v>
      </c>
      <c r="K1117" s="1">
        <f>A265</f>
        <v>1974</v>
      </c>
      <c r="L1117" s="1" t="str">
        <f>E265</f>
        <v>Sweden</v>
      </c>
      <c r="M1117" s="1" t="str">
        <f>IF(J1117=1,J1117+ROWS($J$2:J1117)/10000,"")</f>
        <v/>
      </c>
      <c r="N1117" s="1" t="str">
        <f>IFERROR(SMALL($M$2:$M$1705,ROWS($M$2:M1117)),"")</f>
        <v/>
      </c>
      <c r="O1117" s="1" t="str">
        <f>IF(N1117&lt;&gt;"",INDEX($L$2:$L$1705,MATCH(N1117,$M$2:$M$1705,0)),"")</f>
        <v/>
      </c>
      <c r="P1117" s="1" t="str">
        <f>IF(O1117&lt;&gt;"",ROWS($O$2:O1117),"")</f>
        <v/>
      </c>
    </row>
    <row r="1118" spans="10:16" x14ac:dyDescent="0.2">
      <c r="J1118" s="1">
        <f>COUNTIF($L$2:L1118,L1118)</f>
        <v>54</v>
      </c>
      <c r="K1118" s="1">
        <f>A266</f>
        <v>1974</v>
      </c>
      <c r="L1118" s="1" t="str">
        <f>E266</f>
        <v>Germany FR</v>
      </c>
      <c r="M1118" s="1" t="str">
        <f>IF(J1118=1,J1118+ROWS($J$2:J1118)/10000,"")</f>
        <v/>
      </c>
      <c r="N1118" s="1" t="str">
        <f>IFERROR(SMALL($M$2:$M$1705,ROWS($M$2:M1118)),"")</f>
        <v/>
      </c>
      <c r="O1118" s="1" t="str">
        <f>IF(N1118&lt;&gt;"",INDEX($L$2:$L$1705,MATCH(N1118,$M$2:$M$1705,0)),"")</f>
        <v/>
      </c>
      <c r="P1118" s="1" t="str">
        <f>IF(O1118&lt;&gt;"",ROWS($O$2:O1118),"")</f>
        <v/>
      </c>
    </row>
    <row r="1119" spans="10:16" x14ac:dyDescent="0.2">
      <c r="J1119" s="1">
        <f>COUNTIF($L$2:L1119,L1119)</f>
        <v>93</v>
      </c>
      <c r="K1119" s="1">
        <f>A267</f>
        <v>1974</v>
      </c>
      <c r="L1119" s="1" t="str">
        <f>E267</f>
        <v>Brazil</v>
      </c>
      <c r="M1119" s="1" t="str">
        <f>IF(J1119=1,J1119+ROWS($J$2:J1119)/10000,"")</f>
        <v/>
      </c>
      <c r="N1119" s="1" t="str">
        <f>IFERROR(SMALL($M$2:$M$1705,ROWS($M$2:M1119)),"")</f>
        <v/>
      </c>
      <c r="O1119" s="1" t="str">
        <f>IF(N1119&lt;&gt;"",INDEX($L$2:$L$1705,MATCH(N1119,$M$2:$M$1705,0)),"")</f>
        <v/>
      </c>
      <c r="P1119" s="1" t="str">
        <f>IF(O1119&lt;&gt;"",ROWS($O$2:O1119),"")</f>
        <v/>
      </c>
    </row>
    <row r="1120" spans="10:16" x14ac:dyDescent="0.2">
      <c r="J1120" s="1">
        <f>COUNTIF($L$2:L1120,L1120)</f>
        <v>6</v>
      </c>
      <c r="K1120" s="1">
        <f>A268</f>
        <v>1974</v>
      </c>
      <c r="L1120" s="1" t="str">
        <f>E268</f>
        <v>German DR</v>
      </c>
      <c r="M1120" s="1" t="str">
        <f>IF(J1120=1,J1120+ROWS($J$2:J1120)/10000,"")</f>
        <v/>
      </c>
      <c r="N1120" s="1" t="str">
        <f>IFERROR(SMALL($M$2:$M$1705,ROWS($M$2:M1120)),"")</f>
        <v/>
      </c>
      <c r="O1120" s="1" t="str">
        <f>IF(N1120&lt;&gt;"",INDEX($L$2:$L$1705,MATCH(N1120,$M$2:$M$1705,0)),"")</f>
        <v/>
      </c>
      <c r="P1120" s="1" t="str">
        <f>IF(O1120&lt;&gt;"",ROWS($O$2:O1120),"")</f>
        <v/>
      </c>
    </row>
    <row r="1121" spans="10:16" x14ac:dyDescent="0.2">
      <c r="J1121" s="1">
        <f>COUNTIF($L$2:L1121,L1121)</f>
        <v>30</v>
      </c>
      <c r="K1121" s="1">
        <f>A269</f>
        <v>1974</v>
      </c>
      <c r="L1121" s="1" t="str">
        <f>E269</f>
        <v>Yugoslavia</v>
      </c>
      <c r="M1121" s="1" t="str">
        <f>IF(J1121=1,J1121+ROWS($J$2:J1121)/10000,"")</f>
        <v/>
      </c>
      <c r="N1121" s="1" t="str">
        <f>IFERROR(SMALL($M$2:$M$1705,ROWS($M$2:M1121)),"")</f>
        <v/>
      </c>
      <c r="O1121" s="1" t="str">
        <f>IF(N1121&lt;&gt;"",INDEX($L$2:$L$1705,MATCH(N1121,$M$2:$M$1705,0)),"")</f>
        <v/>
      </c>
      <c r="P1121" s="1" t="str">
        <f>IF(O1121&lt;&gt;"",ROWS($O$2:O1121),"")</f>
        <v/>
      </c>
    </row>
    <row r="1122" spans="10:16" x14ac:dyDescent="0.2">
      <c r="J1122" s="1">
        <f>COUNTIF($L$2:L1122,L1122)</f>
        <v>20</v>
      </c>
      <c r="K1122" s="1">
        <f>A270</f>
        <v>1974</v>
      </c>
      <c r="L1122" s="1" t="str">
        <f>E270</f>
        <v>Poland</v>
      </c>
      <c r="M1122" s="1" t="str">
        <f>IF(J1122=1,J1122+ROWS($J$2:J1122)/10000,"")</f>
        <v/>
      </c>
      <c r="N1122" s="1" t="str">
        <f>IFERROR(SMALL($M$2:$M$1705,ROWS($M$2:M1122)),"")</f>
        <v/>
      </c>
      <c r="O1122" s="1" t="str">
        <f>IF(N1122&lt;&gt;"",INDEX($L$2:$L$1705,MATCH(N1122,$M$2:$M$1705,0)),"")</f>
        <v/>
      </c>
      <c r="P1122" s="1" t="str">
        <f>IF(O1122&lt;&gt;"",ROWS($O$2:O1122),"")</f>
        <v/>
      </c>
    </row>
    <row r="1123" spans="10:16" x14ac:dyDescent="0.2">
      <c r="J1123" s="1">
        <f>COUNTIF($L$2:L1123,L1123)</f>
        <v>55</v>
      </c>
      <c r="K1123" s="1">
        <f>A271</f>
        <v>1974</v>
      </c>
      <c r="L1123" s="1" t="str">
        <f>E271</f>
        <v>Germany FR</v>
      </c>
      <c r="M1123" s="1" t="str">
        <f>IF(J1123=1,J1123+ROWS($J$2:J1123)/10000,"")</f>
        <v/>
      </c>
      <c r="N1123" s="1" t="str">
        <f>IFERROR(SMALL($M$2:$M$1705,ROWS($M$2:M1123)),"")</f>
        <v/>
      </c>
      <c r="O1123" s="1" t="str">
        <f>IF(N1123&lt;&gt;"",INDEX($L$2:$L$1705,MATCH(N1123,$M$2:$M$1705,0)),"")</f>
        <v/>
      </c>
      <c r="P1123" s="1" t="str">
        <f>IF(O1123&lt;&gt;"",ROWS($O$2:O1123),"")</f>
        <v/>
      </c>
    </row>
    <row r="1124" spans="10:16" x14ac:dyDescent="0.2">
      <c r="J1124" s="1">
        <f>COUNTIF($L$2:L1124,L1124)</f>
        <v>21</v>
      </c>
      <c r="K1124" s="1">
        <f>A272</f>
        <v>1978</v>
      </c>
      <c r="L1124" s="1" t="str">
        <f>E272</f>
        <v>Poland</v>
      </c>
      <c r="M1124" s="1" t="str">
        <f>IF(J1124=1,J1124+ROWS($J$2:J1124)/10000,"")</f>
        <v/>
      </c>
      <c r="N1124" s="1" t="str">
        <f>IFERROR(SMALL($M$2:$M$1705,ROWS($M$2:M1124)),"")</f>
        <v/>
      </c>
      <c r="O1124" s="1" t="str">
        <f>IF(N1124&lt;&gt;"",INDEX($L$2:$L$1705,MATCH(N1124,$M$2:$M$1705,0)),"")</f>
        <v/>
      </c>
      <c r="P1124" s="1" t="str">
        <f>IF(O1124&lt;&gt;"",ROWS($O$2:O1124),"")</f>
        <v/>
      </c>
    </row>
    <row r="1125" spans="10:16" x14ac:dyDescent="0.2">
      <c r="J1125" s="1">
        <f>COUNTIF($L$2:L1125,L1125)</f>
        <v>41</v>
      </c>
      <c r="K1125" s="1">
        <f>A273</f>
        <v>1978</v>
      </c>
      <c r="L1125" s="1" t="str">
        <f>E273</f>
        <v>France</v>
      </c>
      <c r="M1125" s="1" t="str">
        <f>IF(J1125=1,J1125+ROWS($J$2:J1125)/10000,"")</f>
        <v/>
      </c>
      <c r="N1125" s="1" t="str">
        <f>IFERROR(SMALL($M$2:$M$1705,ROWS($M$2:M1125)),"")</f>
        <v/>
      </c>
      <c r="O1125" s="1" t="str">
        <f>IF(N1125&lt;&gt;"",INDEX($L$2:$L$1705,MATCH(N1125,$M$2:$M$1705,0)),"")</f>
        <v/>
      </c>
      <c r="P1125" s="1" t="str">
        <f>IF(O1125&lt;&gt;"",ROWS($O$2:O1125),"")</f>
        <v/>
      </c>
    </row>
    <row r="1126" spans="10:16" x14ac:dyDescent="0.2">
      <c r="J1126" s="1">
        <f>COUNTIF($L$2:L1126,L1126)</f>
        <v>33</v>
      </c>
      <c r="K1126" s="1">
        <f>A274</f>
        <v>1978</v>
      </c>
      <c r="L1126" s="1" t="str">
        <f>E274</f>
        <v>Mexico</v>
      </c>
      <c r="M1126" s="1" t="str">
        <f>IF(J1126=1,J1126+ROWS($J$2:J1126)/10000,"")</f>
        <v/>
      </c>
      <c r="N1126" s="1" t="str">
        <f>IFERROR(SMALL($M$2:$M$1705,ROWS($M$2:M1126)),"")</f>
        <v/>
      </c>
      <c r="O1126" s="1" t="str">
        <f>IF(N1126&lt;&gt;"",INDEX($L$2:$L$1705,MATCH(N1126,$M$2:$M$1705,0)),"")</f>
        <v/>
      </c>
      <c r="P1126" s="1" t="str">
        <f>IF(O1126&lt;&gt;"",ROWS($O$2:O1126),"")</f>
        <v/>
      </c>
    </row>
    <row r="1127" spans="10:16" x14ac:dyDescent="0.2">
      <c r="J1127" s="1">
        <f>COUNTIF($L$2:L1127,L1127)</f>
        <v>27</v>
      </c>
      <c r="K1127" s="1">
        <f>A275</f>
        <v>1978</v>
      </c>
      <c r="L1127" s="1" t="str">
        <f>E275</f>
        <v>Hungary</v>
      </c>
      <c r="M1127" s="1" t="str">
        <f>IF(J1127=1,J1127+ROWS($J$2:J1127)/10000,"")</f>
        <v/>
      </c>
      <c r="N1127" s="1" t="str">
        <f>IFERROR(SMALL($M$2:$M$1705,ROWS($M$2:M1127)),"")</f>
        <v/>
      </c>
      <c r="O1127" s="1" t="str">
        <f>IF(N1127&lt;&gt;"",INDEX($L$2:$L$1705,MATCH(N1127,$M$2:$M$1705,0)),"")</f>
        <v/>
      </c>
      <c r="P1127" s="1" t="str">
        <f>IF(O1127&lt;&gt;"",ROWS($O$2:O1127),"")</f>
        <v/>
      </c>
    </row>
    <row r="1128" spans="10:16" x14ac:dyDescent="0.2">
      <c r="J1128" s="1">
        <f>COUNTIF($L$2:L1128,L1128)</f>
        <v>94</v>
      </c>
      <c r="K1128" s="1">
        <f>A276</f>
        <v>1978</v>
      </c>
      <c r="L1128" s="1" t="str">
        <f>E276</f>
        <v>Brazil</v>
      </c>
      <c r="M1128" s="1" t="str">
        <f>IF(J1128=1,J1128+ROWS($J$2:J1128)/10000,"")</f>
        <v/>
      </c>
      <c r="N1128" s="1" t="str">
        <f>IFERROR(SMALL($M$2:$M$1705,ROWS($M$2:M1128)),"")</f>
        <v/>
      </c>
      <c r="O1128" s="1" t="str">
        <f>IF(N1128&lt;&gt;"",INDEX($L$2:$L$1705,MATCH(N1128,$M$2:$M$1705,0)),"")</f>
        <v/>
      </c>
      <c r="P1128" s="1" t="str">
        <f>IF(O1128&lt;&gt;"",ROWS($O$2:O1128),"")</f>
        <v/>
      </c>
    </row>
    <row r="1129" spans="10:16" x14ac:dyDescent="0.2">
      <c r="J1129" s="1">
        <f>COUNTIF($L$2:L1129,L1129)</f>
        <v>40</v>
      </c>
      <c r="K1129" s="1">
        <f>A277</f>
        <v>1978</v>
      </c>
      <c r="L1129" s="1" t="str">
        <f>E277</f>
        <v>Spain</v>
      </c>
      <c r="M1129" s="1" t="str">
        <f>IF(J1129=1,J1129+ROWS($J$2:J1129)/10000,"")</f>
        <v/>
      </c>
      <c r="N1129" s="1" t="str">
        <f>IFERROR(SMALL($M$2:$M$1705,ROWS($M$2:M1129)),"")</f>
        <v/>
      </c>
      <c r="O1129" s="1" t="str">
        <f>IF(N1129&lt;&gt;"",INDEX($L$2:$L$1705,MATCH(N1129,$M$2:$M$1705,0)),"")</f>
        <v/>
      </c>
      <c r="P1129" s="1" t="str">
        <f>IF(O1129&lt;&gt;"",ROWS($O$2:O1129),"")</f>
        <v/>
      </c>
    </row>
    <row r="1130" spans="10:16" x14ac:dyDescent="0.2">
      <c r="J1130" s="1">
        <f>COUNTIF($L$2:L1130,L1130)</f>
        <v>16</v>
      </c>
      <c r="K1130" s="1">
        <f>A278</f>
        <v>1978</v>
      </c>
      <c r="L1130" s="1" t="str">
        <f>E278</f>
        <v>Scotland</v>
      </c>
      <c r="M1130" s="1" t="str">
        <f>IF(J1130=1,J1130+ROWS($J$2:J1130)/10000,"")</f>
        <v/>
      </c>
      <c r="N1130" s="1" t="str">
        <f>IFERROR(SMALL($M$2:$M$1705,ROWS($M$2:M1130)),"")</f>
        <v/>
      </c>
      <c r="O1130" s="1" t="str">
        <f>IF(N1130&lt;&gt;"",INDEX($L$2:$L$1705,MATCH(N1130,$M$2:$M$1705,0)),"")</f>
        <v/>
      </c>
      <c r="P1130" s="1" t="str">
        <f>IF(O1130&lt;&gt;"",ROWS($O$2:O1130),"")</f>
        <v/>
      </c>
    </row>
    <row r="1131" spans="10:16" x14ac:dyDescent="0.2">
      <c r="J1131" s="1">
        <f>COUNTIF($L$2:L1131,L1131)</f>
        <v>2</v>
      </c>
      <c r="K1131" s="1">
        <f>A279</f>
        <v>1978</v>
      </c>
      <c r="L1131" s="1" t="str">
        <f>E279</f>
        <v>IR Iran</v>
      </c>
      <c r="M1131" s="1" t="str">
        <f>IF(J1131=1,J1131+ROWS($J$2:J1131)/10000,"")</f>
        <v/>
      </c>
      <c r="N1131" s="1" t="str">
        <f>IFERROR(SMALL($M$2:$M$1705,ROWS($M$2:M1131)),"")</f>
        <v/>
      </c>
      <c r="O1131" s="1" t="str">
        <f>IF(N1131&lt;&gt;"",INDEX($L$2:$L$1705,MATCH(N1131,$M$2:$M$1705,0)),"")</f>
        <v/>
      </c>
      <c r="P1131" s="1" t="str">
        <f>IF(O1131&lt;&gt;"",ROWS($O$2:O1131),"")</f>
        <v/>
      </c>
    </row>
    <row r="1132" spans="10:16" x14ac:dyDescent="0.2">
      <c r="J1132" s="1">
        <f>COUNTIF($L$2:L1132,L1132)</f>
        <v>28</v>
      </c>
      <c r="K1132" s="1">
        <f>A280</f>
        <v>1978</v>
      </c>
      <c r="L1132" s="1" t="str">
        <f>E280</f>
        <v>Hungary</v>
      </c>
      <c r="M1132" s="1" t="str">
        <f>IF(J1132=1,J1132+ROWS($J$2:J1132)/10000,"")</f>
        <v/>
      </c>
      <c r="N1132" s="1" t="str">
        <f>IFERROR(SMALL($M$2:$M$1705,ROWS($M$2:M1132)),"")</f>
        <v/>
      </c>
      <c r="O1132" s="1" t="str">
        <f>IF(N1132&lt;&gt;"",INDEX($L$2:$L$1705,MATCH(N1132,$M$2:$M$1705,0)),"")</f>
        <v/>
      </c>
      <c r="P1132" s="1" t="str">
        <f>IF(O1132&lt;&gt;"",ROWS($O$2:O1132),"")</f>
        <v/>
      </c>
    </row>
    <row r="1133" spans="10:16" x14ac:dyDescent="0.2">
      <c r="J1133" s="1">
        <f>COUNTIF($L$2:L1133,L1133)</f>
        <v>5</v>
      </c>
      <c r="K1133" s="1">
        <f>A281</f>
        <v>1978</v>
      </c>
      <c r="L1133" s="1" t="str">
        <f>E281</f>
        <v>Tunisia</v>
      </c>
      <c r="M1133" s="1" t="str">
        <f>IF(J1133=1,J1133+ROWS($J$2:J1133)/10000,"")</f>
        <v/>
      </c>
      <c r="N1133" s="1" t="str">
        <f>IFERROR(SMALL($M$2:$M$1705,ROWS($M$2:M1133)),"")</f>
        <v/>
      </c>
      <c r="O1133" s="1" t="str">
        <f>IF(N1133&lt;&gt;"",INDEX($L$2:$L$1705,MATCH(N1133,$M$2:$M$1705,0)),"")</f>
        <v/>
      </c>
      <c r="P1133" s="1" t="str">
        <f>IF(O1133&lt;&gt;"",ROWS($O$2:O1133),"")</f>
        <v/>
      </c>
    </row>
    <row r="1134" spans="10:16" x14ac:dyDescent="0.2">
      <c r="J1134" s="1">
        <f>COUNTIF($L$2:L1134,L1134)</f>
        <v>34</v>
      </c>
      <c r="K1134" s="1">
        <f>A282</f>
        <v>1978</v>
      </c>
      <c r="L1134" s="1" t="str">
        <f>E282</f>
        <v>Mexico</v>
      </c>
      <c r="M1134" s="1" t="str">
        <f>IF(J1134=1,J1134+ROWS($J$2:J1134)/10000,"")</f>
        <v/>
      </c>
      <c r="N1134" s="1" t="str">
        <f>IFERROR(SMALL($M$2:$M$1705,ROWS($M$2:M1134)),"")</f>
        <v/>
      </c>
      <c r="O1134" s="1" t="str">
        <f>IF(N1134&lt;&gt;"",INDEX($L$2:$L$1705,MATCH(N1134,$M$2:$M$1705,0)),"")</f>
        <v/>
      </c>
      <c r="P1134" s="1" t="str">
        <f>IF(O1134&lt;&gt;"",ROWS($O$2:O1134),"")</f>
        <v/>
      </c>
    </row>
    <row r="1135" spans="10:16" x14ac:dyDescent="0.2">
      <c r="J1135" s="1">
        <f>COUNTIF($L$2:L1135,L1135)</f>
        <v>42</v>
      </c>
      <c r="K1135" s="1">
        <f>A283</f>
        <v>1978</v>
      </c>
      <c r="L1135" s="1" t="str">
        <f>E283</f>
        <v>France</v>
      </c>
      <c r="M1135" s="1" t="str">
        <f>IF(J1135=1,J1135+ROWS($J$2:J1135)/10000,"")</f>
        <v/>
      </c>
      <c r="N1135" s="1" t="str">
        <f>IFERROR(SMALL($M$2:$M$1705,ROWS($M$2:M1135)),"")</f>
        <v/>
      </c>
      <c r="O1135" s="1" t="str">
        <f>IF(N1135&lt;&gt;"",INDEX($L$2:$L$1705,MATCH(N1135,$M$2:$M$1705,0)),"")</f>
        <v/>
      </c>
      <c r="P1135" s="1" t="str">
        <f>IF(O1135&lt;&gt;"",ROWS($O$2:O1135),"")</f>
        <v/>
      </c>
    </row>
    <row r="1136" spans="10:16" x14ac:dyDescent="0.2">
      <c r="J1136" s="1">
        <f>COUNTIF($L$2:L1136,L1136)</f>
        <v>41</v>
      </c>
      <c r="K1136" s="1">
        <f>A284</f>
        <v>1978</v>
      </c>
      <c r="L1136" s="1" t="str">
        <f>E284</f>
        <v>Spain</v>
      </c>
      <c r="M1136" s="1" t="str">
        <f>IF(J1136=1,J1136+ROWS($J$2:J1136)/10000,"")</f>
        <v/>
      </c>
      <c r="N1136" s="1" t="str">
        <f>IFERROR(SMALL($M$2:$M$1705,ROWS($M$2:M1136)),"")</f>
        <v/>
      </c>
      <c r="O1136" s="1" t="str">
        <f>IF(N1136&lt;&gt;"",INDEX($L$2:$L$1705,MATCH(N1136,$M$2:$M$1705,0)),"")</f>
        <v/>
      </c>
      <c r="P1136" s="1" t="str">
        <f>IF(O1136&lt;&gt;"",ROWS($O$2:O1136),"")</f>
        <v/>
      </c>
    </row>
    <row r="1137" spans="10:16" x14ac:dyDescent="0.2">
      <c r="J1137" s="1">
        <f>COUNTIF($L$2:L1137,L1137)</f>
        <v>37</v>
      </c>
      <c r="K1137" s="1">
        <f>A285</f>
        <v>1978</v>
      </c>
      <c r="L1137" s="1" t="str">
        <f>E285</f>
        <v>Sweden</v>
      </c>
      <c r="M1137" s="1" t="str">
        <f>IF(J1137=1,J1137+ROWS($J$2:J1137)/10000,"")</f>
        <v/>
      </c>
      <c r="N1137" s="1" t="str">
        <f>IFERROR(SMALL($M$2:$M$1705,ROWS($M$2:M1137)),"")</f>
        <v/>
      </c>
      <c r="O1137" s="1" t="str">
        <f>IF(N1137&lt;&gt;"",INDEX($L$2:$L$1705,MATCH(N1137,$M$2:$M$1705,0)),"")</f>
        <v/>
      </c>
      <c r="P1137" s="1" t="str">
        <f>IF(O1137&lt;&gt;"",ROWS($O$2:O1137),"")</f>
        <v/>
      </c>
    </row>
    <row r="1138" spans="10:16" x14ac:dyDescent="0.2">
      <c r="J1138" s="1">
        <f>COUNTIF($L$2:L1138,L1138)</f>
        <v>3</v>
      </c>
      <c r="K1138" s="1">
        <f>A286</f>
        <v>1978</v>
      </c>
      <c r="L1138" s="1" t="str">
        <f>E286</f>
        <v>IR Iran</v>
      </c>
      <c r="M1138" s="1" t="str">
        <f>IF(J1138=1,J1138+ROWS($J$2:J1138)/10000,"")</f>
        <v/>
      </c>
      <c r="N1138" s="1" t="str">
        <f>IFERROR(SMALL($M$2:$M$1705,ROWS($M$2:M1138)),"")</f>
        <v/>
      </c>
      <c r="O1138" s="1" t="str">
        <f>IF(N1138&lt;&gt;"",INDEX($L$2:$L$1705,MATCH(N1138,$M$2:$M$1705,0)),"")</f>
        <v/>
      </c>
      <c r="P1138" s="1" t="str">
        <f>IF(O1138&lt;&gt;"",ROWS($O$2:O1138),"")</f>
        <v/>
      </c>
    </row>
    <row r="1139" spans="10:16" x14ac:dyDescent="0.2">
      <c r="J1139" s="1">
        <f>COUNTIF($L$2:L1139,L1139)</f>
        <v>10</v>
      </c>
      <c r="K1139" s="1">
        <f>A287</f>
        <v>1978</v>
      </c>
      <c r="L1139" s="1" t="str">
        <f>E287</f>
        <v>Peru</v>
      </c>
      <c r="M1139" s="1" t="str">
        <f>IF(J1139=1,J1139+ROWS($J$2:J1139)/10000,"")</f>
        <v/>
      </c>
      <c r="N1139" s="1" t="str">
        <f>IFERROR(SMALL($M$2:$M$1705,ROWS($M$2:M1139)),"")</f>
        <v/>
      </c>
      <c r="O1139" s="1" t="str">
        <f>IF(N1139&lt;&gt;"",INDEX($L$2:$L$1705,MATCH(N1139,$M$2:$M$1705,0)),"")</f>
        <v/>
      </c>
      <c r="P1139" s="1" t="str">
        <f>IF(O1139&lt;&gt;"",ROWS($O$2:O1139),"")</f>
        <v/>
      </c>
    </row>
    <row r="1140" spans="10:16" x14ac:dyDescent="0.2">
      <c r="J1140" s="1">
        <f>COUNTIF($L$2:L1140,L1140)</f>
        <v>29</v>
      </c>
      <c r="K1140" s="1">
        <f>A288</f>
        <v>1978</v>
      </c>
      <c r="L1140" s="1" t="str">
        <f>E288</f>
        <v>Hungary</v>
      </c>
      <c r="M1140" s="1" t="str">
        <f>IF(J1140=1,J1140+ROWS($J$2:J1140)/10000,"")</f>
        <v/>
      </c>
      <c r="N1140" s="1" t="str">
        <f>IFERROR(SMALL($M$2:$M$1705,ROWS($M$2:M1140)),"")</f>
        <v/>
      </c>
      <c r="O1140" s="1" t="str">
        <f>IF(N1140&lt;&gt;"",INDEX($L$2:$L$1705,MATCH(N1140,$M$2:$M$1705,0)),"")</f>
        <v/>
      </c>
      <c r="P1140" s="1" t="str">
        <f>IF(O1140&lt;&gt;"",ROWS($O$2:O1140),"")</f>
        <v/>
      </c>
    </row>
    <row r="1141" spans="10:16" x14ac:dyDescent="0.2">
      <c r="J1141" s="1">
        <f>COUNTIF($L$2:L1141,L1141)</f>
        <v>35</v>
      </c>
      <c r="K1141" s="1">
        <f>A289</f>
        <v>1978</v>
      </c>
      <c r="L1141" s="1" t="str">
        <f>E289</f>
        <v>Mexico</v>
      </c>
      <c r="M1141" s="1" t="str">
        <f>IF(J1141=1,J1141+ROWS($J$2:J1141)/10000,"")</f>
        <v/>
      </c>
      <c r="N1141" s="1" t="str">
        <f>IFERROR(SMALL($M$2:$M$1705,ROWS($M$2:M1141)),"")</f>
        <v/>
      </c>
      <c r="O1141" s="1" t="str">
        <f>IF(N1141&lt;&gt;"",INDEX($L$2:$L$1705,MATCH(N1141,$M$2:$M$1705,0)),"")</f>
        <v/>
      </c>
      <c r="P1141" s="1" t="str">
        <f>IF(O1141&lt;&gt;"",ROWS($O$2:O1141),"")</f>
        <v/>
      </c>
    </row>
    <row r="1142" spans="10:16" x14ac:dyDescent="0.2">
      <c r="J1142" s="1">
        <f>COUNTIF($L$2:L1142,L1142)</f>
        <v>6</v>
      </c>
      <c r="K1142" s="1">
        <f>A290</f>
        <v>1978</v>
      </c>
      <c r="L1142" s="1" t="str">
        <f>E290</f>
        <v>Tunisia</v>
      </c>
      <c r="M1142" s="1" t="str">
        <f>IF(J1142=1,J1142+ROWS($J$2:J1142)/10000,"")</f>
        <v/>
      </c>
      <c r="N1142" s="1" t="str">
        <f>IFERROR(SMALL($M$2:$M$1705,ROWS($M$2:M1142)),"")</f>
        <v/>
      </c>
      <c r="O1142" s="1" t="str">
        <f>IF(N1142&lt;&gt;"",INDEX($L$2:$L$1705,MATCH(N1142,$M$2:$M$1705,0)),"")</f>
        <v/>
      </c>
      <c r="P1142" s="1" t="str">
        <f>IF(O1142&lt;&gt;"",ROWS($O$2:O1142),"")</f>
        <v/>
      </c>
    </row>
    <row r="1143" spans="10:16" x14ac:dyDescent="0.2">
      <c r="J1143" s="1">
        <f>COUNTIF($L$2:L1143,L1143)</f>
        <v>64</v>
      </c>
      <c r="K1143" s="1">
        <f>A291</f>
        <v>1978</v>
      </c>
      <c r="L1143" s="1" t="str">
        <f>E291</f>
        <v>Argentina</v>
      </c>
      <c r="M1143" s="1" t="str">
        <f>IF(J1143=1,J1143+ROWS($J$2:J1143)/10000,"")</f>
        <v/>
      </c>
      <c r="N1143" s="1" t="str">
        <f>IFERROR(SMALL($M$2:$M$1705,ROWS($M$2:M1143)),"")</f>
        <v/>
      </c>
      <c r="O1143" s="1" t="str">
        <f>IF(N1143&lt;&gt;"",INDEX($L$2:$L$1705,MATCH(N1143,$M$2:$M$1705,0)),"")</f>
        <v/>
      </c>
      <c r="P1143" s="1" t="str">
        <f>IF(O1143&lt;&gt;"",ROWS($O$2:O1143),"")</f>
        <v/>
      </c>
    </row>
    <row r="1144" spans="10:16" x14ac:dyDescent="0.2">
      <c r="J1144" s="1">
        <f>COUNTIF($L$2:L1144,L1144)</f>
        <v>20</v>
      </c>
      <c r="K1144" s="1">
        <f>A292</f>
        <v>1978</v>
      </c>
      <c r="L1144" s="1" t="str">
        <f>E292</f>
        <v>Austria</v>
      </c>
      <c r="M1144" s="1" t="str">
        <f>IF(J1144=1,J1144+ROWS($J$2:J1144)/10000,"")</f>
        <v/>
      </c>
      <c r="N1144" s="1" t="str">
        <f>IFERROR(SMALL($M$2:$M$1705,ROWS($M$2:M1144)),"")</f>
        <v/>
      </c>
      <c r="O1144" s="1" t="str">
        <f>IF(N1144&lt;&gt;"",INDEX($L$2:$L$1705,MATCH(N1144,$M$2:$M$1705,0)),"")</f>
        <v/>
      </c>
      <c r="P1144" s="1" t="str">
        <f>IF(O1144&lt;&gt;"",ROWS($O$2:O1144),"")</f>
        <v/>
      </c>
    </row>
    <row r="1145" spans="10:16" x14ac:dyDescent="0.2">
      <c r="J1145" s="1">
        <f>COUNTIF($L$2:L1145,L1145)</f>
        <v>38</v>
      </c>
      <c r="K1145" s="1">
        <f>A293</f>
        <v>1978</v>
      </c>
      <c r="L1145" s="1" t="str">
        <f>E293</f>
        <v>Sweden</v>
      </c>
      <c r="M1145" s="1" t="str">
        <f>IF(J1145=1,J1145+ROWS($J$2:J1145)/10000,"")</f>
        <v/>
      </c>
      <c r="N1145" s="1" t="str">
        <f>IFERROR(SMALL($M$2:$M$1705,ROWS($M$2:M1145)),"")</f>
        <v/>
      </c>
      <c r="O1145" s="1" t="str">
        <f>IF(N1145&lt;&gt;"",INDEX($L$2:$L$1705,MATCH(N1145,$M$2:$M$1705,0)),"")</f>
        <v/>
      </c>
      <c r="P1145" s="1" t="str">
        <f>IF(O1145&lt;&gt;"",ROWS($O$2:O1145),"")</f>
        <v/>
      </c>
    </row>
    <row r="1146" spans="10:16" x14ac:dyDescent="0.2">
      <c r="J1146" s="1">
        <f>COUNTIF($L$2:L1146,L1146)</f>
        <v>2</v>
      </c>
      <c r="K1146" s="1">
        <f>A294</f>
        <v>1978</v>
      </c>
      <c r="L1146" s="1" t="str">
        <f>E294</f>
        <v>Iran</v>
      </c>
      <c r="M1146" s="1" t="str">
        <f>IF(J1146=1,J1146+ROWS($J$2:J1146)/10000,"")</f>
        <v/>
      </c>
      <c r="N1146" s="1" t="str">
        <f>IFERROR(SMALL($M$2:$M$1705,ROWS($M$2:M1146)),"")</f>
        <v/>
      </c>
      <c r="O1146" s="1" t="str">
        <f>IF(N1146&lt;&gt;"",INDEX($L$2:$L$1705,MATCH(N1146,$M$2:$M$1705,0)),"")</f>
        <v/>
      </c>
      <c r="P1146" s="1" t="str">
        <f>IF(O1146&lt;&gt;"",ROWS($O$2:O1146),"")</f>
        <v/>
      </c>
    </row>
    <row r="1147" spans="10:16" x14ac:dyDescent="0.2">
      <c r="J1147" s="1">
        <f>COUNTIF($L$2:L1147,L1147)</f>
        <v>38</v>
      </c>
      <c r="K1147" s="1">
        <f>A295</f>
        <v>1978</v>
      </c>
      <c r="L1147" s="1" t="str">
        <f>E295</f>
        <v>Netherlands</v>
      </c>
      <c r="M1147" s="1" t="str">
        <f>IF(J1147=1,J1147+ROWS($J$2:J1147)/10000,"")</f>
        <v/>
      </c>
      <c r="N1147" s="1" t="str">
        <f>IFERROR(SMALL($M$2:$M$1705,ROWS($M$2:M1147)),"")</f>
        <v/>
      </c>
      <c r="O1147" s="1" t="str">
        <f>IF(N1147&lt;&gt;"",INDEX($L$2:$L$1705,MATCH(N1147,$M$2:$M$1705,0)),"")</f>
        <v/>
      </c>
      <c r="P1147" s="1" t="str">
        <f>IF(O1147&lt;&gt;"",ROWS($O$2:O1147),"")</f>
        <v/>
      </c>
    </row>
    <row r="1148" spans="10:16" x14ac:dyDescent="0.2">
      <c r="J1148" s="1">
        <f>COUNTIF($L$2:L1148,L1148)</f>
        <v>69</v>
      </c>
      <c r="K1148" s="1">
        <f>A296</f>
        <v>1978</v>
      </c>
      <c r="L1148" s="1" t="str">
        <f>E296</f>
        <v>Italy</v>
      </c>
      <c r="M1148" s="1" t="str">
        <f>IF(J1148=1,J1148+ROWS($J$2:J1148)/10000,"")</f>
        <v/>
      </c>
      <c r="N1148" s="1" t="str">
        <f>IFERROR(SMALL($M$2:$M$1705,ROWS($M$2:M1148)),"")</f>
        <v/>
      </c>
      <c r="O1148" s="1" t="str">
        <f>IF(N1148&lt;&gt;"",INDEX($L$2:$L$1705,MATCH(N1148,$M$2:$M$1705,0)),"")</f>
        <v/>
      </c>
      <c r="P1148" s="1" t="str">
        <f>IF(O1148&lt;&gt;"",ROWS($O$2:O1148),"")</f>
        <v/>
      </c>
    </row>
    <row r="1149" spans="10:16" x14ac:dyDescent="0.2">
      <c r="J1149" s="1">
        <f>COUNTIF($L$2:L1149,L1149)</f>
        <v>21</v>
      </c>
      <c r="K1149" s="1">
        <f>A297</f>
        <v>1978</v>
      </c>
      <c r="L1149" s="1" t="str">
        <f>E297</f>
        <v>Austria</v>
      </c>
      <c r="M1149" s="1" t="str">
        <f>IF(J1149=1,J1149+ROWS($J$2:J1149)/10000,"")</f>
        <v/>
      </c>
      <c r="N1149" s="1" t="str">
        <f>IFERROR(SMALL($M$2:$M$1705,ROWS($M$2:M1149)),"")</f>
        <v/>
      </c>
      <c r="O1149" s="1" t="str">
        <f>IF(N1149&lt;&gt;"",INDEX($L$2:$L$1705,MATCH(N1149,$M$2:$M$1705,0)),"")</f>
        <v/>
      </c>
      <c r="P1149" s="1" t="str">
        <f>IF(O1149&lt;&gt;"",ROWS($O$2:O1149),"")</f>
        <v/>
      </c>
    </row>
    <row r="1150" spans="10:16" x14ac:dyDescent="0.2">
      <c r="J1150" s="1">
        <f>COUNTIF($L$2:L1150,L1150)</f>
        <v>11</v>
      </c>
      <c r="K1150" s="1">
        <f>A298</f>
        <v>1978</v>
      </c>
      <c r="L1150" s="1" t="str">
        <f>E298</f>
        <v>Peru</v>
      </c>
      <c r="M1150" s="1" t="str">
        <f>IF(J1150=1,J1150+ROWS($J$2:J1150)/10000,"")</f>
        <v/>
      </c>
      <c r="N1150" s="1" t="str">
        <f>IFERROR(SMALL($M$2:$M$1705,ROWS($M$2:M1150)),"")</f>
        <v/>
      </c>
      <c r="O1150" s="1" t="str">
        <f>IF(N1150&lt;&gt;"",INDEX($L$2:$L$1705,MATCH(N1150,$M$2:$M$1705,0)),"")</f>
        <v/>
      </c>
      <c r="P1150" s="1" t="str">
        <f>IF(O1150&lt;&gt;"",ROWS($O$2:O1150),"")</f>
        <v/>
      </c>
    </row>
    <row r="1151" spans="10:16" x14ac:dyDescent="0.2">
      <c r="J1151" s="1">
        <f>COUNTIF($L$2:L1151,L1151)</f>
        <v>22</v>
      </c>
      <c r="K1151" s="1">
        <f>A299</f>
        <v>1978</v>
      </c>
      <c r="L1151" s="1" t="str">
        <f>E299</f>
        <v>Poland</v>
      </c>
      <c r="M1151" s="1" t="str">
        <f>IF(J1151=1,J1151+ROWS($J$2:J1151)/10000,"")</f>
        <v/>
      </c>
      <c r="N1151" s="1" t="str">
        <f>IFERROR(SMALL($M$2:$M$1705,ROWS($M$2:M1151)),"")</f>
        <v/>
      </c>
      <c r="O1151" s="1" t="str">
        <f>IF(N1151&lt;&gt;"",INDEX($L$2:$L$1705,MATCH(N1151,$M$2:$M$1705,0)),"")</f>
        <v/>
      </c>
      <c r="P1151" s="1" t="str">
        <f>IF(O1151&lt;&gt;"",ROWS($O$2:O1151),"")</f>
        <v/>
      </c>
    </row>
    <row r="1152" spans="10:16" x14ac:dyDescent="0.2">
      <c r="J1152" s="1">
        <f>COUNTIF($L$2:L1152,L1152)</f>
        <v>12</v>
      </c>
      <c r="K1152" s="1">
        <f>A300</f>
        <v>1978</v>
      </c>
      <c r="L1152" s="1" t="str">
        <f>E300</f>
        <v>Peru</v>
      </c>
      <c r="M1152" s="1" t="str">
        <f>IF(J1152=1,J1152+ROWS($J$2:J1152)/10000,"")</f>
        <v/>
      </c>
      <c r="N1152" s="1" t="str">
        <f>IFERROR(SMALL($M$2:$M$1705,ROWS($M$2:M1152)),"")</f>
        <v/>
      </c>
      <c r="O1152" s="1" t="str">
        <f>IF(N1152&lt;&gt;"",INDEX($L$2:$L$1705,MATCH(N1152,$M$2:$M$1705,0)),"")</f>
        <v/>
      </c>
      <c r="P1152" s="1" t="str">
        <f>IF(O1152&lt;&gt;"",ROWS($O$2:O1152),"")</f>
        <v/>
      </c>
    </row>
    <row r="1153" spans="10:16" x14ac:dyDescent="0.2">
      <c r="J1153" s="1">
        <f>COUNTIF($L$2:L1153,L1153)</f>
        <v>22</v>
      </c>
      <c r="K1153" s="1">
        <f>A301</f>
        <v>1978</v>
      </c>
      <c r="L1153" s="1" t="str">
        <f>E301</f>
        <v>Austria</v>
      </c>
      <c r="M1153" s="1" t="str">
        <f>IF(J1153=1,J1153+ROWS($J$2:J1153)/10000,"")</f>
        <v/>
      </c>
      <c r="N1153" s="1" t="str">
        <f>IFERROR(SMALL($M$2:$M$1705,ROWS($M$2:M1153)),"")</f>
        <v/>
      </c>
      <c r="O1153" s="1" t="str">
        <f>IF(N1153&lt;&gt;"",INDEX($L$2:$L$1705,MATCH(N1153,$M$2:$M$1705,0)),"")</f>
        <v/>
      </c>
      <c r="P1153" s="1" t="str">
        <f>IF(O1153&lt;&gt;"",ROWS($O$2:O1153),"")</f>
        <v/>
      </c>
    </row>
    <row r="1154" spans="10:16" x14ac:dyDescent="0.2">
      <c r="J1154" s="1">
        <f>COUNTIF($L$2:L1154,L1154)</f>
        <v>39</v>
      </c>
      <c r="K1154" s="1">
        <f>A302</f>
        <v>1978</v>
      </c>
      <c r="L1154" s="1" t="str">
        <f>E302</f>
        <v>Netherlands</v>
      </c>
      <c r="M1154" s="1" t="str">
        <f>IF(J1154=1,J1154+ROWS($J$2:J1154)/10000,"")</f>
        <v/>
      </c>
      <c r="N1154" s="1" t="str">
        <f>IFERROR(SMALL($M$2:$M$1705,ROWS($M$2:M1154)),"")</f>
        <v/>
      </c>
      <c r="O1154" s="1" t="str">
        <f>IF(N1154&lt;&gt;"",INDEX($L$2:$L$1705,MATCH(N1154,$M$2:$M$1705,0)),"")</f>
        <v/>
      </c>
      <c r="P1154" s="1" t="str">
        <f>IF(O1154&lt;&gt;"",ROWS($O$2:O1154),"")</f>
        <v/>
      </c>
    </row>
    <row r="1155" spans="10:16" x14ac:dyDescent="0.2">
      <c r="J1155" s="1">
        <f>COUNTIF($L$2:L1155,L1155)</f>
        <v>95</v>
      </c>
      <c r="K1155" s="1">
        <f>A303</f>
        <v>1978</v>
      </c>
      <c r="L1155" s="1" t="str">
        <f>E303</f>
        <v>Brazil</v>
      </c>
      <c r="M1155" s="1" t="str">
        <f>IF(J1155=1,J1155+ROWS($J$2:J1155)/10000,"")</f>
        <v/>
      </c>
      <c r="N1155" s="1" t="str">
        <f>IFERROR(SMALL($M$2:$M$1705,ROWS($M$2:M1155)),"")</f>
        <v/>
      </c>
      <c r="O1155" s="1" t="str">
        <f>IF(N1155&lt;&gt;"",INDEX($L$2:$L$1705,MATCH(N1155,$M$2:$M$1705,0)),"")</f>
        <v/>
      </c>
      <c r="P1155" s="1" t="str">
        <f>IF(O1155&lt;&gt;"",ROWS($O$2:O1155),"")</f>
        <v/>
      </c>
    </row>
    <row r="1156" spans="10:16" x14ac:dyDescent="0.2">
      <c r="J1156" s="1">
        <f>COUNTIF($L$2:L1156,L1156)</f>
        <v>70</v>
      </c>
      <c r="K1156" s="1">
        <f>A304</f>
        <v>1978</v>
      </c>
      <c r="L1156" s="1" t="str">
        <f>E304</f>
        <v>Italy</v>
      </c>
      <c r="M1156" s="1" t="str">
        <f>IF(J1156=1,J1156+ROWS($J$2:J1156)/10000,"")</f>
        <v/>
      </c>
      <c r="N1156" s="1" t="str">
        <f>IFERROR(SMALL($M$2:$M$1705,ROWS($M$2:M1156)),"")</f>
        <v/>
      </c>
      <c r="O1156" s="1" t="str">
        <f>IF(N1156&lt;&gt;"",INDEX($L$2:$L$1705,MATCH(N1156,$M$2:$M$1705,0)),"")</f>
        <v/>
      </c>
      <c r="P1156" s="1" t="str">
        <f>IF(O1156&lt;&gt;"",ROWS($O$2:O1156),"")</f>
        <v/>
      </c>
    </row>
    <row r="1157" spans="10:16" x14ac:dyDescent="0.2">
      <c r="J1157" s="1">
        <f>COUNTIF($L$2:L1157,L1157)</f>
        <v>56</v>
      </c>
      <c r="K1157" s="1">
        <f>A305</f>
        <v>1978</v>
      </c>
      <c r="L1157" s="1" t="str">
        <f>E305</f>
        <v>Germany FR</v>
      </c>
      <c r="M1157" s="1" t="str">
        <f>IF(J1157=1,J1157+ROWS($J$2:J1157)/10000,"")</f>
        <v/>
      </c>
      <c r="N1157" s="1" t="str">
        <f>IFERROR(SMALL($M$2:$M$1705,ROWS($M$2:M1157)),"")</f>
        <v/>
      </c>
      <c r="O1157" s="1" t="str">
        <f>IF(N1157&lt;&gt;"",INDEX($L$2:$L$1705,MATCH(N1157,$M$2:$M$1705,0)),"")</f>
        <v/>
      </c>
      <c r="P1157" s="1" t="str">
        <f>IF(O1157&lt;&gt;"",ROWS($O$2:O1157),"")</f>
        <v/>
      </c>
    </row>
    <row r="1158" spans="10:16" x14ac:dyDescent="0.2">
      <c r="J1158" s="1">
        <f>COUNTIF($L$2:L1158,L1158)</f>
        <v>23</v>
      </c>
      <c r="K1158" s="1">
        <f>A306</f>
        <v>1978</v>
      </c>
      <c r="L1158" s="1" t="str">
        <f>E306</f>
        <v>Poland</v>
      </c>
      <c r="M1158" s="1" t="str">
        <f>IF(J1158=1,J1158+ROWS($J$2:J1158)/10000,"")</f>
        <v/>
      </c>
      <c r="N1158" s="1" t="str">
        <f>IFERROR(SMALL($M$2:$M$1705,ROWS($M$2:M1158)),"")</f>
        <v/>
      </c>
      <c r="O1158" s="1" t="str">
        <f>IF(N1158&lt;&gt;"",INDEX($L$2:$L$1705,MATCH(N1158,$M$2:$M$1705,0)),"")</f>
        <v/>
      </c>
      <c r="P1158" s="1" t="str">
        <f>IF(O1158&lt;&gt;"",ROWS($O$2:O1158),"")</f>
        <v/>
      </c>
    </row>
    <row r="1159" spans="10:16" x14ac:dyDescent="0.2">
      <c r="J1159" s="1">
        <f>COUNTIF($L$2:L1159,L1159)</f>
        <v>13</v>
      </c>
      <c r="K1159" s="1">
        <f>A307</f>
        <v>1978</v>
      </c>
      <c r="L1159" s="1" t="str">
        <f>E307</f>
        <v>Peru</v>
      </c>
      <c r="M1159" s="1" t="str">
        <f>IF(J1159=1,J1159+ROWS($J$2:J1159)/10000,"")</f>
        <v/>
      </c>
      <c r="N1159" s="1" t="str">
        <f>IFERROR(SMALL($M$2:$M$1705,ROWS($M$2:M1159)),"")</f>
        <v/>
      </c>
      <c r="O1159" s="1" t="str">
        <f>IF(N1159&lt;&gt;"",INDEX($L$2:$L$1705,MATCH(N1159,$M$2:$M$1705,0)),"")</f>
        <v/>
      </c>
      <c r="P1159" s="1" t="str">
        <f>IF(O1159&lt;&gt;"",ROWS($O$2:O1159),"")</f>
        <v/>
      </c>
    </row>
    <row r="1160" spans="10:16" x14ac:dyDescent="0.2">
      <c r="J1160" s="1">
        <f>COUNTIF($L$2:L1160,L1160)</f>
        <v>71</v>
      </c>
      <c r="K1160" s="1">
        <f>A308</f>
        <v>1978</v>
      </c>
      <c r="L1160" s="1" t="str">
        <f>E308</f>
        <v>Italy</v>
      </c>
      <c r="M1160" s="1" t="str">
        <f>IF(J1160=1,J1160+ROWS($J$2:J1160)/10000,"")</f>
        <v/>
      </c>
      <c r="N1160" s="1" t="str">
        <f>IFERROR(SMALL($M$2:$M$1705,ROWS($M$2:M1160)),"")</f>
        <v/>
      </c>
      <c r="O1160" s="1" t="str">
        <f>IF(N1160&lt;&gt;"",INDEX($L$2:$L$1705,MATCH(N1160,$M$2:$M$1705,0)),"")</f>
        <v/>
      </c>
      <c r="P1160" s="1" t="str">
        <f>IF(O1160&lt;&gt;"",ROWS($O$2:O1160),"")</f>
        <v/>
      </c>
    </row>
    <row r="1161" spans="10:16" x14ac:dyDescent="0.2">
      <c r="J1161" s="1">
        <f>COUNTIF($L$2:L1161,L1161)</f>
        <v>40</v>
      </c>
      <c r="K1161" s="1">
        <f>A309</f>
        <v>1978</v>
      </c>
      <c r="L1161" s="1" t="str">
        <f>E309</f>
        <v>Netherlands</v>
      </c>
      <c r="M1161" s="1" t="str">
        <f>IF(J1161=1,J1161+ROWS($J$2:J1161)/10000,"")</f>
        <v/>
      </c>
      <c r="N1161" s="1" t="str">
        <f>IFERROR(SMALL($M$2:$M$1705,ROWS($M$2:M1161)),"")</f>
        <v/>
      </c>
      <c r="O1161" s="1" t="str">
        <f>IF(N1161&lt;&gt;"",INDEX($L$2:$L$1705,MATCH(N1161,$M$2:$M$1705,0)),"")</f>
        <v/>
      </c>
      <c r="P1161" s="1" t="str">
        <f>IF(O1161&lt;&gt;"",ROWS($O$2:O1161),"")</f>
        <v/>
      </c>
    </row>
    <row r="1162" spans="10:16" x14ac:dyDescent="0.2">
      <c r="J1162" s="1">
        <f>COUNTIF($L$2:L1162,L1162)</f>
        <v>27</v>
      </c>
      <c r="K1162" s="1">
        <f>A310</f>
        <v>1982</v>
      </c>
      <c r="L1162" s="1" t="str">
        <f>E310</f>
        <v>Belgium</v>
      </c>
      <c r="M1162" s="1" t="str">
        <f>IF(J1162=1,J1162+ROWS($J$2:J1162)/10000,"")</f>
        <v/>
      </c>
      <c r="N1162" s="1" t="str">
        <f>IFERROR(SMALL($M$2:$M$1705,ROWS($M$2:M1162)),"")</f>
        <v/>
      </c>
      <c r="O1162" s="1" t="str">
        <f>IF(N1162&lt;&gt;"",INDEX($L$2:$L$1705,MATCH(N1162,$M$2:$M$1705,0)),"")</f>
        <v/>
      </c>
      <c r="P1162" s="1" t="str">
        <f>IF(O1162&lt;&gt;"",ROWS($O$2:O1162),"")</f>
        <v/>
      </c>
    </row>
    <row r="1163" spans="10:16" x14ac:dyDescent="0.2">
      <c r="J1163" s="1">
        <f>COUNTIF($L$2:L1163,L1163)</f>
        <v>24</v>
      </c>
      <c r="K1163" s="1">
        <f>A311</f>
        <v>1982</v>
      </c>
      <c r="L1163" s="1" t="str">
        <f>E311</f>
        <v>Poland</v>
      </c>
      <c r="M1163" s="1" t="str">
        <f>IF(J1163=1,J1163+ROWS($J$2:J1163)/10000,"")</f>
        <v/>
      </c>
      <c r="N1163" s="1" t="str">
        <f>IFERROR(SMALL($M$2:$M$1705,ROWS($M$2:M1163)),"")</f>
        <v/>
      </c>
      <c r="O1163" s="1" t="str">
        <f>IF(N1163&lt;&gt;"",INDEX($L$2:$L$1705,MATCH(N1163,$M$2:$M$1705,0)),"")</f>
        <v/>
      </c>
      <c r="P1163" s="1" t="str">
        <f>IF(O1163&lt;&gt;"",ROWS($O$2:O1163),"")</f>
        <v/>
      </c>
    </row>
    <row r="1164" spans="10:16" x14ac:dyDescent="0.2">
      <c r="J1164" s="1">
        <f>COUNTIF($L$2:L1164,L1164)</f>
        <v>26</v>
      </c>
      <c r="K1164" s="1">
        <f>A312</f>
        <v>1982</v>
      </c>
      <c r="L1164" s="1" t="str">
        <f>E312</f>
        <v>Soviet Union</v>
      </c>
      <c r="M1164" s="1" t="str">
        <f>IF(J1164=1,J1164+ROWS($J$2:J1164)/10000,"")</f>
        <v/>
      </c>
      <c r="N1164" s="1" t="str">
        <f>IFERROR(SMALL($M$2:$M$1705,ROWS($M$2:M1164)),"")</f>
        <v/>
      </c>
      <c r="O1164" s="1" t="str">
        <f>IF(N1164&lt;&gt;"",INDEX($L$2:$L$1705,MATCH(N1164,$M$2:$M$1705,0)),"")</f>
        <v/>
      </c>
      <c r="P1164" s="1" t="str">
        <f>IF(O1164&lt;&gt;"",ROWS($O$2:O1164),"")</f>
        <v/>
      </c>
    </row>
    <row r="1165" spans="10:16" x14ac:dyDescent="0.2">
      <c r="J1165" s="1">
        <f>COUNTIF($L$2:L1165,L1165)</f>
        <v>12</v>
      </c>
      <c r="K1165" s="1">
        <f>A313</f>
        <v>1982</v>
      </c>
      <c r="L1165" s="1" t="str">
        <f>E313</f>
        <v>Cameroon</v>
      </c>
      <c r="M1165" s="1" t="str">
        <f>IF(J1165=1,J1165+ROWS($J$2:J1165)/10000,"")</f>
        <v/>
      </c>
      <c r="N1165" s="1" t="str">
        <f>IFERROR(SMALL($M$2:$M$1705,ROWS($M$2:M1165)),"")</f>
        <v/>
      </c>
      <c r="O1165" s="1" t="str">
        <f>IF(N1165&lt;&gt;"",INDEX($L$2:$L$1705,MATCH(N1165,$M$2:$M$1705,0)),"")</f>
        <v/>
      </c>
      <c r="P1165" s="1" t="str">
        <f>IF(O1165&lt;&gt;"",ROWS($O$2:O1165),"")</f>
        <v/>
      </c>
    </row>
    <row r="1166" spans="10:16" x14ac:dyDescent="0.2">
      <c r="J1166" s="1">
        <f>COUNTIF($L$2:L1166,L1166)</f>
        <v>4</v>
      </c>
      <c r="K1166" s="1">
        <f>A314</f>
        <v>1982</v>
      </c>
      <c r="L1166" s="1" t="str">
        <f>E314</f>
        <v>El Salvador</v>
      </c>
      <c r="M1166" s="1" t="str">
        <f>IF(J1166=1,J1166+ROWS($J$2:J1166)/10000,"")</f>
        <v/>
      </c>
      <c r="N1166" s="1" t="str">
        <f>IFERROR(SMALL($M$2:$M$1705,ROWS($M$2:M1166)),"")</f>
        <v/>
      </c>
      <c r="O1166" s="1" t="str">
        <f>IF(N1166&lt;&gt;"",INDEX($L$2:$L$1705,MATCH(N1166,$M$2:$M$1705,0)),"")</f>
        <v/>
      </c>
      <c r="P1166" s="1" t="str">
        <f>IF(O1166&lt;&gt;"",ROWS($O$2:O1166),"")</f>
        <v/>
      </c>
    </row>
    <row r="1167" spans="10:16" x14ac:dyDescent="0.2">
      <c r="J1167" s="1">
        <f>COUNTIF($L$2:L1167,L1167)</f>
        <v>2</v>
      </c>
      <c r="K1167" s="1">
        <f>A315</f>
        <v>1982</v>
      </c>
      <c r="L1167" s="1" t="str">
        <f>E315</f>
        <v>New Zealand</v>
      </c>
      <c r="M1167" s="1" t="str">
        <f>IF(J1167=1,J1167+ROWS($J$2:J1167)/10000,"")</f>
        <v/>
      </c>
      <c r="N1167" s="1" t="str">
        <f>IFERROR(SMALL($M$2:$M$1705,ROWS($M$2:M1167)),"")</f>
        <v/>
      </c>
      <c r="O1167" s="1" t="str">
        <f>IF(N1167&lt;&gt;"",INDEX($L$2:$L$1705,MATCH(N1167,$M$2:$M$1705,0)),"")</f>
        <v/>
      </c>
      <c r="P1167" s="1" t="str">
        <f>IF(O1167&lt;&gt;"",ROWS($O$2:O1167),"")</f>
        <v/>
      </c>
    </row>
    <row r="1168" spans="10:16" x14ac:dyDescent="0.2">
      <c r="J1168" s="1">
        <f>COUNTIF($L$2:L1168,L1168)</f>
        <v>7</v>
      </c>
      <c r="K1168" s="1">
        <f>A316</f>
        <v>1982</v>
      </c>
      <c r="L1168" s="1" t="str">
        <f>E316</f>
        <v>Algeria</v>
      </c>
      <c r="M1168" s="1" t="str">
        <f>IF(J1168=1,J1168+ROWS($J$2:J1168)/10000,"")</f>
        <v/>
      </c>
      <c r="N1168" s="1" t="str">
        <f>IFERROR(SMALL($M$2:$M$1705,ROWS($M$2:M1168)),"")</f>
        <v/>
      </c>
      <c r="O1168" s="1" t="str">
        <f>IF(N1168&lt;&gt;"",INDEX($L$2:$L$1705,MATCH(N1168,$M$2:$M$1705,0)),"")</f>
        <v/>
      </c>
      <c r="P1168" s="1" t="str">
        <f>IF(O1168&lt;&gt;"",ROWS($O$2:O1168),"")</f>
        <v/>
      </c>
    </row>
    <row r="1169" spans="10:16" x14ac:dyDescent="0.2">
      <c r="J1169" s="1">
        <f>COUNTIF($L$2:L1169,L1169)</f>
        <v>43</v>
      </c>
      <c r="K1169" s="1">
        <f>A317</f>
        <v>1982</v>
      </c>
      <c r="L1169" s="1" t="str">
        <f>E317</f>
        <v>France</v>
      </c>
      <c r="M1169" s="1" t="str">
        <f>IF(J1169=1,J1169+ROWS($J$2:J1169)/10000,"")</f>
        <v/>
      </c>
      <c r="N1169" s="1" t="str">
        <f>IFERROR(SMALL($M$2:$M$1705,ROWS($M$2:M1169)),"")</f>
        <v/>
      </c>
      <c r="O1169" s="1" t="str">
        <f>IF(N1169&lt;&gt;"",INDEX($L$2:$L$1705,MATCH(N1169,$M$2:$M$1705,0)),"")</f>
        <v/>
      </c>
      <c r="P1169" s="1" t="str">
        <f>IF(O1169&lt;&gt;"",ROWS($O$2:O1169),"")</f>
        <v/>
      </c>
    </row>
    <row r="1170" spans="10:16" x14ac:dyDescent="0.2">
      <c r="J1170" s="1">
        <f>COUNTIF($L$2:L1170,L1170)</f>
        <v>6</v>
      </c>
      <c r="K1170" s="1">
        <f>A318</f>
        <v>1982</v>
      </c>
      <c r="L1170" s="1" t="str">
        <f>E318</f>
        <v>Honduras</v>
      </c>
      <c r="M1170" s="1" t="str">
        <f>IF(J1170=1,J1170+ROWS($J$2:J1170)/10000,"")</f>
        <v/>
      </c>
      <c r="N1170" s="1" t="str">
        <f>IFERROR(SMALL($M$2:$M$1705,ROWS($M$2:M1170)),"")</f>
        <v/>
      </c>
      <c r="O1170" s="1" t="str">
        <f>IF(N1170&lt;&gt;"",INDEX($L$2:$L$1705,MATCH(N1170,$M$2:$M$1705,0)),"")</f>
        <v/>
      </c>
      <c r="P1170" s="1" t="str">
        <f>IF(O1170&lt;&gt;"",ROWS($O$2:O1170),"")</f>
        <v/>
      </c>
    </row>
    <row r="1171" spans="10:16" x14ac:dyDescent="0.2">
      <c r="J1171" s="1">
        <f>COUNTIF($L$2:L1171,L1171)</f>
        <v>23</v>
      </c>
      <c r="K1171" s="1">
        <f>A319</f>
        <v>1982</v>
      </c>
      <c r="L1171" s="1" t="str">
        <f>E319</f>
        <v>Austria</v>
      </c>
      <c r="M1171" s="1" t="str">
        <f>IF(J1171=1,J1171+ROWS($J$2:J1171)/10000,"")</f>
        <v/>
      </c>
      <c r="N1171" s="1" t="str">
        <f>IFERROR(SMALL($M$2:$M$1705,ROWS($M$2:M1171)),"")</f>
        <v/>
      </c>
      <c r="O1171" s="1" t="str">
        <f>IF(N1171&lt;&gt;"",INDEX($L$2:$L$1705,MATCH(N1171,$M$2:$M$1705,0)),"")</f>
        <v/>
      </c>
      <c r="P1171" s="1" t="str">
        <f>IF(O1171&lt;&gt;"",ROWS($O$2:O1171),"")</f>
        <v/>
      </c>
    </row>
    <row r="1172" spans="10:16" x14ac:dyDescent="0.2">
      <c r="J1172" s="1">
        <f>COUNTIF($L$2:L1172,L1172)</f>
        <v>1</v>
      </c>
      <c r="K1172" s="1">
        <f>A320</f>
        <v>1982</v>
      </c>
      <c r="L1172" s="1" t="str">
        <f>E320</f>
        <v>Kuwait</v>
      </c>
      <c r="M1172" s="1">
        <f>IF(J1172=1,J1172+ROWS($J$2:J1172)/10000,"")</f>
        <v>1.1171</v>
      </c>
      <c r="N1172" s="1" t="str">
        <f>IFERROR(SMALL($M$2:$M$1705,ROWS($M$2:M1172)),"")</f>
        <v/>
      </c>
      <c r="O1172" s="1" t="str">
        <f>IF(N1172&lt;&gt;"",INDEX($L$2:$L$1705,MATCH(N1172,$M$2:$M$1705,0)),"")</f>
        <v/>
      </c>
      <c r="P1172" s="1" t="str">
        <f>IF(O1172&lt;&gt;"",ROWS($O$2:O1172),"")</f>
        <v/>
      </c>
    </row>
    <row r="1173" spans="10:16" x14ac:dyDescent="0.2">
      <c r="J1173" s="1">
        <f>COUNTIF($L$2:L1173,L1173)</f>
        <v>9</v>
      </c>
      <c r="K1173" s="1">
        <f>A321</f>
        <v>1982</v>
      </c>
      <c r="L1173" s="1" t="str">
        <f>E321</f>
        <v>Northern Ireland</v>
      </c>
      <c r="M1173" s="1" t="str">
        <f>IF(J1173=1,J1173+ROWS($J$2:J1173)/10000,"")</f>
        <v/>
      </c>
      <c r="N1173" s="1" t="str">
        <f>IFERROR(SMALL($M$2:$M$1705,ROWS($M$2:M1173)),"")</f>
        <v/>
      </c>
      <c r="O1173" s="1" t="str">
        <f>IF(N1173&lt;&gt;"",INDEX($L$2:$L$1705,MATCH(N1173,$M$2:$M$1705,0)),"")</f>
        <v/>
      </c>
      <c r="P1173" s="1" t="str">
        <f>IF(O1173&lt;&gt;"",ROWS($O$2:O1173),"")</f>
        <v/>
      </c>
    </row>
    <row r="1174" spans="10:16" x14ac:dyDescent="0.2">
      <c r="J1174" s="1">
        <f>COUNTIF($L$2:L1174,L1174)</f>
        <v>14</v>
      </c>
      <c r="K1174" s="1">
        <f>A322</f>
        <v>1982</v>
      </c>
      <c r="L1174" s="1" t="str">
        <f>E322</f>
        <v>Peru</v>
      </c>
      <c r="M1174" s="1" t="str">
        <f>IF(J1174=1,J1174+ROWS($J$2:J1174)/10000,"")</f>
        <v/>
      </c>
      <c r="N1174" s="1" t="str">
        <f>IFERROR(SMALL($M$2:$M$1705,ROWS($M$2:M1174)),"")</f>
        <v/>
      </c>
      <c r="O1174" s="1" t="str">
        <f>IF(N1174&lt;&gt;"",INDEX($L$2:$L$1705,MATCH(N1174,$M$2:$M$1705,0)),"")</f>
        <v/>
      </c>
      <c r="P1174" s="1" t="str">
        <f>IF(O1174&lt;&gt;"",ROWS($O$2:O1174),"")</f>
        <v/>
      </c>
    </row>
    <row r="1175" spans="10:16" x14ac:dyDescent="0.2">
      <c r="J1175" s="1">
        <f>COUNTIF($L$2:L1175,L1175)</f>
        <v>30</v>
      </c>
      <c r="K1175" s="1">
        <f>A323</f>
        <v>1982</v>
      </c>
      <c r="L1175" s="1" t="str">
        <f>E323</f>
        <v>Hungary</v>
      </c>
      <c r="M1175" s="1" t="str">
        <f>IF(J1175=1,J1175+ROWS($J$2:J1175)/10000,"")</f>
        <v/>
      </c>
      <c r="N1175" s="1" t="str">
        <f>IFERROR(SMALL($M$2:$M$1705,ROWS($M$2:M1175)),"")</f>
        <v/>
      </c>
      <c r="O1175" s="1" t="str">
        <f>IF(N1175&lt;&gt;"",INDEX($L$2:$L$1705,MATCH(N1175,$M$2:$M$1705,0)),"")</f>
        <v/>
      </c>
      <c r="P1175" s="1" t="str">
        <f>IF(O1175&lt;&gt;"",ROWS($O$2:O1175),"")</f>
        <v/>
      </c>
    </row>
    <row r="1176" spans="10:16" x14ac:dyDescent="0.2">
      <c r="J1176" s="1">
        <f>COUNTIF($L$2:L1176,L1176)</f>
        <v>17</v>
      </c>
      <c r="K1176" s="1">
        <f>A324</f>
        <v>1982</v>
      </c>
      <c r="L1176" s="1" t="str">
        <f>E324</f>
        <v>Scotland</v>
      </c>
      <c r="M1176" s="1" t="str">
        <f>IF(J1176=1,J1176+ROWS($J$2:J1176)/10000,"")</f>
        <v/>
      </c>
      <c r="N1176" s="1" t="str">
        <f>IFERROR(SMALL($M$2:$M$1705,ROWS($M$2:M1176)),"")</f>
        <v/>
      </c>
      <c r="O1176" s="1" t="str">
        <f>IF(N1176&lt;&gt;"",INDEX($L$2:$L$1705,MATCH(N1176,$M$2:$M$1705,0)),"")</f>
        <v/>
      </c>
      <c r="P1176" s="1" t="str">
        <f>IF(O1176&lt;&gt;"",ROWS($O$2:O1176),"")</f>
        <v/>
      </c>
    </row>
    <row r="1177" spans="10:16" x14ac:dyDescent="0.2">
      <c r="J1177" s="1">
        <f>COUNTIF($L$2:L1177,L1177)</f>
        <v>13</v>
      </c>
      <c r="K1177" s="1">
        <f>A325</f>
        <v>1982</v>
      </c>
      <c r="L1177" s="1" t="str">
        <f>E325</f>
        <v>Cameroon</v>
      </c>
      <c r="M1177" s="1" t="str">
        <f>IF(J1177=1,J1177+ROWS($J$2:J1177)/10000,"")</f>
        <v/>
      </c>
      <c r="N1177" s="1" t="str">
        <f>IFERROR(SMALL($M$2:$M$1705,ROWS($M$2:M1177)),"")</f>
        <v/>
      </c>
      <c r="O1177" s="1" t="str">
        <f>IF(N1177&lt;&gt;"",INDEX($L$2:$L$1705,MATCH(N1177,$M$2:$M$1705,0)),"")</f>
        <v/>
      </c>
      <c r="P1177" s="1" t="str">
        <f>IF(O1177&lt;&gt;"",ROWS($O$2:O1177),"")</f>
        <v/>
      </c>
    </row>
    <row r="1178" spans="10:16" x14ac:dyDescent="0.2">
      <c r="J1178" s="1">
        <f>COUNTIF($L$2:L1178,L1178)</f>
        <v>5</v>
      </c>
      <c r="K1178" s="1">
        <f>A326</f>
        <v>1982</v>
      </c>
      <c r="L1178" s="1" t="str">
        <f>E326</f>
        <v>El Salvador</v>
      </c>
      <c r="M1178" s="1" t="str">
        <f>IF(J1178=1,J1178+ROWS($J$2:J1178)/10000,"")</f>
        <v/>
      </c>
      <c r="N1178" s="1" t="str">
        <f>IFERROR(SMALL($M$2:$M$1705,ROWS($M$2:M1178)),"")</f>
        <v/>
      </c>
      <c r="O1178" s="1" t="str">
        <f>IF(N1178&lt;&gt;"",INDEX($L$2:$L$1705,MATCH(N1178,$M$2:$M$1705,0)),"")</f>
        <v/>
      </c>
      <c r="P1178" s="1" t="str">
        <f>IF(O1178&lt;&gt;"",ROWS($O$2:O1178),"")</f>
        <v/>
      </c>
    </row>
    <row r="1179" spans="10:16" x14ac:dyDescent="0.2">
      <c r="J1179" s="1">
        <f>COUNTIF($L$2:L1179,L1179)</f>
        <v>3</v>
      </c>
      <c r="K1179" s="1">
        <f>A327</f>
        <v>1982</v>
      </c>
      <c r="L1179" s="1" t="str">
        <f>E327</f>
        <v>New Zealand</v>
      </c>
      <c r="M1179" s="1" t="str">
        <f>IF(J1179=1,J1179+ROWS($J$2:J1179)/10000,"")</f>
        <v/>
      </c>
      <c r="N1179" s="1" t="str">
        <f>IFERROR(SMALL($M$2:$M$1705,ROWS($M$2:M1179)),"")</f>
        <v/>
      </c>
      <c r="O1179" s="1" t="str">
        <f>IF(N1179&lt;&gt;"",INDEX($L$2:$L$1705,MATCH(N1179,$M$2:$M$1705,0)),"")</f>
        <v/>
      </c>
      <c r="P1179" s="1" t="str">
        <f>IF(O1179&lt;&gt;"",ROWS($O$2:O1179),"")</f>
        <v/>
      </c>
    </row>
    <row r="1180" spans="10:16" x14ac:dyDescent="0.2">
      <c r="J1180" s="1">
        <f>COUNTIF($L$2:L1180,L1180)</f>
        <v>25</v>
      </c>
      <c r="K1180" s="1">
        <f>A328</f>
        <v>1982</v>
      </c>
      <c r="L1180" s="1" t="str">
        <f>E328</f>
        <v>Chile</v>
      </c>
      <c r="M1180" s="1" t="str">
        <f>IF(J1180=1,J1180+ROWS($J$2:J1180)/10000,"")</f>
        <v/>
      </c>
      <c r="N1180" s="1" t="str">
        <f>IFERROR(SMALL($M$2:$M$1705,ROWS($M$2:M1180)),"")</f>
        <v/>
      </c>
      <c r="O1180" s="1" t="str">
        <f>IF(N1180&lt;&gt;"",INDEX($L$2:$L$1705,MATCH(N1180,$M$2:$M$1705,0)),"")</f>
        <v/>
      </c>
      <c r="P1180" s="1" t="str">
        <f>IF(O1180&lt;&gt;"",ROWS($O$2:O1180),"")</f>
        <v/>
      </c>
    </row>
    <row r="1181" spans="10:16" x14ac:dyDescent="0.2">
      <c r="J1181" s="1">
        <f>COUNTIF($L$2:L1181,L1181)</f>
        <v>25</v>
      </c>
      <c r="K1181" s="1">
        <f>A329</f>
        <v>1982</v>
      </c>
      <c r="L1181" s="1" t="str">
        <f>E329</f>
        <v>Czechoslovakia</v>
      </c>
      <c r="M1181" s="1" t="str">
        <f>IF(J1181=1,J1181+ROWS($J$2:J1181)/10000,"")</f>
        <v/>
      </c>
      <c r="N1181" s="1" t="str">
        <f>IFERROR(SMALL($M$2:$M$1705,ROWS($M$2:M1181)),"")</f>
        <v/>
      </c>
      <c r="O1181" s="1" t="str">
        <f>IF(N1181&lt;&gt;"",INDEX($L$2:$L$1705,MATCH(N1181,$M$2:$M$1705,0)),"")</f>
        <v/>
      </c>
      <c r="P1181" s="1" t="str">
        <f>IF(O1181&lt;&gt;"",ROWS($O$2:O1181),"")</f>
        <v/>
      </c>
    </row>
    <row r="1182" spans="10:16" x14ac:dyDescent="0.2">
      <c r="J1182" s="1">
        <f>COUNTIF($L$2:L1182,L1182)</f>
        <v>31</v>
      </c>
      <c r="K1182" s="1">
        <f>A330</f>
        <v>1982</v>
      </c>
      <c r="L1182" s="1" t="str">
        <f>E330</f>
        <v>Yugoslavia</v>
      </c>
      <c r="M1182" s="1" t="str">
        <f>IF(J1182=1,J1182+ROWS($J$2:J1182)/10000,"")</f>
        <v/>
      </c>
      <c r="N1182" s="1" t="str">
        <f>IFERROR(SMALL($M$2:$M$1705,ROWS($M$2:M1182)),"")</f>
        <v/>
      </c>
      <c r="O1182" s="1" t="str">
        <f>IF(N1182&lt;&gt;"",INDEX($L$2:$L$1705,MATCH(N1182,$M$2:$M$1705,0)),"")</f>
        <v/>
      </c>
      <c r="P1182" s="1" t="str">
        <f>IF(O1182&lt;&gt;"",ROWS($O$2:O1182),"")</f>
        <v/>
      </c>
    </row>
    <row r="1183" spans="10:16" x14ac:dyDescent="0.2">
      <c r="J1183" s="1">
        <f>COUNTIF($L$2:L1183,L1183)</f>
        <v>24</v>
      </c>
      <c r="K1183" s="1">
        <f>A331</f>
        <v>1982</v>
      </c>
      <c r="L1183" s="1" t="str">
        <f>E331</f>
        <v>Austria</v>
      </c>
      <c r="M1183" s="1" t="str">
        <f>IF(J1183=1,J1183+ROWS($J$2:J1183)/10000,"")</f>
        <v/>
      </c>
      <c r="N1183" s="1" t="str">
        <f>IFERROR(SMALL($M$2:$M$1705,ROWS($M$2:M1183)),"")</f>
        <v/>
      </c>
      <c r="O1183" s="1" t="str">
        <f>IF(N1183&lt;&gt;"",INDEX($L$2:$L$1705,MATCH(N1183,$M$2:$M$1705,0)),"")</f>
        <v/>
      </c>
      <c r="P1183" s="1" t="str">
        <f>IF(O1183&lt;&gt;"",ROWS($O$2:O1183),"")</f>
        <v/>
      </c>
    </row>
    <row r="1184" spans="10:16" x14ac:dyDescent="0.2">
      <c r="J1184" s="1">
        <f>COUNTIF($L$2:L1184,L1184)</f>
        <v>2</v>
      </c>
      <c r="K1184" s="1">
        <f>A332</f>
        <v>1982</v>
      </c>
      <c r="L1184" s="1" t="str">
        <f>E332</f>
        <v>Kuwait</v>
      </c>
      <c r="M1184" s="1" t="str">
        <f>IF(J1184=1,J1184+ROWS($J$2:J1184)/10000,"")</f>
        <v/>
      </c>
      <c r="N1184" s="1" t="str">
        <f>IFERROR(SMALL($M$2:$M$1705,ROWS($M$2:M1184)),"")</f>
        <v/>
      </c>
      <c r="O1184" s="1" t="str">
        <f>IF(N1184&lt;&gt;"",INDEX($L$2:$L$1705,MATCH(N1184,$M$2:$M$1705,0)),"")</f>
        <v/>
      </c>
      <c r="P1184" s="1" t="str">
        <f>IF(O1184&lt;&gt;"",ROWS($O$2:O1184),"")</f>
        <v/>
      </c>
    </row>
    <row r="1185" spans="10:16" x14ac:dyDescent="0.2">
      <c r="J1185" s="1">
        <f>COUNTIF($L$2:L1185,L1185)</f>
        <v>10</v>
      </c>
      <c r="K1185" s="1">
        <f>A333</f>
        <v>1982</v>
      </c>
      <c r="L1185" s="1" t="str">
        <f>E333</f>
        <v>Northern Ireland</v>
      </c>
      <c r="M1185" s="1" t="str">
        <f>IF(J1185=1,J1185+ROWS($J$2:J1185)/10000,"")</f>
        <v/>
      </c>
      <c r="N1185" s="1" t="str">
        <f>IFERROR(SMALL($M$2:$M$1705,ROWS($M$2:M1185)),"")</f>
        <v/>
      </c>
      <c r="O1185" s="1" t="str">
        <f>IF(N1185&lt;&gt;"",INDEX($L$2:$L$1705,MATCH(N1185,$M$2:$M$1705,0)),"")</f>
        <v/>
      </c>
      <c r="P1185" s="1" t="str">
        <f>IF(O1185&lt;&gt;"",ROWS($O$2:O1185),"")</f>
        <v/>
      </c>
    </row>
    <row r="1186" spans="10:16" x14ac:dyDescent="0.2">
      <c r="J1186" s="1">
        <f>COUNTIF($L$2:L1186,L1186)</f>
        <v>15</v>
      </c>
      <c r="K1186" s="1">
        <f>A334</f>
        <v>1982</v>
      </c>
      <c r="L1186" s="1" t="str">
        <f>E334</f>
        <v>Peru</v>
      </c>
      <c r="M1186" s="1" t="str">
        <f>IF(J1186=1,J1186+ROWS($J$2:J1186)/10000,"")</f>
        <v/>
      </c>
      <c r="N1186" s="1" t="str">
        <f>IFERROR(SMALL($M$2:$M$1705,ROWS($M$2:M1186)),"")</f>
        <v/>
      </c>
      <c r="O1186" s="1" t="str">
        <f>IF(N1186&lt;&gt;"",INDEX($L$2:$L$1705,MATCH(N1186,$M$2:$M$1705,0)),"")</f>
        <v/>
      </c>
      <c r="P1186" s="1" t="str">
        <f>IF(O1186&lt;&gt;"",ROWS($O$2:O1186),"")</f>
        <v/>
      </c>
    </row>
    <row r="1187" spans="10:16" x14ac:dyDescent="0.2">
      <c r="J1187" s="1">
        <f>COUNTIF($L$2:L1187,L1187)</f>
        <v>31</v>
      </c>
      <c r="K1187" s="1">
        <f>A335</f>
        <v>1982</v>
      </c>
      <c r="L1187" s="1" t="str">
        <f>E335</f>
        <v>Hungary</v>
      </c>
      <c r="M1187" s="1" t="str">
        <f>IF(J1187=1,J1187+ROWS($J$2:J1187)/10000,"")</f>
        <v/>
      </c>
      <c r="N1187" s="1" t="str">
        <f>IFERROR(SMALL($M$2:$M$1705,ROWS($M$2:M1187)),"")</f>
        <v/>
      </c>
      <c r="O1187" s="1" t="str">
        <f>IF(N1187&lt;&gt;"",INDEX($L$2:$L$1705,MATCH(N1187,$M$2:$M$1705,0)),"")</f>
        <v/>
      </c>
      <c r="P1187" s="1" t="str">
        <f>IF(O1187&lt;&gt;"",ROWS($O$2:O1187),"")</f>
        <v/>
      </c>
    </row>
    <row r="1188" spans="10:16" x14ac:dyDescent="0.2">
      <c r="J1188" s="1">
        <f>COUNTIF($L$2:L1188,L1188)</f>
        <v>18</v>
      </c>
      <c r="K1188" s="1">
        <f>A336</f>
        <v>1982</v>
      </c>
      <c r="L1188" s="1" t="str">
        <f>E336</f>
        <v>Scotland</v>
      </c>
      <c r="M1188" s="1" t="str">
        <f>IF(J1188=1,J1188+ROWS($J$2:J1188)/10000,"")</f>
        <v/>
      </c>
      <c r="N1188" s="1" t="str">
        <f>IFERROR(SMALL($M$2:$M$1705,ROWS($M$2:M1188)),"")</f>
        <v/>
      </c>
      <c r="O1188" s="1" t="str">
        <f>IF(N1188&lt;&gt;"",INDEX($L$2:$L$1705,MATCH(N1188,$M$2:$M$1705,0)),"")</f>
        <v/>
      </c>
      <c r="P1188" s="1" t="str">
        <f>IF(O1188&lt;&gt;"",ROWS($O$2:O1188),"")</f>
        <v/>
      </c>
    </row>
    <row r="1189" spans="10:16" x14ac:dyDescent="0.2">
      <c r="J1189" s="1">
        <f>COUNTIF($L$2:L1189,L1189)</f>
        <v>14</v>
      </c>
      <c r="K1189" s="1">
        <f>A337</f>
        <v>1982</v>
      </c>
      <c r="L1189" s="1" t="str">
        <f>E337</f>
        <v>Cameroon</v>
      </c>
      <c r="M1189" s="1" t="str">
        <f>IF(J1189=1,J1189+ROWS($J$2:J1189)/10000,"")</f>
        <v/>
      </c>
      <c r="N1189" s="1" t="str">
        <f>IFERROR(SMALL($M$2:$M$1705,ROWS($M$2:M1189)),"")</f>
        <v/>
      </c>
      <c r="O1189" s="1" t="str">
        <f>IF(N1189&lt;&gt;"",INDEX($L$2:$L$1705,MATCH(N1189,$M$2:$M$1705,0)),"")</f>
        <v/>
      </c>
      <c r="P1189" s="1" t="str">
        <f>IF(O1189&lt;&gt;"",ROWS($O$2:O1189),"")</f>
        <v/>
      </c>
    </row>
    <row r="1190" spans="10:16" x14ac:dyDescent="0.2">
      <c r="J1190" s="1">
        <f>COUNTIF($L$2:L1190,L1190)</f>
        <v>6</v>
      </c>
      <c r="K1190" s="1">
        <f>A338</f>
        <v>1982</v>
      </c>
      <c r="L1190" s="1" t="str">
        <f>E338</f>
        <v>El Salvador</v>
      </c>
      <c r="M1190" s="1" t="str">
        <f>IF(J1190=1,J1190+ROWS($J$2:J1190)/10000,"")</f>
        <v/>
      </c>
      <c r="N1190" s="1" t="str">
        <f>IFERROR(SMALL($M$2:$M$1705,ROWS($M$2:M1190)),"")</f>
        <v/>
      </c>
      <c r="O1190" s="1" t="str">
        <f>IF(N1190&lt;&gt;"",INDEX($L$2:$L$1705,MATCH(N1190,$M$2:$M$1705,0)),"")</f>
        <v/>
      </c>
      <c r="P1190" s="1" t="str">
        <f>IF(O1190&lt;&gt;"",ROWS($O$2:O1190),"")</f>
        <v/>
      </c>
    </row>
    <row r="1191" spans="10:16" x14ac:dyDescent="0.2">
      <c r="J1191" s="1">
        <f>COUNTIF($L$2:L1191,L1191)</f>
        <v>4</v>
      </c>
      <c r="K1191" s="1">
        <f>A339</f>
        <v>1982</v>
      </c>
      <c r="L1191" s="1" t="str">
        <f>E339</f>
        <v>New Zealand</v>
      </c>
      <c r="M1191" s="1" t="str">
        <f>IF(J1191=1,J1191+ROWS($J$2:J1191)/10000,"")</f>
        <v/>
      </c>
      <c r="N1191" s="1" t="str">
        <f>IFERROR(SMALL($M$2:$M$1705,ROWS($M$2:M1191)),"")</f>
        <v/>
      </c>
      <c r="O1191" s="1" t="str">
        <f>IF(N1191&lt;&gt;"",INDEX($L$2:$L$1705,MATCH(N1191,$M$2:$M$1705,0)),"")</f>
        <v/>
      </c>
      <c r="P1191" s="1" t="str">
        <f>IF(O1191&lt;&gt;"",ROWS($O$2:O1191),"")</f>
        <v/>
      </c>
    </row>
    <row r="1192" spans="10:16" x14ac:dyDescent="0.2">
      <c r="J1192" s="1">
        <f>COUNTIF($L$2:L1192,L1192)</f>
        <v>26</v>
      </c>
      <c r="K1192" s="1">
        <f>A340</f>
        <v>1982</v>
      </c>
      <c r="L1192" s="1" t="str">
        <f>E340</f>
        <v>Chile</v>
      </c>
      <c r="M1192" s="1" t="str">
        <f>IF(J1192=1,J1192+ROWS($J$2:J1192)/10000,"")</f>
        <v/>
      </c>
      <c r="N1192" s="1" t="str">
        <f>IFERROR(SMALL($M$2:$M$1705,ROWS($M$2:M1192)),"")</f>
        <v/>
      </c>
      <c r="O1192" s="1" t="str">
        <f>IF(N1192&lt;&gt;"",INDEX($L$2:$L$1705,MATCH(N1192,$M$2:$M$1705,0)),"")</f>
        <v/>
      </c>
      <c r="P1192" s="1" t="str">
        <f>IF(O1192&lt;&gt;"",ROWS($O$2:O1192),"")</f>
        <v/>
      </c>
    </row>
    <row r="1193" spans="10:16" x14ac:dyDescent="0.2">
      <c r="J1193" s="1">
        <f>COUNTIF($L$2:L1193,L1193)</f>
        <v>26</v>
      </c>
      <c r="K1193" s="1">
        <f>A341</f>
        <v>1982</v>
      </c>
      <c r="L1193" s="1" t="str">
        <f>E341</f>
        <v>Czechoslovakia</v>
      </c>
      <c r="M1193" s="1" t="str">
        <f>IF(J1193=1,J1193+ROWS($J$2:J1193)/10000,"")</f>
        <v/>
      </c>
      <c r="N1193" s="1" t="str">
        <f>IFERROR(SMALL($M$2:$M$1705,ROWS($M$2:M1193)),"")</f>
        <v/>
      </c>
      <c r="O1193" s="1" t="str">
        <f>IF(N1193&lt;&gt;"",INDEX($L$2:$L$1705,MATCH(N1193,$M$2:$M$1705,0)),"")</f>
        <v/>
      </c>
      <c r="P1193" s="1" t="str">
        <f>IF(O1193&lt;&gt;"",ROWS($O$2:O1193),"")</f>
        <v/>
      </c>
    </row>
    <row r="1194" spans="10:16" x14ac:dyDescent="0.2">
      <c r="J1194" s="1">
        <f>COUNTIF($L$2:L1194,L1194)</f>
        <v>32</v>
      </c>
      <c r="K1194" s="1">
        <f>A342</f>
        <v>1982</v>
      </c>
      <c r="L1194" s="1" t="str">
        <f>E342</f>
        <v>Yugoslavia</v>
      </c>
      <c r="M1194" s="1" t="str">
        <f>IF(J1194=1,J1194+ROWS($J$2:J1194)/10000,"")</f>
        <v/>
      </c>
      <c r="N1194" s="1" t="str">
        <f>IFERROR(SMALL($M$2:$M$1705,ROWS($M$2:M1194)),"")</f>
        <v/>
      </c>
      <c r="O1194" s="1" t="str">
        <f>IF(N1194&lt;&gt;"",INDEX($L$2:$L$1705,MATCH(N1194,$M$2:$M$1705,0)),"")</f>
        <v/>
      </c>
      <c r="P1194" s="1" t="str">
        <f>IF(O1194&lt;&gt;"",ROWS($O$2:O1194),"")</f>
        <v/>
      </c>
    </row>
    <row r="1195" spans="10:16" x14ac:dyDescent="0.2">
      <c r="J1195" s="1">
        <f>COUNTIF($L$2:L1195,L1195)</f>
        <v>25</v>
      </c>
      <c r="K1195" s="1">
        <f>A343</f>
        <v>1982</v>
      </c>
      <c r="L1195" s="1" t="str">
        <f>E343</f>
        <v>Austria</v>
      </c>
      <c r="M1195" s="1" t="str">
        <f>IF(J1195=1,J1195+ROWS($J$2:J1195)/10000,"")</f>
        <v/>
      </c>
      <c r="N1195" s="1" t="str">
        <f>IFERROR(SMALL($M$2:$M$1705,ROWS($M$2:M1195)),"")</f>
        <v/>
      </c>
      <c r="O1195" s="1" t="str">
        <f>IF(N1195&lt;&gt;"",INDEX($L$2:$L$1705,MATCH(N1195,$M$2:$M$1705,0)),"")</f>
        <v/>
      </c>
      <c r="P1195" s="1" t="str">
        <f>IF(O1195&lt;&gt;"",ROWS($O$2:O1195),"")</f>
        <v/>
      </c>
    </row>
    <row r="1196" spans="10:16" x14ac:dyDescent="0.2">
      <c r="J1196" s="1">
        <f>COUNTIF($L$2:L1196,L1196)</f>
        <v>3</v>
      </c>
      <c r="K1196" s="1">
        <f>A344</f>
        <v>1982</v>
      </c>
      <c r="L1196" s="1" t="str">
        <f>E344</f>
        <v>Kuwait</v>
      </c>
      <c r="M1196" s="1" t="str">
        <f>IF(J1196=1,J1196+ROWS($J$2:J1196)/10000,"")</f>
        <v/>
      </c>
      <c r="N1196" s="1" t="str">
        <f>IFERROR(SMALL($M$2:$M$1705,ROWS($M$2:M1196)),"")</f>
        <v/>
      </c>
      <c r="O1196" s="1" t="str">
        <f>IF(N1196&lt;&gt;"",INDEX($L$2:$L$1705,MATCH(N1196,$M$2:$M$1705,0)),"")</f>
        <v/>
      </c>
      <c r="P1196" s="1" t="str">
        <f>IF(O1196&lt;&gt;"",ROWS($O$2:O1196),"")</f>
        <v/>
      </c>
    </row>
    <row r="1197" spans="10:16" x14ac:dyDescent="0.2">
      <c r="J1197" s="1">
        <f>COUNTIF($L$2:L1197,L1197)</f>
        <v>42</v>
      </c>
      <c r="K1197" s="1">
        <f>A345</f>
        <v>1982</v>
      </c>
      <c r="L1197" s="1" t="str">
        <f>E345</f>
        <v>Spain</v>
      </c>
      <c r="M1197" s="1" t="str">
        <f>IF(J1197=1,J1197+ROWS($J$2:J1197)/10000,"")</f>
        <v/>
      </c>
      <c r="N1197" s="1" t="str">
        <f>IFERROR(SMALL($M$2:$M$1705,ROWS($M$2:M1197)),"")</f>
        <v/>
      </c>
      <c r="O1197" s="1" t="str">
        <f>IF(N1197&lt;&gt;"",INDEX($L$2:$L$1705,MATCH(N1197,$M$2:$M$1705,0)),"")</f>
        <v/>
      </c>
      <c r="P1197" s="1" t="str">
        <f>IF(O1197&lt;&gt;"",ROWS($O$2:O1197),"")</f>
        <v/>
      </c>
    </row>
    <row r="1198" spans="10:16" x14ac:dyDescent="0.2">
      <c r="J1198" s="1">
        <f>COUNTIF($L$2:L1198,L1198)</f>
        <v>44</v>
      </c>
      <c r="K1198" s="1">
        <f>A346</f>
        <v>1982</v>
      </c>
      <c r="L1198" s="1" t="str">
        <f>E346</f>
        <v>France</v>
      </c>
      <c r="M1198" s="1" t="str">
        <f>IF(J1198=1,J1198+ROWS($J$2:J1198)/10000,"")</f>
        <v/>
      </c>
      <c r="N1198" s="1" t="str">
        <f>IFERROR(SMALL($M$2:$M$1705,ROWS($M$2:M1198)),"")</f>
        <v/>
      </c>
      <c r="O1198" s="1" t="str">
        <f>IF(N1198&lt;&gt;"",INDEX($L$2:$L$1705,MATCH(N1198,$M$2:$M$1705,0)),"")</f>
        <v/>
      </c>
      <c r="P1198" s="1" t="str">
        <f>IF(O1198&lt;&gt;"",ROWS($O$2:O1198),"")</f>
        <v/>
      </c>
    </row>
    <row r="1199" spans="10:16" x14ac:dyDescent="0.2">
      <c r="J1199" s="1">
        <f>COUNTIF($L$2:L1199,L1199)</f>
        <v>28</v>
      </c>
      <c r="K1199" s="1">
        <f>A347</f>
        <v>1982</v>
      </c>
      <c r="L1199" s="1" t="str">
        <f>E347</f>
        <v>Belgium</v>
      </c>
      <c r="M1199" s="1" t="str">
        <f>IF(J1199=1,J1199+ROWS($J$2:J1199)/10000,"")</f>
        <v/>
      </c>
      <c r="N1199" s="1" t="str">
        <f>IFERROR(SMALL($M$2:$M$1705,ROWS($M$2:M1199)),"")</f>
        <v/>
      </c>
      <c r="O1199" s="1" t="str">
        <f>IF(N1199&lt;&gt;"",INDEX($L$2:$L$1705,MATCH(N1199,$M$2:$M$1705,0)),"")</f>
        <v/>
      </c>
      <c r="P1199" s="1" t="str">
        <f>IF(O1199&lt;&gt;"",ROWS($O$2:O1199),"")</f>
        <v/>
      </c>
    </row>
    <row r="1200" spans="10:16" x14ac:dyDescent="0.2">
      <c r="J1200" s="1">
        <f>COUNTIF($L$2:L1200,L1200)</f>
        <v>65</v>
      </c>
      <c r="K1200" s="1">
        <f>A348</f>
        <v>1982</v>
      </c>
      <c r="L1200" s="1" t="str">
        <f>E348</f>
        <v>Argentina</v>
      </c>
      <c r="M1200" s="1" t="str">
        <f>IF(J1200=1,J1200+ROWS($J$2:J1200)/10000,"")</f>
        <v/>
      </c>
      <c r="N1200" s="1" t="str">
        <f>IFERROR(SMALL($M$2:$M$1705,ROWS($M$2:M1200)),"")</f>
        <v/>
      </c>
      <c r="O1200" s="1" t="str">
        <f>IF(N1200&lt;&gt;"",INDEX($L$2:$L$1705,MATCH(N1200,$M$2:$M$1705,0)),"")</f>
        <v/>
      </c>
      <c r="P1200" s="1" t="str">
        <f>IF(O1200&lt;&gt;"",ROWS($O$2:O1200),"")</f>
        <v/>
      </c>
    </row>
    <row r="1201" spans="10:16" x14ac:dyDescent="0.2">
      <c r="J1201" s="1">
        <f>COUNTIF($L$2:L1201,L1201)</f>
        <v>46</v>
      </c>
      <c r="K1201" s="1">
        <f>A349</f>
        <v>1982</v>
      </c>
      <c r="L1201" s="1" t="str">
        <f>E349</f>
        <v>England</v>
      </c>
      <c r="M1201" s="1" t="str">
        <f>IF(J1201=1,J1201+ROWS($J$2:J1201)/10000,"")</f>
        <v/>
      </c>
      <c r="N1201" s="1" t="str">
        <f>IFERROR(SMALL($M$2:$M$1705,ROWS($M$2:M1201)),"")</f>
        <v/>
      </c>
      <c r="O1201" s="1" t="str">
        <f>IF(N1201&lt;&gt;"",INDEX($L$2:$L$1705,MATCH(N1201,$M$2:$M$1705,0)),"")</f>
        <v/>
      </c>
      <c r="P1201" s="1" t="str">
        <f>IF(O1201&lt;&gt;"",ROWS($O$2:O1201),"")</f>
        <v/>
      </c>
    </row>
    <row r="1202" spans="10:16" x14ac:dyDescent="0.2">
      <c r="J1202" s="1">
        <f>COUNTIF($L$2:L1202,L1202)</f>
        <v>11</v>
      </c>
      <c r="K1202" s="1">
        <f>A350</f>
        <v>1982</v>
      </c>
      <c r="L1202" s="1" t="str">
        <f>E350</f>
        <v>Northern Ireland</v>
      </c>
      <c r="M1202" s="1" t="str">
        <f>IF(J1202=1,J1202+ROWS($J$2:J1202)/10000,"")</f>
        <v/>
      </c>
      <c r="N1202" s="1" t="str">
        <f>IFERROR(SMALL($M$2:$M$1705,ROWS($M$2:M1202)),"")</f>
        <v/>
      </c>
      <c r="O1202" s="1" t="str">
        <f>IF(N1202&lt;&gt;"",INDEX($L$2:$L$1705,MATCH(N1202,$M$2:$M$1705,0)),"")</f>
        <v/>
      </c>
      <c r="P1202" s="1" t="str">
        <f>IF(O1202&lt;&gt;"",ROWS($O$2:O1202),"")</f>
        <v/>
      </c>
    </row>
    <row r="1203" spans="10:16" x14ac:dyDescent="0.2">
      <c r="J1203" s="1">
        <f>COUNTIF($L$2:L1203,L1203)</f>
        <v>27</v>
      </c>
      <c r="K1203" s="1">
        <f>A351</f>
        <v>1982</v>
      </c>
      <c r="L1203" s="1" t="str">
        <f>E351</f>
        <v>Soviet Union</v>
      </c>
      <c r="M1203" s="1" t="str">
        <f>IF(J1203=1,J1203+ROWS($J$2:J1203)/10000,"")</f>
        <v/>
      </c>
      <c r="N1203" s="1" t="str">
        <f>IFERROR(SMALL($M$2:$M$1705,ROWS($M$2:M1203)),"")</f>
        <v/>
      </c>
      <c r="O1203" s="1" t="str">
        <f>IF(N1203&lt;&gt;"",INDEX($L$2:$L$1705,MATCH(N1203,$M$2:$M$1705,0)),"")</f>
        <v/>
      </c>
      <c r="P1203" s="1" t="str">
        <f>IF(O1203&lt;&gt;"",ROWS($O$2:O1203),"")</f>
        <v/>
      </c>
    </row>
    <row r="1204" spans="10:16" x14ac:dyDescent="0.2">
      <c r="J1204" s="1">
        <f>COUNTIF($L$2:L1204,L1204)</f>
        <v>96</v>
      </c>
      <c r="K1204" s="1">
        <f>A352</f>
        <v>1982</v>
      </c>
      <c r="L1204" s="1" t="str">
        <f>E352</f>
        <v>Brazil</v>
      </c>
      <c r="M1204" s="1" t="str">
        <f>IF(J1204=1,J1204+ROWS($J$2:J1204)/10000,"")</f>
        <v/>
      </c>
      <c r="N1204" s="1" t="str">
        <f>IFERROR(SMALL($M$2:$M$1705,ROWS($M$2:M1204)),"")</f>
        <v/>
      </c>
      <c r="O1204" s="1" t="str">
        <f>IF(N1204&lt;&gt;"",INDEX($L$2:$L$1705,MATCH(N1204,$M$2:$M$1705,0)),"")</f>
        <v/>
      </c>
      <c r="P1204" s="1" t="str">
        <f>IF(O1204&lt;&gt;"",ROWS($O$2:O1204),"")</f>
        <v/>
      </c>
    </row>
    <row r="1205" spans="10:16" x14ac:dyDescent="0.2">
      <c r="J1205" s="1">
        <f>COUNTIF($L$2:L1205,L1205)</f>
        <v>43</v>
      </c>
      <c r="K1205" s="1">
        <f>A353</f>
        <v>1982</v>
      </c>
      <c r="L1205" s="1" t="str">
        <f>E353</f>
        <v>Spain</v>
      </c>
      <c r="M1205" s="1" t="str">
        <f>IF(J1205=1,J1205+ROWS($J$2:J1205)/10000,"")</f>
        <v/>
      </c>
      <c r="N1205" s="1" t="str">
        <f>IFERROR(SMALL($M$2:$M$1705,ROWS($M$2:M1205)),"")</f>
        <v/>
      </c>
      <c r="O1205" s="1" t="str">
        <f>IF(N1205&lt;&gt;"",INDEX($L$2:$L$1705,MATCH(N1205,$M$2:$M$1705,0)),"")</f>
        <v/>
      </c>
      <c r="P1205" s="1" t="str">
        <f>IF(O1205&lt;&gt;"",ROWS($O$2:O1205),"")</f>
        <v/>
      </c>
    </row>
    <row r="1206" spans="10:16" x14ac:dyDescent="0.2">
      <c r="J1206" s="1">
        <f>COUNTIF($L$2:L1206,L1206)</f>
        <v>12</v>
      </c>
      <c r="K1206" s="1">
        <f>A354</f>
        <v>1982</v>
      </c>
      <c r="L1206" s="1" t="str">
        <f>E354</f>
        <v>Northern Ireland</v>
      </c>
      <c r="M1206" s="1" t="str">
        <f>IF(J1206=1,J1206+ROWS($J$2:J1206)/10000,"")</f>
        <v/>
      </c>
      <c r="N1206" s="1" t="str">
        <f>IFERROR(SMALL($M$2:$M$1705,ROWS($M$2:M1206)),"")</f>
        <v/>
      </c>
      <c r="O1206" s="1" t="str">
        <f>IF(N1206&lt;&gt;"",INDEX($L$2:$L$1705,MATCH(N1206,$M$2:$M$1705,0)),"")</f>
        <v/>
      </c>
      <c r="P1206" s="1" t="str">
        <f>IF(O1206&lt;&gt;"",ROWS($O$2:O1206),"")</f>
        <v/>
      </c>
    </row>
    <row r="1207" spans="10:16" x14ac:dyDescent="0.2">
      <c r="J1207" s="1">
        <f>COUNTIF($L$2:L1207,L1207)</f>
        <v>28</v>
      </c>
      <c r="K1207" s="1">
        <f>A355</f>
        <v>1982</v>
      </c>
      <c r="L1207" s="1" t="str">
        <f>E355</f>
        <v>Soviet Union</v>
      </c>
      <c r="M1207" s="1" t="str">
        <f>IF(J1207=1,J1207+ROWS($J$2:J1207)/10000,"")</f>
        <v/>
      </c>
      <c r="N1207" s="1" t="str">
        <f>IFERROR(SMALL($M$2:$M$1705,ROWS($M$2:M1207)),"")</f>
        <v/>
      </c>
      <c r="O1207" s="1" t="str">
        <f>IF(N1207&lt;&gt;"",INDEX($L$2:$L$1705,MATCH(N1207,$M$2:$M$1705,0)),"")</f>
        <v/>
      </c>
      <c r="P1207" s="1" t="str">
        <f>IF(O1207&lt;&gt;"",ROWS($O$2:O1207),"")</f>
        <v/>
      </c>
    </row>
    <row r="1208" spans="10:16" x14ac:dyDescent="0.2">
      <c r="J1208" s="1">
        <f>COUNTIF($L$2:L1208,L1208)</f>
        <v>97</v>
      </c>
      <c r="K1208" s="1">
        <f>A356</f>
        <v>1982</v>
      </c>
      <c r="L1208" s="1" t="str">
        <f>E356</f>
        <v>Brazil</v>
      </c>
      <c r="M1208" s="1" t="str">
        <f>IF(J1208=1,J1208+ROWS($J$2:J1208)/10000,"")</f>
        <v/>
      </c>
      <c r="N1208" s="1" t="str">
        <f>IFERROR(SMALL($M$2:$M$1705,ROWS($M$2:M1208)),"")</f>
        <v/>
      </c>
      <c r="O1208" s="1" t="str">
        <f>IF(N1208&lt;&gt;"",INDEX($L$2:$L$1705,MATCH(N1208,$M$2:$M$1705,0)),"")</f>
        <v/>
      </c>
      <c r="P1208" s="1" t="str">
        <f>IF(O1208&lt;&gt;"",ROWS($O$2:O1208),"")</f>
        <v/>
      </c>
    </row>
    <row r="1209" spans="10:16" x14ac:dyDescent="0.2">
      <c r="J1209" s="1">
        <f>COUNTIF($L$2:L1209,L1209)</f>
        <v>47</v>
      </c>
      <c r="K1209" s="1">
        <f>A357</f>
        <v>1982</v>
      </c>
      <c r="L1209" s="1" t="str">
        <f>E357</f>
        <v>England</v>
      </c>
      <c r="M1209" s="1" t="str">
        <f>IF(J1209=1,J1209+ROWS($J$2:J1209)/10000,"")</f>
        <v/>
      </c>
      <c r="N1209" s="1" t="str">
        <f>IFERROR(SMALL($M$2:$M$1705,ROWS($M$2:M1209)),"")</f>
        <v/>
      </c>
      <c r="O1209" s="1" t="str">
        <f>IF(N1209&lt;&gt;"",INDEX($L$2:$L$1705,MATCH(N1209,$M$2:$M$1705,0)),"")</f>
        <v/>
      </c>
      <c r="P1209" s="1" t="str">
        <f>IF(O1209&lt;&gt;"",ROWS($O$2:O1209),"")</f>
        <v/>
      </c>
    </row>
    <row r="1210" spans="10:16" x14ac:dyDescent="0.2">
      <c r="J1210" s="1">
        <f>COUNTIF($L$2:L1210,L1210)</f>
        <v>72</v>
      </c>
      <c r="K1210" s="1">
        <f>A358</f>
        <v>1982</v>
      </c>
      <c r="L1210" s="1" t="str">
        <f>E358</f>
        <v>Italy</v>
      </c>
      <c r="M1210" s="1" t="str">
        <f>IF(J1210=1,J1210+ROWS($J$2:J1210)/10000,"")</f>
        <v/>
      </c>
      <c r="N1210" s="1" t="str">
        <f>IFERROR(SMALL($M$2:$M$1705,ROWS($M$2:M1210)),"")</f>
        <v/>
      </c>
      <c r="O1210" s="1" t="str">
        <f>IF(N1210&lt;&gt;"",INDEX($L$2:$L$1705,MATCH(N1210,$M$2:$M$1705,0)),"")</f>
        <v/>
      </c>
      <c r="P1210" s="1" t="str">
        <f>IF(O1210&lt;&gt;"",ROWS($O$2:O1210),"")</f>
        <v/>
      </c>
    </row>
    <row r="1211" spans="10:16" x14ac:dyDescent="0.2">
      <c r="J1211" s="1">
        <f>COUNTIF($L$2:L1211,L1211)</f>
        <v>45</v>
      </c>
      <c r="K1211" s="1">
        <f>A359</f>
        <v>1982</v>
      </c>
      <c r="L1211" s="1" t="str">
        <f>E359</f>
        <v>France</v>
      </c>
      <c r="M1211" s="1" t="str">
        <f>IF(J1211=1,J1211+ROWS($J$2:J1211)/10000,"")</f>
        <v/>
      </c>
      <c r="N1211" s="1" t="str">
        <f>IFERROR(SMALL($M$2:$M$1705,ROWS($M$2:M1211)),"")</f>
        <v/>
      </c>
      <c r="O1211" s="1" t="str">
        <f>IF(N1211&lt;&gt;"",INDEX($L$2:$L$1705,MATCH(N1211,$M$2:$M$1705,0)),"")</f>
        <v/>
      </c>
      <c r="P1211" s="1" t="str">
        <f>IF(O1211&lt;&gt;"",ROWS($O$2:O1211),"")</f>
        <v/>
      </c>
    </row>
    <row r="1212" spans="10:16" x14ac:dyDescent="0.2">
      <c r="J1212" s="1">
        <f>COUNTIF($L$2:L1212,L1212)</f>
        <v>46</v>
      </c>
      <c r="K1212" s="1">
        <f>A360</f>
        <v>1982</v>
      </c>
      <c r="L1212" s="1" t="str">
        <f>E360</f>
        <v>France</v>
      </c>
      <c r="M1212" s="1" t="str">
        <f>IF(J1212=1,J1212+ROWS($J$2:J1212)/10000,"")</f>
        <v/>
      </c>
      <c r="N1212" s="1" t="str">
        <f>IFERROR(SMALL($M$2:$M$1705,ROWS($M$2:M1212)),"")</f>
        <v/>
      </c>
      <c r="O1212" s="1" t="str">
        <f>IF(N1212&lt;&gt;"",INDEX($L$2:$L$1705,MATCH(N1212,$M$2:$M$1705,0)),"")</f>
        <v/>
      </c>
      <c r="P1212" s="1" t="str">
        <f>IF(O1212&lt;&gt;"",ROWS($O$2:O1212),"")</f>
        <v/>
      </c>
    </row>
    <row r="1213" spans="10:16" x14ac:dyDescent="0.2">
      <c r="J1213" s="1">
        <f>COUNTIF($L$2:L1213,L1213)</f>
        <v>57</v>
      </c>
      <c r="K1213" s="1">
        <f>A361</f>
        <v>1982</v>
      </c>
      <c r="L1213" s="1" t="str">
        <f>E361</f>
        <v>Germany FR</v>
      </c>
      <c r="M1213" s="1" t="str">
        <f>IF(J1213=1,J1213+ROWS($J$2:J1213)/10000,"")</f>
        <v/>
      </c>
      <c r="N1213" s="1" t="str">
        <f>IFERROR(SMALL($M$2:$M$1705,ROWS($M$2:M1213)),"")</f>
        <v/>
      </c>
      <c r="O1213" s="1" t="str">
        <f>IF(N1213&lt;&gt;"",INDEX($L$2:$L$1705,MATCH(N1213,$M$2:$M$1705,0)),"")</f>
        <v/>
      </c>
      <c r="P1213" s="1" t="str">
        <f>IF(O1213&lt;&gt;"",ROWS($O$2:O1213),"")</f>
        <v/>
      </c>
    </row>
    <row r="1214" spans="10:16" x14ac:dyDescent="0.2">
      <c r="J1214" s="1">
        <f>COUNTIF($L$2:L1214,L1214)</f>
        <v>73</v>
      </c>
      <c r="K1214" s="1">
        <f>A362</f>
        <v>1986</v>
      </c>
      <c r="L1214" s="1" t="str">
        <f>E362</f>
        <v>Italy</v>
      </c>
      <c r="M1214" s="1" t="str">
        <f>IF(J1214=1,J1214+ROWS($J$2:J1214)/10000,"")</f>
        <v/>
      </c>
      <c r="N1214" s="1" t="str">
        <f>IFERROR(SMALL($M$2:$M$1705,ROWS($M$2:M1214)),"")</f>
        <v/>
      </c>
      <c r="O1214" s="1" t="str">
        <f>IF(N1214&lt;&gt;"",INDEX($L$2:$L$1705,MATCH(N1214,$M$2:$M$1705,0)),"")</f>
        <v/>
      </c>
      <c r="P1214" s="1" t="str">
        <f>IF(O1214&lt;&gt;"",ROWS($O$2:O1214),"")</f>
        <v/>
      </c>
    </row>
    <row r="1215" spans="10:16" x14ac:dyDescent="0.2">
      <c r="J1215" s="1">
        <f>COUNTIF($L$2:L1215,L1215)</f>
        <v>47</v>
      </c>
      <c r="K1215" s="1">
        <f>A363</f>
        <v>1986</v>
      </c>
      <c r="L1215" s="1" t="str">
        <f>E363</f>
        <v>France</v>
      </c>
      <c r="M1215" s="1" t="str">
        <f>IF(J1215=1,J1215+ROWS($J$2:J1215)/10000,"")</f>
        <v/>
      </c>
      <c r="N1215" s="1" t="str">
        <f>IFERROR(SMALL($M$2:$M$1705,ROWS($M$2:M1215)),"")</f>
        <v/>
      </c>
      <c r="O1215" s="1" t="str">
        <f>IF(N1215&lt;&gt;"",INDEX($L$2:$L$1705,MATCH(N1215,$M$2:$M$1705,0)),"")</f>
        <v/>
      </c>
      <c r="P1215" s="1" t="str">
        <f>IF(O1215&lt;&gt;"",ROWS($O$2:O1215),"")</f>
        <v/>
      </c>
    </row>
    <row r="1216" spans="10:16" x14ac:dyDescent="0.2">
      <c r="J1216" s="1">
        <f>COUNTIF($L$2:L1216,L1216)</f>
        <v>98</v>
      </c>
      <c r="K1216" s="1">
        <f>A364</f>
        <v>1986</v>
      </c>
      <c r="L1216" s="1" t="str">
        <f>E364</f>
        <v>Brazil</v>
      </c>
      <c r="M1216" s="1" t="str">
        <f>IF(J1216=1,J1216+ROWS($J$2:J1216)/10000,"")</f>
        <v/>
      </c>
      <c r="N1216" s="1" t="str">
        <f>IFERROR(SMALL($M$2:$M$1705,ROWS($M$2:M1216)),"")</f>
        <v/>
      </c>
      <c r="O1216" s="1" t="str">
        <f>IF(N1216&lt;&gt;"",INDEX($L$2:$L$1705,MATCH(N1216,$M$2:$M$1705,0)),"")</f>
        <v/>
      </c>
      <c r="P1216" s="1" t="str">
        <f>IF(O1216&lt;&gt;"",ROWS($O$2:O1216),"")</f>
        <v/>
      </c>
    </row>
    <row r="1217" spans="10:16" x14ac:dyDescent="0.2">
      <c r="J1217" s="1">
        <f>COUNTIF($L$2:L1217,L1217)</f>
        <v>32</v>
      </c>
      <c r="K1217" s="1">
        <f>A365</f>
        <v>1986</v>
      </c>
      <c r="L1217" s="1" t="str">
        <f>E365</f>
        <v>Hungary</v>
      </c>
      <c r="M1217" s="1" t="str">
        <f>IF(J1217=1,J1217+ROWS($J$2:J1217)/10000,"")</f>
        <v/>
      </c>
      <c r="N1217" s="1" t="str">
        <f>IFERROR(SMALL($M$2:$M$1705,ROWS($M$2:M1217)),"")</f>
        <v/>
      </c>
      <c r="O1217" s="1" t="str">
        <f>IF(N1217&lt;&gt;"",INDEX($L$2:$L$1705,MATCH(N1217,$M$2:$M$1705,0)),"")</f>
        <v/>
      </c>
      <c r="P1217" s="1" t="str">
        <f>IF(O1217&lt;&gt;"",ROWS($O$2:O1217),"")</f>
        <v/>
      </c>
    </row>
    <row r="1218" spans="10:16" x14ac:dyDescent="0.2">
      <c r="J1218" s="1">
        <f>COUNTIF($L$2:L1218,L1218)</f>
        <v>17</v>
      </c>
      <c r="K1218" s="1">
        <f>A366</f>
        <v>1986</v>
      </c>
      <c r="L1218" s="1" t="str">
        <f>E366</f>
        <v>Korea Republic</v>
      </c>
      <c r="M1218" s="1" t="str">
        <f>IF(J1218=1,J1218+ROWS($J$2:J1218)/10000,"")</f>
        <v/>
      </c>
      <c r="N1218" s="1" t="str">
        <f>IFERROR(SMALL($M$2:$M$1705,ROWS($M$2:M1218)),"")</f>
        <v/>
      </c>
      <c r="O1218" s="1" t="str">
        <f>IF(N1218&lt;&gt;"",INDEX($L$2:$L$1705,MATCH(N1218,$M$2:$M$1705,0)),"")</f>
        <v/>
      </c>
      <c r="P1218" s="1" t="str">
        <f>IF(O1218&lt;&gt;"",ROWS($O$2:O1218),"")</f>
        <v/>
      </c>
    </row>
    <row r="1219" spans="10:16" x14ac:dyDescent="0.2">
      <c r="J1219" s="1">
        <f>COUNTIF($L$2:L1219,L1219)</f>
        <v>25</v>
      </c>
      <c r="K1219" s="1">
        <f>A367</f>
        <v>1986</v>
      </c>
      <c r="L1219" s="1" t="str">
        <f>E367</f>
        <v>Poland</v>
      </c>
      <c r="M1219" s="1" t="str">
        <f>IF(J1219=1,J1219+ROWS($J$2:J1219)/10000,"")</f>
        <v/>
      </c>
      <c r="N1219" s="1" t="str">
        <f>IFERROR(SMALL($M$2:$M$1705,ROWS($M$2:M1219)),"")</f>
        <v/>
      </c>
      <c r="O1219" s="1" t="str">
        <f>IF(N1219&lt;&gt;"",INDEX($L$2:$L$1705,MATCH(N1219,$M$2:$M$1705,0)),"")</f>
        <v/>
      </c>
      <c r="P1219" s="1" t="str">
        <f>IF(O1219&lt;&gt;"",ROWS($O$2:O1219),"")</f>
        <v/>
      </c>
    </row>
    <row r="1220" spans="10:16" x14ac:dyDescent="0.2">
      <c r="J1220" s="1">
        <f>COUNTIF($L$2:L1220,L1220)</f>
        <v>13</v>
      </c>
      <c r="K1220" s="1">
        <f>A368</f>
        <v>1986</v>
      </c>
      <c r="L1220" s="1" t="str">
        <f>E368</f>
        <v>Northern Ireland</v>
      </c>
      <c r="M1220" s="1" t="str">
        <f>IF(J1220=1,J1220+ROWS($J$2:J1220)/10000,"")</f>
        <v/>
      </c>
      <c r="N1220" s="1" t="str">
        <f>IFERROR(SMALL($M$2:$M$1705,ROWS($M$2:M1220)),"")</f>
        <v/>
      </c>
      <c r="O1220" s="1" t="str">
        <f>IF(N1220&lt;&gt;"",INDEX($L$2:$L$1705,MATCH(N1220,$M$2:$M$1705,0)),"")</f>
        <v/>
      </c>
      <c r="P1220" s="1" t="str">
        <f>IF(O1220&lt;&gt;"",ROWS($O$2:O1220),"")</f>
        <v/>
      </c>
    </row>
    <row r="1221" spans="10:16" x14ac:dyDescent="0.2">
      <c r="J1221" s="1">
        <f>COUNTIF($L$2:L1221,L1221)</f>
        <v>36</v>
      </c>
      <c r="K1221" s="1">
        <f>A369</f>
        <v>1986</v>
      </c>
      <c r="L1221" s="1" t="str">
        <f>E369</f>
        <v>Mexico</v>
      </c>
      <c r="M1221" s="1" t="str">
        <f>IF(J1221=1,J1221+ROWS($J$2:J1221)/10000,"")</f>
        <v/>
      </c>
      <c r="N1221" s="1" t="str">
        <f>IFERROR(SMALL($M$2:$M$1705,ROWS($M$2:M1221)),"")</f>
        <v/>
      </c>
      <c r="O1221" s="1" t="str">
        <f>IF(N1221&lt;&gt;"",INDEX($L$2:$L$1705,MATCH(N1221,$M$2:$M$1705,0)),"")</f>
        <v/>
      </c>
      <c r="P1221" s="1" t="str">
        <f>IF(O1221&lt;&gt;"",ROWS($O$2:O1221),"")</f>
        <v/>
      </c>
    </row>
    <row r="1222" spans="10:16" x14ac:dyDescent="0.2">
      <c r="J1222" s="1">
        <f>COUNTIF($L$2:L1222,L1222)</f>
        <v>48</v>
      </c>
      <c r="K1222" s="1">
        <f>A370</f>
        <v>1986</v>
      </c>
      <c r="L1222" s="1" t="str">
        <f>E370</f>
        <v>England</v>
      </c>
      <c r="M1222" s="1" t="str">
        <f>IF(J1222=1,J1222+ROWS($J$2:J1222)/10000,"")</f>
        <v/>
      </c>
      <c r="N1222" s="1" t="str">
        <f>IFERROR(SMALL($M$2:$M$1705,ROWS($M$2:M1222)),"")</f>
        <v/>
      </c>
      <c r="O1222" s="1" t="str">
        <f>IF(N1222&lt;&gt;"",INDEX($L$2:$L$1705,MATCH(N1222,$M$2:$M$1705,0)),"")</f>
        <v/>
      </c>
      <c r="P1222" s="1" t="str">
        <f>IF(O1222&lt;&gt;"",ROWS($O$2:O1222),"")</f>
        <v/>
      </c>
    </row>
    <row r="1223" spans="10:16" x14ac:dyDescent="0.2">
      <c r="J1223" s="1">
        <f>COUNTIF($L$2:L1223,L1223)</f>
        <v>3</v>
      </c>
      <c r="K1223" s="1">
        <f>A371</f>
        <v>1986</v>
      </c>
      <c r="L1223" s="1" t="str">
        <f>E371</f>
        <v>Iraq</v>
      </c>
      <c r="M1223" s="1" t="str">
        <f>IF(J1223=1,J1223+ROWS($J$2:J1223)/10000,"")</f>
        <v/>
      </c>
      <c r="N1223" s="1" t="str">
        <f>IFERROR(SMALL($M$2:$M$1705,ROWS($M$2:M1223)),"")</f>
        <v/>
      </c>
      <c r="O1223" s="1" t="str">
        <f>IF(N1223&lt;&gt;"",INDEX($L$2:$L$1705,MATCH(N1223,$M$2:$M$1705,0)),"")</f>
        <v/>
      </c>
      <c r="P1223" s="1" t="str">
        <f>IF(O1223&lt;&gt;"",ROWS($O$2:O1223),"")</f>
        <v/>
      </c>
    </row>
    <row r="1224" spans="10:16" x14ac:dyDescent="0.2">
      <c r="J1224" s="1">
        <f>COUNTIF($L$2:L1224,L1224)</f>
        <v>8</v>
      </c>
      <c r="K1224" s="1">
        <f>A372</f>
        <v>1986</v>
      </c>
      <c r="L1224" s="1" t="str">
        <f>E372</f>
        <v>Denmark</v>
      </c>
      <c r="M1224" s="1" t="str">
        <f>IF(J1224=1,J1224+ROWS($J$2:J1224)/10000,"")</f>
        <v/>
      </c>
      <c r="N1224" s="1" t="str">
        <f>IFERROR(SMALL($M$2:$M$1705,ROWS($M$2:M1224)),"")</f>
        <v/>
      </c>
      <c r="O1224" s="1" t="str">
        <f>IF(N1224&lt;&gt;"",INDEX($L$2:$L$1705,MATCH(N1224,$M$2:$M$1705,0)),"")</f>
        <v/>
      </c>
      <c r="P1224" s="1" t="str">
        <f>IF(O1224&lt;&gt;"",ROWS($O$2:O1224),"")</f>
        <v/>
      </c>
    </row>
    <row r="1225" spans="10:16" x14ac:dyDescent="0.2">
      <c r="J1225" s="1">
        <f>COUNTIF($L$2:L1225,L1225)</f>
        <v>58</v>
      </c>
      <c r="K1225" s="1">
        <f>A373</f>
        <v>1986</v>
      </c>
      <c r="L1225" s="1" t="str">
        <f>E373</f>
        <v>Germany FR</v>
      </c>
      <c r="M1225" s="1" t="str">
        <f>IF(J1225=1,J1225+ROWS($J$2:J1225)/10000,"")</f>
        <v/>
      </c>
      <c r="N1225" s="1" t="str">
        <f>IFERROR(SMALL($M$2:$M$1705,ROWS($M$2:M1225)),"")</f>
        <v/>
      </c>
      <c r="O1225" s="1" t="str">
        <f>IF(N1225&lt;&gt;"",INDEX($L$2:$L$1705,MATCH(N1225,$M$2:$M$1705,0)),"")</f>
        <v/>
      </c>
      <c r="P1225" s="1" t="str">
        <f>IF(O1225&lt;&gt;"",ROWS($O$2:O1225),"")</f>
        <v/>
      </c>
    </row>
    <row r="1226" spans="10:16" x14ac:dyDescent="0.2">
      <c r="J1226" s="1">
        <f>COUNTIF($L$2:L1226,L1226)</f>
        <v>66</v>
      </c>
      <c r="K1226" s="1">
        <f>A374</f>
        <v>1986</v>
      </c>
      <c r="L1226" s="1" t="str">
        <f>E374</f>
        <v>Argentina</v>
      </c>
      <c r="M1226" s="1" t="str">
        <f>IF(J1226=1,J1226+ROWS($J$2:J1226)/10000,"")</f>
        <v/>
      </c>
      <c r="N1226" s="1" t="str">
        <f>IFERROR(SMALL($M$2:$M$1705,ROWS($M$2:M1226)),"")</f>
        <v/>
      </c>
      <c r="O1226" s="1" t="str">
        <f>IF(N1226&lt;&gt;"",INDEX($L$2:$L$1705,MATCH(N1226,$M$2:$M$1705,0)),"")</f>
        <v/>
      </c>
      <c r="P1226" s="1" t="str">
        <f>IF(O1226&lt;&gt;"",ROWS($O$2:O1226),"")</f>
        <v/>
      </c>
    </row>
    <row r="1227" spans="10:16" x14ac:dyDescent="0.2">
      <c r="J1227" s="1">
        <f>COUNTIF($L$2:L1227,L1227)</f>
        <v>29</v>
      </c>
      <c r="K1227" s="1">
        <f>A375</f>
        <v>1986</v>
      </c>
      <c r="L1227" s="1" t="str">
        <f>E375</f>
        <v>Soviet Union</v>
      </c>
      <c r="M1227" s="1" t="str">
        <f>IF(J1227=1,J1227+ROWS($J$2:J1227)/10000,"")</f>
        <v/>
      </c>
      <c r="N1227" s="1" t="str">
        <f>IFERROR(SMALL($M$2:$M$1705,ROWS($M$2:M1227)),"")</f>
        <v/>
      </c>
      <c r="O1227" s="1" t="str">
        <f>IF(N1227&lt;&gt;"",INDEX($L$2:$L$1705,MATCH(N1227,$M$2:$M$1705,0)),"")</f>
        <v/>
      </c>
      <c r="P1227" s="1" t="str">
        <f>IF(O1227&lt;&gt;"",ROWS($O$2:O1227),"")</f>
        <v/>
      </c>
    </row>
    <row r="1228" spans="10:16" x14ac:dyDescent="0.2">
      <c r="J1228" s="1">
        <f>COUNTIF($L$2:L1228,L1228)</f>
        <v>17</v>
      </c>
      <c r="K1228" s="1">
        <f>A376</f>
        <v>1986</v>
      </c>
      <c r="L1228" s="1" t="str">
        <f>E376</f>
        <v>Bulgaria</v>
      </c>
      <c r="M1228" s="1" t="str">
        <f>IF(J1228=1,J1228+ROWS($J$2:J1228)/10000,"")</f>
        <v/>
      </c>
      <c r="N1228" s="1" t="str">
        <f>IFERROR(SMALL($M$2:$M$1705,ROWS($M$2:M1228)),"")</f>
        <v/>
      </c>
      <c r="O1228" s="1" t="str">
        <f>IF(N1228&lt;&gt;"",INDEX($L$2:$L$1705,MATCH(N1228,$M$2:$M$1705,0)),"")</f>
        <v/>
      </c>
      <c r="P1228" s="1" t="str">
        <f>IF(O1228&lt;&gt;"",ROWS($O$2:O1228),"")</f>
        <v/>
      </c>
    </row>
    <row r="1229" spans="10:16" x14ac:dyDescent="0.2">
      <c r="J1229" s="1">
        <f>COUNTIF($L$2:L1229,L1229)</f>
        <v>2</v>
      </c>
      <c r="K1229" s="1">
        <f>A377</f>
        <v>1986</v>
      </c>
      <c r="L1229" s="1" t="str">
        <f>E377</f>
        <v>Canada</v>
      </c>
      <c r="M1229" s="1" t="str">
        <f>IF(J1229=1,J1229+ROWS($J$2:J1229)/10000,"")</f>
        <v/>
      </c>
      <c r="N1229" s="1" t="str">
        <f>IFERROR(SMALL($M$2:$M$1705,ROWS($M$2:M1229)),"")</f>
        <v/>
      </c>
      <c r="O1229" s="1" t="str">
        <f>IF(N1229&lt;&gt;"",INDEX($L$2:$L$1705,MATCH(N1229,$M$2:$M$1705,0)),"")</f>
        <v/>
      </c>
      <c r="P1229" s="1" t="str">
        <f>IF(O1229&lt;&gt;"",ROWS($O$2:O1229),"")</f>
        <v/>
      </c>
    </row>
    <row r="1230" spans="10:16" x14ac:dyDescent="0.2">
      <c r="J1230" s="1">
        <f>COUNTIF($L$2:L1230,L1230)</f>
        <v>8</v>
      </c>
      <c r="K1230" s="1">
        <f>A378</f>
        <v>1986</v>
      </c>
      <c r="L1230" s="1" t="str">
        <f>E378</f>
        <v>Algeria</v>
      </c>
      <c r="M1230" s="1" t="str">
        <f>IF(J1230=1,J1230+ROWS($J$2:J1230)/10000,"")</f>
        <v/>
      </c>
      <c r="N1230" s="1" t="str">
        <f>IFERROR(SMALL($M$2:$M$1705,ROWS($M$2:M1230)),"")</f>
        <v/>
      </c>
      <c r="O1230" s="1" t="str">
        <f>IF(N1230&lt;&gt;"",INDEX($L$2:$L$1705,MATCH(N1230,$M$2:$M$1705,0)),"")</f>
        <v/>
      </c>
      <c r="P1230" s="1" t="str">
        <f>IF(O1230&lt;&gt;"",ROWS($O$2:O1230),"")</f>
        <v/>
      </c>
    </row>
    <row r="1231" spans="10:16" x14ac:dyDescent="0.2">
      <c r="J1231" s="1">
        <f>COUNTIF($L$2:L1231,L1231)</f>
        <v>8</v>
      </c>
      <c r="K1231" s="1">
        <f>A379</f>
        <v>1986</v>
      </c>
      <c r="L1231" s="1" t="str">
        <f>E379</f>
        <v>Morocco</v>
      </c>
      <c r="M1231" s="1" t="str">
        <f>IF(J1231=1,J1231+ROWS($J$2:J1231)/10000,"")</f>
        <v/>
      </c>
      <c r="N1231" s="1" t="str">
        <f>IFERROR(SMALL($M$2:$M$1705,ROWS($M$2:M1231)),"")</f>
        <v/>
      </c>
      <c r="O1231" s="1" t="str">
        <f>IF(N1231&lt;&gt;"",INDEX($L$2:$L$1705,MATCH(N1231,$M$2:$M$1705,0)),"")</f>
        <v/>
      </c>
      <c r="P1231" s="1" t="str">
        <f>IF(O1231&lt;&gt;"",ROWS($O$2:O1231),"")</f>
        <v/>
      </c>
    </row>
    <row r="1232" spans="10:16" x14ac:dyDescent="0.2">
      <c r="J1232" s="1">
        <f>COUNTIF($L$2:L1232,L1232)</f>
        <v>44</v>
      </c>
      <c r="K1232" s="1">
        <f>A380</f>
        <v>1986</v>
      </c>
      <c r="L1232" s="1" t="str">
        <f>E380</f>
        <v>Spain</v>
      </c>
      <c r="M1232" s="1" t="str">
        <f>IF(J1232=1,J1232+ROWS($J$2:J1232)/10000,"")</f>
        <v/>
      </c>
      <c r="N1232" s="1" t="str">
        <f>IFERROR(SMALL($M$2:$M$1705,ROWS($M$2:M1232)),"")</f>
        <v/>
      </c>
      <c r="O1232" s="1" t="str">
        <f>IF(N1232&lt;&gt;"",INDEX($L$2:$L$1705,MATCH(N1232,$M$2:$M$1705,0)),"")</f>
        <v/>
      </c>
      <c r="P1232" s="1" t="str">
        <f>IF(O1232&lt;&gt;"",ROWS($O$2:O1232),"")</f>
        <v/>
      </c>
    </row>
    <row r="1233" spans="10:16" x14ac:dyDescent="0.2">
      <c r="J1233" s="1">
        <f>COUNTIF($L$2:L1233,L1233)</f>
        <v>16</v>
      </c>
      <c r="K1233" s="1">
        <f>A381</f>
        <v>1986</v>
      </c>
      <c r="L1233" s="1" t="str">
        <f>E381</f>
        <v>Paraguay</v>
      </c>
      <c r="M1233" s="1" t="str">
        <f>IF(J1233=1,J1233+ROWS($J$2:J1233)/10000,"")</f>
        <v/>
      </c>
      <c r="N1233" s="1" t="str">
        <f>IFERROR(SMALL($M$2:$M$1705,ROWS($M$2:M1233)),"")</f>
        <v/>
      </c>
      <c r="O1233" s="1" t="str">
        <f>IF(N1233&lt;&gt;"",INDEX($L$2:$L$1705,MATCH(N1233,$M$2:$M$1705,0)),"")</f>
        <v/>
      </c>
      <c r="P1233" s="1" t="str">
        <f>IF(O1233&lt;&gt;"",ROWS($O$2:O1233),"")</f>
        <v/>
      </c>
    </row>
    <row r="1234" spans="10:16" x14ac:dyDescent="0.2">
      <c r="J1234" s="1">
        <f>COUNTIF($L$2:L1234,L1234)</f>
        <v>18</v>
      </c>
      <c r="K1234" s="1">
        <f>A382</f>
        <v>1986</v>
      </c>
      <c r="L1234" s="1" t="str">
        <f>E382</f>
        <v>Portugal</v>
      </c>
      <c r="M1234" s="1" t="str">
        <f>IF(J1234=1,J1234+ROWS($J$2:J1234)/10000,"")</f>
        <v/>
      </c>
      <c r="N1234" s="1" t="str">
        <f>IFERROR(SMALL($M$2:$M$1705,ROWS($M$2:M1234)),"")</f>
        <v/>
      </c>
      <c r="O1234" s="1" t="str">
        <f>IF(N1234&lt;&gt;"",INDEX($L$2:$L$1705,MATCH(N1234,$M$2:$M$1705,0)),"")</f>
        <v/>
      </c>
      <c r="P1234" s="1" t="str">
        <f>IF(O1234&lt;&gt;"",ROWS($O$2:O1234),"")</f>
        <v/>
      </c>
    </row>
    <row r="1235" spans="10:16" x14ac:dyDescent="0.2">
      <c r="J1235" s="1">
        <f>COUNTIF($L$2:L1235,L1235)</f>
        <v>29</v>
      </c>
      <c r="K1235" s="1">
        <f>A383</f>
        <v>1986</v>
      </c>
      <c r="L1235" s="1" t="str">
        <f>E383</f>
        <v>Belgium</v>
      </c>
      <c r="M1235" s="1" t="str">
        <f>IF(J1235=1,J1235+ROWS($J$2:J1235)/10000,"")</f>
        <v/>
      </c>
      <c r="N1235" s="1" t="str">
        <f>IFERROR(SMALL($M$2:$M$1705,ROWS($M$2:M1235)),"")</f>
        <v/>
      </c>
      <c r="O1235" s="1" t="str">
        <f>IF(N1235&lt;&gt;"",INDEX($L$2:$L$1705,MATCH(N1235,$M$2:$M$1705,0)),"")</f>
        <v/>
      </c>
      <c r="P1235" s="1" t="str">
        <f>IF(O1235&lt;&gt;"",ROWS($O$2:O1235),"")</f>
        <v/>
      </c>
    </row>
    <row r="1236" spans="10:16" x14ac:dyDescent="0.2">
      <c r="J1236" s="1">
        <f>COUNTIF($L$2:L1236,L1236)</f>
        <v>40</v>
      </c>
      <c r="K1236" s="1">
        <f>A384</f>
        <v>1986</v>
      </c>
      <c r="L1236" s="1" t="str">
        <f>E384</f>
        <v>Uruguay</v>
      </c>
      <c r="M1236" s="1" t="str">
        <f>IF(J1236=1,J1236+ROWS($J$2:J1236)/10000,"")</f>
        <v/>
      </c>
      <c r="N1236" s="1" t="str">
        <f>IFERROR(SMALL($M$2:$M$1705,ROWS($M$2:M1236)),"")</f>
        <v/>
      </c>
      <c r="O1236" s="1" t="str">
        <f>IF(N1236&lt;&gt;"",INDEX($L$2:$L$1705,MATCH(N1236,$M$2:$M$1705,0)),"")</f>
        <v/>
      </c>
      <c r="P1236" s="1" t="str">
        <f>IF(O1236&lt;&gt;"",ROWS($O$2:O1236),"")</f>
        <v/>
      </c>
    </row>
    <row r="1237" spans="10:16" x14ac:dyDescent="0.2">
      <c r="J1237" s="1">
        <f>COUNTIF($L$2:L1237,L1237)</f>
        <v>19</v>
      </c>
      <c r="K1237" s="1">
        <f>A385</f>
        <v>1986</v>
      </c>
      <c r="L1237" s="1" t="str">
        <f>E385</f>
        <v>Scotland</v>
      </c>
      <c r="M1237" s="1" t="str">
        <f>IF(J1237=1,J1237+ROWS($J$2:J1237)/10000,"")</f>
        <v/>
      </c>
      <c r="N1237" s="1" t="str">
        <f>IFERROR(SMALL($M$2:$M$1705,ROWS($M$2:M1237)),"")</f>
        <v/>
      </c>
      <c r="O1237" s="1" t="str">
        <f>IF(N1237&lt;&gt;"",INDEX($L$2:$L$1705,MATCH(N1237,$M$2:$M$1705,0)),"")</f>
        <v/>
      </c>
      <c r="P1237" s="1" t="str">
        <f>IF(O1237&lt;&gt;"",ROWS($O$2:O1237),"")</f>
        <v/>
      </c>
    </row>
    <row r="1238" spans="10:16" x14ac:dyDescent="0.2">
      <c r="J1238" s="1">
        <f>COUNTIF($L$2:L1238,L1238)</f>
        <v>48</v>
      </c>
      <c r="K1238" s="1">
        <f>A386</f>
        <v>1986</v>
      </c>
      <c r="L1238" s="1" t="str">
        <f>E386</f>
        <v>France</v>
      </c>
      <c r="M1238" s="1" t="str">
        <f>IF(J1238=1,J1238+ROWS($J$2:J1238)/10000,"")</f>
        <v/>
      </c>
      <c r="N1238" s="1" t="str">
        <f>IFERROR(SMALL($M$2:$M$1705,ROWS($M$2:M1238)),"")</f>
        <v/>
      </c>
      <c r="O1238" s="1" t="str">
        <f>IF(N1238&lt;&gt;"",INDEX($L$2:$L$1705,MATCH(N1238,$M$2:$M$1705,0)),"")</f>
        <v/>
      </c>
      <c r="P1238" s="1" t="str">
        <f>IF(O1238&lt;&gt;"",ROWS($O$2:O1238),"")</f>
        <v/>
      </c>
    </row>
    <row r="1239" spans="10:16" x14ac:dyDescent="0.2">
      <c r="J1239" s="1">
        <f>COUNTIF($L$2:L1239,L1239)</f>
        <v>3</v>
      </c>
      <c r="K1239" s="1">
        <f>A387</f>
        <v>1986</v>
      </c>
      <c r="L1239" s="1" t="str">
        <f>E387</f>
        <v>Canada</v>
      </c>
      <c r="M1239" s="1" t="str">
        <f>IF(J1239=1,J1239+ROWS($J$2:J1239)/10000,"")</f>
        <v/>
      </c>
      <c r="N1239" s="1" t="str">
        <f>IFERROR(SMALL($M$2:$M$1705,ROWS($M$2:M1239)),"")</f>
        <v/>
      </c>
      <c r="O1239" s="1" t="str">
        <f>IF(N1239&lt;&gt;"",INDEX($L$2:$L$1705,MATCH(N1239,$M$2:$M$1705,0)),"")</f>
        <v/>
      </c>
      <c r="P1239" s="1" t="str">
        <f>IF(O1239&lt;&gt;"",ROWS($O$2:O1239),"")</f>
        <v/>
      </c>
    </row>
    <row r="1240" spans="10:16" x14ac:dyDescent="0.2">
      <c r="J1240" s="1">
        <f>COUNTIF($L$2:L1240,L1240)</f>
        <v>74</v>
      </c>
      <c r="K1240" s="1">
        <f>A388</f>
        <v>1986</v>
      </c>
      <c r="L1240" s="1" t="str">
        <f>E388</f>
        <v>Italy</v>
      </c>
      <c r="M1240" s="1" t="str">
        <f>IF(J1240=1,J1240+ROWS($J$2:J1240)/10000,"")</f>
        <v/>
      </c>
      <c r="N1240" s="1" t="str">
        <f>IFERROR(SMALL($M$2:$M$1705,ROWS($M$2:M1240)),"")</f>
        <v/>
      </c>
      <c r="O1240" s="1" t="str">
        <f>IF(N1240&lt;&gt;"",INDEX($L$2:$L$1705,MATCH(N1240,$M$2:$M$1705,0)),"")</f>
        <v/>
      </c>
      <c r="P1240" s="1" t="str">
        <f>IF(O1240&lt;&gt;"",ROWS($O$2:O1240),"")</f>
        <v/>
      </c>
    </row>
    <row r="1241" spans="10:16" x14ac:dyDescent="0.2">
      <c r="J1241" s="1">
        <f>COUNTIF($L$2:L1241,L1241)</f>
        <v>18</v>
      </c>
      <c r="K1241" s="1">
        <f>A389</f>
        <v>1986</v>
      </c>
      <c r="L1241" s="1" t="str">
        <f>E389</f>
        <v>Bulgaria</v>
      </c>
      <c r="M1241" s="1" t="str">
        <f>IF(J1241=1,J1241+ROWS($J$2:J1241)/10000,"")</f>
        <v/>
      </c>
      <c r="N1241" s="1" t="str">
        <f>IFERROR(SMALL($M$2:$M$1705,ROWS($M$2:M1241)),"")</f>
        <v/>
      </c>
      <c r="O1241" s="1" t="str">
        <f>IF(N1241&lt;&gt;"",INDEX($L$2:$L$1705,MATCH(N1241,$M$2:$M$1705,0)),"")</f>
        <v/>
      </c>
      <c r="P1241" s="1" t="str">
        <f>IF(O1241&lt;&gt;"",ROWS($O$2:O1241),"")</f>
        <v/>
      </c>
    </row>
    <row r="1242" spans="10:16" x14ac:dyDescent="0.2">
      <c r="J1242" s="1">
        <f>COUNTIF($L$2:L1242,L1242)</f>
        <v>30</v>
      </c>
      <c r="K1242" s="1">
        <f>A390</f>
        <v>1986</v>
      </c>
      <c r="L1242" s="1" t="str">
        <f>E390</f>
        <v>Belgium</v>
      </c>
      <c r="M1242" s="1" t="str">
        <f>IF(J1242=1,J1242+ROWS($J$2:J1242)/10000,"")</f>
        <v/>
      </c>
      <c r="N1242" s="1" t="str">
        <f>IFERROR(SMALL($M$2:$M$1705,ROWS($M$2:M1242)),"")</f>
        <v/>
      </c>
      <c r="O1242" s="1" t="str">
        <f>IF(N1242&lt;&gt;"",INDEX($L$2:$L$1705,MATCH(N1242,$M$2:$M$1705,0)),"")</f>
        <v/>
      </c>
      <c r="P1242" s="1" t="str">
        <f>IF(O1242&lt;&gt;"",ROWS($O$2:O1242),"")</f>
        <v/>
      </c>
    </row>
    <row r="1243" spans="10:16" x14ac:dyDescent="0.2">
      <c r="J1243" s="1">
        <f>COUNTIF($L$2:L1243,L1243)</f>
        <v>37</v>
      </c>
      <c r="K1243" s="1">
        <f>A391</f>
        <v>1986</v>
      </c>
      <c r="L1243" s="1" t="str">
        <f>E391</f>
        <v>Mexico</v>
      </c>
      <c r="M1243" s="1" t="str">
        <f>IF(J1243=1,J1243+ROWS($J$2:J1243)/10000,"")</f>
        <v/>
      </c>
      <c r="N1243" s="1" t="str">
        <f>IFERROR(SMALL($M$2:$M$1705,ROWS($M$2:M1243)),"")</f>
        <v/>
      </c>
      <c r="O1243" s="1" t="str">
        <f>IF(N1243&lt;&gt;"",INDEX($L$2:$L$1705,MATCH(N1243,$M$2:$M$1705,0)),"")</f>
        <v/>
      </c>
      <c r="P1243" s="1" t="str">
        <f>IF(O1243&lt;&gt;"",ROWS($O$2:O1243),"")</f>
        <v/>
      </c>
    </row>
    <row r="1244" spans="10:16" x14ac:dyDescent="0.2">
      <c r="J1244" s="1">
        <f>COUNTIF($L$2:L1244,L1244)</f>
        <v>9</v>
      </c>
      <c r="K1244" s="1">
        <f>A392</f>
        <v>1986</v>
      </c>
      <c r="L1244" s="1" t="str">
        <f>E392</f>
        <v>Morocco</v>
      </c>
      <c r="M1244" s="1" t="str">
        <f>IF(J1244=1,J1244+ROWS($J$2:J1244)/10000,"")</f>
        <v/>
      </c>
      <c r="N1244" s="1" t="str">
        <f>IFERROR(SMALL($M$2:$M$1705,ROWS($M$2:M1244)),"")</f>
        <v/>
      </c>
      <c r="O1244" s="1" t="str">
        <f>IF(N1244&lt;&gt;"",INDEX($L$2:$L$1705,MATCH(N1244,$M$2:$M$1705,0)),"")</f>
        <v/>
      </c>
      <c r="P1244" s="1" t="str">
        <f>IF(O1244&lt;&gt;"",ROWS($O$2:O1244),"")</f>
        <v/>
      </c>
    </row>
    <row r="1245" spans="10:16" x14ac:dyDescent="0.2">
      <c r="J1245" s="1">
        <f>COUNTIF($L$2:L1245,L1245)</f>
        <v>26</v>
      </c>
      <c r="K1245" s="1">
        <f>A393</f>
        <v>1986</v>
      </c>
      <c r="L1245" s="1" t="str">
        <f>E393</f>
        <v>Poland</v>
      </c>
      <c r="M1245" s="1" t="str">
        <f>IF(J1245=1,J1245+ROWS($J$2:J1245)/10000,"")</f>
        <v/>
      </c>
      <c r="N1245" s="1" t="str">
        <f>IFERROR(SMALL($M$2:$M$1705,ROWS($M$2:M1245)),"")</f>
        <v/>
      </c>
      <c r="O1245" s="1" t="str">
        <f>IF(N1245&lt;&gt;"",INDEX($L$2:$L$1705,MATCH(N1245,$M$2:$M$1705,0)),"")</f>
        <v/>
      </c>
      <c r="P1245" s="1" t="str">
        <f>IF(O1245&lt;&gt;"",ROWS($O$2:O1245),"")</f>
        <v/>
      </c>
    </row>
    <row r="1246" spans="10:16" x14ac:dyDescent="0.2">
      <c r="J1246" s="1">
        <f>COUNTIF($L$2:L1246,L1246)</f>
        <v>99</v>
      </c>
      <c r="K1246" s="1">
        <f>A394</f>
        <v>1986</v>
      </c>
      <c r="L1246" s="1" t="str">
        <f>E394</f>
        <v>Brazil</v>
      </c>
      <c r="M1246" s="1" t="str">
        <f>IF(J1246=1,J1246+ROWS($J$2:J1246)/10000,"")</f>
        <v/>
      </c>
      <c r="N1246" s="1" t="str">
        <f>IFERROR(SMALL($M$2:$M$1705,ROWS($M$2:M1246)),"")</f>
        <v/>
      </c>
      <c r="O1246" s="1" t="str">
        <f>IF(N1246&lt;&gt;"",INDEX($L$2:$L$1705,MATCH(N1246,$M$2:$M$1705,0)),"")</f>
        <v/>
      </c>
      <c r="P1246" s="1" t="str">
        <f>IF(O1246&lt;&gt;"",ROWS($O$2:O1246),"")</f>
        <v/>
      </c>
    </row>
    <row r="1247" spans="10:16" x14ac:dyDescent="0.2">
      <c r="J1247" s="1">
        <f>COUNTIF($L$2:L1247,L1247)</f>
        <v>45</v>
      </c>
      <c r="K1247" s="1">
        <f>A395</f>
        <v>1986</v>
      </c>
      <c r="L1247" s="1" t="str">
        <f>E395</f>
        <v>Spain</v>
      </c>
      <c r="M1247" s="1" t="str">
        <f>IF(J1247=1,J1247+ROWS($J$2:J1247)/10000,"")</f>
        <v/>
      </c>
      <c r="N1247" s="1" t="str">
        <f>IFERROR(SMALL($M$2:$M$1705,ROWS($M$2:M1247)),"")</f>
        <v/>
      </c>
      <c r="O1247" s="1" t="str">
        <f>IF(N1247&lt;&gt;"",INDEX($L$2:$L$1705,MATCH(N1247,$M$2:$M$1705,0)),"")</f>
        <v/>
      </c>
      <c r="P1247" s="1" t="str">
        <f>IF(O1247&lt;&gt;"",ROWS($O$2:O1247),"")</f>
        <v/>
      </c>
    </row>
    <row r="1248" spans="10:16" x14ac:dyDescent="0.2">
      <c r="J1248" s="1">
        <f>COUNTIF($L$2:L1248,L1248)</f>
        <v>41</v>
      </c>
      <c r="K1248" s="1">
        <f>A396</f>
        <v>1986</v>
      </c>
      <c r="L1248" s="1" t="str">
        <f>E396</f>
        <v>Uruguay</v>
      </c>
      <c r="M1248" s="1" t="str">
        <f>IF(J1248=1,J1248+ROWS($J$2:J1248)/10000,"")</f>
        <v/>
      </c>
      <c r="N1248" s="1" t="str">
        <f>IFERROR(SMALL($M$2:$M$1705,ROWS($M$2:M1248)),"")</f>
        <v/>
      </c>
      <c r="O1248" s="1" t="str">
        <f>IF(N1248&lt;&gt;"",INDEX($L$2:$L$1705,MATCH(N1248,$M$2:$M$1705,0)),"")</f>
        <v/>
      </c>
      <c r="P1248" s="1" t="str">
        <f>IF(O1248&lt;&gt;"",ROWS($O$2:O1248),"")</f>
        <v/>
      </c>
    </row>
    <row r="1249" spans="10:16" x14ac:dyDescent="0.2">
      <c r="J1249" s="1">
        <f>COUNTIF($L$2:L1249,L1249)</f>
        <v>59</v>
      </c>
      <c r="K1249" s="1">
        <f>A397</f>
        <v>1986</v>
      </c>
      <c r="L1249" s="1" t="str">
        <f>E397</f>
        <v>Germany FR</v>
      </c>
      <c r="M1249" s="1" t="str">
        <f>IF(J1249=1,J1249+ROWS($J$2:J1249)/10000,"")</f>
        <v/>
      </c>
      <c r="N1249" s="1" t="str">
        <f>IFERROR(SMALL($M$2:$M$1705,ROWS($M$2:M1249)),"")</f>
        <v/>
      </c>
      <c r="O1249" s="1" t="str">
        <f>IF(N1249&lt;&gt;"",INDEX($L$2:$L$1705,MATCH(N1249,$M$2:$M$1705,0)),"")</f>
        <v/>
      </c>
      <c r="P1249" s="1" t="str">
        <f>IF(O1249&lt;&gt;"",ROWS($O$2:O1249),"")</f>
        <v/>
      </c>
    </row>
    <row r="1250" spans="10:16" x14ac:dyDescent="0.2">
      <c r="J1250" s="1">
        <f>COUNTIF($L$2:L1250,L1250)</f>
        <v>31</v>
      </c>
      <c r="K1250" s="1">
        <f>A398</f>
        <v>1986</v>
      </c>
      <c r="L1250" s="1" t="str">
        <f>E398</f>
        <v>Belgium</v>
      </c>
      <c r="M1250" s="1" t="str">
        <f>IF(J1250=1,J1250+ROWS($J$2:J1250)/10000,"")</f>
        <v/>
      </c>
      <c r="N1250" s="1" t="str">
        <f>IFERROR(SMALL($M$2:$M$1705,ROWS($M$2:M1250)),"")</f>
        <v/>
      </c>
      <c r="O1250" s="1" t="str">
        <f>IF(N1250&lt;&gt;"",INDEX($L$2:$L$1705,MATCH(N1250,$M$2:$M$1705,0)),"")</f>
        <v/>
      </c>
      <c r="P1250" s="1" t="str">
        <f>IF(O1250&lt;&gt;"",ROWS($O$2:O1250),"")</f>
        <v/>
      </c>
    </row>
    <row r="1251" spans="10:16" x14ac:dyDescent="0.2">
      <c r="J1251" s="1">
        <f>COUNTIF($L$2:L1251,L1251)</f>
        <v>19</v>
      </c>
      <c r="K1251" s="1">
        <f>A399</f>
        <v>1986</v>
      </c>
      <c r="L1251" s="1" t="str">
        <f>E399</f>
        <v>Bulgaria</v>
      </c>
      <c r="M1251" s="1" t="str">
        <f>IF(J1251=1,J1251+ROWS($J$2:J1251)/10000,"")</f>
        <v/>
      </c>
      <c r="N1251" s="1" t="str">
        <f>IFERROR(SMALL($M$2:$M$1705,ROWS($M$2:M1251)),"")</f>
        <v/>
      </c>
      <c r="O1251" s="1" t="str">
        <f>IF(N1251&lt;&gt;"",INDEX($L$2:$L$1705,MATCH(N1251,$M$2:$M$1705,0)),"")</f>
        <v/>
      </c>
      <c r="P1251" s="1" t="str">
        <f>IF(O1251&lt;&gt;"",ROWS($O$2:O1251),"")</f>
        <v/>
      </c>
    </row>
    <row r="1252" spans="10:16" x14ac:dyDescent="0.2">
      <c r="J1252" s="1">
        <f>COUNTIF($L$2:L1252,L1252)</f>
        <v>42</v>
      </c>
      <c r="K1252" s="1">
        <f>A400</f>
        <v>1986</v>
      </c>
      <c r="L1252" s="1" t="str">
        <f>E400</f>
        <v>Uruguay</v>
      </c>
      <c r="M1252" s="1" t="str">
        <f>IF(J1252=1,J1252+ROWS($J$2:J1252)/10000,"")</f>
        <v/>
      </c>
      <c r="N1252" s="1" t="str">
        <f>IFERROR(SMALL($M$2:$M$1705,ROWS($M$2:M1252)),"")</f>
        <v/>
      </c>
      <c r="O1252" s="1" t="str">
        <f>IF(N1252&lt;&gt;"",INDEX($L$2:$L$1705,MATCH(N1252,$M$2:$M$1705,0)),"")</f>
        <v/>
      </c>
      <c r="P1252" s="1" t="str">
        <f>IF(O1252&lt;&gt;"",ROWS($O$2:O1252),"")</f>
        <v/>
      </c>
    </row>
    <row r="1253" spans="10:16" x14ac:dyDescent="0.2">
      <c r="J1253" s="1">
        <f>COUNTIF($L$2:L1253,L1253)</f>
        <v>27</v>
      </c>
      <c r="K1253" s="1">
        <f>A401</f>
        <v>1986</v>
      </c>
      <c r="L1253" s="1" t="str">
        <f>E401</f>
        <v>Poland</v>
      </c>
      <c r="M1253" s="1" t="str">
        <f>IF(J1253=1,J1253+ROWS($J$2:J1253)/10000,"")</f>
        <v/>
      </c>
      <c r="N1253" s="1" t="str">
        <f>IFERROR(SMALL($M$2:$M$1705,ROWS($M$2:M1253)),"")</f>
        <v/>
      </c>
      <c r="O1253" s="1" t="str">
        <f>IF(N1253&lt;&gt;"",INDEX($L$2:$L$1705,MATCH(N1253,$M$2:$M$1705,0)),"")</f>
        <v/>
      </c>
      <c r="P1253" s="1" t="str">
        <f>IF(O1253&lt;&gt;"",ROWS($O$2:O1253),"")</f>
        <v/>
      </c>
    </row>
    <row r="1254" spans="10:16" x14ac:dyDescent="0.2">
      <c r="J1254" s="1">
        <f>COUNTIF($L$2:L1254,L1254)</f>
        <v>49</v>
      </c>
      <c r="K1254" s="1">
        <f>A402</f>
        <v>1986</v>
      </c>
      <c r="L1254" s="1" t="str">
        <f>E402</f>
        <v>France</v>
      </c>
      <c r="M1254" s="1" t="str">
        <f>IF(J1254=1,J1254+ROWS($J$2:J1254)/10000,"")</f>
        <v/>
      </c>
      <c r="N1254" s="1" t="str">
        <f>IFERROR(SMALL($M$2:$M$1705,ROWS($M$2:M1254)),"")</f>
        <v/>
      </c>
      <c r="O1254" s="1" t="str">
        <f>IF(N1254&lt;&gt;"",INDEX($L$2:$L$1705,MATCH(N1254,$M$2:$M$1705,0)),"")</f>
        <v/>
      </c>
      <c r="P1254" s="1" t="str">
        <f>IF(O1254&lt;&gt;"",ROWS($O$2:O1254),"")</f>
        <v/>
      </c>
    </row>
    <row r="1255" spans="10:16" x14ac:dyDescent="0.2">
      <c r="J1255" s="1">
        <f>COUNTIF($L$2:L1255,L1255)</f>
        <v>60</v>
      </c>
      <c r="K1255" s="1">
        <f>A403</f>
        <v>1986</v>
      </c>
      <c r="L1255" s="1" t="str">
        <f>E403</f>
        <v>Germany FR</v>
      </c>
      <c r="M1255" s="1" t="str">
        <f>IF(J1255=1,J1255+ROWS($J$2:J1255)/10000,"")</f>
        <v/>
      </c>
      <c r="N1255" s="1" t="str">
        <f>IFERROR(SMALL($M$2:$M$1705,ROWS($M$2:M1255)),"")</f>
        <v/>
      </c>
      <c r="O1255" s="1" t="str">
        <f>IF(N1255&lt;&gt;"",INDEX($L$2:$L$1705,MATCH(N1255,$M$2:$M$1705,0)),"")</f>
        <v/>
      </c>
      <c r="P1255" s="1" t="str">
        <f>IF(O1255&lt;&gt;"",ROWS($O$2:O1255),"")</f>
        <v/>
      </c>
    </row>
    <row r="1256" spans="10:16" x14ac:dyDescent="0.2">
      <c r="J1256" s="1">
        <f>COUNTIF($L$2:L1256,L1256)</f>
        <v>17</v>
      </c>
      <c r="K1256" s="1">
        <f>A404</f>
        <v>1986</v>
      </c>
      <c r="L1256" s="1" t="str">
        <f>E404</f>
        <v>Paraguay</v>
      </c>
      <c r="M1256" s="1" t="str">
        <f>IF(J1256=1,J1256+ROWS($J$2:J1256)/10000,"")</f>
        <v/>
      </c>
      <c r="N1256" s="1" t="str">
        <f>IFERROR(SMALL($M$2:$M$1705,ROWS($M$2:M1256)),"")</f>
        <v/>
      </c>
      <c r="O1256" s="1" t="str">
        <f>IF(N1256&lt;&gt;"",INDEX($L$2:$L$1705,MATCH(N1256,$M$2:$M$1705,0)),"")</f>
        <v/>
      </c>
      <c r="P1256" s="1" t="str">
        <f>IF(O1256&lt;&gt;"",ROWS($O$2:O1256),"")</f>
        <v/>
      </c>
    </row>
    <row r="1257" spans="10:16" x14ac:dyDescent="0.2">
      <c r="J1257" s="1">
        <f>COUNTIF($L$2:L1257,L1257)</f>
        <v>46</v>
      </c>
      <c r="K1257" s="1">
        <f>A405</f>
        <v>1986</v>
      </c>
      <c r="L1257" s="1" t="str">
        <f>E405</f>
        <v>Spain</v>
      </c>
      <c r="M1257" s="1" t="str">
        <f>IF(J1257=1,J1257+ROWS($J$2:J1257)/10000,"")</f>
        <v/>
      </c>
      <c r="N1257" s="1" t="str">
        <f>IFERROR(SMALL($M$2:$M$1705,ROWS($M$2:M1257)),"")</f>
        <v/>
      </c>
      <c r="O1257" s="1" t="str">
        <f>IF(N1257&lt;&gt;"",INDEX($L$2:$L$1705,MATCH(N1257,$M$2:$M$1705,0)),"")</f>
        <v/>
      </c>
      <c r="P1257" s="1" t="str">
        <f>IF(O1257&lt;&gt;"",ROWS($O$2:O1257),"")</f>
        <v/>
      </c>
    </row>
    <row r="1258" spans="10:16" x14ac:dyDescent="0.2">
      <c r="J1258" s="1">
        <f>COUNTIF($L$2:L1258,L1258)</f>
        <v>50</v>
      </c>
      <c r="K1258" s="1">
        <f>A406</f>
        <v>1986</v>
      </c>
      <c r="L1258" s="1" t="str">
        <f>E406</f>
        <v>France</v>
      </c>
      <c r="M1258" s="1" t="str">
        <f>IF(J1258=1,J1258+ROWS($J$2:J1258)/10000,"")</f>
        <v/>
      </c>
      <c r="N1258" s="1" t="str">
        <f>IFERROR(SMALL($M$2:$M$1705,ROWS($M$2:M1258)),"")</f>
        <v/>
      </c>
      <c r="O1258" s="1" t="str">
        <f>IF(N1258&lt;&gt;"",INDEX($L$2:$L$1705,MATCH(N1258,$M$2:$M$1705,0)),"")</f>
        <v/>
      </c>
      <c r="P1258" s="1" t="str">
        <f>IF(O1258&lt;&gt;"",ROWS($O$2:O1258),"")</f>
        <v/>
      </c>
    </row>
    <row r="1259" spans="10:16" x14ac:dyDescent="0.2">
      <c r="J1259" s="1">
        <f>COUNTIF($L$2:L1259,L1259)</f>
        <v>38</v>
      </c>
      <c r="K1259" s="1">
        <f>A407</f>
        <v>1986</v>
      </c>
      <c r="L1259" s="1" t="str">
        <f>E407</f>
        <v>Mexico</v>
      </c>
      <c r="M1259" s="1" t="str">
        <f>IF(J1259=1,J1259+ROWS($J$2:J1259)/10000,"")</f>
        <v/>
      </c>
      <c r="N1259" s="1" t="str">
        <f>IFERROR(SMALL($M$2:$M$1705,ROWS($M$2:M1259)),"")</f>
        <v/>
      </c>
      <c r="O1259" s="1" t="str">
        <f>IF(N1259&lt;&gt;"",INDEX($L$2:$L$1705,MATCH(N1259,$M$2:$M$1705,0)),"")</f>
        <v/>
      </c>
      <c r="P1259" s="1" t="str">
        <f>IF(O1259&lt;&gt;"",ROWS($O$2:O1259),"")</f>
        <v/>
      </c>
    </row>
    <row r="1260" spans="10:16" x14ac:dyDescent="0.2">
      <c r="J1260" s="1">
        <f>COUNTIF($L$2:L1260,L1260)</f>
        <v>32</v>
      </c>
      <c r="K1260" s="1">
        <f>A408</f>
        <v>1986</v>
      </c>
      <c r="L1260" s="1" t="str">
        <f>E408</f>
        <v>Belgium</v>
      </c>
      <c r="M1260" s="1" t="str">
        <f>IF(J1260=1,J1260+ROWS($J$2:J1260)/10000,"")</f>
        <v/>
      </c>
      <c r="N1260" s="1" t="str">
        <f>IFERROR(SMALL($M$2:$M$1705,ROWS($M$2:M1260)),"")</f>
        <v/>
      </c>
      <c r="O1260" s="1" t="str">
        <f>IF(N1260&lt;&gt;"",INDEX($L$2:$L$1705,MATCH(N1260,$M$2:$M$1705,0)),"")</f>
        <v/>
      </c>
      <c r="P1260" s="1" t="str">
        <f>IF(O1260&lt;&gt;"",ROWS($O$2:O1260),"")</f>
        <v/>
      </c>
    </row>
    <row r="1261" spans="10:16" x14ac:dyDescent="0.2">
      <c r="J1261" s="1">
        <f>COUNTIF($L$2:L1261,L1261)</f>
        <v>49</v>
      </c>
      <c r="K1261" s="1">
        <f>A409</f>
        <v>1986</v>
      </c>
      <c r="L1261" s="1" t="str">
        <f>E409</f>
        <v>England</v>
      </c>
      <c r="M1261" s="1" t="str">
        <f>IF(J1261=1,J1261+ROWS($J$2:J1261)/10000,"")</f>
        <v/>
      </c>
      <c r="N1261" s="1" t="str">
        <f>IFERROR(SMALL($M$2:$M$1705,ROWS($M$2:M1261)),"")</f>
        <v/>
      </c>
      <c r="O1261" s="1" t="str">
        <f>IF(N1261&lt;&gt;"",INDEX($L$2:$L$1705,MATCH(N1261,$M$2:$M$1705,0)),"")</f>
        <v/>
      </c>
      <c r="P1261" s="1" t="str">
        <f>IF(O1261&lt;&gt;"",ROWS($O$2:O1261),"")</f>
        <v/>
      </c>
    </row>
    <row r="1262" spans="10:16" x14ac:dyDescent="0.2">
      <c r="J1262" s="1">
        <f>COUNTIF($L$2:L1262,L1262)</f>
        <v>61</v>
      </c>
      <c r="K1262" s="1">
        <f>A410</f>
        <v>1986</v>
      </c>
      <c r="L1262" s="1" t="str">
        <f>E410</f>
        <v>Germany FR</v>
      </c>
      <c r="M1262" s="1" t="str">
        <f>IF(J1262=1,J1262+ROWS($J$2:J1262)/10000,"")</f>
        <v/>
      </c>
      <c r="N1262" s="1" t="str">
        <f>IFERROR(SMALL($M$2:$M$1705,ROWS($M$2:M1262)),"")</f>
        <v/>
      </c>
      <c r="O1262" s="1" t="str">
        <f>IF(N1262&lt;&gt;"",INDEX($L$2:$L$1705,MATCH(N1262,$M$2:$M$1705,0)),"")</f>
        <v/>
      </c>
      <c r="P1262" s="1" t="str">
        <f>IF(O1262&lt;&gt;"",ROWS($O$2:O1262),"")</f>
        <v/>
      </c>
    </row>
    <row r="1263" spans="10:16" x14ac:dyDescent="0.2">
      <c r="J1263" s="1">
        <f>COUNTIF($L$2:L1263,L1263)</f>
        <v>33</v>
      </c>
      <c r="K1263" s="1">
        <f>A411</f>
        <v>1986</v>
      </c>
      <c r="L1263" s="1" t="str">
        <f>E411</f>
        <v>Belgium</v>
      </c>
      <c r="M1263" s="1" t="str">
        <f>IF(J1263=1,J1263+ROWS($J$2:J1263)/10000,"")</f>
        <v/>
      </c>
      <c r="N1263" s="1" t="str">
        <f>IFERROR(SMALL($M$2:$M$1705,ROWS($M$2:M1263)),"")</f>
        <v/>
      </c>
      <c r="O1263" s="1" t="str">
        <f>IF(N1263&lt;&gt;"",INDEX($L$2:$L$1705,MATCH(N1263,$M$2:$M$1705,0)),"")</f>
        <v/>
      </c>
      <c r="P1263" s="1" t="str">
        <f>IF(O1263&lt;&gt;"",ROWS($O$2:O1263),"")</f>
        <v/>
      </c>
    </row>
    <row r="1264" spans="10:16" x14ac:dyDescent="0.2">
      <c r="J1264" s="1">
        <f>COUNTIF($L$2:L1264,L1264)</f>
        <v>34</v>
      </c>
      <c r="K1264" s="1">
        <f>A412</f>
        <v>1986</v>
      </c>
      <c r="L1264" s="1" t="str">
        <f>E412</f>
        <v>Belgium</v>
      </c>
      <c r="M1264" s="1" t="str">
        <f>IF(J1264=1,J1264+ROWS($J$2:J1264)/10000,"")</f>
        <v/>
      </c>
      <c r="N1264" s="1" t="str">
        <f>IFERROR(SMALL($M$2:$M$1705,ROWS($M$2:M1264)),"")</f>
        <v/>
      </c>
      <c r="O1264" s="1" t="str">
        <f>IF(N1264&lt;&gt;"",INDEX($L$2:$L$1705,MATCH(N1264,$M$2:$M$1705,0)),"")</f>
        <v/>
      </c>
      <c r="P1264" s="1" t="str">
        <f>IF(O1264&lt;&gt;"",ROWS($O$2:O1264),"")</f>
        <v/>
      </c>
    </row>
    <row r="1265" spans="10:16" x14ac:dyDescent="0.2">
      <c r="J1265" s="1">
        <f>COUNTIF($L$2:L1265,L1265)</f>
        <v>62</v>
      </c>
      <c r="K1265" s="1">
        <f>A413</f>
        <v>1986</v>
      </c>
      <c r="L1265" s="1" t="str">
        <f>E413</f>
        <v>Germany FR</v>
      </c>
      <c r="M1265" s="1" t="str">
        <f>IF(J1265=1,J1265+ROWS($J$2:J1265)/10000,"")</f>
        <v/>
      </c>
      <c r="N1265" s="1" t="str">
        <f>IFERROR(SMALL($M$2:$M$1705,ROWS($M$2:M1265)),"")</f>
        <v/>
      </c>
      <c r="O1265" s="1" t="str">
        <f>IF(N1265&lt;&gt;"",INDEX($L$2:$L$1705,MATCH(N1265,$M$2:$M$1705,0)),"")</f>
        <v/>
      </c>
      <c r="P1265" s="1" t="str">
        <f>IF(O1265&lt;&gt;"",ROWS($O$2:O1265),"")</f>
        <v/>
      </c>
    </row>
    <row r="1266" spans="10:16" x14ac:dyDescent="0.2">
      <c r="J1266" s="1">
        <f>COUNTIF($L$2:L1266,L1266)</f>
        <v>15</v>
      </c>
      <c r="K1266" s="1">
        <f>A414</f>
        <v>1990</v>
      </c>
      <c r="L1266" s="1" t="str">
        <f>E414</f>
        <v>Cameroon</v>
      </c>
      <c r="M1266" s="1" t="str">
        <f>IF(J1266=1,J1266+ROWS($J$2:J1266)/10000,"")</f>
        <v/>
      </c>
      <c r="N1266" s="1" t="str">
        <f>IFERROR(SMALL($M$2:$M$1705,ROWS($M$2:M1266)),"")</f>
        <v/>
      </c>
      <c r="O1266" s="1" t="str">
        <f>IF(N1266&lt;&gt;"",INDEX($L$2:$L$1705,MATCH(N1266,$M$2:$M$1705,0)),"")</f>
        <v/>
      </c>
      <c r="P1266" s="1" t="str">
        <f>IF(O1266&lt;&gt;"",ROWS($O$2:O1266),"")</f>
        <v/>
      </c>
    </row>
    <row r="1267" spans="10:16" x14ac:dyDescent="0.2">
      <c r="J1267" s="1">
        <f>COUNTIF($L$2:L1267,L1267)</f>
        <v>16</v>
      </c>
      <c r="K1267" s="1">
        <f>A415</f>
        <v>1990</v>
      </c>
      <c r="L1267" s="1" t="str">
        <f>E415</f>
        <v>Romania</v>
      </c>
      <c r="M1267" s="1" t="str">
        <f>IF(J1267=1,J1267+ROWS($J$2:J1267)/10000,"")</f>
        <v/>
      </c>
      <c r="N1267" s="1" t="str">
        <f>IFERROR(SMALL($M$2:$M$1705,ROWS($M$2:M1267)),"")</f>
        <v/>
      </c>
      <c r="O1267" s="1" t="str">
        <f>IF(N1267&lt;&gt;"",INDEX($L$2:$L$1705,MATCH(N1267,$M$2:$M$1705,0)),"")</f>
        <v/>
      </c>
      <c r="P1267" s="1" t="str">
        <f>IF(O1267&lt;&gt;"",ROWS($O$2:O1267),"")</f>
        <v/>
      </c>
    </row>
    <row r="1268" spans="10:16" x14ac:dyDescent="0.2">
      <c r="J1268" s="1">
        <f>COUNTIF($L$2:L1268,L1268)</f>
        <v>11</v>
      </c>
      <c r="K1268" s="1">
        <f>A416</f>
        <v>1990</v>
      </c>
      <c r="L1268" s="1" t="str">
        <f>E416</f>
        <v>Colombia</v>
      </c>
      <c r="M1268" s="1" t="str">
        <f>IF(J1268=1,J1268+ROWS($J$2:J1268)/10000,"")</f>
        <v/>
      </c>
      <c r="N1268" s="1" t="str">
        <f>IFERROR(SMALL($M$2:$M$1705,ROWS($M$2:M1268)),"")</f>
        <v/>
      </c>
      <c r="O1268" s="1" t="str">
        <f>IF(N1268&lt;&gt;"",INDEX($L$2:$L$1705,MATCH(N1268,$M$2:$M$1705,0)),"")</f>
        <v/>
      </c>
      <c r="P1268" s="1" t="str">
        <f>IF(O1268&lt;&gt;"",ROWS($O$2:O1268),"")</f>
        <v/>
      </c>
    </row>
    <row r="1269" spans="10:16" x14ac:dyDescent="0.2">
      <c r="J1269" s="1">
        <f>COUNTIF($L$2:L1269,L1269)</f>
        <v>26</v>
      </c>
      <c r="K1269" s="1">
        <f>A417</f>
        <v>1990</v>
      </c>
      <c r="L1269" s="1" t="str">
        <f>E417</f>
        <v>Austria</v>
      </c>
      <c r="M1269" s="1" t="str">
        <f>IF(J1269=1,J1269+ROWS($J$2:J1269)/10000,"")</f>
        <v/>
      </c>
      <c r="N1269" s="1" t="str">
        <f>IFERROR(SMALL($M$2:$M$1705,ROWS($M$2:M1269)),"")</f>
        <v/>
      </c>
      <c r="O1269" s="1" t="str">
        <f>IF(N1269&lt;&gt;"",INDEX($L$2:$L$1705,MATCH(N1269,$M$2:$M$1705,0)),"")</f>
        <v/>
      </c>
      <c r="P1269" s="1" t="str">
        <f>IF(O1269&lt;&gt;"",ROWS($O$2:O1269),"")</f>
        <v/>
      </c>
    </row>
    <row r="1270" spans="10:16" x14ac:dyDescent="0.2">
      <c r="J1270" s="1">
        <f>COUNTIF($L$2:L1270,L1270)</f>
        <v>27</v>
      </c>
      <c r="K1270" s="1">
        <f>A418</f>
        <v>1990</v>
      </c>
      <c r="L1270" s="1" t="str">
        <f>E418</f>
        <v>Czechoslovakia</v>
      </c>
      <c r="M1270" s="1" t="str">
        <f>IF(J1270=1,J1270+ROWS($J$2:J1270)/10000,"")</f>
        <v/>
      </c>
      <c r="N1270" s="1" t="str">
        <f>IFERROR(SMALL($M$2:$M$1705,ROWS($M$2:M1270)),"")</f>
        <v/>
      </c>
      <c r="O1270" s="1" t="str">
        <f>IF(N1270&lt;&gt;"",INDEX($L$2:$L$1705,MATCH(N1270,$M$2:$M$1705,0)),"")</f>
        <v/>
      </c>
      <c r="P1270" s="1" t="str">
        <f>IF(O1270&lt;&gt;"",ROWS($O$2:O1270),"")</f>
        <v/>
      </c>
    </row>
    <row r="1271" spans="10:16" x14ac:dyDescent="0.2">
      <c r="J1271" s="1">
        <f>COUNTIF($L$2:L1271,L1271)</f>
        <v>39</v>
      </c>
      <c r="K1271" s="1">
        <f>A419</f>
        <v>1990</v>
      </c>
      <c r="L1271" s="1" t="str">
        <f>E419</f>
        <v>Sweden</v>
      </c>
      <c r="M1271" s="1" t="str">
        <f>IF(J1271=1,J1271+ROWS($J$2:J1271)/10000,"")</f>
        <v/>
      </c>
      <c r="N1271" s="1" t="str">
        <f>IFERROR(SMALL($M$2:$M$1705,ROWS($M$2:M1271)),"")</f>
        <v/>
      </c>
      <c r="O1271" s="1" t="str">
        <f>IF(N1271&lt;&gt;"",INDEX($L$2:$L$1705,MATCH(N1271,$M$2:$M$1705,0)),"")</f>
        <v/>
      </c>
      <c r="P1271" s="1" t="str">
        <f>IF(O1271&lt;&gt;"",ROWS($O$2:O1271),"")</f>
        <v/>
      </c>
    </row>
    <row r="1272" spans="10:16" x14ac:dyDescent="0.2">
      <c r="J1272" s="1">
        <f>COUNTIF($L$2:L1272,L1272)</f>
        <v>33</v>
      </c>
      <c r="K1272" s="1">
        <f>A420</f>
        <v>1990</v>
      </c>
      <c r="L1272" s="1" t="str">
        <f>E420</f>
        <v>Yugoslavia</v>
      </c>
      <c r="M1272" s="1" t="str">
        <f>IF(J1272=1,J1272+ROWS($J$2:J1272)/10000,"")</f>
        <v/>
      </c>
      <c r="N1272" s="1" t="str">
        <f>IFERROR(SMALL($M$2:$M$1705,ROWS($M$2:M1272)),"")</f>
        <v/>
      </c>
      <c r="O1272" s="1" t="str">
        <f>IF(N1272&lt;&gt;"",INDEX($L$2:$L$1705,MATCH(N1272,$M$2:$M$1705,0)),"")</f>
        <v/>
      </c>
      <c r="P1272" s="1" t="str">
        <f>IF(O1272&lt;&gt;"",ROWS($O$2:O1272),"")</f>
        <v/>
      </c>
    </row>
    <row r="1273" spans="10:16" x14ac:dyDescent="0.2">
      <c r="J1273" s="1">
        <f>COUNTIF($L$2:L1273,L1273)</f>
        <v>20</v>
      </c>
      <c r="K1273" s="1">
        <f>A421</f>
        <v>1990</v>
      </c>
      <c r="L1273" s="1" t="str">
        <f>E421</f>
        <v>Scotland</v>
      </c>
      <c r="M1273" s="1" t="str">
        <f>IF(J1273=1,J1273+ROWS($J$2:J1273)/10000,"")</f>
        <v/>
      </c>
      <c r="N1273" s="1" t="str">
        <f>IFERROR(SMALL($M$2:$M$1705,ROWS($M$2:M1273)),"")</f>
        <v/>
      </c>
      <c r="O1273" s="1" t="str">
        <f>IF(N1273&lt;&gt;"",INDEX($L$2:$L$1705,MATCH(N1273,$M$2:$M$1705,0)),"")</f>
        <v/>
      </c>
      <c r="P1273" s="1" t="str">
        <f>IF(O1273&lt;&gt;"",ROWS($O$2:O1273),"")</f>
        <v/>
      </c>
    </row>
    <row r="1274" spans="10:16" x14ac:dyDescent="0.2">
      <c r="J1274" s="1">
        <f>COUNTIF($L$2:L1274,L1274)</f>
        <v>6</v>
      </c>
      <c r="K1274" s="1">
        <f>A422</f>
        <v>1990</v>
      </c>
      <c r="L1274" s="1" t="str">
        <f>E422</f>
        <v>Republic of Ireland</v>
      </c>
      <c r="M1274" s="1" t="str">
        <f>IF(J1274=1,J1274+ROWS($J$2:J1274)/10000,"")</f>
        <v/>
      </c>
      <c r="N1274" s="1" t="str">
        <f>IFERROR(SMALL($M$2:$M$1705,ROWS($M$2:M1274)),"")</f>
        <v/>
      </c>
      <c r="O1274" s="1" t="str">
        <f>IF(N1274&lt;&gt;"",INDEX($L$2:$L$1705,MATCH(N1274,$M$2:$M$1705,0)),"")</f>
        <v/>
      </c>
      <c r="P1274" s="1" t="str">
        <f>IF(O1274&lt;&gt;"",ROWS($O$2:O1274),"")</f>
        <v/>
      </c>
    </row>
    <row r="1275" spans="10:16" x14ac:dyDescent="0.2">
      <c r="J1275" s="1">
        <f>COUNTIF($L$2:L1275,L1275)</f>
        <v>18</v>
      </c>
      <c r="K1275" s="1">
        <f>A423</f>
        <v>1990</v>
      </c>
      <c r="L1275" s="1" t="str">
        <f>E423</f>
        <v>Korea Republic</v>
      </c>
      <c r="M1275" s="1" t="str">
        <f>IF(J1275=1,J1275+ROWS($J$2:J1275)/10000,"")</f>
        <v/>
      </c>
      <c r="N1275" s="1" t="str">
        <f>IFERROR(SMALL($M$2:$M$1705,ROWS($M$2:M1275)),"")</f>
        <v/>
      </c>
      <c r="O1275" s="1" t="str">
        <f>IF(N1275&lt;&gt;"",INDEX($L$2:$L$1705,MATCH(N1275,$M$2:$M$1705,0)),"")</f>
        <v/>
      </c>
      <c r="P1275" s="1" t="str">
        <f>IF(O1275&lt;&gt;"",ROWS($O$2:O1275),"")</f>
        <v/>
      </c>
    </row>
    <row r="1276" spans="10:16" x14ac:dyDescent="0.2">
      <c r="J1276" s="1">
        <f>COUNTIF($L$2:L1276,L1276)</f>
        <v>2</v>
      </c>
      <c r="K1276" s="1">
        <f>A424</f>
        <v>1990</v>
      </c>
      <c r="L1276" s="1" t="str">
        <f>E424</f>
        <v>Egypt</v>
      </c>
      <c r="M1276" s="1" t="str">
        <f>IF(J1276=1,J1276+ROWS($J$2:J1276)/10000,"")</f>
        <v/>
      </c>
      <c r="N1276" s="1" t="str">
        <f>IFERROR(SMALL($M$2:$M$1705,ROWS($M$2:M1276)),"")</f>
        <v/>
      </c>
      <c r="O1276" s="1" t="str">
        <f>IF(N1276&lt;&gt;"",INDEX($L$2:$L$1705,MATCH(N1276,$M$2:$M$1705,0)),"")</f>
        <v/>
      </c>
      <c r="P1276" s="1" t="str">
        <f>IF(O1276&lt;&gt;"",ROWS($O$2:O1276),"")</f>
        <v/>
      </c>
    </row>
    <row r="1277" spans="10:16" x14ac:dyDescent="0.2">
      <c r="J1277" s="1">
        <f>COUNTIF($L$2:L1277,L1277)</f>
        <v>47</v>
      </c>
      <c r="K1277" s="1">
        <f>A425</f>
        <v>1990</v>
      </c>
      <c r="L1277" s="1" t="str">
        <f>E425</f>
        <v>Spain</v>
      </c>
      <c r="M1277" s="1" t="str">
        <f>IF(J1277=1,J1277+ROWS($J$2:J1277)/10000,"")</f>
        <v/>
      </c>
      <c r="N1277" s="1" t="str">
        <f>IFERROR(SMALL($M$2:$M$1705,ROWS($M$2:M1277)),"")</f>
        <v/>
      </c>
      <c r="O1277" s="1" t="str">
        <f>IF(N1277&lt;&gt;"",INDEX($L$2:$L$1705,MATCH(N1277,$M$2:$M$1705,0)),"")</f>
        <v/>
      </c>
      <c r="P1277" s="1" t="str">
        <f>IF(O1277&lt;&gt;"",ROWS($O$2:O1277),"")</f>
        <v/>
      </c>
    </row>
    <row r="1278" spans="10:16" x14ac:dyDescent="0.2">
      <c r="J1278" s="1">
        <f>COUNTIF($L$2:L1278,L1278)</f>
        <v>30</v>
      </c>
      <c r="K1278" s="1">
        <f>A426</f>
        <v>1990</v>
      </c>
      <c r="L1278" s="1" t="str">
        <f>E426</f>
        <v>Soviet Union</v>
      </c>
      <c r="M1278" s="1" t="str">
        <f>IF(J1278=1,J1278+ROWS($J$2:J1278)/10000,"")</f>
        <v/>
      </c>
      <c r="N1278" s="1" t="str">
        <f>IFERROR(SMALL($M$2:$M$1705,ROWS($M$2:M1278)),"")</f>
        <v/>
      </c>
      <c r="O1278" s="1" t="str">
        <f>IF(N1278&lt;&gt;"",INDEX($L$2:$L$1705,MATCH(N1278,$M$2:$M$1705,0)),"")</f>
        <v/>
      </c>
      <c r="P1278" s="1" t="str">
        <f>IF(O1278&lt;&gt;"",ROWS($O$2:O1278),"")</f>
        <v/>
      </c>
    </row>
    <row r="1279" spans="10:16" x14ac:dyDescent="0.2">
      <c r="J1279" s="1">
        <f>COUNTIF($L$2:L1279,L1279)</f>
        <v>17</v>
      </c>
      <c r="K1279" s="1">
        <f>A427</f>
        <v>1990</v>
      </c>
      <c r="L1279" s="1" t="str">
        <f>E427</f>
        <v>Romania</v>
      </c>
      <c r="M1279" s="1" t="str">
        <f>IF(J1279=1,J1279+ROWS($J$2:J1279)/10000,"")</f>
        <v/>
      </c>
      <c r="N1279" s="1" t="str">
        <f>IFERROR(SMALL($M$2:$M$1705,ROWS($M$2:M1279)),"")</f>
        <v/>
      </c>
      <c r="O1279" s="1" t="str">
        <f>IF(N1279&lt;&gt;"",INDEX($L$2:$L$1705,MATCH(N1279,$M$2:$M$1705,0)),"")</f>
        <v/>
      </c>
      <c r="P1279" s="1" t="str">
        <f>IF(O1279&lt;&gt;"",ROWS($O$2:O1279),"")</f>
        <v/>
      </c>
    </row>
    <row r="1280" spans="10:16" x14ac:dyDescent="0.2">
      <c r="J1280" s="1">
        <f>COUNTIF($L$2:L1280,L1280)</f>
        <v>12</v>
      </c>
      <c r="K1280" s="1">
        <f>A428</f>
        <v>1990</v>
      </c>
      <c r="L1280" s="1" t="str">
        <f>E428</f>
        <v>Colombia</v>
      </c>
      <c r="M1280" s="1" t="str">
        <f>IF(J1280=1,J1280+ROWS($J$2:J1280)/10000,"")</f>
        <v/>
      </c>
      <c r="N1280" s="1" t="str">
        <f>IFERROR(SMALL($M$2:$M$1705,ROWS($M$2:M1280)),"")</f>
        <v/>
      </c>
      <c r="O1280" s="1" t="str">
        <f>IF(N1280&lt;&gt;"",INDEX($L$2:$L$1705,MATCH(N1280,$M$2:$M$1705,0)),"")</f>
        <v/>
      </c>
      <c r="P1280" s="1" t="str">
        <f>IF(O1280&lt;&gt;"",ROWS($O$2:O1280),"")</f>
        <v/>
      </c>
    </row>
    <row r="1281" spans="10:16" x14ac:dyDescent="0.2">
      <c r="J1281" s="1">
        <f>COUNTIF($L$2:L1281,L1281)</f>
        <v>20</v>
      </c>
      <c r="K1281" s="1">
        <f>A429</f>
        <v>1990</v>
      </c>
      <c r="L1281" s="1" t="str">
        <f>E429</f>
        <v>USA</v>
      </c>
      <c r="M1281" s="1" t="str">
        <f>IF(J1281=1,J1281+ROWS($J$2:J1281)/10000,"")</f>
        <v/>
      </c>
      <c r="N1281" s="1" t="str">
        <f>IFERROR(SMALL($M$2:$M$1705,ROWS($M$2:M1281)),"")</f>
        <v/>
      </c>
      <c r="O1281" s="1" t="str">
        <f>IF(N1281&lt;&gt;"",INDEX($L$2:$L$1705,MATCH(N1281,$M$2:$M$1705,0)),"")</f>
        <v/>
      </c>
      <c r="P1281" s="1" t="str">
        <f>IF(O1281&lt;&gt;"",ROWS($O$2:O1281),"")</f>
        <v/>
      </c>
    </row>
    <row r="1282" spans="10:16" x14ac:dyDescent="0.2">
      <c r="J1282" s="1">
        <f>COUNTIF($L$2:L1282,L1282)</f>
        <v>28</v>
      </c>
      <c r="K1282" s="1">
        <f>A430</f>
        <v>1990</v>
      </c>
      <c r="L1282" s="1" t="str">
        <f>E430</f>
        <v>Czechoslovakia</v>
      </c>
      <c r="M1282" s="1" t="str">
        <f>IF(J1282=1,J1282+ROWS($J$2:J1282)/10000,"")</f>
        <v/>
      </c>
      <c r="N1282" s="1" t="str">
        <f>IFERROR(SMALL($M$2:$M$1705,ROWS($M$2:M1282)),"")</f>
        <v/>
      </c>
      <c r="O1282" s="1" t="str">
        <f>IF(N1282&lt;&gt;"",INDEX($L$2:$L$1705,MATCH(N1282,$M$2:$M$1705,0)),"")</f>
        <v/>
      </c>
      <c r="P1282" s="1" t="str">
        <f>IF(O1282&lt;&gt;"",ROWS($O$2:O1282),"")</f>
        <v/>
      </c>
    </row>
    <row r="1283" spans="10:16" x14ac:dyDescent="0.2">
      <c r="J1283" s="1">
        <f>COUNTIF($L$2:L1283,L1283)</f>
        <v>2</v>
      </c>
      <c r="K1283" s="1">
        <f>A431</f>
        <v>1990</v>
      </c>
      <c r="L1283" s="1" t="str">
        <f>E431</f>
        <v>United Arab Emirates</v>
      </c>
      <c r="M1283" s="1" t="str">
        <f>IF(J1283=1,J1283+ROWS($J$2:J1283)/10000,"")</f>
        <v/>
      </c>
      <c r="N1283" s="1" t="str">
        <f>IFERROR(SMALL($M$2:$M$1705,ROWS($M$2:M1283)),"")</f>
        <v/>
      </c>
      <c r="O1283" s="1" t="str">
        <f>IF(N1283&lt;&gt;"",INDEX($L$2:$L$1705,MATCH(N1283,$M$2:$M$1705,0)),"")</f>
        <v/>
      </c>
      <c r="P1283" s="1" t="str">
        <f>IF(O1283&lt;&gt;"",ROWS($O$2:O1283),"")</f>
        <v/>
      </c>
    </row>
    <row r="1284" spans="10:16" x14ac:dyDescent="0.2">
      <c r="J1284" s="1">
        <f>COUNTIF($L$2:L1284,L1284)</f>
        <v>8</v>
      </c>
      <c r="K1284" s="1">
        <f>A432</f>
        <v>1990</v>
      </c>
      <c r="L1284" s="1" t="str">
        <f>E432</f>
        <v>Costa Rica</v>
      </c>
      <c r="M1284" s="1" t="str">
        <f>IF(J1284=1,J1284+ROWS($J$2:J1284)/10000,"")</f>
        <v/>
      </c>
      <c r="N1284" s="1" t="str">
        <f>IFERROR(SMALL($M$2:$M$1705,ROWS($M$2:M1284)),"")</f>
        <v/>
      </c>
      <c r="O1284" s="1" t="str">
        <f>IF(N1284&lt;&gt;"",INDEX($L$2:$L$1705,MATCH(N1284,$M$2:$M$1705,0)),"")</f>
        <v/>
      </c>
      <c r="P1284" s="1" t="str">
        <f>IF(O1284&lt;&gt;"",ROWS($O$2:O1284),"")</f>
        <v/>
      </c>
    </row>
    <row r="1285" spans="10:16" x14ac:dyDescent="0.2">
      <c r="J1285" s="1">
        <f>COUNTIF($L$2:L1285,L1285)</f>
        <v>21</v>
      </c>
      <c r="K1285" s="1">
        <f>A433</f>
        <v>1990</v>
      </c>
      <c r="L1285" s="1" t="str">
        <f>E433</f>
        <v>Scotland</v>
      </c>
      <c r="M1285" s="1" t="str">
        <f>IF(J1285=1,J1285+ROWS($J$2:J1285)/10000,"")</f>
        <v/>
      </c>
      <c r="N1285" s="1" t="str">
        <f>IFERROR(SMALL($M$2:$M$1705,ROWS($M$2:M1285)),"")</f>
        <v/>
      </c>
      <c r="O1285" s="1" t="str">
        <f>IF(N1285&lt;&gt;"",INDEX($L$2:$L$1705,MATCH(N1285,$M$2:$M$1705,0)),"")</f>
        <v/>
      </c>
      <c r="P1285" s="1" t="str">
        <f>IF(O1285&lt;&gt;"",ROWS($O$2:O1285),"")</f>
        <v/>
      </c>
    </row>
    <row r="1286" spans="10:16" x14ac:dyDescent="0.2">
      <c r="J1286" s="1">
        <f>COUNTIF($L$2:L1286,L1286)</f>
        <v>41</v>
      </c>
      <c r="K1286" s="1">
        <f>A434</f>
        <v>1990</v>
      </c>
      <c r="L1286" s="1" t="str">
        <f>E434</f>
        <v>Netherlands</v>
      </c>
      <c r="M1286" s="1" t="str">
        <f>IF(J1286=1,J1286+ROWS($J$2:J1286)/10000,"")</f>
        <v/>
      </c>
      <c r="N1286" s="1" t="str">
        <f>IFERROR(SMALL($M$2:$M$1705,ROWS($M$2:M1286)),"")</f>
        <v/>
      </c>
      <c r="O1286" s="1" t="str">
        <f>IF(N1286&lt;&gt;"",INDEX($L$2:$L$1705,MATCH(N1286,$M$2:$M$1705,0)),"")</f>
        <v/>
      </c>
      <c r="P1286" s="1" t="str">
        <f>IF(O1286&lt;&gt;"",ROWS($O$2:O1286),"")</f>
        <v/>
      </c>
    </row>
    <row r="1287" spans="10:16" x14ac:dyDescent="0.2">
      <c r="J1287" s="1">
        <f>COUNTIF($L$2:L1287,L1287)</f>
        <v>3</v>
      </c>
      <c r="K1287" s="1">
        <f>A435</f>
        <v>1990</v>
      </c>
      <c r="L1287" s="1" t="str">
        <f>E435</f>
        <v>Egypt</v>
      </c>
      <c r="M1287" s="1" t="str">
        <f>IF(J1287=1,J1287+ROWS($J$2:J1287)/10000,"")</f>
        <v/>
      </c>
      <c r="N1287" s="1" t="str">
        <f>IFERROR(SMALL($M$2:$M$1705,ROWS($M$2:M1287)),"")</f>
        <v/>
      </c>
      <c r="O1287" s="1" t="str">
        <f>IF(N1287&lt;&gt;"",INDEX($L$2:$L$1705,MATCH(N1287,$M$2:$M$1705,0)),"")</f>
        <v/>
      </c>
      <c r="P1287" s="1" t="str">
        <f>IF(O1287&lt;&gt;"",ROWS($O$2:O1287),"")</f>
        <v/>
      </c>
    </row>
    <row r="1288" spans="10:16" x14ac:dyDescent="0.2">
      <c r="J1288" s="1">
        <f>COUNTIF($L$2:L1288,L1288)</f>
        <v>48</v>
      </c>
      <c r="K1288" s="1">
        <f>A436</f>
        <v>1990</v>
      </c>
      <c r="L1288" s="1" t="str">
        <f>E436</f>
        <v>Spain</v>
      </c>
      <c r="M1288" s="1" t="str">
        <f>IF(J1288=1,J1288+ROWS($J$2:J1288)/10000,"")</f>
        <v/>
      </c>
      <c r="N1288" s="1" t="str">
        <f>IFERROR(SMALL($M$2:$M$1705,ROWS($M$2:M1288)),"")</f>
        <v/>
      </c>
      <c r="O1288" s="1" t="str">
        <f>IF(N1288&lt;&gt;"",INDEX($L$2:$L$1705,MATCH(N1288,$M$2:$M$1705,0)),"")</f>
        <v/>
      </c>
      <c r="P1288" s="1" t="str">
        <f>IF(O1288&lt;&gt;"",ROWS($O$2:O1288),"")</f>
        <v/>
      </c>
    </row>
    <row r="1289" spans="10:16" x14ac:dyDescent="0.2">
      <c r="J1289" s="1">
        <f>COUNTIF($L$2:L1289,L1289)</f>
        <v>43</v>
      </c>
      <c r="K1289" s="1">
        <f>A437</f>
        <v>1990</v>
      </c>
      <c r="L1289" s="1" t="str">
        <f>E437</f>
        <v>Uruguay</v>
      </c>
      <c r="M1289" s="1" t="str">
        <f>IF(J1289=1,J1289+ROWS($J$2:J1289)/10000,"")</f>
        <v/>
      </c>
      <c r="N1289" s="1" t="str">
        <f>IFERROR(SMALL($M$2:$M$1705,ROWS($M$2:M1289)),"")</f>
        <v/>
      </c>
      <c r="O1289" s="1" t="str">
        <f>IF(N1289&lt;&gt;"",INDEX($L$2:$L$1705,MATCH(N1289,$M$2:$M$1705,0)),"")</f>
        <v/>
      </c>
      <c r="P1289" s="1" t="str">
        <f>IF(O1289&lt;&gt;"",ROWS($O$2:O1289),"")</f>
        <v/>
      </c>
    </row>
    <row r="1290" spans="10:16" x14ac:dyDescent="0.2">
      <c r="J1290" s="1">
        <f>COUNTIF($L$2:L1290,L1290)</f>
        <v>18</v>
      </c>
      <c r="K1290" s="1">
        <f>A438</f>
        <v>1990</v>
      </c>
      <c r="L1290" s="1" t="str">
        <f>E438</f>
        <v>Romania</v>
      </c>
      <c r="M1290" s="1" t="str">
        <f>IF(J1290=1,J1290+ROWS($J$2:J1290)/10000,"")</f>
        <v/>
      </c>
      <c r="N1290" s="1" t="str">
        <f>IFERROR(SMALL($M$2:$M$1705,ROWS($M$2:M1290)),"")</f>
        <v/>
      </c>
      <c r="O1290" s="1" t="str">
        <f>IF(N1290&lt;&gt;"",INDEX($L$2:$L$1705,MATCH(N1290,$M$2:$M$1705,0)),"")</f>
        <v/>
      </c>
      <c r="P1290" s="1" t="str">
        <f>IF(O1290&lt;&gt;"",ROWS($O$2:O1290),"")</f>
        <v/>
      </c>
    </row>
    <row r="1291" spans="10:16" x14ac:dyDescent="0.2">
      <c r="J1291" s="1">
        <f>COUNTIF($L$2:L1291,L1291)</f>
        <v>31</v>
      </c>
      <c r="K1291" s="1">
        <f>A439</f>
        <v>1990</v>
      </c>
      <c r="L1291" s="1" t="str">
        <f>E439</f>
        <v>Soviet Union</v>
      </c>
      <c r="M1291" s="1" t="str">
        <f>IF(J1291=1,J1291+ROWS($J$2:J1291)/10000,"")</f>
        <v/>
      </c>
      <c r="N1291" s="1" t="str">
        <f>IFERROR(SMALL($M$2:$M$1705,ROWS($M$2:M1291)),"")</f>
        <v/>
      </c>
      <c r="O1291" s="1" t="str">
        <f>IF(N1291&lt;&gt;"",INDEX($L$2:$L$1705,MATCH(N1291,$M$2:$M$1705,0)),"")</f>
        <v/>
      </c>
      <c r="P1291" s="1" t="str">
        <f>IF(O1291&lt;&gt;"",ROWS($O$2:O1291),"")</f>
        <v/>
      </c>
    </row>
    <row r="1292" spans="10:16" x14ac:dyDescent="0.2">
      <c r="J1292" s="1">
        <f>COUNTIF($L$2:L1292,L1292)</f>
        <v>13</v>
      </c>
      <c r="K1292" s="1">
        <f>A440</f>
        <v>1990</v>
      </c>
      <c r="L1292" s="1" t="str">
        <f>E440</f>
        <v>Colombia</v>
      </c>
      <c r="M1292" s="1" t="str">
        <f>IF(J1292=1,J1292+ROWS($J$2:J1292)/10000,"")</f>
        <v/>
      </c>
      <c r="N1292" s="1" t="str">
        <f>IFERROR(SMALL($M$2:$M$1705,ROWS($M$2:M1292)),"")</f>
        <v/>
      </c>
      <c r="O1292" s="1" t="str">
        <f>IF(N1292&lt;&gt;"",INDEX($L$2:$L$1705,MATCH(N1292,$M$2:$M$1705,0)),"")</f>
        <v/>
      </c>
      <c r="P1292" s="1" t="str">
        <f>IF(O1292&lt;&gt;"",ROWS($O$2:O1292),"")</f>
        <v/>
      </c>
    </row>
    <row r="1293" spans="10:16" x14ac:dyDescent="0.2">
      <c r="J1293" s="1">
        <f>COUNTIF($L$2:L1293,L1293)</f>
        <v>3</v>
      </c>
      <c r="K1293" s="1">
        <f>A441</f>
        <v>1990</v>
      </c>
      <c r="L1293" s="1" t="str">
        <f>E441</f>
        <v>United Arab Emirates</v>
      </c>
      <c r="M1293" s="1" t="str">
        <f>IF(J1293=1,J1293+ROWS($J$2:J1293)/10000,"")</f>
        <v/>
      </c>
      <c r="N1293" s="1" t="str">
        <f>IFERROR(SMALL($M$2:$M$1705,ROWS($M$2:M1293)),"")</f>
        <v/>
      </c>
      <c r="O1293" s="1" t="str">
        <f>IF(N1293&lt;&gt;"",INDEX($L$2:$L$1705,MATCH(N1293,$M$2:$M$1705,0)),"")</f>
        <v/>
      </c>
      <c r="P1293" s="1" t="str">
        <f>IF(O1293&lt;&gt;"",ROWS($O$2:O1293),"")</f>
        <v/>
      </c>
    </row>
    <row r="1294" spans="10:16" x14ac:dyDescent="0.2">
      <c r="J1294" s="1">
        <f>COUNTIF($L$2:L1294,L1294)</f>
        <v>29</v>
      </c>
      <c r="K1294" s="1">
        <f>A442</f>
        <v>1990</v>
      </c>
      <c r="L1294" s="1" t="str">
        <f>E442</f>
        <v>Czechoslovakia</v>
      </c>
      <c r="M1294" s="1" t="str">
        <f>IF(J1294=1,J1294+ROWS($J$2:J1294)/10000,"")</f>
        <v/>
      </c>
      <c r="N1294" s="1" t="str">
        <f>IFERROR(SMALL($M$2:$M$1705,ROWS($M$2:M1294)),"")</f>
        <v/>
      </c>
      <c r="O1294" s="1" t="str">
        <f>IF(N1294&lt;&gt;"",INDEX($L$2:$L$1705,MATCH(N1294,$M$2:$M$1705,0)),"")</f>
        <v/>
      </c>
      <c r="P1294" s="1" t="str">
        <f>IF(O1294&lt;&gt;"",ROWS($O$2:O1294),"")</f>
        <v/>
      </c>
    </row>
    <row r="1295" spans="10:16" x14ac:dyDescent="0.2">
      <c r="J1295" s="1">
        <f>COUNTIF($L$2:L1295,L1295)</f>
        <v>21</v>
      </c>
      <c r="K1295" s="1">
        <f>A443</f>
        <v>1990</v>
      </c>
      <c r="L1295" s="1" t="str">
        <f>E443</f>
        <v>USA</v>
      </c>
      <c r="M1295" s="1" t="str">
        <f>IF(J1295=1,J1295+ROWS($J$2:J1295)/10000,"")</f>
        <v/>
      </c>
      <c r="N1295" s="1" t="str">
        <f>IFERROR(SMALL($M$2:$M$1705,ROWS($M$2:M1295)),"")</f>
        <v/>
      </c>
      <c r="O1295" s="1" t="str">
        <f>IF(N1295&lt;&gt;"",INDEX($L$2:$L$1705,MATCH(N1295,$M$2:$M$1705,0)),"")</f>
        <v/>
      </c>
      <c r="P1295" s="1" t="str">
        <f>IF(O1295&lt;&gt;"",ROWS($O$2:O1295),"")</f>
        <v/>
      </c>
    </row>
    <row r="1296" spans="10:16" x14ac:dyDescent="0.2">
      <c r="J1296" s="1">
        <f>COUNTIF($L$2:L1296,L1296)</f>
        <v>22</v>
      </c>
      <c r="K1296" s="1">
        <f>A444</f>
        <v>1990</v>
      </c>
      <c r="L1296" s="1" t="str">
        <f>E444</f>
        <v>Scotland</v>
      </c>
      <c r="M1296" s="1" t="str">
        <f>IF(J1296=1,J1296+ROWS($J$2:J1296)/10000,"")</f>
        <v/>
      </c>
      <c r="N1296" s="1" t="str">
        <f>IFERROR(SMALL($M$2:$M$1705,ROWS($M$2:M1296)),"")</f>
        <v/>
      </c>
      <c r="O1296" s="1" t="str">
        <f>IF(N1296&lt;&gt;"",INDEX($L$2:$L$1705,MATCH(N1296,$M$2:$M$1705,0)),"")</f>
        <v/>
      </c>
      <c r="P1296" s="1" t="str">
        <f>IF(O1296&lt;&gt;"",ROWS($O$2:O1296),"")</f>
        <v/>
      </c>
    </row>
    <row r="1297" spans="10:16" x14ac:dyDescent="0.2">
      <c r="J1297" s="1">
        <f>COUNTIF($L$2:L1297,L1297)</f>
        <v>9</v>
      </c>
      <c r="K1297" s="1">
        <f>A445</f>
        <v>1990</v>
      </c>
      <c r="L1297" s="1" t="str">
        <f>E445</f>
        <v>Costa Rica</v>
      </c>
      <c r="M1297" s="1" t="str">
        <f>IF(J1297=1,J1297+ROWS($J$2:J1297)/10000,"")</f>
        <v/>
      </c>
      <c r="N1297" s="1" t="str">
        <f>IFERROR(SMALL($M$2:$M$1705,ROWS($M$2:M1297)),"")</f>
        <v/>
      </c>
      <c r="O1297" s="1" t="str">
        <f>IF(N1297&lt;&gt;"",INDEX($L$2:$L$1705,MATCH(N1297,$M$2:$M$1705,0)),"")</f>
        <v/>
      </c>
      <c r="P1297" s="1" t="str">
        <f>IF(O1297&lt;&gt;"",ROWS($O$2:O1297),"")</f>
        <v/>
      </c>
    </row>
    <row r="1298" spans="10:16" x14ac:dyDescent="0.2">
      <c r="J1298" s="1">
        <f>COUNTIF($L$2:L1298,L1298)</f>
        <v>44</v>
      </c>
      <c r="K1298" s="1">
        <f>A446</f>
        <v>1990</v>
      </c>
      <c r="L1298" s="1" t="str">
        <f>E446</f>
        <v>Uruguay</v>
      </c>
      <c r="M1298" s="1" t="str">
        <f>IF(J1298=1,J1298+ROWS($J$2:J1298)/10000,"")</f>
        <v/>
      </c>
      <c r="N1298" s="1" t="str">
        <f>IFERROR(SMALL($M$2:$M$1705,ROWS($M$2:M1298)),"")</f>
        <v/>
      </c>
      <c r="O1298" s="1" t="str">
        <f>IF(N1298&lt;&gt;"",INDEX($L$2:$L$1705,MATCH(N1298,$M$2:$M$1705,0)),"")</f>
        <v/>
      </c>
      <c r="P1298" s="1" t="str">
        <f>IF(O1298&lt;&gt;"",ROWS($O$2:O1298),"")</f>
        <v/>
      </c>
    </row>
    <row r="1299" spans="10:16" x14ac:dyDescent="0.2">
      <c r="J1299" s="1">
        <f>COUNTIF($L$2:L1299,L1299)</f>
        <v>49</v>
      </c>
      <c r="K1299" s="1">
        <f>A447</f>
        <v>1990</v>
      </c>
      <c r="L1299" s="1" t="str">
        <f>E447</f>
        <v>Spain</v>
      </c>
      <c r="M1299" s="1" t="str">
        <f>IF(J1299=1,J1299+ROWS($J$2:J1299)/10000,"")</f>
        <v/>
      </c>
      <c r="N1299" s="1" t="str">
        <f>IFERROR(SMALL($M$2:$M$1705,ROWS($M$2:M1299)),"")</f>
        <v/>
      </c>
      <c r="O1299" s="1" t="str">
        <f>IF(N1299&lt;&gt;"",INDEX($L$2:$L$1705,MATCH(N1299,$M$2:$M$1705,0)),"")</f>
        <v/>
      </c>
      <c r="P1299" s="1" t="str">
        <f>IF(O1299&lt;&gt;"",ROWS($O$2:O1299),"")</f>
        <v/>
      </c>
    </row>
    <row r="1300" spans="10:16" x14ac:dyDescent="0.2">
      <c r="J1300" s="1">
        <f>COUNTIF($L$2:L1300,L1300)</f>
        <v>42</v>
      </c>
      <c r="K1300" s="1">
        <f>A448</f>
        <v>1990</v>
      </c>
      <c r="L1300" s="1" t="str">
        <f>E448</f>
        <v>Netherlands</v>
      </c>
      <c r="M1300" s="1" t="str">
        <f>IF(J1300=1,J1300+ROWS($J$2:J1300)/10000,"")</f>
        <v/>
      </c>
      <c r="N1300" s="1" t="str">
        <f>IFERROR(SMALL($M$2:$M$1705,ROWS($M$2:M1300)),"")</f>
        <v/>
      </c>
      <c r="O1300" s="1" t="str">
        <f>IF(N1300&lt;&gt;"",INDEX($L$2:$L$1705,MATCH(N1300,$M$2:$M$1705,0)),"")</f>
        <v/>
      </c>
      <c r="P1300" s="1" t="str">
        <f>IF(O1300&lt;&gt;"",ROWS($O$2:O1300),"")</f>
        <v/>
      </c>
    </row>
    <row r="1301" spans="10:16" x14ac:dyDescent="0.2">
      <c r="J1301" s="1">
        <f>COUNTIF($L$2:L1301,L1301)</f>
        <v>4</v>
      </c>
      <c r="K1301" s="1">
        <f>A449</f>
        <v>1990</v>
      </c>
      <c r="L1301" s="1" t="str">
        <f>E449</f>
        <v>Egypt</v>
      </c>
      <c r="M1301" s="1" t="str">
        <f>IF(J1301=1,J1301+ROWS($J$2:J1301)/10000,"")</f>
        <v/>
      </c>
      <c r="N1301" s="1" t="str">
        <f>IFERROR(SMALL($M$2:$M$1705,ROWS($M$2:M1301)),"")</f>
        <v/>
      </c>
      <c r="O1301" s="1" t="str">
        <f>IF(N1301&lt;&gt;"",INDEX($L$2:$L$1705,MATCH(N1301,$M$2:$M$1705,0)),"")</f>
        <v/>
      </c>
      <c r="P1301" s="1" t="str">
        <f>IF(O1301&lt;&gt;"",ROWS($O$2:O1301),"")</f>
        <v/>
      </c>
    </row>
    <row r="1302" spans="10:16" x14ac:dyDescent="0.2">
      <c r="J1302" s="1">
        <f>COUNTIF($L$2:L1302,L1302)</f>
        <v>14</v>
      </c>
      <c r="K1302" s="1">
        <f>A450</f>
        <v>1990</v>
      </c>
      <c r="L1302" s="1" t="str">
        <f>E450</f>
        <v>Colombia</v>
      </c>
      <c r="M1302" s="1" t="str">
        <f>IF(J1302=1,J1302+ROWS($J$2:J1302)/10000,"")</f>
        <v/>
      </c>
      <c r="N1302" s="1" t="str">
        <f>IFERROR(SMALL($M$2:$M$1705,ROWS($M$2:M1302)),"")</f>
        <v/>
      </c>
      <c r="O1302" s="1" t="str">
        <f>IF(N1302&lt;&gt;"",INDEX($L$2:$L$1705,MATCH(N1302,$M$2:$M$1705,0)),"")</f>
        <v/>
      </c>
      <c r="P1302" s="1" t="str">
        <f>IF(O1302&lt;&gt;"",ROWS($O$2:O1302),"")</f>
        <v/>
      </c>
    </row>
    <row r="1303" spans="10:16" x14ac:dyDescent="0.2">
      <c r="J1303" s="1">
        <f>COUNTIF($L$2:L1303,L1303)</f>
        <v>10</v>
      </c>
      <c r="K1303" s="1">
        <f>A451</f>
        <v>1990</v>
      </c>
      <c r="L1303" s="1" t="str">
        <f>E451</f>
        <v>Costa Rica</v>
      </c>
      <c r="M1303" s="1" t="str">
        <f>IF(J1303=1,J1303+ROWS($J$2:J1303)/10000,"")</f>
        <v/>
      </c>
      <c r="N1303" s="1" t="str">
        <f>IFERROR(SMALL($M$2:$M$1705,ROWS($M$2:M1303)),"")</f>
        <v/>
      </c>
      <c r="O1303" s="1" t="str">
        <f>IF(N1303&lt;&gt;"",INDEX($L$2:$L$1705,MATCH(N1303,$M$2:$M$1705,0)),"")</f>
        <v/>
      </c>
      <c r="P1303" s="1" t="str">
        <f>IF(O1303&lt;&gt;"",ROWS($O$2:O1303),"")</f>
        <v/>
      </c>
    </row>
    <row r="1304" spans="10:16" x14ac:dyDescent="0.2">
      <c r="J1304" s="1">
        <f>COUNTIF($L$2:L1304,L1304)</f>
        <v>67</v>
      </c>
      <c r="K1304" s="1">
        <f>A452</f>
        <v>1990</v>
      </c>
      <c r="L1304" s="1" t="str">
        <f>E452</f>
        <v>Argentina</v>
      </c>
      <c r="M1304" s="1" t="str">
        <f>IF(J1304=1,J1304+ROWS($J$2:J1304)/10000,"")</f>
        <v/>
      </c>
      <c r="N1304" s="1" t="str">
        <f>IFERROR(SMALL($M$2:$M$1705,ROWS($M$2:M1304)),"")</f>
        <v/>
      </c>
      <c r="O1304" s="1" t="str">
        <f>IF(N1304&lt;&gt;"",INDEX($L$2:$L$1705,MATCH(N1304,$M$2:$M$1705,0)),"")</f>
        <v/>
      </c>
      <c r="P1304" s="1" t="str">
        <f>IF(O1304&lt;&gt;"",ROWS($O$2:O1304),"")</f>
        <v/>
      </c>
    </row>
    <row r="1305" spans="10:16" x14ac:dyDescent="0.2">
      <c r="J1305" s="1">
        <f>COUNTIF($L$2:L1305,L1305)</f>
        <v>43</v>
      </c>
      <c r="K1305" s="1">
        <f>A453</f>
        <v>1990</v>
      </c>
      <c r="L1305" s="1" t="str">
        <f>E453</f>
        <v>Netherlands</v>
      </c>
      <c r="M1305" s="1" t="str">
        <f>IF(J1305=1,J1305+ROWS($J$2:J1305)/10000,"")</f>
        <v/>
      </c>
      <c r="N1305" s="1" t="str">
        <f>IFERROR(SMALL($M$2:$M$1705,ROWS($M$2:M1305)),"")</f>
        <v/>
      </c>
      <c r="O1305" s="1" t="str">
        <f>IF(N1305&lt;&gt;"",INDEX($L$2:$L$1705,MATCH(N1305,$M$2:$M$1705,0)),"")</f>
        <v/>
      </c>
      <c r="P1305" s="1" t="str">
        <f>IF(O1305&lt;&gt;"",ROWS($O$2:O1305),"")</f>
        <v/>
      </c>
    </row>
    <row r="1306" spans="10:16" x14ac:dyDescent="0.2">
      <c r="J1306" s="1">
        <f>COUNTIF($L$2:L1306,L1306)</f>
        <v>19</v>
      </c>
      <c r="K1306" s="1">
        <f>A454</f>
        <v>1990</v>
      </c>
      <c r="L1306" s="1" t="str">
        <f>E454</f>
        <v>Romania</v>
      </c>
      <c r="M1306" s="1" t="str">
        <f>IF(J1306=1,J1306+ROWS($J$2:J1306)/10000,"")</f>
        <v/>
      </c>
      <c r="N1306" s="1" t="str">
        <f>IFERROR(SMALL($M$2:$M$1705,ROWS($M$2:M1306)),"")</f>
        <v/>
      </c>
      <c r="O1306" s="1" t="str">
        <f>IF(N1306&lt;&gt;"",INDEX($L$2:$L$1705,MATCH(N1306,$M$2:$M$1705,0)),"")</f>
        <v/>
      </c>
      <c r="P1306" s="1" t="str">
        <f>IF(O1306&lt;&gt;"",ROWS($O$2:O1306),"")</f>
        <v/>
      </c>
    </row>
    <row r="1307" spans="10:16" x14ac:dyDescent="0.2">
      <c r="J1307" s="1">
        <f>COUNTIF($L$2:L1307,L1307)</f>
        <v>45</v>
      </c>
      <c r="K1307" s="1">
        <f>A455</f>
        <v>1990</v>
      </c>
      <c r="L1307" s="1" t="str">
        <f>E455</f>
        <v>Uruguay</v>
      </c>
      <c r="M1307" s="1" t="str">
        <f>IF(J1307=1,J1307+ROWS($J$2:J1307)/10000,"")</f>
        <v/>
      </c>
      <c r="N1307" s="1" t="str">
        <f>IFERROR(SMALL($M$2:$M$1705,ROWS($M$2:M1307)),"")</f>
        <v/>
      </c>
      <c r="O1307" s="1" t="str">
        <f>IF(N1307&lt;&gt;"",INDEX($L$2:$L$1705,MATCH(N1307,$M$2:$M$1705,0)),"")</f>
        <v/>
      </c>
      <c r="P1307" s="1" t="str">
        <f>IF(O1307&lt;&gt;"",ROWS($O$2:O1307),"")</f>
        <v/>
      </c>
    </row>
    <row r="1308" spans="10:16" x14ac:dyDescent="0.2">
      <c r="J1308" s="1">
        <f>COUNTIF($L$2:L1308,L1308)</f>
        <v>34</v>
      </c>
      <c r="K1308" s="1">
        <f>A456</f>
        <v>1990</v>
      </c>
      <c r="L1308" s="1" t="str">
        <f>E456</f>
        <v>Yugoslavia</v>
      </c>
      <c r="M1308" s="1" t="str">
        <f>IF(J1308=1,J1308+ROWS($J$2:J1308)/10000,"")</f>
        <v/>
      </c>
      <c r="N1308" s="1" t="str">
        <f>IFERROR(SMALL($M$2:$M$1705,ROWS($M$2:M1308)),"")</f>
        <v/>
      </c>
      <c r="O1308" s="1" t="str">
        <f>IF(N1308&lt;&gt;"",INDEX($L$2:$L$1705,MATCH(N1308,$M$2:$M$1705,0)),"")</f>
        <v/>
      </c>
      <c r="P1308" s="1" t="str">
        <f>IF(O1308&lt;&gt;"",ROWS($O$2:O1308),"")</f>
        <v/>
      </c>
    </row>
    <row r="1309" spans="10:16" x14ac:dyDescent="0.2">
      <c r="J1309" s="1">
        <f>COUNTIF($L$2:L1309,L1309)</f>
        <v>35</v>
      </c>
      <c r="K1309" s="1">
        <f>A457</f>
        <v>1990</v>
      </c>
      <c r="L1309" s="1" t="str">
        <f>E457</f>
        <v>Belgium</v>
      </c>
      <c r="M1309" s="1" t="str">
        <f>IF(J1309=1,J1309+ROWS($J$2:J1309)/10000,"")</f>
        <v/>
      </c>
      <c r="N1309" s="1" t="str">
        <f>IFERROR(SMALL($M$2:$M$1705,ROWS($M$2:M1309)),"")</f>
        <v/>
      </c>
      <c r="O1309" s="1" t="str">
        <f>IF(N1309&lt;&gt;"",INDEX($L$2:$L$1705,MATCH(N1309,$M$2:$M$1705,0)),"")</f>
        <v/>
      </c>
      <c r="P1309" s="1" t="str">
        <f>IF(O1309&lt;&gt;"",ROWS($O$2:O1309),"")</f>
        <v/>
      </c>
    </row>
    <row r="1310" spans="10:16" x14ac:dyDescent="0.2">
      <c r="J1310" s="1">
        <f>COUNTIF($L$2:L1310,L1310)</f>
        <v>68</v>
      </c>
      <c r="K1310" s="1">
        <f>A458</f>
        <v>1990</v>
      </c>
      <c r="L1310" s="1" t="str">
        <f>E458</f>
        <v>Argentina</v>
      </c>
      <c r="M1310" s="1" t="str">
        <f>IF(J1310=1,J1310+ROWS($J$2:J1310)/10000,"")</f>
        <v/>
      </c>
      <c r="N1310" s="1" t="str">
        <f>IFERROR(SMALL($M$2:$M$1705,ROWS($M$2:M1310)),"")</f>
        <v/>
      </c>
      <c r="O1310" s="1" t="str">
        <f>IF(N1310&lt;&gt;"",INDEX($L$2:$L$1705,MATCH(N1310,$M$2:$M$1705,0)),"")</f>
        <v/>
      </c>
      <c r="P1310" s="1" t="str">
        <f>IF(O1310&lt;&gt;"",ROWS($O$2:O1310),"")</f>
        <v/>
      </c>
    </row>
    <row r="1311" spans="10:16" x14ac:dyDescent="0.2">
      <c r="J1311" s="1">
        <f>COUNTIF($L$2:L1311,L1311)</f>
        <v>7</v>
      </c>
      <c r="K1311" s="1">
        <f>A459</f>
        <v>1990</v>
      </c>
      <c r="L1311" s="1" t="str">
        <f>E459</f>
        <v>Republic of Ireland</v>
      </c>
      <c r="M1311" s="1" t="str">
        <f>IF(J1311=1,J1311+ROWS($J$2:J1311)/10000,"")</f>
        <v/>
      </c>
      <c r="N1311" s="1" t="str">
        <f>IFERROR(SMALL($M$2:$M$1705,ROWS($M$2:M1311)),"")</f>
        <v/>
      </c>
      <c r="O1311" s="1" t="str">
        <f>IF(N1311&lt;&gt;"",INDEX($L$2:$L$1705,MATCH(N1311,$M$2:$M$1705,0)),"")</f>
        <v/>
      </c>
      <c r="P1311" s="1" t="str">
        <f>IF(O1311&lt;&gt;"",ROWS($O$2:O1311),"")</f>
        <v/>
      </c>
    </row>
    <row r="1312" spans="10:16" x14ac:dyDescent="0.2">
      <c r="J1312" s="1">
        <f>COUNTIF($L$2:L1312,L1312)</f>
        <v>30</v>
      </c>
      <c r="K1312" s="1">
        <f>A460</f>
        <v>1990</v>
      </c>
      <c r="L1312" s="1" t="str">
        <f>E460</f>
        <v>Czechoslovakia</v>
      </c>
      <c r="M1312" s="1" t="str">
        <f>IF(J1312=1,J1312+ROWS($J$2:J1312)/10000,"")</f>
        <v/>
      </c>
      <c r="N1312" s="1" t="str">
        <f>IFERROR(SMALL($M$2:$M$1705,ROWS($M$2:M1312)),"")</f>
        <v/>
      </c>
      <c r="O1312" s="1" t="str">
        <f>IF(N1312&lt;&gt;"",INDEX($L$2:$L$1705,MATCH(N1312,$M$2:$M$1705,0)),"")</f>
        <v/>
      </c>
      <c r="P1312" s="1" t="str">
        <f>IF(O1312&lt;&gt;"",ROWS($O$2:O1312),"")</f>
        <v/>
      </c>
    </row>
    <row r="1313" spans="10:16" x14ac:dyDescent="0.2">
      <c r="J1313" s="1">
        <f>COUNTIF($L$2:L1313,L1313)</f>
        <v>16</v>
      </c>
      <c r="K1313" s="1">
        <f>A461</f>
        <v>1990</v>
      </c>
      <c r="L1313" s="1" t="str">
        <f>E461</f>
        <v>Cameroon</v>
      </c>
      <c r="M1313" s="1" t="str">
        <f>IF(J1313=1,J1313+ROWS($J$2:J1313)/10000,"")</f>
        <v/>
      </c>
      <c r="N1313" s="1" t="str">
        <f>IFERROR(SMALL($M$2:$M$1705,ROWS($M$2:M1313)),"")</f>
        <v/>
      </c>
      <c r="O1313" s="1" t="str">
        <f>IF(N1313&lt;&gt;"",INDEX($L$2:$L$1705,MATCH(N1313,$M$2:$M$1705,0)),"")</f>
        <v/>
      </c>
      <c r="P1313" s="1" t="str">
        <f>IF(O1313&lt;&gt;"",ROWS($O$2:O1313),"")</f>
        <v/>
      </c>
    </row>
    <row r="1314" spans="10:16" x14ac:dyDescent="0.2">
      <c r="J1314" s="1">
        <f>COUNTIF($L$2:L1314,L1314)</f>
        <v>69</v>
      </c>
      <c r="K1314" s="1">
        <f>A462</f>
        <v>1990</v>
      </c>
      <c r="L1314" s="1" t="str">
        <f>E462</f>
        <v>Argentina</v>
      </c>
      <c r="M1314" s="1" t="str">
        <f>IF(J1314=1,J1314+ROWS($J$2:J1314)/10000,"")</f>
        <v/>
      </c>
      <c r="N1314" s="1" t="str">
        <f>IFERROR(SMALL($M$2:$M$1705,ROWS($M$2:M1314)),"")</f>
        <v/>
      </c>
      <c r="O1314" s="1" t="str">
        <f>IF(N1314&lt;&gt;"",INDEX($L$2:$L$1705,MATCH(N1314,$M$2:$M$1705,0)),"")</f>
        <v/>
      </c>
      <c r="P1314" s="1" t="str">
        <f>IF(O1314&lt;&gt;"",ROWS($O$2:O1314),"")</f>
        <v/>
      </c>
    </row>
    <row r="1315" spans="10:16" x14ac:dyDescent="0.2">
      <c r="J1315" s="1">
        <f>COUNTIF($L$2:L1315,L1315)</f>
        <v>50</v>
      </c>
      <c r="K1315" s="1">
        <f>A463</f>
        <v>1990</v>
      </c>
      <c r="L1315" s="1" t="str">
        <f>E463</f>
        <v>England</v>
      </c>
      <c r="M1315" s="1" t="str">
        <f>IF(J1315=1,J1315+ROWS($J$2:J1315)/10000,"")</f>
        <v/>
      </c>
      <c r="N1315" s="1" t="str">
        <f>IFERROR(SMALL($M$2:$M$1705,ROWS($M$2:M1315)),"")</f>
        <v/>
      </c>
      <c r="O1315" s="1" t="str">
        <f>IF(N1315&lt;&gt;"",INDEX($L$2:$L$1705,MATCH(N1315,$M$2:$M$1705,0)),"")</f>
        <v/>
      </c>
      <c r="P1315" s="1" t="str">
        <f>IF(O1315&lt;&gt;"",ROWS($O$2:O1315),"")</f>
        <v/>
      </c>
    </row>
    <row r="1316" spans="10:16" x14ac:dyDescent="0.2">
      <c r="J1316" s="1">
        <f>COUNTIF($L$2:L1316,L1316)</f>
        <v>51</v>
      </c>
      <c r="K1316" s="1">
        <f>A464</f>
        <v>1990</v>
      </c>
      <c r="L1316" s="1" t="str">
        <f>E464</f>
        <v>England</v>
      </c>
      <c r="M1316" s="1" t="str">
        <f>IF(J1316=1,J1316+ROWS($J$2:J1316)/10000,"")</f>
        <v/>
      </c>
      <c r="N1316" s="1" t="str">
        <f>IFERROR(SMALL($M$2:$M$1705,ROWS($M$2:M1316)),"")</f>
        <v/>
      </c>
      <c r="O1316" s="1" t="str">
        <f>IF(N1316&lt;&gt;"",INDEX($L$2:$L$1705,MATCH(N1316,$M$2:$M$1705,0)),"")</f>
        <v/>
      </c>
      <c r="P1316" s="1" t="str">
        <f>IF(O1316&lt;&gt;"",ROWS($O$2:O1316),"")</f>
        <v/>
      </c>
    </row>
    <row r="1317" spans="10:16" x14ac:dyDescent="0.2">
      <c r="J1317" s="1">
        <f>COUNTIF($L$2:L1317,L1317)</f>
        <v>70</v>
      </c>
      <c r="K1317" s="1">
        <f>A465</f>
        <v>1990</v>
      </c>
      <c r="L1317" s="1" t="str">
        <f>E465</f>
        <v>Argentina</v>
      </c>
      <c r="M1317" s="1" t="str">
        <f>IF(J1317=1,J1317+ROWS($J$2:J1317)/10000,"")</f>
        <v/>
      </c>
      <c r="N1317" s="1" t="str">
        <f>IFERROR(SMALL($M$2:$M$1705,ROWS($M$2:M1317)),"")</f>
        <v/>
      </c>
      <c r="O1317" s="1" t="str">
        <f>IF(N1317&lt;&gt;"",INDEX($L$2:$L$1705,MATCH(N1317,$M$2:$M$1705,0)),"")</f>
        <v/>
      </c>
      <c r="P1317" s="1" t="str">
        <f>IF(O1317&lt;&gt;"",ROWS($O$2:O1317),"")</f>
        <v/>
      </c>
    </row>
    <row r="1318" spans="10:16" x14ac:dyDescent="0.2">
      <c r="J1318" s="1">
        <f>COUNTIF($L$2:L1318,L1318)</f>
        <v>19</v>
      </c>
      <c r="K1318" s="1">
        <f>A466</f>
        <v>1994</v>
      </c>
      <c r="L1318" s="1" t="str">
        <f>E466</f>
        <v>Korea Republic</v>
      </c>
      <c r="M1318" s="1" t="str">
        <f>IF(J1318=1,J1318+ROWS($J$2:J1318)/10000,"")</f>
        <v/>
      </c>
      <c r="N1318" s="1" t="str">
        <f>IFERROR(SMALL($M$2:$M$1705,ROWS($M$2:M1318)),"")</f>
        <v/>
      </c>
      <c r="O1318" s="1" t="str">
        <f>IF(N1318&lt;&gt;"",INDEX($L$2:$L$1705,MATCH(N1318,$M$2:$M$1705,0)),"")</f>
        <v/>
      </c>
      <c r="P1318" s="1" t="str">
        <f>IF(O1318&lt;&gt;"",ROWS($O$2:O1318),"")</f>
        <v/>
      </c>
    </row>
    <row r="1319" spans="10:16" x14ac:dyDescent="0.2">
      <c r="J1319" s="1">
        <f>COUNTIF($L$2:L1319,L1319)</f>
        <v>5</v>
      </c>
      <c r="K1319" s="1">
        <f>A467</f>
        <v>1994</v>
      </c>
      <c r="L1319" s="1" t="str">
        <f>E467</f>
        <v>Bolivia</v>
      </c>
      <c r="M1319" s="1" t="str">
        <f>IF(J1319=1,J1319+ROWS($J$2:J1319)/10000,"")</f>
        <v/>
      </c>
      <c r="N1319" s="1" t="str">
        <f>IFERROR(SMALL($M$2:$M$1705,ROWS($M$2:M1319)),"")</f>
        <v/>
      </c>
      <c r="O1319" s="1" t="str">
        <f>IF(N1319&lt;&gt;"",INDEX($L$2:$L$1705,MATCH(N1319,$M$2:$M$1705,0)),"")</f>
        <v/>
      </c>
      <c r="P1319" s="1" t="str">
        <f>IF(O1319&lt;&gt;"",ROWS($O$2:O1319),"")</f>
        <v/>
      </c>
    </row>
    <row r="1320" spans="10:16" x14ac:dyDescent="0.2">
      <c r="J1320" s="1">
        <f>COUNTIF($L$2:L1320,L1320)</f>
        <v>25</v>
      </c>
      <c r="K1320" s="1">
        <f>A468</f>
        <v>1994</v>
      </c>
      <c r="L1320" s="1" t="str">
        <f>E468</f>
        <v>Switzerland</v>
      </c>
      <c r="M1320" s="1" t="str">
        <f>IF(J1320=1,J1320+ROWS($J$2:J1320)/10000,"")</f>
        <v/>
      </c>
      <c r="N1320" s="1" t="str">
        <f>IFERROR(SMALL($M$2:$M$1705,ROWS($M$2:M1320)),"")</f>
        <v/>
      </c>
      <c r="O1320" s="1" t="str">
        <f>IF(N1320&lt;&gt;"",INDEX($L$2:$L$1705,MATCH(N1320,$M$2:$M$1705,0)),"")</f>
        <v/>
      </c>
      <c r="P1320" s="1" t="str">
        <f>IF(O1320&lt;&gt;"",ROWS($O$2:O1320),"")</f>
        <v/>
      </c>
    </row>
    <row r="1321" spans="10:16" x14ac:dyDescent="0.2">
      <c r="J1321" s="1">
        <f>COUNTIF($L$2:L1321,L1321)</f>
        <v>8</v>
      </c>
      <c r="K1321" s="1">
        <f>A469</f>
        <v>1994</v>
      </c>
      <c r="L1321" s="1" t="str">
        <f>E469</f>
        <v>Republic of Ireland</v>
      </c>
      <c r="M1321" s="1" t="str">
        <f>IF(J1321=1,J1321+ROWS($J$2:J1321)/10000,"")</f>
        <v/>
      </c>
      <c r="N1321" s="1" t="str">
        <f>IFERROR(SMALL($M$2:$M$1705,ROWS($M$2:M1321)),"")</f>
        <v/>
      </c>
      <c r="O1321" s="1" t="str">
        <f>IF(N1321&lt;&gt;"",INDEX($L$2:$L$1705,MATCH(N1321,$M$2:$M$1705,0)),"")</f>
        <v/>
      </c>
      <c r="P1321" s="1" t="str">
        <f>IF(O1321&lt;&gt;"",ROWS($O$2:O1321),"")</f>
        <v/>
      </c>
    </row>
    <row r="1322" spans="10:16" x14ac:dyDescent="0.2">
      <c r="J1322" s="1">
        <f>COUNTIF($L$2:L1322,L1322)</f>
        <v>20</v>
      </c>
      <c r="K1322" s="1">
        <f>A470</f>
        <v>1994</v>
      </c>
      <c r="L1322" s="1" t="str">
        <f>E470</f>
        <v>Romania</v>
      </c>
      <c r="M1322" s="1" t="str">
        <f>IF(J1322=1,J1322+ROWS($J$2:J1322)/10000,"")</f>
        <v/>
      </c>
      <c r="N1322" s="1" t="str">
        <f>IFERROR(SMALL($M$2:$M$1705,ROWS($M$2:M1322)),"")</f>
        <v/>
      </c>
      <c r="O1322" s="1" t="str">
        <f>IF(N1322&lt;&gt;"",INDEX($L$2:$L$1705,MATCH(N1322,$M$2:$M$1705,0)),"")</f>
        <v/>
      </c>
      <c r="P1322" s="1" t="str">
        <f>IF(O1322&lt;&gt;"",ROWS($O$2:O1322),"")</f>
        <v/>
      </c>
    </row>
    <row r="1323" spans="10:16" x14ac:dyDescent="0.2">
      <c r="J1323" s="1">
        <f>COUNTIF($L$2:L1323,L1323)</f>
        <v>10</v>
      </c>
      <c r="K1323" s="1">
        <f>A471</f>
        <v>1994</v>
      </c>
      <c r="L1323" s="1" t="str">
        <f>E471</f>
        <v>Morocco</v>
      </c>
      <c r="M1323" s="1" t="str">
        <f>IF(J1323=1,J1323+ROWS($J$2:J1323)/10000,"")</f>
        <v/>
      </c>
      <c r="N1323" s="1" t="str">
        <f>IFERROR(SMALL($M$2:$M$1705,ROWS($M$2:M1323)),"")</f>
        <v/>
      </c>
      <c r="O1323" s="1" t="str">
        <f>IF(N1323&lt;&gt;"",INDEX($L$2:$L$1705,MATCH(N1323,$M$2:$M$1705,0)),"")</f>
        <v/>
      </c>
      <c r="P1323" s="1" t="str">
        <f>IF(O1323&lt;&gt;"",ROWS($O$2:O1323),"")</f>
        <v/>
      </c>
    </row>
    <row r="1324" spans="10:16" x14ac:dyDescent="0.2">
      <c r="J1324" s="1">
        <f>COUNTIF($L$2:L1324,L1324)</f>
        <v>39</v>
      </c>
      <c r="K1324" s="1">
        <f>A472</f>
        <v>1994</v>
      </c>
      <c r="L1324" s="1" t="str">
        <f>E472</f>
        <v>Mexico</v>
      </c>
      <c r="M1324" s="1" t="str">
        <f>IF(J1324=1,J1324+ROWS($J$2:J1324)/10000,"")</f>
        <v/>
      </c>
      <c r="N1324" s="1" t="str">
        <f>IFERROR(SMALL($M$2:$M$1705,ROWS($M$2:M1324)),"")</f>
        <v/>
      </c>
      <c r="O1324" s="1" t="str">
        <f>IF(N1324&lt;&gt;"",INDEX($L$2:$L$1705,MATCH(N1324,$M$2:$M$1705,0)),"")</f>
        <v/>
      </c>
      <c r="P1324" s="1" t="str">
        <f>IF(O1324&lt;&gt;"",ROWS($O$2:O1324),"")</f>
        <v/>
      </c>
    </row>
    <row r="1325" spans="10:16" x14ac:dyDescent="0.2">
      <c r="J1325" s="1">
        <f>COUNTIF($L$2:L1325,L1325)</f>
        <v>40</v>
      </c>
      <c r="K1325" s="1">
        <f>A473</f>
        <v>1994</v>
      </c>
      <c r="L1325" s="1" t="str">
        <f>E473</f>
        <v>Sweden</v>
      </c>
      <c r="M1325" s="1" t="str">
        <f>IF(J1325=1,J1325+ROWS($J$2:J1325)/10000,"")</f>
        <v/>
      </c>
      <c r="N1325" s="1" t="str">
        <f>IFERROR(SMALL($M$2:$M$1705,ROWS($M$2:M1325)),"")</f>
        <v/>
      </c>
      <c r="O1325" s="1" t="str">
        <f>IF(N1325&lt;&gt;"",INDEX($L$2:$L$1705,MATCH(N1325,$M$2:$M$1705,0)),"")</f>
        <v/>
      </c>
      <c r="P1325" s="1" t="str">
        <f>IF(O1325&lt;&gt;"",ROWS($O$2:O1325),"")</f>
        <v/>
      </c>
    </row>
    <row r="1326" spans="10:16" x14ac:dyDescent="0.2">
      <c r="J1326" s="1">
        <f>COUNTIF($L$2:L1326,L1326)</f>
        <v>7</v>
      </c>
      <c r="K1326" s="1">
        <f>A474</f>
        <v>1994</v>
      </c>
      <c r="L1326" s="1" t="str">
        <f>E474</f>
        <v>Saudi Arabia</v>
      </c>
      <c r="M1326" s="1" t="str">
        <f>IF(J1326=1,J1326+ROWS($J$2:J1326)/10000,"")</f>
        <v/>
      </c>
      <c r="N1326" s="1" t="str">
        <f>IFERROR(SMALL($M$2:$M$1705,ROWS($M$2:M1326)),"")</f>
        <v/>
      </c>
      <c r="O1326" s="1" t="str">
        <f>IF(N1326&lt;&gt;"",INDEX($L$2:$L$1705,MATCH(N1326,$M$2:$M$1705,0)),"")</f>
        <v/>
      </c>
      <c r="P1326" s="1" t="str">
        <f>IF(O1326&lt;&gt;"",ROWS($O$2:O1326),"")</f>
        <v/>
      </c>
    </row>
    <row r="1327" spans="10:16" x14ac:dyDescent="0.2">
      <c r="J1327" s="1">
        <f>COUNTIF($L$2:L1327,L1327)</f>
        <v>4</v>
      </c>
      <c r="K1327" s="1">
        <f>A475</f>
        <v>1994</v>
      </c>
      <c r="L1327" s="1" t="str">
        <f>E475</f>
        <v>Russia</v>
      </c>
      <c r="M1327" s="1" t="str">
        <f>IF(J1327=1,J1327+ROWS($J$2:J1327)/10000,"")</f>
        <v/>
      </c>
      <c r="N1327" s="1" t="str">
        <f>IFERROR(SMALL($M$2:$M$1705,ROWS($M$2:M1327)),"")</f>
        <v/>
      </c>
      <c r="O1327" s="1" t="str">
        <f>IF(N1327&lt;&gt;"",INDEX($L$2:$L$1705,MATCH(N1327,$M$2:$M$1705,0)),"")</f>
        <v/>
      </c>
      <c r="P1327" s="1" t="str">
        <f>IF(O1327&lt;&gt;"",ROWS($O$2:O1327),"")</f>
        <v/>
      </c>
    </row>
    <row r="1328" spans="10:16" x14ac:dyDescent="0.2">
      <c r="J1328" s="1">
        <f>COUNTIF($L$2:L1328,L1328)</f>
        <v>5</v>
      </c>
      <c r="K1328" s="1">
        <f>A476</f>
        <v>1994</v>
      </c>
      <c r="L1328" s="1" t="str">
        <f>E476</f>
        <v>Greece</v>
      </c>
      <c r="M1328" s="1" t="str">
        <f>IF(J1328=1,J1328+ROWS($J$2:J1328)/10000,"")</f>
        <v/>
      </c>
      <c r="N1328" s="1" t="str">
        <f>IFERROR(SMALL($M$2:$M$1705,ROWS($M$2:M1328)),"")</f>
        <v/>
      </c>
      <c r="O1328" s="1" t="str">
        <f>IF(N1328&lt;&gt;"",INDEX($L$2:$L$1705,MATCH(N1328,$M$2:$M$1705,0)),"")</f>
        <v/>
      </c>
      <c r="P1328" s="1" t="str">
        <f>IF(O1328&lt;&gt;"",ROWS($O$2:O1328),"")</f>
        <v/>
      </c>
    </row>
    <row r="1329" spans="10:16" x14ac:dyDescent="0.2">
      <c r="J1329" s="1">
        <f>COUNTIF($L$2:L1329,L1329)</f>
        <v>20</v>
      </c>
      <c r="K1329" s="1">
        <f>A477</f>
        <v>1994</v>
      </c>
      <c r="L1329" s="1" t="str">
        <f>E477</f>
        <v>Bulgaria</v>
      </c>
      <c r="M1329" s="1" t="str">
        <f>IF(J1329=1,J1329+ROWS($J$2:J1329)/10000,"")</f>
        <v/>
      </c>
      <c r="N1329" s="1" t="str">
        <f>IFERROR(SMALL($M$2:$M$1705,ROWS($M$2:M1329)),"")</f>
        <v/>
      </c>
      <c r="O1329" s="1" t="str">
        <f>IF(N1329&lt;&gt;"",INDEX($L$2:$L$1705,MATCH(N1329,$M$2:$M$1705,0)),"")</f>
        <v/>
      </c>
      <c r="P1329" s="1" t="str">
        <f>IF(O1329&lt;&gt;"",ROWS($O$2:O1329),"")</f>
        <v/>
      </c>
    </row>
    <row r="1330" spans="10:16" x14ac:dyDescent="0.2">
      <c r="J1330" s="1">
        <f>COUNTIF($L$2:L1330,L1330)</f>
        <v>50</v>
      </c>
      <c r="K1330" s="1">
        <f>A478</f>
        <v>1994</v>
      </c>
      <c r="L1330" s="1" t="str">
        <f>E478</f>
        <v>Spain</v>
      </c>
      <c r="M1330" s="1" t="str">
        <f>IF(J1330=1,J1330+ROWS($J$2:J1330)/10000,"")</f>
        <v/>
      </c>
      <c r="N1330" s="1" t="str">
        <f>IFERROR(SMALL($M$2:$M$1705,ROWS($M$2:M1330)),"")</f>
        <v/>
      </c>
      <c r="O1330" s="1" t="str">
        <f>IF(N1330&lt;&gt;"",INDEX($L$2:$L$1705,MATCH(N1330,$M$2:$M$1705,0)),"")</f>
        <v/>
      </c>
      <c r="P1330" s="1" t="str">
        <f>IF(O1330&lt;&gt;"",ROWS($O$2:O1330),"")</f>
        <v/>
      </c>
    </row>
    <row r="1331" spans="10:16" x14ac:dyDescent="0.2">
      <c r="J1331" s="1">
        <f>COUNTIF($L$2:L1331,L1331)</f>
        <v>26</v>
      </c>
      <c r="K1331" s="1">
        <f>A479</f>
        <v>1994</v>
      </c>
      <c r="L1331" s="1" t="str">
        <f>E479</f>
        <v>Switzerland</v>
      </c>
      <c r="M1331" s="1" t="str">
        <f>IF(J1331=1,J1331+ROWS($J$2:J1331)/10000,"")</f>
        <v/>
      </c>
      <c r="N1331" s="1" t="str">
        <f>IFERROR(SMALL($M$2:$M$1705,ROWS($M$2:M1331)),"")</f>
        <v/>
      </c>
      <c r="O1331" s="1" t="str">
        <f>IF(N1331&lt;&gt;"",INDEX($L$2:$L$1705,MATCH(N1331,$M$2:$M$1705,0)),"")</f>
        <v/>
      </c>
      <c r="P1331" s="1" t="str">
        <f>IF(O1331&lt;&gt;"",ROWS($O$2:O1331),"")</f>
        <v/>
      </c>
    </row>
    <row r="1332" spans="10:16" x14ac:dyDescent="0.2">
      <c r="J1332" s="1">
        <f>COUNTIF($L$2:L1332,L1332)</f>
        <v>15</v>
      </c>
      <c r="K1332" s="1">
        <f>A480</f>
        <v>1994</v>
      </c>
      <c r="L1332" s="1" t="str">
        <f>E480</f>
        <v>Colombia</v>
      </c>
      <c r="M1332" s="1" t="str">
        <f>IF(J1332=1,J1332+ROWS($J$2:J1332)/10000,"")</f>
        <v/>
      </c>
      <c r="N1332" s="1" t="str">
        <f>IFERROR(SMALL($M$2:$M$1705,ROWS($M$2:M1332)),"")</f>
        <v/>
      </c>
      <c r="O1332" s="1" t="str">
        <f>IF(N1332&lt;&gt;"",INDEX($L$2:$L$1705,MATCH(N1332,$M$2:$M$1705,0)),"")</f>
        <v/>
      </c>
      <c r="P1332" s="1" t="str">
        <f>IF(O1332&lt;&gt;"",ROWS($O$2:O1332),"")</f>
        <v/>
      </c>
    </row>
    <row r="1333" spans="10:16" x14ac:dyDescent="0.2">
      <c r="J1333" s="1">
        <f>COUNTIF($L$2:L1333,L1333)</f>
        <v>3</v>
      </c>
      <c r="K1333" s="1">
        <f>A481</f>
        <v>1994</v>
      </c>
      <c r="L1333" s="1" t="str">
        <f>E481</f>
        <v>Norway</v>
      </c>
      <c r="M1333" s="1" t="str">
        <f>IF(J1333=1,J1333+ROWS($J$2:J1333)/10000,"")</f>
        <v/>
      </c>
      <c r="N1333" s="1" t="str">
        <f>IFERROR(SMALL($M$2:$M$1705,ROWS($M$2:M1333)),"")</f>
        <v/>
      </c>
      <c r="O1333" s="1" t="str">
        <f>IF(N1333&lt;&gt;"",INDEX($L$2:$L$1705,MATCH(N1333,$M$2:$M$1705,0)),"")</f>
        <v/>
      </c>
      <c r="P1333" s="1" t="str">
        <f>IF(O1333&lt;&gt;"",ROWS($O$2:O1333),"")</f>
        <v/>
      </c>
    </row>
    <row r="1334" spans="10:16" x14ac:dyDescent="0.2">
      <c r="J1334" s="1">
        <f>COUNTIF($L$2:L1334,L1334)</f>
        <v>6</v>
      </c>
      <c r="K1334" s="1">
        <f>A482</f>
        <v>1994</v>
      </c>
      <c r="L1334" s="1" t="str">
        <f>E482</f>
        <v>Bolivia</v>
      </c>
      <c r="M1334" s="1" t="str">
        <f>IF(J1334=1,J1334+ROWS($J$2:J1334)/10000,"")</f>
        <v/>
      </c>
      <c r="N1334" s="1" t="str">
        <f>IFERROR(SMALL($M$2:$M$1705,ROWS($M$2:M1334)),"")</f>
        <v/>
      </c>
      <c r="O1334" s="1" t="str">
        <f>IF(N1334&lt;&gt;"",INDEX($L$2:$L$1705,MATCH(N1334,$M$2:$M$1705,0)),"")</f>
        <v/>
      </c>
      <c r="P1334" s="1" t="str">
        <f>IF(O1334&lt;&gt;"",ROWS($O$2:O1334),"")</f>
        <v/>
      </c>
    </row>
    <row r="1335" spans="10:16" x14ac:dyDescent="0.2">
      <c r="J1335" s="1">
        <f>COUNTIF($L$2:L1335,L1335)</f>
        <v>9</v>
      </c>
      <c r="K1335" s="1">
        <f>A483</f>
        <v>1994</v>
      </c>
      <c r="L1335" s="1" t="str">
        <f>E483</f>
        <v>Republic of Ireland</v>
      </c>
      <c r="M1335" s="1" t="str">
        <f>IF(J1335=1,J1335+ROWS($J$2:J1335)/10000,"")</f>
        <v/>
      </c>
      <c r="N1335" s="1" t="str">
        <f>IFERROR(SMALL($M$2:$M$1705,ROWS($M$2:M1335)),"")</f>
        <v/>
      </c>
      <c r="O1335" s="1" t="str">
        <f>IF(N1335&lt;&gt;"",INDEX($L$2:$L$1705,MATCH(N1335,$M$2:$M$1705,0)),"")</f>
        <v/>
      </c>
      <c r="P1335" s="1" t="str">
        <f>IF(O1335&lt;&gt;"",ROWS($O$2:O1335),"")</f>
        <v/>
      </c>
    </row>
    <row r="1336" spans="10:16" x14ac:dyDescent="0.2">
      <c r="J1336" s="1">
        <f>COUNTIF($L$2:L1336,L1336)</f>
        <v>5</v>
      </c>
      <c r="K1336" s="1">
        <f>A484</f>
        <v>1994</v>
      </c>
      <c r="L1336" s="1" t="str">
        <f>E484</f>
        <v>Russia</v>
      </c>
      <c r="M1336" s="1" t="str">
        <f>IF(J1336=1,J1336+ROWS($J$2:J1336)/10000,"")</f>
        <v/>
      </c>
      <c r="N1336" s="1" t="str">
        <f>IFERROR(SMALL($M$2:$M$1705,ROWS($M$2:M1336)),"")</f>
        <v/>
      </c>
      <c r="O1336" s="1" t="str">
        <f>IF(N1336&lt;&gt;"",INDEX($L$2:$L$1705,MATCH(N1336,$M$2:$M$1705,0)),"")</f>
        <v/>
      </c>
      <c r="P1336" s="1" t="str">
        <f>IF(O1336&lt;&gt;"",ROWS($O$2:O1336),"")</f>
        <v/>
      </c>
    </row>
    <row r="1337" spans="10:16" x14ac:dyDescent="0.2">
      <c r="J1337" s="1">
        <f>COUNTIF($L$2:L1337,L1337)</f>
        <v>17</v>
      </c>
      <c r="K1337" s="1">
        <f>A485</f>
        <v>1994</v>
      </c>
      <c r="L1337" s="1" t="str">
        <f>E485</f>
        <v>Cameroon</v>
      </c>
      <c r="M1337" s="1" t="str">
        <f>IF(J1337=1,J1337+ROWS($J$2:J1337)/10000,"")</f>
        <v/>
      </c>
      <c r="N1337" s="1" t="str">
        <f>IFERROR(SMALL($M$2:$M$1705,ROWS($M$2:M1337)),"")</f>
        <v/>
      </c>
      <c r="O1337" s="1" t="str">
        <f>IF(N1337&lt;&gt;"",INDEX($L$2:$L$1705,MATCH(N1337,$M$2:$M$1705,0)),"")</f>
        <v/>
      </c>
      <c r="P1337" s="1" t="str">
        <f>IF(O1337&lt;&gt;"",ROWS($O$2:O1337),"")</f>
        <v/>
      </c>
    </row>
    <row r="1338" spans="10:16" x14ac:dyDescent="0.2">
      <c r="J1338" s="1">
        <f>COUNTIF($L$2:L1338,L1338)</f>
        <v>44</v>
      </c>
      <c r="K1338" s="1">
        <f>A486</f>
        <v>1994</v>
      </c>
      <c r="L1338" s="1" t="str">
        <f>E486</f>
        <v>Netherlands</v>
      </c>
      <c r="M1338" s="1" t="str">
        <f>IF(J1338=1,J1338+ROWS($J$2:J1338)/10000,"")</f>
        <v/>
      </c>
      <c r="N1338" s="1" t="str">
        <f>IFERROR(SMALL($M$2:$M$1705,ROWS($M$2:M1338)),"")</f>
        <v/>
      </c>
      <c r="O1338" s="1" t="str">
        <f>IF(N1338&lt;&gt;"",INDEX($L$2:$L$1705,MATCH(N1338,$M$2:$M$1705,0)),"")</f>
        <v/>
      </c>
      <c r="P1338" s="1" t="str">
        <f>IF(O1338&lt;&gt;"",ROWS($O$2:O1338),"")</f>
        <v/>
      </c>
    </row>
    <row r="1339" spans="10:16" x14ac:dyDescent="0.2">
      <c r="J1339" s="1">
        <f>COUNTIF($L$2:L1339,L1339)</f>
        <v>11</v>
      </c>
      <c r="K1339" s="1">
        <f>A487</f>
        <v>1994</v>
      </c>
      <c r="L1339" s="1" t="str">
        <f>E487</f>
        <v>Morocco</v>
      </c>
      <c r="M1339" s="1" t="str">
        <f>IF(J1339=1,J1339+ROWS($J$2:J1339)/10000,"")</f>
        <v/>
      </c>
      <c r="N1339" s="1" t="str">
        <f>IFERROR(SMALL($M$2:$M$1705,ROWS($M$2:M1339)),"")</f>
        <v/>
      </c>
      <c r="O1339" s="1" t="str">
        <f>IF(N1339&lt;&gt;"",INDEX($L$2:$L$1705,MATCH(N1339,$M$2:$M$1705,0)),"")</f>
        <v/>
      </c>
      <c r="P1339" s="1" t="str">
        <f>IF(O1339&lt;&gt;"",ROWS($O$2:O1339),"")</f>
        <v/>
      </c>
    </row>
    <row r="1340" spans="10:16" x14ac:dyDescent="0.2">
      <c r="J1340" s="1">
        <f>COUNTIF($L$2:L1340,L1340)</f>
        <v>10</v>
      </c>
      <c r="K1340" s="1">
        <f>A488</f>
        <v>1994</v>
      </c>
      <c r="L1340" s="1" t="str">
        <f>E488</f>
        <v>Nigeria</v>
      </c>
      <c r="M1340" s="1" t="str">
        <f>IF(J1340=1,J1340+ROWS($J$2:J1340)/10000,"")</f>
        <v/>
      </c>
      <c r="N1340" s="1" t="str">
        <f>IFERROR(SMALL($M$2:$M$1705,ROWS($M$2:M1340)),"")</f>
        <v/>
      </c>
      <c r="O1340" s="1" t="str">
        <f>IF(N1340&lt;&gt;"",INDEX($L$2:$L$1705,MATCH(N1340,$M$2:$M$1705,0)),"")</f>
        <v/>
      </c>
      <c r="P1340" s="1" t="str">
        <f>IF(O1340&lt;&gt;"",ROWS($O$2:O1340),"")</f>
        <v/>
      </c>
    </row>
    <row r="1341" spans="10:16" x14ac:dyDescent="0.2">
      <c r="J1341" s="1">
        <f>COUNTIF($L$2:L1341,L1341)</f>
        <v>6</v>
      </c>
      <c r="K1341" s="1">
        <f>A489</f>
        <v>1994</v>
      </c>
      <c r="L1341" s="1" t="str">
        <f>E489</f>
        <v>Greece</v>
      </c>
      <c r="M1341" s="1" t="str">
        <f>IF(J1341=1,J1341+ROWS($J$2:J1341)/10000,"")</f>
        <v/>
      </c>
      <c r="N1341" s="1" t="str">
        <f>IFERROR(SMALL($M$2:$M$1705,ROWS($M$2:M1341)),"")</f>
        <v/>
      </c>
      <c r="O1341" s="1" t="str">
        <f>IF(N1341&lt;&gt;"",INDEX($L$2:$L$1705,MATCH(N1341,$M$2:$M$1705,0)),"")</f>
        <v/>
      </c>
      <c r="P1341" s="1" t="str">
        <f>IF(O1341&lt;&gt;"",ROWS($O$2:O1341),"")</f>
        <v/>
      </c>
    </row>
    <row r="1342" spans="10:16" x14ac:dyDescent="0.2">
      <c r="J1342" s="1">
        <f>COUNTIF($L$2:L1342,L1342)</f>
        <v>21</v>
      </c>
      <c r="K1342" s="1">
        <f>A490</f>
        <v>1994</v>
      </c>
      <c r="L1342" s="1" t="str">
        <f>E490</f>
        <v>Romania</v>
      </c>
      <c r="M1342" s="1" t="str">
        <f>IF(J1342=1,J1342+ROWS($J$2:J1342)/10000,"")</f>
        <v/>
      </c>
      <c r="N1342" s="1" t="str">
        <f>IFERROR(SMALL($M$2:$M$1705,ROWS($M$2:M1342)),"")</f>
        <v/>
      </c>
      <c r="O1342" s="1" t="str">
        <f>IF(N1342&lt;&gt;"",INDEX($L$2:$L$1705,MATCH(N1342,$M$2:$M$1705,0)),"")</f>
        <v/>
      </c>
      <c r="P1342" s="1" t="str">
        <f>IF(O1342&lt;&gt;"",ROWS($O$2:O1342),"")</f>
        <v/>
      </c>
    </row>
    <row r="1343" spans="10:16" x14ac:dyDescent="0.2">
      <c r="J1343" s="1">
        <f>COUNTIF($L$2:L1343,L1343)</f>
        <v>16</v>
      </c>
      <c r="K1343" s="1">
        <f>A491</f>
        <v>1994</v>
      </c>
      <c r="L1343" s="1" t="str">
        <f>E491</f>
        <v>Colombia</v>
      </c>
      <c r="M1343" s="1" t="str">
        <f>IF(J1343=1,J1343+ROWS($J$2:J1343)/10000,"")</f>
        <v/>
      </c>
      <c r="N1343" s="1" t="str">
        <f>IFERROR(SMALL($M$2:$M$1705,ROWS($M$2:M1343)),"")</f>
        <v/>
      </c>
      <c r="O1343" s="1" t="str">
        <f>IF(N1343&lt;&gt;"",INDEX($L$2:$L$1705,MATCH(N1343,$M$2:$M$1705,0)),"")</f>
        <v/>
      </c>
      <c r="P1343" s="1" t="str">
        <f>IF(O1343&lt;&gt;"",ROWS($O$2:O1343),"")</f>
        <v/>
      </c>
    </row>
    <row r="1344" spans="10:16" x14ac:dyDescent="0.2">
      <c r="J1344" s="1">
        <f>COUNTIF($L$2:L1344,L1344)</f>
        <v>20</v>
      </c>
      <c r="K1344" s="1">
        <f>A492</f>
        <v>1994</v>
      </c>
      <c r="L1344" s="1" t="str">
        <f>E492</f>
        <v>Korea Republic</v>
      </c>
      <c r="M1344" s="1" t="str">
        <f>IF(J1344=1,J1344+ROWS($J$2:J1344)/10000,"")</f>
        <v/>
      </c>
      <c r="N1344" s="1" t="str">
        <f>IFERROR(SMALL($M$2:$M$1705,ROWS($M$2:M1344)),"")</f>
        <v/>
      </c>
      <c r="O1344" s="1" t="str">
        <f>IF(N1344&lt;&gt;"",INDEX($L$2:$L$1705,MATCH(N1344,$M$2:$M$1705,0)),"")</f>
        <v/>
      </c>
      <c r="P1344" s="1" t="str">
        <f>IF(O1344&lt;&gt;"",ROWS($O$2:O1344),"")</f>
        <v/>
      </c>
    </row>
    <row r="1345" spans="10:16" x14ac:dyDescent="0.2">
      <c r="J1345" s="1">
        <f>COUNTIF($L$2:L1345,L1345)</f>
        <v>51</v>
      </c>
      <c r="K1345" s="1">
        <f>A493</f>
        <v>1994</v>
      </c>
      <c r="L1345" s="1" t="str">
        <f>E493</f>
        <v>Spain</v>
      </c>
      <c r="M1345" s="1" t="str">
        <f>IF(J1345=1,J1345+ROWS($J$2:J1345)/10000,"")</f>
        <v/>
      </c>
      <c r="N1345" s="1" t="str">
        <f>IFERROR(SMALL($M$2:$M$1705,ROWS($M$2:M1345)),"")</f>
        <v/>
      </c>
      <c r="O1345" s="1" t="str">
        <f>IF(N1345&lt;&gt;"",INDEX($L$2:$L$1705,MATCH(N1345,$M$2:$M$1705,0)),"")</f>
        <v/>
      </c>
      <c r="P1345" s="1" t="str">
        <f>IF(O1345&lt;&gt;"",ROWS($O$2:O1345),"")</f>
        <v/>
      </c>
    </row>
    <row r="1346" spans="10:16" x14ac:dyDescent="0.2">
      <c r="J1346" s="1">
        <f>COUNTIF($L$2:L1346,L1346)</f>
        <v>4</v>
      </c>
      <c r="K1346" s="1">
        <f>A494</f>
        <v>1994</v>
      </c>
      <c r="L1346" s="1" t="str">
        <f>E494</f>
        <v>Norway</v>
      </c>
      <c r="M1346" s="1" t="str">
        <f>IF(J1346=1,J1346+ROWS($J$2:J1346)/10000,"")</f>
        <v/>
      </c>
      <c r="N1346" s="1" t="str">
        <f>IFERROR(SMALL($M$2:$M$1705,ROWS($M$2:M1346)),"")</f>
        <v/>
      </c>
      <c r="O1346" s="1" t="str">
        <f>IF(N1346&lt;&gt;"",INDEX($L$2:$L$1705,MATCH(N1346,$M$2:$M$1705,0)),"")</f>
        <v/>
      </c>
      <c r="P1346" s="1" t="str">
        <f>IF(O1346&lt;&gt;"",ROWS($O$2:O1346),"")</f>
        <v/>
      </c>
    </row>
    <row r="1347" spans="10:16" x14ac:dyDescent="0.2">
      <c r="J1347" s="1">
        <f>COUNTIF($L$2:L1347,L1347)</f>
        <v>41</v>
      </c>
      <c r="K1347" s="1">
        <f>A495</f>
        <v>1994</v>
      </c>
      <c r="L1347" s="1" t="str">
        <f>E495</f>
        <v>Sweden</v>
      </c>
      <c r="M1347" s="1" t="str">
        <f>IF(J1347=1,J1347+ROWS($J$2:J1347)/10000,"")</f>
        <v/>
      </c>
      <c r="N1347" s="1" t="str">
        <f>IFERROR(SMALL($M$2:$M$1705,ROWS($M$2:M1347)),"")</f>
        <v/>
      </c>
      <c r="O1347" s="1" t="str">
        <f>IF(N1347&lt;&gt;"",INDEX($L$2:$L$1705,MATCH(N1347,$M$2:$M$1705,0)),"")</f>
        <v/>
      </c>
      <c r="P1347" s="1" t="str">
        <f>IF(O1347&lt;&gt;"",ROWS($O$2:O1347),"")</f>
        <v/>
      </c>
    </row>
    <row r="1348" spans="10:16" x14ac:dyDescent="0.2">
      <c r="J1348" s="1">
        <f>COUNTIF($L$2:L1348,L1348)</f>
        <v>40</v>
      </c>
      <c r="K1348" s="1">
        <f>A496</f>
        <v>1994</v>
      </c>
      <c r="L1348" s="1" t="str">
        <f>E496</f>
        <v>Mexico</v>
      </c>
      <c r="M1348" s="1" t="str">
        <f>IF(J1348=1,J1348+ROWS($J$2:J1348)/10000,"")</f>
        <v/>
      </c>
      <c r="N1348" s="1" t="str">
        <f>IFERROR(SMALL($M$2:$M$1705,ROWS($M$2:M1348)),"")</f>
        <v/>
      </c>
      <c r="O1348" s="1" t="str">
        <f>IF(N1348&lt;&gt;"",INDEX($L$2:$L$1705,MATCH(N1348,$M$2:$M$1705,0)),"")</f>
        <v/>
      </c>
      <c r="P1348" s="1" t="str">
        <f>IF(O1348&lt;&gt;"",ROWS($O$2:O1348),"")</f>
        <v/>
      </c>
    </row>
    <row r="1349" spans="10:16" x14ac:dyDescent="0.2">
      <c r="J1349" s="1">
        <f>COUNTIF($L$2:L1349,L1349)</f>
        <v>18</v>
      </c>
      <c r="K1349" s="1">
        <f>A497</f>
        <v>1994</v>
      </c>
      <c r="L1349" s="1" t="str">
        <f>E497</f>
        <v>Cameroon</v>
      </c>
      <c r="M1349" s="1" t="str">
        <f>IF(J1349=1,J1349+ROWS($J$2:J1349)/10000,"")</f>
        <v/>
      </c>
      <c r="N1349" s="1" t="str">
        <f>IFERROR(SMALL($M$2:$M$1705,ROWS($M$2:M1349)),"")</f>
        <v/>
      </c>
      <c r="O1349" s="1" t="str">
        <f>IF(N1349&lt;&gt;"",INDEX($L$2:$L$1705,MATCH(N1349,$M$2:$M$1705,0)),"")</f>
        <v/>
      </c>
      <c r="P1349" s="1" t="str">
        <f>IF(O1349&lt;&gt;"",ROWS($O$2:O1349),"")</f>
        <v/>
      </c>
    </row>
    <row r="1350" spans="10:16" x14ac:dyDescent="0.2">
      <c r="J1350" s="1">
        <f>COUNTIF($L$2:L1350,L1350)</f>
        <v>45</v>
      </c>
      <c r="K1350" s="1">
        <f>A498</f>
        <v>1994</v>
      </c>
      <c r="L1350" s="1" t="str">
        <f>E498</f>
        <v>Netherlands</v>
      </c>
      <c r="M1350" s="1" t="str">
        <f>IF(J1350=1,J1350+ROWS($J$2:J1350)/10000,"")</f>
        <v/>
      </c>
      <c r="N1350" s="1" t="str">
        <f>IFERROR(SMALL($M$2:$M$1705,ROWS($M$2:M1350)),"")</f>
        <v/>
      </c>
      <c r="O1350" s="1" t="str">
        <f>IF(N1350&lt;&gt;"",INDEX($L$2:$L$1705,MATCH(N1350,$M$2:$M$1705,0)),"")</f>
        <v/>
      </c>
      <c r="P1350" s="1" t="str">
        <f>IF(O1350&lt;&gt;"",ROWS($O$2:O1350),"")</f>
        <v/>
      </c>
    </row>
    <row r="1351" spans="10:16" x14ac:dyDescent="0.2">
      <c r="J1351" s="1">
        <f>COUNTIF($L$2:L1351,L1351)</f>
        <v>8</v>
      </c>
      <c r="K1351" s="1">
        <f>A499</f>
        <v>1994</v>
      </c>
      <c r="L1351" s="1" t="str">
        <f>E499</f>
        <v>Saudi Arabia</v>
      </c>
      <c r="M1351" s="1" t="str">
        <f>IF(J1351=1,J1351+ROWS($J$2:J1351)/10000,"")</f>
        <v/>
      </c>
      <c r="N1351" s="1" t="str">
        <f>IFERROR(SMALL($M$2:$M$1705,ROWS($M$2:M1351)),"")</f>
        <v/>
      </c>
      <c r="O1351" s="1" t="str">
        <f>IF(N1351&lt;&gt;"",INDEX($L$2:$L$1705,MATCH(N1351,$M$2:$M$1705,0)),"")</f>
        <v/>
      </c>
      <c r="P1351" s="1" t="str">
        <f>IF(O1351&lt;&gt;"",ROWS($O$2:O1351),"")</f>
        <v/>
      </c>
    </row>
    <row r="1352" spans="10:16" x14ac:dyDescent="0.2">
      <c r="J1352" s="1">
        <f>COUNTIF($L$2:L1352,L1352)</f>
        <v>11</v>
      </c>
      <c r="K1352" s="1">
        <f>A500</f>
        <v>1994</v>
      </c>
      <c r="L1352" s="1" t="str">
        <f>E500</f>
        <v>Nigeria</v>
      </c>
      <c r="M1352" s="1" t="str">
        <f>IF(J1352=1,J1352+ROWS($J$2:J1352)/10000,"")</f>
        <v/>
      </c>
      <c r="N1352" s="1" t="str">
        <f>IFERROR(SMALL($M$2:$M$1705,ROWS($M$2:M1352)),"")</f>
        <v/>
      </c>
      <c r="O1352" s="1" t="str">
        <f>IF(N1352&lt;&gt;"",INDEX($L$2:$L$1705,MATCH(N1352,$M$2:$M$1705,0)),"")</f>
        <v/>
      </c>
      <c r="P1352" s="1" t="str">
        <f>IF(O1352&lt;&gt;"",ROWS($O$2:O1352),"")</f>
        <v/>
      </c>
    </row>
    <row r="1353" spans="10:16" x14ac:dyDescent="0.2">
      <c r="J1353" s="1">
        <f>COUNTIF($L$2:L1353,L1353)</f>
        <v>21</v>
      </c>
      <c r="K1353" s="1">
        <f>A501</f>
        <v>1994</v>
      </c>
      <c r="L1353" s="1" t="str">
        <f>E501</f>
        <v>Bulgaria</v>
      </c>
      <c r="M1353" s="1" t="str">
        <f>IF(J1353=1,J1353+ROWS($J$2:J1353)/10000,"")</f>
        <v/>
      </c>
      <c r="N1353" s="1" t="str">
        <f>IFERROR(SMALL($M$2:$M$1705,ROWS($M$2:M1353)),"")</f>
        <v/>
      </c>
      <c r="O1353" s="1" t="str">
        <f>IF(N1353&lt;&gt;"",INDEX($L$2:$L$1705,MATCH(N1353,$M$2:$M$1705,0)),"")</f>
        <v/>
      </c>
      <c r="P1353" s="1" t="str">
        <f>IF(O1353&lt;&gt;"",ROWS($O$2:O1353),"")</f>
        <v/>
      </c>
    </row>
    <row r="1354" spans="10:16" x14ac:dyDescent="0.2">
      <c r="J1354" s="1">
        <f>COUNTIF($L$2:L1354,L1354)</f>
        <v>36</v>
      </c>
      <c r="K1354" s="1">
        <f>A502</f>
        <v>1994</v>
      </c>
      <c r="L1354" s="1" t="str">
        <f>E502</f>
        <v>Belgium</v>
      </c>
      <c r="M1354" s="1" t="str">
        <f>IF(J1354=1,J1354+ROWS($J$2:J1354)/10000,"")</f>
        <v/>
      </c>
      <c r="N1354" s="1" t="str">
        <f>IFERROR(SMALL($M$2:$M$1705,ROWS($M$2:M1354)),"")</f>
        <v/>
      </c>
      <c r="O1354" s="1" t="str">
        <f>IF(N1354&lt;&gt;"",INDEX($L$2:$L$1705,MATCH(N1354,$M$2:$M$1705,0)),"")</f>
        <v/>
      </c>
      <c r="P1354" s="1" t="str">
        <f>IF(O1354&lt;&gt;"",ROWS($O$2:O1354),"")</f>
        <v/>
      </c>
    </row>
    <row r="1355" spans="10:16" x14ac:dyDescent="0.2">
      <c r="J1355" s="1">
        <f>COUNTIF($L$2:L1355,L1355)</f>
        <v>27</v>
      </c>
      <c r="K1355" s="1">
        <f>A503</f>
        <v>1994</v>
      </c>
      <c r="L1355" s="1" t="str">
        <f>E503</f>
        <v>Switzerland</v>
      </c>
      <c r="M1355" s="1" t="str">
        <f>IF(J1355=1,J1355+ROWS($J$2:J1355)/10000,"")</f>
        <v/>
      </c>
      <c r="N1355" s="1" t="str">
        <f>IFERROR(SMALL($M$2:$M$1705,ROWS($M$2:M1355)),"")</f>
        <v/>
      </c>
      <c r="O1355" s="1" t="str">
        <f>IF(N1355&lt;&gt;"",INDEX($L$2:$L$1705,MATCH(N1355,$M$2:$M$1705,0)),"")</f>
        <v/>
      </c>
      <c r="P1355" s="1" t="str">
        <f>IF(O1355&lt;&gt;"",ROWS($O$2:O1355),"")</f>
        <v/>
      </c>
    </row>
    <row r="1356" spans="10:16" x14ac:dyDescent="0.2">
      <c r="J1356" s="1">
        <f>COUNTIF($L$2:L1356,L1356)</f>
        <v>42</v>
      </c>
      <c r="K1356" s="1">
        <f>A504</f>
        <v>1994</v>
      </c>
      <c r="L1356" s="1" t="str">
        <f>E504</f>
        <v>Sweden</v>
      </c>
      <c r="M1356" s="1" t="str">
        <f>IF(J1356=1,J1356+ROWS($J$2:J1356)/10000,"")</f>
        <v/>
      </c>
      <c r="N1356" s="1" t="str">
        <f>IFERROR(SMALL($M$2:$M$1705,ROWS($M$2:M1356)),"")</f>
        <v/>
      </c>
      <c r="O1356" s="1" t="str">
        <f>IF(N1356&lt;&gt;"",INDEX($L$2:$L$1705,MATCH(N1356,$M$2:$M$1705,0)),"")</f>
        <v/>
      </c>
      <c r="P1356" s="1" t="str">
        <f>IF(O1356&lt;&gt;"",ROWS($O$2:O1356),"")</f>
        <v/>
      </c>
    </row>
    <row r="1357" spans="10:16" x14ac:dyDescent="0.2">
      <c r="J1357" s="1">
        <f>COUNTIF($L$2:L1357,L1357)</f>
        <v>71</v>
      </c>
      <c r="K1357" s="1">
        <f>A505</f>
        <v>1994</v>
      </c>
      <c r="L1357" s="1" t="str">
        <f>E505</f>
        <v>Argentina</v>
      </c>
      <c r="M1357" s="1" t="str">
        <f>IF(J1357=1,J1357+ROWS($J$2:J1357)/10000,"")</f>
        <v/>
      </c>
      <c r="N1357" s="1" t="str">
        <f>IFERROR(SMALL($M$2:$M$1705,ROWS($M$2:M1357)),"")</f>
        <v/>
      </c>
      <c r="O1357" s="1" t="str">
        <f>IF(N1357&lt;&gt;"",INDEX($L$2:$L$1705,MATCH(N1357,$M$2:$M$1705,0)),"")</f>
        <v/>
      </c>
      <c r="P1357" s="1" t="str">
        <f>IF(O1357&lt;&gt;"",ROWS($O$2:O1357),"")</f>
        <v/>
      </c>
    </row>
    <row r="1358" spans="10:16" x14ac:dyDescent="0.2">
      <c r="J1358" s="1">
        <f>COUNTIF($L$2:L1358,L1358)</f>
        <v>10</v>
      </c>
      <c r="K1358" s="1">
        <f>A506</f>
        <v>1994</v>
      </c>
      <c r="L1358" s="1" t="str">
        <f>E506</f>
        <v>Republic of Ireland</v>
      </c>
      <c r="M1358" s="1" t="str">
        <f>IF(J1358=1,J1358+ROWS($J$2:J1358)/10000,"")</f>
        <v/>
      </c>
      <c r="N1358" s="1" t="str">
        <f>IFERROR(SMALL($M$2:$M$1705,ROWS($M$2:M1358)),"")</f>
        <v/>
      </c>
      <c r="O1358" s="1" t="str">
        <f>IF(N1358&lt;&gt;"",INDEX($L$2:$L$1705,MATCH(N1358,$M$2:$M$1705,0)),"")</f>
        <v/>
      </c>
      <c r="P1358" s="1" t="str">
        <f>IF(O1358&lt;&gt;"",ROWS($O$2:O1358),"")</f>
        <v/>
      </c>
    </row>
    <row r="1359" spans="10:16" x14ac:dyDescent="0.2">
      <c r="J1359" s="1">
        <f>COUNTIF($L$2:L1359,L1359)</f>
        <v>22</v>
      </c>
      <c r="K1359" s="1">
        <f>A507</f>
        <v>1994</v>
      </c>
      <c r="L1359" s="1" t="str">
        <f>E507</f>
        <v>USA</v>
      </c>
      <c r="M1359" s="1" t="str">
        <f>IF(J1359=1,J1359+ROWS($J$2:J1359)/10000,"")</f>
        <v/>
      </c>
      <c r="N1359" s="1" t="str">
        <f>IFERROR(SMALL($M$2:$M$1705,ROWS($M$2:M1359)),"")</f>
        <v/>
      </c>
      <c r="O1359" s="1" t="str">
        <f>IF(N1359&lt;&gt;"",INDEX($L$2:$L$1705,MATCH(N1359,$M$2:$M$1705,0)),"")</f>
        <v/>
      </c>
      <c r="P1359" s="1" t="str">
        <f>IF(O1359&lt;&gt;"",ROWS($O$2:O1359),"")</f>
        <v/>
      </c>
    </row>
    <row r="1360" spans="10:16" x14ac:dyDescent="0.2">
      <c r="J1360" s="1">
        <f>COUNTIF($L$2:L1360,L1360)</f>
        <v>75</v>
      </c>
      <c r="K1360" s="1">
        <f>A508</f>
        <v>1994</v>
      </c>
      <c r="L1360" s="1" t="str">
        <f>E508</f>
        <v>Italy</v>
      </c>
      <c r="M1360" s="1" t="str">
        <f>IF(J1360=1,J1360+ROWS($J$2:J1360)/10000,"")</f>
        <v/>
      </c>
      <c r="N1360" s="1" t="str">
        <f>IFERROR(SMALL($M$2:$M$1705,ROWS($M$2:M1360)),"")</f>
        <v/>
      </c>
      <c r="O1360" s="1" t="str">
        <f>IF(N1360&lt;&gt;"",INDEX($L$2:$L$1705,MATCH(N1360,$M$2:$M$1705,0)),"")</f>
        <v/>
      </c>
      <c r="P1360" s="1" t="str">
        <f>IF(O1360&lt;&gt;"",ROWS($O$2:O1360),"")</f>
        <v/>
      </c>
    </row>
    <row r="1361" spans="10:16" x14ac:dyDescent="0.2">
      <c r="J1361" s="1">
        <f>COUNTIF($L$2:L1361,L1361)</f>
        <v>22</v>
      </c>
      <c r="K1361" s="1">
        <f>A509</f>
        <v>1994</v>
      </c>
      <c r="L1361" s="1" t="str">
        <f>E509</f>
        <v>Bulgaria</v>
      </c>
      <c r="M1361" s="1" t="str">
        <f>IF(J1361=1,J1361+ROWS($J$2:J1361)/10000,"")</f>
        <v/>
      </c>
      <c r="N1361" s="1" t="str">
        <f>IFERROR(SMALL($M$2:$M$1705,ROWS($M$2:M1361)),"")</f>
        <v/>
      </c>
      <c r="O1361" s="1" t="str">
        <f>IF(N1361&lt;&gt;"",INDEX($L$2:$L$1705,MATCH(N1361,$M$2:$M$1705,0)),"")</f>
        <v/>
      </c>
      <c r="P1361" s="1" t="str">
        <f>IF(O1361&lt;&gt;"",ROWS($O$2:O1361),"")</f>
        <v/>
      </c>
    </row>
    <row r="1362" spans="10:16" x14ac:dyDescent="0.2">
      <c r="J1362" s="1">
        <f>COUNTIF($L$2:L1362,L1362)</f>
        <v>52</v>
      </c>
      <c r="K1362" s="1">
        <f>A510</f>
        <v>1994</v>
      </c>
      <c r="L1362" s="1" t="str">
        <f>E510</f>
        <v>Spain</v>
      </c>
      <c r="M1362" s="1" t="str">
        <f>IF(J1362=1,J1362+ROWS($J$2:J1362)/10000,"")</f>
        <v/>
      </c>
      <c r="N1362" s="1" t="str">
        <f>IFERROR(SMALL($M$2:$M$1705,ROWS($M$2:M1362)),"")</f>
        <v/>
      </c>
      <c r="O1362" s="1" t="str">
        <f>IF(N1362&lt;&gt;"",INDEX($L$2:$L$1705,MATCH(N1362,$M$2:$M$1705,0)),"")</f>
        <v/>
      </c>
      <c r="P1362" s="1" t="str">
        <f>IF(O1362&lt;&gt;"",ROWS($O$2:O1362),"")</f>
        <v/>
      </c>
    </row>
    <row r="1363" spans="10:16" x14ac:dyDescent="0.2">
      <c r="J1363" s="1">
        <f>COUNTIF($L$2:L1363,L1363)</f>
        <v>100</v>
      </c>
      <c r="K1363" s="1">
        <f>A511</f>
        <v>1994</v>
      </c>
      <c r="L1363" s="1" t="str">
        <f>E511</f>
        <v>Brazil</v>
      </c>
      <c r="M1363" s="1" t="str">
        <f>IF(J1363=1,J1363+ROWS($J$2:J1363)/10000,"")</f>
        <v/>
      </c>
      <c r="N1363" s="1" t="str">
        <f>IFERROR(SMALL($M$2:$M$1705,ROWS($M$2:M1363)),"")</f>
        <v/>
      </c>
      <c r="O1363" s="1" t="str">
        <f>IF(N1363&lt;&gt;"",INDEX($L$2:$L$1705,MATCH(N1363,$M$2:$M$1705,0)),"")</f>
        <v/>
      </c>
      <c r="P1363" s="1" t="str">
        <f>IF(O1363&lt;&gt;"",ROWS($O$2:O1363),"")</f>
        <v/>
      </c>
    </row>
    <row r="1364" spans="10:16" x14ac:dyDescent="0.2">
      <c r="J1364" s="1">
        <f>COUNTIF($L$2:L1364,L1364)</f>
        <v>38</v>
      </c>
      <c r="K1364" s="1">
        <f>A512</f>
        <v>1994</v>
      </c>
      <c r="L1364" s="1" t="str">
        <f>E512</f>
        <v>Germany</v>
      </c>
      <c r="M1364" s="1" t="str">
        <f>IF(J1364=1,J1364+ROWS($J$2:J1364)/10000,"")</f>
        <v/>
      </c>
      <c r="N1364" s="1" t="str">
        <f>IFERROR(SMALL($M$2:$M$1705,ROWS($M$2:M1364)),"")</f>
        <v/>
      </c>
      <c r="O1364" s="1" t="str">
        <f>IF(N1364&lt;&gt;"",INDEX($L$2:$L$1705,MATCH(N1364,$M$2:$M$1705,0)),"")</f>
        <v/>
      </c>
      <c r="P1364" s="1" t="str">
        <f>IF(O1364&lt;&gt;"",ROWS($O$2:O1364),"")</f>
        <v/>
      </c>
    </row>
    <row r="1365" spans="10:16" x14ac:dyDescent="0.2">
      <c r="J1365" s="1">
        <f>COUNTIF($L$2:L1365,L1365)</f>
        <v>43</v>
      </c>
      <c r="K1365" s="1">
        <f>A513</f>
        <v>1994</v>
      </c>
      <c r="L1365" s="1" t="str">
        <f>E513</f>
        <v>Sweden</v>
      </c>
      <c r="M1365" s="1" t="str">
        <f>IF(J1365=1,J1365+ROWS($J$2:J1365)/10000,"")</f>
        <v/>
      </c>
      <c r="N1365" s="1" t="str">
        <f>IFERROR(SMALL($M$2:$M$1705,ROWS($M$2:M1365)),"")</f>
        <v/>
      </c>
      <c r="O1365" s="1" t="str">
        <f>IF(N1365&lt;&gt;"",INDEX($L$2:$L$1705,MATCH(N1365,$M$2:$M$1705,0)),"")</f>
        <v/>
      </c>
      <c r="P1365" s="1" t="str">
        <f>IF(O1365&lt;&gt;"",ROWS($O$2:O1365),"")</f>
        <v/>
      </c>
    </row>
    <row r="1366" spans="10:16" x14ac:dyDescent="0.2">
      <c r="J1366" s="1">
        <f>COUNTIF($L$2:L1366,L1366)</f>
        <v>76</v>
      </c>
      <c r="K1366" s="1">
        <f>A514</f>
        <v>1994</v>
      </c>
      <c r="L1366" s="1" t="str">
        <f>E514</f>
        <v>Italy</v>
      </c>
      <c r="M1366" s="1" t="str">
        <f>IF(J1366=1,J1366+ROWS($J$2:J1366)/10000,"")</f>
        <v/>
      </c>
      <c r="N1366" s="1" t="str">
        <f>IFERROR(SMALL($M$2:$M$1705,ROWS($M$2:M1366)),"")</f>
        <v/>
      </c>
      <c r="O1366" s="1" t="str">
        <f>IF(N1366&lt;&gt;"",INDEX($L$2:$L$1705,MATCH(N1366,$M$2:$M$1705,0)),"")</f>
        <v/>
      </c>
      <c r="P1366" s="1" t="str">
        <f>IF(O1366&lt;&gt;"",ROWS($O$2:O1366),"")</f>
        <v/>
      </c>
    </row>
    <row r="1367" spans="10:16" x14ac:dyDescent="0.2">
      <c r="J1367" s="1">
        <f>COUNTIF($L$2:L1367,L1367)</f>
        <v>101</v>
      </c>
      <c r="K1367" s="1">
        <f>A515</f>
        <v>1994</v>
      </c>
      <c r="L1367" s="1" t="str">
        <f>E515</f>
        <v>Brazil</v>
      </c>
      <c r="M1367" s="1" t="str">
        <f>IF(J1367=1,J1367+ROWS($J$2:J1367)/10000,"")</f>
        <v/>
      </c>
      <c r="N1367" s="1" t="str">
        <f>IFERROR(SMALL($M$2:$M$1705,ROWS($M$2:M1367)),"")</f>
        <v/>
      </c>
      <c r="O1367" s="1" t="str">
        <f>IF(N1367&lt;&gt;"",INDEX($L$2:$L$1705,MATCH(N1367,$M$2:$M$1705,0)),"")</f>
        <v/>
      </c>
      <c r="P1367" s="1" t="str">
        <f>IF(O1367&lt;&gt;"",ROWS($O$2:O1367),"")</f>
        <v/>
      </c>
    </row>
    <row r="1368" spans="10:16" x14ac:dyDescent="0.2">
      <c r="J1368" s="1">
        <f>COUNTIF($L$2:L1368,L1368)</f>
        <v>23</v>
      </c>
      <c r="K1368" s="1">
        <f>A516</f>
        <v>1994</v>
      </c>
      <c r="L1368" s="1" t="str">
        <f>E516</f>
        <v>Bulgaria</v>
      </c>
      <c r="M1368" s="1" t="str">
        <f>IF(J1368=1,J1368+ROWS($J$2:J1368)/10000,"")</f>
        <v/>
      </c>
      <c r="N1368" s="1" t="str">
        <f>IFERROR(SMALL($M$2:$M$1705,ROWS($M$2:M1368)),"")</f>
        <v/>
      </c>
      <c r="O1368" s="1" t="str">
        <f>IF(N1368&lt;&gt;"",INDEX($L$2:$L$1705,MATCH(N1368,$M$2:$M$1705,0)),"")</f>
        <v/>
      </c>
      <c r="P1368" s="1" t="str">
        <f>IF(O1368&lt;&gt;"",ROWS($O$2:O1368),"")</f>
        <v/>
      </c>
    </row>
    <row r="1369" spans="10:16" x14ac:dyDescent="0.2">
      <c r="J1369" s="1">
        <f>COUNTIF($L$2:L1369,L1369)</f>
        <v>77</v>
      </c>
      <c r="K1369" s="1">
        <f>A517</f>
        <v>1994</v>
      </c>
      <c r="L1369" s="1" t="str">
        <f>E517</f>
        <v>Italy</v>
      </c>
      <c r="M1369" s="1" t="str">
        <f>IF(J1369=1,J1369+ROWS($J$2:J1369)/10000,"")</f>
        <v/>
      </c>
      <c r="N1369" s="1" t="str">
        <f>IFERROR(SMALL($M$2:$M$1705,ROWS($M$2:M1369)),"")</f>
        <v/>
      </c>
      <c r="O1369" s="1" t="str">
        <f>IF(N1369&lt;&gt;"",INDEX($L$2:$L$1705,MATCH(N1369,$M$2:$M$1705,0)),"")</f>
        <v/>
      </c>
      <c r="P1369" s="1" t="str">
        <f>IF(O1369&lt;&gt;"",ROWS($O$2:O1369),"")</f>
        <v/>
      </c>
    </row>
    <row r="1370" spans="10:16" x14ac:dyDescent="0.2">
      <c r="J1370" s="1">
        <f>COUNTIF($L$2:L1370,L1370)</f>
        <v>23</v>
      </c>
      <c r="K1370" s="1">
        <f>A518</f>
        <v>1998</v>
      </c>
      <c r="L1370" s="1" t="str">
        <f>E518</f>
        <v>Scotland</v>
      </c>
      <c r="M1370" s="1" t="str">
        <f>IF(J1370=1,J1370+ROWS($J$2:J1370)/10000,"")</f>
        <v/>
      </c>
      <c r="N1370" s="1" t="str">
        <f>IFERROR(SMALL($M$2:$M$1705,ROWS($M$2:M1370)),"")</f>
        <v/>
      </c>
      <c r="O1370" s="1" t="str">
        <f>IF(N1370&lt;&gt;"",INDEX($L$2:$L$1705,MATCH(N1370,$M$2:$M$1705,0)),"")</f>
        <v/>
      </c>
      <c r="P1370" s="1" t="str">
        <f>IF(O1370&lt;&gt;"",ROWS($O$2:O1370),"")</f>
        <v/>
      </c>
    </row>
    <row r="1371" spans="10:16" x14ac:dyDescent="0.2">
      <c r="J1371" s="1">
        <f>COUNTIF($L$2:L1371,L1371)</f>
        <v>5</v>
      </c>
      <c r="K1371" s="1">
        <f>A519</f>
        <v>1998</v>
      </c>
      <c r="L1371" s="1" t="str">
        <f>E519</f>
        <v>Norway</v>
      </c>
      <c r="M1371" s="1" t="str">
        <f>IF(J1371=1,J1371+ROWS($J$2:J1371)/10000,"")</f>
        <v/>
      </c>
      <c r="N1371" s="1" t="str">
        <f>IFERROR(SMALL($M$2:$M$1705,ROWS($M$2:M1371)),"")</f>
        <v/>
      </c>
      <c r="O1371" s="1" t="str">
        <f>IF(N1371&lt;&gt;"",INDEX($L$2:$L$1705,MATCH(N1371,$M$2:$M$1705,0)),"")</f>
        <v/>
      </c>
      <c r="P1371" s="1" t="str">
        <f>IF(O1371&lt;&gt;"",ROWS($O$2:O1371),"")</f>
        <v/>
      </c>
    </row>
    <row r="1372" spans="10:16" x14ac:dyDescent="0.2">
      <c r="J1372" s="1">
        <f>COUNTIF($L$2:L1372,L1372)</f>
        <v>27</v>
      </c>
      <c r="K1372" s="1">
        <f>A520</f>
        <v>1998</v>
      </c>
      <c r="L1372" s="1" t="str">
        <f>E520</f>
        <v>Chile</v>
      </c>
      <c r="M1372" s="1" t="str">
        <f>IF(J1372=1,J1372+ROWS($J$2:J1372)/10000,"")</f>
        <v/>
      </c>
      <c r="N1372" s="1" t="str">
        <f>IFERROR(SMALL($M$2:$M$1705,ROWS($M$2:M1372)),"")</f>
        <v/>
      </c>
      <c r="O1372" s="1" t="str">
        <f>IF(N1372&lt;&gt;"",INDEX($L$2:$L$1705,MATCH(N1372,$M$2:$M$1705,0)),"")</f>
        <v/>
      </c>
      <c r="P1372" s="1" t="str">
        <f>IF(O1372&lt;&gt;"",ROWS($O$2:O1372),"")</f>
        <v/>
      </c>
    </row>
    <row r="1373" spans="10:16" x14ac:dyDescent="0.2">
      <c r="J1373" s="1">
        <f>COUNTIF($L$2:L1373,L1373)</f>
        <v>27</v>
      </c>
      <c r="K1373" s="1">
        <f>A521</f>
        <v>1998</v>
      </c>
      <c r="L1373" s="1" t="str">
        <f>E521</f>
        <v>Austria</v>
      </c>
      <c r="M1373" s="1" t="str">
        <f>IF(J1373=1,J1373+ROWS($J$2:J1373)/10000,"")</f>
        <v/>
      </c>
      <c r="N1373" s="1" t="str">
        <f>IFERROR(SMALL($M$2:$M$1705,ROWS($M$2:M1373)),"")</f>
        <v/>
      </c>
      <c r="O1373" s="1" t="str">
        <f>IF(N1373&lt;&gt;"",INDEX($L$2:$L$1705,MATCH(N1373,$M$2:$M$1705,0)),"")</f>
        <v/>
      </c>
      <c r="P1373" s="1" t="str">
        <f>IF(O1373&lt;&gt;"",ROWS($O$2:O1373),"")</f>
        <v/>
      </c>
    </row>
    <row r="1374" spans="10:16" x14ac:dyDescent="0.2">
      <c r="J1374" s="1">
        <f>COUNTIF($L$2:L1374,L1374)</f>
        <v>24</v>
      </c>
      <c r="K1374" s="1">
        <f>A522</f>
        <v>1998</v>
      </c>
      <c r="L1374" s="1" t="str">
        <f>E522</f>
        <v>Bulgaria</v>
      </c>
      <c r="M1374" s="1" t="str">
        <f>IF(J1374=1,J1374+ROWS($J$2:J1374)/10000,"")</f>
        <v/>
      </c>
      <c r="N1374" s="1" t="str">
        <f>IFERROR(SMALL($M$2:$M$1705,ROWS($M$2:M1374)),"")</f>
        <v/>
      </c>
      <c r="O1374" s="1" t="str">
        <f>IF(N1374&lt;&gt;"",INDEX($L$2:$L$1705,MATCH(N1374,$M$2:$M$1705,0)),"")</f>
        <v/>
      </c>
      <c r="P1374" s="1" t="str">
        <f>IF(O1374&lt;&gt;"",ROWS($O$2:O1374),"")</f>
        <v/>
      </c>
    </row>
    <row r="1375" spans="10:16" x14ac:dyDescent="0.2">
      <c r="J1375" s="1">
        <f>COUNTIF($L$2:L1375,L1375)</f>
        <v>9</v>
      </c>
      <c r="K1375" s="1">
        <f>A523</f>
        <v>1998</v>
      </c>
      <c r="L1375" s="1" t="str">
        <f>E523</f>
        <v>Denmark</v>
      </c>
      <c r="M1375" s="1" t="str">
        <f>IF(J1375=1,J1375+ROWS($J$2:J1375)/10000,"")</f>
        <v/>
      </c>
      <c r="N1375" s="1" t="str">
        <f>IFERROR(SMALL($M$2:$M$1705,ROWS($M$2:M1375)),"")</f>
        <v/>
      </c>
      <c r="O1375" s="1" t="str">
        <f>IF(N1375&lt;&gt;"",INDEX($L$2:$L$1705,MATCH(N1375,$M$2:$M$1705,0)),"")</f>
        <v/>
      </c>
      <c r="P1375" s="1" t="str">
        <f>IF(O1375&lt;&gt;"",ROWS($O$2:O1375),"")</f>
        <v/>
      </c>
    </row>
    <row r="1376" spans="10:16" x14ac:dyDescent="0.2">
      <c r="J1376" s="1">
        <f>COUNTIF($L$2:L1376,L1376)</f>
        <v>7</v>
      </c>
      <c r="K1376" s="1">
        <f>A524</f>
        <v>1998</v>
      </c>
      <c r="L1376" s="1" t="str">
        <f>E524</f>
        <v>South Africa</v>
      </c>
      <c r="M1376" s="1" t="str">
        <f>IF(J1376=1,J1376+ROWS($J$2:J1376)/10000,"")</f>
        <v/>
      </c>
      <c r="N1376" s="1" t="str">
        <f>IFERROR(SMALL($M$2:$M$1705,ROWS($M$2:M1376)),"")</f>
        <v/>
      </c>
      <c r="O1376" s="1" t="str">
        <f>IF(N1376&lt;&gt;"",INDEX($L$2:$L$1705,MATCH(N1376,$M$2:$M$1705,0)),"")</f>
        <v/>
      </c>
      <c r="P1376" s="1" t="str">
        <f>IF(O1376&lt;&gt;"",ROWS($O$2:O1376),"")</f>
        <v/>
      </c>
    </row>
    <row r="1377" spans="10:16" x14ac:dyDescent="0.2">
      <c r="J1377" s="1">
        <f>COUNTIF($L$2:L1377,L1377)</f>
        <v>12</v>
      </c>
      <c r="K1377" s="1">
        <f>A525</f>
        <v>1998</v>
      </c>
      <c r="L1377" s="1" t="str">
        <f>E525</f>
        <v>Nigeria</v>
      </c>
      <c r="M1377" s="1" t="str">
        <f>IF(J1377=1,J1377+ROWS($J$2:J1377)/10000,"")</f>
        <v/>
      </c>
      <c r="N1377" s="1" t="str">
        <f>IFERROR(SMALL($M$2:$M$1705,ROWS($M$2:M1377)),"")</f>
        <v/>
      </c>
      <c r="O1377" s="1" t="str">
        <f>IF(N1377&lt;&gt;"",INDEX($L$2:$L$1705,MATCH(N1377,$M$2:$M$1705,0)),"")</f>
        <v/>
      </c>
      <c r="P1377" s="1" t="str">
        <f>IF(O1377&lt;&gt;"",ROWS($O$2:O1377),"")</f>
        <v/>
      </c>
    </row>
    <row r="1378" spans="10:16" x14ac:dyDescent="0.2">
      <c r="J1378" s="1">
        <f>COUNTIF($L$2:L1378,L1378)</f>
        <v>41</v>
      </c>
      <c r="K1378" s="1">
        <f>A526</f>
        <v>1998</v>
      </c>
      <c r="L1378" s="1" t="str">
        <f>E526</f>
        <v>Mexico</v>
      </c>
      <c r="M1378" s="1" t="str">
        <f>IF(J1378=1,J1378+ROWS($J$2:J1378)/10000,"")</f>
        <v/>
      </c>
      <c r="N1378" s="1" t="str">
        <f>IFERROR(SMALL($M$2:$M$1705,ROWS($M$2:M1378)),"")</f>
        <v/>
      </c>
      <c r="O1378" s="1" t="str">
        <f>IF(N1378&lt;&gt;"",INDEX($L$2:$L$1705,MATCH(N1378,$M$2:$M$1705,0)),"")</f>
        <v/>
      </c>
      <c r="P1378" s="1" t="str">
        <f>IF(O1378&lt;&gt;"",ROWS($O$2:O1378),"")</f>
        <v/>
      </c>
    </row>
    <row r="1379" spans="10:16" x14ac:dyDescent="0.2">
      <c r="J1379" s="1">
        <f>COUNTIF($L$2:L1379,L1379)</f>
        <v>37</v>
      </c>
      <c r="K1379" s="1">
        <f>A527</f>
        <v>1998</v>
      </c>
      <c r="L1379" s="1" t="str">
        <f>E527</f>
        <v>Belgium</v>
      </c>
      <c r="M1379" s="1" t="str">
        <f>IF(J1379=1,J1379+ROWS($J$2:J1379)/10000,"")</f>
        <v/>
      </c>
      <c r="N1379" s="1" t="str">
        <f>IFERROR(SMALL($M$2:$M$1705,ROWS($M$2:M1379)),"")</f>
        <v/>
      </c>
      <c r="O1379" s="1" t="str">
        <f>IF(N1379&lt;&gt;"",INDEX($L$2:$L$1705,MATCH(N1379,$M$2:$M$1705,0)),"")</f>
        <v/>
      </c>
      <c r="P1379" s="1" t="str">
        <f>IF(O1379&lt;&gt;"",ROWS($O$2:O1379),"")</f>
        <v/>
      </c>
    </row>
    <row r="1380" spans="10:16" x14ac:dyDescent="0.2">
      <c r="J1380" s="1">
        <f>COUNTIF($L$2:L1380,L1380)</f>
        <v>11</v>
      </c>
      <c r="K1380" s="1">
        <f>A528</f>
        <v>1998</v>
      </c>
      <c r="L1380" s="1" t="str">
        <f>E528</f>
        <v>Japan</v>
      </c>
      <c r="M1380" s="1" t="str">
        <f>IF(J1380=1,J1380+ROWS($J$2:J1380)/10000,"")</f>
        <v/>
      </c>
      <c r="N1380" s="1" t="str">
        <f>IFERROR(SMALL($M$2:$M$1705,ROWS($M$2:M1380)),"")</f>
        <v/>
      </c>
      <c r="O1380" s="1" t="str">
        <f>IF(N1380&lt;&gt;"",INDEX($L$2:$L$1705,MATCH(N1380,$M$2:$M$1705,0)),"")</f>
        <v/>
      </c>
      <c r="P1380" s="1" t="str">
        <f>IF(O1380&lt;&gt;"",ROWS($O$2:O1380),"")</f>
        <v/>
      </c>
    </row>
    <row r="1381" spans="10:16" x14ac:dyDescent="0.2">
      <c r="J1381" s="1">
        <f>COUNTIF($L$2:L1381,L1381)</f>
        <v>3</v>
      </c>
      <c r="K1381" s="1">
        <f>A529</f>
        <v>1998</v>
      </c>
      <c r="L1381" s="1" t="str">
        <f>E529</f>
        <v>Iran</v>
      </c>
      <c r="M1381" s="1" t="str">
        <f>IF(J1381=1,J1381+ROWS($J$2:J1381)/10000,"")</f>
        <v/>
      </c>
      <c r="N1381" s="1" t="str">
        <f>IFERROR(SMALL($M$2:$M$1705,ROWS($M$2:M1381)),"")</f>
        <v/>
      </c>
      <c r="O1381" s="1" t="str">
        <f>IF(N1381&lt;&gt;"",INDEX($L$2:$L$1705,MATCH(N1381,$M$2:$M$1705,0)),"")</f>
        <v/>
      </c>
      <c r="P1381" s="1" t="str">
        <f>IF(O1381&lt;&gt;"",ROWS($O$2:O1381),"")</f>
        <v/>
      </c>
    </row>
    <row r="1382" spans="10:16" x14ac:dyDescent="0.2">
      <c r="J1382" s="1">
        <f>COUNTIF($L$2:L1382,L1382)</f>
        <v>4</v>
      </c>
      <c r="K1382" s="1">
        <f>A530</f>
        <v>1998</v>
      </c>
      <c r="L1382" s="1" t="str">
        <f>E530</f>
        <v>Croatia</v>
      </c>
      <c r="M1382" s="1" t="str">
        <f>IF(J1382=1,J1382+ROWS($J$2:J1382)/10000,"")</f>
        <v/>
      </c>
      <c r="N1382" s="1" t="str">
        <f>IFERROR(SMALL($M$2:$M$1705,ROWS($M$2:M1382)),"")</f>
        <v/>
      </c>
      <c r="O1382" s="1" t="str">
        <f>IF(N1382&lt;&gt;"",INDEX($L$2:$L$1705,MATCH(N1382,$M$2:$M$1705,0)),"")</f>
        <v/>
      </c>
      <c r="P1382" s="1" t="str">
        <f>IF(O1382&lt;&gt;"",ROWS($O$2:O1382),"")</f>
        <v/>
      </c>
    </row>
    <row r="1383" spans="10:16" x14ac:dyDescent="0.2">
      <c r="J1383" s="1">
        <f>COUNTIF($L$2:L1383,L1383)</f>
        <v>7</v>
      </c>
      <c r="K1383" s="1">
        <f>A531</f>
        <v>1998</v>
      </c>
      <c r="L1383" s="1" t="str">
        <f>E531</f>
        <v>Tunisia</v>
      </c>
      <c r="M1383" s="1" t="str">
        <f>IF(J1383=1,J1383+ROWS($J$2:J1383)/10000,"")</f>
        <v/>
      </c>
      <c r="N1383" s="1" t="str">
        <f>IFERROR(SMALL($M$2:$M$1705,ROWS($M$2:M1383)),"")</f>
        <v/>
      </c>
      <c r="O1383" s="1" t="str">
        <f>IF(N1383&lt;&gt;"",INDEX($L$2:$L$1705,MATCH(N1383,$M$2:$M$1705,0)),"")</f>
        <v/>
      </c>
      <c r="P1383" s="1" t="str">
        <f>IF(O1383&lt;&gt;"",ROWS($O$2:O1383),"")</f>
        <v/>
      </c>
    </row>
    <row r="1384" spans="10:16" x14ac:dyDescent="0.2">
      <c r="J1384" s="1">
        <f>COUNTIF($L$2:L1384,L1384)</f>
        <v>17</v>
      </c>
      <c r="K1384" s="1">
        <f>A532</f>
        <v>1998</v>
      </c>
      <c r="L1384" s="1" t="str">
        <f>E532</f>
        <v>Colombia</v>
      </c>
      <c r="M1384" s="1" t="str">
        <f>IF(J1384=1,J1384+ROWS($J$2:J1384)/10000,"")</f>
        <v/>
      </c>
      <c r="N1384" s="1" t="str">
        <f>IFERROR(SMALL($M$2:$M$1705,ROWS($M$2:M1384)),"")</f>
        <v/>
      </c>
      <c r="O1384" s="1" t="str">
        <f>IF(N1384&lt;&gt;"",INDEX($L$2:$L$1705,MATCH(N1384,$M$2:$M$1705,0)),"")</f>
        <v/>
      </c>
      <c r="P1384" s="1" t="str">
        <f>IF(O1384&lt;&gt;"",ROWS($O$2:O1384),"")</f>
        <v/>
      </c>
    </row>
    <row r="1385" spans="10:16" x14ac:dyDescent="0.2">
      <c r="J1385" s="1">
        <f>COUNTIF($L$2:L1385,L1385)</f>
        <v>23</v>
      </c>
      <c r="K1385" s="1">
        <f>A533</f>
        <v>1998</v>
      </c>
      <c r="L1385" s="1" t="str">
        <f>E533</f>
        <v>USA</v>
      </c>
      <c r="M1385" s="1" t="str">
        <f>IF(J1385=1,J1385+ROWS($J$2:J1385)/10000,"")</f>
        <v/>
      </c>
      <c r="N1385" s="1" t="str">
        <f>IFERROR(SMALL($M$2:$M$1705,ROWS($M$2:M1385)),"")</f>
        <v/>
      </c>
      <c r="O1385" s="1" t="str">
        <f>IF(N1385&lt;&gt;"",INDEX($L$2:$L$1705,MATCH(N1385,$M$2:$M$1705,0)),"")</f>
        <v/>
      </c>
      <c r="P1385" s="1" t="str">
        <f>IF(O1385&lt;&gt;"",ROWS($O$2:O1385),"")</f>
        <v/>
      </c>
    </row>
    <row r="1386" spans="10:16" x14ac:dyDescent="0.2">
      <c r="J1386" s="1">
        <f>COUNTIF($L$2:L1386,L1386)</f>
        <v>6</v>
      </c>
      <c r="K1386" s="1">
        <f>A534</f>
        <v>1998</v>
      </c>
      <c r="L1386" s="1" t="str">
        <f>E534</f>
        <v>Norway</v>
      </c>
      <c r="M1386" s="1" t="str">
        <f>IF(J1386=1,J1386+ROWS($J$2:J1386)/10000,"")</f>
        <v/>
      </c>
      <c r="N1386" s="1" t="str">
        <f>IFERROR(SMALL($M$2:$M$1705,ROWS($M$2:M1386)),"")</f>
        <v/>
      </c>
      <c r="O1386" s="1" t="str">
        <f>IF(N1386&lt;&gt;"",INDEX($L$2:$L$1705,MATCH(N1386,$M$2:$M$1705,0)),"")</f>
        <v/>
      </c>
      <c r="P1386" s="1" t="str">
        <f>IF(O1386&lt;&gt;"",ROWS($O$2:O1386),"")</f>
        <v/>
      </c>
    </row>
    <row r="1387" spans="10:16" x14ac:dyDescent="0.2">
      <c r="J1387" s="1">
        <f>COUNTIF($L$2:L1387,L1387)</f>
        <v>12</v>
      </c>
      <c r="K1387" s="1">
        <f>A535</f>
        <v>1998</v>
      </c>
      <c r="L1387" s="1" t="str">
        <f>E535</f>
        <v>Morocco</v>
      </c>
      <c r="M1387" s="1" t="str">
        <f>IF(J1387=1,J1387+ROWS($J$2:J1387)/10000,"")</f>
        <v/>
      </c>
      <c r="N1387" s="1" t="str">
        <f>IFERROR(SMALL($M$2:$M$1705,ROWS($M$2:M1387)),"")</f>
        <v/>
      </c>
      <c r="O1387" s="1" t="str">
        <f>IF(N1387&lt;&gt;"",INDEX($L$2:$L$1705,MATCH(N1387,$M$2:$M$1705,0)),"")</f>
        <v/>
      </c>
      <c r="P1387" s="1" t="str">
        <f>IF(O1387&lt;&gt;"",ROWS($O$2:O1387),"")</f>
        <v/>
      </c>
    </row>
    <row r="1388" spans="10:16" x14ac:dyDescent="0.2">
      <c r="J1388" s="1">
        <f>COUNTIF($L$2:L1388,L1388)</f>
        <v>28</v>
      </c>
      <c r="K1388" s="1">
        <f>A536</f>
        <v>1998</v>
      </c>
      <c r="L1388" s="1" t="str">
        <f>E536</f>
        <v>Austria</v>
      </c>
      <c r="M1388" s="1" t="str">
        <f>IF(J1388=1,J1388+ROWS($J$2:J1388)/10000,"")</f>
        <v/>
      </c>
      <c r="N1388" s="1" t="str">
        <f>IFERROR(SMALL($M$2:$M$1705,ROWS($M$2:M1388)),"")</f>
        <v/>
      </c>
      <c r="O1388" s="1" t="str">
        <f>IF(N1388&lt;&gt;"",INDEX($L$2:$L$1705,MATCH(N1388,$M$2:$M$1705,0)),"")</f>
        <v/>
      </c>
      <c r="P1388" s="1" t="str">
        <f>IF(O1388&lt;&gt;"",ROWS($O$2:O1388),"")</f>
        <v/>
      </c>
    </row>
    <row r="1389" spans="10:16" x14ac:dyDescent="0.2">
      <c r="J1389" s="1">
        <f>COUNTIF($L$2:L1389,L1389)</f>
        <v>19</v>
      </c>
      <c r="K1389" s="1">
        <f>A537</f>
        <v>1998</v>
      </c>
      <c r="L1389" s="1" t="str">
        <f>E537</f>
        <v>Cameroon</v>
      </c>
      <c r="M1389" s="1" t="str">
        <f>IF(J1389=1,J1389+ROWS($J$2:J1389)/10000,"")</f>
        <v/>
      </c>
      <c r="N1389" s="1" t="str">
        <f>IFERROR(SMALL($M$2:$M$1705,ROWS($M$2:M1389)),"")</f>
        <v/>
      </c>
      <c r="O1389" s="1" t="str">
        <f>IF(N1389&lt;&gt;"",INDEX($L$2:$L$1705,MATCH(N1389,$M$2:$M$1705,0)),"")</f>
        <v/>
      </c>
      <c r="P1389" s="1" t="str">
        <f>IF(O1389&lt;&gt;"",ROWS($O$2:O1389),"")</f>
        <v/>
      </c>
    </row>
    <row r="1390" spans="10:16" x14ac:dyDescent="0.2">
      <c r="J1390" s="1">
        <f>COUNTIF($L$2:L1390,L1390)</f>
        <v>10</v>
      </c>
      <c r="K1390" s="1">
        <f>A538</f>
        <v>1998</v>
      </c>
      <c r="L1390" s="1" t="str">
        <f>E538</f>
        <v>Denmark</v>
      </c>
      <c r="M1390" s="1" t="str">
        <f>IF(J1390=1,J1390+ROWS($J$2:J1390)/10000,"")</f>
        <v/>
      </c>
      <c r="N1390" s="1" t="str">
        <f>IFERROR(SMALL($M$2:$M$1705,ROWS($M$2:M1390)),"")</f>
        <v/>
      </c>
      <c r="O1390" s="1" t="str">
        <f>IF(N1390&lt;&gt;"",INDEX($L$2:$L$1705,MATCH(N1390,$M$2:$M$1705,0)),"")</f>
        <v/>
      </c>
      <c r="P1390" s="1" t="str">
        <f>IF(O1390&lt;&gt;"",ROWS($O$2:O1390),"")</f>
        <v/>
      </c>
    </row>
    <row r="1391" spans="10:16" x14ac:dyDescent="0.2">
      <c r="J1391" s="1">
        <f>COUNTIF($L$2:L1391,L1391)</f>
        <v>9</v>
      </c>
      <c r="K1391" s="1">
        <f>A539</f>
        <v>1998</v>
      </c>
      <c r="L1391" s="1" t="str">
        <f>E539</f>
        <v>Saudi Arabia</v>
      </c>
      <c r="M1391" s="1" t="str">
        <f>IF(J1391=1,J1391+ROWS($J$2:J1391)/10000,"")</f>
        <v/>
      </c>
      <c r="N1391" s="1" t="str">
        <f>IFERROR(SMALL($M$2:$M$1705,ROWS($M$2:M1391)),"")</f>
        <v/>
      </c>
      <c r="O1391" s="1" t="str">
        <f>IF(N1391&lt;&gt;"",INDEX($L$2:$L$1705,MATCH(N1391,$M$2:$M$1705,0)),"")</f>
        <v/>
      </c>
      <c r="P1391" s="1" t="str">
        <f>IF(O1391&lt;&gt;"",ROWS($O$2:O1391),"")</f>
        <v/>
      </c>
    </row>
    <row r="1392" spans="10:16" x14ac:dyDescent="0.2">
      <c r="J1392" s="1">
        <f>COUNTIF($L$2:L1392,L1392)</f>
        <v>25</v>
      </c>
      <c r="K1392" s="1">
        <f>A540</f>
        <v>1998</v>
      </c>
      <c r="L1392" s="1" t="str">
        <f>E540</f>
        <v>Bulgaria</v>
      </c>
      <c r="M1392" s="1" t="str">
        <f>IF(J1392=1,J1392+ROWS($J$2:J1392)/10000,"")</f>
        <v/>
      </c>
      <c r="N1392" s="1" t="str">
        <f>IFERROR(SMALL($M$2:$M$1705,ROWS($M$2:M1392)),"")</f>
        <v/>
      </c>
      <c r="O1392" s="1" t="str">
        <f>IF(N1392&lt;&gt;"",INDEX($L$2:$L$1705,MATCH(N1392,$M$2:$M$1705,0)),"")</f>
        <v/>
      </c>
      <c r="P1392" s="1" t="str">
        <f>IF(O1392&lt;&gt;"",ROWS($O$2:O1392),"")</f>
        <v/>
      </c>
    </row>
    <row r="1393" spans="10:16" x14ac:dyDescent="0.2">
      <c r="J1393" s="1">
        <f>COUNTIF($L$2:L1393,L1393)</f>
        <v>18</v>
      </c>
      <c r="K1393" s="1">
        <f>A541</f>
        <v>1998</v>
      </c>
      <c r="L1393" s="1" t="str">
        <f>E541</f>
        <v>Paraguay</v>
      </c>
      <c r="M1393" s="1" t="str">
        <f>IF(J1393=1,J1393+ROWS($J$2:J1393)/10000,"")</f>
        <v/>
      </c>
      <c r="N1393" s="1" t="str">
        <f>IFERROR(SMALL($M$2:$M$1705,ROWS($M$2:M1393)),"")</f>
        <v/>
      </c>
      <c r="O1393" s="1" t="str">
        <f>IF(N1393&lt;&gt;"",INDEX($L$2:$L$1705,MATCH(N1393,$M$2:$M$1705,0)),"")</f>
        <v/>
      </c>
      <c r="P1393" s="1" t="str">
        <f>IF(O1393&lt;&gt;"",ROWS($O$2:O1393),"")</f>
        <v/>
      </c>
    </row>
    <row r="1394" spans="10:16" x14ac:dyDescent="0.2">
      <c r="J1394" s="1">
        <f>COUNTIF($L$2:L1394,L1394)</f>
        <v>5</v>
      </c>
      <c r="K1394" s="1">
        <f>A542</f>
        <v>1998</v>
      </c>
      <c r="L1394" s="1" t="str">
        <f>E542</f>
        <v>Croatia</v>
      </c>
      <c r="M1394" s="1" t="str">
        <f>IF(J1394=1,J1394+ROWS($J$2:J1394)/10000,"")</f>
        <v/>
      </c>
      <c r="N1394" s="1" t="str">
        <f>IFERROR(SMALL($M$2:$M$1705,ROWS($M$2:M1394)),"")</f>
        <v/>
      </c>
      <c r="O1394" s="1" t="str">
        <f>IF(N1394&lt;&gt;"",INDEX($L$2:$L$1705,MATCH(N1394,$M$2:$M$1705,0)),"")</f>
        <v/>
      </c>
      <c r="P1394" s="1" t="str">
        <f>IF(O1394&lt;&gt;"",ROWS($O$2:O1394),"")</f>
        <v/>
      </c>
    </row>
    <row r="1395" spans="10:16" x14ac:dyDescent="0.2">
      <c r="J1395" s="1">
        <f>COUNTIF($L$2:L1395,L1395)</f>
        <v>42</v>
      </c>
      <c r="K1395" s="1">
        <f>A543</f>
        <v>1998</v>
      </c>
      <c r="L1395" s="1" t="str">
        <f>E543</f>
        <v>Mexico</v>
      </c>
      <c r="M1395" s="1" t="str">
        <f>IF(J1395=1,J1395+ROWS($J$2:J1395)/10000,"")</f>
        <v/>
      </c>
      <c r="N1395" s="1" t="str">
        <f>IFERROR(SMALL($M$2:$M$1705,ROWS($M$2:M1395)),"")</f>
        <v/>
      </c>
      <c r="O1395" s="1" t="str">
        <f>IF(N1395&lt;&gt;"",INDEX($L$2:$L$1705,MATCH(N1395,$M$2:$M$1705,0)),"")</f>
        <v/>
      </c>
      <c r="P1395" s="1" t="str">
        <f>IF(O1395&lt;&gt;"",ROWS($O$2:O1395),"")</f>
        <v/>
      </c>
    </row>
    <row r="1396" spans="10:16" x14ac:dyDescent="0.2">
      <c r="J1396" s="1">
        <f>COUNTIF($L$2:L1396,L1396)</f>
        <v>21</v>
      </c>
      <c r="K1396" s="1">
        <f>A544</f>
        <v>1998</v>
      </c>
      <c r="L1396" s="1" t="str">
        <f>E544</f>
        <v>Korea Republic</v>
      </c>
      <c r="M1396" s="1" t="str">
        <f>IF(J1396=1,J1396+ROWS($J$2:J1396)/10000,"")</f>
        <v/>
      </c>
      <c r="N1396" s="1" t="str">
        <f>IFERROR(SMALL($M$2:$M$1705,ROWS($M$2:M1396)),"")</f>
        <v/>
      </c>
      <c r="O1396" s="1" t="str">
        <f>IF(N1396&lt;&gt;"",INDEX($L$2:$L$1705,MATCH(N1396,$M$2:$M$1705,0)),"")</f>
        <v/>
      </c>
      <c r="P1396" s="1" t="str">
        <f>IF(O1396&lt;&gt;"",ROWS($O$2:O1396),"")</f>
        <v/>
      </c>
    </row>
    <row r="1397" spans="10:16" x14ac:dyDescent="0.2">
      <c r="J1397" s="1">
        <f>COUNTIF($L$2:L1397,L1397)</f>
        <v>35</v>
      </c>
      <c r="K1397" s="1">
        <f>A545</f>
        <v>1998</v>
      </c>
      <c r="L1397" s="1" t="str">
        <f>E545</f>
        <v>Yugoslavia</v>
      </c>
      <c r="M1397" s="1" t="str">
        <f>IF(J1397=1,J1397+ROWS($J$2:J1397)/10000,"")</f>
        <v/>
      </c>
      <c r="N1397" s="1" t="str">
        <f>IFERROR(SMALL($M$2:$M$1705,ROWS($M$2:M1397)),"")</f>
        <v/>
      </c>
      <c r="O1397" s="1" t="str">
        <f>IF(N1397&lt;&gt;"",INDEX($L$2:$L$1705,MATCH(N1397,$M$2:$M$1705,0)),"")</f>
        <v/>
      </c>
      <c r="P1397" s="1" t="str">
        <f>IF(O1397&lt;&gt;"",ROWS($O$2:O1397),"")</f>
        <v/>
      </c>
    </row>
    <row r="1398" spans="10:16" x14ac:dyDescent="0.2">
      <c r="J1398" s="1">
        <f>COUNTIF($L$2:L1398,L1398)</f>
        <v>2</v>
      </c>
      <c r="K1398" s="1">
        <f>A546</f>
        <v>1998</v>
      </c>
      <c r="L1398" s="1" t="str">
        <f>E546</f>
        <v>Jamaica</v>
      </c>
      <c r="M1398" s="1" t="str">
        <f>IF(J1398=1,J1398+ROWS($J$2:J1398)/10000,"")</f>
        <v/>
      </c>
      <c r="N1398" s="1" t="str">
        <f>IFERROR(SMALL($M$2:$M$1705,ROWS($M$2:M1398)),"")</f>
        <v/>
      </c>
      <c r="O1398" s="1" t="str">
        <f>IF(N1398&lt;&gt;"",INDEX($L$2:$L$1705,MATCH(N1398,$M$2:$M$1705,0)),"")</f>
        <v/>
      </c>
      <c r="P1398" s="1" t="str">
        <f>IF(O1398&lt;&gt;"",ROWS($O$2:O1398),"")</f>
        <v/>
      </c>
    </row>
    <row r="1399" spans="10:16" x14ac:dyDescent="0.2">
      <c r="J1399" s="1">
        <f>COUNTIF($L$2:L1399,L1399)</f>
        <v>4</v>
      </c>
      <c r="K1399" s="1">
        <f>A547</f>
        <v>1998</v>
      </c>
      <c r="L1399" s="1" t="str">
        <f>E547</f>
        <v>Iran</v>
      </c>
      <c r="M1399" s="1" t="str">
        <f>IF(J1399=1,J1399+ROWS($J$2:J1399)/10000,"")</f>
        <v/>
      </c>
      <c r="N1399" s="1" t="str">
        <f>IFERROR(SMALL($M$2:$M$1705,ROWS($M$2:M1399)),"")</f>
        <v/>
      </c>
      <c r="O1399" s="1" t="str">
        <f>IF(N1399&lt;&gt;"",INDEX($L$2:$L$1705,MATCH(N1399,$M$2:$M$1705,0)),"")</f>
        <v/>
      </c>
      <c r="P1399" s="1" t="str">
        <f>IF(O1399&lt;&gt;"",ROWS($O$2:O1399),"")</f>
        <v/>
      </c>
    </row>
    <row r="1400" spans="10:16" x14ac:dyDescent="0.2">
      <c r="J1400" s="1">
        <f>COUNTIF($L$2:L1400,L1400)</f>
        <v>8</v>
      </c>
      <c r="K1400" s="1">
        <f>A548</f>
        <v>1998</v>
      </c>
      <c r="L1400" s="1" t="str">
        <f>E548</f>
        <v>Tunisia</v>
      </c>
      <c r="M1400" s="1" t="str">
        <f>IF(J1400=1,J1400+ROWS($J$2:J1400)/10000,"")</f>
        <v/>
      </c>
      <c r="N1400" s="1" t="str">
        <f>IFERROR(SMALL($M$2:$M$1705,ROWS($M$2:M1400)),"")</f>
        <v/>
      </c>
      <c r="O1400" s="1" t="str">
        <f>IF(N1400&lt;&gt;"",INDEX($L$2:$L$1705,MATCH(N1400,$M$2:$M$1705,0)),"")</f>
        <v/>
      </c>
      <c r="P1400" s="1" t="str">
        <f>IF(O1400&lt;&gt;"",ROWS($O$2:O1400),"")</f>
        <v/>
      </c>
    </row>
    <row r="1401" spans="10:16" x14ac:dyDescent="0.2">
      <c r="J1401" s="1">
        <f>COUNTIF($L$2:L1401,L1401)</f>
        <v>52</v>
      </c>
      <c r="K1401" s="1">
        <f>A549</f>
        <v>1998</v>
      </c>
      <c r="L1401" s="1" t="str">
        <f>E549</f>
        <v>England</v>
      </c>
      <c r="M1401" s="1" t="str">
        <f>IF(J1401=1,J1401+ROWS($J$2:J1401)/10000,"")</f>
        <v/>
      </c>
      <c r="N1401" s="1" t="str">
        <f>IFERROR(SMALL($M$2:$M$1705,ROWS($M$2:M1401)),"")</f>
        <v/>
      </c>
      <c r="O1401" s="1" t="str">
        <f>IF(N1401&lt;&gt;"",INDEX($L$2:$L$1705,MATCH(N1401,$M$2:$M$1705,0)),"")</f>
        <v/>
      </c>
      <c r="P1401" s="1" t="str">
        <f>IF(O1401&lt;&gt;"",ROWS($O$2:O1401),"")</f>
        <v/>
      </c>
    </row>
    <row r="1402" spans="10:16" x14ac:dyDescent="0.2">
      <c r="J1402" s="1">
        <f>COUNTIF($L$2:L1402,L1402)</f>
        <v>29</v>
      </c>
      <c r="K1402" s="1">
        <f>A550</f>
        <v>1998</v>
      </c>
      <c r="L1402" s="1" t="str">
        <f>E550</f>
        <v>Austria</v>
      </c>
      <c r="M1402" s="1" t="str">
        <f>IF(J1402=1,J1402+ROWS($J$2:J1402)/10000,"")</f>
        <v/>
      </c>
      <c r="N1402" s="1" t="str">
        <f>IFERROR(SMALL($M$2:$M$1705,ROWS($M$2:M1402)),"")</f>
        <v/>
      </c>
      <c r="O1402" s="1" t="str">
        <f>IF(N1402&lt;&gt;"",INDEX($L$2:$L$1705,MATCH(N1402,$M$2:$M$1705,0)),"")</f>
        <v/>
      </c>
      <c r="P1402" s="1" t="str">
        <f>IF(O1402&lt;&gt;"",ROWS($O$2:O1402),"")</f>
        <v/>
      </c>
    </row>
    <row r="1403" spans="10:16" x14ac:dyDescent="0.2">
      <c r="J1403" s="1">
        <f>COUNTIF($L$2:L1403,L1403)</f>
        <v>20</v>
      </c>
      <c r="K1403" s="1">
        <f>A551</f>
        <v>1998</v>
      </c>
      <c r="L1403" s="1" t="str">
        <f>E551</f>
        <v>Cameroon</v>
      </c>
      <c r="M1403" s="1" t="str">
        <f>IF(J1403=1,J1403+ROWS($J$2:J1403)/10000,"")</f>
        <v/>
      </c>
      <c r="N1403" s="1" t="str">
        <f>IFERROR(SMALL($M$2:$M$1705,ROWS($M$2:M1403)),"")</f>
        <v/>
      </c>
      <c r="O1403" s="1" t="str">
        <f>IF(N1403&lt;&gt;"",INDEX($L$2:$L$1705,MATCH(N1403,$M$2:$M$1705,0)),"")</f>
        <v/>
      </c>
      <c r="P1403" s="1" t="str">
        <f>IF(O1403&lt;&gt;"",ROWS($O$2:O1403),"")</f>
        <v/>
      </c>
    </row>
    <row r="1404" spans="10:16" x14ac:dyDescent="0.2">
      <c r="J1404" s="1">
        <f>COUNTIF($L$2:L1404,L1404)</f>
        <v>13</v>
      </c>
      <c r="K1404" s="1">
        <f>A552</f>
        <v>1998</v>
      </c>
      <c r="L1404" s="1" t="str">
        <f>E552</f>
        <v>Morocco</v>
      </c>
      <c r="M1404" s="1" t="str">
        <f>IF(J1404=1,J1404+ROWS($J$2:J1404)/10000,"")</f>
        <v/>
      </c>
      <c r="N1404" s="1" t="str">
        <f>IFERROR(SMALL($M$2:$M$1705,ROWS($M$2:M1404)),"")</f>
        <v/>
      </c>
      <c r="O1404" s="1" t="str">
        <f>IF(N1404&lt;&gt;"",INDEX($L$2:$L$1705,MATCH(N1404,$M$2:$M$1705,0)),"")</f>
        <v/>
      </c>
      <c r="P1404" s="1" t="str">
        <f>IF(O1404&lt;&gt;"",ROWS($O$2:O1404),"")</f>
        <v/>
      </c>
    </row>
    <row r="1405" spans="10:16" x14ac:dyDescent="0.2">
      <c r="J1405" s="1">
        <f>COUNTIF($L$2:L1405,L1405)</f>
        <v>7</v>
      </c>
      <c r="K1405" s="1">
        <f>A553</f>
        <v>1998</v>
      </c>
      <c r="L1405" s="1" t="str">
        <f>E553</f>
        <v>Norway</v>
      </c>
      <c r="M1405" s="1" t="str">
        <f>IF(J1405=1,J1405+ROWS($J$2:J1405)/10000,"")</f>
        <v/>
      </c>
      <c r="N1405" s="1" t="str">
        <f>IFERROR(SMALL($M$2:$M$1705,ROWS($M$2:M1405)),"")</f>
        <v/>
      </c>
      <c r="O1405" s="1" t="str">
        <f>IF(N1405&lt;&gt;"",INDEX($L$2:$L$1705,MATCH(N1405,$M$2:$M$1705,0)),"")</f>
        <v/>
      </c>
      <c r="P1405" s="1" t="str">
        <f>IF(O1405&lt;&gt;"",ROWS($O$2:O1405),"")</f>
        <v/>
      </c>
    </row>
    <row r="1406" spans="10:16" x14ac:dyDescent="0.2">
      <c r="J1406" s="1">
        <f>COUNTIF($L$2:L1406,L1406)</f>
        <v>11</v>
      </c>
      <c r="K1406" s="1">
        <f>A554</f>
        <v>1998</v>
      </c>
      <c r="L1406" s="1" t="str">
        <f>E554</f>
        <v>Denmark</v>
      </c>
      <c r="M1406" s="1" t="str">
        <f>IF(J1406=1,J1406+ROWS($J$2:J1406)/10000,"")</f>
        <v/>
      </c>
      <c r="N1406" s="1" t="str">
        <f>IFERROR(SMALL($M$2:$M$1705,ROWS($M$2:M1406)),"")</f>
        <v/>
      </c>
      <c r="O1406" s="1" t="str">
        <f>IF(N1406&lt;&gt;"",INDEX($L$2:$L$1705,MATCH(N1406,$M$2:$M$1705,0)),"")</f>
        <v/>
      </c>
      <c r="P1406" s="1" t="str">
        <f>IF(O1406&lt;&gt;"",ROWS($O$2:O1406),"")</f>
        <v/>
      </c>
    </row>
    <row r="1407" spans="10:16" x14ac:dyDescent="0.2">
      <c r="J1407" s="1">
        <f>COUNTIF($L$2:L1407,L1407)</f>
        <v>10</v>
      </c>
      <c r="K1407" s="1">
        <f>A555</f>
        <v>1998</v>
      </c>
      <c r="L1407" s="1" t="str">
        <f>E555</f>
        <v>Saudi Arabia</v>
      </c>
      <c r="M1407" s="1" t="str">
        <f>IF(J1407=1,J1407+ROWS($J$2:J1407)/10000,"")</f>
        <v/>
      </c>
      <c r="N1407" s="1" t="str">
        <f>IFERROR(SMALL($M$2:$M$1705,ROWS($M$2:M1407)),"")</f>
        <v/>
      </c>
      <c r="O1407" s="1" t="str">
        <f>IF(N1407&lt;&gt;"",INDEX($L$2:$L$1705,MATCH(N1407,$M$2:$M$1705,0)),"")</f>
        <v/>
      </c>
      <c r="P1407" s="1" t="str">
        <f>IF(O1407&lt;&gt;"",ROWS($O$2:O1407),"")</f>
        <v/>
      </c>
    </row>
    <row r="1408" spans="10:16" x14ac:dyDescent="0.2">
      <c r="J1408" s="1">
        <f>COUNTIF($L$2:L1408,L1408)</f>
        <v>26</v>
      </c>
      <c r="K1408" s="1">
        <f>A556</f>
        <v>1998</v>
      </c>
      <c r="L1408" s="1" t="str">
        <f>E556</f>
        <v>Bulgaria</v>
      </c>
      <c r="M1408" s="1" t="str">
        <f>IF(J1408=1,J1408+ROWS($J$2:J1408)/10000,"")</f>
        <v/>
      </c>
      <c r="N1408" s="1" t="str">
        <f>IFERROR(SMALL($M$2:$M$1705,ROWS($M$2:M1408)),"")</f>
        <v/>
      </c>
      <c r="O1408" s="1" t="str">
        <f>IF(N1408&lt;&gt;"",INDEX($L$2:$L$1705,MATCH(N1408,$M$2:$M$1705,0)),"")</f>
        <v/>
      </c>
      <c r="P1408" s="1" t="str">
        <f>IF(O1408&lt;&gt;"",ROWS($O$2:O1408),"")</f>
        <v/>
      </c>
    </row>
    <row r="1409" spans="10:16" x14ac:dyDescent="0.2">
      <c r="J1409" s="1">
        <f>COUNTIF($L$2:L1409,L1409)</f>
        <v>19</v>
      </c>
      <c r="K1409" s="1">
        <f>A557</f>
        <v>1998</v>
      </c>
      <c r="L1409" s="1" t="str">
        <f>E557</f>
        <v>Paraguay</v>
      </c>
      <c r="M1409" s="1" t="str">
        <f>IF(J1409=1,J1409+ROWS($J$2:J1409)/10000,"")</f>
        <v/>
      </c>
      <c r="N1409" s="1" t="str">
        <f>IFERROR(SMALL($M$2:$M$1705,ROWS($M$2:M1409)),"")</f>
        <v/>
      </c>
      <c r="O1409" s="1" t="str">
        <f>IF(N1409&lt;&gt;"",INDEX($L$2:$L$1705,MATCH(N1409,$M$2:$M$1705,0)),"")</f>
        <v/>
      </c>
      <c r="P1409" s="1" t="str">
        <f>IF(O1409&lt;&gt;"",ROWS($O$2:O1409),"")</f>
        <v/>
      </c>
    </row>
    <row r="1410" spans="10:16" x14ac:dyDescent="0.2">
      <c r="J1410" s="1">
        <f>COUNTIF($L$2:L1410,L1410)</f>
        <v>22</v>
      </c>
      <c r="K1410" s="1">
        <f>A558</f>
        <v>1998</v>
      </c>
      <c r="L1410" s="1" t="str">
        <f>E558</f>
        <v>Korea Republic</v>
      </c>
      <c r="M1410" s="1" t="str">
        <f>IF(J1410=1,J1410+ROWS($J$2:J1410)/10000,"")</f>
        <v/>
      </c>
      <c r="N1410" s="1" t="str">
        <f>IFERROR(SMALL($M$2:$M$1705,ROWS($M$2:M1410)),"")</f>
        <v/>
      </c>
      <c r="O1410" s="1" t="str">
        <f>IF(N1410&lt;&gt;"",INDEX($L$2:$L$1705,MATCH(N1410,$M$2:$M$1705,0)),"")</f>
        <v/>
      </c>
      <c r="P1410" s="1" t="str">
        <f>IF(O1410&lt;&gt;"",ROWS($O$2:O1410),"")</f>
        <v/>
      </c>
    </row>
    <row r="1411" spans="10:16" x14ac:dyDescent="0.2">
      <c r="J1411" s="1">
        <f>COUNTIF($L$2:L1411,L1411)</f>
        <v>43</v>
      </c>
      <c r="K1411" s="1">
        <f>A559</f>
        <v>1998</v>
      </c>
      <c r="L1411" s="1" t="str">
        <f>E559</f>
        <v>Mexico</v>
      </c>
      <c r="M1411" s="1" t="str">
        <f>IF(J1411=1,J1411+ROWS($J$2:J1411)/10000,"")</f>
        <v/>
      </c>
      <c r="N1411" s="1" t="str">
        <f>IFERROR(SMALL($M$2:$M$1705,ROWS($M$2:M1411)),"")</f>
        <v/>
      </c>
      <c r="O1411" s="1" t="str">
        <f>IF(N1411&lt;&gt;"",INDEX($L$2:$L$1705,MATCH(N1411,$M$2:$M$1705,0)),"")</f>
        <v/>
      </c>
      <c r="P1411" s="1" t="str">
        <f>IF(O1411&lt;&gt;"",ROWS($O$2:O1411),"")</f>
        <v/>
      </c>
    </row>
    <row r="1412" spans="10:16" x14ac:dyDescent="0.2">
      <c r="J1412" s="1">
        <f>COUNTIF($L$2:L1412,L1412)</f>
        <v>5</v>
      </c>
      <c r="K1412" s="1">
        <f>A560</f>
        <v>1998</v>
      </c>
      <c r="L1412" s="1" t="str">
        <f>E560</f>
        <v>Iran</v>
      </c>
      <c r="M1412" s="1" t="str">
        <f>IF(J1412=1,J1412+ROWS($J$2:J1412)/10000,"")</f>
        <v/>
      </c>
      <c r="N1412" s="1" t="str">
        <f>IFERROR(SMALL($M$2:$M$1705,ROWS($M$2:M1412)),"")</f>
        <v/>
      </c>
      <c r="O1412" s="1" t="str">
        <f>IF(N1412&lt;&gt;"",INDEX($L$2:$L$1705,MATCH(N1412,$M$2:$M$1705,0)),"")</f>
        <v/>
      </c>
      <c r="P1412" s="1" t="str">
        <f>IF(O1412&lt;&gt;"",ROWS($O$2:O1412),"")</f>
        <v/>
      </c>
    </row>
    <row r="1413" spans="10:16" x14ac:dyDescent="0.2">
      <c r="J1413" s="1">
        <f>COUNTIF($L$2:L1413,L1413)</f>
        <v>36</v>
      </c>
      <c r="K1413" s="1">
        <f>A561</f>
        <v>1998</v>
      </c>
      <c r="L1413" s="1" t="str">
        <f>E561</f>
        <v>Yugoslavia</v>
      </c>
      <c r="M1413" s="1" t="str">
        <f>IF(J1413=1,J1413+ROWS($J$2:J1413)/10000,"")</f>
        <v/>
      </c>
      <c r="N1413" s="1" t="str">
        <f>IFERROR(SMALL($M$2:$M$1705,ROWS($M$2:M1413)),"")</f>
        <v/>
      </c>
      <c r="O1413" s="1" t="str">
        <f>IF(N1413&lt;&gt;"",INDEX($L$2:$L$1705,MATCH(N1413,$M$2:$M$1705,0)),"")</f>
        <v/>
      </c>
      <c r="P1413" s="1" t="str">
        <f>IF(O1413&lt;&gt;"",ROWS($O$2:O1413),"")</f>
        <v/>
      </c>
    </row>
    <row r="1414" spans="10:16" x14ac:dyDescent="0.2">
      <c r="J1414" s="1">
        <f>COUNTIF($L$2:L1414,L1414)</f>
        <v>3</v>
      </c>
      <c r="K1414" s="1">
        <f>A562</f>
        <v>1998</v>
      </c>
      <c r="L1414" s="1" t="str">
        <f>E562</f>
        <v>Jamaica</v>
      </c>
      <c r="M1414" s="1" t="str">
        <f>IF(J1414=1,J1414+ROWS($J$2:J1414)/10000,"")</f>
        <v/>
      </c>
      <c r="N1414" s="1" t="str">
        <f>IFERROR(SMALL($M$2:$M$1705,ROWS($M$2:M1414)),"")</f>
        <v/>
      </c>
      <c r="O1414" s="1" t="str">
        <f>IF(N1414&lt;&gt;"",INDEX($L$2:$L$1705,MATCH(N1414,$M$2:$M$1705,0)),"")</f>
        <v/>
      </c>
      <c r="P1414" s="1" t="str">
        <f>IF(O1414&lt;&gt;"",ROWS($O$2:O1414),"")</f>
        <v/>
      </c>
    </row>
    <row r="1415" spans="10:16" x14ac:dyDescent="0.2">
      <c r="J1415" s="1">
        <f>COUNTIF($L$2:L1415,L1415)</f>
        <v>6</v>
      </c>
      <c r="K1415" s="1">
        <f>A563</f>
        <v>1998</v>
      </c>
      <c r="L1415" s="1" t="str">
        <f>E563</f>
        <v>Croatia</v>
      </c>
      <c r="M1415" s="1" t="str">
        <f>IF(J1415=1,J1415+ROWS($J$2:J1415)/10000,"")</f>
        <v/>
      </c>
      <c r="N1415" s="1" t="str">
        <f>IFERROR(SMALL($M$2:$M$1705,ROWS($M$2:M1415)),"")</f>
        <v/>
      </c>
      <c r="O1415" s="1" t="str">
        <f>IF(N1415&lt;&gt;"",INDEX($L$2:$L$1705,MATCH(N1415,$M$2:$M$1705,0)),"")</f>
        <v/>
      </c>
      <c r="P1415" s="1" t="str">
        <f>IF(O1415&lt;&gt;"",ROWS($O$2:O1415),"")</f>
        <v/>
      </c>
    </row>
    <row r="1416" spans="10:16" x14ac:dyDescent="0.2">
      <c r="J1416" s="1">
        <f>COUNTIF($L$2:L1416,L1416)</f>
        <v>9</v>
      </c>
      <c r="K1416" s="1">
        <f>A564</f>
        <v>1998</v>
      </c>
      <c r="L1416" s="1" t="str">
        <f>E564</f>
        <v>Tunisia</v>
      </c>
      <c r="M1416" s="1" t="str">
        <f>IF(J1416=1,J1416+ROWS($J$2:J1416)/10000,"")</f>
        <v/>
      </c>
      <c r="N1416" s="1" t="str">
        <f>IFERROR(SMALL($M$2:$M$1705,ROWS($M$2:M1416)),"")</f>
        <v/>
      </c>
      <c r="O1416" s="1" t="str">
        <f>IF(N1416&lt;&gt;"",INDEX($L$2:$L$1705,MATCH(N1416,$M$2:$M$1705,0)),"")</f>
        <v/>
      </c>
      <c r="P1416" s="1" t="str">
        <f>IF(O1416&lt;&gt;"",ROWS($O$2:O1416),"")</f>
        <v/>
      </c>
    </row>
    <row r="1417" spans="10:16" x14ac:dyDescent="0.2">
      <c r="J1417" s="1">
        <f>COUNTIF($L$2:L1417,L1417)</f>
        <v>53</v>
      </c>
      <c r="K1417" s="1">
        <f>A565</f>
        <v>1998</v>
      </c>
      <c r="L1417" s="1" t="str">
        <f>E565</f>
        <v>England</v>
      </c>
      <c r="M1417" s="1" t="str">
        <f>IF(J1417=1,J1417+ROWS($J$2:J1417)/10000,"")</f>
        <v/>
      </c>
      <c r="N1417" s="1" t="str">
        <f>IFERROR(SMALL($M$2:$M$1705,ROWS($M$2:M1417)),"")</f>
        <v/>
      </c>
      <c r="O1417" s="1" t="str">
        <f>IF(N1417&lt;&gt;"",INDEX($L$2:$L$1705,MATCH(N1417,$M$2:$M$1705,0)),"")</f>
        <v/>
      </c>
      <c r="P1417" s="1" t="str">
        <f>IF(O1417&lt;&gt;"",ROWS($O$2:O1417),"")</f>
        <v/>
      </c>
    </row>
    <row r="1418" spans="10:16" x14ac:dyDescent="0.2">
      <c r="J1418" s="1">
        <f>COUNTIF($L$2:L1418,L1418)</f>
        <v>8</v>
      </c>
      <c r="K1418" s="1">
        <f>A566</f>
        <v>1998</v>
      </c>
      <c r="L1418" s="1" t="str">
        <f>E566</f>
        <v>Norway</v>
      </c>
      <c r="M1418" s="1" t="str">
        <f>IF(J1418=1,J1418+ROWS($J$2:J1418)/10000,"")</f>
        <v/>
      </c>
      <c r="N1418" s="1" t="str">
        <f>IFERROR(SMALL($M$2:$M$1705,ROWS($M$2:M1418)),"")</f>
        <v/>
      </c>
      <c r="O1418" s="1" t="str">
        <f>IF(N1418&lt;&gt;"",INDEX($L$2:$L$1705,MATCH(N1418,$M$2:$M$1705,0)),"")</f>
        <v/>
      </c>
      <c r="P1418" s="1" t="str">
        <f>IF(O1418&lt;&gt;"",ROWS($O$2:O1418),"")</f>
        <v/>
      </c>
    </row>
    <row r="1419" spans="10:16" x14ac:dyDescent="0.2">
      <c r="J1419" s="1">
        <f>COUNTIF($L$2:L1419,L1419)</f>
        <v>28</v>
      </c>
      <c r="K1419" s="1">
        <f>A567</f>
        <v>1998</v>
      </c>
      <c r="L1419" s="1" t="str">
        <f>E567</f>
        <v>Chile</v>
      </c>
      <c r="M1419" s="1" t="str">
        <f>IF(J1419=1,J1419+ROWS($J$2:J1419)/10000,"")</f>
        <v/>
      </c>
      <c r="N1419" s="1" t="str">
        <f>IFERROR(SMALL($M$2:$M$1705,ROWS($M$2:M1419)),"")</f>
        <v/>
      </c>
      <c r="O1419" s="1" t="str">
        <f>IF(N1419&lt;&gt;"",INDEX($L$2:$L$1705,MATCH(N1419,$M$2:$M$1705,0)),"")</f>
        <v/>
      </c>
      <c r="P1419" s="1" t="str">
        <f>IF(O1419&lt;&gt;"",ROWS($O$2:O1419),"")</f>
        <v/>
      </c>
    </row>
    <row r="1420" spans="10:16" x14ac:dyDescent="0.2">
      <c r="J1420" s="1">
        <f>COUNTIF($L$2:L1420,L1420)</f>
        <v>20</v>
      </c>
      <c r="K1420" s="1">
        <f>A568</f>
        <v>1998</v>
      </c>
      <c r="L1420" s="1" t="str">
        <f>E568</f>
        <v>Paraguay</v>
      </c>
      <c r="M1420" s="1" t="str">
        <f>IF(J1420=1,J1420+ROWS($J$2:J1420)/10000,"")</f>
        <v/>
      </c>
      <c r="N1420" s="1" t="str">
        <f>IFERROR(SMALL($M$2:$M$1705,ROWS($M$2:M1420)),"")</f>
        <v/>
      </c>
      <c r="O1420" s="1" t="str">
        <f>IF(N1420&lt;&gt;"",INDEX($L$2:$L$1705,MATCH(N1420,$M$2:$M$1705,0)),"")</f>
        <v/>
      </c>
      <c r="P1420" s="1" t="str">
        <f>IF(O1420&lt;&gt;"",ROWS($O$2:O1420),"")</f>
        <v/>
      </c>
    </row>
    <row r="1421" spans="10:16" x14ac:dyDescent="0.2">
      <c r="J1421" s="1">
        <f>COUNTIF($L$2:L1421,L1421)</f>
        <v>12</v>
      </c>
      <c r="K1421" s="1">
        <f>A569</f>
        <v>1998</v>
      </c>
      <c r="L1421" s="1" t="str">
        <f>E569</f>
        <v>Denmark</v>
      </c>
      <c r="M1421" s="1" t="str">
        <f>IF(J1421=1,J1421+ROWS($J$2:J1421)/10000,"")</f>
        <v/>
      </c>
      <c r="N1421" s="1" t="str">
        <f>IFERROR(SMALL($M$2:$M$1705,ROWS($M$2:M1421)),"")</f>
        <v/>
      </c>
      <c r="O1421" s="1" t="str">
        <f>IF(N1421&lt;&gt;"",INDEX($L$2:$L$1705,MATCH(N1421,$M$2:$M$1705,0)),"")</f>
        <v/>
      </c>
      <c r="P1421" s="1" t="str">
        <f>IF(O1421&lt;&gt;"",ROWS($O$2:O1421),"")</f>
        <v/>
      </c>
    </row>
    <row r="1422" spans="10:16" x14ac:dyDescent="0.2">
      <c r="J1422" s="1">
        <f>COUNTIF($L$2:L1422,L1422)</f>
        <v>44</v>
      </c>
      <c r="K1422" s="1">
        <f>A570</f>
        <v>1998</v>
      </c>
      <c r="L1422" s="1" t="str">
        <f>E570</f>
        <v>Mexico</v>
      </c>
      <c r="M1422" s="1" t="str">
        <f>IF(J1422=1,J1422+ROWS($J$2:J1422)/10000,"")</f>
        <v/>
      </c>
      <c r="N1422" s="1" t="str">
        <f>IFERROR(SMALL($M$2:$M$1705,ROWS($M$2:M1422)),"")</f>
        <v/>
      </c>
      <c r="O1422" s="1" t="str">
        <f>IF(N1422&lt;&gt;"",INDEX($L$2:$L$1705,MATCH(N1422,$M$2:$M$1705,0)),"")</f>
        <v/>
      </c>
      <c r="P1422" s="1" t="str">
        <f>IF(O1422&lt;&gt;"",ROWS($O$2:O1422),"")</f>
        <v/>
      </c>
    </row>
    <row r="1423" spans="10:16" x14ac:dyDescent="0.2">
      <c r="J1423" s="1">
        <f>COUNTIF($L$2:L1423,L1423)</f>
        <v>37</v>
      </c>
      <c r="K1423" s="1">
        <f>A571</f>
        <v>1998</v>
      </c>
      <c r="L1423" s="1" t="str">
        <f>E571</f>
        <v>Yugoslavia</v>
      </c>
      <c r="M1423" s="1" t="str">
        <f>IF(J1423=1,J1423+ROWS($J$2:J1423)/10000,"")</f>
        <v/>
      </c>
      <c r="N1423" s="1" t="str">
        <f>IFERROR(SMALL($M$2:$M$1705,ROWS($M$2:M1423)),"")</f>
        <v/>
      </c>
      <c r="O1423" s="1" t="str">
        <f>IF(N1423&lt;&gt;"",INDEX($L$2:$L$1705,MATCH(N1423,$M$2:$M$1705,0)),"")</f>
        <v/>
      </c>
      <c r="P1423" s="1" t="str">
        <f>IF(O1423&lt;&gt;"",ROWS($O$2:O1423),"")</f>
        <v/>
      </c>
    </row>
    <row r="1424" spans="10:16" x14ac:dyDescent="0.2">
      <c r="J1424" s="1">
        <f>COUNTIF($L$2:L1424,L1424)</f>
        <v>7</v>
      </c>
      <c r="K1424" s="1">
        <f>A572</f>
        <v>1998</v>
      </c>
      <c r="L1424" s="1" t="str">
        <f>E572</f>
        <v>Croatia</v>
      </c>
      <c r="M1424" s="1" t="str">
        <f>IF(J1424=1,J1424+ROWS($J$2:J1424)/10000,"")</f>
        <v/>
      </c>
      <c r="N1424" s="1" t="str">
        <f>IFERROR(SMALL($M$2:$M$1705,ROWS($M$2:M1424)),"")</f>
        <v/>
      </c>
      <c r="O1424" s="1" t="str">
        <f>IF(N1424&lt;&gt;"",INDEX($L$2:$L$1705,MATCH(N1424,$M$2:$M$1705,0)),"")</f>
        <v/>
      </c>
      <c r="P1424" s="1" t="str">
        <f>IF(O1424&lt;&gt;"",ROWS($O$2:O1424),"")</f>
        <v/>
      </c>
    </row>
    <row r="1425" spans="10:16" x14ac:dyDescent="0.2">
      <c r="J1425" s="1">
        <f>COUNTIF($L$2:L1425,L1425)</f>
        <v>54</v>
      </c>
      <c r="K1425" s="1">
        <f>A573</f>
        <v>1998</v>
      </c>
      <c r="L1425" s="1" t="str">
        <f>E573</f>
        <v>England</v>
      </c>
      <c r="M1425" s="1" t="str">
        <f>IF(J1425=1,J1425+ROWS($J$2:J1425)/10000,"")</f>
        <v/>
      </c>
      <c r="N1425" s="1" t="str">
        <f>IFERROR(SMALL($M$2:$M$1705,ROWS($M$2:M1425)),"")</f>
        <v/>
      </c>
      <c r="O1425" s="1" t="str">
        <f>IF(N1425&lt;&gt;"",INDEX($L$2:$L$1705,MATCH(N1425,$M$2:$M$1705,0)),"")</f>
        <v/>
      </c>
      <c r="P1425" s="1" t="str">
        <f>IF(O1425&lt;&gt;"",ROWS($O$2:O1425),"")</f>
        <v/>
      </c>
    </row>
    <row r="1426" spans="10:16" x14ac:dyDescent="0.2">
      <c r="J1426" s="1">
        <f>COUNTIF($L$2:L1426,L1426)</f>
        <v>51</v>
      </c>
      <c r="K1426" s="1">
        <f>A574</f>
        <v>1998</v>
      </c>
      <c r="L1426" s="1" t="str">
        <f>E574</f>
        <v>France</v>
      </c>
      <c r="M1426" s="1" t="str">
        <f>IF(J1426=1,J1426+ROWS($J$2:J1426)/10000,"")</f>
        <v/>
      </c>
      <c r="N1426" s="1" t="str">
        <f>IFERROR(SMALL($M$2:$M$1705,ROWS($M$2:M1426)),"")</f>
        <v/>
      </c>
      <c r="O1426" s="1" t="str">
        <f>IF(N1426&lt;&gt;"",INDEX($L$2:$L$1705,MATCH(N1426,$M$2:$M$1705,0)),"")</f>
        <v/>
      </c>
      <c r="P1426" s="1" t="str">
        <f>IF(O1426&lt;&gt;"",ROWS($O$2:O1426),"")</f>
        <v/>
      </c>
    </row>
    <row r="1427" spans="10:16" x14ac:dyDescent="0.2">
      <c r="J1427" s="1">
        <f>COUNTIF($L$2:L1427,L1427)</f>
        <v>13</v>
      </c>
      <c r="K1427" s="1">
        <f>A575</f>
        <v>1998</v>
      </c>
      <c r="L1427" s="1" t="str">
        <f>E575</f>
        <v>Denmark</v>
      </c>
      <c r="M1427" s="1" t="str">
        <f>IF(J1427=1,J1427+ROWS($J$2:J1427)/10000,"")</f>
        <v/>
      </c>
      <c r="N1427" s="1" t="str">
        <f>IFERROR(SMALL($M$2:$M$1705,ROWS($M$2:M1427)),"")</f>
        <v/>
      </c>
      <c r="O1427" s="1" t="str">
        <f>IF(N1427&lt;&gt;"",INDEX($L$2:$L$1705,MATCH(N1427,$M$2:$M$1705,0)),"")</f>
        <v/>
      </c>
      <c r="P1427" s="1" t="str">
        <f>IF(O1427&lt;&gt;"",ROWS($O$2:O1427),"")</f>
        <v/>
      </c>
    </row>
    <row r="1428" spans="10:16" x14ac:dyDescent="0.2">
      <c r="J1428" s="1">
        <f>COUNTIF($L$2:L1428,L1428)</f>
        <v>72</v>
      </c>
      <c r="K1428" s="1">
        <f>A576</f>
        <v>1998</v>
      </c>
      <c r="L1428" s="1" t="str">
        <f>E576</f>
        <v>Argentina</v>
      </c>
      <c r="M1428" s="1" t="str">
        <f>IF(J1428=1,J1428+ROWS($J$2:J1428)/10000,"")</f>
        <v/>
      </c>
      <c r="N1428" s="1" t="str">
        <f>IFERROR(SMALL($M$2:$M$1705,ROWS($M$2:M1428)),"")</f>
        <v/>
      </c>
      <c r="O1428" s="1" t="str">
        <f>IF(N1428&lt;&gt;"",INDEX($L$2:$L$1705,MATCH(N1428,$M$2:$M$1705,0)),"")</f>
        <v/>
      </c>
      <c r="P1428" s="1" t="str">
        <f>IF(O1428&lt;&gt;"",ROWS($O$2:O1428),"")</f>
        <v/>
      </c>
    </row>
    <row r="1429" spans="10:16" x14ac:dyDescent="0.2">
      <c r="J1429" s="1">
        <f>COUNTIF($L$2:L1429,L1429)</f>
        <v>8</v>
      </c>
      <c r="K1429" s="1">
        <f>A577</f>
        <v>1998</v>
      </c>
      <c r="L1429" s="1" t="str">
        <f>E577</f>
        <v>Croatia</v>
      </c>
      <c r="M1429" s="1" t="str">
        <f>IF(J1429=1,J1429+ROWS($J$2:J1429)/10000,"")</f>
        <v/>
      </c>
      <c r="N1429" s="1" t="str">
        <f>IFERROR(SMALL($M$2:$M$1705,ROWS($M$2:M1429)),"")</f>
        <v/>
      </c>
      <c r="O1429" s="1" t="str">
        <f>IF(N1429&lt;&gt;"",INDEX($L$2:$L$1705,MATCH(N1429,$M$2:$M$1705,0)),"")</f>
        <v/>
      </c>
      <c r="P1429" s="1" t="str">
        <f>IF(O1429&lt;&gt;"",ROWS($O$2:O1429),"")</f>
        <v/>
      </c>
    </row>
    <row r="1430" spans="10:16" x14ac:dyDescent="0.2">
      <c r="J1430" s="1">
        <f>COUNTIF($L$2:L1430,L1430)</f>
        <v>46</v>
      </c>
      <c r="K1430" s="1">
        <f>A578</f>
        <v>1998</v>
      </c>
      <c r="L1430" s="1" t="str">
        <f>E578</f>
        <v>Netherlands</v>
      </c>
      <c r="M1430" s="1" t="str">
        <f>IF(J1430=1,J1430+ROWS($J$2:J1430)/10000,"")</f>
        <v/>
      </c>
      <c r="N1430" s="1" t="str">
        <f>IFERROR(SMALL($M$2:$M$1705,ROWS($M$2:M1430)),"")</f>
        <v/>
      </c>
      <c r="O1430" s="1" t="str">
        <f>IF(N1430&lt;&gt;"",INDEX($L$2:$L$1705,MATCH(N1430,$M$2:$M$1705,0)),"")</f>
        <v/>
      </c>
      <c r="P1430" s="1" t="str">
        <f>IF(O1430&lt;&gt;"",ROWS($O$2:O1430),"")</f>
        <v/>
      </c>
    </row>
    <row r="1431" spans="10:16" x14ac:dyDescent="0.2">
      <c r="J1431" s="1">
        <f>COUNTIF($L$2:L1431,L1431)</f>
        <v>9</v>
      </c>
      <c r="K1431" s="1">
        <f>A579</f>
        <v>1998</v>
      </c>
      <c r="L1431" s="1" t="str">
        <f>E579</f>
        <v>Croatia</v>
      </c>
      <c r="M1431" s="1" t="str">
        <f>IF(J1431=1,J1431+ROWS($J$2:J1431)/10000,"")</f>
        <v/>
      </c>
      <c r="N1431" s="1" t="str">
        <f>IFERROR(SMALL($M$2:$M$1705,ROWS($M$2:M1431)),"")</f>
        <v/>
      </c>
      <c r="O1431" s="1" t="str">
        <f>IF(N1431&lt;&gt;"",INDEX($L$2:$L$1705,MATCH(N1431,$M$2:$M$1705,0)),"")</f>
        <v/>
      </c>
      <c r="P1431" s="1" t="str">
        <f>IF(O1431&lt;&gt;"",ROWS($O$2:O1431),"")</f>
        <v/>
      </c>
    </row>
    <row r="1432" spans="10:16" x14ac:dyDescent="0.2">
      <c r="J1432" s="1">
        <f>COUNTIF($L$2:L1432,L1432)</f>
        <v>10</v>
      </c>
      <c r="K1432" s="1">
        <f>A580</f>
        <v>1998</v>
      </c>
      <c r="L1432" s="1" t="str">
        <f>E580</f>
        <v>Croatia</v>
      </c>
      <c r="M1432" s="1" t="str">
        <f>IF(J1432=1,J1432+ROWS($J$2:J1432)/10000,"")</f>
        <v/>
      </c>
      <c r="N1432" s="1" t="str">
        <f>IFERROR(SMALL($M$2:$M$1705,ROWS($M$2:M1432)),"")</f>
        <v/>
      </c>
      <c r="O1432" s="1" t="str">
        <f>IF(N1432&lt;&gt;"",INDEX($L$2:$L$1705,MATCH(N1432,$M$2:$M$1705,0)),"")</f>
        <v/>
      </c>
      <c r="P1432" s="1" t="str">
        <f>IF(O1432&lt;&gt;"",ROWS($O$2:O1432),"")</f>
        <v/>
      </c>
    </row>
    <row r="1433" spans="10:16" x14ac:dyDescent="0.2">
      <c r="J1433" s="1">
        <f>COUNTIF($L$2:L1433,L1433)</f>
        <v>52</v>
      </c>
      <c r="K1433" s="1">
        <f>A581</f>
        <v>1998</v>
      </c>
      <c r="L1433" s="1" t="str">
        <f>E581</f>
        <v>France</v>
      </c>
      <c r="M1433" s="1" t="str">
        <f>IF(J1433=1,J1433+ROWS($J$2:J1433)/10000,"")</f>
        <v/>
      </c>
      <c r="N1433" s="1" t="str">
        <f>IFERROR(SMALL($M$2:$M$1705,ROWS($M$2:M1433)),"")</f>
        <v/>
      </c>
      <c r="O1433" s="1" t="str">
        <f>IF(N1433&lt;&gt;"",INDEX($L$2:$L$1705,MATCH(N1433,$M$2:$M$1705,0)),"")</f>
        <v/>
      </c>
      <c r="P1433" s="1" t="str">
        <f>IF(O1433&lt;&gt;"",ROWS($O$2:O1433),"")</f>
        <v/>
      </c>
    </row>
    <row r="1434" spans="10:16" x14ac:dyDescent="0.2">
      <c r="J1434" s="1">
        <f>COUNTIF($L$2:L1434,L1434)</f>
        <v>3</v>
      </c>
      <c r="K1434" s="1">
        <f>A582</f>
        <v>2002</v>
      </c>
      <c r="L1434" s="1" t="str">
        <f>E582</f>
        <v>Senegal</v>
      </c>
      <c r="M1434" s="1" t="str">
        <f>IF(J1434=1,J1434+ROWS($J$2:J1434)/10000,"")</f>
        <v/>
      </c>
      <c r="N1434" s="1" t="str">
        <f>IFERROR(SMALL($M$2:$M$1705,ROWS($M$2:M1434)),"")</f>
        <v/>
      </c>
      <c r="O1434" s="1" t="str">
        <f>IF(N1434&lt;&gt;"",INDEX($L$2:$L$1705,MATCH(N1434,$M$2:$M$1705,0)),"")</f>
        <v/>
      </c>
      <c r="P1434" s="1" t="str">
        <f>IF(O1434&lt;&gt;"",ROWS($O$2:O1434),"")</f>
        <v/>
      </c>
    </row>
    <row r="1435" spans="10:16" x14ac:dyDescent="0.2">
      <c r="J1435" s="1">
        <f>COUNTIF($L$2:L1435,L1435)</f>
        <v>14</v>
      </c>
      <c r="K1435" s="1">
        <f>A583</f>
        <v>2002</v>
      </c>
      <c r="L1435" s="1" t="str">
        <f>E583</f>
        <v>Denmark</v>
      </c>
      <c r="M1435" s="1" t="str">
        <f>IF(J1435=1,J1435+ROWS($J$2:J1435)/10000,"")</f>
        <v/>
      </c>
      <c r="N1435" s="1" t="str">
        <f>IFERROR(SMALL($M$2:$M$1705,ROWS($M$2:M1435)),"")</f>
        <v/>
      </c>
      <c r="O1435" s="1" t="str">
        <f>IF(N1435&lt;&gt;"",INDEX($L$2:$L$1705,MATCH(N1435,$M$2:$M$1705,0)),"")</f>
        <v/>
      </c>
      <c r="P1435" s="1" t="str">
        <f>IF(O1435&lt;&gt;"",ROWS($O$2:O1435),"")</f>
        <v/>
      </c>
    </row>
    <row r="1436" spans="10:16" x14ac:dyDescent="0.2">
      <c r="J1436" s="1">
        <f>COUNTIF($L$2:L1436,L1436)</f>
        <v>21</v>
      </c>
      <c r="K1436" s="1">
        <f>A584</f>
        <v>2002</v>
      </c>
      <c r="L1436" s="1" t="str">
        <f>E584</f>
        <v>Cameroon</v>
      </c>
      <c r="M1436" s="1" t="str">
        <f>IF(J1436=1,J1436+ROWS($J$2:J1436)/10000,"")</f>
        <v/>
      </c>
      <c r="N1436" s="1" t="str">
        <f>IFERROR(SMALL($M$2:$M$1705,ROWS($M$2:M1436)),"")</f>
        <v/>
      </c>
      <c r="O1436" s="1" t="str">
        <f>IF(N1436&lt;&gt;"",INDEX($L$2:$L$1705,MATCH(N1436,$M$2:$M$1705,0)),"")</f>
        <v/>
      </c>
      <c r="P1436" s="1" t="str">
        <f>IF(O1436&lt;&gt;"",ROWS($O$2:O1436),"")</f>
        <v/>
      </c>
    </row>
    <row r="1437" spans="10:16" x14ac:dyDescent="0.2">
      <c r="J1437" s="1">
        <f>COUNTIF($L$2:L1437,L1437)</f>
        <v>11</v>
      </c>
      <c r="K1437" s="1">
        <f>A585</f>
        <v>2002</v>
      </c>
      <c r="L1437" s="1" t="str">
        <f>E585</f>
        <v>Saudi Arabia</v>
      </c>
      <c r="M1437" s="1" t="str">
        <f>IF(J1437=1,J1437+ROWS($J$2:J1437)/10000,"")</f>
        <v/>
      </c>
      <c r="N1437" s="1" t="str">
        <f>IFERROR(SMALL($M$2:$M$1705,ROWS($M$2:M1437)),"")</f>
        <v/>
      </c>
      <c r="O1437" s="1" t="str">
        <f>IF(N1437&lt;&gt;"",INDEX($L$2:$L$1705,MATCH(N1437,$M$2:$M$1705,0)),"")</f>
        <v/>
      </c>
      <c r="P1437" s="1" t="str">
        <f>IF(O1437&lt;&gt;"",ROWS($O$2:O1437),"")</f>
        <v/>
      </c>
    </row>
    <row r="1438" spans="10:16" x14ac:dyDescent="0.2">
      <c r="J1438" s="1">
        <f>COUNTIF($L$2:L1438,L1438)</f>
        <v>13</v>
      </c>
      <c r="K1438" s="1">
        <f>A586</f>
        <v>2002</v>
      </c>
      <c r="L1438" s="1" t="str">
        <f>E586</f>
        <v>Nigeria</v>
      </c>
      <c r="M1438" s="1" t="str">
        <f>IF(J1438=1,J1438+ROWS($J$2:J1438)/10000,"")</f>
        <v/>
      </c>
      <c r="N1438" s="1" t="str">
        <f>IFERROR(SMALL($M$2:$M$1705,ROWS($M$2:M1438)),"")</f>
        <v/>
      </c>
      <c r="O1438" s="1" t="str">
        <f>IF(N1438&lt;&gt;"",INDEX($L$2:$L$1705,MATCH(N1438,$M$2:$M$1705,0)),"")</f>
        <v/>
      </c>
      <c r="P1438" s="1" t="str">
        <f>IF(O1438&lt;&gt;"",ROWS($O$2:O1438),"")</f>
        <v/>
      </c>
    </row>
    <row r="1439" spans="10:16" x14ac:dyDescent="0.2">
      <c r="J1439" s="1">
        <f>COUNTIF($L$2:L1439,L1439)</f>
        <v>8</v>
      </c>
      <c r="K1439" s="1">
        <f>A587</f>
        <v>2002</v>
      </c>
      <c r="L1439" s="1" t="str">
        <f>E587</f>
        <v>South Africa</v>
      </c>
      <c r="M1439" s="1" t="str">
        <f>IF(J1439=1,J1439+ROWS($J$2:J1439)/10000,"")</f>
        <v/>
      </c>
      <c r="N1439" s="1" t="str">
        <f>IFERROR(SMALL($M$2:$M$1705,ROWS($M$2:M1439)),"")</f>
        <v/>
      </c>
      <c r="O1439" s="1" t="str">
        <f>IF(N1439&lt;&gt;"",INDEX($L$2:$L$1705,MATCH(N1439,$M$2:$M$1705,0)),"")</f>
        <v/>
      </c>
      <c r="P1439" s="1" t="str">
        <f>IF(O1439&lt;&gt;"",ROWS($O$2:O1439),"")</f>
        <v/>
      </c>
    </row>
    <row r="1440" spans="10:16" x14ac:dyDescent="0.2">
      <c r="J1440" s="1">
        <f>COUNTIF($L$2:L1440,L1440)</f>
        <v>44</v>
      </c>
      <c r="K1440" s="1">
        <f>A588</f>
        <v>2002</v>
      </c>
      <c r="L1440" s="1" t="str">
        <f>E588</f>
        <v>Sweden</v>
      </c>
      <c r="M1440" s="1" t="str">
        <f>IF(J1440=1,J1440+ROWS($J$2:J1440)/10000,"")</f>
        <v/>
      </c>
      <c r="N1440" s="1" t="str">
        <f>IFERROR(SMALL($M$2:$M$1705,ROWS($M$2:M1440)),"")</f>
        <v/>
      </c>
      <c r="O1440" s="1" t="str">
        <f>IF(N1440&lt;&gt;"",INDEX($L$2:$L$1705,MATCH(N1440,$M$2:$M$1705,0)),"")</f>
        <v/>
      </c>
      <c r="P1440" s="1" t="str">
        <f>IF(O1440&lt;&gt;"",ROWS($O$2:O1440),"")</f>
        <v/>
      </c>
    </row>
    <row r="1441" spans="10:16" x14ac:dyDescent="0.2">
      <c r="J1441" s="1">
        <f>COUNTIF($L$2:L1441,L1441)</f>
        <v>4</v>
      </c>
      <c r="K1441" s="1">
        <f>A589</f>
        <v>2002</v>
      </c>
      <c r="L1441" s="1" t="str">
        <f>E589</f>
        <v>Slovenia</v>
      </c>
      <c r="M1441" s="1" t="str">
        <f>IF(J1441=1,J1441+ROWS($J$2:J1441)/10000,"")</f>
        <v/>
      </c>
      <c r="N1441" s="1" t="str">
        <f>IFERROR(SMALL($M$2:$M$1705,ROWS($M$2:M1441)),"")</f>
        <v/>
      </c>
      <c r="O1441" s="1" t="str">
        <f>IF(N1441&lt;&gt;"",INDEX($L$2:$L$1705,MATCH(N1441,$M$2:$M$1705,0)),"")</f>
        <v/>
      </c>
      <c r="P1441" s="1" t="str">
        <f>IF(O1441&lt;&gt;"",ROWS($O$2:O1441),"")</f>
        <v/>
      </c>
    </row>
    <row r="1442" spans="10:16" x14ac:dyDescent="0.2">
      <c r="J1442" s="1">
        <f>COUNTIF($L$2:L1442,L1442)</f>
        <v>5</v>
      </c>
      <c r="K1442" s="1">
        <f>A590</f>
        <v>2002</v>
      </c>
      <c r="L1442" s="1" t="str">
        <f>E590</f>
        <v>Turkey</v>
      </c>
      <c r="M1442" s="1" t="str">
        <f>IF(J1442=1,J1442+ROWS($J$2:J1442)/10000,"")</f>
        <v/>
      </c>
      <c r="N1442" s="1" t="str">
        <f>IFERROR(SMALL($M$2:$M$1705,ROWS($M$2:M1442)),"")</f>
        <v/>
      </c>
      <c r="O1442" s="1" t="str">
        <f>IF(N1442&lt;&gt;"",INDEX($L$2:$L$1705,MATCH(N1442,$M$2:$M$1705,0)),"")</f>
        <v/>
      </c>
      <c r="P1442" s="1" t="str">
        <f>IF(O1442&lt;&gt;"",ROWS($O$2:O1442),"")</f>
        <v/>
      </c>
    </row>
    <row r="1443" spans="10:16" x14ac:dyDescent="0.2">
      <c r="J1443" s="1">
        <f>COUNTIF($L$2:L1443,L1443)</f>
        <v>5</v>
      </c>
      <c r="K1443" s="1">
        <f>A591</f>
        <v>2002</v>
      </c>
      <c r="L1443" s="1" t="str">
        <f>E591</f>
        <v>Ecuador</v>
      </c>
      <c r="M1443" s="1" t="str">
        <f>IF(J1443=1,J1443+ROWS($J$2:J1443)/10000,"")</f>
        <v/>
      </c>
      <c r="N1443" s="1" t="str">
        <f>IFERROR(SMALL($M$2:$M$1705,ROWS($M$2:M1443)),"")</f>
        <v/>
      </c>
      <c r="O1443" s="1" t="str">
        <f>IF(N1443&lt;&gt;"",INDEX($L$2:$L$1705,MATCH(N1443,$M$2:$M$1705,0)),"")</f>
        <v/>
      </c>
      <c r="P1443" s="1" t="str">
        <f>IF(O1443&lt;&gt;"",ROWS($O$2:O1443),"")</f>
        <v/>
      </c>
    </row>
    <row r="1444" spans="10:16" x14ac:dyDescent="0.2">
      <c r="J1444" s="1">
        <f>COUNTIF($L$2:L1444,L1444)</f>
        <v>45</v>
      </c>
      <c r="K1444" s="1">
        <f>A592</f>
        <v>2002</v>
      </c>
      <c r="L1444" s="1" t="str">
        <f>E592</f>
        <v>Mexico</v>
      </c>
      <c r="M1444" s="1" t="str">
        <f>IF(J1444=1,J1444+ROWS($J$2:J1444)/10000,"")</f>
        <v/>
      </c>
      <c r="N1444" s="1" t="str">
        <f>IFERROR(SMALL($M$2:$M$1705,ROWS($M$2:M1444)),"")</f>
        <v/>
      </c>
      <c r="O1444" s="1" t="str">
        <f>IF(N1444&lt;&gt;"",INDEX($L$2:$L$1705,MATCH(N1444,$M$2:$M$1705,0)),"")</f>
        <v/>
      </c>
      <c r="P1444" s="1" t="str">
        <f>IF(O1444&lt;&gt;"",ROWS($O$2:O1444),"")</f>
        <v/>
      </c>
    </row>
    <row r="1445" spans="10:16" x14ac:dyDescent="0.2">
      <c r="J1445" s="1">
        <f>COUNTIF($L$2:L1445,L1445)</f>
        <v>11</v>
      </c>
      <c r="K1445" s="1">
        <f>A593</f>
        <v>2002</v>
      </c>
      <c r="L1445" s="1" t="str">
        <f>E593</f>
        <v>Costa Rica</v>
      </c>
      <c r="M1445" s="1" t="str">
        <f>IF(J1445=1,J1445+ROWS($J$2:J1445)/10000,"")</f>
        <v/>
      </c>
      <c r="N1445" s="1" t="str">
        <f>IFERROR(SMALL($M$2:$M$1705,ROWS($M$2:M1445)),"")</f>
        <v/>
      </c>
      <c r="O1445" s="1" t="str">
        <f>IF(N1445&lt;&gt;"",INDEX($L$2:$L$1705,MATCH(N1445,$M$2:$M$1705,0)),"")</f>
        <v/>
      </c>
      <c r="P1445" s="1" t="str">
        <f>IF(O1445&lt;&gt;"",ROWS($O$2:O1445),"")</f>
        <v/>
      </c>
    </row>
    <row r="1446" spans="10:16" x14ac:dyDescent="0.2">
      <c r="J1446" s="1">
        <f>COUNTIF($L$2:L1446,L1446)</f>
        <v>38</v>
      </c>
      <c r="K1446" s="1">
        <f>A594</f>
        <v>2002</v>
      </c>
      <c r="L1446" s="1" t="str">
        <f>E594</f>
        <v>Belgium</v>
      </c>
      <c r="M1446" s="1" t="str">
        <f>IF(J1446=1,J1446+ROWS($J$2:J1446)/10000,"")</f>
        <v/>
      </c>
      <c r="N1446" s="1" t="str">
        <f>IFERROR(SMALL($M$2:$M$1705,ROWS($M$2:M1446)),"")</f>
        <v/>
      </c>
      <c r="O1446" s="1" t="str">
        <f>IF(N1446&lt;&gt;"",INDEX($L$2:$L$1705,MATCH(N1446,$M$2:$M$1705,0)),"")</f>
        <v/>
      </c>
      <c r="P1446" s="1" t="str">
        <f>IF(O1446&lt;&gt;"",ROWS($O$2:O1446),"")</f>
        <v/>
      </c>
    </row>
    <row r="1447" spans="10:16" x14ac:dyDescent="0.2">
      <c r="J1447" s="1">
        <f>COUNTIF($L$2:L1447,L1447)</f>
        <v>28</v>
      </c>
      <c r="K1447" s="1">
        <f>A595</f>
        <v>2002</v>
      </c>
      <c r="L1447" s="1" t="str">
        <f>E595</f>
        <v>Poland</v>
      </c>
      <c r="M1447" s="1" t="str">
        <f>IF(J1447=1,J1447+ROWS($J$2:J1447)/10000,"")</f>
        <v/>
      </c>
      <c r="N1447" s="1" t="str">
        <f>IFERROR(SMALL($M$2:$M$1705,ROWS($M$2:M1447)),"")</f>
        <v/>
      </c>
      <c r="O1447" s="1" t="str">
        <f>IF(N1447&lt;&gt;"",INDEX($L$2:$L$1705,MATCH(N1447,$M$2:$M$1705,0)),"")</f>
        <v/>
      </c>
      <c r="P1447" s="1" t="str">
        <f>IF(O1447&lt;&gt;"",ROWS($O$2:O1447),"")</f>
        <v/>
      </c>
    </row>
    <row r="1448" spans="10:16" x14ac:dyDescent="0.2">
      <c r="J1448" s="1">
        <f>COUNTIF($L$2:L1448,L1448)</f>
        <v>10</v>
      </c>
      <c r="K1448" s="1">
        <f>A596</f>
        <v>2002</v>
      </c>
      <c r="L1448" s="1" t="str">
        <f>E596</f>
        <v>Tunisia</v>
      </c>
      <c r="M1448" s="1" t="str">
        <f>IF(J1448=1,J1448+ROWS($J$2:J1448)/10000,"")</f>
        <v/>
      </c>
      <c r="N1448" s="1" t="str">
        <f>IFERROR(SMALL($M$2:$M$1705,ROWS($M$2:M1448)),"")</f>
        <v/>
      </c>
      <c r="O1448" s="1" t="str">
        <f>IF(N1448&lt;&gt;"",INDEX($L$2:$L$1705,MATCH(N1448,$M$2:$M$1705,0)),"")</f>
        <v/>
      </c>
      <c r="P1448" s="1" t="str">
        <f>IF(O1448&lt;&gt;"",ROWS($O$2:O1448),"")</f>
        <v/>
      </c>
    </row>
    <row r="1449" spans="10:16" x14ac:dyDescent="0.2">
      <c r="J1449" s="1">
        <f>COUNTIF($L$2:L1449,L1449)</f>
        <v>19</v>
      </c>
      <c r="K1449" s="1">
        <f>A597</f>
        <v>2002</v>
      </c>
      <c r="L1449" s="1" t="str">
        <f>E597</f>
        <v>Portugal</v>
      </c>
      <c r="M1449" s="1" t="str">
        <f>IF(J1449=1,J1449+ROWS($J$2:J1449)/10000,"")</f>
        <v/>
      </c>
      <c r="N1449" s="1" t="str">
        <f>IFERROR(SMALL($M$2:$M$1705,ROWS($M$2:M1449)),"")</f>
        <v/>
      </c>
      <c r="O1449" s="1" t="str">
        <f>IF(N1449&lt;&gt;"",INDEX($L$2:$L$1705,MATCH(N1449,$M$2:$M$1705,0)),"")</f>
        <v/>
      </c>
      <c r="P1449" s="1" t="str">
        <f>IF(O1449&lt;&gt;"",ROWS($O$2:O1449),"")</f>
        <v/>
      </c>
    </row>
    <row r="1450" spans="10:16" x14ac:dyDescent="0.2">
      <c r="J1450" s="1">
        <f>COUNTIF($L$2:L1450,L1450)</f>
        <v>11</v>
      </c>
      <c r="K1450" s="1">
        <f>A598</f>
        <v>2002</v>
      </c>
      <c r="L1450" s="1" t="str">
        <f>E598</f>
        <v>Republic of Ireland</v>
      </c>
      <c r="M1450" s="1" t="str">
        <f>IF(J1450=1,J1450+ROWS($J$2:J1450)/10000,"")</f>
        <v/>
      </c>
      <c r="N1450" s="1" t="str">
        <f>IFERROR(SMALL($M$2:$M$1705,ROWS($M$2:M1450)),"")</f>
        <v/>
      </c>
      <c r="O1450" s="1" t="str">
        <f>IF(N1450&lt;&gt;"",INDEX($L$2:$L$1705,MATCH(N1450,$M$2:$M$1705,0)),"")</f>
        <v/>
      </c>
      <c r="P1450" s="1" t="str">
        <f>IF(O1450&lt;&gt;"",ROWS($O$2:O1450),"")</f>
        <v/>
      </c>
    </row>
    <row r="1451" spans="10:16" x14ac:dyDescent="0.2">
      <c r="J1451" s="1">
        <f>COUNTIF($L$2:L1451,L1451)</f>
        <v>4</v>
      </c>
      <c r="K1451" s="1">
        <f>A599</f>
        <v>2002</v>
      </c>
      <c r="L1451" s="1" t="str">
        <f>E599</f>
        <v>Senegal</v>
      </c>
      <c r="M1451" s="1" t="str">
        <f>IF(J1451=1,J1451+ROWS($J$2:J1451)/10000,"")</f>
        <v/>
      </c>
      <c r="N1451" s="1" t="str">
        <f>IFERROR(SMALL($M$2:$M$1705,ROWS($M$2:M1451)),"")</f>
        <v/>
      </c>
      <c r="O1451" s="1" t="str">
        <f>IF(N1451&lt;&gt;"",INDEX($L$2:$L$1705,MATCH(N1451,$M$2:$M$1705,0)),"")</f>
        <v/>
      </c>
      <c r="P1451" s="1" t="str">
        <f>IF(O1451&lt;&gt;"",ROWS($O$2:O1451),"")</f>
        <v/>
      </c>
    </row>
    <row r="1452" spans="10:16" x14ac:dyDescent="0.2">
      <c r="J1452" s="1">
        <f>COUNTIF($L$2:L1452,L1452)</f>
        <v>12</v>
      </c>
      <c r="K1452" s="1">
        <f>A600</f>
        <v>2002</v>
      </c>
      <c r="L1452" s="1" t="str">
        <f>E600</f>
        <v>Saudi Arabia</v>
      </c>
      <c r="M1452" s="1" t="str">
        <f>IF(J1452=1,J1452+ROWS($J$2:J1452)/10000,"")</f>
        <v/>
      </c>
      <c r="N1452" s="1" t="str">
        <f>IFERROR(SMALL($M$2:$M$1705,ROWS($M$2:M1452)),"")</f>
        <v/>
      </c>
      <c r="O1452" s="1" t="str">
        <f>IF(N1452&lt;&gt;"",INDEX($L$2:$L$1705,MATCH(N1452,$M$2:$M$1705,0)),"")</f>
        <v/>
      </c>
      <c r="P1452" s="1" t="str">
        <f>IF(O1452&lt;&gt;"",ROWS($O$2:O1452),"")</f>
        <v/>
      </c>
    </row>
    <row r="1453" spans="10:16" x14ac:dyDescent="0.2">
      <c r="J1453" s="1">
        <f>COUNTIF($L$2:L1453,L1453)</f>
        <v>46</v>
      </c>
      <c r="K1453" s="1">
        <f>A601</f>
        <v>2002</v>
      </c>
      <c r="L1453" s="1" t="str">
        <f>E601</f>
        <v>Uruguay</v>
      </c>
      <c r="M1453" s="1" t="str">
        <f>IF(J1453=1,J1453+ROWS($J$2:J1453)/10000,"")</f>
        <v/>
      </c>
      <c r="N1453" s="1" t="str">
        <f>IFERROR(SMALL($M$2:$M$1705,ROWS($M$2:M1453)),"")</f>
        <v/>
      </c>
      <c r="O1453" s="1" t="str">
        <f>IF(N1453&lt;&gt;"",INDEX($L$2:$L$1705,MATCH(N1453,$M$2:$M$1705,0)),"")</f>
        <v/>
      </c>
      <c r="P1453" s="1" t="str">
        <f>IF(O1453&lt;&gt;"",ROWS($O$2:O1453),"")</f>
        <v/>
      </c>
    </row>
    <row r="1454" spans="10:16" x14ac:dyDescent="0.2">
      <c r="J1454" s="1">
        <f>COUNTIF($L$2:L1454,L1454)</f>
        <v>14</v>
      </c>
      <c r="K1454" s="1">
        <f>A602</f>
        <v>2002</v>
      </c>
      <c r="L1454" s="1" t="str">
        <f>E602</f>
        <v>Nigeria</v>
      </c>
      <c r="M1454" s="1" t="str">
        <f>IF(J1454=1,J1454+ROWS($J$2:J1454)/10000,"")</f>
        <v/>
      </c>
      <c r="N1454" s="1" t="str">
        <f>IFERROR(SMALL($M$2:$M$1705,ROWS($M$2:M1454)),"")</f>
        <v/>
      </c>
      <c r="O1454" s="1" t="str">
        <f>IF(N1454&lt;&gt;"",INDEX($L$2:$L$1705,MATCH(N1454,$M$2:$M$1705,0)),"")</f>
        <v/>
      </c>
      <c r="P1454" s="1" t="str">
        <f>IF(O1454&lt;&gt;"",ROWS($O$2:O1454),"")</f>
        <v/>
      </c>
    </row>
    <row r="1455" spans="10:16" x14ac:dyDescent="0.2">
      <c r="J1455" s="1">
        <f>COUNTIF($L$2:L1455,L1455)</f>
        <v>55</v>
      </c>
      <c r="K1455" s="1">
        <f>A603</f>
        <v>2002</v>
      </c>
      <c r="L1455" s="1" t="str">
        <f>E603</f>
        <v>England</v>
      </c>
      <c r="M1455" s="1" t="str">
        <f>IF(J1455=1,J1455+ROWS($J$2:J1455)/10000,"")</f>
        <v/>
      </c>
      <c r="N1455" s="1" t="str">
        <f>IFERROR(SMALL($M$2:$M$1705,ROWS($M$2:M1455)),"")</f>
        <v/>
      </c>
      <c r="O1455" s="1" t="str">
        <f>IF(N1455&lt;&gt;"",INDEX($L$2:$L$1705,MATCH(N1455,$M$2:$M$1705,0)),"")</f>
        <v/>
      </c>
      <c r="P1455" s="1" t="str">
        <f>IF(O1455&lt;&gt;"",ROWS($O$2:O1455),"")</f>
        <v/>
      </c>
    </row>
    <row r="1456" spans="10:16" x14ac:dyDescent="0.2">
      <c r="J1456" s="1">
        <f>COUNTIF($L$2:L1456,L1456)</f>
        <v>21</v>
      </c>
      <c r="K1456" s="1">
        <f>A604</f>
        <v>2002</v>
      </c>
      <c r="L1456" s="1" t="str">
        <f>E604</f>
        <v>Paraguay</v>
      </c>
      <c r="M1456" s="1" t="str">
        <f>IF(J1456=1,J1456+ROWS($J$2:J1456)/10000,"")</f>
        <v/>
      </c>
      <c r="N1456" s="1" t="str">
        <f>IFERROR(SMALL($M$2:$M$1705,ROWS($M$2:M1456)),"")</f>
        <v/>
      </c>
      <c r="O1456" s="1" t="str">
        <f>IF(N1456&lt;&gt;"",INDEX($L$2:$L$1705,MATCH(N1456,$M$2:$M$1705,0)),"")</f>
        <v/>
      </c>
      <c r="P1456" s="1" t="str">
        <f>IF(O1456&lt;&gt;"",ROWS($O$2:O1456),"")</f>
        <v/>
      </c>
    </row>
    <row r="1457" spans="10:16" x14ac:dyDescent="0.2">
      <c r="J1457" s="1">
        <f>COUNTIF($L$2:L1457,L1457)</f>
        <v>5</v>
      </c>
      <c r="K1457" s="1">
        <f>A605</f>
        <v>2002</v>
      </c>
      <c r="L1457" s="1" t="str">
        <f>E605</f>
        <v>Slovenia</v>
      </c>
      <c r="M1457" s="1" t="str">
        <f>IF(J1457=1,J1457+ROWS($J$2:J1457)/10000,"")</f>
        <v/>
      </c>
      <c r="N1457" s="1" t="str">
        <f>IFERROR(SMALL($M$2:$M$1705,ROWS($M$2:M1457)),"")</f>
        <v/>
      </c>
      <c r="O1457" s="1" t="str">
        <f>IF(N1457&lt;&gt;"",INDEX($L$2:$L$1705,MATCH(N1457,$M$2:$M$1705,0)),"")</f>
        <v/>
      </c>
      <c r="P1457" s="1" t="str">
        <f>IF(O1457&lt;&gt;"",ROWS($O$2:O1457),"")</f>
        <v/>
      </c>
    </row>
    <row r="1458" spans="10:16" x14ac:dyDescent="0.2">
      <c r="J1458" s="1">
        <f>COUNTIF($L$2:L1458,L1458)</f>
        <v>2</v>
      </c>
      <c r="K1458" s="1">
        <f>A606</f>
        <v>2002</v>
      </c>
      <c r="L1458" s="1" t="str">
        <f>E606</f>
        <v>China PR</v>
      </c>
      <c r="M1458" s="1" t="str">
        <f>IF(J1458=1,J1458+ROWS($J$2:J1458)/10000,"")</f>
        <v/>
      </c>
      <c r="N1458" s="1" t="str">
        <f>IFERROR(SMALL($M$2:$M$1705,ROWS($M$2:M1458)),"")</f>
        <v/>
      </c>
      <c r="O1458" s="1" t="str">
        <f>IF(N1458&lt;&gt;"",INDEX($L$2:$L$1705,MATCH(N1458,$M$2:$M$1705,0)),"")</f>
        <v/>
      </c>
      <c r="P1458" s="1" t="str">
        <f>IF(O1458&lt;&gt;"",ROWS($O$2:O1458),"")</f>
        <v/>
      </c>
    </row>
    <row r="1459" spans="10:16" x14ac:dyDescent="0.2">
      <c r="J1459" s="1">
        <f>COUNTIF($L$2:L1459,L1459)</f>
        <v>11</v>
      </c>
      <c r="K1459" s="1">
        <f>A607</f>
        <v>2002</v>
      </c>
      <c r="L1459" s="1" t="str">
        <f>E607</f>
        <v>Croatia</v>
      </c>
      <c r="M1459" s="1" t="str">
        <f>IF(J1459=1,J1459+ROWS($J$2:J1459)/10000,"")</f>
        <v/>
      </c>
      <c r="N1459" s="1" t="str">
        <f>IFERROR(SMALL($M$2:$M$1705,ROWS($M$2:M1459)),"")</f>
        <v/>
      </c>
      <c r="O1459" s="1" t="str">
        <f>IF(N1459&lt;&gt;"",INDEX($L$2:$L$1705,MATCH(N1459,$M$2:$M$1705,0)),"")</f>
        <v/>
      </c>
      <c r="P1459" s="1" t="str">
        <f>IF(O1459&lt;&gt;"",ROWS($O$2:O1459),"")</f>
        <v/>
      </c>
    </row>
    <row r="1460" spans="10:16" x14ac:dyDescent="0.2">
      <c r="J1460" s="1">
        <f>COUNTIF($L$2:L1460,L1460)</f>
        <v>6</v>
      </c>
      <c r="K1460" s="1">
        <f>A608</f>
        <v>2002</v>
      </c>
      <c r="L1460" s="1" t="str">
        <f>E608</f>
        <v>Turkey</v>
      </c>
      <c r="M1460" s="1" t="str">
        <f>IF(J1460=1,J1460+ROWS($J$2:J1460)/10000,"")</f>
        <v/>
      </c>
      <c r="N1460" s="1" t="str">
        <f>IFERROR(SMALL($M$2:$M$1705,ROWS($M$2:M1460)),"")</f>
        <v/>
      </c>
      <c r="O1460" s="1" t="str">
        <f>IF(N1460&lt;&gt;"",INDEX($L$2:$L$1705,MATCH(N1460,$M$2:$M$1705,0)),"")</f>
        <v/>
      </c>
      <c r="P1460" s="1" t="str">
        <f>IF(O1460&lt;&gt;"",ROWS($O$2:O1460),"")</f>
        <v/>
      </c>
    </row>
    <row r="1461" spans="10:16" x14ac:dyDescent="0.2">
      <c r="J1461" s="1">
        <f>COUNTIF($L$2:L1461,L1461)</f>
        <v>6</v>
      </c>
      <c r="K1461" s="1">
        <f>A609</f>
        <v>2002</v>
      </c>
      <c r="L1461" s="1" t="str">
        <f>E609</f>
        <v>Russia</v>
      </c>
      <c r="M1461" s="1" t="str">
        <f>IF(J1461=1,J1461+ROWS($J$2:J1461)/10000,"")</f>
        <v/>
      </c>
      <c r="N1461" s="1" t="str">
        <f>IFERROR(SMALL($M$2:$M$1705,ROWS($M$2:M1461)),"")</f>
        <v/>
      </c>
      <c r="O1461" s="1" t="str">
        <f>IF(N1461&lt;&gt;"",INDEX($L$2:$L$1705,MATCH(N1461,$M$2:$M$1705,0)),"")</f>
        <v/>
      </c>
      <c r="P1461" s="1" t="str">
        <f>IF(O1461&lt;&gt;"",ROWS($O$2:O1461),"")</f>
        <v/>
      </c>
    </row>
    <row r="1462" spans="10:16" x14ac:dyDescent="0.2">
      <c r="J1462" s="1">
        <f>COUNTIF($L$2:L1462,L1462)</f>
        <v>6</v>
      </c>
      <c r="K1462" s="1">
        <f>A610</f>
        <v>2002</v>
      </c>
      <c r="L1462" s="1" t="str">
        <f>E610</f>
        <v>Ecuador</v>
      </c>
      <c r="M1462" s="1" t="str">
        <f>IF(J1462=1,J1462+ROWS($J$2:J1462)/10000,"")</f>
        <v/>
      </c>
      <c r="N1462" s="1" t="str">
        <f>IFERROR(SMALL($M$2:$M$1705,ROWS($M$2:M1462)),"")</f>
        <v/>
      </c>
      <c r="O1462" s="1" t="str">
        <f>IF(N1462&lt;&gt;"",INDEX($L$2:$L$1705,MATCH(N1462,$M$2:$M$1705,0)),"")</f>
        <v/>
      </c>
      <c r="P1462" s="1" t="str">
        <f>IF(O1462&lt;&gt;"",ROWS($O$2:O1462),"")</f>
        <v/>
      </c>
    </row>
    <row r="1463" spans="10:16" x14ac:dyDescent="0.2">
      <c r="J1463" s="1">
        <f>COUNTIF($L$2:L1463,L1463)</f>
        <v>24</v>
      </c>
      <c r="K1463" s="1">
        <f>A611</f>
        <v>2002</v>
      </c>
      <c r="L1463" s="1" t="str">
        <f>E611</f>
        <v>USA</v>
      </c>
      <c r="M1463" s="1" t="str">
        <f>IF(J1463=1,J1463+ROWS($J$2:J1463)/10000,"")</f>
        <v/>
      </c>
      <c r="N1463" s="1" t="str">
        <f>IFERROR(SMALL($M$2:$M$1705,ROWS($M$2:M1463)),"")</f>
        <v/>
      </c>
      <c r="O1463" s="1" t="str">
        <f>IF(N1463&lt;&gt;"",INDEX($L$2:$L$1705,MATCH(N1463,$M$2:$M$1705,0)),"")</f>
        <v/>
      </c>
      <c r="P1463" s="1" t="str">
        <f>IF(O1463&lt;&gt;"",ROWS($O$2:O1463),"")</f>
        <v/>
      </c>
    </row>
    <row r="1464" spans="10:16" x14ac:dyDescent="0.2">
      <c r="J1464" s="1">
        <f>COUNTIF($L$2:L1464,L1464)</f>
        <v>29</v>
      </c>
      <c r="K1464" s="1">
        <f>A612</f>
        <v>2002</v>
      </c>
      <c r="L1464" s="1" t="str">
        <f>E612</f>
        <v>Poland</v>
      </c>
      <c r="M1464" s="1" t="str">
        <f>IF(J1464=1,J1464+ROWS($J$2:J1464)/10000,"")</f>
        <v/>
      </c>
      <c r="N1464" s="1" t="str">
        <f>IFERROR(SMALL($M$2:$M$1705,ROWS($M$2:M1464)),"")</f>
        <v/>
      </c>
      <c r="O1464" s="1" t="str">
        <f>IF(N1464&lt;&gt;"",INDEX($L$2:$L$1705,MATCH(N1464,$M$2:$M$1705,0)),"")</f>
        <v/>
      </c>
      <c r="P1464" s="1" t="str">
        <f>IF(O1464&lt;&gt;"",ROWS($O$2:O1464),"")</f>
        <v/>
      </c>
    </row>
    <row r="1465" spans="10:16" x14ac:dyDescent="0.2">
      <c r="J1465" s="1">
        <f>COUNTIF($L$2:L1465,L1465)</f>
        <v>39</v>
      </c>
      <c r="K1465" s="1">
        <f>A613</f>
        <v>2002</v>
      </c>
      <c r="L1465" s="1" t="str">
        <f>E613</f>
        <v>Belgium</v>
      </c>
      <c r="M1465" s="1" t="str">
        <f>IF(J1465=1,J1465+ROWS($J$2:J1465)/10000,"")</f>
        <v/>
      </c>
      <c r="N1465" s="1" t="str">
        <f>IFERROR(SMALL($M$2:$M$1705,ROWS($M$2:M1465)),"")</f>
        <v/>
      </c>
      <c r="O1465" s="1" t="str">
        <f>IF(N1465&lt;&gt;"",INDEX($L$2:$L$1705,MATCH(N1465,$M$2:$M$1705,0)),"")</f>
        <v/>
      </c>
      <c r="P1465" s="1" t="str">
        <f>IF(O1465&lt;&gt;"",ROWS($O$2:O1465),"")</f>
        <v/>
      </c>
    </row>
    <row r="1466" spans="10:16" x14ac:dyDescent="0.2">
      <c r="J1466" s="1">
        <f>COUNTIF($L$2:L1466,L1466)</f>
        <v>53</v>
      </c>
      <c r="K1466" s="1">
        <f>A614</f>
        <v>2002</v>
      </c>
      <c r="L1466" s="1" t="str">
        <f>E614</f>
        <v>France</v>
      </c>
      <c r="M1466" s="1" t="str">
        <f>IF(J1466=1,J1466+ROWS($J$2:J1466)/10000,"")</f>
        <v/>
      </c>
      <c r="N1466" s="1" t="str">
        <f>IFERROR(SMALL($M$2:$M$1705,ROWS($M$2:M1466)),"")</f>
        <v/>
      </c>
      <c r="O1466" s="1" t="str">
        <f>IF(N1466&lt;&gt;"",INDEX($L$2:$L$1705,MATCH(N1466,$M$2:$M$1705,0)),"")</f>
        <v/>
      </c>
      <c r="P1466" s="1" t="str">
        <f>IF(O1466&lt;&gt;"",ROWS($O$2:O1466),"")</f>
        <v/>
      </c>
    </row>
    <row r="1467" spans="10:16" x14ac:dyDescent="0.2">
      <c r="J1467" s="1">
        <f>COUNTIF($L$2:L1467,L1467)</f>
        <v>47</v>
      </c>
      <c r="K1467" s="1">
        <f>A615</f>
        <v>2002</v>
      </c>
      <c r="L1467" s="1" t="str">
        <f>E615</f>
        <v>Uruguay</v>
      </c>
      <c r="M1467" s="1" t="str">
        <f>IF(J1467=1,J1467+ROWS($J$2:J1467)/10000,"")</f>
        <v/>
      </c>
      <c r="N1467" s="1" t="str">
        <f>IFERROR(SMALL($M$2:$M$1705,ROWS($M$2:M1467)),"")</f>
        <v/>
      </c>
      <c r="O1467" s="1" t="str">
        <f>IF(N1467&lt;&gt;"",INDEX($L$2:$L$1705,MATCH(N1467,$M$2:$M$1705,0)),"")</f>
        <v/>
      </c>
      <c r="P1467" s="1" t="str">
        <f>IF(O1467&lt;&gt;"",ROWS($O$2:O1467),"")</f>
        <v/>
      </c>
    </row>
    <row r="1468" spans="10:16" x14ac:dyDescent="0.2">
      <c r="J1468" s="1">
        <f>COUNTIF($L$2:L1468,L1468)</f>
        <v>12</v>
      </c>
      <c r="K1468" s="1">
        <f>A616</f>
        <v>2002</v>
      </c>
      <c r="L1468" s="1" t="str">
        <f>E616</f>
        <v>Republic of Ireland</v>
      </c>
      <c r="M1468" s="1" t="str">
        <f>IF(J1468=1,J1468+ROWS($J$2:J1468)/10000,"")</f>
        <v/>
      </c>
      <c r="N1468" s="1" t="str">
        <f>IFERROR(SMALL($M$2:$M$1705,ROWS($M$2:M1468)),"")</f>
        <v/>
      </c>
      <c r="O1468" s="1" t="str">
        <f>IF(N1468&lt;&gt;"",INDEX($L$2:$L$1705,MATCH(N1468,$M$2:$M$1705,0)),"")</f>
        <v/>
      </c>
      <c r="P1468" s="1" t="str">
        <f>IF(O1468&lt;&gt;"",ROWS($O$2:O1468),"")</f>
        <v/>
      </c>
    </row>
    <row r="1469" spans="10:16" x14ac:dyDescent="0.2">
      <c r="J1469" s="1">
        <f>COUNTIF($L$2:L1469,L1469)</f>
        <v>39</v>
      </c>
      <c r="K1469" s="1">
        <f>A617</f>
        <v>2002</v>
      </c>
      <c r="L1469" s="1" t="str">
        <f>E617</f>
        <v>Germany</v>
      </c>
      <c r="M1469" s="1" t="str">
        <f>IF(J1469=1,J1469+ROWS($J$2:J1469)/10000,"")</f>
        <v/>
      </c>
      <c r="N1469" s="1" t="str">
        <f>IFERROR(SMALL($M$2:$M$1705,ROWS($M$2:M1469)),"")</f>
        <v/>
      </c>
      <c r="O1469" s="1" t="str">
        <f>IF(N1469&lt;&gt;"",INDEX($L$2:$L$1705,MATCH(N1469,$M$2:$M$1705,0)),"")</f>
        <v/>
      </c>
      <c r="P1469" s="1" t="str">
        <f>IF(O1469&lt;&gt;"",ROWS($O$2:O1469),"")</f>
        <v/>
      </c>
    </row>
    <row r="1470" spans="10:16" x14ac:dyDescent="0.2">
      <c r="J1470" s="1">
        <f>COUNTIF($L$2:L1470,L1470)</f>
        <v>73</v>
      </c>
      <c r="K1470" s="1">
        <f>A618</f>
        <v>2002</v>
      </c>
      <c r="L1470" s="1" t="str">
        <f>E618</f>
        <v>Argentina</v>
      </c>
      <c r="M1470" s="1" t="str">
        <f>IF(J1470=1,J1470+ROWS($J$2:J1470)/10000,"")</f>
        <v/>
      </c>
      <c r="N1470" s="1" t="str">
        <f>IFERROR(SMALL($M$2:$M$1705,ROWS($M$2:M1470)),"")</f>
        <v/>
      </c>
      <c r="O1470" s="1" t="str">
        <f>IF(N1470&lt;&gt;"",INDEX($L$2:$L$1705,MATCH(N1470,$M$2:$M$1705,0)),"")</f>
        <v/>
      </c>
      <c r="P1470" s="1" t="str">
        <f>IF(O1470&lt;&gt;"",ROWS($O$2:O1470),"")</f>
        <v/>
      </c>
    </row>
    <row r="1471" spans="10:16" x14ac:dyDescent="0.2">
      <c r="J1471" s="1">
        <f>COUNTIF($L$2:L1471,L1471)</f>
        <v>56</v>
      </c>
      <c r="K1471" s="1">
        <f>A619</f>
        <v>2002</v>
      </c>
      <c r="L1471" s="1" t="str">
        <f>E619</f>
        <v>England</v>
      </c>
      <c r="M1471" s="1" t="str">
        <f>IF(J1471=1,J1471+ROWS($J$2:J1471)/10000,"")</f>
        <v/>
      </c>
      <c r="N1471" s="1" t="str">
        <f>IFERROR(SMALL($M$2:$M$1705,ROWS($M$2:M1471)),"")</f>
        <v/>
      </c>
      <c r="O1471" s="1" t="str">
        <f>IF(N1471&lt;&gt;"",INDEX($L$2:$L$1705,MATCH(N1471,$M$2:$M$1705,0)),"")</f>
        <v/>
      </c>
      <c r="P1471" s="1" t="str">
        <f>IF(O1471&lt;&gt;"",ROWS($O$2:O1471),"")</f>
        <v/>
      </c>
    </row>
    <row r="1472" spans="10:16" x14ac:dyDescent="0.2">
      <c r="J1472" s="1">
        <f>COUNTIF($L$2:L1472,L1472)</f>
        <v>22</v>
      </c>
      <c r="K1472" s="1">
        <f>A620</f>
        <v>2002</v>
      </c>
      <c r="L1472" s="1" t="str">
        <f>E620</f>
        <v>Paraguay</v>
      </c>
      <c r="M1472" s="1" t="str">
        <f>IF(J1472=1,J1472+ROWS($J$2:J1472)/10000,"")</f>
        <v/>
      </c>
      <c r="N1472" s="1" t="str">
        <f>IFERROR(SMALL($M$2:$M$1705,ROWS($M$2:M1472)),"")</f>
        <v/>
      </c>
      <c r="O1472" s="1" t="str">
        <f>IF(N1472&lt;&gt;"",INDEX($L$2:$L$1705,MATCH(N1472,$M$2:$M$1705,0)),"")</f>
        <v/>
      </c>
      <c r="P1472" s="1" t="str">
        <f>IF(O1472&lt;&gt;"",ROWS($O$2:O1472),"")</f>
        <v/>
      </c>
    </row>
    <row r="1473" spans="10:16" x14ac:dyDescent="0.2">
      <c r="J1473" s="1">
        <f>COUNTIF($L$2:L1473,L1473)</f>
        <v>53</v>
      </c>
      <c r="K1473" s="1">
        <f>A621</f>
        <v>2002</v>
      </c>
      <c r="L1473" s="1" t="str">
        <f>E621</f>
        <v>Spain</v>
      </c>
      <c r="M1473" s="1" t="str">
        <f>IF(J1473=1,J1473+ROWS($J$2:J1473)/10000,"")</f>
        <v/>
      </c>
      <c r="N1473" s="1" t="str">
        <f>IFERROR(SMALL($M$2:$M$1705,ROWS($M$2:M1473)),"")</f>
        <v/>
      </c>
      <c r="O1473" s="1" t="str">
        <f>IF(N1473&lt;&gt;"",INDEX($L$2:$L$1705,MATCH(N1473,$M$2:$M$1705,0)),"")</f>
        <v/>
      </c>
      <c r="P1473" s="1" t="str">
        <f>IF(O1473&lt;&gt;"",ROWS($O$2:O1473),"")</f>
        <v/>
      </c>
    </row>
    <row r="1474" spans="10:16" x14ac:dyDescent="0.2">
      <c r="J1474" s="1">
        <f>COUNTIF($L$2:L1474,L1474)</f>
        <v>102</v>
      </c>
      <c r="K1474" s="1">
        <f>A622</f>
        <v>2002</v>
      </c>
      <c r="L1474" s="1" t="str">
        <f>E622</f>
        <v>Brazil</v>
      </c>
      <c r="M1474" s="1" t="str">
        <f>IF(J1474=1,J1474+ROWS($J$2:J1474)/10000,"")</f>
        <v/>
      </c>
      <c r="N1474" s="1" t="str">
        <f>IFERROR(SMALL($M$2:$M$1705,ROWS($M$2:M1474)),"")</f>
        <v/>
      </c>
      <c r="O1474" s="1" t="str">
        <f>IF(N1474&lt;&gt;"",INDEX($L$2:$L$1705,MATCH(N1474,$M$2:$M$1705,0)),"")</f>
        <v/>
      </c>
      <c r="P1474" s="1" t="str">
        <f>IF(O1474&lt;&gt;"",ROWS($O$2:O1474),"")</f>
        <v/>
      </c>
    </row>
    <row r="1475" spans="10:16" x14ac:dyDescent="0.2">
      <c r="J1475" s="1">
        <f>COUNTIF($L$2:L1475,L1475)</f>
        <v>3</v>
      </c>
      <c r="K1475" s="1">
        <f>A623</f>
        <v>2002</v>
      </c>
      <c r="L1475" s="1" t="str">
        <f>E623</f>
        <v>China PR</v>
      </c>
      <c r="M1475" s="1" t="str">
        <f>IF(J1475=1,J1475+ROWS($J$2:J1475)/10000,"")</f>
        <v/>
      </c>
      <c r="N1475" s="1" t="str">
        <f>IFERROR(SMALL($M$2:$M$1705,ROWS($M$2:M1475)),"")</f>
        <v/>
      </c>
      <c r="O1475" s="1" t="str">
        <f>IF(N1475&lt;&gt;"",INDEX($L$2:$L$1705,MATCH(N1475,$M$2:$M$1705,0)),"")</f>
        <v/>
      </c>
      <c r="P1475" s="1" t="str">
        <f>IF(O1475&lt;&gt;"",ROWS($O$2:O1475),"")</f>
        <v/>
      </c>
    </row>
    <row r="1476" spans="10:16" x14ac:dyDescent="0.2">
      <c r="J1476" s="1">
        <f>COUNTIF($L$2:L1476,L1476)</f>
        <v>12</v>
      </c>
      <c r="K1476" s="1">
        <f>A624</f>
        <v>2002</v>
      </c>
      <c r="L1476" s="1" t="str">
        <f>E624</f>
        <v>Croatia</v>
      </c>
      <c r="M1476" s="1" t="str">
        <f>IF(J1476=1,J1476+ROWS($J$2:J1476)/10000,"")</f>
        <v/>
      </c>
      <c r="N1476" s="1" t="str">
        <f>IFERROR(SMALL($M$2:$M$1705,ROWS($M$2:M1476)),"")</f>
        <v/>
      </c>
      <c r="O1476" s="1" t="str">
        <f>IF(N1476&lt;&gt;"",INDEX($L$2:$L$1705,MATCH(N1476,$M$2:$M$1705,0)),"")</f>
        <v/>
      </c>
      <c r="P1476" s="1" t="str">
        <f>IF(O1476&lt;&gt;"",ROWS($O$2:O1476),"")</f>
        <v/>
      </c>
    </row>
    <row r="1477" spans="10:16" x14ac:dyDescent="0.2">
      <c r="J1477" s="1">
        <f>COUNTIF($L$2:L1477,L1477)</f>
        <v>78</v>
      </c>
      <c r="K1477" s="1">
        <f>A625</f>
        <v>2002</v>
      </c>
      <c r="L1477" s="1" t="str">
        <f>E625</f>
        <v>Italy</v>
      </c>
      <c r="M1477" s="1" t="str">
        <f>IF(J1477=1,J1477+ROWS($J$2:J1477)/10000,"")</f>
        <v/>
      </c>
      <c r="N1477" s="1" t="str">
        <f>IFERROR(SMALL($M$2:$M$1705,ROWS($M$2:M1477)),"")</f>
        <v/>
      </c>
      <c r="O1477" s="1" t="str">
        <f>IF(N1477&lt;&gt;"",INDEX($L$2:$L$1705,MATCH(N1477,$M$2:$M$1705,0)),"")</f>
        <v/>
      </c>
      <c r="P1477" s="1" t="str">
        <f>IF(O1477&lt;&gt;"",ROWS($O$2:O1477),"")</f>
        <v/>
      </c>
    </row>
    <row r="1478" spans="10:16" x14ac:dyDescent="0.2">
      <c r="J1478" s="1">
        <f>COUNTIF($L$2:L1478,L1478)</f>
        <v>12</v>
      </c>
      <c r="K1478" s="1">
        <f>A626</f>
        <v>2002</v>
      </c>
      <c r="L1478" s="1" t="str">
        <f>E626</f>
        <v>Japan</v>
      </c>
      <c r="M1478" s="1" t="str">
        <f>IF(J1478=1,J1478+ROWS($J$2:J1478)/10000,"")</f>
        <v/>
      </c>
      <c r="N1478" s="1" t="str">
        <f>IFERROR(SMALL($M$2:$M$1705,ROWS($M$2:M1478)),"")</f>
        <v/>
      </c>
      <c r="O1478" s="1" t="str">
        <f>IF(N1478&lt;&gt;"",INDEX($L$2:$L$1705,MATCH(N1478,$M$2:$M$1705,0)),"")</f>
        <v/>
      </c>
      <c r="P1478" s="1" t="str">
        <f>IF(O1478&lt;&gt;"",ROWS($O$2:O1478),"")</f>
        <v/>
      </c>
    </row>
    <row r="1479" spans="10:16" x14ac:dyDescent="0.2">
      <c r="J1479" s="1">
        <f>COUNTIF($L$2:L1479,L1479)</f>
        <v>23</v>
      </c>
      <c r="K1479" s="1">
        <f>A627</f>
        <v>2002</v>
      </c>
      <c r="L1479" s="1" t="str">
        <f>E627</f>
        <v>Korea Republic</v>
      </c>
      <c r="M1479" s="1" t="str">
        <f>IF(J1479=1,J1479+ROWS($J$2:J1479)/10000,"")</f>
        <v/>
      </c>
      <c r="N1479" s="1" t="str">
        <f>IFERROR(SMALL($M$2:$M$1705,ROWS($M$2:M1479)),"")</f>
        <v/>
      </c>
      <c r="O1479" s="1" t="str">
        <f>IF(N1479&lt;&gt;"",INDEX($L$2:$L$1705,MATCH(N1479,$M$2:$M$1705,0)),"")</f>
        <v/>
      </c>
      <c r="P1479" s="1" t="str">
        <f>IF(O1479&lt;&gt;"",ROWS($O$2:O1479),"")</f>
        <v/>
      </c>
    </row>
    <row r="1480" spans="10:16" x14ac:dyDescent="0.2">
      <c r="J1480" s="1">
        <f>COUNTIF($L$2:L1480,L1480)</f>
        <v>25</v>
      </c>
      <c r="K1480" s="1">
        <f>A628</f>
        <v>2002</v>
      </c>
      <c r="L1480" s="1" t="str">
        <f>E628</f>
        <v>USA</v>
      </c>
      <c r="M1480" s="1" t="str">
        <f>IF(J1480=1,J1480+ROWS($J$2:J1480)/10000,"")</f>
        <v/>
      </c>
      <c r="N1480" s="1" t="str">
        <f>IFERROR(SMALL($M$2:$M$1705,ROWS($M$2:M1480)),"")</f>
        <v/>
      </c>
      <c r="O1480" s="1" t="str">
        <f>IF(N1480&lt;&gt;"",INDEX($L$2:$L$1705,MATCH(N1480,$M$2:$M$1705,0)),"")</f>
        <v/>
      </c>
      <c r="P1480" s="1" t="str">
        <f>IF(O1480&lt;&gt;"",ROWS($O$2:O1480),"")</f>
        <v/>
      </c>
    </row>
    <row r="1481" spans="10:16" x14ac:dyDescent="0.2">
      <c r="J1481" s="1">
        <f>COUNTIF($L$2:L1481,L1481)</f>
        <v>7</v>
      </c>
      <c r="K1481" s="1">
        <f>A629</f>
        <v>2002</v>
      </c>
      <c r="L1481" s="1" t="str">
        <f>E629</f>
        <v>Russia</v>
      </c>
      <c r="M1481" s="1" t="str">
        <f>IF(J1481=1,J1481+ROWS($J$2:J1481)/10000,"")</f>
        <v/>
      </c>
      <c r="N1481" s="1" t="str">
        <f>IFERROR(SMALL($M$2:$M$1705,ROWS($M$2:M1481)),"")</f>
        <v/>
      </c>
      <c r="O1481" s="1" t="str">
        <f>IF(N1481&lt;&gt;"",INDEX($L$2:$L$1705,MATCH(N1481,$M$2:$M$1705,0)),"")</f>
        <v/>
      </c>
      <c r="P1481" s="1" t="str">
        <f>IF(O1481&lt;&gt;"",ROWS($O$2:O1481),"")</f>
        <v/>
      </c>
    </row>
    <row r="1482" spans="10:16" x14ac:dyDescent="0.2">
      <c r="J1482" s="1">
        <f>COUNTIF($L$2:L1482,L1482)</f>
        <v>57</v>
      </c>
      <c r="K1482" s="1">
        <f>A630</f>
        <v>2002</v>
      </c>
      <c r="L1482" s="1" t="str">
        <f>E630</f>
        <v>England</v>
      </c>
      <c r="M1482" s="1" t="str">
        <f>IF(J1482=1,J1482+ROWS($J$2:J1482)/10000,"")</f>
        <v/>
      </c>
      <c r="N1482" s="1" t="str">
        <f>IFERROR(SMALL($M$2:$M$1705,ROWS($M$2:M1482)),"")</f>
        <v/>
      </c>
      <c r="O1482" s="1" t="str">
        <f>IF(N1482&lt;&gt;"",INDEX($L$2:$L$1705,MATCH(N1482,$M$2:$M$1705,0)),"")</f>
        <v/>
      </c>
      <c r="P1482" s="1" t="str">
        <f>IF(O1482&lt;&gt;"",ROWS($O$2:O1482),"")</f>
        <v/>
      </c>
    </row>
    <row r="1483" spans="10:16" x14ac:dyDescent="0.2">
      <c r="J1483" s="1">
        <f>COUNTIF($L$2:L1483,L1483)</f>
        <v>23</v>
      </c>
      <c r="K1483" s="1">
        <f>A631</f>
        <v>2002</v>
      </c>
      <c r="L1483" s="1" t="str">
        <f>E631</f>
        <v>Paraguay</v>
      </c>
      <c r="M1483" s="1" t="str">
        <f>IF(J1483=1,J1483+ROWS($J$2:J1483)/10000,"")</f>
        <v/>
      </c>
      <c r="N1483" s="1" t="str">
        <f>IFERROR(SMALL($M$2:$M$1705,ROWS($M$2:M1483)),"")</f>
        <v/>
      </c>
      <c r="O1483" s="1" t="str">
        <f>IF(N1483&lt;&gt;"",INDEX($L$2:$L$1705,MATCH(N1483,$M$2:$M$1705,0)),"")</f>
        <v/>
      </c>
      <c r="P1483" s="1" t="str">
        <f>IF(O1483&lt;&gt;"",ROWS($O$2:O1483),"")</f>
        <v/>
      </c>
    </row>
    <row r="1484" spans="10:16" x14ac:dyDescent="0.2">
      <c r="J1484" s="1">
        <f>COUNTIF($L$2:L1484,L1484)</f>
        <v>13</v>
      </c>
      <c r="K1484" s="1">
        <f>A632</f>
        <v>2002</v>
      </c>
      <c r="L1484" s="1" t="str">
        <f>E632</f>
        <v>Republic of Ireland</v>
      </c>
      <c r="M1484" s="1" t="str">
        <f>IF(J1484=1,J1484+ROWS($J$2:J1484)/10000,"")</f>
        <v/>
      </c>
      <c r="N1484" s="1" t="str">
        <f>IFERROR(SMALL($M$2:$M$1705,ROWS($M$2:M1484)),"")</f>
        <v/>
      </c>
      <c r="O1484" s="1" t="str">
        <f>IF(N1484&lt;&gt;"",INDEX($L$2:$L$1705,MATCH(N1484,$M$2:$M$1705,0)),"")</f>
        <v/>
      </c>
      <c r="P1484" s="1" t="str">
        <f>IF(O1484&lt;&gt;"",ROWS($O$2:O1484),"")</f>
        <v/>
      </c>
    </row>
    <row r="1485" spans="10:16" x14ac:dyDescent="0.2">
      <c r="J1485" s="1">
        <f>COUNTIF($L$2:L1485,L1485)</f>
        <v>5</v>
      </c>
      <c r="K1485" s="1">
        <f>A633</f>
        <v>2002</v>
      </c>
      <c r="L1485" s="1" t="str">
        <f>E633</f>
        <v>Senegal</v>
      </c>
      <c r="M1485" s="1" t="str">
        <f>IF(J1485=1,J1485+ROWS($J$2:J1485)/10000,"")</f>
        <v/>
      </c>
      <c r="N1485" s="1" t="str">
        <f>IFERROR(SMALL($M$2:$M$1705,ROWS($M$2:M1485)),"")</f>
        <v/>
      </c>
      <c r="O1485" s="1" t="str">
        <f>IF(N1485&lt;&gt;"",INDEX($L$2:$L$1705,MATCH(N1485,$M$2:$M$1705,0)),"")</f>
        <v/>
      </c>
      <c r="P1485" s="1" t="str">
        <f>IF(O1485&lt;&gt;"",ROWS($O$2:O1485),"")</f>
        <v/>
      </c>
    </row>
    <row r="1486" spans="10:16" x14ac:dyDescent="0.2">
      <c r="J1486" s="1">
        <f>COUNTIF($L$2:L1486,L1486)</f>
        <v>40</v>
      </c>
      <c r="K1486" s="1">
        <f>A634</f>
        <v>2002</v>
      </c>
      <c r="L1486" s="1" t="str">
        <f>E634</f>
        <v>Belgium</v>
      </c>
      <c r="M1486" s="1" t="str">
        <f>IF(J1486=1,J1486+ROWS($J$2:J1486)/10000,"")</f>
        <v/>
      </c>
      <c r="N1486" s="1" t="str">
        <f>IFERROR(SMALL($M$2:$M$1705,ROWS($M$2:M1486)),"")</f>
        <v/>
      </c>
      <c r="O1486" s="1" t="str">
        <f>IF(N1486&lt;&gt;"",INDEX($L$2:$L$1705,MATCH(N1486,$M$2:$M$1705,0)),"")</f>
        <v/>
      </c>
      <c r="P1486" s="1" t="str">
        <f>IF(O1486&lt;&gt;"",ROWS($O$2:O1486),"")</f>
        <v/>
      </c>
    </row>
    <row r="1487" spans="10:16" x14ac:dyDescent="0.2">
      <c r="J1487" s="1">
        <f>COUNTIF($L$2:L1487,L1487)</f>
        <v>26</v>
      </c>
      <c r="K1487" s="1">
        <f>A635</f>
        <v>2002</v>
      </c>
      <c r="L1487" s="1" t="str">
        <f>E635</f>
        <v>USA</v>
      </c>
      <c r="M1487" s="1" t="str">
        <f>IF(J1487=1,J1487+ROWS($J$2:J1487)/10000,"")</f>
        <v/>
      </c>
      <c r="N1487" s="1" t="str">
        <f>IFERROR(SMALL($M$2:$M$1705,ROWS($M$2:M1487)),"")</f>
        <v/>
      </c>
      <c r="O1487" s="1" t="str">
        <f>IF(N1487&lt;&gt;"",INDEX($L$2:$L$1705,MATCH(N1487,$M$2:$M$1705,0)),"")</f>
        <v/>
      </c>
      <c r="P1487" s="1" t="str">
        <f>IF(O1487&lt;&gt;"",ROWS($O$2:O1487),"")</f>
        <v/>
      </c>
    </row>
    <row r="1488" spans="10:16" x14ac:dyDescent="0.2">
      <c r="J1488" s="1">
        <f>COUNTIF($L$2:L1488,L1488)</f>
        <v>7</v>
      </c>
      <c r="K1488" s="1">
        <f>A636</f>
        <v>2002</v>
      </c>
      <c r="L1488" s="1" t="str">
        <f>E636</f>
        <v>Turkey</v>
      </c>
      <c r="M1488" s="1" t="str">
        <f>IF(J1488=1,J1488+ROWS($J$2:J1488)/10000,"")</f>
        <v/>
      </c>
      <c r="N1488" s="1" t="str">
        <f>IFERROR(SMALL($M$2:$M$1705,ROWS($M$2:M1488)),"")</f>
        <v/>
      </c>
      <c r="O1488" s="1" t="str">
        <f>IF(N1488&lt;&gt;"",INDEX($L$2:$L$1705,MATCH(N1488,$M$2:$M$1705,0)),"")</f>
        <v/>
      </c>
      <c r="P1488" s="1" t="str">
        <f>IF(O1488&lt;&gt;"",ROWS($O$2:O1488),"")</f>
        <v/>
      </c>
    </row>
    <row r="1489" spans="10:16" x14ac:dyDescent="0.2">
      <c r="J1489" s="1">
        <f>COUNTIF($L$2:L1489,L1489)</f>
        <v>79</v>
      </c>
      <c r="K1489" s="1">
        <f>A637</f>
        <v>2002</v>
      </c>
      <c r="L1489" s="1" t="str">
        <f>E637</f>
        <v>Italy</v>
      </c>
      <c r="M1489" s="1" t="str">
        <f>IF(J1489=1,J1489+ROWS($J$2:J1489)/10000,"")</f>
        <v/>
      </c>
      <c r="N1489" s="1" t="str">
        <f>IFERROR(SMALL($M$2:$M$1705,ROWS($M$2:M1489)),"")</f>
        <v/>
      </c>
      <c r="O1489" s="1" t="str">
        <f>IF(N1489&lt;&gt;"",INDEX($L$2:$L$1705,MATCH(N1489,$M$2:$M$1705,0)),"")</f>
        <v/>
      </c>
      <c r="P1489" s="1" t="str">
        <f>IF(O1489&lt;&gt;"",ROWS($O$2:O1489),"")</f>
        <v/>
      </c>
    </row>
    <row r="1490" spans="10:16" x14ac:dyDescent="0.2">
      <c r="J1490" s="1">
        <f>COUNTIF($L$2:L1490,L1490)</f>
        <v>103</v>
      </c>
      <c r="K1490" s="1">
        <f>A638</f>
        <v>2002</v>
      </c>
      <c r="L1490" s="1" t="str">
        <f>E638</f>
        <v>Brazil</v>
      </c>
      <c r="M1490" s="1" t="str">
        <f>IF(J1490=1,J1490+ROWS($J$2:J1490)/10000,"")</f>
        <v/>
      </c>
      <c r="N1490" s="1" t="str">
        <f>IFERROR(SMALL($M$2:$M$1705,ROWS($M$2:M1490)),"")</f>
        <v/>
      </c>
      <c r="O1490" s="1" t="str">
        <f>IF(N1490&lt;&gt;"",INDEX($L$2:$L$1705,MATCH(N1490,$M$2:$M$1705,0)),"")</f>
        <v/>
      </c>
      <c r="P1490" s="1" t="str">
        <f>IF(O1490&lt;&gt;"",ROWS($O$2:O1490),"")</f>
        <v/>
      </c>
    </row>
    <row r="1491" spans="10:16" x14ac:dyDescent="0.2">
      <c r="J1491" s="1">
        <f>COUNTIF($L$2:L1491,L1491)</f>
        <v>27</v>
      </c>
      <c r="K1491" s="1">
        <f>A639</f>
        <v>2002</v>
      </c>
      <c r="L1491" s="1" t="str">
        <f>E639</f>
        <v>USA</v>
      </c>
      <c r="M1491" s="1" t="str">
        <f>IF(J1491=1,J1491+ROWS($J$2:J1491)/10000,"")</f>
        <v/>
      </c>
      <c r="N1491" s="1" t="str">
        <f>IFERROR(SMALL($M$2:$M$1705,ROWS($M$2:M1491)),"")</f>
        <v/>
      </c>
      <c r="O1491" s="1" t="str">
        <f>IF(N1491&lt;&gt;"",INDEX($L$2:$L$1705,MATCH(N1491,$M$2:$M$1705,0)),"")</f>
        <v/>
      </c>
      <c r="P1491" s="1" t="str">
        <f>IF(O1491&lt;&gt;"",ROWS($O$2:O1491),"")</f>
        <v/>
      </c>
    </row>
    <row r="1492" spans="10:16" x14ac:dyDescent="0.2">
      <c r="J1492" s="1">
        <f>COUNTIF($L$2:L1492,L1492)</f>
        <v>8</v>
      </c>
      <c r="K1492" s="1">
        <f>A640</f>
        <v>2002</v>
      </c>
      <c r="L1492" s="1" t="str">
        <f>E640</f>
        <v>Turkey</v>
      </c>
      <c r="M1492" s="1" t="str">
        <f>IF(J1492=1,J1492+ROWS($J$2:J1492)/10000,"")</f>
        <v/>
      </c>
      <c r="N1492" s="1" t="str">
        <f>IFERROR(SMALL($M$2:$M$1705,ROWS($M$2:M1492)),"")</f>
        <v/>
      </c>
      <c r="O1492" s="1" t="str">
        <f>IF(N1492&lt;&gt;"",INDEX($L$2:$L$1705,MATCH(N1492,$M$2:$M$1705,0)),"")</f>
        <v/>
      </c>
      <c r="P1492" s="1" t="str">
        <f>IF(O1492&lt;&gt;"",ROWS($O$2:O1492),"")</f>
        <v/>
      </c>
    </row>
    <row r="1493" spans="10:16" x14ac:dyDescent="0.2">
      <c r="J1493" s="1">
        <f>COUNTIF($L$2:L1493,L1493)</f>
        <v>24</v>
      </c>
      <c r="K1493" s="1">
        <f>A641</f>
        <v>2002</v>
      </c>
      <c r="L1493" s="1" t="str">
        <f>E641</f>
        <v>Korea Republic</v>
      </c>
      <c r="M1493" s="1" t="str">
        <f>IF(J1493=1,J1493+ROWS($J$2:J1493)/10000,"")</f>
        <v/>
      </c>
      <c r="N1493" s="1" t="str">
        <f>IFERROR(SMALL($M$2:$M$1705,ROWS($M$2:M1493)),"")</f>
        <v/>
      </c>
      <c r="O1493" s="1" t="str">
        <f>IF(N1493&lt;&gt;"",INDEX($L$2:$L$1705,MATCH(N1493,$M$2:$M$1705,0)),"")</f>
        <v/>
      </c>
      <c r="P1493" s="1" t="str">
        <f>IF(O1493&lt;&gt;"",ROWS($O$2:O1493),"")</f>
        <v/>
      </c>
    </row>
    <row r="1494" spans="10:16" x14ac:dyDescent="0.2">
      <c r="J1494" s="1">
        <f>COUNTIF($L$2:L1494,L1494)</f>
        <v>25</v>
      </c>
      <c r="K1494" s="1">
        <f>A642</f>
        <v>2002</v>
      </c>
      <c r="L1494" s="1" t="str">
        <f>E642</f>
        <v>Korea Republic</v>
      </c>
      <c r="M1494" s="1" t="str">
        <f>IF(J1494=1,J1494+ROWS($J$2:J1494)/10000,"")</f>
        <v/>
      </c>
      <c r="N1494" s="1" t="str">
        <f>IFERROR(SMALL($M$2:$M$1705,ROWS($M$2:M1494)),"")</f>
        <v/>
      </c>
      <c r="O1494" s="1" t="str">
        <f>IF(N1494&lt;&gt;"",INDEX($L$2:$L$1705,MATCH(N1494,$M$2:$M$1705,0)),"")</f>
        <v/>
      </c>
      <c r="P1494" s="1" t="str">
        <f>IF(O1494&lt;&gt;"",ROWS($O$2:O1494),"")</f>
        <v/>
      </c>
    </row>
    <row r="1495" spans="10:16" x14ac:dyDescent="0.2">
      <c r="J1495" s="1">
        <f>COUNTIF($L$2:L1495,L1495)</f>
        <v>9</v>
      </c>
      <c r="K1495" s="1">
        <f>A643</f>
        <v>2002</v>
      </c>
      <c r="L1495" s="1" t="str">
        <f>E643</f>
        <v>Turkey</v>
      </c>
      <c r="M1495" s="1" t="str">
        <f>IF(J1495=1,J1495+ROWS($J$2:J1495)/10000,"")</f>
        <v/>
      </c>
      <c r="N1495" s="1" t="str">
        <f>IFERROR(SMALL($M$2:$M$1705,ROWS($M$2:M1495)),"")</f>
        <v/>
      </c>
      <c r="O1495" s="1" t="str">
        <f>IF(N1495&lt;&gt;"",INDEX($L$2:$L$1705,MATCH(N1495,$M$2:$M$1705,0)),"")</f>
        <v/>
      </c>
      <c r="P1495" s="1" t="str">
        <f>IF(O1495&lt;&gt;"",ROWS($O$2:O1495),"")</f>
        <v/>
      </c>
    </row>
    <row r="1496" spans="10:16" x14ac:dyDescent="0.2">
      <c r="J1496" s="1">
        <f>COUNTIF($L$2:L1496,L1496)</f>
        <v>10</v>
      </c>
      <c r="K1496" s="1">
        <f>A644</f>
        <v>2002</v>
      </c>
      <c r="L1496" s="1" t="str">
        <f>E644</f>
        <v>Turkey</v>
      </c>
      <c r="M1496" s="1" t="str">
        <f>IF(J1496=1,J1496+ROWS($J$2:J1496)/10000,"")</f>
        <v/>
      </c>
      <c r="N1496" s="1" t="str">
        <f>IFERROR(SMALL($M$2:$M$1705,ROWS($M$2:M1496)),"")</f>
        <v/>
      </c>
      <c r="O1496" s="1" t="str">
        <f>IF(N1496&lt;&gt;"",INDEX($L$2:$L$1705,MATCH(N1496,$M$2:$M$1705,0)),"")</f>
        <v/>
      </c>
      <c r="P1496" s="1" t="str">
        <f>IF(O1496&lt;&gt;"",ROWS($O$2:O1496),"")</f>
        <v/>
      </c>
    </row>
    <row r="1497" spans="10:16" x14ac:dyDescent="0.2">
      <c r="J1497" s="1">
        <f>COUNTIF($L$2:L1497,L1497)</f>
        <v>104</v>
      </c>
      <c r="K1497" s="1">
        <f>A645</f>
        <v>2002</v>
      </c>
      <c r="L1497" s="1" t="str">
        <f>E645</f>
        <v>Brazil</v>
      </c>
      <c r="M1497" s="1" t="str">
        <f>IF(J1497=1,J1497+ROWS($J$2:J1497)/10000,"")</f>
        <v/>
      </c>
      <c r="N1497" s="1" t="str">
        <f>IFERROR(SMALL($M$2:$M$1705,ROWS($M$2:M1497)),"")</f>
        <v/>
      </c>
      <c r="O1497" s="1" t="str">
        <f>IF(N1497&lt;&gt;"",INDEX($L$2:$L$1705,MATCH(N1497,$M$2:$M$1705,0)),"")</f>
        <v/>
      </c>
      <c r="P1497" s="1" t="str">
        <f>IF(O1497&lt;&gt;"",ROWS($O$2:O1497),"")</f>
        <v/>
      </c>
    </row>
    <row r="1498" spans="10:16" x14ac:dyDescent="0.2">
      <c r="J1498" s="1">
        <f>COUNTIF($L$2:L1498,L1498)</f>
        <v>12</v>
      </c>
      <c r="K1498" s="1">
        <f>A646</f>
        <v>2006</v>
      </c>
      <c r="L1498" s="1" t="str">
        <f>E646</f>
        <v>Costa Rica</v>
      </c>
      <c r="M1498" s="1" t="str">
        <f>IF(J1498=1,J1498+ROWS($J$2:J1498)/10000,"")</f>
        <v/>
      </c>
      <c r="N1498" s="1" t="str">
        <f>IFERROR(SMALL($M$2:$M$1705,ROWS($M$2:M1498)),"")</f>
        <v/>
      </c>
      <c r="O1498" s="1" t="str">
        <f>IF(N1498&lt;&gt;"",INDEX($L$2:$L$1705,MATCH(N1498,$M$2:$M$1705,0)),"")</f>
        <v/>
      </c>
      <c r="P1498" s="1" t="str">
        <f>IF(O1498&lt;&gt;"",ROWS($O$2:O1498),"")</f>
        <v/>
      </c>
    </row>
    <row r="1499" spans="10:16" x14ac:dyDescent="0.2">
      <c r="J1499" s="1">
        <f>COUNTIF($L$2:L1499,L1499)</f>
        <v>7</v>
      </c>
      <c r="K1499" s="1">
        <f>A647</f>
        <v>2006</v>
      </c>
      <c r="L1499" s="1" t="str">
        <f>E647</f>
        <v>Ecuador</v>
      </c>
      <c r="M1499" s="1" t="str">
        <f>IF(J1499=1,J1499+ROWS($J$2:J1499)/10000,"")</f>
        <v/>
      </c>
      <c r="N1499" s="1" t="str">
        <f>IFERROR(SMALL($M$2:$M$1705,ROWS($M$2:M1499)),"")</f>
        <v/>
      </c>
      <c r="O1499" s="1" t="str">
        <f>IF(N1499&lt;&gt;"",INDEX($L$2:$L$1705,MATCH(N1499,$M$2:$M$1705,0)),"")</f>
        <v/>
      </c>
      <c r="P1499" s="1" t="str">
        <f>IF(O1499&lt;&gt;"",ROWS($O$2:O1499),"")</f>
        <v/>
      </c>
    </row>
    <row r="1500" spans="10:16" x14ac:dyDescent="0.2">
      <c r="J1500" s="1">
        <f>COUNTIF($L$2:L1500,L1500)</f>
        <v>24</v>
      </c>
      <c r="K1500" s="1">
        <f>A648</f>
        <v>2006</v>
      </c>
      <c r="L1500" s="1" t="str">
        <f>E648</f>
        <v>Paraguay</v>
      </c>
      <c r="M1500" s="1" t="str">
        <f>IF(J1500=1,J1500+ROWS($J$2:J1500)/10000,"")</f>
        <v/>
      </c>
      <c r="N1500" s="1" t="str">
        <f>IFERROR(SMALL($M$2:$M$1705,ROWS($M$2:M1500)),"")</f>
        <v/>
      </c>
      <c r="O1500" s="1" t="str">
        <f>IF(N1500&lt;&gt;"",INDEX($L$2:$L$1705,MATCH(N1500,$M$2:$M$1705,0)),"")</f>
        <v/>
      </c>
      <c r="P1500" s="1" t="str">
        <f>IF(O1500&lt;&gt;"",ROWS($O$2:O1500),"")</f>
        <v/>
      </c>
    </row>
    <row r="1501" spans="10:16" x14ac:dyDescent="0.2">
      <c r="J1501" s="1">
        <f>COUNTIF($L$2:L1501,L1501)</f>
        <v>45</v>
      </c>
      <c r="K1501" s="1">
        <f>A649</f>
        <v>2006</v>
      </c>
      <c r="L1501" s="1" t="str">
        <f>E649</f>
        <v>Sweden</v>
      </c>
      <c r="M1501" s="1" t="str">
        <f>IF(J1501=1,J1501+ROWS($J$2:J1501)/10000,"")</f>
        <v/>
      </c>
      <c r="N1501" s="1" t="str">
        <f>IFERROR(SMALL($M$2:$M$1705,ROWS($M$2:M1501)),"")</f>
        <v/>
      </c>
      <c r="O1501" s="1" t="str">
        <f>IF(N1501&lt;&gt;"",INDEX($L$2:$L$1705,MATCH(N1501,$M$2:$M$1705,0)),"")</f>
        <v/>
      </c>
      <c r="P1501" s="1" t="str">
        <f>IF(O1501&lt;&gt;"",ROWS($O$2:O1501),"")</f>
        <v/>
      </c>
    </row>
    <row r="1502" spans="10:16" x14ac:dyDescent="0.2">
      <c r="J1502" s="1">
        <f>COUNTIF($L$2:L1502,L1502)</f>
        <v>4</v>
      </c>
      <c r="K1502" s="1">
        <f>A650</f>
        <v>2006</v>
      </c>
      <c r="L1502" s="1" t="str">
        <f>E650</f>
        <v>Cï¿½te d'Ivoire</v>
      </c>
      <c r="M1502" s="1" t="str">
        <f>IF(J1502=1,J1502+ROWS($J$2:J1502)/10000,"")</f>
        <v/>
      </c>
      <c r="N1502" s="1" t="str">
        <f>IFERROR(SMALL($M$2:$M$1705,ROWS($M$2:M1502)),"")</f>
        <v/>
      </c>
      <c r="O1502" s="1" t="str">
        <f>IF(N1502&lt;&gt;"",INDEX($L$2:$L$1705,MATCH(N1502,$M$2:$M$1705,0)),"")</f>
        <v/>
      </c>
      <c r="P1502" s="1" t="str">
        <f>IF(O1502&lt;&gt;"",ROWS($O$2:O1502),"")</f>
        <v/>
      </c>
    </row>
    <row r="1503" spans="10:16" x14ac:dyDescent="0.2">
      <c r="J1503" s="1">
        <f>COUNTIF($L$2:L1503,L1503)</f>
        <v>47</v>
      </c>
      <c r="K1503" s="1">
        <f>A651</f>
        <v>2006</v>
      </c>
      <c r="L1503" s="1" t="str">
        <f>E651</f>
        <v>Netherlands</v>
      </c>
      <c r="M1503" s="1" t="str">
        <f>IF(J1503=1,J1503+ROWS($J$2:J1503)/10000,"")</f>
        <v/>
      </c>
      <c r="N1503" s="1" t="str">
        <f>IFERROR(SMALL($M$2:$M$1705,ROWS($M$2:M1503)),"")</f>
        <v/>
      </c>
      <c r="O1503" s="1" t="str">
        <f>IF(N1503&lt;&gt;"",INDEX($L$2:$L$1705,MATCH(N1503,$M$2:$M$1705,0)),"")</f>
        <v/>
      </c>
      <c r="P1503" s="1" t="str">
        <f>IF(O1503&lt;&gt;"",ROWS($O$2:O1503),"")</f>
        <v/>
      </c>
    </row>
    <row r="1504" spans="10:16" x14ac:dyDescent="0.2">
      <c r="J1504" s="1">
        <f>COUNTIF($L$2:L1504,L1504)</f>
        <v>6</v>
      </c>
      <c r="K1504" s="1">
        <f>A652</f>
        <v>2006</v>
      </c>
      <c r="L1504" s="1" t="str">
        <f>E652</f>
        <v>Iran</v>
      </c>
      <c r="M1504" s="1" t="str">
        <f>IF(J1504=1,J1504+ROWS($J$2:J1504)/10000,"")</f>
        <v/>
      </c>
      <c r="N1504" s="1" t="str">
        <f>IFERROR(SMALL($M$2:$M$1705,ROWS($M$2:M1504)),"")</f>
        <v/>
      </c>
      <c r="O1504" s="1" t="str">
        <f>IF(N1504&lt;&gt;"",INDEX($L$2:$L$1705,MATCH(N1504,$M$2:$M$1705,0)),"")</f>
        <v/>
      </c>
      <c r="P1504" s="1" t="str">
        <f>IF(O1504&lt;&gt;"",ROWS($O$2:O1504),"")</f>
        <v/>
      </c>
    </row>
    <row r="1505" spans="10:16" x14ac:dyDescent="0.2">
      <c r="J1505" s="1">
        <f>COUNTIF($L$2:L1505,L1505)</f>
        <v>20</v>
      </c>
      <c r="K1505" s="1">
        <f>A653</f>
        <v>2006</v>
      </c>
      <c r="L1505" s="1" t="str">
        <f>E653</f>
        <v>Portugal</v>
      </c>
      <c r="M1505" s="1" t="str">
        <f>IF(J1505=1,J1505+ROWS($J$2:J1505)/10000,"")</f>
        <v/>
      </c>
      <c r="N1505" s="1" t="str">
        <f>IFERROR(SMALL($M$2:$M$1705,ROWS($M$2:M1505)),"")</f>
        <v/>
      </c>
      <c r="O1505" s="1" t="str">
        <f>IF(N1505&lt;&gt;"",INDEX($L$2:$L$1705,MATCH(N1505,$M$2:$M$1705,0)),"")</f>
        <v/>
      </c>
      <c r="P1505" s="1" t="str">
        <f>IF(O1505&lt;&gt;"",ROWS($O$2:O1505),"")</f>
        <v/>
      </c>
    </row>
    <row r="1506" spans="10:16" x14ac:dyDescent="0.2">
      <c r="J1506" s="1">
        <f>COUNTIF($L$2:L1506,L1506)</f>
        <v>13</v>
      </c>
      <c r="K1506" s="1">
        <f>A654</f>
        <v>2006</v>
      </c>
      <c r="L1506" s="1" t="str">
        <f>E654</f>
        <v>Japan</v>
      </c>
      <c r="M1506" s="1" t="str">
        <f>IF(J1506=1,J1506+ROWS($J$2:J1506)/10000,"")</f>
        <v/>
      </c>
      <c r="N1506" s="1" t="str">
        <f>IFERROR(SMALL($M$2:$M$1705,ROWS($M$2:M1506)),"")</f>
        <v/>
      </c>
      <c r="O1506" s="1" t="str">
        <f>IF(N1506&lt;&gt;"",INDEX($L$2:$L$1705,MATCH(N1506,$M$2:$M$1705,0)),"")</f>
        <v/>
      </c>
      <c r="P1506" s="1" t="str">
        <f>IF(O1506&lt;&gt;"",ROWS($O$2:O1506),"")</f>
        <v/>
      </c>
    </row>
    <row r="1507" spans="10:16" x14ac:dyDescent="0.2">
      <c r="J1507" s="1">
        <f>COUNTIF($L$2:L1507,L1507)</f>
        <v>3</v>
      </c>
      <c r="K1507" s="1">
        <f>A655</f>
        <v>2006</v>
      </c>
      <c r="L1507" s="1" t="str">
        <f>E655</f>
        <v>Czech Republic</v>
      </c>
      <c r="M1507" s="1" t="str">
        <f>IF(J1507=1,J1507+ROWS($J$2:J1507)/10000,"")</f>
        <v/>
      </c>
      <c r="N1507" s="1" t="str">
        <f>IFERROR(SMALL($M$2:$M$1705,ROWS($M$2:M1507)),"")</f>
        <v/>
      </c>
      <c r="O1507" s="1" t="str">
        <f>IF(N1507&lt;&gt;"",INDEX($L$2:$L$1705,MATCH(N1507,$M$2:$M$1705,0)),"")</f>
        <v/>
      </c>
      <c r="P1507" s="1" t="str">
        <f>IF(O1507&lt;&gt;"",ROWS($O$2:O1507),"")</f>
        <v/>
      </c>
    </row>
    <row r="1508" spans="10:16" x14ac:dyDescent="0.2">
      <c r="J1508" s="1">
        <f>COUNTIF($L$2:L1508,L1508)</f>
        <v>5</v>
      </c>
      <c r="K1508" s="1">
        <f>A656</f>
        <v>2006</v>
      </c>
      <c r="L1508" s="1" t="str">
        <f>E656</f>
        <v>Ghana</v>
      </c>
      <c r="M1508" s="1" t="str">
        <f>IF(J1508=1,J1508+ROWS($J$2:J1508)/10000,"")</f>
        <v/>
      </c>
      <c r="N1508" s="1" t="str">
        <f>IFERROR(SMALL($M$2:$M$1705,ROWS($M$2:M1508)),"")</f>
        <v/>
      </c>
      <c r="O1508" s="1" t="str">
        <f>IF(N1508&lt;&gt;"",INDEX($L$2:$L$1705,MATCH(N1508,$M$2:$M$1705,0)),"")</f>
        <v/>
      </c>
      <c r="P1508" s="1" t="str">
        <f>IF(O1508&lt;&gt;"",ROWS($O$2:O1508),"")</f>
        <v/>
      </c>
    </row>
    <row r="1509" spans="10:16" x14ac:dyDescent="0.2">
      <c r="J1509" s="1">
        <f>COUNTIF($L$2:L1509,L1509)</f>
        <v>3</v>
      </c>
      <c r="K1509" s="1">
        <f>A657</f>
        <v>2006</v>
      </c>
      <c r="L1509" s="1" t="str">
        <f>E657</f>
        <v>Togo</v>
      </c>
      <c r="M1509" s="1" t="str">
        <f>IF(J1509=1,J1509+ROWS($J$2:J1509)/10000,"")</f>
        <v/>
      </c>
      <c r="N1509" s="1" t="str">
        <f>IFERROR(SMALL($M$2:$M$1705,ROWS($M$2:M1509)),"")</f>
        <v/>
      </c>
      <c r="O1509" s="1" t="str">
        <f>IF(N1509&lt;&gt;"",INDEX($L$2:$L$1705,MATCH(N1509,$M$2:$M$1705,0)),"")</f>
        <v/>
      </c>
      <c r="P1509" s="1" t="str">
        <f>IF(O1509&lt;&gt;"",ROWS($O$2:O1509),"")</f>
        <v/>
      </c>
    </row>
    <row r="1510" spans="10:16" x14ac:dyDescent="0.2">
      <c r="J1510" s="1">
        <f>COUNTIF($L$2:L1510,L1510)</f>
        <v>28</v>
      </c>
      <c r="K1510" s="1">
        <f>A658</f>
        <v>2006</v>
      </c>
      <c r="L1510" s="1" t="str">
        <f>E658</f>
        <v>Switzerland</v>
      </c>
      <c r="M1510" s="1" t="str">
        <f>IF(J1510=1,J1510+ROWS($J$2:J1510)/10000,"")</f>
        <v/>
      </c>
      <c r="N1510" s="1" t="str">
        <f>IFERROR(SMALL($M$2:$M$1705,ROWS($M$2:M1510)),"")</f>
        <v/>
      </c>
      <c r="O1510" s="1" t="str">
        <f>IF(N1510&lt;&gt;"",INDEX($L$2:$L$1705,MATCH(N1510,$M$2:$M$1705,0)),"")</f>
        <v/>
      </c>
      <c r="P1510" s="1" t="str">
        <f>IF(O1510&lt;&gt;"",ROWS($O$2:O1510),"")</f>
        <v/>
      </c>
    </row>
    <row r="1511" spans="10:16" x14ac:dyDescent="0.2">
      <c r="J1511" s="1">
        <f>COUNTIF($L$2:L1511,L1511)</f>
        <v>13</v>
      </c>
      <c r="K1511" s="1">
        <f>A659</f>
        <v>2006</v>
      </c>
      <c r="L1511" s="1" t="str">
        <f>E659</f>
        <v>Croatia</v>
      </c>
      <c r="M1511" s="1" t="str">
        <f>IF(J1511=1,J1511+ROWS($J$2:J1511)/10000,"")</f>
        <v/>
      </c>
      <c r="N1511" s="1" t="str">
        <f>IFERROR(SMALL($M$2:$M$1705,ROWS($M$2:M1511)),"")</f>
        <v/>
      </c>
      <c r="O1511" s="1" t="str">
        <f>IF(N1511&lt;&gt;"",INDEX($L$2:$L$1705,MATCH(N1511,$M$2:$M$1705,0)),"")</f>
        <v/>
      </c>
      <c r="P1511" s="1" t="str">
        <f>IF(O1511&lt;&gt;"",ROWS($O$2:O1511),"")</f>
        <v/>
      </c>
    </row>
    <row r="1512" spans="10:16" x14ac:dyDescent="0.2">
      <c r="J1512" s="1">
        <f>COUNTIF($L$2:L1512,L1512)</f>
        <v>2</v>
      </c>
      <c r="K1512" s="1">
        <f>A660</f>
        <v>2006</v>
      </c>
      <c r="L1512" s="1" t="str">
        <f>E660</f>
        <v>Ukraine</v>
      </c>
      <c r="M1512" s="1" t="str">
        <f>IF(J1512=1,J1512+ROWS($J$2:J1512)/10000,"")</f>
        <v/>
      </c>
      <c r="N1512" s="1" t="str">
        <f>IFERROR(SMALL($M$2:$M$1705,ROWS($M$2:M1512)),"")</f>
        <v/>
      </c>
      <c r="O1512" s="1" t="str">
        <f>IF(N1512&lt;&gt;"",INDEX($L$2:$L$1705,MATCH(N1512,$M$2:$M$1705,0)),"")</f>
        <v/>
      </c>
      <c r="P1512" s="1" t="str">
        <f>IF(O1512&lt;&gt;"",ROWS($O$2:O1512),"")</f>
        <v/>
      </c>
    </row>
    <row r="1513" spans="10:16" x14ac:dyDescent="0.2">
      <c r="J1513" s="1">
        <f>COUNTIF($L$2:L1513,L1513)</f>
        <v>13</v>
      </c>
      <c r="K1513" s="1">
        <f>A661</f>
        <v>2006</v>
      </c>
      <c r="L1513" s="1" t="str">
        <f>E661</f>
        <v>Saudi Arabia</v>
      </c>
      <c r="M1513" s="1" t="str">
        <f>IF(J1513=1,J1513+ROWS($J$2:J1513)/10000,"")</f>
        <v/>
      </c>
      <c r="N1513" s="1" t="str">
        <f>IFERROR(SMALL($M$2:$M$1705,ROWS($M$2:M1513)),"")</f>
        <v/>
      </c>
      <c r="O1513" s="1" t="str">
        <f>IF(N1513&lt;&gt;"",INDEX($L$2:$L$1705,MATCH(N1513,$M$2:$M$1705,0)),"")</f>
        <v/>
      </c>
      <c r="P1513" s="1" t="str">
        <f>IF(O1513&lt;&gt;"",ROWS($O$2:O1513),"")</f>
        <v/>
      </c>
    </row>
    <row r="1514" spans="10:16" x14ac:dyDescent="0.2">
      <c r="J1514" s="1">
        <f>COUNTIF($L$2:L1514,L1514)</f>
        <v>30</v>
      </c>
      <c r="K1514" s="1">
        <f>A662</f>
        <v>2006</v>
      </c>
      <c r="L1514" s="1" t="str">
        <f>E662</f>
        <v>Poland</v>
      </c>
      <c r="M1514" s="1" t="str">
        <f>IF(J1514=1,J1514+ROWS($J$2:J1514)/10000,"")</f>
        <v/>
      </c>
      <c r="N1514" s="1" t="str">
        <f>IFERROR(SMALL($M$2:$M$1705,ROWS($M$2:M1514)),"")</f>
        <v/>
      </c>
      <c r="O1514" s="1" t="str">
        <f>IF(N1514&lt;&gt;"",INDEX($L$2:$L$1705,MATCH(N1514,$M$2:$M$1705,0)),"")</f>
        <v/>
      </c>
      <c r="P1514" s="1" t="str">
        <f>IF(O1514&lt;&gt;"",ROWS($O$2:O1514),"")</f>
        <v/>
      </c>
    </row>
    <row r="1515" spans="10:16" x14ac:dyDescent="0.2">
      <c r="J1515" s="1">
        <f>COUNTIF($L$2:L1515,L1515)</f>
        <v>13</v>
      </c>
      <c r="K1515" s="1">
        <f>A663</f>
        <v>2006</v>
      </c>
      <c r="L1515" s="1" t="str">
        <f>E663</f>
        <v>Costa Rica</v>
      </c>
      <c r="M1515" s="1" t="str">
        <f>IF(J1515=1,J1515+ROWS($J$2:J1515)/10000,"")</f>
        <v/>
      </c>
      <c r="N1515" s="1" t="str">
        <f>IFERROR(SMALL($M$2:$M$1705,ROWS($M$2:M1515)),"")</f>
        <v/>
      </c>
      <c r="O1515" s="1" t="str">
        <f>IF(N1515&lt;&gt;"",INDEX($L$2:$L$1705,MATCH(N1515,$M$2:$M$1705,0)),"")</f>
        <v/>
      </c>
      <c r="P1515" s="1" t="str">
        <f>IF(O1515&lt;&gt;"",ROWS($O$2:O1515),"")</f>
        <v/>
      </c>
    </row>
    <row r="1516" spans="10:16" x14ac:dyDescent="0.2">
      <c r="J1516" s="1">
        <f>COUNTIF($L$2:L1516,L1516)</f>
        <v>2</v>
      </c>
      <c r="K1516" s="1">
        <f>A664</f>
        <v>2006</v>
      </c>
      <c r="L1516" s="1" t="str">
        <f>E664</f>
        <v>Trinidad and Tobago</v>
      </c>
      <c r="M1516" s="1" t="str">
        <f>IF(J1516=1,J1516+ROWS($J$2:J1516)/10000,"")</f>
        <v/>
      </c>
      <c r="N1516" s="1" t="str">
        <f>IFERROR(SMALL($M$2:$M$1705,ROWS($M$2:M1516)),"")</f>
        <v/>
      </c>
      <c r="O1516" s="1" t="str">
        <f>IF(N1516&lt;&gt;"",INDEX($L$2:$L$1705,MATCH(N1516,$M$2:$M$1705,0)),"")</f>
        <v/>
      </c>
      <c r="P1516" s="1" t="str">
        <f>IF(O1516&lt;&gt;"",ROWS($O$2:O1516),"")</f>
        <v/>
      </c>
    </row>
    <row r="1517" spans="10:16" x14ac:dyDescent="0.2">
      <c r="J1517" s="1">
        <f>COUNTIF($L$2:L1517,L1517)</f>
        <v>25</v>
      </c>
      <c r="K1517" s="1">
        <f>A665</f>
        <v>2006</v>
      </c>
      <c r="L1517" s="1" t="str">
        <f>E665</f>
        <v>Paraguay</v>
      </c>
      <c r="M1517" s="1" t="str">
        <f>IF(J1517=1,J1517+ROWS($J$2:J1517)/10000,"")</f>
        <v/>
      </c>
      <c r="N1517" s="1" t="str">
        <f>IFERROR(SMALL($M$2:$M$1705,ROWS($M$2:M1517)),"")</f>
        <v/>
      </c>
      <c r="O1517" s="1" t="str">
        <f>IF(N1517&lt;&gt;"",INDEX($L$2:$L$1705,MATCH(N1517,$M$2:$M$1705,0)),"")</f>
        <v/>
      </c>
      <c r="P1517" s="1" t="str">
        <f>IF(O1517&lt;&gt;"",ROWS($O$2:O1517),"")</f>
        <v/>
      </c>
    </row>
    <row r="1518" spans="10:16" x14ac:dyDescent="0.2">
      <c r="J1518" s="1">
        <f>COUNTIF($L$2:L1518,L1518)</f>
        <v>2</v>
      </c>
      <c r="K1518" s="1">
        <f>A666</f>
        <v>2006</v>
      </c>
      <c r="L1518" s="1" t="str">
        <f>E666</f>
        <v>Serbia and Montenegro</v>
      </c>
      <c r="M1518" s="1" t="str">
        <f>IF(J1518=1,J1518+ROWS($J$2:J1518)/10000,"")</f>
        <v/>
      </c>
      <c r="N1518" s="1" t="str">
        <f>IFERROR(SMALL($M$2:$M$1705,ROWS($M$2:M1518)),"")</f>
        <v/>
      </c>
      <c r="O1518" s="1" t="str">
        <f>IF(N1518&lt;&gt;"",INDEX($L$2:$L$1705,MATCH(N1518,$M$2:$M$1705,0)),"")</f>
        <v/>
      </c>
      <c r="P1518" s="1" t="str">
        <f>IF(O1518&lt;&gt;"",ROWS($O$2:O1518),"")</f>
        <v/>
      </c>
    </row>
    <row r="1519" spans="10:16" x14ac:dyDescent="0.2">
      <c r="J1519" s="1">
        <f>COUNTIF($L$2:L1519,L1519)</f>
        <v>5</v>
      </c>
      <c r="K1519" s="1">
        <f>A667</f>
        <v>2006</v>
      </c>
      <c r="L1519" s="1" t="str">
        <f>E667</f>
        <v>Cï¿½te d'Ivoire</v>
      </c>
      <c r="M1519" s="1" t="str">
        <f>IF(J1519=1,J1519+ROWS($J$2:J1519)/10000,"")</f>
        <v/>
      </c>
      <c r="N1519" s="1" t="str">
        <f>IFERROR(SMALL($M$2:$M$1705,ROWS($M$2:M1519)),"")</f>
        <v/>
      </c>
      <c r="O1519" s="1" t="str">
        <f>IF(N1519&lt;&gt;"",INDEX($L$2:$L$1705,MATCH(N1519,$M$2:$M$1705,0)),"")</f>
        <v/>
      </c>
      <c r="P1519" s="1" t="str">
        <f>IF(O1519&lt;&gt;"",ROWS($O$2:O1519),"")</f>
        <v/>
      </c>
    </row>
    <row r="1520" spans="10:16" x14ac:dyDescent="0.2">
      <c r="J1520" s="1">
        <f>COUNTIF($L$2:L1520,L1520)</f>
        <v>2</v>
      </c>
      <c r="K1520" s="1">
        <f>A668</f>
        <v>2006</v>
      </c>
      <c r="L1520" s="1" t="str">
        <f>E668</f>
        <v>Angola</v>
      </c>
      <c r="M1520" s="1" t="str">
        <f>IF(J1520=1,J1520+ROWS($J$2:J1520)/10000,"")</f>
        <v/>
      </c>
      <c r="N1520" s="1" t="str">
        <f>IFERROR(SMALL($M$2:$M$1705,ROWS($M$2:M1520)),"")</f>
        <v/>
      </c>
      <c r="O1520" s="1" t="str">
        <f>IF(N1520&lt;&gt;"",INDEX($L$2:$L$1705,MATCH(N1520,$M$2:$M$1705,0)),"")</f>
        <v/>
      </c>
      <c r="P1520" s="1" t="str">
        <f>IF(O1520&lt;&gt;"",ROWS($O$2:O1520),"")</f>
        <v/>
      </c>
    </row>
    <row r="1521" spans="10:16" x14ac:dyDescent="0.2">
      <c r="J1521" s="1">
        <f>COUNTIF($L$2:L1521,L1521)</f>
        <v>4</v>
      </c>
      <c r="K1521" s="1">
        <f>A669</f>
        <v>2006</v>
      </c>
      <c r="L1521" s="1" t="str">
        <f>E669</f>
        <v>IR Iran</v>
      </c>
      <c r="M1521" s="1" t="str">
        <f>IF(J1521=1,J1521+ROWS($J$2:J1521)/10000,"")</f>
        <v/>
      </c>
      <c r="N1521" s="1" t="str">
        <f>IFERROR(SMALL($M$2:$M$1705,ROWS($M$2:M1521)),"")</f>
        <v/>
      </c>
      <c r="O1521" s="1" t="str">
        <f>IF(N1521&lt;&gt;"",INDEX($L$2:$L$1705,MATCH(N1521,$M$2:$M$1705,0)),"")</f>
        <v/>
      </c>
      <c r="P1521" s="1" t="str">
        <f>IF(O1521&lt;&gt;"",ROWS($O$2:O1521),"")</f>
        <v/>
      </c>
    </row>
    <row r="1522" spans="10:16" x14ac:dyDescent="0.2">
      <c r="J1522" s="1">
        <f>COUNTIF($L$2:L1522,L1522)</f>
        <v>6</v>
      </c>
      <c r="K1522" s="1">
        <f>A670</f>
        <v>2006</v>
      </c>
      <c r="L1522" s="1" t="str">
        <f>E670</f>
        <v>Ghana</v>
      </c>
      <c r="M1522" s="1" t="str">
        <f>IF(J1522=1,J1522+ROWS($J$2:J1522)/10000,"")</f>
        <v/>
      </c>
      <c r="N1522" s="1" t="str">
        <f>IFERROR(SMALL($M$2:$M$1705,ROWS($M$2:M1522)),"")</f>
        <v/>
      </c>
      <c r="O1522" s="1" t="str">
        <f>IF(N1522&lt;&gt;"",INDEX($L$2:$L$1705,MATCH(N1522,$M$2:$M$1705,0)),"")</f>
        <v/>
      </c>
      <c r="P1522" s="1" t="str">
        <f>IF(O1522&lt;&gt;"",ROWS($O$2:O1522),"")</f>
        <v/>
      </c>
    </row>
    <row r="1523" spans="10:16" x14ac:dyDescent="0.2">
      <c r="J1523" s="1">
        <f>COUNTIF($L$2:L1523,L1523)</f>
        <v>28</v>
      </c>
      <c r="K1523" s="1">
        <f>A671</f>
        <v>2006</v>
      </c>
      <c r="L1523" s="1" t="str">
        <f>E671</f>
        <v>USA</v>
      </c>
      <c r="M1523" s="1" t="str">
        <f>IF(J1523=1,J1523+ROWS($J$2:J1523)/10000,"")</f>
        <v/>
      </c>
      <c r="N1523" s="1" t="str">
        <f>IFERROR(SMALL($M$2:$M$1705,ROWS($M$2:M1523)),"")</f>
        <v/>
      </c>
      <c r="O1523" s="1" t="str">
        <f>IF(N1523&lt;&gt;"",INDEX($L$2:$L$1705,MATCH(N1523,$M$2:$M$1705,0)),"")</f>
        <v/>
      </c>
      <c r="P1523" s="1" t="str">
        <f>IF(O1523&lt;&gt;"",ROWS($O$2:O1523),"")</f>
        <v/>
      </c>
    </row>
    <row r="1524" spans="10:16" x14ac:dyDescent="0.2">
      <c r="J1524" s="1">
        <f>COUNTIF($L$2:L1524,L1524)</f>
        <v>14</v>
      </c>
      <c r="K1524" s="1">
        <f>A672</f>
        <v>2006</v>
      </c>
      <c r="L1524" s="1" t="str">
        <f>E672</f>
        <v>Croatia</v>
      </c>
      <c r="M1524" s="1" t="str">
        <f>IF(J1524=1,J1524+ROWS($J$2:J1524)/10000,"")</f>
        <v/>
      </c>
      <c r="N1524" s="1" t="str">
        <f>IFERROR(SMALL($M$2:$M$1705,ROWS($M$2:M1524)),"")</f>
        <v/>
      </c>
      <c r="O1524" s="1" t="str">
        <f>IF(N1524&lt;&gt;"",INDEX($L$2:$L$1705,MATCH(N1524,$M$2:$M$1705,0)),"")</f>
        <v/>
      </c>
      <c r="P1524" s="1" t="str">
        <f>IF(O1524&lt;&gt;"",ROWS($O$2:O1524),"")</f>
        <v/>
      </c>
    </row>
    <row r="1525" spans="10:16" x14ac:dyDescent="0.2">
      <c r="J1525" s="1">
        <f>COUNTIF($L$2:L1525,L1525)</f>
        <v>8</v>
      </c>
      <c r="K1525" s="1">
        <f>A673</f>
        <v>2006</v>
      </c>
      <c r="L1525" s="1" t="str">
        <f>E673</f>
        <v>Australia</v>
      </c>
      <c r="M1525" s="1" t="str">
        <f>IF(J1525=1,J1525+ROWS($J$2:J1525)/10000,"")</f>
        <v/>
      </c>
      <c r="N1525" s="1" t="str">
        <f>IFERROR(SMALL($M$2:$M$1705,ROWS($M$2:M1525)),"")</f>
        <v/>
      </c>
      <c r="O1525" s="1" t="str">
        <f>IF(N1525&lt;&gt;"",INDEX($L$2:$L$1705,MATCH(N1525,$M$2:$M$1705,0)),"")</f>
        <v/>
      </c>
      <c r="P1525" s="1" t="str">
        <f>IF(O1525&lt;&gt;"",ROWS($O$2:O1525),"")</f>
        <v/>
      </c>
    </row>
    <row r="1526" spans="10:16" x14ac:dyDescent="0.2">
      <c r="J1526" s="1">
        <f>COUNTIF($L$2:L1526,L1526)</f>
        <v>26</v>
      </c>
      <c r="K1526" s="1">
        <f>A674</f>
        <v>2006</v>
      </c>
      <c r="L1526" s="1" t="str">
        <f>E674</f>
        <v>Korea Republic</v>
      </c>
      <c r="M1526" s="1" t="str">
        <f>IF(J1526=1,J1526+ROWS($J$2:J1526)/10000,"")</f>
        <v/>
      </c>
      <c r="N1526" s="1" t="str">
        <f>IFERROR(SMALL($M$2:$M$1705,ROWS($M$2:M1526)),"")</f>
        <v/>
      </c>
      <c r="O1526" s="1" t="str">
        <f>IF(N1526&lt;&gt;"",INDEX($L$2:$L$1705,MATCH(N1526,$M$2:$M$1705,0)),"")</f>
        <v/>
      </c>
      <c r="P1526" s="1" t="str">
        <f>IF(O1526&lt;&gt;"",ROWS($O$2:O1526),"")</f>
        <v/>
      </c>
    </row>
    <row r="1527" spans="10:16" x14ac:dyDescent="0.2">
      <c r="J1527" s="1">
        <f>COUNTIF($L$2:L1527,L1527)</f>
        <v>29</v>
      </c>
      <c r="K1527" s="1">
        <f>A675</f>
        <v>2006</v>
      </c>
      <c r="L1527" s="1" t="str">
        <f>E675</f>
        <v>Switzerland</v>
      </c>
      <c r="M1527" s="1" t="str">
        <f>IF(J1527=1,J1527+ROWS($J$2:J1527)/10000,"")</f>
        <v/>
      </c>
      <c r="N1527" s="1" t="str">
        <f>IFERROR(SMALL($M$2:$M$1705,ROWS($M$2:M1527)),"")</f>
        <v/>
      </c>
      <c r="O1527" s="1" t="str">
        <f>IF(N1527&lt;&gt;"",INDEX($L$2:$L$1705,MATCH(N1527,$M$2:$M$1705,0)),"")</f>
        <v/>
      </c>
      <c r="P1527" s="1" t="str">
        <f>IF(O1527&lt;&gt;"",ROWS($O$2:O1527),"")</f>
        <v/>
      </c>
    </row>
    <row r="1528" spans="10:16" x14ac:dyDescent="0.2">
      <c r="J1528" s="1">
        <f>COUNTIF($L$2:L1528,L1528)</f>
        <v>3</v>
      </c>
      <c r="K1528" s="1">
        <f>A676</f>
        <v>2006</v>
      </c>
      <c r="L1528" s="1" t="str">
        <f>E676</f>
        <v>Ukraine</v>
      </c>
      <c r="M1528" s="1" t="str">
        <f>IF(J1528=1,J1528+ROWS($J$2:J1528)/10000,"")</f>
        <v/>
      </c>
      <c r="N1528" s="1" t="str">
        <f>IFERROR(SMALL($M$2:$M$1705,ROWS($M$2:M1528)),"")</f>
        <v/>
      </c>
      <c r="O1528" s="1" t="str">
        <f>IF(N1528&lt;&gt;"",INDEX($L$2:$L$1705,MATCH(N1528,$M$2:$M$1705,0)),"")</f>
        <v/>
      </c>
      <c r="P1528" s="1" t="str">
        <f>IF(O1528&lt;&gt;"",ROWS($O$2:O1528),"")</f>
        <v/>
      </c>
    </row>
    <row r="1529" spans="10:16" x14ac:dyDescent="0.2">
      <c r="J1529" s="1">
        <f>COUNTIF($L$2:L1529,L1529)</f>
        <v>11</v>
      </c>
      <c r="K1529" s="1">
        <f>A677</f>
        <v>2006</v>
      </c>
      <c r="L1529" s="1" t="str">
        <f>E677</f>
        <v>Tunisia</v>
      </c>
      <c r="M1529" s="1" t="str">
        <f>IF(J1529=1,J1529+ROWS($J$2:J1529)/10000,"")</f>
        <v/>
      </c>
      <c r="N1529" s="1" t="str">
        <f>IFERROR(SMALL($M$2:$M$1705,ROWS($M$2:M1529)),"")</f>
        <v/>
      </c>
      <c r="O1529" s="1" t="str">
        <f>IF(N1529&lt;&gt;"",INDEX($L$2:$L$1705,MATCH(N1529,$M$2:$M$1705,0)),"")</f>
        <v/>
      </c>
      <c r="P1529" s="1" t="str">
        <f>IF(O1529&lt;&gt;"",ROWS($O$2:O1529),"")</f>
        <v/>
      </c>
    </row>
    <row r="1530" spans="10:16" x14ac:dyDescent="0.2">
      <c r="J1530" s="1">
        <f>COUNTIF($L$2:L1530,L1530)</f>
        <v>40</v>
      </c>
      <c r="K1530" s="1">
        <f>A678</f>
        <v>2006</v>
      </c>
      <c r="L1530" s="1" t="str">
        <f>E678</f>
        <v>Germany</v>
      </c>
      <c r="M1530" s="1" t="str">
        <f>IF(J1530=1,J1530+ROWS($J$2:J1530)/10000,"")</f>
        <v/>
      </c>
      <c r="N1530" s="1" t="str">
        <f>IFERROR(SMALL($M$2:$M$1705,ROWS($M$2:M1530)),"")</f>
        <v/>
      </c>
      <c r="O1530" s="1" t="str">
        <f>IF(N1530&lt;&gt;"",INDEX($L$2:$L$1705,MATCH(N1530,$M$2:$M$1705,0)),"")</f>
        <v/>
      </c>
      <c r="P1530" s="1" t="str">
        <f>IF(O1530&lt;&gt;"",ROWS($O$2:O1530),"")</f>
        <v/>
      </c>
    </row>
    <row r="1531" spans="10:16" x14ac:dyDescent="0.2">
      <c r="J1531" s="1">
        <f>COUNTIF($L$2:L1531,L1531)</f>
        <v>31</v>
      </c>
      <c r="K1531" s="1">
        <f>A679</f>
        <v>2006</v>
      </c>
      <c r="L1531" s="1" t="str">
        <f>E679</f>
        <v>Poland</v>
      </c>
      <c r="M1531" s="1" t="str">
        <f>IF(J1531=1,J1531+ROWS($J$2:J1531)/10000,"")</f>
        <v/>
      </c>
      <c r="N1531" s="1" t="str">
        <f>IFERROR(SMALL($M$2:$M$1705,ROWS($M$2:M1531)),"")</f>
        <v/>
      </c>
      <c r="O1531" s="1" t="str">
        <f>IF(N1531&lt;&gt;"",INDEX($L$2:$L$1705,MATCH(N1531,$M$2:$M$1705,0)),"")</f>
        <v/>
      </c>
      <c r="P1531" s="1" t="str">
        <f>IF(O1531&lt;&gt;"",ROWS($O$2:O1531),"")</f>
        <v/>
      </c>
    </row>
    <row r="1532" spans="10:16" x14ac:dyDescent="0.2">
      <c r="J1532" s="1">
        <f>COUNTIF($L$2:L1532,L1532)</f>
        <v>58</v>
      </c>
      <c r="K1532" s="1">
        <f>A680</f>
        <v>2006</v>
      </c>
      <c r="L1532" s="1" t="str">
        <f>E680</f>
        <v>England</v>
      </c>
      <c r="M1532" s="1" t="str">
        <f>IF(J1532=1,J1532+ROWS($J$2:J1532)/10000,"")</f>
        <v/>
      </c>
      <c r="N1532" s="1" t="str">
        <f>IFERROR(SMALL($M$2:$M$1705,ROWS($M$2:M1532)),"")</f>
        <v/>
      </c>
      <c r="O1532" s="1" t="str">
        <f>IF(N1532&lt;&gt;"",INDEX($L$2:$L$1705,MATCH(N1532,$M$2:$M$1705,0)),"")</f>
        <v/>
      </c>
      <c r="P1532" s="1" t="str">
        <f>IF(O1532&lt;&gt;"",ROWS($O$2:O1532),"")</f>
        <v/>
      </c>
    </row>
    <row r="1533" spans="10:16" x14ac:dyDescent="0.2">
      <c r="J1533" s="1">
        <f>COUNTIF($L$2:L1533,L1533)</f>
        <v>3</v>
      </c>
      <c r="K1533" s="1">
        <f>A681</f>
        <v>2006</v>
      </c>
      <c r="L1533" s="1" t="str">
        <f>E681</f>
        <v>Trinidad and Tobago</v>
      </c>
      <c r="M1533" s="1" t="str">
        <f>IF(J1533=1,J1533+ROWS($J$2:J1533)/10000,"")</f>
        <v/>
      </c>
      <c r="N1533" s="1" t="str">
        <f>IFERROR(SMALL($M$2:$M$1705,ROWS($M$2:M1533)),"")</f>
        <v/>
      </c>
      <c r="O1533" s="1" t="str">
        <f>IF(N1533&lt;&gt;"",INDEX($L$2:$L$1705,MATCH(N1533,$M$2:$M$1705,0)),"")</f>
        <v/>
      </c>
      <c r="P1533" s="1" t="str">
        <f>IF(O1533&lt;&gt;"",ROWS($O$2:O1533),"")</f>
        <v/>
      </c>
    </row>
    <row r="1534" spans="10:16" x14ac:dyDescent="0.2">
      <c r="J1534" s="1">
        <f>COUNTIF($L$2:L1534,L1534)</f>
        <v>3</v>
      </c>
      <c r="K1534" s="1">
        <f>A682</f>
        <v>2006</v>
      </c>
      <c r="L1534" s="1" t="str">
        <f>E682</f>
        <v>Angola</v>
      </c>
      <c r="M1534" s="1" t="str">
        <f>IF(J1534=1,J1534+ROWS($J$2:J1534)/10000,"")</f>
        <v/>
      </c>
      <c r="N1534" s="1" t="str">
        <f>IFERROR(SMALL($M$2:$M$1705,ROWS($M$2:M1534)),"")</f>
        <v/>
      </c>
      <c r="O1534" s="1" t="str">
        <f>IF(N1534&lt;&gt;"",INDEX($L$2:$L$1705,MATCH(N1534,$M$2:$M$1705,0)),"")</f>
        <v/>
      </c>
      <c r="P1534" s="1" t="str">
        <f>IF(O1534&lt;&gt;"",ROWS($O$2:O1534),"")</f>
        <v/>
      </c>
    </row>
    <row r="1535" spans="10:16" x14ac:dyDescent="0.2">
      <c r="J1535" s="1">
        <f>COUNTIF($L$2:L1535,L1535)</f>
        <v>46</v>
      </c>
      <c r="K1535" s="1">
        <f>A683</f>
        <v>2006</v>
      </c>
      <c r="L1535" s="1" t="str">
        <f>E683</f>
        <v>Mexico</v>
      </c>
      <c r="M1535" s="1" t="str">
        <f>IF(J1535=1,J1535+ROWS($J$2:J1535)/10000,"")</f>
        <v/>
      </c>
      <c r="N1535" s="1" t="str">
        <f>IFERROR(SMALL($M$2:$M$1705,ROWS($M$2:M1535)),"")</f>
        <v/>
      </c>
      <c r="O1535" s="1" t="str">
        <f>IF(N1535&lt;&gt;"",INDEX($L$2:$L$1705,MATCH(N1535,$M$2:$M$1705,0)),"")</f>
        <v/>
      </c>
      <c r="P1535" s="1" t="str">
        <f>IF(O1535&lt;&gt;"",ROWS($O$2:O1535),"")</f>
        <v/>
      </c>
    </row>
    <row r="1536" spans="10:16" x14ac:dyDescent="0.2">
      <c r="J1536" s="1">
        <f>COUNTIF($L$2:L1536,L1536)</f>
        <v>74</v>
      </c>
      <c r="K1536" s="1">
        <f>A684</f>
        <v>2006</v>
      </c>
      <c r="L1536" s="1" t="str">
        <f>E684</f>
        <v>Argentina</v>
      </c>
      <c r="M1536" s="1" t="str">
        <f>IF(J1536=1,J1536+ROWS($J$2:J1536)/10000,"")</f>
        <v/>
      </c>
      <c r="N1536" s="1" t="str">
        <f>IFERROR(SMALL($M$2:$M$1705,ROWS($M$2:M1536)),"")</f>
        <v/>
      </c>
      <c r="O1536" s="1" t="str">
        <f>IF(N1536&lt;&gt;"",INDEX($L$2:$L$1705,MATCH(N1536,$M$2:$M$1705,0)),"")</f>
        <v/>
      </c>
      <c r="P1536" s="1" t="str">
        <f>IF(O1536&lt;&gt;"",ROWS($O$2:O1536),"")</f>
        <v/>
      </c>
    </row>
    <row r="1537" spans="10:16" x14ac:dyDescent="0.2">
      <c r="J1537" s="1">
        <f>COUNTIF($L$2:L1537,L1537)</f>
        <v>3</v>
      </c>
      <c r="K1537" s="1">
        <f>A685</f>
        <v>2006</v>
      </c>
      <c r="L1537" s="1" t="str">
        <f>E685</f>
        <v>Serbia and Montenegro</v>
      </c>
      <c r="M1537" s="1" t="str">
        <f>IF(J1537=1,J1537+ROWS($J$2:J1537)/10000,"")</f>
        <v/>
      </c>
      <c r="N1537" s="1" t="str">
        <f>IFERROR(SMALL($M$2:$M$1705,ROWS($M$2:M1537)),"")</f>
        <v/>
      </c>
      <c r="O1537" s="1" t="str">
        <f>IF(N1537&lt;&gt;"",INDEX($L$2:$L$1705,MATCH(N1537,$M$2:$M$1705,0)),"")</f>
        <v/>
      </c>
      <c r="P1537" s="1" t="str">
        <f>IF(O1537&lt;&gt;"",ROWS($O$2:O1537),"")</f>
        <v/>
      </c>
    </row>
    <row r="1538" spans="10:16" x14ac:dyDescent="0.2">
      <c r="J1538" s="1">
        <f>COUNTIF($L$2:L1538,L1538)</f>
        <v>80</v>
      </c>
      <c r="K1538" s="1">
        <f>A686</f>
        <v>2006</v>
      </c>
      <c r="L1538" s="1" t="str">
        <f>E686</f>
        <v>Italy</v>
      </c>
      <c r="M1538" s="1" t="str">
        <f>IF(J1538=1,J1538+ROWS($J$2:J1538)/10000,"")</f>
        <v/>
      </c>
      <c r="N1538" s="1" t="str">
        <f>IFERROR(SMALL($M$2:$M$1705,ROWS($M$2:M1538)),"")</f>
        <v/>
      </c>
      <c r="O1538" s="1" t="str">
        <f>IF(N1538&lt;&gt;"",INDEX($L$2:$L$1705,MATCH(N1538,$M$2:$M$1705,0)),"")</f>
        <v/>
      </c>
      <c r="P1538" s="1" t="str">
        <f>IF(O1538&lt;&gt;"",ROWS($O$2:O1538),"")</f>
        <v/>
      </c>
    </row>
    <row r="1539" spans="10:16" x14ac:dyDescent="0.2">
      <c r="J1539" s="1">
        <f>COUNTIF($L$2:L1539,L1539)</f>
        <v>29</v>
      </c>
      <c r="K1539" s="1">
        <f>A687</f>
        <v>2006</v>
      </c>
      <c r="L1539" s="1" t="str">
        <f>E687</f>
        <v>USA</v>
      </c>
      <c r="M1539" s="1" t="str">
        <f>IF(J1539=1,J1539+ROWS($J$2:J1539)/10000,"")</f>
        <v/>
      </c>
      <c r="N1539" s="1" t="str">
        <f>IFERROR(SMALL($M$2:$M$1705,ROWS($M$2:M1539)),"")</f>
        <v/>
      </c>
      <c r="O1539" s="1" t="str">
        <f>IF(N1539&lt;&gt;"",INDEX($L$2:$L$1705,MATCH(N1539,$M$2:$M$1705,0)),"")</f>
        <v/>
      </c>
      <c r="P1539" s="1" t="str">
        <f>IF(O1539&lt;&gt;"",ROWS($O$2:O1539),"")</f>
        <v/>
      </c>
    </row>
    <row r="1540" spans="10:16" x14ac:dyDescent="0.2">
      <c r="J1540" s="1">
        <f>COUNTIF($L$2:L1540,L1540)</f>
        <v>105</v>
      </c>
      <c r="K1540" s="1">
        <f>A688</f>
        <v>2006</v>
      </c>
      <c r="L1540" s="1" t="str">
        <f>E688</f>
        <v>Brazil</v>
      </c>
      <c r="M1540" s="1" t="str">
        <f>IF(J1540=1,J1540+ROWS($J$2:J1540)/10000,"")</f>
        <v/>
      </c>
      <c r="N1540" s="1" t="str">
        <f>IFERROR(SMALL($M$2:$M$1705,ROWS($M$2:M1540)),"")</f>
        <v/>
      </c>
      <c r="O1540" s="1" t="str">
        <f>IF(N1540&lt;&gt;"",INDEX($L$2:$L$1705,MATCH(N1540,$M$2:$M$1705,0)),"")</f>
        <v/>
      </c>
      <c r="P1540" s="1" t="str">
        <f>IF(O1540&lt;&gt;"",ROWS($O$2:O1540),"")</f>
        <v/>
      </c>
    </row>
    <row r="1541" spans="10:16" x14ac:dyDescent="0.2">
      <c r="J1541" s="1">
        <f>COUNTIF($L$2:L1541,L1541)</f>
        <v>9</v>
      </c>
      <c r="K1541" s="1">
        <f>A689</f>
        <v>2006</v>
      </c>
      <c r="L1541" s="1" t="str">
        <f>E689</f>
        <v>Australia</v>
      </c>
      <c r="M1541" s="1" t="str">
        <f>IF(J1541=1,J1541+ROWS($J$2:J1541)/10000,"")</f>
        <v/>
      </c>
      <c r="N1541" s="1" t="str">
        <f>IFERROR(SMALL($M$2:$M$1705,ROWS($M$2:M1541)),"")</f>
        <v/>
      </c>
      <c r="O1541" s="1" t="str">
        <f>IF(N1541&lt;&gt;"",INDEX($L$2:$L$1705,MATCH(N1541,$M$2:$M$1705,0)),"")</f>
        <v/>
      </c>
      <c r="P1541" s="1" t="str">
        <f>IF(O1541&lt;&gt;"",ROWS($O$2:O1541),"")</f>
        <v/>
      </c>
    </row>
    <row r="1542" spans="10:16" x14ac:dyDescent="0.2">
      <c r="J1542" s="1">
        <f>COUNTIF($L$2:L1542,L1542)</f>
        <v>12</v>
      </c>
      <c r="K1542" s="1">
        <f>A690</f>
        <v>2006</v>
      </c>
      <c r="L1542" s="1" t="str">
        <f>E690</f>
        <v>Tunisia</v>
      </c>
      <c r="M1542" s="1" t="str">
        <f>IF(J1542=1,J1542+ROWS($J$2:J1542)/10000,"")</f>
        <v/>
      </c>
      <c r="N1542" s="1" t="str">
        <f>IFERROR(SMALL($M$2:$M$1705,ROWS($M$2:M1542)),"")</f>
        <v/>
      </c>
      <c r="O1542" s="1" t="str">
        <f>IF(N1542&lt;&gt;"",INDEX($L$2:$L$1705,MATCH(N1542,$M$2:$M$1705,0)),"")</f>
        <v/>
      </c>
      <c r="P1542" s="1" t="str">
        <f>IF(O1542&lt;&gt;"",ROWS($O$2:O1542),"")</f>
        <v/>
      </c>
    </row>
    <row r="1543" spans="10:16" x14ac:dyDescent="0.2">
      <c r="J1543" s="1">
        <f>COUNTIF($L$2:L1543,L1543)</f>
        <v>54</v>
      </c>
      <c r="K1543" s="1">
        <f>A691</f>
        <v>2006</v>
      </c>
      <c r="L1543" s="1" t="str">
        <f>E691</f>
        <v>Spain</v>
      </c>
      <c r="M1543" s="1" t="str">
        <f>IF(J1543=1,J1543+ROWS($J$2:J1543)/10000,"")</f>
        <v/>
      </c>
      <c r="N1543" s="1" t="str">
        <f>IFERROR(SMALL($M$2:$M$1705,ROWS($M$2:M1543)),"")</f>
        <v/>
      </c>
      <c r="O1543" s="1" t="str">
        <f>IF(N1543&lt;&gt;"",INDEX($L$2:$L$1705,MATCH(N1543,$M$2:$M$1705,0)),"")</f>
        <v/>
      </c>
      <c r="P1543" s="1" t="str">
        <f>IF(O1543&lt;&gt;"",ROWS($O$2:O1543),"")</f>
        <v/>
      </c>
    </row>
    <row r="1544" spans="10:16" x14ac:dyDescent="0.2">
      <c r="J1544" s="1">
        <f>COUNTIF($L$2:L1544,L1544)</f>
        <v>54</v>
      </c>
      <c r="K1544" s="1">
        <f>A692</f>
        <v>2006</v>
      </c>
      <c r="L1544" s="1" t="str">
        <f>E692</f>
        <v>France</v>
      </c>
      <c r="M1544" s="1" t="str">
        <f>IF(J1544=1,J1544+ROWS($J$2:J1544)/10000,"")</f>
        <v/>
      </c>
      <c r="N1544" s="1" t="str">
        <f>IFERROR(SMALL($M$2:$M$1705,ROWS($M$2:M1544)),"")</f>
        <v/>
      </c>
      <c r="O1544" s="1" t="str">
        <f>IF(N1544&lt;&gt;"",INDEX($L$2:$L$1705,MATCH(N1544,$M$2:$M$1705,0)),"")</f>
        <v/>
      </c>
      <c r="P1544" s="1" t="str">
        <f>IF(O1544&lt;&gt;"",ROWS($O$2:O1544),"")</f>
        <v/>
      </c>
    </row>
    <row r="1545" spans="10:16" x14ac:dyDescent="0.2">
      <c r="J1545" s="1">
        <f>COUNTIF($L$2:L1545,L1545)</f>
        <v>27</v>
      </c>
      <c r="K1545" s="1">
        <f>A693</f>
        <v>2006</v>
      </c>
      <c r="L1545" s="1" t="str">
        <f>E693</f>
        <v>Korea Republic</v>
      </c>
      <c r="M1545" s="1" t="str">
        <f>IF(J1545=1,J1545+ROWS($J$2:J1545)/10000,"")</f>
        <v/>
      </c>
      <c r="N1545" s="1" t="str">
        <f>IFERROR(SMALL($M$2:$M$1705,ROWS($M$2:M1545)),"")</f>
        <v/>
      </c>
      <c r="O1545" s="1" t="str">
        <f>IF(N1545&lt;&gt;"",INDEX($L$2:$L$1705,MATCH(N1545,$M$2:$M$1705,0)),"")</f>
        <v/>
      </c>
      <c r="P1545" s="1" t="str">
        <f>IF(O1545&lt;&gt;"",ROWS($O$2:O1545),"")</f>
        <v/>
      </c>
    </row>
    <row r="1546" spans="10:16" x14ac:dyDescent="0.2">
      <c r="J1546" s="1">
        <f>COUNTIF($L$2:L1546,L1546)</f>
        <v>46</v>
      </c>
      <c r="K1546" s="1">
        <f>A694</f>
        <v>2006</v>
      </c>
      <c r="L1546" s="1" t="str">
        <f>E694</f>
        <v>Sweden</v>
      </c>
      <c r="M1546" s="1" t="str">
        <f>IF(J1546=1,J1546+ROWS($J$2:J1546)/10000,"")</f>
        <v/>
      </c>
      <c r="N1546" s="1" t="str">
        <f>IFERROR(SMALL($M$2:$M$1705,ROWS($M$2:M1546)),"")</f>
        <v/>
      </c>
      <c r="O1546" s="1" t="str">
        <f>IF(N1546&lt;&gt;"",INDEX($L$2:$L$1705,MATCH(N1546,$M$2:$M$1705,0)),"")</f>
        <v/>
      </c>
      <c r="P1546" s="1" t="str">
        <f>IF(O1546&lt;&gt;"",ROWS($O$2:O1546),"")</f>
        <v/>
      </c>
    </row>
    <row r="1547" spans="10:16" x14ac:dyDescent="0.2">
      <c r="J1547" s="1">
        <f>COUNTIF($L$2:L1547,L1547)</f>
        <v>47</v>
      </c>
      <c r="K1547" s="1">
        <f>A695</f>
        <v>2006</v>
      </c>
      <c r="L1547" s="1" t="str">
        <f>E695</f>
        <v>Mexico</v>
      </c>
      <c r="M1547" s="1" t="str">
        <f>IF(J1547=1,J1547+ROWS($J$2:J1547)/10000,"")</f>
        <v/>
      </c>
      <c r="N1547" s="1" t="str">
        <f>IFERROR(SMALL($M$2:$M$1705,ROWS($M$2:M1547)),"")</f>
        <v/>
      </c>
      <c r="O1547" s="1" t="str">
        <f>IF(N1547&lt;&gt;"",INDEX($L$2:$L$1705,MATCH(N1547,$M$2:$M$1705,0)),"")</f>
        <v/>
      </c>
      <c r="P1547" s="1" t="str">
        <f>IF(O1547&lt;&gt;"",ROWS($O$2:O1547),"")</f>
        <v/>
      </c>
    </row>
    <row r="1548" spans="10:16" x14ac:dyDescent="0.2">
      <c r="J1548" s="1">
        <f>COUNTIF($L$2:L1548,L1548)</f>
        <v>8</v>
      </c>
      <c r="K1548" s="1">
        <f>A696</f>
        <v>2006</v>
      </c>
      <c r="L1548" s="1" t="str">
        <f>E696</f>
        <v>Ecuador</v>
      </c>
      <c r="M1548" s="1" t="str">
        <f>IF(J1548=1,J1548+ROWS($J$2:J1548)/10000,"")</f>
        <v/>
      </c>
      <c r="N1548" s="1" t="str">
        <f>IFERROR(SMALL($M$2:$M$1705,ROWS($M$2:M1548)),"")</f>
        <v/>
      </c>
      <c r="O1548" s="1" t="str">
        <f>IF(N1548&lt;&gt;"",INDEX($L$2:$L$1705,MATCH(N1548,$M$2:$M$1705,0)),"")</f>
        <v/>
      </c>
      <c r="P1548" s="1" t="str">
        <f>IF(O1548&lt;&gt;"",ROWS($O$2:O1548),"")</f>
        <v/>
      </c>
    </row>
    <row r="1549" spans="10:16" x14ac:dyDescent="0.2">
      <c r="J1549" s="1">
        <f>COUNTIF($L$2:L1549,L1549)</f>
        <v>48</v>
      </c>
      <c r="K1549" s="1">
        <f>A697</f>
        <v>2006</v>
      </c>
      <c r="L1549" s="1" t="str">
        <f>E697</f>
        <v>Netherlands</v>
      </c>
      <c r="M1549" s="1" t="str">
        <f>IF(J1549=1,J1549+ROWS($J$2:J1549)/10000,"")</f>
        <v/>
      </c>
      <c r="N1549" s="1" t="str">
        <f>IFERROR(SMALL($M$2:$M$1705,ROWS($M$2:M1549)),"")</f>
        <v/>
      </c>
      <c r="O1549" s="1" t="str">
        <f>IF(N1549&lt;&gt;"",INDEX($L$2:$L$1705,MATCH(N1549,$M$2:$M$1705,0)),"")</f>
        <v/>
      </c>
      <c r="P1549" s="1" t="str">
        <f>IF(O1549&lt;&gt;"",ROWS($O$2:O1549),"")</f>
        <v/>
      </c>
    </row>
    <row r="1550" spans="10:16" x14ac:dyDescent="0.2">
      <c r="J1550" s="1">
        <f>COUNTIF($L$2:L1550,L1550)</f>
        <v>10</v>
      </c>
      <c r="K1550" s="1">
        <f>A698</f>
        <v>2006</v>
      </c>
      <c r="L1550" s="1" t="str">
        <f>E698</f>
        <v>Australia</v>
      </c>
      <c r="M1550" s="1" t="str">
        <f>IF(J1550=1,J1550+ROWS($J$2:J1550)/10000,"")</f>
        <v/>
      </c>
      <c r="N1550" s="1" t="str">
        <f>IFERROR(SMALL($M$2:$M$1705,ROWS($M$2:M1550)),"")</f>
        <v/>
      </c>
      <c r="O1550" s="1" t="str">
        <f>IF(N1550&lt;&gt;"",INDEX($L$2:$L$1705,MATCH(N1550,$M$2:$M$1705,0)),"")</f>
        <v/>
      </c>
      <c r="P1550" s="1" t="str">
        <f>IF(O1550&lt;&gt;"",ROWS($O$2:O1550),"")</f>
        <v/>
      </c>
    </row>
    <row r="1551" spans="10:16" x14ac:dyDescent="0.2">
      <c r="J1551" s="1">
        <f>COUNTIF($L$2:L1551,L1551)</f>
        <v>4</v>
      </c>
      <c r="K1551" s="1">
        <f>A699</f>
        <v>2006</v>
      </c>
      <c r="L1551" s="1" t="str">
        <f>E699</f>
        <v>Ukraine</v>
      </c>
      <c r="M1551" s="1" t="str">
        <f>IF(J1551=1,J1551+ROWS($J$2:J1551)/10000,"")</f>
        <v/>
      </c>
      <c r="N1551" s="1" t="str">
        <f>IFERROR(SMALL($M$2:$M$1705,ROWS($M$2:M1551)),"")</f>
        <v/>
      </c>
      <c r="O1551" s="1" t="str">
        <f>IF(N1551&lt;&gt;"",INDEX($L$2:$L$1705,MATCH(N1551,$M$2:$M$1705,0)),"")</f>
        <v/>
      </c>
      <c r="P1551" s="1" t="str">
        <f>IF(O1551&lt;&gt;"",ROWS($O$2:O1551),"")</f>
        <v/>
      </c>
    </row>
    <row r="1552" spans="10:16" x14ac:dyDescent="0.2">
      <c r="J1552" s="1">
        <f>COUNTIF($L$2:L1552,L1552)</f>
        <v>7</v>
      </c>
      <c r="K1552" s="1">
        <f>A700</f>
        <v>2006</v>
      </c>
      <c r="L1552" s="1" t="str">
        <f>E700</f>
        <v>Ghana</v>
      </c>
      <c r="M1552" s="1" t="str">
        <f>IF(J1552=1,J1552+ROWS($J$2:J1552)/10000,"")</f>
        <v/>
      </c>
      <c r="N1552" s="1" t="str">
        <f>IFERROR(SMALL($M$2:$M$1705,ROWS($M$2:M1552)),"")</f>
        <v/>
      </c>
      <c r="O1552" s="1" t="str">
        <f>IF(N1552&lt;&gt;"",INDEX($L$2:$L$1705,MATCH(N1552,$M$2:$M$1705,0)),"")</f>
        <v/>
      </c>
      <c r="P1552" s="1" t="str">
        <f>IF(O1552&lt;&gt;"",ROWS($O$2:O1552),"")</f>
        <v/>
      </c>
    </row>
    <row r="1553" spans="10:16" x14ac:dyDescent="0.2">
      <c r="J1553" s="1">
        <f>COUNTIF($L$2:L1553,L1553)</f>
        <v>55</v>
      </c>
      <c r="K1553" s="1">
        <f>A701</f>
        <v>2006</v>
      </c>
      <c r="L1553" s="1" t="str">
        <f>E701</f>
        <v>France</v>
      </c>
      <c r="M1553" s="1" t="str">
        <f>IF(J1553=1,J1553+ROWS($J$2:J1553)/10000,"")</f>
        <v/>
      </c>
      <c r="N1553" s="1" t="str">
        <f>IFERROR(SMALL($M$2:$M$1705,ROWS($M$2:M1553)),"")</f>
        <v/>
      </c>
      <c r="O1553" s="1" t="str">
        <f>IF(N1553&lt;&gt;"",INDEX($L$2:$L$1705,MATCH(N1553,$M$2:$M$1705,0)),"")</f>
        <v/>
      </c>
      <c r="P1553" s="1" t="str">
        <f>IF(O1553&lt;&gt;"",ROWS($O$2:O1553),"")</f>
        <v/>
      </c>
    </row>
    <row r="1554" spans="10:16" x14ac:dyDescent="0.2">
      <c r="J1554" s="1">
        <f>COUNTIF($L$2:L1554,L1554)</f>
        <v>75</v>
      </c>
      <c r="K1554" s="1">
        <f>A702</f>
        <v>2006</v>
      </c>
      <c r="L1554" s="1" t="str">
        <f>E702</f>
        <v>Argentina</v>
      </c>
      <c r="M1554" s="1" t="str">
        <f>IF(J1554=1,J1554+ROWS($J$2:J1554)/10000,"")</f>
        <v/>
      </c>
      <c r="N1554" s="1" t="str">
        <f>IFERROR(SMALL($M$2:$M$1705,ROWS($M$2:M1554)),"")</f>
        <v/>
      </c>
      <c r="O1554" s="1" t="str">
        <f>IF(N1554&lt;&gt;"",INDEX($L$2:$L$1705,MATCH(N1554,$M$2:$M$1705,0)),"")</f>
        <v/>
      </c>
      <c r="P1554" s="1" t="str">
        <f>IF(O1554&lt;&gt;"",ROWS($O$2:O1554),"")</f>
        <v/>
      </c>
    </row>
    <row r="1555" spans="10:16" x14ac:dyDescent="0.2">
      <c r="J1555" s="1">
        <f>COUNTIF($L$2:L1555,L1555)</f>
        <v>5</v>
      </c>
      <c r="K1555" s="1">
        <f>A703</f>
        <v>2006</v>
      </c>
      <c r="L1555" s="1" t="str">
        <f>E703</f>
        <v>Ukraine</v>
      </c>
      <c r="M1555" s="1" t="str">
        <f>IF(J1555=1,J1555+ROWS($J$2:J1555)/10000,"")</f>
        <v/>
      </c>
      <c r="N1555" s="1" t="str">
        <f>IFERROR(SMALL($M$2:$M$1705,ROWS($M$2:M1555)),"")</f>
        <v/>
      </c>
      <c r="O1555" s="1" t="str">
        <f>IF(N1555&lt;&gt;"",INDEX($L$2:$L$1705,MATCH(N1555,$M$2:$M$1705,0)),"")</f>
        <v/>
      </c>
      <c r="P1555" s="1" t="str">
        <f>IF(O1555&lt;&gt;"",ROWS($O$2:O1555),"")</f>
        <v/>
      </c>
    </row>
    <row r="1556" spans="10:16" x14ac:dyDescent="0.2">
      <c r="J1556" s="1">
        <f>COUNTIF($L$2:L1556,L1556)</f>
        <v>21</v>
      </c>
      <c r="K1556" s="1">
        <f>A704</f>
        <v>2006</v>
      </c>
      <c r="L1556" s="1" t="str">
        <f>E704</f>
        <v>Portugal</v>
      </c>
      <c r="M1556" s="1" t="str">
        <f>IF(J1556=1,J1556+ROWS($J$2:J1556)/10000,"")</f>
        <v/>
      </c>
      <c r="N1556" s="1" t="str">
        <f>IFERROR(SMALL($M$2:$M$1705,ROWS($M$2:M1556)),"")</f>
        <v/>
      </c>
      <c r="O1556" s="1" t="str">
        <f>IF(N1556&lt;&gt;"",INDEX($L$2:$L$1705,MATCH(N1556,$M$2:$M$1705,0)),"")</f>
        <v/>
      </c>
      <c r="P1556" s="1" t="str">
        <f>IF(O1556&lt;&gt;"",ROWS($O$2:O1556),"")</f>
        <v/>
      </c>
    </row>
    <row r="1557" spans="10:16" x14ac:dyDescent="0.2">
      <c r="J1557" s="1">
        <f>COUNTIF($L$2:L1557,L1557)</f>
        <v>56</v>
      </c>
      <c r="K1557" s="1">
        <f>A705</f>
        <v>2006</v>
      </c>
      <c r="L1557" s="1" t="str">
        <f>E705</f>
        <v>France</v>
      </c>
      <c r="M1557" s="1" t="str">
        <f>IF(J1557=1,J1557+ROWS($J$2:J1557)/10000,"")</f>
        <v/>
      </c>
      <c r="N1557" s="1" t="str">
        <f>IFERROR(SMALL($M$2:$M$1705,ROWS($M$2:M1557)),"")</f>
        <v/>
      </c>
      <c r="O1557" s="1" t="str">
        <f>IF(N1557&lt;&gt;"",INDEX($L$2:$L$1705,MATCH(N1557,$M$2:$M$1705,0)),"")</f>
        <v/>
      </c>
      <c r="P1557" s="1" t="str">
        <f>IF(O1557&lt;&gt;"",ROWS($O$2:O1557),"")</f>
        <v/>
      </c>
    </row>
    <row r="1558" spans="10:16" x14ac:dyDescent="0.2">
      <c r="J1558" s="1">
        <f>COUNTIF($L$2:L1558,L1558)</f>
        <v>81</v>
      </c>
      <c r="K1558" s="1">
        <f>A706</f>
        <v>2006</v>
      </c>
      <c r="L1558" s="1" t="str">
        <f>E706</f>
        <v>Italy</v>
      </c>
      <c r="M1558" s="1" t="str">
        <f>IF(J1558=1,J1558+ROWS($J$2:J1558)/10000,"")</f>
        <v/>
      </c>
      <c r="N1558" s="1" t="str">
        <f>IFERROR(SMALL($M$2:$M$1705,ROWS($M$2:M1558)),"")</f>
        <v/>
      </c>
      <c r="O1558" s="1" t="str">
        <f>IF(N1558&lt;&gt;"",INDEX($L$2:$L$1705,MATCH(N1558,$M$2:$M$1705,0)),"")</f>
        <v/>
      </c>
      <c r="P1558" s="1" t="str">
        <f>IF(O1558&lt;&gt;"",ROWS($O$2:O1558),"")</f>
        <v/>
      </c>
    </row>
    <row r="1559" spans="10:16" x14ac:dyDescent="0.2">
      <c r="J1559" s="1">
        <f>COUNTIF($L$2:L1559,L1559)</f>
        <v>57</v>
      </c>
      <c r="K1559" s="1">
        <f>A707</f>
        <v>2006</v>
      </c>
      <c r="L1559" s="1" t="str">
        <f>E707</f>
        <v>France</v>
      </c>
      <c r="M1559" s="1" t="str">
        <f>IF(J1559=1,J1559+ROWS($J$2:J1559)/10000,"")</f>
        <v/>
      </c>
      <c r="N1559" s="1" t="str">
        <f>IFERROR(SMALL($M$2:$M$1705,ROWS($M$2:M1559)),"")</f>
        <v/>
      </c>
      <c r="O1559" s="1" t="str">
        <f>IF(N1559&lt;&gt;"",INDEX($L$2:$L$1705,MATCH(N1559,$M$2:$M$1705,0)),"")</f>
        <v/>
      </c>
      <c r="P1559" s="1" t="str">
        <f>IF(O1559&lt;&gt;"",ROWS($O$2:O1559),"")</f>
        <v/>
      </c>
    </row>
    <row r="1560" spans="10:16" x14ac:dyDescent="0.2">
      <c r="J1560" s="1">
        <f>COUNTIF($L$2:L1560,L1560)</f>
        <v>22</v>
      </c>
      <c r="K1560" s="1">
        <f>A708</f>
        <v>2006</v>
      </c>
      <c r="L1560" s="1" t="str">
        <f>E708</f>
        <v>Portugal</v>
      </c>
      <c r="M1560" s="1" t="str">
        <f>IF(J1560=1,J1560+ROWS($J$2:J1560)/10000,"")</f>
        <v/>
      </c>
      <c r="N1560" s="1" t="str">
        <f>IFERROR(SMALL($M$2:$M$1705,ROWS($M$2:M1560)),"")</f>
        <v/>
      </c>
      <c r="O1560" s="1" t="str">
        <f>IF(N1560&lt;&gt;"",INDEX($L$2:$L$1705,MATCH(N1560,$M$2:$M$1705,0)),"")</f>
        <v/>
      </c>
      <c r="P1560" s="1" t="str">
        <f>IF(O1560&lt;&gt;"",ROWS($O$2:O1560),"")</f>
        <v/>
      </c>
    </row>
    <row r="1561" spans="10:16" x14ac:dyDescent="0.2">
      <c r="J1561" s="1">
        <f>COUNTIF($L$2:L1561,L1561)</f>
        <v>58</v>
      </c>
      <c r="K1561" s="1">
        <f>A709</f>
        <v>2006</v>
      </c>
      <c r="L1561" s="1" t="str">
        <f>E709</f>
        <v>France</v>
      </c>
      <c r="M1561" s="1" t="str">
        <f>IF(J1561=1,J1561+ROWS($J$2:J1561)/10000,"")</f>
        <v/>
      </c>
      <c r="N1561" s="1" t="str">
        <f>IFERROR(SMALL($M$2:$M$1705,ROWS($M$2:M1561)),"")</f>
        <v/>
      </c>
      <c r="O1561" s="1" t="str">
        <f>IF(N1561&lt;&gt;"",INDEX($L$2:$L$1705,MATCH(N1561,$M$2:$M$1705,0)),"")</f>
        <v/>
      </c>
      <c r="P1561" s="1" t="str">
        <f>IF(O1561&lt;&gt;"",ROWS($O$2:O1561),"")</f>
        <v/>
      </c>
    </row>
    <row r="1562" spans="10:16" x14ac:dyDescent="0.2">
      <c r="J1562" s="1">
        <f>COUNTIF($L$2:L1562,L1562)</f>
        <v>48</v>
      </c>
      <c r="K1562" s="1">
        <f>A710</f>
        <v>2010</v>
      </c>
      <c r="L1562" s="1" t="str">
        <f>E710</f>
        <v>Mexico</v>
      </c>
      <c r="M1562" s="1" t="str">
        <f>IF(J1562=1,J1562+ROWS($J$2:J1562)/10000,"")</f>
        <v/>
      </c>
      <c r="N1562" s="1" t="str">
        <f>IFERROR(SMALL($M$2:$M$1705,ROWS($M$2:M1562)),"")</f>
        <v/>
      </c>
      <c r="O1562" s="1" t="str">
        <f>IF(N1562&lt;&gt;"",INDEX($L$2:$L$1705,MATCH(N1562,$M$2:$M$1705,0)),"")</f>
        <v/>
      </c>
      <c r="P1562" s="1" t="str">
        <f>IF(O1562&lt;&gt;"",ROWS($O$2:O1562),"")</f>
        <v/>
      </c>
    </row>
    <row r="1563" spans="10:16" x14ac:dyDescent="0.2">
      <c r="J1563" s="1">
        <f>COUNTIF($L$2:L1563,L1563)</f>
        <v>59</v>
      </c>
      <c r="K1563" s="1">
        <f>A711</f>
        <v>2010</v>
      </c>
      <c r="L1563" s="1" t="str">
        <f>E711</f>
        <v>France</v>
      </c>
      <c r="M1563" s="1" t="str">
        <f>IF(J1563=1,J1563+ROWS($J$2:J1563)/10000,"")</f>
        <v/>
      </c>
      <c r="N1563" s="1" t="str">
        <f>IFERROR(SMALL($M$2:$M$1705,ROWS($M$2:M1563)),"")</f>
        <v/>
      </c>
      <c r="O1563" s="1" t="str">
        <f>IF(N1563&lt;&gt;"",INDEX($L$2:$L$1705,MATCH(N1563,$M$2:$M$1705,0)),"")</f>
        <v/>
      </c>
      <c r="P1563" s="1" t="str">
        <f>IF(O1563&lt;&gt;"",ROWS($O$2:O1563),"")</f>
        <v/>
      </c>
    </row>
    <row r="1564" spans="10:16" x14ac:dyDescent="0.2">
      <c r="J1564" s="1">
        <f>COUNTIF($L$2:L1564,L1564)</f>
        <v>7</v>
      </c>
      <c r="K1564" s="1">
        <f>A712</f>
        <v>2010</v>
      </c>
      <c r="L1564" s="1" t="str">
        <f>E712</f>
        <v>Greece</v>
      </c>
      <c r="M1564" s="1" t="str">
        <f>IF(J1564=1,J1564+ROWS($J$2:J1564)/10000,"")</f>
        <v/>
      </c>
      <c r="N1564" s="1" t="str">
        <f>IFERROR(SMALL($M$2:$M$1705,ROWS($M$2:M1564)),"")</f>
        <v/>
      </c>
      <c r="O1564" s="1" t="str">
        <f>IF(N1564&lt;&gt;"",INDEX($L$2:$L$1705,MATCH(N1564,$M$2:$M$1705,0)),"")</f>
        <v/>
      </c>
      <c r="P1564" s="1" t="str">
        <f>IF(O1564&lt;&gt;"",ROWS($O$2:O1564),"")</f>
        <v/>
      </c>
    </row>
    <row r="1565" spans="10:16" x14ac:dyDescent="0.2">
      <c r="J1565" s="1">
        <f>COUNTIF($L$2:L1565,L1565)</f>
        <v>15</v>
      </c>
      <c r="K1565" s="1">
        <f>A713</f>
        <v>2010</v>
      </c>
      <c r="L1565" s="1" t="str">
        <f>E713</f>
        <v>Nigeria</v>
      </c>
      <c r="M1565" s="1" t="str">
        <f>IF(J1565=1,J1565+ROWS($J$2:J1565)/10000,"")</f>
        <v/>
      </c>
      <c r="N1565" s="1" t="str">
        <f>IFERROR(SMALL($M$2:$M$1705,ROWS($M$2:M1565)),"")</f>
        <v/>
      </c>
      <c r="O1565" s="1" t="str">
        <f>IF(N1565&lt;&gt;"",INDEX($L$2:$L$1705,MATCH(N1565,$M$2:$M$1705,0)),"")</f>
        <v/>
      </c>
      <c r="P1565" s="1" t="str">
        <f>IF(O1565&lt;&gt;"",ROWS($O$2:O1565),"")</f>
        <v/>
      </c>
    </row>
    <row r="1566" spans="10:16" x14ac:dyDescent="0.2">
      <c r="J1566" s="1">
        <f>COUNTIF($L$2:L1566,L1566)</f>
        <v>30</v>
      </c>
      <c r="K1566" s="1">
        <f>A714</f>
        <v>2010</v>
      </c>
      <c r="L1566" s="1" t="str">
        <f>E714</f>
        <v>USA</v>
      </c>
      <c r="M1566" s="1" t="str">
        <f>IF(J1566=1,J1566+ROWS($J$2:J1566)/10000,"")</f>
        <v/>
      </c>
      <c r="N1566" s="1" t="str">
        <f>IFERROR(SMALL($M$2:$M$1705,ROWS($M$2:M1566)),"")</f>
        <v/>
      </c>
      <c r="O1566" s="1" t="str">
        <f>IF(N1566&lt;&gt;"",INDEX($L$2:$L$1705,MATCH(N1566,$M$2:$M$1705,0)),"")</f>
        <v/>
      </c>
      <c r="P1566" s="1" t="str">
        <f>IF(O1566&lt;&gt;"",ROWS($O$2:O1566),"")</f>
        <v/>
      </c>
    </row>
    <row r="1567" spans="10:16" x14ac:dyDescent="0.2">
      <c r="J1567" s="1">
        <f>COUNTIF($L$2:L1567,L1567)</f>
        <v>6</v>
      </c>
      <c r="K1567" s="1">
        <f>A715</f>
        <v>2010</v>
      </c>
      <c r="L1567" s="1" t="str">
        <f>E715</f>
        <v>Slovenia</v>
      </c>
      <c r="M1567" s="1" t="str">
        <f>IF(J1567=1,J1567+ROWS($J$2:J1567)/10000,"")</f>
        <v/>
      </c>
      <c r="N1567" s="1" t="str">
        <f>IFERROR(SMALL($M$2:$M$1705,ROWS($M$2:M1567)),"")</f>
        <v/>
      </c>
      <c r="O1567" s="1" t="str">
        <f>IF(N1567&lt;&gt;"",INDEX($L$2:$L$1705,MATCH(N1567,$M$2:$M$1705,0)),"")</f>
        <v/>
      </c>
      <c r="P1567" s="1" t="str">
        <f>IF(O1567&lt;&gt;"",ROWS($O$2:O1567),"")</f>
        <v/>
      </c>
    </row>
    <row r="1568" spans="10:16" x14ac:dyDescent="0.2">
      <c r="J1568" s="1">
        <f>COUNTIF($L$2:L1568,L1568)</f>
        <v>8</v>
      </c>
      <c r="K1568" s="1">
        <f>A716</f>
        <v>2010</v>
      </c>
      <c r="L1568" s="1" t="str">
        <f>E716</f>
        <v>Ghana</v>
      </c>
      <c r="M1568" s="1" t="str">
        <f>IF(J1568=1,J1568+ROWS($J$2:J1568)/10000,"")</f>
        <v/>
      </c>
      <c r="N1568" s="1" t="str">
        <f>IFERROR(SMALL($M$2:$M$1705,ROWS($M$2:M1568)),"")</f>
        <v/>
      </c>
      <c r="O1568" s="1" t="str">
        <f>IF(N1568&lt;&gt;"",INDEX($L$2:$L$1705,MATCH(N1568,$M$2:$M$1705,0)),"")</f>
        <v/>
      </c>
      <c r="P1568" s="1" t="str">
        <f>IF(O1568&lt;&gt;"",ROWS($O$2:O1568),"")</f>
        <v/>
      </c>
    </row>
    <row r="1569" spans="10:16" x14ac:dyDescent="0.2">
      <c r="J1569" s="1">
        <f>COUNTIF($L$2:L1569,L1569)</f>
        <v>11</v>
      </c>
      <c r="K1569" s="1">
        <f>A717</f>
        <v>2010</v>
      </c>
      <c r="L1569" s="1" t="str">
        <f>E717</f>
        <v>Australia</v>
      </c>
      <c r="M1569" s="1" t="str">
        <f>IF(J1569=1,J1569+ROWS($J$2:J1569)/10000,"")</f>
        <v/>
      </c>
      <c r="N1569" s="1" t="str">
        <f>IFERROR(SMALL($M$2:$M$1705,ROWS($M$2:M1569)),"")</f>
        <v/>
      </c>
      <c r="O1569" s="1" t="str">
        <f>IF(N1569&lt;&gt;"",INDEX($L$2:$L$1705,MATCH(N1569,$M$2:$M$1705,0)),"")</f>
        <v/>
      </c>
      <c r="P1569" s="1" t="str">
        <f>IF(O1569&lt;&gt;"",ROWS($O$2:O1569),"")</f>
        <v/>
      </c>
    </row>
    <row r="1570" spans="10:16" x14ac:dyDescent="0.2">
      <c r="J1570" s="1">
        <f>COUNTIF($L$2:L1570,L1570)</f>
        <v>15</v>
      </c>
      <c r="K1570" s="1">
        <f>A718</f>
        <v>2010</v>
      </c>
      <c r="L1570" s="1" t="str">
        <f>E718</f>
        <v>Denmark</v>
      </c>
      <c r="M1570" s="1" t="str">
        <f>IF(J1570=1,J1570+ROWS($J$2:J1570)/10000,"")</f>
        <v/>
      </c>
      <c r="N1570" s="1" t="str">
        <f>IFERROR(SMALL($M$2:$M$1705,ROWS($M$2:M1570)),"")</f>
        <v/>
      </c>
      <c r="O1570" s="1" t="str">
        <f>IF(N1570&lt;&gt;"",INDEX($L$2:$L$1705,MATCH(N1570,$M$2:$M$1705,0)),"")</f>
        <v/>
      </c>
      <c r="P1570" s="1" t="str">
        <f>IF(O1570&lt;&gt;"",ROWS($O$2:O1570),"")</f>
        <v/>
      </c>
    </row>
    <row r="1571" spans="10:16" x14ac:dyDescent="0.2">
      <c r="J1571" s="1">
        <f>COUNTIF($L$2:L1571,L1571)</f>
        <v>22</v>
      </c>
      <c r="K1571" s="1">
        <f>A719</f>
        <v>2010</v>
      </c>
      <c r="L1571" s="1" t="str">
        <f>E719</f>
        <v>Cameroon</v>
      </c>
      <c r="M1571" s="1" t="str">
        <f>IF(J1571=1,J1571+ROWS($J$2:J1571)/10000,"")</f>
        <v/>
      </c>
      <c r="N1571" s="1" t="str">
        <f>IFERROR(SMALL($M$2:$M$1705,ROWS($M$2:M1571)),"")</f>
        <v/>
      </c>
      <c r="O1571" s="1" t="str">
        <f>IF(N1571&lt;&gt;"",INDEX($L$2:$L$1705,MATCH(N1571,$M$2:$M$1705,0)),"")</f>
        <v/>
      </c>
      <c r="P1571" s="1" t="str">
        <f>IF(O1571&lt;&gt;"",ROWS($O$2:O1571),"")</f>
        <v/>
      </c>
    </row>
    <row r="1572" spans="10:16" x14ac:dyDescent="0.2">
      <c r="J1572" s="1">
        <f>COUNTIF($L$2:L1572,L1572)</f>
        <v>26</v>
      </c>
      <c r="K1572" s="1">
        <f>A720</f>
        <v>2010</v>
      </c>
      <c r="L1572" s="1" t="str">
        <f>E720</f>
        <v>Paraguay</v>
      </c>
      <c r="M1572" s="1" t="str">
        <f>IF(J1572=1,J1572+ROWS($J$2:J1572)/10000,"")</f>
        <v/>
      </c>
      <c r="N1572" s="1" t="str">
        <f>IFERROR(SMALL($M$2:$M$1705,ROWS($M$2:M1572)),"")</f>
        <v/>
      </c>
      <c r="O1572" s="1" t="str">
        <f>IF(N1572&lt;&gt;"",INDEX($L$2:$L$1705,MATCH(N1572,$M$2:$M$1705,0)),"")</f>
        <v/>
      </c>
      <c r="P1572" s="1" t="str">
        <f>IF(O1572&lt;&gt;"",ROWS($O$2:O1572),"")</f>
        <v/>
      </c>
    </row>
    <row r="1573" spans="10:16" x14ac:dyDescent="0.2">
      <c r="J1573" s="1">
        <f>COUNTIF($L$2:L1573,L1573)</f>
        <v>3</v>
      </c>
      <c r="K1573" s="1">
        <f>A721</f>
        <v>2010</v>
      </c>
      <c r="L1573" s="1" t="str">
        <f>E721</f>
        <v>Slovakia</v>
      </c>
      <c r="M1573" s="1" t="str">
        <f>IF(J1573=1,J1573+ROWS($J$2:J1573)/10000,"")</f>
        <v/>
      </c>
      <c r="N1573" s="1" t="str">
        <f>IFERROR(SMALL($M$2:$M$1705,ROWS($M$2:M1573)),"")</f>
        <v/>
      </c>
      <c r="O1573" s="1" t="str">
        <f>IF(N1573&lt;&gt;"",INDEX($L$2:$L$1705,MATCH(N1573,$M$2:$M$1705,0)),"")</f>
        <v/>
      </c>
      <c r="P1573" s="1" t="str">
        <f>IF(O1573&lt;&gt;"",ROWS($O$2:O1573),"")</f>
        <v/>
      </c>
    </row>
    <row r="1574" spans="10:16" x14ac:dyDescent="0.2">
      <c r="J1574" s="1">
        <f>COUNTIF($L$2:L1574,L1574)</f>
        <v>23</v>
      </c>
      <c r="K1574" s="1">
        <f>A722</f>
        <v>2010</v>
      </c>
      <c r="L1574" s="1" t="str">
        <f>E722</f>
        <v>Portugal</v>
      </c>
      <c r="M1574" s="1" t="str">
        <f>IF(J1574=1,J1574+ROWS($J$2:J1574)/10000,"")</f>
        <v/>
      </c>
      <c r="N1574" s="1" t="str">
        <f>IFERROR(SMALL($M$2:$M$1705,ROWS($M$2:M1574)),"")</f>
        <v/>
      </c>
      <c r="O1574" s="1" t="str">
        <f>IF(N1574&lt;&gt;"",INDEX($L$2:$L$1705,MATCH(N1574,$M$2:$M$1705,0)),"")</f>
        <v/>
      </c>
      <c r="P1574" s="1" t="str">
        <f>IF(O1574&lt;&gt;"",ROWS($O$2:O1574),"")</f>
        <v/>
      </c>
    </row>
    <row r="1575" spans="10:16" x14ac:dyDescent="0.2">
      <c r="J1575" s="1">
        <f>COUNTIF($L$2:L1575,L1575)</f>
        <v>6</v>
      </c>
      <c r="K1575" s="1">
        <f>A723</f>
        <v>2010</v>
      </c>
      <c r="L1575" s="1" t="str">
        <f>E723</f>
        <v>Korea DPR</v>
      </c>
      <c r="M1575" s="1" t="str">
        <f>IF(J1575=1,J1575+ROWS($J$2:J1575)/10000,"")</f>
        <v/>
      </c>
      <c r="N1575" s="1" t="str">
        <f>IFERROR(SMALL($M$2:$M$1705,ROWS($M$2:M1575)),"")</f>
        <v/>
      </c>
      <c r="O1575" s="1" t="str">
        <f>IF(N1575&lt;&gt;"",INDEX($L$2:$L$1705,MATCH(N1575,$M$2:$M$1705,0)),"")</f>
        <v/>
      </c>
      <c r="P1575" s="1" t="str">
        <f>IF(O1575&lt;&gt;"",ROWS($O$2:O1575),"")</f>
        <v/>
      </c>
    </row>
    <row r="1576" spans="10:16" x14ac:dyDescent="0.2">
      <c r="J1576" s="1">
        <f>COUNTIF($L$2:L1576,L1576)</f>
        <v>29</v>
      </c>
      <c r="K1576" s="1">
        <f>A724</f>
        <v>2010</v>
      </c>
      <c r="L1576" s="1" t="str">
        <f>E724</f>
        <v>Chile</v>
      </c>
      <c r="M1576" s="1" t="str">
        <f>IF(J1576=1,J1576+ROWS($J$2:J1576)/10000,"")</f>
        <v/>
      </c>
      <c r="N1576" s="1" t="str">
        <f>IFERROR(SMALL($M$2:$M$1705,ROWS($M$2:M1576)),"")</f>
        <v/>
      </c>
      <c r="O1576" s="1" t="str">
        <f>IF(N1576&lt;&gt;"",INDEX($L$2:$L$1705,MATCH(N1576,$M$2:$M$1705,0)),"")</f>
        <v/>
      </c>
      <c r="P1576" s="1" t="str">
        <f>IF(O1576&lt;&gt;"",ROWS($O$2:O1576),"")</f>
        <v/>
      </c>
    </row>
    <row r="1577" spans="10:16" x14ac:dyDescent="0.2">
      <c r="J1577" s="1">
        <f>COUNTIF($L$2:L1577,L1577)</f>
        <v>30</v>
      </c>
      <c r="K1577" s="1">
        <f>A725</f>
        <v>2010</v>
      </c>
      <c r="L1577" s="1" t="str">
        <f>E725</f>
        <v>Switzerland</v>
      </c>
      <c r="M1577" s="1" t="str">
        <f>IF(J1577=1,J1577+ROWS($J$2:J1577)/10000,"")</f>
        <v/>
      </c>
      <c r="N1577" s="1" t="str">
        <f>IFERROR(SMALL($M$2:$M$1705,ROWS($M$2:M1577)),"")</f>
        <v/>
      </c>
      <c r="O1577" s="1" t="str">
        <f>IF(N1577&lt;&gt;"",INDEX($L$2:$L$1705,MATCH(N1577,$M$2:$M$1705,0)),"")</f>
        <v/>
      </c>
      <c r="P1577" s="1" t="str">
        <f>IF(O1577&lt;&gt;"",ROWS($O$2:O1577),"")</f>
        <v/>
      </c>
    </row>
    <row r="1578" spans="10:16" x14ac:dyDescent="0.2">
      <c r="J1578" s="1">
        <f>COUNTIF($L$2:L1578,L1578)</f>
        <v>48</v>
      </c>
      <c r="K1578" s="1">
        <f>A726</f>
        <v>2010</v>
      </c>
      <c r="L1578" s="1" t="str">
        <f>E726</f>
        <v>Uruguay</v>
      </c>
      <c r="M1578" s="1" t="str">
        <f>IF(J1578=1,J1578+ROWS($J$2:J1578)/10000,"")</f>
        <v/>
      </c>
      <c r="N1578" s="1" t="str">
        <f>IFERROR(SMALL($M$2:$M$1705,ROWS($M$2:M1578)),"")</f>
        <v/>
      </c>
      <c r="O1578" s="1" t="str">
        <f>IF(N1578&lt;&gt;"",INDEX($L$2:$L$1705,MATCH(N1578,$M$2:$M$1705,0)),"")</f>
        <v/>
      </c>
      <c r="P1578" s="1" t="str">
        <f>IF(O1578&lt;&gt;"",ROWS($O$2:O1578),"")</f>
        <v/>
      </c>
    </row>
    <row r="1579" spans="10:16" x14ac:dyDescent="0.2">
      <c r="J1579" s="1">
        <f>COUNTIF($L$2:L1579,L1579)</f>
        <v>28</v>
      </c>
      <c r="K1579" s="1">
        <f>A727</f>
        <v>2010</v>
      </c>
      <c r="L1579" s="1" t="str">
        <f>E727</f>
        <v>Korea Republic</v>
      </c>
      <c r="M1579" s="1" t="str">
        <f>IF(J1579=1,J1579+ROWS($J$2:J1579)/10000,"")</f>
        <v/>
      </c>
      <c r="N1579" s="1" t="str">
        <f>IFERROR(SMALL($M$2:$M$1705,ROWS($M$2:M1579)),"")</f>
        <v/>
      </c>
      <c r="O1579" s="1" t="str">
        <f>IF(N1579&lt;&gt;"",INDEX($L$2:$L$1705,MATCH(N1579,$M$2:$M$1705,0)),"")</f>
        <v/>
      </c>
      <c r="P1579" s="1" t="str">
        <f>IF(O1579&lt;&gt;"",ROWS($O$2:O1579),"")</f>
        <v/>
      </c>
    </row>
    <row r="1580" spans="10:16" x14ac:dyDescent="0.2">
      <c r="J1580" s="1">
        <f>COUNTIF($L$2:L1580,L1580)</f>
        <v>16</v>
      </c>
      <c r="K1580" s="1">
        <f>A728</f>
        <v>2010</v>
      </c>
      <c r="L1580" s="1" t="str">
        <f>E728</f>
        <v>Nigeria</v>
      </c>
      <c r="M1580" s="1" t="str">
        <f>IF(J1580=1,J1580+ROWS($J$2:J1580)/10000,"")</f>
        <v/>
      </c>
      <c r="N1580" s="1" t="str">
        <f>IFERROR(SMALL($M$2:$M$1705,ROWS($M$2:M1580)),"")</f>
        <v/>
      </c>
      <c r="O1580" s="1" t="str">
        <f>IF(N1580&lt;&gt;"",INDEX($L$2:$L$1705,MATCH(N1580,$M$2:$M$1705,0)),"")</f>
        <v/>
      </c>
      <c r="P1580" s="1" t="str">
        <f>IF(O1580&lt;&gt;"",ROWS($O$2:O1580),"")</f>
        <v/>
      </c>
    </row>
    <row r="1581" spans="10:16" x14ac:dyDescent="0.2">
      <c r="J1581" s="1">
        <f>COUNTIF($L$2:L1581,L1581)</f>
        <v>49</v>
      </c>
      <c r="K1581" s="1">
        <f>A729</f>
        <v>2010</v>
      </c>
      <c r="L1581" s="1" t="str">
        <f>E729</f>
        <v>Mexico</v>
      </c>
      <c r="M1581" s="1" t="str">
        <f>IF(J1581=1,J1581+ROWS($J$2:J1581)/10000,"")</f>
        <v/>
      </c>
      <c r="N1581" s="1" t="str">
        <f>IFERROR(SMALL($M$2:$M$1705,ROWS($M$2:M1581)),"")</f>
        <v/>
      </c>
      <c r="O1581" s="1" t="str">
        <f>IF(N1581&lt;&gt;"",INDEX($L$2:$L$1705,MATCH(N1581,$M$2:$M$1705,0)),"")</f>
        <v/>
      </c>
      <c r="P1581" s="1" t="str">
        <f>IF(O1581&lt;&gt;"",ROWS($O$2:O1581),"")</f>
        <v/>
      </c>
    </row>
    <row r="1582" spans="10:16" x14ac:dyDescent="0.2">
      <c r="J1582" s="1">
        <f>COUNTIF($L$2:L1582,L1582)</f>
        <v>2</v>
      </c>
      <c r="K1582" s="1">
        <f>A730</f>
        <v>2010</v>
      </c>
      <c r="L1582" s="1" t="str">
        <f>E730</f>
        <v>Serbia</v>
      </c>
      <c r="M1582" s="1" t="str">
        <f>IF(J1582=1,J1582+ROWS($J$2:J1582)/10000,"")</f>
        <v/>
      </c>
      <c r="N1582" s="1" t="str">
        <f>IFERROR(SMALL($M$2:$M$1705,ROWS($M$2:M1582)),"")</f>
        <v/>
      </c>
      <c r="O1582" s="1" t="str">
        <f>IF(N1582&lt;&gt;"",INDEX($L$2:$L$1705,MATCH(N1582,$M$2:$M$1705,0)),"")</f>
        <v/>
      </c>
      <c r="P1582" s="1" t="str">
        <f>IF(O1582&lt;&gt;"",ROWS($O$2:O1582),"")</f>
        <v/>
      </c>
    </row>
    <row r="1583" spans="10:16" x14ac:dyDescent="0.2">
      <c r="J1583" s="1">
        <f>COUNTIF($L$2:L1583,L1583)</f>
        <v>31</v>
      </c>
      <c r="K1583" s="1">
        <f>A731</f>
        <v>2010</v>
      </c>
      <c r="L1583" s="1" t="str">
        <f>E731</f>
        <v>USA</v>
      </c>
      <c r="M1583" s="1" t="str">
        <f>IF(J1583=1,J1583+ROWS($J$2:J1583)/10000,"")</f>
        <v/>
      </c>
      <c r="N1583" s="1" t="str">
        <f>IFERROR(SMALL($M$2:$M$1705,ROWS($M$2:M1583)),"")</f>
        <v/>
      </c>
      <c r="O1583" s="1" t="str">
        <f>IF(N1583&lt;&gt;"",INDEX($L$2:$L$1705,MATCH(N1583,$M$2:$M$1705,0)),"")</f>
        <v/>
      </c>
      <c r="P1583" s="1" t="str">
        <f>IF(O1583&lt;&gt;"",ROWS($O$2:O1583),"")</f>
        <v/>
      </c>
    </row>
    <row r="1584" spans="10:16" x14ac:dyDescent="0.2">
      <c r="J1584" s="1">
        <f>COUNTIF($L$2:L1584,L1584)</f>
        <v>9</v>
      </c>
      <c r="K1584" s="1">
        <f>A732</f>
        <v>2010</v>
      </c>
      <c r="L1584" s="1" t="str">
        <f>E732</f>
        <v>Algeria</v>
      </c>
      <c r="M1584" s="1" t="str">
        <f>IF(J1584=1,J1584+ROWS($J$2:J1584)/10000,"")</f>
        <v/>
      </c>
      <c r="N1584" s="1" t="str">
        <f>IFERROR(SMALL($M$2:$M$1705,ROWS($M$2:M1584)),"")</f>
        <v/>
      </c>
      <c r="O1584" s="1" t="str">
        <f>IF(N1584&lt;&gt;"",INDEX($L$2:$L$1705,MATCH(N1584,$M$2:$M$1705,0)),"")</f>
        <v/>
      </c>
      <c r="P1584" s="1" t="str">
        <f>IF(O1584&lt;&gt;"",ROWS($O$2:O1584),"")</f>
        <v/>
      </c>
    </row>
    <row r="1585" spans="10:16" x14ac:dyDescent="0.2">
      <c r="J1585" s="1">
        <f>COUNTIF($L$2:L1585,L1585)</f>
        <v>14</v>
      </c>
      <c r="K1585" s="1">
        <f>A733</f>
        <v>2010</v>
      </c>
      <c r="L1585" s="1" t="str">
        <f>E733</f>
        <v>Japan</v>
      </c>
      <c r="M1585" s="1" t="str">
        <f>IF(J1585=1,J1585+ROWS($J$2:J1585)/10000,"")</f>
        <v/>
      </c>
      <c r="N1585" s="1" t="str">
        <f>IFERROR(SMALL($M$2:$M$1705,ROWS($M$2:M1585)),"")</f>
        <v/>
      </c>
      <c r="O1585" s="1" t="str">
        <f>IF(N1585&lt;&gt;"",INDEX($L$2:$L$1705,MATCH(N1585,$M$2:$M$1705,0)),"")</f>
        <v/>
      </c>
      <c r="P1585" s="1" t="str">
        <f>IF(O1585&lt;&gt;"",ROWS($O$2:O1585),"")</f>
        <v/>
      </c>
    </row>
    <row r="1586" spans="10:16" x14ac:dyDescent="0.2">
      <c r="J1586" s="1">
        <f>COUNTIF($L$2:L1586,L1586)</f>
        <v>12</v>
      </c>
      <c r="K1586" s="1">
        <f>A734</f>
        <v>2010</v>
      </c>
      <c r="L1586" s="1" t="str">
        <f>E734</f>
        <v>Australia</v>
      </c>
      <c r="M1586" s="1" t="str">
        <f>IF(J1586=1,J1586+ROWS($J$2:J1586)/10000,"")</f>
        <v/>
      </c>
      <c r="N1586" s="1" t="str">
        <f>IFERROR(SMALL($M$2:$M$1705,ROWS($M$2:M1586)),"")</f>
        <v/>
      </c>
      <c r="O1586" s="1" t="str">
        <f>IF(N1586&lt;&gt;"",INDEX($L$2:$L$1705,MATCH(N1586,$M$2:$M$1705,0)),"")</f>
        <v/>
      </c>
      <c r="P1586" s="1" t="str">
        <f>IF(O1586&lt;&gt;"",ROWS($O$2:O1586),"")</f>
        <v/>
      </c>
    </row>
    <row r="1587" spans="10:16" x14ac:dyDescent="0.2">
      <c r="J1587" s="1">
        <f>COUNTIF($L$2:L1587,L1587)</f>
        <v>16</v>
      </c>
      <c r="K1587" s="1">
        <f>A735</f>
        <v>2010</v>
      </c>
      <c r="L1587" s="1" t="str">
        <f>E735</f>
        <v>Denmark</v>
      </c>
      <c r="M1587" s="1" t="str">
        <f>IF(J1587=1,J1587+ROWS($J$2:J1587)/10000,"")</f>
        <v/>
      </c>
      <c r="N1587" s="1" t="str">
        <f>IFERROR(SMALL($M$2:$M$1705,ROWS($M$2:M1587)),"")</f>
        <v/>
      </c>
      <c r="O1587" s="1" t="str">
        <f>IF(N1587&lt;&gt;"",INDEX($L$2:$L$1705,MATCH(N1587,$M$2:$M$1705,0)),"")</f>
        <v/>
      </c>
      <c r="P1587" s="1" t="str">
        <f>IF(O1587&lt;&gt;"",ROWS($O$2:O1587),"")</f>
        <v/>
      </c>
    </row>
    <row r="1588" spans="10:16" x14ac:dyDescent="0.2">
      <c r="J1588" s="1">
        <f>COUNTIF($L$2:L1588,L1588)</f>
        <v>27</v>
      </c>
      <c r="K1588" s="1">
        <f>A736</f>
        <v>2010</v>
      </c>
      <c r="L1588" s="1" t="str">
        <f>E736</f>
        <v>Paraguay</v>
      </c>
      <c r="M1588" s="1" t="str">
        <f>IF(J1588=1,J1588+ROWS($J$2:J1588)/10000,"")</f>
        <v/>
      </c>
      <c r="N1588" s="1" t="str">
        <f>IFERROR(SMALL($M$2:$M$1705,ROWS($M$2:M1588)),"")</f>
        <v/>
      </c>
      <c r="O1588" s="1" t="str">
        <f>IF(N1588&lt;&gt;"",INDEX($L$2:$L$1705,MATCH(N1588,$M$2:$M$1705,0)),"")</f>
        <v/>
      </c>
      <c r="P1588" s="1" t="str">
        <f>IF(O1588&lt;&gt;"",ROWS($O$2:O1588),"")</f>
        <v/>
      </c>
    </row>
    <row r="1589" spans="10:16" x14ac:dyDescent="0.2">
      <c r="J1589" s="1">
        <f>COUNTIF($L$2:L1589,L1589)</f>
        <v>5</v>
      </c>
      <c r="K1589" s="1">
        <f>A737</f>
        <v>2010</v>
      </c>
      <c r="L1589" s="1" t="str">
        <f>E737</f>
        <v>New Zealand</v>
      </c>
      <c r="M1589" s="1" t="str">
        <f>IF(J1589=1,J1589+ROWS($J$2:J1589)/10000,"")</f>
        <v/>
      </c>
      <c r="N1589" s="1" t="str">
        <f>IFERROR(SMALL($M$2:$M$1705,ROWS($M$2:M1589)),"")</f>
        <v/>
      </c>
      <c r="O1589" s="1" t="str">
        <f>IF(N1589&lt;&gt;"",INDEX($L$2:$L$1705,MATCH(N1589,$M$2:$M$1705,0)),"")</f>
        <v/>
      </c>
      <c r="P1589" s="1" t="str">
        <f>IF(O1589&lt;&gt;"",ROWS($O$2:O1589),"")</f>
        <v/>
      </c>
    </row>
    <row r="1590" spans="10:16" x14ac:dyDescent="0.2">
      <c r="J1590" s="1">
        <f>COUNTIF($L$2:L1590,L1590)</f>
        <v>6</v>
      </c>
      <c r="K1590" s="1">
        <f>A738</f>
        <v>2010</v>
      </c>
      <c r="L1590" s="1" t="str">
        <f>E738</f>
        <v>Cï¿½te d'Ivoire</v>
      </c>
      <c r="M1590" s="1" t="str">
        <f>IF(J1590=1,J1590+ROWS($J$2:J1590)/10000,"")</f>
        <v/>
      </c>
      <c r="N1590" s="1" t="str">
        <f>IFERROR(SMALL($M$2:$M$1705,ROWS($M$2:M1590)),"")</f>
        <v/>
      </c>
      <c r="O1590" s="1" t="str">
        <f>IF(N1590&lt;&gt;"",INDEX($L$2:$L$1705,MATCH(N1590,$M$2:$M$1705,0)),"")</f>
        <v/>
      </c>
      <c r="P1590" s="1" t="str">
        <f>IF(O1590&lt;&gt;"",ROWS($O$2:O1590),"")</f>
        <v/>
      </c>
    </row>
    <row r="1591" spans="10:16" x14ac:dyDescent="0.2">
      <c r="J1591" s="1">
        <f>COUNTIF($L$2:L1591,L1591)</f>
        <v>7</v>
      </c>
      <c r="K1591" s="1">
        <f>A739</f>
        <v>2010</v>
      </c>
      <c r="L1591" s="1" t="str">
        <f>E739</f>
        <v>Korea DPR</v>
      </c>
      <c r="M1591" s="1" t="str">
        <f>IF(J1591=1,J1591+ROWS($J$2:J1591)/10000,"")</f>
        <v/>
      </c>
      <c r="N1591" s="1" t="str">
        <f>IFERROR(SMALL($M$2:$M$1705,ROWS($M$2:M1591)),"")</f>
        <v/>
      </c>
      <c r="O1591" s="1" t="str">
        <f>IF(N1591&lt;&gt;"",INDEX($L$2:$L$1705,MATCH(N1591,$M$2:$M$1705,0)),"")</f>
        <v/>
      </c>
      <c r="P1591" s="1" t="str">
        <f>IF(O1591&lt;&gt;"",ROWS($O$2:O1591),"")</f>
        <v/>
      </c>
    </row>
    <row r="1592" spans="10:16" x14ac:dyDescent="0.2">
      <c r="J1592" s="1">
        <f>COUNTIF($L$2:L1592,L1592)</f>
        <v>31</v>
      </c>
      <c r="K1592" s="1">
        <f>A740</f>
        <v>2010</v>
      </c>
      <c r="L1592" s="1" t="str">
        <f>E740</f>
        <v>Switzerland</v>
      </c>
      <c r="M1592" s="1" t="str">
        <f>IF(J1592=1,J1592+ROWS($J$2:J1592)/10000,"")</f>
        <v/>
      </c>
      <c r="N1592" s="1" t="str">
        <f>IFERROR(SMALL($M$2:$M$1705,ROWS($M$2:M1592)),"")</f>
        <v/>
      </c>
      <c r="O1592" s="1" t="str">
        <f>IF(N1592&lt;&gt;"",INDEX($L$2:$L$1705,MATCH(N1592,$M$2:$M$1705,0)),"")</f>
        <v/>
      </c>
      <c r="P1592" s="1" t="str">
        <f>IF(O1592&lt;&gt;"",ROWS($O$2:O1592),"")</f>
        <v/>
      </c>
    </row>
    <row r="1593" spans="10:16" x14ac:dyDescent="0.2">
      <c r="J1593" s="1">
        <f>COUNTIF($L$2:L1593,L1593)</f>
        <v>7</v>
      </c>
      <c r="K1593" s="1">
        <f>A741</f>
        <v>2010</v>
      </c>
      <c r="L1593" s="1" t="str">
        <f>E741</f>
        <v>Honduras</v>
      </c>
      <c r="M1593" s="1" t="str">
        <f>IF(J1593=1,J1593+ROWS($J$2:J1593)/10000,"")</f>
        <v/>
      </c>
      <c r="N1593" s="1" t="str">
        <f>IFERROR(SMALL($M$2:$M$1705,ROWS($M$2:M1593)),"")</f>
        <v/>
      </c>
      <c r="O1593" s="1" t="str">
        <f>IF(N1593&lt;&gt;"",INDEX($L$2:$L$1705,MATCH(N1593,$M$2:$M$1705,0)),"")</f>
        <v/>
      </c>
      <c r="P1593" s="1" t="str">
        <f>IF(O1593&lt;&gt;"",ROWS($O$2:O1593),"")</f>
        <v/>
      </c>
    </row>
    <row r="1594" spans="10:16" x14ac:dyDescent="0.2">
      <c r="J1594" s="1">
        <f>COUNTIF($L$2:L1594,L1594)</f>
        <v>49</v>
      </c>
      <c r="K1594" s="1">
        <f>A742</f>
        <v>2010</v>
      </c>
      <c r="L1594" s="1" t="str">
        <f>E742</f>
        <v>Uruguay</v>
      </c>
      <c r="M1594" s="1" t="str">
        <f>IF(J1594=1,J1594+ROWS($J$2:J1594)/10000,"")</f>
        <v/>
      </c>
      <c r="N1594" s="1" t="str">
        <f>IFERROR(SMALL($M$2:$M$1705,ROWS($M$2:M1594)),"")</f>
        <v/>
      </c>
      <c r="O1594" s="1" t="str">
        <f>IF(N1594&lt;&gt;"",INDEX($L$2:$L$1705,MATCH(N1594,$M$2:$M$1705,0)),"")</f>
        <v/>
      </c>
      <c r="P1594" s="1" t="str">
        <f>IF(O1594&lt;&gt;"",ROWS($O$2:O1594),"")</f>
        <v/>
      </c>
    </row>
    <row r="1595" spans="10:16" x14ac:dyDescent="0.2">
      <c r="J1595" s="1">
        <f>COUNTIF($L$2:L1595,L1595)</f>
        <v>9</v>
      </c>
      <c r="K1595" s="1">
        <f>A743</f>
        <v>2010</v>
      </c>
      <c r="L1595" s="1" t="str">
        <f>E743</f>
        <v>South Africa</v>
      </c>
      <c r="M1595" s="1" t="str">
        <f>IF(J1595=1,J1595+ROWS($J$2:J1595)/10000,"")</f>
        <v/>
      </c>
      <c r="N1595" s="1" t="str">
        <f>IFERROR(SMALL($M$2:$M$1705,ROWS($M$2:M1595)),"")</f>
        <v/>
      </c>
      <c r="O1595" s="1" t="str">
        <f>IF(N1595&lt;&gt;"",INDEX($L$2:$L$1705,MATCH(N1595,$M$2:$M$1705,0)),"")</f>
        <v/>
      </c>
      <c r="P1595" s="1" t="str">
        <f>IF(O1595&lt;&gt;"",ROWS($O$2:O1595),"")</f>
        <v/>
      </c>
    </row>
    <row r="1596" spans="10:16" x14ac:dyDescent="0.2">
      <c r="J1596" s="1">
        <f>COUNTIF($L$2:L1596,L1596)</f>
        <v>29</v>
      </c>
      <c r="K1596" s="1">
        <f>A744</f>
        <v>2010</v>
      </c>
      <c r="L1596" s="1" t="str">
        <f>E744</f>
        <v>Korea Republic</v>
      </c>
      <c r="M1596" s="1" t="str">
        <f>IF(J1596=1,J1596+ROWS($J$2:J1596)/10000,"")</f>
        <v/>
      </c>
      <c r="N1596" s="1" t="str">
        <f>IFERROR(SMALL($M$2:$M$1705,ROWS($M$2:M1596)),"")</f>
        <v/>
      </c>
      <c r="O1596" s="1" t="str">
        <f>IF(N1596&lt;&gt;"",INDEX($L$2:$L$1705,MATCH(N1596,$M$2:$M$1705,0)),"")</f>
        <v/>
      </c>
      <c r="P1596" s="1" t="str">
        <f>IF(O1596&lt;&gt;"",ROWS($O$2:O1596),"")</f>
        <v/>
      </c>
    </row>
    <row r="1597" spans="10:16" x14ac:dyDescent="0.2">
      <c r="J1597" s="1">
        <f>COUNTIF($L$2:L1597,L1597)</f>
        <v>76</v>
      </c>
      <c r="K1597" s="1">
        <f>A745</f>
        <v>2010</v>
      </c>
      <c r="L1597" s="1" t="str">
        <f>E745</f>
        <v>Argentina</v>
      </c>
      <c r="M1597" s="1" t="str">
        <f>IF(J1597=1,J1597+ROWS($J$2:J1597)/10000,"")</f>
        <v/>
      </c>
      <c r="N1597" s="1" t="str">
        <f>IFERROR(SMALL($M$2:$M$1705,ROWS($M$2:M1597)),"")</f>
        <v/>
      </c>
      <c r="O1597" s="1" t="str">
        <f>IF(N1597&lt;&gt;"",INDEX($L$2:$L$1705,MATCH(N1597,$M$2:$M$1705,0)),"")</f>
        <v/>
      </c>
      <c r="P1597" s="1" t="str">
        <f>IF(O1597&lt;&gt;"",ROWS($O$2:O1597),"")</f>
        <v/>
      </c>
    </row>
    <row r="1598" spans="10:16" x14ac:dyDescent="0.2">
      <c r="J1598" s="1">
        <f>COUNTIF($L$2:L1598,L1598)</f>
        <v>59</v>
      </c>
      <c r="K1598" s="1">
        <f>A746</f>
        <v>2010</v>
      </c>
      <c r="L1598" s="1" t="str">
        <f>E746</f>
        <v>England</v>
      </c>
      <c r="M1598" s="1" t="str">
        <f>IF(J1598=1,J1598+ROWS($J$2:J1598)/10000,"")</f>
        <v/>
      </c>
      <c r="N1598" s="1" t="str">
        <f>IFERROR(SMALL($M$2:$M$1705,ROWS($M$2:M1598)),"")</f>
        <v/>
      </c>
      <c r="O1598" s="1" t="str">
        <f>IF(N1598&lt;&gt;"",INDEX($L$2:$L$1705,MATCH(N1598,$M$2:$M$1705,0)),"")</f>
        <v/>
      </c>
      <c r="P1598" s="1" t="str">
        <f>IF(O1598&lt;&gt;"",ROWS($O$2:O1598),"")</f>
        <v/>
      </c>
    </row>
    <row r="1599" spans="10:16" x14ac:dyDescent="0.2">
      <c r="J1599" s="1">
        <f>COUNTIF($L$2:L1599,L1599)</f>
        <v>10</v>
      </c>
      <c r="K1599" s="1">
        <f>A747</f>
        <v>2010</v>
      </c>
      <c r="L1599" s="1" t="str">
        <f>E747</f>
        <v>Algeria</v>
      </c>
      <c r="M1599" s="1" t="str">
        <f>IF(J1599=1,J1599+ROWS($J$2:J1599)/10000,"")</f>
        <v/>
      </c>
      <c r="N1599" s="1" t="str">
        <f>IFERROR(SMALL($M$2:$M$1705,ROWS($M$2:M1599)),"")</f>
        <v/>
      </c>
      <c r="O1599" s="1" t="str">
        <f>IF(N1599&lt;&gt;"",INDEX($L$2:$L$1705,MATCH(N1599,$M$2:$M$1705,0)),"")</f>
        <v/>
      </c>
      <c r="P1599" s="1" t="str">
        <f>IF(O1599&lt;&gt;"",ROWS($O$2:O1599),"")</f>
        <v/>
      </c>
    </row>
    <row r="1600" spans="10:16" x14ac:dyDescent="0.2">
      <c r="J1600" s="1">
        <f>COUNTIF($L$2:L1600,L1600)</f>
        <v>41</v>
      </c>
      <c r="K1600" s="1">
        <f>A748</f>
        <v>2010</v>
      </c>
      <c r="L1600" s="1" t="str">
        <f>E748</f>
        <v>Germany</v>
      </c>
      <c r="M1600" s="1" t="str">
        <f>IF(J1600=1,J1600+ROWS($J$2:J1600)/10000,"")</f>
        <v/>
      </c>
      <c r="N1600" s="1" t="str">
        <f>IFERROR(SMALL($M$2:$M$1705,ROWS($M$2:M1600)),"")</f>
        <v/>
      </c>
      <c r="O1600" s="1" t="str">
        <f>IF(N1600&lt;&gt;"",INDEX($L$2:$L$1705,MATCH(N1600,$M$2:$M$1705,0)),"")</f>
        <v/>
      </c>
      <c r="P1600" s="1" t="str">
        <f>IF(O1600&lt;&gt;"",ROWS($O$2:O1600),"")</f>
        <v/>
      </c>
    </row>
    <row r="1601" spans="10:16" x14ac:dyDescent="0.2">
      <c r="J1601" s="1">
        <f>COUNTIF($L$2:L1601,L1601)</f>
        <v>3</v>
      </c>
      <c r="K1601" s="1">
        <f>A749</f>
        <v>2010</v>
      </c>
      <c r="L1601" s="1" t="str">
        <f>E749</f>
        <v>Serbia</v>
      </c>
      <c r="M1601" s="1" t="str">
        <f>IF(J1601=1,J1601+ROWS($J$2:J1601)/10000,"")</f>
        <v/>
      </c>
      <c r="N1601" s="1" t="str">
        <f>IFERROR(SMALL($M$2:$M$1705,ROWS($M$2:M1601)),"")</f>
        <v/>
      </c>
      <c r="O1601" s="1" t="str">
        <f>IF(N1601&lt;&gt;"",INDEX($L$2:$L$1705,MATCH(N1601,$M$2:$M$1705,0)),"")</f>
        <v/>
      </c>
      <c r="P1601" s="1" t="str">
        <f>IF(O1601&lt;&gt;"",ROWS($O$2:O1601),"")</f>
        <v/>
      </c>
    </row>
    <row r="1602" spans="10:16" x14ac:dyDescent="0.2">
      <c r="J1602" s="1">
        <f>COUNTIF($L$2:L1602,L1602)</f>
        <v>82</v>
      </c>
      <c r="K1602" s="1">
        <f>A750</f>
        <v>2010</v>
      </c>
      <c r="L1602" s="1" t="str">
        <f>E750</f>
        <v>Italy</v>
      </c>
      <c r="M1602" s="1" t="str">
        <f>IF(J1602=1,J1602+ROWS($J$2:J1602)/10000,"")</f>
        <v/>
      </c>
      <c r="N1602" s="1" t="str">
        <f>IFERROR(SMALL($M$2:$M$1705,ROWS($M$2:M1602)),"")</f>
        <v/>
      </c>
      <c r="O1602" s="1" t="str">
        <f>IF(N1602&lt;&gt;"",INDEX($L$2:$L$1705,MATCH(N1602,$M$2:$M$1705,0)),"")</f>
        <v/>
      </c>
      <c r="P1602" s="1" t="str">
        <f>IF(O1602&lt;&gt;"",ROWS($O$2:O1602),"")</f>
        <v/>
      </c>
    </row>
    <row r="1603" spans="10:16" x14ac:dyDescent="0.2">
      <c r="J1603" s="1">
        <f>COUNTIF($L$2:L1603,L1603)</f>
        <v>6</v>
      </c>
      <c r="K1603" s="1">
        <f>A751</f>
        <v>2010</v>
      </c>
      <c r="L1603" s="1" t="str">
        <f>E751</f>
        <v>New Zealand</v>
      </c>
      <c r="M1603" s="1" t="str">
        <f>IF(J1603=1,J1603+ROWS($J$2:J1603)/10000,"")</f>
        <v/>
      </c>
      <c r="N1603" s="1" t="str">
        <f>IFERROR(SMALL($M$2:$M$1705,ROWS($M$2:M1603)),"")</f>
        <v/>
      </c>
      <c r="O1603" s="1" t="str">
        <f>IF(N1603&lt;&gt;"",INDEX($L$2:$L$1705,MATCH(N1603,$M$2:$M$1705,0)),"")</f>
        <v/>
      </c>
      <c r="P1603" s="1" t="str">
        <f>IF(O1603&lt;&gt;"",ROWS($O$2:O1603),"")</f>
        <v/>
      </c>
    </row>
    <row r="1604" spans="10:16" x14ac:dyDescent="0.2">
      <c r="J1604" s="1">
        <f>COUNTIF($L$2:L1604,L1604)</f>
        <v>15</v>
      </c>
      <c r="K1604" s="1">
        <f>A752</f>
        <v>2010</v>
      </c>
      <c r="L1604" s="1" t="str">
        <f>E752</f>
        <v>Japan</v>
      </c>
      <c r="M1604" s="1" t="str">
        <f>IF(J1604=1,J1604+ROWS($J$2:J1604)/10000,"")</f>
        <v/>
      </c>
      <c r="N1604" s="1" t="str">
        <f>IFERROR(SMALL($M$2:$M$1705,ROWS($M$2:M1604)),"")</f>
        <v/>
      </c>
      <c r="O1604" s="1" t="str">
        <f>IF(N1604&lt;&gt;"",INDEX($L$2:$L$1705,MATCH(N1604,$M$2:$M$1705,0)),"")</f>
        <v/>
      </c>
      <c r="P1604" s="1" t="str">
        <f>IF(O1604&lt;&gt;"",ROWS($O$2:O1604),"")</f>
        <v/>
      </c>
    </row>
    <row r="1605" spans="10:16" x14ac:dyDescent="0.2">
      <c r="J1605" s="1">
        <f>COUNTIF($L$2:L1605,L1605)</f>
        <v>49</v>
      </c>
      <c r="K1605" s="1">
        <f>A753</f>
        <v>2010</v>
      </c>
      <c r="L1605" s="1" t="str">
        <f>E753</f>
        <v>Netherlands</v>
      </c>
      <c r="M1605" s="1" t="str">
        <f>IF(J1605=1,J1605+ROWS($J$2:J1605)/10000,"")</f>
        <v/>
      </c>
      <c r="N1605" s="1" t="str">
        <f>IFERROR(SMALL($M$2:$M$1705,ROWS($M$2:M1605)),"")</f>
        <v/>
      </c>
      <c r="O1605" s="1" t="str">
        <f>IF(N1605&lt;&gt;"",INDEX($L$2:$L$1705,MATCH(N1605,$M$2:$M$1705,0)),"")</f>
        <v/>
      </c>
      <c r="P1605" s="1" t="str">
        <f>IF(O1605&lt;&gt;"",ROWS($O$2:O1605),"")</f>
        <v/>
      </c>
    </row>
    <row r="1606" spans="10:16" x14ac:dyDescent="0.2">
      <c r="J1606" s="1">
        <f>COUNTIF($L$2:L1606,L1606)</f>
        <v>106</v>
      </c>
      <c r="K1606" s="1">
        <f>A754</f>
        <v>2010</v>
      </c>
      <c r="L1606" s="1" t="str">
        <f>E754</f>
        <v>Brazil</v>
      </c>
      <c r="M1606" s="1" t="str">
        <f>IF(J1606=1,J1606+ROWS($J$2:J1606)/10000,"")</f>
        <v/>
      </c>
      <c r="N1606" s="1" t="str">
        <f>IFERROR(SMALL($M$2:$M$1705,ROWS($M$2:M1606)),"")</f>
        <v/>
      </c>
      <c r="O1606" s="1" t="str">
        <f>IF(N1606&lt;&gt;"",INDEX($L$2:$L$1705,MATCH(N1606,$M$2:$M$1705,0)),"")</f>
        <v/>
      </c>
      <c r="P1606" s="1" t="str">
        <f>IF(O1606&lt;&gt;"",ROWS($O$2:O1606),"")</f>
        <v/>
      </c>
    </row>
    <row r="1607" spans="10:16" x14ac:dyDescent="0.2">
      <c r="J1607" s="1">
        <f>COUNTIF($L$2:L1607,L1607)</f>
        <v>7</v>
      </c>
      <c r="K1607" s="1">
        <f>A755</f>
        <v>2010</v>
      </c>
      <c r="L1607" s="1" t="str">
        <f>E755</f>
        <v>Cï¿½te d'Ivoire</v>
      </c>
      <c r="M1607" s="1" t="str">
        <f>IF(J1607=1,J1607+ROWS($J$2:J1607)/10000,"")</f>
        <v/>
      </c>
      <c r="N1607" s="1" t="str">
        <f>IFERROR(SMALL($M$2:$M$1705,ROWS($M$2:M1607)),"")</f>
        <v/>
      </c>
      <c r="O1607" s="1" t="str">
        <f>IF(N1607&lt;&gt;"",INDEX($L$2:$L$1705,MATCH(N1607,$M$2:$M$1705,0)),"")</f>
        <v/>
      </c>
      <c r="P1607" s="1" t="str">
        <f>IF(O1607&lt;&gt;"",ROWS($O$2:O1607),"")</f>
        <v/>
      </c>
    </row>
    <row r="1608" spans="10:16" x14ac:dyDescent="0.2">
      <c r="J1608" s="1">
        <f>COUNTIF($L$2:L1608,L1608)</f>
        <v>55</v>
      </c>
      <c r="K1608" s="1">
        <f>A756</f>
        <v>2010</v>
      </c>
      <c r="L1608" s="1" t="str">
        <f>E756</f>
        <v>Spain</v>
      </c>
      <c r="M1608" s="1" t="str">
        <f>IF(J1608=1,J1608+ROWS($J$2:J1608)/10000,"")</f>
        <v/>
      </c>
      <c r="N1608" s="1" t="str">
        <f>IFERROR(SMALL($M$2:$M$1705,ROWS($M$2:M1608)),"")</f>
        <v/>
      </c>
      <c r="O1608" s="1" t="str">
        <f>IF(N1608&lt;&gt;"",INDEX($L$2:$L$1705,MATCH(N1608,$M$2:$M$1705,0)),"")</f>
        <v/>
      </c>
      <c r="P1608" s="1" t="str">
        <f>IF(O1608&lt;&gt;"",ROWS($O$2:O1608),"")</f>
        <v/>
      </c>
    </row>
    <row r="1609" spans="10:16" x14ac:dyDescent="0.2">
      <c r="J1609" s="1">
        <f>COUNTIF($L$2:L1609,L1609)</f>
        <v>8</v>
      </c>
      <c r="K1609" s="1">
        <f>A757</f>
        <v>2010</v>
      </c>
      <c r="L1609" s="1" t="str">
        <f>E757</f>
        <v>Honduras</v>
      </c>
      <c r="M1609" s="1" t="str">
        <f>IF(J1609=1,J1609+ROWS($J$2:J1609)/10000,"")</f>
        <v/>
      </c>
      <c r="N1609" s="1" t="str">
        <f>IFERROR(SMALL($M$2:$M$1705,ROWS($M$2:M1609)),"")</f>
        <v/>
      </c>
      <c r="O1609" s="1" t="str">
        <f>IF(N1609&lt;&gt;"",INDEX($L$2:$L$1705,MATCH(N1609,$M$2:$M$1705,0)),"")</f>
        <v/>
      </c>
      <c r="P1609" s="1" t="str">
        <f>IF(O1609&lt;&gt;"",ROWS($O$2:O1609),"")</f>
        <v/>
      </c>
    </row>
    <row r="1610" spans="10:16" x14ac:dyDescent="0.2">
      <c r="J1610" s="1">
        <f>COUNTIF($L$2:L1610,L1610)</f>
        <v>30</v>
      </c>
      <c r="K1610" s="1">
        <f>A758</f>
        <v>2010</v>
      </c>
      <c r="L1610" s="1" t="str">
        <f>E758</f>
        <v>Korea Republic</v>
      </c>
      <c r="M1610" s="1" t="str">
        <f>IF(J1610=1,J1610+ROWS($J$2:J1610)/10000,"")</f>
        <v/>
      </c>
      <c r="N1610" s="1" t="str">
        <f>IFERROR(SMALL($M$2:$M$1705,ROWS($M$2:M1610)),"")</f>
        <v/>
      </c>
      <c r="O1610" s="1" t="str">
        <f>IF(N1610&lt;&gt;"",INDEX($L$2:$L$1705,MATCH(N1610,$M$2:$M$1705,0)),"")</f>
        <v/>
      </c>
      <c r="P1610" s="1" t="str">
        <f>IF(O1610&lt;&gt;"",ROWS($O$2:O1610),"")</f>
        <v/>
      </c>
    </row>
    <row r="1611" spans="10:16" x14ac:dyDescent="0.2">
      <c r="J1611" s="1">
        <f>COUNTIF($L$2:L1611,L1611)</f>
        <v>9</v>
      </c>
      <c r="K1611" s="1">
        <f>A759</f>
        <v>2010</v>
      </c>
      <c r="L1611" s="1" t="str">
        <f>E759</f>
        <v>Ghana</v>
      </c>
      <c r="M1611" s="1" t="str">
        <f>IF(J1611=1,J1611+ROWS($J$2:J1611)/10000,"")</f>
        <v/>
      </c>
      <c r="N1611" s="1" t="str">
        <f>IFERROR(SMALL($M$2:$M$1705,ROWS($M$2:M1611)),"")</f>
        <v/>
      </c>
      <c r="O1611" s="1" t="str">
        <f>IF(N1611&lt;&gt;"",INDEX($L$2:$L$1705,MATCH(N1611,$M$2:$M$1705,0)),"")</f>
        <v/>
      </c>
      <c r="P1611" s="1" t="str">
        <f>IF(O1611&lt;&gt;"",ROWS($O$2:O1611),"")</f>
        <v/>
      </c>
    </row>
    <row r="1612" spans="10:16" x14ac:dyDescent="0.2">
      <c r="J1612" s="1">
        <f>COUNTIF($L$2:L1612,L1612)</f>
        <v>60</v>
      </c>
      <c r="K1612" s="1">
        <f>A760</f>
        <v>2010</v>
      </c>
      <c r="L1612" s="1" t="str">
        <f>E760</f>
        <v>England</v>
      </c>
      <c r="M1612" s="1" t="str">
        <f>IF(J1612=1,J1612+ROWS($J$2:J1612)/10000,"")</f>
        <v/>
      </c>
      <c r="N1612" s="1" t="str">
        <f>IFERROR(SMALL($M$2:$M$1705,ROWS($M$2:M1612)),"")</f>
        <v/>
      </c>
      <c r="O1612" s="1" t="str">
        <f>IF(N1612&lt;&gt;"",INDEX($L$2:$L$1705,MATCH(N1612,$M$2:$M$1705,0)),"")</f>
        <v/>
      </c>
      <c r="P1612" s="1" t="str">
        <f>IF(O1612&lt;&gt;"",ROWS($O$2:O1612),"")</f>
        <v/>
      </c>
    </row>
    <row r="1613" spans="10:16" x14ac:dyDescent="0.2">
      <c r="J1613" s="1">
        <f>COUNTIF($L$2:L1613,L1613)</f>
        <v>50</v>
      </c>
      <c r="K1613" s="1">
        <f>A761</f>
        <v>2010</v>
      </c>
      <c r="L1613" s="1" t="str">
        <f>E761</f>
        <v>Mexico</v>
      </c>
      <c r="M1613" s="1" t="str">
        <f>IF(J1613=1,J1613+ROWS($J$2:J1613)/10000,"")</f>
        <v/>
      </c>
      <c r="N1613" s="1" t="str">
        <f>IFERROR(SMALL($M$2:$M$1705,ROWS($M$2:M1613)),"")</f>
        <v/>
      </c>
      <c r="O1613" s="1" t="str">
        <f>IF(N1613&lt;&gt;"",INDEX($L$2:$L$1705,MATCH(N1613,$M$2:$M$1705,0)),"")</f>
        <v/>
      </c>
      <c r="P1613" s="1" t="str">
        <f>IF(O1613&lt;&gt;"",ROWS($O$2:O1613),"")</f>
        <v/>
      </c>
    </row>
    <row r="1614" spans="10:16" x14ac:dyDescent="0.2">
      <c r="J1614" s="1">
        <f>COUNTIF($L$2:L1614,L1614)</f>
        <v>4</v>
      </c>
      <c r="K1614" s="1">
        <f>A762</f>
        <v>2010</v>
      </c>
      <c r="L1614" s="1" t="str">
        <f>E762</f>
        <v>Slovakia</v>
      </c>
      <c r="M1614" s="1" t="str">
        <f>IF(J1614=1,J1614+ROWS($J$2:J1614)/10000,"")</f>
        <v/>
      </c>
      <c r="N1614" s="1" t="str">
        <f>IFERROR(SMALL($M$2:$M$1705,ROWS($M$2:M1614)),"")</f>
        <v/>
      </c>
      <c r="O1614" s="1" t="str">
        <f>IF(N1614&lt;&gt;"",INDEX($L$2:$L$1705,MATCH(N1614,$M$2:$M$1705,0)),"")</f>
        <v/>
      </c>
      <c r="P1614" s="1" t="str">
        <f>IF(O1614&lt;&gt;"",ROWS($O$2:O1614),"")</f>
        <v/>
      </c>
    </row>
    <row r="1615" spans="10:16" x14ac:dyDescent="0.2">
      <c r="J1615" s="1">
        <f>COUNTIF($L$2:L1615,L1615)</f>
        <v>30</v>
      </c>
      <c r="K1615" s="1">
        <f>A763</f>
        <v>2010</v>
      </c>
      <c r="L1615" s="1" t="str">
        <f>E763</f>
        <v>Chile</v>
      </c>
      <c r="M1615" s="1" t="str">
        <f>IF(J1615=1,J1615+ROWS($J$2:J1615)/10000,"")</f>
        <v/>
      </c>
      <c r="N1615" s="1" t="str">
        <f>IFERROR(SMALL($M$2:$M$1705,ROWS($M$2:M1615)),"")</f>
        <v/>
      </c>
      <c r="O1615" s="1" t="str">
        <f>IF(N1615&lt;&gt;"",INDEX($L$2:$L$1705,MATCH(N1615,$M$2:$M$1705,0)),"")</f>
        <v/>
      </c>
      <c r="P1615" s="1" t="str">
        <f>IF(O1615&lt;&gt;"",ROWS($O$2:O1615),"")</f>
        <v/>
      </c>
    </row>
    <row r="1616" spans="10:16" x14ac:dyDescent="0.2">
      <c r="J1616" s="1">
        <f>COUNTIF($L$2:L1616,L1616)</f>
        <v>16</v>
      </c>
      <c r="K1616" s="1">
        <f>A764</f>
        <v>2010</v>
      </c>
      <c r="L1616" s="1" t="str">
        <f>E764</f>
        <v>Japan</v>
      </c>
      <c r="M1616" s="1" t="str">
        <f>IF(J1616=1,J1616+ROWS($J$2:J1616)/10000,"")</f>
        <v/>
      </c>
      <c r="N1616" s="1" t="str">
        <f>IFERROR(SMALL($M$2:$M$1705,ROWS($M$2:M1616)),"")</f>
        <v/>
      </c>
      <c r="O1616" s="1" t="str">
        <f>IF(N1616&lt;&gt;"",INDEX($L$2:$L$1705,MATCH(N1616,$M$2:$M$1705,0)),"")</f>
        <v/>
      </c>
      <c r="P1616" s="1" t="str">
        <f>IF(O1616&lt;&gt;"",ROWS($O$2:O1616),"")</f>
        <v/>
      </c>
    </row>
    <row r="1617" spans="10:16" x14ac:dyDescent="0.2">
      <c r="J1617" s="1">
        <f>COUNTIF($L$2:L1617,L1617)</f>
        <v>24</v>
      </c>
      <c r="K1617" s="1">
        <f>A765</f>
        <v>2010</v>
      </c>
      <c r="L1617" s="1" t="str">
        <f>E765</f>
        <v>Portugal</v>
      </c>
      <c r="M1617" s="1" t="str">
        <f>IF(J1617=1,J1617+ROWS($J$2:J1617)/10000,"")</f>
        <v/>
      </c>
      <c r="N1617" s="1" t="str">
        <f>IFERROR(SMALL($M$2:$M$1705,ROWS($M$2:M1617)),"")</f>
        <v/>
      </c>
      <c r="O1617" s="1" t="str">
        <f>IF(N1617&lt;&gt;"",INDEX($L$2:$L$1705,MATCH(N1617,$M$2:$M$1705,0)),"")</f>
        <v/>
      </c>
      <c r="P1617" s="1" t="str">
        <f>IF(O1617&lt;&gt;"",ROWS($O$2:O1617),"")</f>
        <v/>
      </c>
    </row>
    <row r="1618" spans="10:16" x14ac:dyDescent="0.2">
      <c r="J1618" s="1">
        <f>COUNTIF($L$2:L1618,L1618)</f>
        <v>107</v>
      </c>
      <c r="K1618" s="1">
        <f>A766</f>
        <v>2010</v>
      </c>
      <c r="L1618" s="1" t="str">
        <f>E766</f>
        <v>Brazil</v>
      </c>
      <c r="M1618" s="1" t="str">
        <f>IF(J1618=1,J1618+ROWS($J$2:J1618)/10000,"")</f>
        <v/>
      </c>
      <c r="N1618" s="1" t="str">
        <f>IFERROR(SMALL($M$2:$M$1705,ROWS($M$2:M1618)),"")</f>
        <v/>
      </c>
      <c r="O1618" s="1" t="str">
        <f>IF(N1618&lt;&gt;"",INDEX($L$2:$L$1705,MATCH(N1618,$M$2:$M$1705,0)),"")</f>
        <v/>
      </c>
      <c r="P1618" s="1" t="str">
        <f>IF(O1618&lt;&gt;"",ROWS($O$2:O1618),"")</f>
        <v/>
      </c>
    </row>
    <row r="1619" spans="10:16" x14ac:dyDescent="0.2">
      <c r="J1619" s="1">
        <f>COUNTIF($L$2:L1619,L1619)</f>
        <v>10</v>
      </c>
      <c r="K1619" s="1">
        <f>A767</f>
        <v>2010</v>
      </c>
      <c r="L1619" s="1" t="str">
        <f>E767</f>
        <v>Ghana</v>
      </c>
      <c r="M1619" s="1" t="str">
        <f>IF(J1619=1,J1619+ROWS($J$2:J1619)/10000,"")</f>
        <v/>
      </c>
      <c r="N1619" s="1" t="str">
        <f>IFERROR(SMALL($M$2:$M$1705,ROWS($M$2:M1619)),"")</f>
        <v/>
      </c>
      <c r="O1619" s="1" t="str">
        <f>IF(N1619&lt;&gt;"",INDEX($L$2:$L$1705,MATCH(N1619,$M$2:$M$1705,0)),"")</f>
        <v/>
      </c>
      <c r="P1619" s="1" t="str">
        <f>IF(O1619&lt;&gt;"",ROWS($O$2:O1619),"")</f>
        <v/>
      </c>
    </row>
    <row r="1620" spans="10:16" x14ac:dyDescent="0.2">
      <c r="J1620" s="1">
        <f>COUNTIF($L$2:L1620,L1620)</f>
        <v>42</v>
      </c>
      <c r="K1620" s="1">
        <f>A768</f>
        <v>2010</v>
      </c>
      <c r="L1620" s="1" t="str">
        <f>E768</f>
        <v>Germany</v>
      </c>
      <c r="M1620" s="1" t="str">
        <f>IF(J1620=1,J1620+ROWS($J$2:J1620)/10000,"")</f>
        <v/>
      </c>
      <c r="N1620" s="1" t="str">
        <f>IFERROR(SMALL($M$2:$M$1705,ROWS($M$2:M1620)),"")</f>
        <v/>
      </c>
      <c r="O1620" s="1" t="str">
        <f>IF(N1620&lt;&gt;"",INDEX($L$2:$L$1705,MATCH(N1620,$M$2:$M$1705,0)),"")</f>
        <v/>
      </c>
      <c r="P1620" s="1" t="str">
        <f>IF(O1620&lt;&gt;"",ROWS($O$2:O1620),"")</f>
        <v/>
      </c>
    </row>
    <row r="1621" spans="10:16" x14ac:dyDescent="0.2">
      <c r="J1621" s="1">
        <f>COUNTIF($L$2:L1621,L1621)</f>
        <v>56</v>
      </c>
      <c r="K1621" s="1">
        <f>A769</f>
        <v>2010</v>
      </c>
      <c r="L1621" s="1" t="str">
        <f>E769</f>
        <v>Spain</v>
      </c>
      <c r="M1621" s="1" t="str">
        <f>IF(J1621=1,J1621+ROWS($J$2:J1621)/10000,"")</f>
        <v/>
      </c>
      <c r="N1621" s="1" t="str">
        <f>IFERROR(SMALL($M$2:$M$1705,ROWS($M$2:M1621)),"")</f>
        <v/>
      </c>
      <c r="O1621" s="1" t="str">
        <f>IF(N1621&lt;&gt;"",INDEX($L$2:$L$1705,MATCH(N1621,$M$2:$M$1705,0)),"")</f>
        <v/>
      </c>
      <c r="P1621" s="1" t="str">
        <f>IF(O1621&lt;&gt;"",ROWS($O$2:O1621),"")</f>
        <v/>
      </c>
    </row>
    <row r="1622" spans="10:16" x14ac:dyDescent="0.2">
      <c r="J1622" s="1">
        <f>COUNTIF($L$2:L1622,L1622)</f>
        <v>50</v>
      </c>
      <c r="K1622" s="1">
        <f>A770</f>
        <v>2010</v>
      </c>
      <c r="L1622" s="1" t="str">
        <f>E770</f>
        <v>Netherlands</v>
      </c>
      <c r="M1622" s="1" t="str">
        <f>IF(J1622=1,J1622+ROWS($J$2:J1622)/10000,"")</f>
        <v/>
      </c>
      <c r="N1622" s="1" t="str">
        <f>IFERROR(SMALL($M$2:$M$1705,ROWS($M$2:M1622)),"")</f>
        <v/>
      </c>
      <c r="O1622" s="1" t="str">
        <f>IF(N1622&lt;&gt;"",INDEX($L$2:$L$1705,MATCH(N1622,$M$2:$M$1705,0)),"")</f>
        <v/>
      </c>
      <c r="P1622" s="1" t="str">
        <f>IF(O1622&lt;&gt;"",ROWS($O$2:O1622),"")</f>
        <v/>
      </c>
    </row>
    <row r="1623" spans="10:16" x14ac:dyDescent="0.2">
      <c r="J1623" s="1">
        <f>COUNTIF($L$2:L1623,L1623)</f>
        <v>57</v>
      </c>
      <c r="K1623" s="1">
        <f>A771</f>
        <v>2010</v>
      </c>
      <c r="L1623" s="1" t="str">
        <f>E771</f>
        <v>Spain</v>
      </c>
      <c r="M1623" s="1" t="str">
        <f>IF(J1623=1,J1623+ROWS($J$2:J1623)/10000,"")</f>
        <v/>
      </c>
      <c r="N1623" s="1" t="str">
        <f>IFERROR(SMALL($M$2:$M$1705,ROWS($M$2:M1623)),"")</f>
        <v/>
      </c>
      <c r="O1623" s="1" t="str">
        <f>IF(N1623&lt;&gt;"",INDEX($L$2:$L$1705,MATCH(N1623,$M$2:$M$1705,0)),"")</f>
        <v/>
      </c>
      <c r="P1623" s="1" t="str">
        <f>IF(O1623&lt;&gt;"",ROWS($O$2:O1623),"")</f>
        <v/>
      </c>
    </row>
    <row r="1624" spans="10:16" x14ac:dyDescent="0.2">
      <c r="J1624" s="1">
        <f>COUNTIF($L$2:L1624,L1624)</f>
        <v>43</v>
      </c>
      <c r="K1624" s="1">
        <f>A772</f>
        <v>2010</v>
      </c>
      <c r="L1624" s="1" t="str">
        <f>E772</f>
        <v>Germany</v>
      </c>
      <c r="M1624" s="1" t="str">
        <f>IF(J1624=1,J1624+ROWS($J$2:J1624)/10000,"")</f>
        <v/>
      </c>
      <c r="N1624" s="1" t="str">
        <f>IFERROR(SMALL($M$2:$M$1705,ROWS($M$2:M1624)),"")</f>
        <v/>
      </c>
      <c r="O1624" s="1" t="str">
        <f>IF(N1624&lt;&gt;"",INDEX($L$2:$L$1705,MATCH(N1624,$M$2:$M$1705,0)),"")</f>
        <v/>
      </c>
      <c r="P1624" s="1" t="str">
        <f>IF(O1624&lt;&gt;"",ROWS($O$2:O1624),"")</f>
        <v/>
      </c>
    </row>
    <row r="1625" spans="10:16" x14ac:dyDescent="0.2">
      <c r="J1625" s="1">
        <f>COUNTIF($L$2:L1625,L1625)</f>
        <v>58</v>
      </c>
      <c r="K1625" s="1">
        <f>A773</f>
        <v>2010</v>
      </c>
      <c r="L1625" s="1" t="str">
        <f>E773</f>
        <v>Spain</v>
      </c>
      <c r="M1625" s="1" t="str">
        <f>IF(J1625=1,J1625+ROWS($J$2:J1625)/10000,"")</f>
        <v/>
      </c>
      <c r="N1625" s="1" t="str">
        <f>IFERROR(SMALL($M$2:$M$1705,ROWS($M$2:M1625)),"")</f>
        <v/>
      </c>
      <c r="O1625" s="1" t="str">
        <f>IF(N1625&lt;&gt;"",INDEX($L$2:$L$1705,MATCH(N1625,$M$2:$M$1705,0)),"")</f>
        <v/>
      </c>
      <c r="P1625" s="1" t="str">
        <f>IF(O1625&lt;&gt;"",ROWS($O$2:O1625),"")</f>
        <v/>
      </c>
    </row>
    <row r="1626" spans="10:16" x14ac:dyDescent="0.2">
      <c r="J1626" s="1">
        <f>COUNTIF($L$2:L1626,L1626)</f>
        <v>15</v>
      </c>
      <c r="K1626" s="1">
        <f>A774</f>
        <v>2014</v>
      </c>
      <c r="L1626" s="1" t="str">
        <f>E774</f>
        <v>Croatia</v>
      </c>
      <c r="M1626" s="1" t="str">
        <f>IF(J1626=1,J1626+ROWS($J$2:J1626)/10000,"")</f>
        <v/>
      </c>
      <c r="N1626" s="1" t="str">
        <f>IFERROR(SMALL($M$2:$M$1705,ROWS($M$2:M1626)),"")</f>
        <v/>
      </c>
      <c r="O1626" s="1" t="str">
        <f>IF(N1626&lt;&gt;"",INDEX($L$2:$L$1705,MATCH(N1626,$M$2:$M$1705,0)),"")</f>
        <v/>
      </c>
      <c r="P1626" s="1" t="str">
        <f>IF(O1626&lt;&gt;"",ROWS($O$2:O1626),"")</f>
        <v/>
      </c>
    </row>
    <row r="1627" spans="10:16" x14ac:dyDescent="0.2">
      <c r="J1627" s="1">
        <f>COUNTIF($L$2:L1627,L1627)</f>
        <v>23</v>
      </c>
      <c r="K1627" s="1">
        <f>A775</f>
        <v>2014</v>
      </c>
      <c r="L1627" s="1" t="str">
        <f>E775</f>
        <v>Cameroon</v>
      </c>
      <c r="M1627" s="1" t="str">
        <f>IF(J1627=1,J1627+ROWS($J$2:J1627)/10000,"")</f>
        <v/>
      </c>
      <c r="N1627" s="1" t="str">
        <f>IFERROR(SMALL($M$2:$M$1705,ROWS($M$2:M1627)),"")</f>
        <v/>
      </c>
      <c r="O1627" s="1" t="str">
        <f>IF(N1627&lt;&gt;"",INDEX($L$2:$L$1705,MATCH(N1627,$M$2:$M$1705,0)),"")</f>
        <v/>
      </c>
      <c r="P1627" s="1" t="str">
        <f>IF(O1627&lt;&gt;"",ROWS($O$2:O1627),"")</f>
        <v/>
      </c>
    </row>
    <row r="1628" spans="10:16" x14ac:dyDescent="0.2">
      <c r="J1628" s="1">
        <f>COUNTIF($L$2:L1628,L1628)</f>
        <v>51</v>
      </c>
      <c r="K1628" s="1">
        <f>A776</f>
        <v>2014</v>
      </c>
      <c r="L1628" s="1" t="str">
        <f>E776</f>
        <v>Netherlands</v>
      </c>
      <c r="M1628" s="1" t="str">
        <f>IF(J1628=1,J1628+ROWS($J$2:J1628)/10000,"")</f>
        <v/>
      </c>
      <c r="N1628" s="1" t="str">
        <f>IFERROR(SMALL($M$2:$M$1705,ROWS($M$2:M1628)),"")</f>
        <v/>
      </c>
      <c r="O1628" s="1" t="str">
        <f>IF(N1628&lt;&gt;"",INDEX($L$2:$L$1705,MATCH(N1628,$M$2:$M$1705,0)),"")</f>
        <v/>
      </c>
      <c r="P1628" s="1" t="str">
        <f>IF(O1628&lt;&gt;"",ROWS($O$2:O1628),"")</f>
        <v/>
      </c>
    </row>
    <row r="1629" spans="10:16" x14ac:dyDescent="0.2">
      <c r="J1629" s="1">
        <f>COUNTIF($L$2:L1629,L1629)</f>
        <v>13</v>
      </c>
      <c r="K1629" s="1">
        <f>A777</f>
        <v>2014</v>
      </c>
      <c r="L1629" s="1" t="str">
        <f>E777</f>
        <v>Australia</v>
      </c>
      <c r="M1629" s="1" t="str">
        <f>IF(J1629=1,J1629+ROWS($J$2:J1629)/10000,"")</f>
        <v/>
      </c>
      <c r="N1629" s="1" t="str">
        <f>IFERROR(SMALL($M$2:$M$1705,ROWS($M$2:M1629)),"")</f>
        <v/>
      </c>
      <c r="O1629" s="1" t="str">
        <f>IF(N1629&lt;&gt;"",INDEX($L$2:$L$1705,MATCH(N1629,$M$2:$M$1705,0)),"")</f>
        <v/>
      </c>
      <c r="P1629" s="1" t="str">
        <f>IF(O1629&lt;&gt;"",ROWS($O$2:O1629),"")</f>
        <v/>
      </c>
    </row>
    <row r="1630" spans="10:16" x14ac:dyDescent="0.2">
      <c r="J1630" s="1">
        <f>COUNTIF($L$2:L1630,L1630)</f>
        <v>8</v>
      </c>
      <c r="K1630" s="1">
        <f>A778</f>
        <v>2014</v>
      </c>
      <c r="L1630" s="1" t="str">
        <f>E778</f>
        <v>Greece</v>
      </c>
      <c r="M1630" s="1" t="str">
        <f>IF(J1630=1,J1630+ROWS($J$2:J1630)/10000,"")</f>
        <v/>
      </c>
      <c r="N1630" s="1" t="str">
        <f>IFERROR(SMALL($M$2:$M$1705,ROWS($M$2:M1630)),"")</f>
        <v/>
      </c>
      <c r="O1630" s="1" t="str">
        <f>IF(N1630&lt;&gt;"",INDEX($L$2:$L$1705,MATCH(N1630,$M$2:$M$1705,0)),"")</f>
        <v/>
      </c>
      <c r="P1630" s="1" t="str">
        <f>IF(O1630&lt;&gt;"",ROWS($O$2:O1630),"")</f>
        <v/>
      </c>
    </row>
    <row r="1631" spans="10:16" x14ac:dyDescent="0.2">
      <c r="J1631" s="1">
        <f>COUNTIF($L$2:L1631,L1631)</f>
        <v>14</v>
      </c>
      <c r="K1631" s="1">
        <f>A779</f>
        <v>2014</v>
      </c>
      <c r="L1631" s="1" t="str">
        <f>E779</f>
        <v>Costa Rica</v>
      </c>
      <c r="M1631" s="1" t="str">
        <f>IF(J1631=1,J1631+ROWS($J$2:J1631)/10000,"")</f>
        <v/>
      </c>
      <c r="N1631" s="1" t="str">
        <f>IFERROR(SMALL($M$2:$M$1705,ROWS($M$2:M1631)),"")</f>
        <v/>
      </c>
      <c r="O1631" s="1" t="str">
        <f>IF(N1631&lt;&gt;"",INDEX($L$2:$L$1705,MATCH(N1631,$M$2:$M$1705,0)),"")</f>
        <v/>
      </c>
      <c r="P1631" s="1" t="str">
        <f>IF(O1631&lt;&gt;"",ROWS($O$2:O1631),"")</f>
        <v/>
      </c>
    </row>
    <row r="1632" spans="10:16" x14ac:dyDescent="0.2">
      <c r="J1632" s="1">
        <f>COUNTIF($L$2:L1632,L1632)</f>
        <v>83</v>
      </c>
      <c r="K1632" s="1">
        <f>A780</f>
        <v>2014</v>
      </c>
      <c r="L1632" s="1" t="str">
        <f>E780</f>
        <v>Italy</v>
      </c>
      <c r="M1632" s="1" t="str">
        <f>IF(J1632=1,J1632+ROWS($J$2:J1632)/10000,"")</f>
        <v/>
      </c>
      <c r="N1632" s="1" t="str">
        <f>IFERROR(SMALL($M$2:$M$1705,ROWS($M$2:M1632)),"")</f>
        <v/>
      </c>
      <c r="O1632" s="1" t="str">
        <f>IF(N1632&lt;&gt;"",INDEX($L$2:$L$1705,MATCH(N1632,$M$2:$M$1705,0)),"")</f>
        <v/>
      </c>
      <c r="P1632" s="1" t="str">
        <f>IF(O1632&lt;&gt;"",ROWS($O$2:O1632),"")</f>
        <v/>
      </c>
    </row>
    <row r="1633" spans="10:16" x14ac:dyDescent="0.2">
      <c r="J1633" s="1">
        <f>COUNTIF($L$2:L1633,L1633)</f>
        <v>17</v>
      </c>
      <c r="K1633" s="1">
        <f>A781</f>
        <v>2014</v>
      </c>
      <c r="L1633" s="1" t="str">
        <f>E781</f>
        <v>Japan</v>
      </c>
      <c r="M1633" s="1" t="str">
        <f>IF(J1633=1,J1633+ROWS($J$2:J1633)/10000,"")</f>
        <v/>
      </c>
      <c r="N1633" s="1" t="str">
        <f>IFERROR(SMALL($M$2:$M$1705,ROWS($M$2:M1633)),"")</f>
        <v/>
      </c>
      <c r="O1633" s="1" t="str">
        <f>IF(N1633&lt;&gt;"",INDEX($L$2:$L$1705,MATCH(N1633,$M$2:$M$1705,0)),"")</f>
        <v/>
      </c>
      <c r="P1633" s="1" t="str">
        <f>IF(O1633&lt;&gt;"",ROWS($O$2:O1633),"")</f>
        <v/>
      </c>
    </row>
    <row r="1634" spans="10:16" x14ac:dyDescent="0.2">
      <c r="J1634" s="1">
        <f>COUNTIF($L$2:L1634,L1634)</f>
        <v>9</v>
      </c>
      <c r="K1634" s="1">
        <f>A782</f>
        <v>2014</v>
      </c>
      <c r="L1634" s="1" t="str">
        <f>E782</f>
        <v>Ecuador</v>
      </c>
      <c r="M1634" s="1" t="str">
        <f>IF(J1634=1,J1634+ROWS($J$2:J1634)/10000,"")</f>
        <v/>
      </c>
      <c r="N1634" s="1" t="str">
        <f>IFERROR(SMALL($M$2:$M$1705,ROWS($M$2:M1634)),"")</f>
        <v/>
      </c>
      <c r="O1634" s="1" t="str">
        <f>IF(N1634&lt;&gt;"",INDEX($L$2:$L$1705,MATCH(N1634,$M$2:$M$1705,0)),"")</f>
        <v/>
      </c>
      <c r="P1634" s="1" t="str">
        <f>IF(O1634&lt;&gt;"",ROWS($O$2:O1634),"")</f>
        <v/>
      </c>
    </row>
    <row r="1635" spans="10:16" x14ac:dyDescent="0.2">
      <c r="J1635" s="1">
        <f>COUNTIF($L$2:L1635,L1635)</f>
        <v>9</v>
      </c>
      <c r="K1635" s="1">
        <f>A783</f>
        <v>2014</v>
      </c>
      <c r="L1635" s="1" t="str">
        <f>E783</f>
        <v>Honduras</v>
      </c>
      <c r="M1635" s="1" t="str">
        <f>IF(J1635=1,J1635+ROWS($J$2:J1635)/10000,"")</f>
        <v/>
      </c>
      <c r="N1635" s="1" t="str">
        <f>IFERROR(SMALL($M$2:$M$1705,ROWS($M$2:M1635)),"")</f>
        <v/>
      </c>
      <c r="O1635" s="1" t="str">
        <f>IF(N1635&lt;&gt;"",INDEX($L$2:$L$1705,MATCH(N1635,$M$2:$M$1705,0)),"")</f>
        <v/>
      </c>
      <c r="P1635" s="1" t="str">
        <f>IF(O1635&lt;&gt;"",ROWS($O$2:O1635),"")</f>
        <v/>
      </c>
    </row>
    <row r="1636" spans="10:16" x14ac:dyDescent="0.2">
      <c r="J1636" s="1">
        <f>COUNTIF($L$2:L1636,L1636)</f>
        <v>2</v>
      </c>
      <c r="K1636" s="1">
        <f>A784</f>
        <v>2014</v>
      </c>
      <c r="L1636" s="1" t="str">
        <f>E784</f>
        <v>Bosnia and Herzegovina</v>
      </c>
      <c r="M1636" s="1" t="str">
        <f>IF(J1636=1,J1636+ROWS($J$2:J1636)/10000,"")</f>
        <v/>
      </c>
      <c r="N1636" s="1" t="str">
        <f>IFERROR(SMALL($M$2:$M$1705,ROWS($M$2:M1636)),"")</f>
        <v/>
      </c>
      <c r="O1636" s="1" t="str">
        <f>IF(N1636&lt;&gt;"",INDEX($L$2:$L$1705,MATCH(N1636,$M$2:$M$1705,0)),"")</f>
        <v/>
      </c>
      <c r="P1636" s="1" t="str">
        <f>IF(O1636&lt;&gt;"",ROWS($O$2:O1636),"")</f>
        <v/>
      </c>
    </row>
    <row r="1637" spans="10:16" x14ac:dyDescent="0.2">
      <c r="J1637" s="1">
        <f>COUNTIF($L$2:L1637,L1637)</f>
        <v>25</v>
      </c>
      <c r="K1637" s="1">
        <f>A785</f>
        <v>2014</v>
      </c>
      <c r="L1637" s="1" t="str">
        <f>E785</f>
        <v>Portugal</v>
      </c>
      <c r="M1637" s="1" t="str">
        <f>IF(J1637=1,J1637+ROWS($J$2:J1637)/10000,"")</f>
        <v/>
      </c>
      <c r="N1637" s="1" t="str">
        <f>IFERROR(SMALL($M$2:$M$1705,ROWS($M$2:M1637)),"")</f>
        <v/>
      </c>
      <c r="O1637" s="1" t="str">
        <f>IF(N1637&lt;&gt;"",INDEX($L$2:$L$1705,MATCH(N1637,$M$2:$M$1705,0)),"")</f>
        <v/>
      </c>
      <c r="P1637" s="1" t="str">
        <f>IF(O1637&lt;&gt;"",ROWS($O$2:O1637),"")</f>
        <v/>
      </c>
    </row>
    <row r="1638" spans="10:16" x14ac:dyDescent="0.2">
      <c r="J1638" s="1">
        <f>COUNTIF($L$2:L1638,L1638)</f>
        <v>17</v>
      </c>
      <c r="K1638" s="1">
        <f>A786</f>
        <v>2014</v>
      </c>
      <c r="L1638" s="1" t="str">
        <f>E786</f>
        <v>Nigeria</v>
      </c>
      <c r="M1638" s="1" t="str">
        <f>IF(J1638=1,J1638+ROWS($J$2:J1638)/10000,"")</f>
        <v/>
      </c>
      <c r="N1638" s="1" t="str">
        <f>IFERROR(SMALL($M$2:$M$1705,ROWS($M$2:M1638)),"")</f>
        <v/>
      </c>
      <c r="O1638" s="1" t="str">
        <f>IF(N1638&lt;&gt;"",INDEX($L$2:$L$1705,MATCH(N1638,$M$2:$M$1705,0)),"")</f>
        <v/>
      </c>
      <c r="P1638" s="1" t="str">
        <f>IF(O1638&lt;&gt;"",ROWS($O$2:O1638),"")</f>
        <v/>
      </c>
    </row>
    <row r="1639" spans="10:16" x14ac:dyDescent="0.2">
      <c r="J1639" s="1">
        <f>COUNTIF($L$2:L1639,L1639)</f>
        <v>32</v>
      </c>
      <c r="K1639" s="1">
        <f>A787</f>
        <v>2014</v>
      </c>
      <c r="L1639" s="1" t="str">
        <f>E787</f>
        <v>USA</v>
      </c>
      <c r="M1639" s="1" t="str">
        <f>IF(J1639=1,J1639+ROWS($J$2:J1639)/10000,"")</f>
        <v/>
      </c>
      <c r="N1639" s="1" t="str">
        <f>IFERROR(SMALL($M$2:$M$1705,ROWS($M$2:M1639)),"")</f>
        <v/>
      </c>
      <c r="O1639" s="1" t="str">
        <f>IF(N1639&lt;&gt;"",INDEX($L$2:$L$1705,MATCH(N1639,$M$2:$M$1705,0)),"")</f>
        <v/>
      </c>
      <c r="P1639" s="1" t="str">
        <f>IF(O1639&lt;&gt;"",ROWS($O$2:O1639),"")</f>
        <v/>
      </c>
    </row>
    <row r="1640" spans="10:16" x14ac:dyDescent="0.2">
      <c r="J1640" s="1">
        <f>COUNTIF($L$2:L1640,L1640)</f>
        <v>11</v>
      </c>
      <c r="K1640" s="1">
        <f>A788</f>
        <v>2014</v>
      </c>
      <c r="L1640" s="1" t="str">
        <f>E788</f>
        <v>Algeria</v>
      </c>
      <c r="M1640" s="1" t="str">
        <f>IF(J1640=1,J1640+ROWS($J$2:J1640)/10000,"")</f>
        <v/>
      </c>
      <c r="N1640" s="1" t="str">
        <f>IFERROR(SMALL($M$2:$M$1705,ROWS($M$2:M1640)),"")</f>
        <v/>
      </c>
      <c r="O1640" s="1" t="str">
        <f>IF(N1640&lt;&gt;"",INDEX($L$2:$L$1705,MATCH(N1640,$M$2:$M$1705,0)),"")</f>
        <v/>
      </c>
      <c r="P1640" s="1" t="str">
        <f>IF(O1640&lt;&gt;"",ROWS($O$2:O1640),"")</f>
        <v/>
      </c>
    </row>
    <row r="1641" spans="10:16" x14ac:dyDescent="0.2">
      <c r="J1641" s="1">
        <f>COUNTIF($L$2:L1641,L1641)</f>
        <v>51</v>
      </c>
      <c r="K1641" s="1">
        <f>A789</f>
        <v>2014</v>
      </c>
      <c r="L1641" s="1" t="str">
        <f>E789</f>
        <v>Mexico</v>
      </c>
      <c r="M1641" s="1" t="str">
        <f>IF(J1641=1,J1641+ROWS($J$2:J1641)/10000,"")</f>
        <v/>
      </c>
      <c r="N1641" s="1" t="str">
        <f>IFERROR(SMALL($M$2:$M$1705,ROWS($M$2:M1641)),"")</f>
        <v/>
      </c>
      <c r="O1641" s="1" t="str">
        <f>IF(N1641&lt;&gt;"",INDEX($L$2:$L$1705,MATCH(N1641,$M$2:$M$1705,0)),"")</f>
        <v/>
      </c>
      <c r="P1641" s="1" t="str">
        <f>IF(O1641&lt;&gt;"",ROWS($O$2:O1641),"")</f>
        <v/>
      </c>
    </row>
    <row r="1642" spans="10:16" x14ac:dyDescent="0.2">
      <c r="J1642" s="1">
        <f>COUNTIF($L$2:L1642,L1642)</f>
        <v>31</v>
      </c>
      <c r="K1642" s="1">
        <f>A790</f>
        <v>2014</v>
      </c>
      <c r="L1642" s="1" t="str">
        <f>E790</f>
        <v>Korea Republic</v>
      </c>
      <c r="M1642" s="1" t="str">
        <f>IF(J1642=1,J1642+ROWS($J$2:J1642)/10000,"")</f>
        <v/>
      </c>
      <c r="N1642" s="1" t="str">
        <f>IFERROR(SMALL($M$2:$M$1705,ROWS($M$2:M1642)),"")</f>
        <v/>
      </c>
      <c r="O1642" s="1" t="str">
        <f>IF(N1642&lt;&gt;"",INDEX($L$2:$L$1705,MATCH(N1642,$M$2:$M$1705,0)),"")</f>
        <v/>
      </c>
      <c r="P1642" s="1" t="str">
        <f>IF(O1642&lt;&gt;"",ROWS($O$2:O1642),"")</f>
        <v/>
      </c>
    </row>
    <row r="1643" spans="10:16" x14ac:dyDescent="0.2">
      <c r="J1643" s="1">
        <f>COUNTIF($L$2:L1643,L1643)</f>
        <v>52</v>
      </c>
      <c r="K1643" s="1">
        <f>A791</f>
        <v>2014</v>
      </c>
      <c r="L1643" s="1" t="str">
        <f>E791</f>
        <v>Netherlands</v>
      </c>
      <c r="M1643" s="1" t="str">
        <f>IF(J1643=1,J1643+ROWS($J$2:J1643)/10000,"")</f>
        <v/>
      </c>
      <c r="N1643" s="1" t="str">
        <f>IFERROR(SMALL($M$2:$M$1705,ROWS($M$2:M1643)),"")</f>
        <v/>
      </c>
      <c r="O1643" s="1" t="str">
        <f>IF(N1643&lt;&gt;"",INDEX($L$2:$L$1705,MATCH(N1643,$M$2:$M$1705,0)),"")</f>
        <v/>
      </c>
      <c r="P1643" s="1" t="str">
        <f>IF(O1643&lt;&gt;"",ROWS($O$2:O1643),"")</f>
        <v/>
      </c>
    </row>
    <row r="1644" spans="10:16" x14ac:dyDescent="0.2">
      <c r="J1644" s="1">
        <f>COUNTIF($L$2:L1644,L1644)</f>
        <v>31</v>
      </c>
      <c r="K1644" s="1">
        <f>A792</f>
        <v>2014</v>
      </c>
      <c r="L1644" s="1" t="str">
        <f>E792</f>
        <v>Chile</v>
      </c>
      <c r="M1644" s="1" t="str">
        <f>IF(J1644=1,J1644+ROWS($J$2:J1644)/10000,"")</f>
        <v/>
      </c>
      <c r="N1644" s="1" t="str">
        <f>IFERROR(SMALL($M$2:$M$1705,ROWS($M$2:M1644)),"")</f>
        <v/>
      </c>
      <c r="O1644" s="1" t="str">
        <f>IF(N1644&lt;&gt;"",INDEX($L$2:$L$1705,MATCH(N1644,$M$2:$M$1705,0)),"")</f>
        <v/>
      </c>
      <c r="P1644" s="1" t="str">
        <f>IF(O1644&lt;&gt;"",ROWS($O$2:O1644),"")</f>
        <v/>
      </c>
    </row>
    <row r="1645" spans="10:16" x14ac:dyDescent="0.2">
      <c r="J1645" s="1">
        <f>COUNTIF($L$2:L1645,L1645)</f>
        <v>16</v>
      </c>
      <c r="K1645" s="1">
        <f>A793</f>
        <v>2014</v>
      </c>
      <c r="L1645" s="1" t="str">
        <f>E793</f>
        <v>Croatia</v>
      </c>
      <c r="M1645" s="1" t="str">
        <f>IF(J1645=1,J1645+ROWS($J$2:J1645)/10000,"")</f>
        <v/>
      </c>
      <c r="N1645" s="1" t="str">
        <f>IFERROR(SMALL($M$2:$M$1705,ROWS($M$2:M1645)),"")</f>
        <v/>
      </c>
      <c r="O1645" s="1" t="str">
        <f>IF(N1645&lt;&gt;"",INDEX($L$2:$L$1705,MATCH(N1645,$M$2:$M$1705,0)),"")</f>
        <v/>
      </c>
      <c r="P1645" s="1" t="str">
        <f>IF(O1645&lt;&gt;"",ROWS($O$2:O1645),"")</f>
        <v/>
      </c>
    </row>
    <row r="1646" spans="10:16" x14ac:dyDescent="0.2">
      <c r="J1646" s="1">
        <f>COUNTIF($L$2:L1646,L1646)</f>
        <v>8</v>
      </c>
      <c r="K1646" s="1">
        <f>A794</f>
        <v>2014</v>
      </c>
      <c r="L1646" s="1" t="str">
        <f>E794</f>
        <v>Cï¿½te d'Ivoire</v>
      </c>
      <c r="M1646" s="1" t="str">
        <f>IF(J1646=1,J1646+ROWS($J$2:J1646)/10000,"")</f>
        <v/>
      </c>
      <c r="N1646" s="1" t="str">
        <f>IFERROR(SMALL($M$2:$M$1705,ROWS($M$2:M1646)),"")</f>
        <v/>
      </c>
      <c r="O1646" s="1" t="str">
        <f>IF(N1646&lt;&gt;"",INDEX($L$2:$L$1705,MATCH(N1646,$M$2:$M$1705,0)),"")</f>
        <v/>
      </c>
      <c r="P1646" s="1" t="str">
        <f>IF(O1646&lt;&gt;"",ROWS($O$2:O1646),"")</f>
        <v/>
      </c>
    </row>
    <row r="1647" spans="10:16" x14ac:dyDescent="0.2">
      <c r="J1647" s="1">
        <f>COUNTIF($L$2:L1647,L1647)</f>
        <v>61</v>
      </c>
      <c r="K1647" s="1">
        <f>A795</f>
        <v>2014</v>
      </c>
      <c r="L1647" s="1" t="str">
        <f>E795</f>
        <v>England</v>
      </c>
      <c r="M1647" s="1" t="str">
        <f>IF(J1647=1,J1647+ROWS($J$2:J1647)/10000,"")</f>
        <v/>
      </c>
      <c r="N1647" s="1" t="str">
        <f>IFERROR(SMALL($M$2:$M$1705,ROWS($M$2:M1647)),"")</f>
        <v/>
      </c>
      <c r="O1647" s="1" t="str">
        <f>IF(N1647&lt;&gt;"",INDEX($L$2:$L$1705,MATCH(N1647,$M$2:$M$1705,0)),"")</f>
        <v/>
      </c>
      <c r="P1647" s="1" t="str">
        <f>IF(O1647&lt;&gt;"",ROWS($O$2:O1647),"")</f>
        <v/>
      </c>
    </row>
    <row r="1648" spans="10:16" x14ac:dyDescent="0.2">
      <c r="J1648" s="1">
        <f>COUNTIF($L$2:L1648,L1648)</f>
        <v>9</v>
      </c>
      <c r="K1648" s="1">
        <f>A796</f>
        <v>2014</v>
      </c>
      <c r="L1648" s="1" t="str">
        <f>E796</f>
        <v>Greece</v>
      </c>
      <c r="M1648" s="1" t="str">
        <f>IF(J1648=1,J1648+ROWS($J$2:J1648)/10000,"")</f>
        <v/>
      </c>
      <c r="N1648" s="1" t="str">
        <f>IFERROR(SMALL($M$2:$M$1705,ROWS($M$2:M1648)),"")</f>
        <v/>
      </c>
      <c r="O1648" s="1" t="str">
        <f>IF(N1648&lt;&gt;"",INDEX($L$2:$L$1705,MATCH(N1648,$M$2:$M$1705,0)),"")</f>
        <v/>
      </c>
      <c r="P1648" s="1" t="str">
        <f>IF(O1648&lt;&gt;"",ROWS($O$2:O1648),"")</f>
        <v/>
      </c>
    </row>
    <row r="1649" spans="10:16" x14ac:dyDescent="0.2">
      <c r="J1649" s="1">
        <f>COUNTIF($L$2:L1649,L1649)</f>
        <v>15</v>
      </c>
      <c r="K1649" s="1">
        <f>A797</f>
        <v>2014</v>
      </c>
      <c r="L1649" s="1" t="str">
        <f>E797</f>
        <v>Costa Rica</v>
      </c>
      <c r="M1649" s="1" t="str">
        <f>IF(J1649=1,J1649+ROWS($J$2:J1649)/10000,"")</f>
        <v/>
      </c>
      <c r="N1649" s="1" t="str">
        <f>IFERROR(SMALL($M$2:$M$1705,ROWS($M$2:M1649)),"")</f>
        <v/>
      </c>
      <c r="O1649" s="1" t="str">
        <f>IF(N1649&lt;&gt;"",INDEX($L$2:$L$1705,MATCH(N1649,$M$2:$M$1705,0)),"")</f>
        <v/>
      </c>
      <c r="P1649" s="1" t="str">
        <f>IF(O1649&lt;&gt;"",ROWS($O$2:O1649),"")</f>
        <v/>
      </c>
    </row>
    <row r="1650" spans="10:16" x14ac:dyDescent="0.2">
      <c r="J1650" s="1">
        <f>COUNTIF($L$2:L1650,L1650)</f>
        <v>60</v>
      </c>
      <c r="K1650" s="1">
        <f>A798</f>
        <v>2014</v>
      </c>
      <c r="L1650" s="1" t="str">
        <f>E798</f>
        <v>France</v>
      </c>
      <c r="M1650" s="1" t="str">
        <f>IF(J1650=1,J1650+ROWS($J$2:J1650)/10000,"")</f>
        <v/>
      </c>
      <c r="N1650" s="1" t="str">
        <f>IFERROR(SMALL($M$2:$M$1705,ROWS($M$2:M1650)),"")</f>
        <v/>
      </c>
      <c r="O1650" s="1" t="str">
        <f>IF(N1650&lt;&gt;"",INDEX($L$2:$L$1705,MATCH(N1650,$M$2:$M$1705,0)),"")</f>
        <v/>
      </c>
      <c r="P1650" s="1" t="str">
        <f>IF(O1650&lt;&gt;"",ROWS($O$2:O1650),"")</f>
        <v/>
      </c>
    </row>
    <row r="1651" spans="10:16" x14ac:dyDescent="0.2">
      <c r="J1651" s="1">
        <f>COUNTIF($L$2:L1651,L1651)</f>
        <v>10</v>
      </c>
      <c r="K1651" s="1">
        <f>A799</f>
        <v>2014</v>
      </c>
      <c r="L1651" s="1" t="str">
        <f>E799</f>
        <v>Ecuador</v>
      </c>
      <c r="M1651" s="1" t="str">
        <f>IF(J1651=1,J1651+ROWS($J$2:J1651)/10000,"")</f>
        <v/>
      </c>
      <c r="N1651" s="1" t="str">
        <f>IFERROR(SMALL($M$2:$M$1705,ROWS($M$2:M1651)),"")</f>
        <v/>
      </c>
      <c r="O1651" s="1" t="str">
        <f>IF(N1651&lt;&gt;"",INDEX($L$2:$L$1705,MATCH(N1651,$M$2:$M$1705,0)),"")</f>
        <v/>
      </c>
      <c r="P1651" s="1" t="str">
        <f>IF(O1651&lt;&gt;"",ROWS($O$2:O1651),"")</f>
        <v/>
      </c>
    </row>
    <row r="1652" spans="10:16" x14ac:dyDescent="0.2">
      <c r="J1652" s="1">
        <f>COUNTIF($L$2:L1652,L1652)</f>
        <v>5</v>
      </c>
      <c r="K1652" s="1">
        <f>A800</f>
        <v>2014</v>
      </c>
      <c r="L1652" s="1" t="str">
        <f>E800</f>
        <v>IR Iran</v>
      </c>
      <c r="M1652" s="1" t="str">
        <f>IF(J1652=1,J1652+ROWS($J$2:J1652)/10000,"")</f>
        <v/>
      </c>
      <c r="N1652" s="1" t="str">
        <f>IFERROR(SMALL($M$2:$M$1705,ROWS($M$2:M1652)),"")</f>
        <v/>
      </c>
      <c r="O1652" s="1" t="str">
        <f>IF(N1652&lt;&gt;"",INDEX($L$2:$L$1705,MATCH(N1652,$M$2:$M$1705,0)),"")</f>
        <v/>
      </c>
      <c r="P1652" s="1" t="str">
        <f>IF(O1652&lt;&gt;"",ROWS($O$2:O1652),"")</f>
        <v/>
      </c>
    </row>
    <row r="1653" spans="10:16" x14ac:dyDescent="0.2">
      <c r="J1653" s="1">
        <f>COUNTIF($L$2:L1653,L1653)</f>
        <v>11</v>
      </c>
      <c r="K1653" s="1">
        <f>A801</f>
        <v>2014</v>
      </c>
      <c r="L1653" s="1" t="str">
        <f>E801</f>
        <v>Ghana</v>
      </c>
      <c r="M1653" s="1" t="str">
        <f>IF(J1653=1,J1653+ROWS($J$2:J1653)/10000,"")</f>
        <v/>
      </c>
      <c r="N1653" s="1" t="str">
        <f>IFERROR(SMALL($M$2:$M$1705,ROWS($M$2:M1653)),"")</f>
        <v/>
      </c>
      <c r="O1653" s="1" t="str">
        <f>IF(N1653&lt;&gt;"",INDEX($L$2:$L$1705,MATCH(N1653,$M$2:$M$1705,0)),"")</f>
        <v/>
      </c>
      <c r="P1653" s="1" t="str">
        <f>IF(O1653&lt;&gt;"",ROWS($O$2:O1653),"")</f>
        <v/>
      </c>
    </row>
    <row r="1654" spans="10:16" x14ac:dyDescent="0.2">
      <c r="J1654" s="1">
        <f>COUNTIF($L$2:L1654,L1654)</f>
        <v>3</v>
      </c>
      <c r="K1654" s="1">
        <f>A802</f>
        <v>2014</v>
      </c>
      <c r="L1654" s="1" t="str">
        <f>E802</f>
        <v>Bosnia and Herzegovina</v>
      </c>
      <c r="M1654" s="1" t="str">
        <f>IF(J1654=1,J1654+ROWS($J$2:J1654)/10000,"")</f>
        <v/>
      </c>
      <c r="N1654" s="1" t="str">
        <f>IFERROR(SMALL($M$2:$M$1705,ROWS($M$2:M1654)),"")</f>
        <v/>
      </c>
      <c r="O1654" s="1" t="str">
        <f>IF(N1654&lt;&gt;"",INDEX($L$2:$L$1705,MATCH(N1654,$M$2:$M$1705,0)),"")</f>
        <v/>
      </c>
      <c r="P1654" s="1" t="str">
        <f>IF(O1654&lt;&gt;"",ROWS($O$2:O1654),"")</f>
        <v/>
      </c>
    </row>
    <row r="1655" spans="10:16" x14ac:dyDescent="0.2">
      <c r="J1655" s="1">
        <f>COUNTIF($L$2:L1655,L1655)</f>
        <v>8</v>
      </c>
      <c r="K1655" s="1">
        <f>A803</f>
        <v>2014</v>
      </c>
      <c r="L1655" s="1" t="str">
        <f>E803</f>
        <v>Russia</v>
      </c>
      <c r="M1655" s="1" t="str">
        <f>IF(J1655=1,J1655+ROWS($J$2:J1655)/10000,"")</f>
        <v/>
      </c>
      <c r="N1655" s="1" t="str">
        <f>IFERROR(SMALL($M$2:$M$1705,ROWS($M$2:M1655)),"")</f>
        <v/>
      </c>
      <c r="O1655" s="1" t="str">
        <f>IF(N1655&lt;&gt;"",INDEX($L$2:$L$1705,MATCH(N1655,$M$2:$M$1705,0)),"")</f>
        <v/>
      </c>
      <c r="P1655" s="1" t="str">
        <f>IF(O1655&lt;&gt;"",ROWS($O$2:O1655),"")</f>
        <v/>
      </c>
    </row>
    <row r="1656" spans="10:16" x14ac:dyDescent="0.2">
      <c r="J1656" s="1">
        <f>COUNTIF($L$2:L1656,L1656)</f>
        <v>12</v>
      </c>
      <c r="K1656" s="1">
        <f>A804</f>
        <v>2014</v>
      </c>
      <c r="L1656" s="1" t="str">
        <f>E804</f>
        <v>Algeria</v>
      </c>
      <c r="M1656" s="1" t="str">
        <f>IF(J1656=1,J1656+ROWS($J$2:J1656)/10000,"")</f>
        <v/>
      </c>
      <c r="N1656" s="1" t="str">
        <f>IFERROR(SMALL($M$2:$M$1705,ROWS($M$2:M1656)),"")</f>
        <v/>
      </c>
      <c r="O1656" s="1" t="str">
        <f>IF(N1656&lt;&gt;"",INDEX($L$2:$L$1705,MATCH(N1656,$M$2:$M$1705,0)),"")</f>
        <v/>
      </c>
      <c r="P1656" s="1" t="str">
        <f>IF(O1656&lt;&gt;"",ROWS($O$2:O1656),"")</f>
        <v/>
      </c>
    </row>
    <row r="1657" spans="10:16" x14ac:dyDescent="0.2">
      <c r="J1657" s="1">
        <f>COUNTIF($L$2:L1657,L1657)</f>
        <v>26</v>
      </c>
      <c r="K1657" s="1">
        <f>A805</f>
        <v>2014</v>
      </c>
      <c r="L1657" s="1" t="str">
        <f>E805</f>
        <v>Portugal</v>
      </c>
      <c r="M1657" s="1" t="str">
        <f>IF(J1657=1,J1657+ROWS($J$2:J1657)/10000,"")</f>
        <v/>
      </c>
      <c r="N1657" s="1" t="str">
        <f>IFERROR(SMALL($M$2:$M$1705,ROWS($M$2:M1657)),"")</f>
        <v/>
      </c>
      <c r="O1657" s="1" t="str">
        <f>IF(N1657&lt;&gt;"",INDEX($L$2:$L$1705,MATCH(N1657,$M$2:$M$1705,0)),"")</f>
        <v/>
      </c>
      <c r="P1657" s="1" t="str">
        <f>IF(O1657&lt;&gt;"",ROWS($O$2:O1657),"")</f>
        <v/>
      </c>
    </row>
    <row r="1658" spans="10:16" x14ac:dyDescent="0.2">
      <c r="J1658" s="1">
        <f>COUNTIF($L$2:L1658,L1658)</f>
        <v>59</v>
      </c>
      <c r="K1658" s="1">
        <f>A806</f>
        <v>2014</v>
      </c>
      <c r="L1658" s="1" t="str">
        <f>E806</f>
        <v>Spain</v>
      </c>
      <c r="M1658" s="1" t="str">
        <f>IF(J1658=1,J1658+ROWS($J$2:J1658)/10000,"")</f>
        <v/>
      </c>
      <c r="N1658" s="1" t="str">
        <f>IFERROR(SMALL($M$2:$M$1705,ROWS($M$2:M1658)),"")</f>
        <v/>
      </c>
      <c r="O1658" s="1" t="str">
        <f>IF(N1658&lt;&gt;"",INDEX($L$2:$L$1705,MATCH(N1658,$M$2:$M$1705,0)),"")</f>
        <v/>
      </c>
      <c r="P1658" s="1" t="str">
        <f>IF(O1658&lt;&gt;"",ROWS($O$2:O1658),"")</f>
        <v/>
      </c>
    </row>
    <row r="1659" spans="10:16" x14ac:dyDescent="0.2">
      <c r="J1659" s="1">
        <f>COUNTIF($L$2:L1659,L1659)</f>
        <v>32</v>
      </c>
      <c r="K1659" s="1">
        <f>A807</f>
        <v>2014</v>
      </c>
      <c r="L1659" s="1" t="str">
        <f>E807</f>
        <v>Chile</v>
      </c>
      <c r="M1659" s="1" t="str">
        <f>IF(J1659=1,J1659+ROWS($J$2:J1659)/10000,"")</f>
        <v/>
      </c>
      <c r="N1659" s="1" t="str">
        <f>IFERROR(SMALL($M$2:$M$1705,ROWS($M$2:M1659)),"")</f>
        <v/>
      </c>
      <c r="O1659" s="1" t="str">
        <f>IF(N1659&lt;&gt;"",INDEX($L$2:$L$1705,MATCH(N1659,$M$2:$M$1705,0)),"")</f>
        <v/>
      </c>
      <c r="P1659" s="1" t="str">
        <f>IF(O1659&lt;&gt;"",ROWS($O$2:O1659),"")</f>
        <v/>
      </c>
    </row>
    <row r="1660" spans="10:16" x14ac:dyDescent="0.2">
      <c r="J1660" s="1">
        <f>COUNTIF($L$2:L1660,L1660)</f>
        <v>108</v>
      </c>
      <c r="K1660" s="1">
        <f>A808</f>
        <v>2014</v>
      </c>
      <c r="L1660" s="1" t="str">
        <f>E808</f>
        <v>Brazil</v>
      </c>
      <c r="M1660" s="1" t="str">
        <f>IF(J1660=1,J1660+ROWS($J$2:J1660)/10000,"")</f>
        <v/>
      </c>
      <c r="N1660" s="1" t="str">
        <f>IFERROR(SMALL($M$2:$M$1705,ROWS($M$2:M1660)),"")</f>
        <v/>
      </c>
      <c r="O1660" s="1" t="str">
        <f>IF(N1660&lt;&gt;"",INDEX($L$2:$L$1705,MATCH(N1660,$M$2:$M$1705,0)),"")</f>
        <v/>
      </c>
      <c r="P1660" s="1" t="str">
        <f>IF(O1660&lt;&gt;"",ROWS($O$2:O1660),"")</f>
        <v/>
      </c>
    </row>
    <row r="1661" spans="10:16" x14ac:dyDescent="0.2">
      <c r="J1661" s="1">
        <f>COUNTIF($L$2:L1661,L1661)</f>
        <v>52</v>
      </c>
      <c r="K1661" s="1">
        <f>A809</f>
        <v>2014</v>
      </c>
      <c r="L1661" s="1" t="str">
        <f>E809</f>
        <v>Mexico</v>
      </c>
      <c r="M1661" s="1" t="str">
        <f>IF(J1661=1,J1661+ROWS($J$2:J1661)/10000,"")</f>
        <v/>
      </c>
      <c r="N1661" s="1" t="str">
        <f>IFERROR(SMALL($M$2:$M$1705,ROWS($M$2:M1661)),"")</f>
        <v/>
      </c>
      <c r="O1661" s="1" t="str">
        <f>IF(N1661&lt;&gt;"",INDEX($L$2:$L$1705,MATCH(N1661,$M$2:$M$1705,0)),"")</f>
        <v/>
      </c>
      <c r="P1661" s="1" t="str">
        <f>IF(O1661&lt;&gt;"",ROWS($O$2:O1661),"")</f>
        <v/>
      </c>
    </row>
    <row r="1662" spans="10:16" x14ac:dyDescent="0.2">
      <c r="J1662" s="1">
        <f>COUNTIF($L$2:L1662,L1662)</f>
        <v>50</v>
      </c>
      <c r="K1662" s="1">
        <f>A810</f>
        <v>2014</v>
      </c>
      <c r="L1662" s="1" t="str">
        <f>E810</f>
        <v>Uruguay</v>
      </c>
      <c r="M1662" s="1" t="str">
        <f>IF(J1662=1,J1662+ROWS($J$2:J1662)/10000,"")</f>
        <v/>
      </c>
      <c r="N1662" s="1" t="str">
        <f>IFERROR(SMALL($M$2:$M$1705,ROWS($M$2:M1662)),"")</f>
        <v/>
      </c>
      <c r="O1662" s="1" t="str">
        <f>IF(N1662&lt;&gt;"",INDEX($L$2:$L$1705,MATCH(N1662,$M$2:$M$1705,0)),"")</f>
        <v/>
      </c>
      <c r="P1662" s="1" t="str">
        <f>IF(O1662&lt;&gt;"",ROWS($O$2:O1662),"")</f>
        <v/>
      </c>
    </row>
    <row r="1663" spans="10:16" x14ac:dyDescent="0.2">
      <c r="J1663" s="1">
        <f>COUNTIF($L$2:L1663,L1663)</f>
        <v>62</v>
      </c>
      <c r="K1663" s="1">
        <f>A811</f>
        <v>2014</v>
      </c>
      <c r="L1663" s="1" t="str">
        <f>E811</f>
        <v>England</v>
      </c>
      <c r="M1663" s="1" t="str">
        <f>IF(J1663=1,J1663+ROWS($J$2:J1663)/10000,"")</f>
        <v/>
      </c>
      <c r="N1663" s="1" t="str">
        <f>IFERROR(SMALL($M$2:$M$1705,ROWS($M$2:M1663)),"")</f>
        <v/>
      </c>
      <c r="O1663" s="1" t="str">
        <f>IF(N1663&lt;&gt;"",INDEX($L$2:$L$1705,MATCH(N1663,$M$2:$M$1705,0)),"")</f>
        <v/>
      </c>
      <c r="P1663" s="1" t="str">
        <f>IF(O1663&lt;&gt;"",ROWS($O$2:O1663),"")</f>
        <v/>
      </c>
    </row>
    <row r="1664" spans="10:16" x14ac:dyDescent="0.2">
      <c r="J1664" s="1">
        <f>COUNTIF($L$2:L1664,L1664)</f>
        <v>18</v>
      </c>
      <c r="K1664" s="1">
        <f>A812</f>
        <v>2014</v>
      </c>
      <c r="L1664" s="1" t="str">
        <f>E812</f>
        <v>Colombia</v>
      </c>
      <c r="M1664" s="1" t="str">
        <f>IF(J1664=1,J1664+ROWS($J$2:J1664)/10000,"")</f>
        <v/>
      </c>
      <c r="N1664" s="1" t="str">
        <f>IFERROR(SMALL($M$2:$M$1705,ROWS($M$2:M1664)),"")</f>
        <v/>
      </c>
      <c r="O1664" s="1" t="str">
        <f>IF(N1664&lt;&gt;"",INDEX($L$2:$L$1705,MATCH(N1664,$M$2:$M$1705,0)),"")</f>
        <v/>
      </c>
      <c r="P1664" s="1" t="str">
        <f>IF(O1664&lt;&gt;"",ROWS($O$2:O1664),"")</f>
        <v/>
      </c>
    </row>
    <row r="1665" spans="10:16" x14ac:dyDescent="0.2">
      <c r="J1665" s="1">
        <f>COUNTIF($L$2:L1665,L1665)</f>
        <v>9</v>
      </c>
      <c r="K1665" s="1">
        <f>A813</f>
        <v>2014</v>
      </c>
      <c r="L1665" s="1" t="str">
        <f>E813</f>
        <v>Cï¿½te d'Ivoire</v>
      </c>
      <c r="M1665" s="1" t="str">
        <f>IF(J1665=1,J1665+ROWS($J$2:J1665)/10000,"")</f>
        <v/>
      </c>
      <c r="N1665" s="1" t="str">
        <f>IFERROR(SMALL($M$2:$M$1705,ROWS($M$2:M1665)),"")</f>
        <v/>
      </c>
      <c r="O1665" s="1" t="str">
        <f>IF(N1665&lt;&gt;"",INDEX($L$2:$L$1705,MATCH(N1665,$M$2:$M$1705,0)),"")</f>
        <v/>
      </c>
      <c r="P1665" s="1" t="str">
        <f>IF(O1665&lt;&gt;"",ROWS($O$2:O1665),"")</f>
        <v/>
      </c>
    </row>
    <row r="1666" spans="10:16" x14ac:dyDescent="0.2">
      <c r="J1666" s="1">
        <f>COUNTIF($L$2:L1666,L1666)</f>
        <v>77</v>
      </c>
      <c r="K1666" s="1">
        <f>A814</f>
        <v>2014</v>
      </c>
      <c r="L1666" s="1" t="str">
        <f>E814</f>
        <v>Argentina</v>
      </c>
      <c r="M1666" s="1" t="str">
        <f>IF(J1666=1,J1666+ROWS($J$2:J1666)/10000,"")</f>
        <v/>
      </c>
      <c r="N1666" s="1" t="str">
        <f>IFERROR(SMALL($M$2:$M$1705,ROWS($M$2:M1666)),"")</f>
        <v/>
      </c>
      <c r="O1666" s="1" t="str">
        <f>IF(N1666&lt;&gt;"",INDEX($L$2:$L$1705,MATCH(N1666,$M$2:$M$1705,0)),"")</f>
        <v/>
      </c>
      <c r="P1666" s="1" t="str">
        <f>IF(O1666&lt;&gt;"",ROWS($O$2:O1666),"")</f>
        <v/>
      </c>
    </row>
    <row r="1667" spans="10:16" x14ac:dyDescent="0.2">
      <c r="J1667" s="1">
        <f>COUNTIF($L$2:L1667,L1667)</f>
        <v>6</v>
      </c>
      <c r="K1667" s="1">
        <f>A815</f>
        <v>2014</v>
      </c>
      <c r="L1667" s="1" t="str">
        <f>E815</f>
        <v>IR Iran</v>
      </c>
      <c r="M1667" s="1" t="str">
        <f>IF(J1667=1,J1667+ROWS($J$2:J1667)/10000,"")</f>
        <v/>
      </c>
      <c r="N1667" s="1" t="str">
        <f>IFERROR(SMALL($M$2:$M$1705,ROWS($M$2:M1667)),"")</f>
        <v/>
      </c>
      <c r="O1667" s="1" t="str">
        <f>IF(N1667&lt;&gt;"",INDEX($L$2:$L$1705,MATCH(N1667,$M$2:$M$1705,0)),"")</f>
        <v/>
      </c>
      <c r="P1667" s="1" t="str">
        <f>IF(O1667&lt;&gt;"",ROWS($O$2:O1667),"")</f>
        <v/>
      </c>
    </row>
    <row r="1668" spans="10:16" x14ac:dyDescent="0.2">
      <c r="J1668" s="1">
        <f>COUNTIF($L$2:L1668,L1668)</f>
        <v>32</v>
      </c>
      <c r="K1668" s="1">
        <f>A816</f>
        <v>2014</v>
      </c>
      <c r="L1668" s="1" t="str">
        <f>E816</f>
        <v>Switzerland</v>
      </c>
      <c r="M1668" s="1" t="str">
        <f>IF(J1668=1,J1668+ROWS($J$2:J1668)/10000,"")</f>
        <v/>
      </c>
      <c r="N1668" s="1" t="str">
        <f>IFERROR(SMALL($M$2:$M$1705,ROWS($M$2:M1668)),"")</f>
        <v/>
      </c>
      <c r="O1668" s="1" t="str">
        <f>IF(N1668&lt;&gt;"",INDEX($L$2:$L$1705,MATCH(N1668,$M$2:$M$1705,0)),"")</f>
        <v/>
      </c>
      <c r="P1668" s="1" t="str">
        <f>IF(O1668&lt;&gt;"",ROWS($O$2:O1668),"")</f>
        <v/>
      </c>
    </row>
    <row r="1669" spans="10:16" x14ac:dyDescent="0.2">
      <c r="J1669" s="1">
        <f>COUNTIF($L$2:L1669,L1669)</f>
        <v>61</v>
      </c>
      <c r="K1669" s="1">
        <f>A817</f>
        <v>2014</v>
      </c>
      <c r="L1669" s="1" t="str">
        <f>E817</f>
        <v>France</v>
      </c>
      <c r="M1669" s="1" t="str">
        <f>IF(J1669=1,J1669+ROWS($J$2:J1669)/10000,"")</f>
        <v/>
      </c>
      <c r="N1669" s="1" t="str">
        <f>IFERROR(SMALL($M$2:$M$1705,ROWS($M$2:M1669)),"")</f>
        <v/>
      </c>
      <c r="O1669" s="1" t="str">
        <f>IF(N1669&lt;&gt;"",INDEX($L$2:$L$1705,MATCH(N1669,$M$2:$M$1705,0)),"")</f>
        <v/>
      </c>
      <c r="P1669" s="1" t="str">
        <f>IF(O1669&lt;&gt;"",ROWS($O$2:O1669),"")</f>
        <v/>
      </c>
    </row>
    <row r="1670" spans="10:16" x14ac:dyDescent="0.2">
      <c r="J1670" s="1">
        <f>COUNTIF($L$2:L1670,L1670)</f>
        <v>44</v>
      </c>
      <c r="K1670" s="1">
        <f>A818</f>
        <v>2014</v>
      </c>
      <c r="L1670" s="1" t="str">
        <f>E818</f>
        <v>Germany</v>
      </c>
      <c r="M1670" s="1" t="str">
        <f>IF(J1670=1,J1670+ROWS($J$2:J1670)/10000,"")</f>
        <v/>
      </c>
      <c r="N1670" s="1" t="str">
        <f>IFERROR(SMALL($M$2:$M$1705,ROWS($M$2:M1670)),"")</f>
        <v/>
      </c>
      <c r="O1670" s="1" t="str">
        <f>IF(N1670&lt;&gt;"",INDEX($L$2:$L$1705,MATCH(N1670,$M$2:$M$1705,0)),"")</f>
        <v/>
      </c>
      <c r="P1670" s="1" t="str">
        <f>IF(O1670&lt;&gt;"",ROWS($O$2:O1670),"")</f>
        <v/>
      </c>
    </row>
    <row r="1671" spans="10:16" x14ac:dyDescent="0.2">
      <c r="J1671" s="1">
        <f>COUNTIF($L$2:L1671,L1671)</f>
        <v>12</v>
      </c>
      <c r="K1671" s="1">
        <f>A819</f>
        <v>2014</v>
      </c>
      <c r="L1671" s="1" t="str">
        <f>E819</f>
        <v>Ghana</v>
      </c>
      <c r="M1671" s="1" t="str">
        <f>IF(J1671=1,J1671+ROWS($J$2:J1671)/10000,"")</f>
        <v/>
      </c>
      <c r="N1671" s="1" t="str">
        <f>IFERROR(SMALL($M$2:$M$1705,ROWS($M$2:M1671)),"")</f>
        <v/>
      </c>
      <c r="O1671" s="1" t="str">
        <f>IF(N1671&lt;&gt;"",INDEX($L$2:$L$1705,MATCH(N1671,$M$2:$M$1705,0)),"")</f>
        <v/>
      </c>
      <c r="P1671" s="1" t="str">
        <f>IF(O1671&lt;&gt;"",ROWS($O$2:O1671),"")</f>
        <v/>
      </c>
    </row>
    <row r="1672" spans="10:16" x14ac:dyDescent="0.2">
      <c r="J1672" s="1">
        <f>COUNTIF($L$2:L1672,L1672)</f>
        <v>41</v>
      </c>
      <c r="K1672" s="1">
        <f>A820</f>
        <v>2014</v>
      </c>
      <c r="L1672" s="1" t="str">
        <f>E820</f>
        <v>Belgium</v>
      </c>
      <c r="M1672" s="1" t="str">
        <f>IF(J1672=1,J1672+ROWS($J$2:J1672)/10000,"")</f>
        <v/>
      </c>
      <c r="N1672" s="1" t="str">
        <f>IFERROR(SMALL($M$2:$M$1705,ROWS($M$2:M1672)),"")</f>
        <v/>
      </c>
      <c r="O1672" s="1" t="str">
        <f>IF(N1672&lt;&gt;"",INDEX($L$2:$L$1705,MATCH(N1672,$M$2:$M$1705,0)),"")</f>
        <v/>
      </c>
      <c r="P1672" s="1" t="str">
        <f>IF(O1672&lt;&gt;"",ROWS($O$2:O1672),"")</f>
        <v/>
      </c>
    </row>
    <row r="1673" spans="10:16" x14ac:dyDescent="0.2">
      <c r="J1673" s="1">
        <f>COUNTIF($L$2:L1673,L1673)</f>
        <v>9</v>
      </c>
      <c r="K1673" s="1">
        <f>A821</f>
        <v>2014</v>
      </c>
      <c r="L1673" s="1" t="str">
        <f>E821</f>
        <v>Russia</v>
      </c>
      <c r="M1673" s="1" t="str">
        <f>IF(J1673=1,J1673+ROWS($J$2:J1673)/10000,"")</f>
        <v/>
      </c>
      <c r="N1673" s="1" t="str">
        <f>IFERROR(SMALL($M$2:$M$1705,ROWS($M$2:M1673)),"")</f>
        <v/>
      </c>
      <c r="O1673" s="1" t="str">
        <f>IF(N1673&lt;&gt;"",INDEX($L$2:$L$1705,MATCH(N1673,$M$2:$M$1705,0)),"")</f>
        <v/>
      </c>
      <c r="P1673" s="1" t="str">
        <f>IF(O1673&lt;&gt;"",ROWS($O$2:O1673),"")</f>
        <v/>
      </c>
    </row>
    <row r="1674" spans="10:16" x14ac:dyDescent="0.2">
      <c r="J1674" s="1">
        <f>COUNTIF($L$2:L1674,L1674)</f>
        <v>33</v>
      </c>
      <c r="K1674" s="1">
        <f>A822</f>
        <v>2014</v>
      </c>
      <c r="L1674" s="1" t="str">
        <f>E822</f>
        <v>Chile</v>
      </c>
      <c r="M1674" s="1" t="str">
        <f>IF(J1674=1,J1674+ROWS($J$2:J1674)/10000,"")</f>
        <v/>
      </c>
      <c r="N1674" s="1" t="str">
        <f>IFERROR(SMALL($M$2:$M$1705,ROWS($M$2:M1674)),"")</f>
        <v/>
      </c>
      <c r="O1674" s="1" t="str">
        <f>IF(N1674&lt;&gt;"",INDEX($L$2:$L$1705,MATCH(N1674,$M$2:$M$1705,0)),"")</f>
        <v/>
      </c>
      <c r="P1674" s="1" t="str">
        <f>IF(O1674&lt;&gt;"",ROWS($O$2:O1674),"")</f>
        <v/>
      </c>
    </row>
    <row r="1675" spans="10:16" x14ac:dyDescent="0.2">
      <c r="J1675" s="1">
        <f>COUNTIF($L$2:L1675,L1675)</f>
        <v>51</v>
      </c>
      <c r="K1675" s="1">
        <f>A823</f>
        <v>2014</v>
      </c>
      <c r="L1675" s="1" t="str">
        <f>E823</f>
        <v>Uruguay</v>
      </c>
      <c r="M1675" s="1" t="str">
        <f>IF(J1675=1,J1675+ROWS($J$2:J1675)/10000,"")</f>
        <v/>
      </c>
      <c r="N1675" s="1" t="str">
        <f>IFERROR(SMALL($M$2:$M$1705,ROWS($M$2:M1675)),"")</f>
        <v/>
      </c>
      <c r="O1675" s="1" t="str">
        <f>IF(N1675&lt;&gt;"",INDEX($L$2:$L$1705,MATCH(N1675,$M$2:$M$1705,0)),"")</f>
        <v/>
      </c>
      <c r="P1675" s="1" t="str">
        <f>IF(O1675&lt;&gt;"",ROWS($O$2:O1675),"")</f>
        <v/>
      </c>
    </row>
    <row r="1676" spans="10:16" x14ac:dyDescent="0.2">
      <c r="J1676" s="1">
        <f>COUNTIF($L$2:L1676,L1676)</f>
        <v>18</v>
      </c>
      <c r="K1676" s="1">
        <f>A824</f>
        <v>2014</v>
      </c>
      <c r="L1676" s="1" t="str">
        <f>E824</f>
        <v>Nigeria</v>
      </c>
      <c r="M1676" s="1" t="str">
        <f>IF(J1676=1,J1676+ROWS($J$2:J1676)/10000,"")</f>
        <v/>
      </c>
      <c r="N1676" s="1" t="str">
        <f>IFERROR(SMALL($M$2:$M$1705,ROWS($M$2:M1676)),"")</f>
        <v/>
      </c>
      <c r="O1676" s="1" t="str">
        <f>IF(N1676&lt;&gt;"",INDEX($L$2:$L$1705,MATCH(N1676,$M$2:$M$1705,0)),"")</f>
        <v/>
      </c>
      <c r="P1676" s="1" t="str">
        <f>IF(O1676&lt;&gt;"",ROWS($O$2:O1676),"")</f>
        <v/>
      </c>
    </row>
    <row r="1677" spans="10:16" x14ac:dyDescent="0.2">
      <c r="J1677" s="1">
        <f>COUNTIF($L$2:L1677,L1677)</f>
        <v>13</v>
      </c>
      <c r="K1677" s="1">
        <f>A825</f>
        <v>2014</v>
      </c>
      <c r="L1677" s="1" t="str">
        <f>E825</f>
        <v>Algeria</v>
      </c>
      <c r="M1677" s="1" t="str">
        <f>IF(J1677=1,J1677+ROWS($J$2:J1677)/10000,"")</f>
        <v/>
      </c>
      <c r="N1677" s="1" t="str">
        <f>IFERROR(SMALL($M$2:$M$1705,ROWS($M$2:M1677)),"")</f>
        <v/>
      </c>
      <c r="O1677" s="1" t="str">
        <f>IF(N1677&lt;&gt;"",INDEX($L$2:$L$1705,MATCH(N1677,$M$2:$M$1705,0)),"")</f>
        <v/>
      </c>
      <c r="P1677" s="1" t="str">
        <f>IF(O1677&lt;&gt;"",ROWS($O$2:O1677),"")</f>
        <v/>
      </c>
    </row>
    <row r="1678" spans="10:16" x14ac:dyDescent="0.2">
      <c r="J1678" s="1">
        <f>COUNTIF($L$2:L1678,L1678)</f>
        <v>19</v>
      </c>
      <c r="K1678" s="1">
        <f>A826</f>
        <v>2014</v>
      </c>
      <c r="L1678" s="1" t="str">
        <f>E826</f>
        <v>Colombia</v>
      </c>
      <c r="M1678" s="1" t="str">
        <f>IF(J1678=1,J1678+ROWS($J$2:J1678)/10000,"")</f>
        <v/>
      </c>
      <c r="N1678" s="1" t="str">
        <f>IFERROR(SMALL($M$2:$M$1705,ROWS($M$2:M1678)),"")</f>
        <v/>
      </c>
      <c r="O1678" s="1" t="str">
        <f>IF(N1678&lt;&gt;"",INDEX($L$2:$L$1705,MATCH(N1678,$M$2:$M$1705,0)),"")</f>
        <v/>
      </c>
      <c r="P1678" s="1" t="str">
        <f>IF(O1678&lt;&gt;"",ROWS($O$2:O1678),"")</f>
        <v/>
      </c>
    </row>
    <row r="1679" spans="10:16" x14ac:dyDescent="0.2">
      <c r="J1679" s="1">
        <f>COUNTIF($L$2:L1679,L1679)</f>
        <v>45</v>
      </c>
      <c r="K1679" s="1">
        <f>A827</f>
        <v>2014</v>
      </c>
      <c r="L1679" s="1" t="str">
        <f>E827</f>
        <v>Germany</v>
      </c>
      <c r="M1679" s="1" t="str">
        <f>IF(J1679=1,J1679+ROWS($J$2:J1679)/10000,"")</f>
        <v/>
      </c>
      <c r="N1679" s="1" t="str">
        <f>IFERROR(SMALL($M$2:$M$1705,ROWS($M$2:M1679)),"")</f>
        <v/>
      </c>
      <c r="O1679" s="1" t="str">
        <f>IF(N1679&lt;&gt;"",INDEX($L$2:$L$1705,MATCH(N1679,$M$2:$M$1705,0)),"")</f>
        <v/>
      </c>
      <c r="P1679" s="1" t="str">
        <f>IF(O1679&lt;&gt;"",ROWS($O$2:O1679),"")</f>
        <v/>
      </c>
    </row>
    <row r="1680" spans="10:16" x14ac:dyDescent="0.2">
      <c r="J1680" s="1">
        <f>COUNTIF($L$2:L1680,L1680)</f>
        <v>46</v>
      </c>
      <c r="K1680" s="1">
        <f>A828</f>
        <v>2014</v>
      </c>
      <c r="L1680" s="1" t="str">
        <f>E828</f>
        <v>Germany</v>
      </c>
      <c r="M1680" s="1" t="str">
        <f>IF(J1680=1,J1680+ROWS($J$2:J1680)/10000,"")</f>
        <v/>
      </c>
      <c r="N1680" s="1" t="str">
        <f>IFERROR(SMALL($M$2:$M$1705,ROWS($M$2:M1680)),"")</f>
        <v/>
      </c>
      <c r="O1680" s="1" t="str">
        <f>IF(N1680&lt;&gt;"",INDEX($L$2:$L$1705,MATCH(N1680,$M$2:$M$1705,0)),"")</f>
        <v/>
      </c>
      <c r="P1680" s="1" t="str">
        <f>IF(O1680&lt;&gt;"",ROWS($O$2:O1680),"")</f>
        <v/>
      </c>
    </row>
    <row r="1681" spans="10:16" x14ac:dyDescent="0.2">
      <c r="J1681" s="1">
        <f>COUNTIF($L$2:L1681,L1681)</f>
        <v>53</v>
      </c>
      <c r="K1681" s="1">
        <f>A829</f>
        <v>2014</v>
      </c>
      <c r="L1681" s="1" t="str">
        <f>E829</f>
        <v>Netherlands</v>
      </c>
      <c r="M1681" s="1" t="str">
        <f>IF(J1681=1,J1681+ROWS($J$2:J1681)/10000,"")</f>
        <v/>
      </c>
      <c r="N1681" s="1" t="str">
        <f>IFERROR(SMALL($M$2:$M$1705,ROWS($M$2:M1681)),"")</f>
        <v/>
      </c>
      <c r="O1681" s="1" t="str">
        <f>IF(N1681&lt;&gt;"",INDEX($L$2:$L$1705,MATCH(N1681,$M$2:$M$1705,0)),"")</f>
        <v/>
      </c>
      <c r="P1681" s="1" t="str">
        <f>IF(O1681&lt;&gt;"",ROWS($O$2:O1681),"")</f>
        <v/>
      </c>
    </row>
    <row r="1682" spans="10:16" x14ac:dyDescent="0.2">
      <c r="J1682" s="1">
        <f>COUNTIF($L$2:L1682,L1682)</f>
        <v>78</v>
      </c>
      <c r="K1682" s="1">
        <f>A830</f>
        <v>2014</v>
      </c>
      <c r="L1682" s="1" t="str">
        <f>E830</f>
        <v>Argentina</v>
      </c>
      <c r="M1682" s="1" t="str">
        <f>IF(J1682=1,J1682+ROWS($J$2:J1682)/10000,"")</f>
        <v/>
      </c>
      <c r="N1682" s="1" t="str">
        <f>IFERROR(SMALL($M$2:$M$1705,ROWS($M$2:M1682)),"")</f>
        <v/>
      </c>
      <c r="O1682" s="1" t="str">
        <f>IF(N1682&lt;&gt;"",INDEX($L$2:$L$1705,MATCH(N1682,$M$2:$M$1705,0)),"")</f>
        <v/>
      </c>
      <c r="P1682" s="1" t="str">
        <f>IF(O1682&lt;&gt;"",ROWS($O$2:O1682),"")</f>
        <v/>
      </c>
    </row>
    <row r="1683" spans="10:16" x14ac:dyDescent="0.2">
      <c r="J1683" s="1">
        <f>COUNTIF($L$2:L1683,L1683)</f>
        <v>79</v>
      </c>
      <c r="K1683" s="1">
        <f>A831</f>
        <v>2014</v>
      </c>
      <c r="L1683" s="1" t="str">
        <f>E831</f>
        <v>Argentina</v>
      </c>
      <c r="M1683" s="1" t="str">
        <f>IF(J1683=1,J1683+ROWS($J$2:J1683)/10000,"")</f>
        <v/>
      </c>
      <c r="N1683" s="1" t="str">
        <f>IFERROR(SMALL($M$2:$M$1705,ROWS($M$2:M1683)),"")</f>
        <v/>
      </c>
      <c r="O1683" s="1" t="str">
        <f>IF(N1683&lt;&gt;"",INDEX($L$2:$L$1705,MATCH(N1683,$M$2:$M$1705,0)),"")</f>
        <v/>
      </c>
      <c r="P1683" s="1" t="str">
        <f>IF(O1683&lt;&gt;"",ROWS($O$2:O1683),"")</f>
        <v/>
      </c>
    </row>
    <row r="1684" spans="10:16" x14ac:dyDescent="0.2">
      <c r="J1684" s="1">
        <f>COUNTIF($L$2:L1684,L1684)</f>
        <v>16</v>
      </c>
      <c r="K1684" s="1">
        <f>A832</f>
        <v>2014</v>
      </c>
      <c r="L1684" s="1" t="str">
        <f>E832</f>
        <v>Costa Rica</v>
      </c>
      <c r="M1684" s="1" t="str">
        <f>IF(J1684=1,J1684+ROWS($J$2:J1684)/10000,"")</f>
        <v/>
      </c>
      <c r="N1684" s="1" t="str">
        <f>IFERROR(SMALL($M$2:$M$1705,ROWS($M$2:M1684)),"")</f>
        <v/>
      </c>
      <c r="O1684" s="1" t="str">
        <f>IF(N1684&lt;&gt;"",INDEX($L$2:$L$1705,MATCH(N1684,$M$2:$M$1705,0)),"")</f>
        <v/>
      </c>
      <c r="P1684" s="1" t="str">
        <f>IF(O1684&lt;&gt;"",ROWS($O$2:O1684),"")</f>
        <v/>
      </c>
    </row>
    <row r="1685" spans="10:16" x14ac:dyDescent="0.2">
      <c r="J1685" s="1">
        <f>COUNTIF($L$2:L1685,L1685)</f>
        <v>42</v>
      </c>
      <c r="K1685" s="1">
        <f>A833</f>
        <v>2014</v>
      </c>
      <c r="L1685" s="1" t="str">
        <f>E833</f>
        <v>Belgium</v>
      </c>
      <c r="M1685" s="1" t="str">
        <f>IF(J1685=1,J1685+ROWS($J$2:J1685)/10000,"")</f>
        <v/>
      </c>
      <c r="N1685" s="1" t="str">
        <f>IFERROR(SMALL($M$2:$M$1705,ROWS($M$2:M1685)),"")</f>
        <v/>
      </c>
      <c r="O1685" s="1" t="str">
        <f>IF(N1685&lt;&gt;"",INDEX($L$2:$L$1705,MATCH(N1685,$M$2:$M$1705,0)),"")</f>
        <v/>
      </c>
      <c r="P1685" s="1" t="str">
        <f>IF(O1685&lt;&gt;"",ROWS($O$2:O1685),"")</f>
        <v/>
      </c>
    </row>
    <row r="1686" spans="10:16" x14ac:dyDescent="0.2">
      <c r="J1686" s="1">
        <f>COUNTIF($L$2:L1686,L1686)</f>
        <v>53</v>
      </c>
      <c r="K1686" s="1">
        <f>A834</f>
        <v>2014</v>
      </c>
      <c r="L1686" s="1" t="str">
        <f>E834</f>
        <v>Mexico</v>
      </c>
      <c r="M1686" s="1" t="str">
        <f>IF(J1686=1,J1686+ROWS($J$2:J1686)/10000,"")</f>
        <v/>
      </c>
      <c r="N1686" s="1" t="str">
        <f>IFERROR(SMALL($M$2:$M$1705,ROWS($M$2:M1686)),"")</f>
        <v/>
      </c>
      <c r="O1686" s="1" t="str">
        <f>IF(N1686&lt;&gt;"",INDEX($L$2:$L$1705,MATCH(N1686,$M$2:$M$1705,0)),"")</f>
        <v/>
      </c>
      <c r="P1686" s="1" t="str">
        <f>IF(O1686&lt;&gt;"",ROWS($O$2:O1686),"")</f>
        <v/>
      </c>
    </row>
    <row r="1687" spans="10:16" x14ac:dyDescent="0.2">
      <c r="J1687" s="1">
        <f>COUNTIF($L$2:L1687,L1687)</f>
        <v>10</v>
      </c>
      <c r="K1687" s="1">
        <f>A835</f>
        <v>2014</v>
      </c>
      <c r="L1687" s="1" t="str">
        <f>E835</f>
        <v>Greece</v>
      </c>
      <c r="M1687" s="1" t="str">
        <f>IF(J1687=1,J1687+ROWS($J$2:J1687)/10000,"")</f>
        <v/>
      </c>
      <c r="N1687" s="1" t="str">
        <f>IFERROR(SMALL($M$2:$M$1705,ROWS($M$2:M1687)),"")</f>
        <v/>
      </c>
      <c r="O1687" s="1" t="str">
        <f>IF(N1687&lt;&gt;"",INDEX($L$2:$L$1705,MATCH(N1687,$M$2:$M$1705,0)),"")</f>
        <v/>
      </c>
      <c r="P1687" s="1" t="str">
        <f>IF(O1687&lt;&gt;"",ROWS($O$2:O1687),"")</f>
        <v/>
      </c>
    </row>
    <row r="1688" spans="10:16" x14ac:dyDescent="0.2">
      <c r="J1688" s="1">
        <f>COUNTIF($L$2:L1688,L1688)</f>
        <v>33</v>
      </c>
      <c r="K1688" s="1">
        <f>A836</f>
        <v>2014</v>
      </c>
      <c r="L1688" s="1" t="str">
        <f>E836</f>
        <v>Switzerland</v>
      </c>
      <c r="M1688" s="1" t="str">
        <f>IF(J1688=1,J1688+ROWS($J$2:J1688)/10000,"")</f>
        <v/>
      </c>
      <c r="N1688" s="1" t="str">
        <f>IFERROR(SMALL($M$2:$M$1705,ROWS($M$2:M1688)),"")</f>
        <v/>
      </c>
      <c r="O1688" s="1" t="str">
        <f>IF(N1688&lt;&gt;"",INDEX($L$2:$L$1705,MATCH(N1688,$M$2:$M$1705,0)),"")</f>
        <v/>
      </c>
      <c r="P1688" s="1" t="str">
        <f>IF(O1688&lt;&gt;"",ROWS($O$2:O1688),"")</f>
        <v/>
      </c>
    </row>
    <row r="1689" spans="10:16" x14ac:dyDescent="0.2">
      <c r="J1689" s="1">
        <f>COUNTIF($L$2:L1689,L1689)</f>
        <v>33</v>
      </c>
      <c r="K1689" s="1">
        <f>A837</f>
        <v>2014</v>
      </c>
      <c r="L1689" s="1" t="str">
        <f>E837</f>
        <v>USA</v>
      </c>
      <c r="M1689" s="1" t="str">
        <f>IF(J1689=1,J1689+ROWS($J$2:J1689)/10000,"")</f>
        <v/>
      </c>
      <c r="N1689" s="1" t="str">
        <f>IFERROR(SMALL($M$2:$M$1705,ROWS($M$2:M1689)),"")</f>
        <v/>
      </c>
      <c r="O1689" s="1" t="str">
        <f>IF(N1689&lt;&gt;"",INDEX($L$2:$L$1705,MATCH(N1689,$M$2:$M$1705,0)),"")</f>
        <v/>
      </c>
      <c r="P1689" s="1" t="str">
        <f>IF(O1689&lt;&gt;"",ROWS($O$2:O1689),"")</f>
        <v/>
      </c>
    </row>
    <row r="1690" spans="10:16" x14ac:dyDescent="0.2">
      <c r="J1690" s="1">
        <f>COUNTIF($L$2:L1690,L1690)</f>
        <v>34</v>
      </c>
      <c r="K1690" s="1">
        <f>A838</f>
        <v>2014</v>
      </c>
      <c r="L1690" s="1" t="str">
        <f>E838</f>
        <v>Chile</v>
      </c>
      <c r="M1690" s="1" t="str">
        <f>IF(J1690=1,J1690+ROWS($J$2:J1690)/10000,"")</f>
        <v/>
      </c>
      <c r="N1690" s="1" t="str">
        <f>IFERROR(SMALL($M$2:$M$1705,ROWS($M$2:M1690)),"")</f>
        <v/>
      </c>
      <c r="O1690" s="1" t="str">
        <f>IF(N1690&lt;&gt;"",INDEX($L$2:$L$1705,MATCH(N1690,$M$2:$M$1705,0)),"")</f>
        <v/>
      </c>
      <c r="P1690" s="1" t="str">
        <f>IF(O1690&lt;&gt;"",ROWS($O$2:O1690),"")</f>
        <v/>
      </c>
    </row>
    <row r="1691" spans="10:16" x14ac:dyDescent="0.2">
      <c r="J1691" s="1">
        <f>COUNTIF($L$2:L1691,L1691)</f>
        <v>52</v>
      </c>
      <c r="K1691" s="1">
        <f>A839</f>
        <v>2014</v>
      </c>
      <c r="L1691" s="1" t="str">
        <f>E839</f>
        <v>Uruguay</v>
      </c>
      <c r="M1691" s="1" t="str">
        <f>IF(J1691=1,J1691+ROWS($J$2:J1691)/10000,"")</f>
        <v/>
      </c>
      <c r="N1691" s="1" t="str">
        <f>IFERROR(SMALL($M$2:$M$1705,ROWS($M$2:M1691)),"")</f>
        <v/>
      </c>
      <c r="O1691" s="1" t="str">
        <f>IF(N1691&lt;&gt;"",INDEX($L$2:$L$1705,MATCH(N1691,$M$2:$M$1705,0)),"")</f>
        <v/>
      </c>
      <c r="P1691" s="1" t="str">
        <f>IF(O1691&lt;&gt;"",ROWS($O$2:O1691),"")</f>
        <v/>
      </c>
    </row>
    <row r="1692" spans="10:16" x14ac:dyDescent="0.2">
      <c r="J1692" s="1">
        <f>COUNTIF($L$2:L1692,L1692)</f>
        <v>54</v>
      </c>
      <c r="K1692" s="1">
        <f>A840</f>
        <v>2014</v>
      </c>
      <c r="L1692" s="1" t="str">
        <f>E840</f>
        <v>Mexico</v>
      </c>
      <c r="M1692" s="1" t="str">
        <f>IF(J1692=1,J1692+ROWS($J$2:J1692)/10000,"")</f>
        <v/>
      </c>
      <c r="N1692" s="1" t="str">
        <f>IFERROR(SMALL($M$2:$M$1705,ROWS($M$2:M1692)),"")</f>
        <v/>
      </c>
      <c r="O1692" s="1" t="str">
        <f>IF(N1692&lt;&gt;"",INDEX($L$2:$L$1705,MATCH(N1692,$M$2:$M$1705,0)),"")</f>
        <v/>
      </c>
      <c r="P1692" s="1" t="str">
        <f>IF(O1692&lt;&gt;"",ROWS($O$2:O1692),"")</f>
        <v/>
      </c>
    </row>
    <row r="1693" spans="10:16" x14ac:dyDescent="0.2">
      <c r="J1693" s="1">
        <f>COUNTIF($L$2:L1693,L1693)</f>
        <v>11</v>
      </c>
      <c r="K1693" s="1">
        <f>A841</f>
        <v>2014</v>
      </c>
      <c r="L1693" s="1" t="str">
        <f>E841</f>
        <v>Greece</v>
      </c>
      <c r="M1693" s="1" t="str">
        <f>IF(J1693=1,J1693+ROWS($J$2:J1693)/10000,"")</f>
        <v/>
      </c>
      <c r="N1693" s="1" t="str">
        <f>IFERROR(SMALL($M$2:$M$1705,ROWS($M$2:M1693)),"")</f>
        <v/>
      </c>
      <c r="O1693" s="1" t="str">
        <f>IF(N1693&lt;&gt;"",INDEX($L$2:$L$1705,MATCH(N1693,$M$2:$M$1705,0)),"")</f>
        <v/>
      </c>
      <c r="P1693" s="1" t="str">
        <f>IF(O1693&lt;&gt;"",ROWS($O$2:O1693),"")</f>
        <v/>
      </c>
    </row>
    <row r="1694" spans="10:16" x14ac:dyDescent="0.2">
      <c r="J1694" s="1">
        <f>COUNTIF($L$2:L1694,L1694)</f>
        <v>19</v>
      </c>
      <c r="K1694" s="1">
        <f>A842</f>
        <v>2014</v>
      </c>
      <c r="L1694" s="1" t="str">
        <f>E842</f>
        <v>Nigeria</v>
      </c>
      <c r="M1694" s="1" t="str">
        <f>IF(J1694=1,J1694+ROWS($J$2:J1694)/10000,"")</f>
        <v/>
      </c>
      <c r="N1694" s="1" t="str">
        <f>IFERROR(SMALL($M$2:$M$1705,ROWS($M$2:M1694)),"")</f>
        <v/>
      </c>
      <c r="O1694" s="1" t="str">
        <f>IF(N1694&lt;&gt;"",INDEX($L$2:$L$1705,MATCH(N1694,$M$2:$M$1705,0)),"")</f>
        <v/>
      </c>
      <c r="P1694" s="1" t="str">
        <f>IF(O1694&lt;&gt;"",ROWS($O$2:O1694),"")</f>
        <v/>
      </c>
    </row>
    <row r="1695" spans="10:16" x14ac:dyDescent="0.2">
      <c r="J1695" s="1">
        <f>COUNTIF($L$2:L1695,L1695)</f>
        <v>14</v>
      </c>
      <c r="K1695" s="1">
        <f>A843</f>
        <v>2014</v>
      </c>
      <c r="L1695" s="1" t="str">
        <f>E843</f>
        <v>Algeria</v>
      </c>
      <c r="M1695" s="1" t="str">
        <f>IF(J1695=1,J1695+ROWS($J$2:J1695)/10000,"")</f>
        <v/>
      </c>
      <c r="N1695" s="1" t="str">
        <f>IFERROR(SMALL($M$2:$M$1705,ROWS($M$2:M1695)),"")</f>
        <v/>
      </c>
      <c r="O1695" s="1" t="str">
        <f>IF(N1695&lt;&gt;"",INDEX($L$2:$L$1705,MATCH(N1695,$M$2:$M$1705,0)),"")</f>
        <v/>
      </c>
      <c r="P1695" s="1" t="str">
        <f>IF(O1695&lt;&gt;"",ROWS($O$2:O1695),"")</f>
        <v/>
      </c>
    </row>
    <row r="1696" spans="10:16" x14ac:dyDescent="0.2">
      <c r="J1696" s="1">
        <f>COUNTIF($L$2:L1696,L1696)</f>
        <v>34</v>
      </c>
      <c r="K1696" s="1">
        <f>A844</f>
        <v>2014</v>
      </c>
      <c r="L1696" s="1" t="str">
        <f>E844</f>
        <v>Switzerland</v>
      </c>
      <c r="M1696" s="1" t="str">
        <f>IF(J1696=1,J1696+ROWS($J$2:J1696)/10000,"")</f>
        <v/>
      </c>
      <c r="N1696" s="1" t="str">
        <f>IFERROR(SMALL($M$2:$M$1705,ROWS($M$2:M1696)),"")</f>
        <v/>
      </c>
      <c r="O1696" s="1" t="str">
        <f>IF(N1696&lt;&gt;"",INDEX($L$2:$L$1705,MATCH(N1696,$M$2:$M$1705,0)),"")</f>
        <v/>
      </c>
      <c r="P1696" s="1" t="str">
        <f>IF(O1696&lt;&gt;"",ROWS($O$2:O1696),"")</f>
        <v/>
      </c>
    </row>
    <row r="1697" spans="10:16" x14ac:dyDescent="0.2">
      <c r="J1697" s="1">
        <f>COUNTIF($L$2:L1697,L1697)</f>
        <v>34</v>
      </c>
      <c r="K1697" s="1">
        <f>A845</f>
        <v>2014</v>
      </c>
      <c r="L1697" s="1" t="str">
        <f>E845</f>
        <v>USA</v>
      </c>
      <c r="M1697" s="1" t="str">
        <f>IF(J1697=1,J1697+ROWS($J$2:J1697)/10000,"")</f>
        <v/>
      </c>
      <c r="N1697" s="1" t="str">
        <f>IFERROR(SMALL($M$2:$M$1705,ROWS($M$2:M1697)),"")</f>
        <v/>
      </c>
      <c r="O1697" s="1" t="str">
        <f>IF(N1697&lt;&gt;"",INDEX($L$2:$L$1705,MATCH(N1697,$M$2:$M$1705,0)),"")</f>
        <v/>
      </c>
      <c r="P1697" s="1" t="str">
        <f>IF(O1697&lt;&gt;"",ROWS($O$2:O1697),"")</f>
        <v/>
      </c>
    </row>
    <row r="1698" spans="10:16" x14ac:dyDescent="0.2">
      <c r="J1698" s="1">
        <f>COUNTIF($L$2:L1698,L1698)</f>
        <v>47</v>
      </c>
      <c r="K1698" s="1">
        <f>A846</f>
        <v>2014</v>
      </c>
      <c r="L1698" s="1" t="str">
        <f>E846</f>
        <v>Germany</v>
      </c>
      <c r="M1698" s="1" t="str">
        <f>IF(J1698=1,J1698+ROWS($J$2:J1698)/10000,"")</f>
        <v/>
      </c>
      <c r="N1698" s="1" t="str">
        <f>IFERROR(SMALL($M$2:$M$1705,ROWS($M$2:M1698)),"")</f>
        <v/>
      </c>
      <c r="O1698" s="1" t="str">
        <f>IF(N1698&lt;&gt;"",INDEX($L$2:$L$1705,MATCH(N1698,$M$2:$M$1705,0)),"")</f>
        <v/>
      </c>
      <c r="P1698" s="1" t="str">
        <f>IF(O1698&lt;&gt;"",ROWS($O$2:O1698),"")</f>
        <v/>
      </c>
    </row>
    <row r="1699" spans="10:16" x14ac:dyDescent="0.2">
      <c r="J1699" s="1">
        <f>COUNTIF($L$2:L1699,L1699)</f>
        <v>20</v>
      </c>
      <c r="K1699" s="1">
        <f>A847</f>
        <v>2014</v>
      </c>
      <c r="L1699" s="1" t="str">
        <f>E847</f>
        <v>Colombia</v>
      </c>
      <c r="M1699" s="1" t="str">
        <f>IF(J1699=1,J1699+ROWS($J$2:J1699)/10000,"")</f>
        <v/>
      </c>
      <c r="N1699" s="1" t="str">
        <f>IFERROR(SMALL($M$2:$M$1705,ROWS($M$2:M1699)),"")</f>
        <v/>
      </c>
      <c r="O1699" s="1" t="str">
        <f>IF(N1699&lt;&gt;"",INDEX($L$2:$L$1705,MATCH(N1699,$M$2:$M$1705,0)),"")</f>
        <v/>
      </c>
      <c r="P1699" s="1" t="str">
        <f>IF(O1699&lt;&gt;"",ROWS($O$2:O1699),"")</f>
        <v/>
      </c>
    </row>
    <row r="1700" spans="10:16" x14ac:dyDescent="0.2">
      <c r="J1700" s="1">
        <f>COUNTIF($L$2:L1700,L1700)</f>
        <v>43</v>
      </c>
      <c r="K1700" s="1">
        <f>A848</f>
        <v>2014</v>
      </c>
      <c r="L1700" s="1" t="str">
        <f>E848</f>
        <v>Belgium</v>
      </c>
      <c r="M1700" s="1" t="str">
        <f>IF(J1700=1,J1700+ROWS($J$2:J1700)/10000,"")</f>
        <v/>
      </c>
      <c r="N1700" s="1" t="str">
        <f>IFERROR(SMALL($M$2:$M$1705,ROWS($M$2:M1700)),"")</f>
        <v/>
      </c>
      <c r="O1700" s="1" t="str">
        <f>IF(N1700&lt;&gt;"",INDEX($L$2:$L$1705,MATCH(N1700,$M$2:$M$1705,0)),"")</f>
        <v/>
      </c>
      <c r="P1700" s="1" t="str">
        <f>IF(O1700&lt;&gt;"",ROWS($O$2:O1700),"")</f>
        <v/>
      </c>
    </row>
    <row r="1701" spans="10:16" x14ac:dyDescent="0.2">
      <c r="J1701" s="1">
        <f>COUNTIF($L$2:L1701,L1701)</f>
        <v>17</v>
      </c>
      <c r="K1701" s="1">
        <f>A849</f>
        <v>2014</v>
      </c>
      <c r="L1701" s="1" t="str">
        <f>E849</f>
        <v>Costa Rica</v>
      </c>
      <c r="M1701" s="1" t="str">
        <f>IF(J1701=1,J1701+ROWS($J$2:J1701)/10000,"")</f>
        <v/>
      </c>
      <c r="N1701" s="1" t="str">
        <f>IFERROR(SMALL($M$2:$M$1705,ROWS($M$2:M1701)),"")</f>
        <v/>
      </c>
      <c r="O1701" s="1" t="str">
        <f>IF(N1701&lt;&gt;"",INDEX($L$2:$L$1705,MATCH(N1701,$M$2:$M$1705,0)),"")</f>
        <v/>
      </c>
      <c r="P1701" s="1" t="str">
        <f>IF(O1701&lt;&gt;"",ROWS($O$2:O1701),"")</f>
        <v/>
      </c>
    </row>
    <row r="1702" spans="10:16" x14ac:dyDescent="0.2">
      <c r="J1702" s="1">
        <f>COUNTIF($L$2:L1702,L1702)</f>
        <v>48</v>
      </c>
      <c r="K1702" s="1">
        <f>A850</f>
        <v>2014</v>
      </c>
      <c r="L1702" s="1" t="str">
        <f>E850</f>
        <v>Germany</v>
      </c>
      <c r="M1702" s="1" t="str">
        <f>IF(J1702=1,J1702+ROWS($J$2:J1702)/10000,"")</f>
        <v/>
      </c>
      <c r="N1702" s="1" t="str">
        <f>IFERROR(SMALL($M$2:$M$1705,ROWS($M$2:M1702)),"")</f>
        <v/>
      </c>
      <c r="O1702" s="1" t="str">
        <f>IF(N1702&lt;&gt;"",INDEX($L$2:$L$1705,MATCH(N1702,$M$2:$M$1705,0)),"")</f>
        <v/>
      </c>
      <c r="P1702" s="1" t="str">
        <f>IF(O1702&lt;&gt;"",ROWS($O$2:O1702),"")</f>
        <v/>
      </c>
    </row>
    <row r="1703" spans="10:16" x14ac:dyDescent="0.2">
      <c r="J1703" s="1">
        <f>COUNTIF($L$2:L1703,L1703)</f>
        <v>80</v>
      </c>
      <c r="K1703" s="1">
        <f>A851</f>
        <v>2014</v>
      </c>
      <c r="L1703" s="1" t="str">
        <f>E851</f>
        <v>Argentina</v>
      </c>
      <c r="M1703" s="1" t="str">
        <f>IF(J1703=1,J1703+ROWS($J$2:J1703)/10000,"")</f>
        <v/>
      </c>
      <c r="N1703" s="1" t="str">
        <f>IFERROR(SMALL($M$2:$M$1705,ROWS($M$2:M1703)),"")</f>
        <v/>
      </c>
      <c r="O1703" s="1" t="str">
        <f>IF(N1703&lt;&gt;"",INDEX($L$2:$L$1705,MATCH(N1703,$M$2:$M$1705,0)),"")</f>
        <v/>
      </c>
      <c r="P1703" s="1" t="str">
        <f>IF(O1703&lt;&gt;"",ROWS($O$2:O1703),"")</f>
        <v/>
      </c>
    </row>
    <row r="1704" spans="10:16" x14ac:dyDescent="0.2">
      <c r="J1704" s="1">
        <f>COUNTIF($L$2:L1704,L1704)</f>
        <v>54</v>
      </c>
      <c r="K1704" s="1">
        <f>A852</f>
        <v>2014</v>
      </c>
      <c r="L1704" s="1" t="str">
        <f>E852</f>
        <v>Netherlands</v>
      </c>
      <c r="M1704" s="1" t="str">
        <f>IF(J1704=1,J1704+ROWS($J$2:J1704)/10000,"")</f>
        <v/>
      </c>
      <c r="N1704" s="1" t="str">
        <f>IFERROR(SMALL($M$2:$M$1705,ROWS($M$2:M1704)),"")</f>
        <v/>
      </c>
      <c r="O1704" s="1" t="str">
        <f>IF(N1704&lt;&gt;"",INDEX($L$2:$L$1705,MATCH(N1704,$M$2:$M$1705,0)),"")</f>
        <v/>
      </c>
      <c r="P1704" s="1" t="str">
        <f>IF(O1704&lt;&gt;"",ROWS($O$2:O1704),"")</f>
        <v/>
      </c>
    </row>
    <row r="1705" spans="10:16" x14ac:dyDescent="0.2">
      <c r="J1705" s="1">
        <f>COUNTIF($L$2:L1705,L1705)</f>
        <v>81</v>
      </c>
      <c r="K1705" s="1">
        <f>A853</f>
        <v>2014</v>
      </c>
      <c r="L1705" s="1" t="str">
        <f>E853</f>
        <v>Argentina</v>
      </c>
      <c r="M1705" s="1" t="str">
        <f>IF(J1705=1,J1705+ROWS($J$2:J1705)/10000,"")</f>
        <v/>
      </c>
      <c r="N1705" s="1" t="str">
        <f>IFERROR(SMALL($M$2:$M$1705,ROWS($M$2:M1705)),"")</f>
        <v/>
      </c>
      <c r="O1705" s="1" t="str">
        <f>IF(N1705&lt;&gt;"",INDEX($L$2:$L$1705,MATCH(N1705,$M$2:$M$1705,0)),"")</f>
        <v/>
      </c>
      <c r="P1705" s="1" t="str">
        <f>IF(O1705&lt;&gt;"",ROWS($O$2:O1705),"")</f>
        <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58143-F46A-4D48-B336-BF4666A73BD7}">
  <sheetPr codeName="Sheet5"/>
  <dimension ref="B4:G45"/>
  <sheetViews>
    <sheetView workbookViewId="0">
      <selection activeCell="C4" sqref="C4"/>
    </sheetView>
  </sheetViews>
  <sheetFormatPr defaultRowHeight="12.75" x14ac:dyDescent="0.2"/>
  <cols>
    <col min="1" max="1" width="9.140625" style="1"/>
    <col min="2" max="2" width="19.42578125" style="1" bestFit="1" customWidth="1"/>
    <col min="3" max="5" width="9.140625" style="1"/>
    <col min="6" max="6" width="11.28515625" style="1" bestFit="1" customWidth="1"/>
    <col min="7" max="16384" width="9.140625" style="1"/>
  </cols>
  <sheetData>
    <row r="4" spans="2:7" x14ac:dyDescent="0.2">
      <c r="B4" s="1" t="s">
        <v>551</v>
      </c>
      <c r="C4" s="1">
        <f>COUNTA(WorldCups[Year])</f>
        <v>21</v>
      </c>
    </row>
    <row r="6" spans="2:7" x14ac:dyDescent="0.2">
      <c r="B6" s="1" t="s">
        <v>543</v>
      </c>
      <c r="C6" s="1">
        <f>COUNTA(WorldCups!O2:O16)</f>
        <v>15</v>
      </c>
    </row>
    <row r="9" spans="2:7" x14ac:dyDescent="0.2">
      <c r="B9" s="1" t="s">
        <v>544</v>
      </c>
      <c r="C9" s="1" t="s">
        <v>546</v>
      </c>
      <c r="D9" s="1" t="s">
        <v>547</v>
      </c>
      <c r="E9" s="1" t="s">
        <v>548</v>
      </c>
      <c r="F9" s="1" t="s">
        <v>549</v>
      </c>
      <c r="G9" s="1" t="s">
        <v>550</v>
      </c>
    </row>
    <row r="10" spans="2:7" x14ac:dyDescent="0.2">
      <c r="B10" s="5" t="str">
        <f>WorldCups!O3</f>
        <v>Italy</v>
      </c>
      <c r="C10" s="1">
        <f>SUMPRODUCT(--(WorldCups[Country]=B10))</f>
        <v>2</v>
      </c>
      <c r="D10" s="1">
        <f>IF(SUMPRODUCT(--(WorldCups[Winner]=B10)),SUMPRODUCT(--(WorldCups[Winner]=B10)),NA())</f>
        <v>4</v>
      </c>
      <c r="E10" s="1">
        <f>IF(SUMPRODUCT(--(WorldCups[Runners-Up]=B10)),SUMPRODUCT(--(WorldCups[Runners-Up]=B10)),NA())</f>
        <v>2</v>
      </c>
      <c r="F10" s="1">
        <f>IF(SUMPRODUCT(--(WorldCups[Third]=B10)),SUMPRODUCT(--(WorldCups[Third]=B10)),NA())</f>
        <v>1</v>
      </c>
      <c r="G10" s="1">
        <f t="array" ref="G10">IFERROR(INDEX(WorldCups[],MAX(ROW(WorldCups[Year])*(B10=WorldCups[Winner])-1),1),"")</f>
        <v>2006</v>
      </c>
    </row>
    <row r="11" spans="2:7" x14ac:dyDescent="0.2">
      <c r="B11" s="5" t="str">
        <f>WorldCups!O4</f>
        <v>France</v>
      </c>
      <c r="C11" s="1">
        <f>SUMPRODUCT(--(WorldCups[Country]=B11))</f>
        <v>2</v>
      </c>
      <c r="D11" s="1">
        <f>IF(SUMPRODUCT(--(WorldCups[Winner]=B11)),SUMPRODUCT(--(WorldCups[Winner]=B11)),NA())</f>
        <v>2</v>
      </c>
      <c r="E11" s="1">
        <f>IF(SUMPRODUCT(--(WorldCups[Runners-Up]=B11)),SUMPRODUCT(--(WorldCups[Runners-Up]=B11)),NA())</f>
        <v>1</v>
      </c>
      <c r="F11" s="1">
        <f>IF(SUMPRODUCT(--(WorldCups[Third]=B11)),SUMPRODUCT(--(WorldCups[Third]=B11)),NA())</f>
        <v>2</v>
      </c>
      <c r="G11" s="1">
        <f t="array" ref="G11">IFERROR(INDEX(WorldCups[],MAX(ROW(WorldCups[Year])*(B11=WorldCups[Winner])-1),1),"")</f>
        <v>2018</v>
      </c>
    </row>
    <row r="12" spans="2:7" x14ac:dyDescent="0.2">
      <c r="B12" s="5" t="str">
        <f>WorldCups!O5</f>
        <v>Brazil</v>
      </c>
      <c r="C12" s="1">
        <f>SUMPRODUCT(--(WorldCups[Country]=B12))</f>
        <v>2</v>
      </c>
      <c r="D12" s="1">
        <f>IF(SUMPRODUCT(--(WorldCups[Winner]=B12)),SUMPRODUCT(--(WorldCups[Winner]=B12)),NA())</f>
        <v>5</v>
      </c>
      <c r="E12" s="1">
        <f>IF(SUMPRODUCT(--(WorldCups[Runners-Up]=B12)),SUMPRODUCT(--(WorldCups[Runners-Up]=B12)),NA())</f>
        <v>2</v>
      </c>
      <c r="F12" s="1">
        <f>IF(SUMPRODUCT(--(WorldCups[Third]=B12)),SUMPRODUCT(--(WorldCups[Third]=B12)),NA())</f>
        <v>2</v>
      </c>
      <c r="G12" s="1">
        <f t="array" ref="G12">IFERROR(INDEX(WorldCups[],MAX(ROW(WorldCups[Year])*(B12=WorldCups[Winner])-1),1),"")</f>
        <v>2002</v>
      </c>
    </row>
    <row r="13" spans="2:7" x14ac:dyDescent="0.2">
      <c r="B13" s="5" t="str">
        <f>WorldCups!O10</f>
        <v>Mexico</v>
      </c>
      <c r="C13" s="1">
        <f>SUMPRODUCT(--(WorldCups[Country]=B13))</f>
        <v>2</v>
      </c>
      <c r="D13" s="1" t="e">
        <f>IF(SUMPRODUCT(--(WorldCups[Winner]=B13)),SUMPRODUCT(--(WorldCups[Winner]=B13)),NA())</f>
        <v>#N/A</v>
      </c>
      <c r="E13" s="1" t="e">
        <f>IF(SUMPRODUCT(--(WorldCups[Runners-Up]=B13)),SUMPRODUCT(--(WorldCups[Runners-Up]=B13)),NA())</f>
        <v>#N/A</v>
      </c>
      <c r="F13" s="1" t="e">
        <f>IF(SUMPRODUCT(--(WorldCups[Third]=B13)),SUMPRODUCT(--(WorldCups[Third]=B13)),NA())</f>
        <v>#N/A</v>
      </c>
      <c r="G13" s="1" t="str">
        <f t="array" ref="G13">IFERROR(INDEX(WorldCups[],MAX(ROW(WorldCups[Year])*(B13=WorldCups[Winner])-1),1),"")</f>
        <v/>
      </c>
    </row>
    <row r="14" spans="2:7" x14ac:dyDescent="0.2">
      <c r="B14" s="5" t="str">
        <f>WorldCups!O11</f>
        <v>Germany</v>
      </c>
      <c r="C14" s="1">
        <f>SUMPRODUCT(--(WorldCups[Country]=B14))</f>
        <v>2</v>
      </c>
      <c r="D14" s="1">
        <f>IF(SUMPRODUCT(--(WorldCups[Winner]=B14)),SUMPRODUCT(--(WorldCups[Winner]=B14)),NA())</f>
        <v>2</v>
      </c>
      <c r="E14" s="1">
        <f>IF(SUMPRODUCT(--(WorldCups[Runners-Up]=B14)),SUMPRODUCT(--(WorldCups[Runners-Up]=B14)),NA())</f>
        <v>1</v>
      </c>
      <c r="F14" s="1">
        <f>IF(SUMPRODUCT(--(WorldCups[Third]=B14)),SUMPRODUCT(--(WorldCups[Third]=B14)),NA())</f>
        <v>3</v>
      </c>
      <c r="G14" s="1">
        <f t="array" ref="G14">IFERROR(INDEX(WorldCups[],MAX(ROW(WorldCups[Year])*(B14=WorldCups[Winner])-1),1),"")</f>
        <v>2014</v>
      </c>
    </row>
    <row r="15" spans="2:7" x14ac:dyDescent="0.2">
      <c r="B15" s="5" t="str">
        <f>WorldCups!O2</f>
        <v>Uruguay</v>
      </c>
      <c r="C15" s="1">
        <f>SUMPRODUCT(--(WorldCups[Country]=B15))</f>
        <v>1</v>
      </c>
      <c r="D15" s="1">
        <f>IF(SUMPRODUCT(--(WorldCups[Winner]=B15)),SUMPRODUCT(--(WorldCups[Winner]=B15)),NA())</f>
        <v>2</v>
      </c>
      <c r="E15" s="1" t="e">
        <f>IF(SUMPRODUCT(--(WorldCups[Runners-Up]=B15)),SUMPRODUCT(--(WorldCups[Runners-Up]=B15)),NA())</f>
        <v>#N/A</v>
      </c>
      <c r="F15" s="1" t="e">
        <f>IF(SUMPRODUCT(--(WorldCups[Third]=B15)),SUMPRODUCT(--(WorldCups[Third]=B15)),NA())</f>
        <v>#N/A</v>
      </c>
      <c r="G15" s="1">
        <f t="array" ref="G15">IFERROR(INDEX(WorldCups[],MAX(ROW(WorldCups[Year])*(B15=WorldCups[Winner])-1),1),"")</f>
        <v>1950</v>
      </c>
    </row>
    <row r="16" spans="2:7" x14ac:dyDescent="0.2">
      <c r="B16" s="5" t="str">
        <f>WorldCups!O6</f>
        <v>Switzerland</v>
      </c>
      <c r="C16" s="1">
        <f>SUMPRODUCT(--(WorldCups[Country]=B16))</f>
        <v>1</v>
      </c>
      <c r="D16" s="1" t="e">
        <f>IF(SUMPRODUCT(--(WorldCups[Winner]=B16)),SUMPRODUCT(--(WorldCups[Winner]=B16)),NA())</f>
        <v>#N/A</v>
      </c>
      <c r="E16" s="1" t="e">
        <f>IF(SUMPRODUCT(--(WorldCups[Runners-Up]=B16)),SUMPRODUCT(--(WorldCups[Runners-Up]=B16)),NA())</f>
        <v>#N/A</v>
      </c>
      <c r="F16" s="1" t="e">
        <f>IF(SUMPRODUCT(--(WorldCups[Third]=B16)),SUMPRODUCT(--(WorldCups[Third]=B16)),NA())</f>
        <v>#N/A</v>
      </c>
      <c r="G16" s="1" t="str">
        <f t="array" ref="G16">IFERROR(INDEX(WorldCups[],MAX(ROW(WorldCups[Year])*(B16=WorldCups[Winner])-1),1),"")</f>
        <v/>
      </c>
    </row>
    <row r="17" spans="2:7" x14ac:dyDescent="0.2">
      <c r="B17" s="5" t="str">
        <f>WorldCups!O7</f>
        <v>Sweden</v>
      </c>
      <c r="C17" s="1">
        <f>SUMPRODUCT(--(WorldCups[Country]=B17))</f>
        <v>1</v>
      </c>
      <c r="D17" s="1" t="e">
        <f>IF(SUMPRODUCT(--(WorldCups[Winner]=B17)),SUMPRODUCT(--(WorldCups[Winner]=B17)),NA())</f>
        <v>#N/A</v>
      </c>
      <c r="E17" s="1">
        <f>IF(SUMPRODUCT(--(WorldCups[Runners-Up]=B17)),SUMPRODUCT(--(WorldCups[Runners-Up]=B17)),NA())</f>
        <v>1</v>
      </c>
      <c r="F17" s="1">
        <f>IF(SUMPRODUCT(--(WorldCups[Third]=B17)),SUMPRODUCT(--(WorldCups[Third]=B17)),NA())</f>
        <v>2</v>
      </c>
      <c r="G17" s="1" t="str">
        <f t="array" ref="G17">IFERROR(INDEX(WorldCups[],MAX(ROW(WorldCups[Year])*(B17=WorldCups[Winner])-1),1),"")</f>
        <v/>
      </c>
    </row>
    <row r="18" spans="2:7" x14ac:dyDescent="0.2">
      <c r="B18" s="5" t="str">
        <f>WorldCups!O8</f>
        <v>Chile</v>
      </c>
      <c r="C18" s="1">
        <f>SUMPRODUCT(--(WorldCups[Country]=B18))</f>
        <v>1</v>
      </c>
      <c r="D18" s="1" t="e">
        <f>IF(SUMPRODUCT(--(WorldCups[Winner]=B18)),SUMPRODUCT(--(WorldCups[Winner]=B18)),NA())</f>
        <v>#N/A</v>
      </c>
      <c r="E18" s="1" t="e">
        <f>IF(SUMPRODUCT(--(WorldCups[Runners-Up]=B18)),SUMPRODUCT(--(WorldCups[Runners-Up]=B18)),NA())</f>
        <v>#N/A</v>
      </c>
      <c r="F18" s="1">
        <f>IF(SUMPRODUCT(--(WorldCups[Third]=B18)),SUMPRODUCT(--(WorldCups[Third]=B18)),NA())</f>
        <v>1</v>
      </c>
      <c r="G18" s="1" t="str">
        <f t="array" ref="G18">IFERROR(INDEX(WorldCups[],MAX(ROW(WorldCups[Year])*(B18=WorldCups[Winner])-1),1),"")</f>
        <v/>
      </c>
    </row>
    <row r="19" spans="2:7" x14ac:dyDescent="0.2">
      <c r="B19" s="5" t="str">
        <f>WorldCups!O9</f>
        <v>England</v>
      </c>
      <c r="C19" s="1">
        <f>SUMPRODUCT(--(WorldCups[Country]=B19))</f>
        <v>1</v>
      </c>
      <c r="D19" s="1">
        <f>IF(SUMPRODUCT(--(WorldCups[Winner]=B19)),SUMPRODUCT(--(WorldCups[Winner]=B19)),NA())</f>
        <v>1</v>
      </c>
      <c r="E19" s="1" t="e">
        <f>IF(SUMPRODUCT(--(WorldCups[Runners-Up]=B19)),SUMPRODUCT(--(WorldCups[Runners-Up]=B19)),NA())</f>
        <v>#N/A</v>
      </c>
      <c r="F19" s="1" t="e">
        <f>IF(SUMPRODUCT(--(WorldCups[Third]=B19)),SUMPRODUCT(--(WorldCups[Third]=B19)),NA())</f>
        <v>#N/A</v>
      </c>
      <c r="G19" s="1">
        <f t="array" ref="G19">IFERROR(INDEX(WorldCups[],MAX(ROW(WorldCups[Year])*(B19=WorldCups[Winner])-1),1),"")</f>
        <v>1966</v>
      </c>
    </row>
    <row r="20" spans="2:7" x14ac:dyDescent="0.2">
      <c r="B20" s="5" t="str">
        <f>WorldCups!O12</f>
        <v>Argentina</v>
      </c>
      <c r="C20" s="1">
        <f>SUMPRODUCT(--(WorldCups[Country]=B20))</f>
        <v>1</v>
      </c>
      <c r="D20" s="1">
        <f>IF(SUMPRODUCT(--(WorldCups[Winner]=B20)),SUMPRODUCT(--(WorldCups[Winner]=B20)),NA())</f>
        <v>2</v>
      </c>
      <c r="E20" s="1">
        <f>IF(SUMPRODUCT(--(WorldCups[Runners-Up]=B20)),SUMPRODUCT(--(WorldCups[Runners-Up]=B20)),NA())</f>
        <v>3</v>
      </c>
      <c r="F20" s="1" t="e">
        <f>IF(SUMPRODUCT(--(WorldCups[Third]=B20)),SUMPRODUCT(--(WorldCups[Third]=B20)),NA())</f>
        <v>#N/A</v>
      </c>
      <c r="G20" s="1">
        <f t="array" ref="G20">IFERROR(INDEX(WorldCups[],MAX(ROW(WorldCups[Year])*(B20=WorldCups[Winner])-1),1),"")</f>
        <v>1986</v>
      </c>
    </row>
    <row r="21" spans="2:7" x14ac:dyDescent="0.2">
      <c r="B21" s="5" t="str">
        <f>WorldCups!O13</f>
        <v>Spain</v>
      </c>
      <c r="C21" s="1">
        <f>SUMPRODUCT(--(WorldCups[Country]=B21))</f>
        <v>1</v>
      </c>
      <c r="D21" s="1">
        <f>IF(SUMPRODUCT(--(WorldCups[Winner]=B21)),SUMPRODUCT(--(WorldCups[Winner]=B21)),NA())</f>
        <v>1</v>
      </c>
      <c r="E21" s="1" t="e">
        <f>IF(SUMPRODUCT(--(WorldCups[Runners-Up]=B21)),SUMPRODUCT(--(WorldCups[Runners-Up]=B21)),NA())</f>
        <v>#N/A</v>
      </c>
      <c r="F21" s="1" t="e">
        <f>IF(SUMPRODUCT(--(WorldCups[Third]=B21)),SUMPRODUCT(--(WorldCups[Third]=B21)),NA())</f>
        <v>#N/A</v>
      </c>
      <c r="G21" s="1">
        <f t="array" ref="G21">IFERROR(INDEX(WorldCups[],MAX(ROW(WorldCups[Year])*(B21=WorldCups[Winner])-1),1),"")</f>
        <v>2010</v>
      </c>
    </row>
    <row r="22" spans="2:7" x14ac:dyDescent="0.2">
      <c r="B22" s="5" t="str">
        <f>WorldCups!O14</f>
        <v>USA</v>
      </c>
      <c r="C22" s="1">
        <f>SUMPRODUCT(--(WorldCups[Country]=B22))</f>
        <v>1</v>
      </c>
      <c r="D22" s="1" t="e">
        <f>IF(SUMPRODUCT(--(WorldCups[Winner]=B22)),SUMPRODUCT(--(WorldCups[Winner]=B22)),NA())</f>
        <v>#N/A</v>
      </c>
      <c r="E22" s="1" t="e">
        <f>IF(SUMPRODUCT(--(WorldCups[Runners-Up]=B22)),SUMPRODUCT(--(WorldCups[Runners-Up]=B22)),NA())</f>
        <v>#N/A</v>
      </c>
      <c r="F22" s="1">
        <f>IF(SUMPRODUCT(--(WorldCups[Third]=B22)),SUMPRODUCT(--(WorldCups[Third]=B22)),NA())</f>
        <v>1</v>
      </c>
      <c r="G22" s="1" t="str">
        <f t="array" ref="G22">IFERROR(INDEX(WorldCups[],MAX(ROW(WorldCups[Year])*(B22=WorldCups[Winner])-1),1),"")</f>
        <v/>
      </c>
    </row>
    <row r="23" spans="2:7" x14ac:dyDescent="0.2">
      <c r="B23" s="5" t="str">
        <f>WorldCups!O15</f>
        <v>Korea/Japan</v>
      </c>
      <c r="C23" s="1">
        <f>SUMPRODUCT(--(WorldCups[Country]=B23))</f>
        <v>1</v>
      </c>
      <c r="D23" s="1" t="e">
        <f>IF(SUMPRODUCT(--(WorldCups[Winner]=B23)),SUMPRODUCT(--(WorldCups[Winner]=B23)),NA())</f>
        <v>#N/A</v>
      </c>
      <c r="E23" s="1" t="e">
        <f>IF(SUMPRODUCT(--(WorldCups[Runners-Up]=B23)),SUMPRODUCT(--(WorldCups[Runners-Up]=B23)),NA())</f>
        <v>#N/A</v>
      </c>
      <c r="F23" s="1" t="e">
        <f>IF(SUMPRODUCT(--(WorldCups[Third]=B23)),SUMPRODUCT(--(WorldCups[Third]=B23)),NA())</f>
        <v>#N/A</v>
      </c>
      <c r="G23" s="1" t="str">
        <f t="array" ref="G23">IFERROR(INDEX(WorldCups[],MAX(ROW(WorldCups[Year])*(B23=WorldCups[Winner])-1),1),"")</f>
        <v/>
      </c>
    </row>
    <row r="24" spans="2:7" x14ac:dyDescent="0.2">
      <c r="B24" s="5" t="str">
        <f>WorldCups!O16</f>
        <v>South Africa</v>
      </c>
      <c r="C24" s="1">
        <f>SUMPRODUCT(--(WorldCups[Country]=B24))</f>
        <v>1</v>
      </c>
      <c r="D24" s="1" t="e">
        <f>IF(SUMPRODUCT(--(WorldCups[Winner]=B24)),SUMPRODUCT(--(WorldCups[Winner]=B24)),NA())</f>
        <v>#N/A</v>
      </c>
      <c r="E24" s="1" t="e">
        <f>IF(SUMPRODUCT(--(WorldCups[Runners-Up]=B24)),SUMPRODUCT(--(WorldCups[Runners-Up]=B24)),NA())</f>
        <v>#N/A</v>
      </c>
      <c r="F24" s="1" t="e">
        <f>IF(SUMPRODUCT(--(WorldCups[Third]=B24)),SUMPRODUCT(--(WorldCups[Third]=B24)),NA())</f>
        <v>#N/A</v>
      </c>
      <c r="G24" s="1" t="str">
        <f t="array" ref="G24">IFERROR(INDEX(WorldCups[],MAX(ROW(WorldCups[Year])*(B24=WorldCups[Winner])-1),1),"")</f>
        <v/>
      </c>
    </row>
    <row r="26" spans="2:7" x14ac:dyDescent="0.2">
      <c r="B26" s="1">
        <f>WorldCups!O17</f>
        <v>0</v>
      </c>
      <c r="D26" s="1" t="str">
        <f>COUNT(D10:D24)&amp;" "&amp;"different countries"</f>
        <v>8 different countries</v>
      </c>
    </row>
    <row r="27" spans="2:7" x14ac:dyDescent="0.2">
      <c r="B27" s="1" t="str">
        <f>WorldCups!O18</f>
        <v/>
      </c>
    </row>
    <row r="28" spans="2:7" x14ac:dyDescent="0.2">
      <c r="B28" s="1" t="str">
        <f>LEFT(B10,3)</f>
        <v>Ita</v>
      </c>
      <c r="C28" s="1">
        <f>C10</f>
        <v>2</v>
      </c>
      <c r="D28" s="1">
        <f t="shared" ref="D28:G28" si="0">D10</f>
        <v>4</v>
      </c>
      <c r="E28" s="1">
        <f t="shared" si="0"/>
        <v>2</v>
      </c>
      <c r="F28" s="1">
        <f t="shared" si="0"/>
        <v>1</v>
      </c>
      <c r="G28" s="1">
        <f t="shared" si="0"/>
        <v>2006</v>
      </c>
    </row>
    <row r="29" spans="2:7" x14ac:dyDescent="0.2">
      <c r="B29" s="1" t="str">
        <f t="shared" ref="B29:B50" si="1">LEFT(B11,3)</f>
        <v>Fra</v>
      </c>
      <c r="C29" s="1">
        <f t="shared" ref="C29:G29" si="2">C11</f>
        <v>2</v>
      </c>
      <c r="D29" s="1">
        <f t="shared" si="2"/>
        <v>2</v>
      </c>
      <c r="E29" s="1">
        <f t="shared" si="2"/>
        <v>1</v>
      </c>
      <c r="F29" s="1">
        <f t="shared" si="2"/>
        <v>2</v>
      </c>
      <c r="G29" s="1">
        <f t="shared" si="2"/>
        <v>2018</v>
      </c>
    </row>
    <row r="30" spans="2:7" x14ac:dyDescent="0.2">
      <c r="B30" s="1" t="str">
        <f t="shared" si="1"/>
        <v>Bra</v>
      </c>
      <c r="C30" s="1">
        <f t="shared" ref="C30:G30" si="3">C12</f>
        <v>2</v>
      </c>
      <c r="D30" s="1">
        <f t="shared" si="3"/>
        <v>5</v>
      </c>
      <c r="E30" s="1">
        <f t="shared" si="3"/>
        <v>2</v>
      </c>
      <c r="F30" s="1">
        <f t="shared" si="3"/>
        <v>2</v>
      </c>
      <c r="G30" s="1">
        <f t="shared" si="3"/>
        <v>2002</v>
      </c>
    </row>
    <row r="31" spans="2:7" x14ac:dyDescent="0.2">
      <c r="B31" s="1" t="str">
        <f t="shared" si="1"/>
        <v>Mex</v>
      </c>
      <c r="C31" s="1">
        <f t="shared" ref="C31:G31" si="4">C13</f>
        <v>2</v>
      </c>
      <c r="D31" s="1" t="e">
        <f t="shared" si="4"/>
        <v>#N/A</v>
      </c>
      <c r="E31" s="1" t="e">
        <f t="shared" si="4"/>
        <v>#N/A</v>
      </c>
      <c r="F31" s="1" t="e">
        <f t="shared" si="4"/>
        <v>#N/A</v>
      </c>
      <c r="G31" s="1" t="str">
        <f t="shared" si="4"/>
        <v/>
      </c>
    </row>
    <row r="32" spans="2:7" x14ac:dyDescent="0.2">
      <c r="B32" s="1" t="str">
        <f t="shared" si="1"/>
        <v>Ger</v>
      </c>
      <c r="C32" s="1">
        <f t="shared" ref="C32:G32" si="5">C14</f>
        <v>2</v>
      </c>
      <c r="D32" s="1">
        <f t="shared" si="5"/>
        <v>2</v>
      </c>
      <c r="E32" s="1">
        <f t="shared" si="5"/>
        <v>1</v>
      </c>
      <c r="F32" s="1">
        <f t="shared" si="5"/>
        <v>3</v>
      </c>
      <c r="G32" s="1">
        <f t="shared" si="5"/>
        <v>2014</v>
      </c>
    </row>
    <row r="33" spans="2:7" x14ac:dyDescent="0.2">
      <c r="B33" s="1" t="str">
        <f t="shared" si="1"/>
        <v>Uru</v>
      </c>
      <c r="C33" s="1">
        <f t="shared" ref="C33:G33" si="6">C15</f>
        <v>1</v>
      </c>
      <c r="D33" s="1">
        <f t="shared" si="6"/>
        <v>2</v>
      </c>
      <c r="E33" s="1" t="e">
        <f t="shared" si="6"/>
        <v>#N/A</v>
      </c>
      <c r="F33" s="1" t="e">
        <f t="shared" si="6"/>
        <v>#N/A</v>
      </c>
      <c r="G33" s="1">
        <f t="shared" si="6"/>
        <v>1950</v>
      </c>
    </row>
    <row r="34" spans="2:7" x14ac:dyDescent="0.2">
      <c r="B34" s="1" t="str">
        <f t="shared" si="1"/>
        <v>Swi</v>
      </c>
      <c r="C34" s="1">
        <f t="shared" ref="C34:G34" si="7">C16</f>
        <v>1</v>
      </c>
      <c r="D34" s="1" t="e">
        <f t="shared" si="7"/>
        <v>#N/A</v>
      </c>
      <c r="E34" s="1" t="e">
        <f t="shared" si="7"/>
        <v>#N/A</v>
      </c>
      <c r="F34" s="1" t="e">
        <f t="shared" si="7"/>
        <v>#N/A</v>
      </c>
      <c r="G34" s="1" t="str">
        <f t="shared" si="7"/>
        <v/>
      </c>
    </row>
    <row r="35" spans="2:7" x14ac:dyDescent="0.2">
      <c r="B35" s="1" t="str">
        <f t="shared" si="1"/>
        <v>Swe</v>
      </c>
      <c r="C35" s="1">
        <f t="shared" ref="C35:G35" si="8">C17</f>
        <v>1</v>
      </c>
      <c r="D35" s="1" t="e">
        <f t="shared" si="8"/>
        <v>#N/A</v>
      </c>
      <c r="E35" s="1">
        <f t="shared" si="8"/>
        <v>1</v>
      </c>
      <c r="F35" s="1">
        <f t="shared" si="8"/>
        <v>2</v>
      </c>
      <c r="G35" s="1" t="str">
        <f t="shared" si="8"/>
        <v/>
      </c>
    </row>
    <row r="36" spans="2:7" x14ac:dyDescent="0.2">
      <c r="B36" s="1" t="str">
        <f t="shared" si="1"/>
        <v>Chi</v>
      </c>
      <c r="C36" s="1">
        <f t="shared" ref="C36:G36" si="9">C18</f>
        <v>1</v>
      </c>
      <c r="D36" s="1" t="e">
        <f t="shared" si="9"/>
        <v>#N/A</v>
      </c>
      <c r="E36" s="1" t="e">
        <f t="shared" si="9"/>
        <v>#N/A</v>
      </c>
      <c r="F36" s="1">
        <f t="shared" si="9"/>
        <v>1</v>
      </c>
      <c r="G36" s="1" t="str">
        <f t="shared" si="9"/>
        <v/>
      </c>
    </row>
    <row r="37" spans="2:7" x14ac:dyDescent="0.2">
      <c r="B37" s="1" t="str">
        <f t="shared" si="1"/>
        <v>Eng</v>
      </c>
      <c r="C37" s="1">
        <f t="shared" ref="C37:G37" si="10">C19</f>
        <v>1</v>
      </c>
      <c r="D37" s="1">
        <f t="shared" si="10"/>
        <v>1</v>
      </c>
      <c r="E37" s="1" t="e">
        <f t="shared" si="10"/>
        <v>#N/A</v>
      </c>
      <c r="F37" s="1" t="e">
        <f t="shared" si="10"/>
        <v>#N/A</v>
      </c>
      <c r="G37" s="1">
        <f t="shared" si="10"/>
        <v>1966</v>
      </c>
    </row>
    <row r="38" spans="2:7" x14ac:dyDescent="0.2">
      <c r="B38" s="1" t="str">
        <f t="shared" si="1"/>
        <v>Arg</v>
      </c>
      <c r="C38" s="1">
        <f t="shared" ref="C38:G38" si="11">C20</f>
        <v>1</v>
      </c>
      <c r="D38" s="1">
        <f t="shared" si="11"/>
        <v>2</v>
      </c>
      <c r="E38" s="1">
        <f t="shared" si="11"/>
        <v>3</v>
      </c>
      <c r="F38" s="1" t="e">
        <f t="shared" si="11"/>
        <v>#N/A</v>
      </c>
      <c r="G38" s="1">
        <f t="shared" si="11"/>
        <v>1986</v>
      </c>
    </row>
    <row r="39" spans="2:7" x14ac:dyDescent="0.2">
      <c r="B39" s="1" t="str">
        <f t="shared" si="1"/>
        <v>Spa</v>
      </c>
      <c r="C39" s="1">
        <f t="shared" ref="C39:G39" si="12">C21</f>
        <v>1</v>
      </c>
      <c r="D39" s="1">
        <f t="shared" si="12"/>
        <v>1</v>
      </c>
      <c r="E39" s="1" t="e">
        <f t="shared" si="12"/>
        <v>#N/A</v>
      </c>
      <c r="F39" s="1" t="e">
        <f t="shared" si="12"/>
        <v>#N/A</v>
      </c>
      <c r="G39" s="1">
        <f t="shared" si="12"/>
        <v>2010</v>
      </c>
    </row>
    <row r="40" spans="2:7" x14ac:dyDescent="0.2">
      <c r="B40" s="1" t="str">
        <f t="shared" si="1"/>
        <v>USA</v>
      </c>
      <c r="C40" s="1">
        <f t="shared" ref="C40:G40" si="13">C22</f>
        <v>1</v>
      </c>
      <c r="D40" s="1" t="e">
        <f t="shared" si="13"/>
        <v>#N/A</v>
      </c>
      <c r="E40" s="1" t="e">
        <f t="shared" si="13"/>
        <v>#N/A</v>
      </c>
      <c r="F40" s="1">
        <f t="shared" si="13"/>
        <v>1</v>
      </c>
      <c r="G40" s="1" t="str">
        <f t="shared" si="13"/>
        <v/>
      </c>
    </row>
    <row r="41" spans="2:7" x14ac:dyDescent="0.2">
      <c r="B41" s="1" t="str">
        <f t="shared" si="1"/>
        <v>Kor</v>
      </c>
      <c r="C41" s="1">
        <f t="shared" ref="C41:G41" si="14">C23</f>
        <v>1</v>
      </c>
      <c r="D41" s="1" t="e">
        <f t="shared" si="14"/>
        <v>#N/A</v>
      </c>
      <c r="E41" s="1" t="e">
        <f t="shared" si="14"/>
        <v>#N/A</v>
      </c>
      <c r="F41" s="1" t="e">
        <f t="shared" si="14"/>
        <v>#N/A</v>
      </c>
      <c r="G41" s="1" t="str">
        <f t="shared" si="14"/>
        <v/>
      </c>
    </row>
    <row r="42" spans="2:7" x14ac:dyDescent="0.2">
      <c r="B42" s="1" t="str">
        <f t="shared" si="1"/>
        <v>Sou</v>
      </c>
      <c r="C42" s="1">
        <f t="shared" ref="C42:G42" si="15">C24</f>
        <v>1</v>
      </c>
      <c r="D42" s="1" t="e">
        <f t="shared" si="15"/>
        <v>#N/A</v>
      </c>
      <c r="E42" s="1" t="e">
        <f t="shared" si="15"/>
        <v>#N/A</v>
      </c>
      <c r="F42" s="1" t="e">
        <f t="shared" si="15"/>
        <v>#N/A</v>
      </c>
      <c r="G42" s="1" t="str">
        <f t="shared" si="15"/>
        <v/>
      </c>
    </row>
    <row r="43" spans="2:7" x14ac:dyDescent="0.2">
      <c r="B43" s="1" t="str">
        <f t="shared" si="1"/>
        <v/>
      </c>
    </row>
    <row r="44" spans="2:7" x14ac:dyDescent="0.2">
      <c r="B44" s="1" t="str">
        <f t="shared" si="1"/>
        <v>0</v>
      </c>
    </row>
    <row r="45" spans="2:7" x14ac:dyDescent="0.2">
      <c r="B45" s="1" t="str">
        <f t="shared" si="1"/>
        <v/>
      </c>
    </row>
  </sheetData>
  <sortState xmlns:xlrd2="http://schemas.microsoft.com/office/spreadsheetml/2017/richdata2" ref="B10:C29">
    <sortCondition descending="1" ref="C11:C29"/>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vt:lpstr>
      <vt:lpstr>WorldCupMatches</vt:lpstr>
      <vt:lpstr>World Cup - Tableau format</vt:lpstr>
      <vt:lpstr>WorldCups</vt:lpstr>
      <vt:lpstr>unique_countries_by year</vt:lpstr>
      <vt:lpstr>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Baucke, Spencer(GE Digital)</dc:creator>
  <cp:lastModifiedBy>KEVIN</cp:lastModifiedBy>
  <dcterms:created xsi:type="dcterms:W3CDTF">2018-04-20T12:39:42Z</dcterms:created>
  <dcterms:modified xsi:type="dcterms:W3CDTF">2022-09-14T07:33:35Z</dcterms:modified>
</cp:coreProperties>
</file>